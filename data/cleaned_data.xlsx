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J Files\Projects\credit card fraud raw data\"/>
    </mc:Choice>
  </mc:AlternateContent>
  <xr:revisionPtr revIDLastSave="0" documentId="13_ncr:1_{9643BD99-821C-450A-A15E-715691FA4340}" xr6:coauthVersionLast="47" xr6:coauthVersionMax="47" xr10:uidLastSave="{00000000-0000-0000-0000-000000000000}"/>
  <bookViews>
    <workbookView xWindow="564" yWindow="432" windowWidth="21888" windowHeight="12156" activeTab="3" xr2:uid="{DBE81731-CAFB-437A-949B-376DA49487AD}"/>
  </bookViews>
  <sheets>
    <sheet name="Raw_data " sheetId="1" r:id="rId1"/>
    <sheet name="Raw_data_seperated" sheetId="9" r:id="rId2"/>
    <sheet name="Cleaned_Data" sheetId="5" r:id="rId3"/>
    <sheet name="Analysics &amp; KPI's" sheetId="7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2" i="7" l="1"/>
  <c r="G152" i="7"/>
  <c r="G151" i="7"/>
  <c r="G150" i="7"/>
  <c r="G149" i="7"/>
  <c r="AD518" i="5" a="1"/>
  <c r="AD519" i="5" a="1"/>
  <c r="AD520" i="5" a="1"/>
  <c r="AD521" i="5" a="1"/>
  <c r="AD522" i="5" a="1"/>
  <c r="AD523" i="5" a="1"/>
  <c r="AD524" i="5" a="1"/>
  <c r="AD525" i="5" a="1"/>
  <c r="AD526" i="5" a="1"/>
  <c r="AD527" i="5" a="1"/>
  <c r="AD528" i="5" a="1"/>
  <c r="AD529" i="5" a="1"/>
  <c r="AD530" i="5" a="1"/>
  <c r="AD531" i="5" a="1"/>
  <c r="AD532" i="5" a="1"/>
  <c r="AD533" i="5" a="1"/>
  <c r="AD534" i="5" a="1"/>
  <c r="AD535" i="5" a="1"/>
  <c r="AD536" i="5" a="1"/>
  <c r="AD537" i="5" a="1"/>
  <c r="AD538" i="5" a="1"/>
  <c r="AD539" i="5" a="1"/>
  <c r="AD540" i="5" a="1"/>
  <c r="AD541" i="5" a="1"/>
  <c r="AD542" i="5" a="1"/>
  <c r="AD543" i="5" a="1"/>
  <c r="AD544" i="5" a="1"/>
  <c r="AD545" i="5" a="1"/>
  <c r="AD546" i="5" a="1"/>
  <c r="AD547" i="5" a="1"/>
  <c r="AD548" i="5" a="1"/>
  <c r="AD549" i="5" a="1"/>
  <c r="AD550" i="5" a="1"/>
  <c r="AD551" i="5" a="1"/>
  <c r="AD552" i="5" a="1"/>
  <c r="AD553" i="5" a="1"/>
  <c r="AD554" i="5" a="1"/>
  <c r="AD555" i="5" a="1"/>
  <c r="AD556" i="5" a="1"/>
  <c r="AD557" i="5" a="1"/>
  <c r="AD558" i="5" a="1"/>
  <c r="AD559" i="5" a="1"/>
  <c r="AD560" i="5" a="1"/>
  <c r="AD561" i="5" a="1"/>
  <c r="AD562" i="5" a="1"/>
  <c r="AD563" i="5" a="1"/>
  <c r="AD564" i="5" a="1"/>
  <c r="AD565" i="5" a="1"/>
  <c r="AD566" i="5" a="1"/>
  <c r="AD567" i="5" a="1"/>
  <c r="AD568" i="5" a="1"/>
  <c r="AD569" i="5" a="1"/>
  <c r="AD570" i="5" a="1"/>
  <c r="AD571" i="5" a="1"/>
  <c r="AD572" i="5" a="1"/>
  <c r="AD573" i="5" a="1"/>
  <c r="AD574" i="5" a="1"/>
  <c r="AD575" i="5" a="1"/>
  <c r="AD576" i="5" a="1"/>
  <c r="AD577" i="5" a="1"/>
  <c r="AD578" i="5" a="1"/>
  <c r="AD579" i="5" a="1"/>
  <c r="AD580" i="5" a="1"/>
  <c r="AD581" i="5" a="1"/>
  <c r="AD582" i="5" a="1"/>
  <c r="AD583" i="5" a="1"/>
  <c r="AD584" i="5" a="1"/>
  <c r="AD585" i="5" a="1"/>
  <c r="AD586" i="5" a="1"/>
  <c r="AD587" i="5" a="1"/>
  <c r="AD588" i="5" a="1"/>
  <c r="AD589" i="5" a="1"/>
  <c r="AD590" i="5" a="1"/>
  <c r="AD591" i="5" a="1"/>
  <c r="AD592" i="5" a="1"/>
  <c r="AD593" i="5" a="1"/>
  <c r="AD594" i="5" a="1"/>
  <c r="AD595" i="5" a="1"/>
  <c r="AD596" i="5" a="1"/>
  <c r="AD597" i="5" a="1"/>
  <c r="AD598" i="5" a="1"/>
  <c r="AD599" i="5" a="1"/>
  <c r="AD600" i="5" a="1"/>
  <c r="AD601" i="5" a="1"/>
  <c r="AD602" i="5" a="1"/>
  <c r="AD603" i="5" a="1"/>
  <c r="AD604" i="5" a="1"/>
  <c r="AD605" i="5" a="1"/>
  <c r="AD606" i="5" a="1"/>
  <c r="AD607" i="5" a="1"/>
  <c r="AD608" i="5" a="1"/>
  <c r="AD609" i="5" a="1"/>
  <c r="AD610" i="5" a="1"/>
  <c r="AD611" i="5" a="1"/>
  <c r="AD612" i="5" a="1"/>
  <c r="AD613" i="5" a="1"/>
  <c r="AD614" i="5" a="1"/>
  <c r="AD615" i="5" a="1"/>
  <c r="AD616" i="5" a="1"/>
  <c r="AD617" i="5" a="1"/>
  <c r="AD618" i="5" a="1"/>
  <c r="AD619" i="5" a="1"/>
  <c r="AD620" i="5" a="1"/>
  <c r="AD621" i="5" a="1"/>
  <c r="AD622" i="5" a="1"/>
  <c r="AD623" i="5" a="1"/>
  <c r="AD624" i="5" a="1"/>
  <c r="AD625" i="5" a="1"/>
  <c r="AD626" i="5" a="1"/>
  <c r="AD627" i="5" a="1"/>
  <c r="AD628" i="5" a="1"/>
  <c r="AD629" i="5" a="1"/>
  <c r="AD630" i="5" a="1"/>
  <c r="AD631" i="5" a="1"/>
  <c r="AD632" i="5" a="1"/>
  <c r="AD633" i="5" a="1"/>
  <c r="AD634" i="5" a="1"/>
  <c r="AD635" i="5" a="1"/>
  <c r="AD636" i="5" a="1"/>
  <c r="AD637" i="5" a="1"/>
  <c r="AD638" i="5" a="1"/>
  <c r="AD639" i="5" a="1"/>
  <c r="AD640" i="5" a="1"/>
  <c r="AD641" i="5" a="1"/>
  <c r="AD642" i="5" a="1"/>
  <c r="AD643" i="5" a="1"/>
  <c r="AD644" i="5" a="1"/>
  <c r="AD645" i="5" a="1"/>
  <c r="AD646" i="5" a="1"/>
  <c r="AD647" i="5" a="1"/>
  <c r="AD648" i="5" a="1"/>
  <c r="AD649" i="5" a="1"/>
  <c r="AD650" i="5" a="1"/>
  <c r="AD651" i="5" a="1"/>
  <c r="AD652" i="5" a="1"/>
  <c r="AD653" i="5" a="1"/>
  <c r="AD654" i="5" a="1"/>
  <c r="AD655" i="5" a="1"/>
  <c r="AD656" i="5" a="1"/>
  <c r="AD657" i="5" a="1"/>
  <c r="AD658" i="5" a="1"/>
  <c r="AD659" i="5" a="1"/>
  <c r="AD660" i="5" a="1"/>
  <c r="AD661" i="5" a="1"/>
  <c r="AD662" i="5" a="1"/>
  <c r="AD663" i="5" a="1"/>
  <c r="AD664" i="5" a="1"/>
  <c r="AD665" i="5" a="1"/>
  <c r="AD666" i="5" a="1"/>
  <c r="AD667" i="5" a="1"/>
  <c r="AD668" i="5" a="1"/>
  <c r="AD669" i="5" a="1"/>
  <c r="AD670" i="5" a="1"/>
  <c r="AD671" i="5" a="1"/>
  <c r="AD672" i="5" a="1"/>
  <c r="AD673" i="5" a="1"/>
  <c r="AD674" i="5" a="1"/>
  <c r="AD675" i="5" a="1"/>
  <c r="AD676" i="5" a="1"/>
  <c r="AD677" i="5" a="1"/>
  <c r="AD678" i="5" a="1"/>
  <c r="AD679" i="5" a="1"/>
  <c r="AD680" i="5" a="1"/>
  <c r="AD681" i="5" a="1"/>
  <c r="AD682" i="5" a="1"/>
  <c r="AD683" i="5" a="1"/>
  <c r="AD684" i="5" a="1"/>
  <c r="AD685" i="5" a="1"/>
  <c r="AD686" i="5" a="1"/>
  <c r="AD687" i="5" a="1"/>
  <c r="AD688" i="5" a="1"/>
  <c r="AD689" i="5" a="1"/>
  <c r="AD690" i="5" a="1"/>
  <c r="AD691" i="5" a="1"/>
  <c r="AD692" i="5" a="1"/>
  <c r="AD693" i="5" a="1"/>
  <c r="AD694" i="5" a="1"/>
  <c r="AD695" i="5" a="1"/>
  <c r="AD696" i="5" a="1"/>
  <c r="AD697" i="5" a="1"/>
  <c r="AD698" i="5" a="1"/>
  <c r="AD699" i="5" a="1"/>
  <c r="AD700" i="5" a="1"/>
  <c r="AD701" i="5" a="1"/>
  <c r="AD702" i="5" a="1"/>
  <c r="AD703" i="5" a="1"/>
  <c r="AD704" i="5" a="1"/>
  <c r="AD705" i="5" a="1"/>
  <c r="AD706" i="5" a="1"/>
  <c r="AD707" i="5" a="1"/>
  <c r="AD708" i="5" a="1"/>
  <c r="AD709" i="5" a="1"/>
  <c r="AD710" i="5" a="1"/>
  <c r="AD711" i="5" a="1"/>
  <c r="AD712" i="5" a="1"/>
  <c r="AD713" i="5" a="1"/>
  <c r="AD714" i="5" a="1"/>
  <c r="AD715" i="5" a="1"/>
  <c r="AD716" i="5" a="1"/>
  <c r="AD717" i="5" a="1"/>
  <c r="AD718" i="5" a="1"/>
  <c r="AD719" i="5" a="1"/>
  <c r="AD720" i="5" a="1"/>
  <c r="AD721" i="5" a="1"/>
  <c r="AD722" i="5" a="1"/>
  <c r="AD723" i="5" a="1"/>
  <c r="AD724" i="5" a="1"/>
  <c r="AD725" i="5" a="1"/>
  <c r="AD726" i="5" a="1"/>
  <c r="AD727" i="5" a="1"/>
  <c r="AD728" i="5" a="1"/>
  <c r="AD729" i="5" a="1"/>
  <c r="AD730" i="5" a="1"/>
  <c r="AD731" i="5" a="1"/>
  <c r="AD732" i="5" a="1"/>
  <c r="AD733" i="5" a="1"/>
  <c r="AD734" i="5" a="1"/>
  <c r="AD735" i="5" a="1"/>
  <c r="AD736" i="5" a="1"/>
  <c r="AD737" i="5" a="1"/>
  <c r="AD738" i="5" a="1"/>
  <c r="AD739" i="5" a="1"/>
  <c r="AD740" i="5" a="1"/>
  <c r="AD741" i="5" a="1"/>
  <c r="AD742" i="5" a="1"/>
  <c r="AD743" i="5" a="1"/>
  <c r="AD744" i="5" a="1"/>
  <c r="AD745" i="5" a="1"/>
  <c r="AD746" i="5" a="1"/>
  <c r="AD747" i="5" a="1"/>
  <c r="AD748" i="5" a="1"/>
  <c r="AD749" i="5" a="1"/>
  <c r="AD750" i="5" a="1"/>
  <c r="AD751" i="5" a="1"/>
  <c r="AD752" i="5" a="1"/>
  <c r="AD753" i="5" a="1"/>
  <c r="AD754" i="5" a="1"/>
  <c r="AD755" i="5" a="1"/>
  <c r="AD756" i="5" a="1"/>
  <c r="AD757" i="5" a="1"/>
  <c r="AD758" i="5" a="1"/>
  <c r="AD759" i="5" a="1"/>
  <c r="AD760" i="5" a="1"/>
  <c r="AD761" i="5" a="1"/>
  <c r="AD762" i="5" a="1"/>
  <c r="AD763" i="5" a="1"/>
  <c r="AD764" i="5" a="1"/>
  <c r="AD765" i="5" a="1"/>
  <c r="AD766" i="5" a="1"/>
  <c r="AD767" i="5" a="1"/>
  <c r="AD768" i="5" a="1"/>
  <c r="AD769" i="5" a="1"/>
  <c r="AD770" i="5" a="1"/>
  <c r="AD771" i="5" a="1"/>
  <c r="AD772" i="5" a="1"/>
  <c r="AD773" i="5" a="1"/>
  <c r="AD774" i="5" a="1"/>
  <c r="AD775" i="5" a="1"/>
  <c r="AD776" i="5" a="1"/>
  <c r="AD777" i="5" a="1"/>
  <c r="AD778" i="5" a="1"/>
  <c r="AD779" i="5" a="1"/>
  <c r="AD780" i="5" a="1"/>
  <c r="AD781" i="5" a="1"/>
  <c r="AD782" i="5" a="1"/>
  <c r="AD783" i="5" a="1"/>
  <c r="AD784" i="5" a="1"/>
  <c r="AD785" i="5" a="1"/>
  <c r="AD786" i="5" a="1"/>
  <c r="AD787" i="5" a="1"/>
  <c r="AD788" i="5" a="1"/>
  <c r="AD789" i="5" a="1"/>
  <c r="AD790" i="5" a="1"/>
  <c r="AD791" i="5" a="1"/>
  <c r="AD792" i="5" a="1"/>
  <c r="AD793" i="5" a="1"/>
  <c r="AD794" i="5" a="1"/>
  <c r="AD795" i="5" a="1"/>
  <c r="AD796" i="5" a="1"/>
  <c r="AD797" i="5" a="1"/>
  <c r="AD798" i="5" a="1"/>
  <c r="AD799" i="5" a="1"/>
  <c r="AD800" i="5" a="1"/>
  <c r="AD801" i="5" a="1"/>
  <c r="AD802" i="5" a="1"/>
  <c r="AD803" i="5" a="1"/>
  <c r="AD804" i="5" a="1"/>
  <c r="AD805" i="5" a="1"/>
  <c r="AD806" i="5" a="1"/>
  <c r="AD807" i="5" a="1"/>
  <c r="AD808" i="5" a="1"/>
  <c r="AD809" i="5" a="1"/>
  <c r="AD810" i="5" a="1"/>
  <c r="AD811" i="5" a="1"/>
  <c r="AD812" i="5" a="1"/>
  <c r="AD813" i="5" a="1"/>
  <c r="AD814" i="5" a="1"/>
  <c r="AD815" i="5" a="1"/>
  <c r="AD816" i="5" a="1"/>
  <c r="AD817" i="5" a="1"/>
  <c r="AD818" i="5" a="1"/>
  <c r="AD819" i="5" a="1"/>
  <c r="AD820" i="5" a="1"/>
  <c r="AD821" i="5" a="1"/>
  <c r="AD822" i="5" a="1"/>
  <c r="AD823" i="5" a="1"/>
  <c r="AD824" i="5" a="1"/>
  <c r="AD825" i="5" a="1"/>
  <c r="AD826" i="5" a="1"/>
  <c r="AD827" i="5" a="1"/>
  <c r="AD828" i="5" a="1"/>
  <c r="AD829" i="5" a="1"/>
  <c r="AD830" i="5" a="1"/>
  <c r="AD831" i="5" a="1"/>
  <c r="AD832" i="5" a="1"/>
  <c r="AD833" i="5" a="1"/>
  <c r="AD834" i="5" a="1"/>
  <c r="AD835" i="5" a="1"/>
  <c r="AD836" i="5" a="1"/>
  <c r="AD837" i="5" a="1"/>
  <c r="AD838" i="5" a="1"/>
  <c r="AD839" i="5" a="1"/>
  <c r="AD840" i="5" a="1"/>
  <c r="AD1357" i="5" a="1"/>
  <c r="AD1358" i="5" a="1"/>
  <c r="AD1359" i="5" a="1"/>
  <c r="AD1360" i="5" a="1"/>
  <c r="AD1361" i="5" a="1"/>
  <c r="AD1362" i="5" a="1"/>
  <c r="AD1363" i="5" a="1"/>
  <c r="AD1364" i="5" a="1"/>
  <c r="AD1365" i="5" a="1"/>
  <c r="AD1366" i="5" a="1"/>
  <c r="AD1367" i="5" a="1"/>
  <c r="AD1368" i="5" a="1"/>
  <c r="AD1369" i="5" a="1"/>
  <c r="AD1370" i="5" a="1"/>
  <c r="AD1371" i="5" a="1"/>
  <c r="AD1372" i="5" a="1"/>
  <c r="AD1373" i="5" a="1"/>
  <c r="AD1374" i="5" a="1"/>
  <c r="AD1375" i="5" a="1"/>
  <c r="AD1376" i="5" a="1"/>
  <c r="AD1377" i="5" a="1"/>
  <c r="AD1378" i="5" a="1"/>
  <c r="AD1379" i="5" a="1"/>
  <c r="AD1380" i="5" a="1"/>
  <c r="AD1381" i="5" a="1"/>
  <c r="AD1382" i="5" a="1"/>
  <c r="AD1383" i="5" a="1"/>
  <c r="AD1384" i="5" a="1"/>
  <c r="AD1385" i="5" a="1"/>
  <c r="AD1386" i="5" a="1"/>
  <c r="AD1387" i="5" a="1"/>
  <c r="AD1388" i="5" a="1"/>
  <c r="AD1389" i="5" a="1"/>
  <c r="AD1390" i="5" a="1"/>
  <c r="AD1391" i="5" a="1"/>
  <c r="AD1392" i="5" a="1"/>
  <c r="AD1393" i="5" a="1"/>
  <c r="AD1394" i="5" a="1"/>
  <c r="AD1395" i="5" a="1"/>
  <c r="AD1396" i="5" a="1"/>
  <c r="AD1397" i="5" a="1"/>
  <c r="AD1398" i="5" a="1"/>
  <c r="AD1399" i="5" a="1"/>
  <c r="AD1400" i="5" a="1"/>
  <c r="AD1401" i="5" a="1"/>
  <c r="AD1402" i="5" a="1"/>
  <c r="AD1403" i="5" a="1"/>
  <c r="AD1404" i="5" a="1"/>
  <c r="AD1405" i="5" a="1"/>
  <c r="AD1406" i="5" a="1"/>
  <c r="AD1407" i="5" a="1"/>
  <c r="AD1408" i="5" a="1"/>
  <c r="AD1409" i="5" a="1"/>
  <c r="AD1410" i="5" a="1"/>
  <c r="AD1411" i="5" a="1"/>
  <c r="AD1412" i="5" a="1"/>
  <c r="AD1413" i="5" a="1"/>
  <c r="AD1414" i="5" a="1"/>
  <c r="AD1415" i="5" a="1"/>
  <c r="AD1416" i="5" a="1"/>
  <c r="AD1417" i="5" a="1"/>
  <c r="AD1418" i="5" a="1"/>
  <c r="AD1419" i="5" a="1"/>
  <c r="AD1420" i="5" a="1"/>
  <c r="AD1421" i="5" a="1"/>
  <c r="AD1422" i="5" a="1"/>
  <c r="AD1423" i="5" a="1"/>
  <c r="AD1424" i="5" a="1"/>
  <c r="AD1425" i="5" a="1"/>
  <c r="AD1426" i="5" a="1"/>
  <c r="AD1427" i="5" a="1"/>
  <c r="AD1428" i="5" a="1"/>
  <c r="AD1429" i="5" a="1"/>
  <c r="AD1430" i="5" a="1"/>
  <c r="AD1431" i="5" a="1"/>
  <c r="AD1432" i="5" a="1"/>
  <c r="AD1433" i="5" a="1"/>
  <c r="AD1434" i="5" a="1"/>
  <c r="AD1435" i="5" a="1"/>
  <c r="AD1436" i="5" a="1"/>
  <c r="AD1437" i="5" a="1"/>
  <c r="AD1438" i="5" a="1"/>
  <c r="AD1439" i="5" a="1"/>
  <c r="AD1440" i="5" a="1"/>
  <c r="AD1441" i="5" a="1"/>
  <c r="AD1442" i="5" a="1"/>
  <c r="AD1443" i="5" a="1"/>
  <c r="AD1444" i="5" a="1"/>
  <c r="AD1445" i="5" a="1"/>
  <c r="AD1446" i="5" a="1"/>
  <c r="AD1447" i="5" a="1"/>
  <c r="AD1448" i="5" a="1"/>
  <c r="AD1449" i="5" a="1"/>
  <c r="AD1450" i="5" a="1"/>
  <c r="AD1451" i="5" a="1"/>
  <c r="AD1452" i="5" a="1"/>
  <c r="AD1453" i="5" a="1"/>
  <c r="AD1454" i="5" a="1"/>
  <c r="AD1455" i="5" a="1"/>
  <c r="AD1456" i="5" a="1"/>
  <c r="AD1457" i="5" a="1"/>
  <c r="AD1458" i="5" a="1"/>
  <c r="AD1459" i="5" a="1"/>
  <c r="AD1460" i="5" a="1"/>
  <c r="AD1461" i="5" a="1"/>
  <c r="AD1462" i="5" a="1"/>
  <c r="AD1463" i="5" a="1"/>
  <c r="AD1464" i="5" a="1"/>
  <c r="AD1465" i="5" a="1"/>
  <c r="AD1466" i="5" a="1"/>
  <c r="AD1467" i="5" a="1"/>
  <c r="AD1468" i="5" a="1"/>
  <c r="AD1469" i="5" a="1"/>
  <c r="AD1470" i="5" a="1"/>
  <c r="AD1471" i="5" a="1"/>
  <c r="AD1472" i="5" a="1"/>
  <c r="AD1473" i="5" a="1"/>
  <c r="AD1474" i="5" a="1"/>
  <c r="AD1475" i="5" a="1"/>
  <c r="AD1476" i="5" a="1"/>
  <c r="AD1477" i="5" a="1"/>
  <c r="AD1478" i="5" a="1"/>
  <c r="AD1479" i="5" a="1"/>
  <c r="AD1480" i="5" a="1"/>
  <c r="AD1481" i="5" a="1"/>
  <c r="AD1482" i="5" a="1"/>
  <c r="AD1483" i="5" a="1"/>
  <c r="AD1484" i="5" a="1"/>
  <c r="AD1485" i="5" a="1"/>
  <c r="AD1486" i="5" a="1"/>
  <c r="AD1487" i="5" a="1"/>
  <c r="AD1488" i="5" a="1"/>
  <c r="AD1489" i="5" a="1"/>
  <c r="AD1490" i="5" a="1"/>
  <c r="AD1491" i="5" a="1"/>
  <c r="AD1492" i="5" a="1"/>
  <c r="AD1493" i="5" a="1"/>
  <c r="AD1494" i="5" a="1"/>
  <c r="AD1495" i="5" a="1"/>
  <c r="AD1496" i="5" a="1"/>
  <c r="AD1497" i="5" a="1"/>
  <c r="AD1498" i="5" a="1"/>
  <c r="AD1499" i="5" a="1"/>
  <c r="AD1500" i="5" a="1"/>
  <c r="AD1501" i="5" a="1"/>
  <c r="AD1502" i="5" a="1"/>
  <c r="AD1503" i="5" a="1"/>
  <c r="AD1504" i="5" a="1"/>
  <c r="AD1505" i="5" a="1"/>
  <c r="AD1506" i="5" a="1"/>
  <c r="AD1507" i="5" a="1"/>
  <c r="AD1508" i="5" a="1"/>
  <c r="AD1509" i="5" a="1"/>
  <c r="AD1510" i="5" a="1"/>
  <c r="AD1511" i="5" a="1"/>
  <c r="AD1512" i="5" a="1"/>
  <c r="AD1513" i="5" a="1"/>
  <c r="AD1514" i="5" a="1"/>
  <c r="AD1515" i="5" a="1"/>
  <c r="AD1516" i="5" a="1"/>
  <c r="AD1517" i="5" a="1"/>
  <c r="AD1518" i="5" a="1"/>
  <c r="AD1519" i="5" a="1"/>
  <c r="AD1520" i="5" a="1"/>
  <c r="AD1521" i="5" a="1"/>
  <c r="AD1522" i="5" a="1"/>
  <c r="AD1523" i="5" a="1"/>
  <c r="AD1524" i="5" a="1"/>
  <c r="AD1525" i="5" a="1"/>
  <c r="AD1526" i="5" a="1"/>
  <c r="AD1527" i="5" a="1"/>
  <c r="AD1528" i="5" a="1"/>
  <c r="AD1529" i="5" a="1"/>
  <c r="AD1530" i="5" a="1"/>
  <c r="AD1531" i="5" a="1"/>
  <c r="AD1532" i="5" a="1"/>
  <c r="AD1533" i="5" a="1"/>
  <c r="AD1534" i="5" a="1"/>
  <c r="AD1535" i="5" a="1"/>
  <c r="AD1536" i="5" a="1"/>
  <c r="AD1537" i="5" a="1"/>
  <c r="AD1538" i="5" a="1"/>
  <c r="AD1539" i="5" a="1"/>
  <c r="AD1540" i="5" a="1"/>
  <c r="AD1541" i="5" a="1"/>
  <c r="AD1542" i="5" a="1"/>
  <c r="AD1543" i="5" a="1"/>
  <c r="AD1544" i="5" a="1"/>
  <c r="AD1545" i="5" a="1"/>
  <c r="AD1546" i="5" a="1"/>
  <c r="AD1547" i="5" a="1"/>
  <c r="AD1548" i="5" a="1"/>
  <c r="AD1549" i="5" a="1"/>
  <c r="AD1550" i="5" a="1"/>
  <c r="AD1551" i="5" a="1"/>
  <c r="AD1552" i="5" a="1"/>
  <c r="AD1553" i="5" a="1"/>
  <c r="AD1554" i="5" a="1"/>
  <c r="AD1555" i="5" a="1"/>
  <c r="AD1556" i="5" a="1"/>
  <c r="AD1557" i="5" a="1"/>
  <c r="AD1558" i="5" a="1"/>
  <c r="AD1559" i="5" a="1"/>
  <c r="AD1560" i="5" a="1"/>
  <c r="AD1561" i="5" a="1"/>
  <c r="AD1562" i="5" a="1"/>
  <c r="AD1563" i="5" a="1"/>
  <c r="AD1564" i="5" a="1"/>
  <c r="AD1565" i="5" a="1"/>
  <c r="AD1566" i="5" a="1"/>
  <c r="AD1567" i="5" a="1"/>
  <c r="AD1568" i="5" a="1"/>
  <c r="AD1569" i="5" a="1"/>
  <c r="AD1570" i="5" a="1"/>
  <c r="AD1571" i="5" a="1"/>
  <c r="AD1572" i="5" a="1"/>
  <c r="AD1573" i="5" a="1"/>
  <c r="AD1574" i="5" a="1"/>
  <c r="AD1575" i="5" a="1"/>
  <c r="AD1576" i="5" a="1"/>
  <c r="AD1577" i="5" a="1"/>
  <c r="AD1578" i="5" a="1"/>
  <c r="AD1579" i="5" a="1"/>
  <c r="AD1580" i="5" a="1"/>
  <c r="AD1581" i="5" a="1"/>
  <c r="AD1582" i="5" a="1"/>
  <c r="AD1583" i="5" a="1"/>
  <c r="AD1584" i="5" a="1"/>
  <c r="AD1585" i="5" a="1"/>
  <c r="AD1586" i="5" a="1"/>
  <c r="AD1587" i="5" a="1"/>
  <c r="AD1588" i="5" a="1"/>
  <c r="AD1589" i="5" a="1"/>
  <c r="AD1590" i="5" a="1"/>
  <c r="AD1591" i="5" a="1"/>
  <c r="AD1592" i="5" a="1"/>
  <c r="AD1593" i="5" a="1"/>
  <c r="AD1594" i="5" a="1"/>
  <c r="AD1595" i="5" a="1"/>
  <c r="AD1596" i="5" a="1"/>
  <c r="AD1597" i="5" a="1"/>
  <c r="AD1598" i="5" a="1"/>
  <c r="AD1599" i="5" a="1"/>
  <c r="AD1600" i="5" a="1"/>
  <c r="AD1601" i="5" a="1"/>
  <c r="AD1602" i="5" a="1"/>
  <c r="AD1603" i="5" a="1"/>
  <c r="AD1604" i="5" a="1"/>
  <c r="AD1605" i="5" a="1"/>
  <c r="AD1606" i="5" a="1"/>
  <c r="AD1607" i="5" a="1"/>
  <c r="AD1608" i="5" a="1"/>
  <c r="AD1609" i="5" a="1"/>
  <c r="AD1610" i="5" a="1"/>
  <c r="AD1611" i="5" a="1"/>
  <c r="AD1612" i="5" a="1"/>
  <c r="AD1613" i="5" a="1"/>
  <c r="AD1614" i="5" a="1"/>
  <c r="AD1615" i="5" a="1"/>
  <c r="AD1616" i="5" a="1"/>
  <c r="AD1617" i="5" a="1"/>
  <c r="AD1618" i="5" a="1"/>
  <c r="AD1619" i="5" a="1"/>
  <c r="AD1620" i="5" a="1"/>
  <c r="AD1621" i="5" a="1"/>
  <c r="AD1622" i="5" a="1"/>
  <c r="AD1623" i="5" a="1"/>
  <c r="AD1624" i="5" a="1"/>
  <c r="AD1625" i="5" a="1"/>
  <c r="AD1626" i="5" a="1"/>
  <c r="AD1627" i="5" a="1"/>
  <c r="AD1628" i="5" a="1"/>
  <c r="AD1629" i="5" a="1"/>
  <c r="AD1630" i="5" a="1"/>
  <c r="AD1631" i="5" a="1"/>
  <c r="AD1632" i="5" a="1"/>
  <c r="AD1633" i="5" a="1"/>
  <c r="AD1634" i="5" a="1"/>
  <c r="AD1635" i="5" a="1"/>
  <c r="AD1636" i="5" a="1"/>
  <c r="AD1637" i="5" a="1"/>
  <c r="AD1638" i="5" a="1"/>
  <c r="AD1639" i="5" a="1"/>
  <c r="AD1640" i="5" a="1"/>
  <c r="AD1641" i="5" a="1"/>
  <c r="AD1642" i="5" a="1"/>
  <c r="AD1643" i="5" a="1"/>
  <c r="AD1644" i="5" a="1"/>
  <c r="AD1645" i="5" a="1"/>
  <c r="AD1646" i="5" a="1"/>
  <c r="AD1647" i="5" a="1"/>
  <c r="AD1648" i="5" a="1"/>
  <c r="AD1649" i="5" a="1"/>
  <c r="AD1650" i="5" a="1"/>
  <c r="AD1651" i="5" a="1"/>
  <c r="AD1652" i="5" a="1"/>
  <c r="AD1653" i="5" a="1"/>
  <c r="AD1654" i="5" a="1"/>
  <c r="AD1655" i="5" a="1"/>
  <c r="AD1656" i="5" a="1"/>
  <c r="AD1657" i="5" a="1"/>
  <c r="AD1658" i="5" a="1"/>
  <c r="AD1659" i="5" a="1"/>
  <c r="AD1660" i="5" a="1"/>
  <c r="AD1661" i="5" a="1"/>
  <c r="AD1662" i="5" a="1"/>
  <c r="AD1663" i="5" a="1"/>
  <c r="AD1664" i="5" a="1"/>
  <c r="AD1665" i="5" a="1"/>
  <c r="AD1666" i="5" a="1"/>
  <c r="AD1667" i="5" a="1"/>
  <c r="AD1668" i="5" a="1"/>
  <c r="AD1669" i="5" a="1"/>
  <c r="AD1670" i="5" a="1"/>
  <c r="AD1671" i="5" a="1"/>
  <c r="AD1672" i="5" a="1"/>
  <c r="AD1673" i="5" a="1"/>
  <c r="AD1674" i="5" a="1"/>
  <c r="AD1675" i="5" a="1"/>
  <c r="AD1676" i="5" a="1"/>
  <c r="AD1677" i="5" a="1"/>
  <c r="AD1678" i="5" a="1"/>
  <c r="AD1679" i="5" a="1"/>
  <c r="AC2" i="5"/>
  <c r="AC3" i="5"/>
  <c r="AD3" i="5" s="1" a="1"/>
  <c r="AC4" i="5"/>
  <c r="AD4" i="5" s="1" a="1"/>
  <c r="AC5" i="5"/>
  <c r="AD5" i="5" s="1" a="1"/>
  <c r="AC6" i="5"/>
  <c r="AD6" i="5" s="1" a="1"/>
  <c r="AC7" i="5"/>
  <c r="AD7" i="5" s="1" a="1"/>
  <c r="AC8" i="5"/>
  <c r="AD8" i="5" s="1" a="1"/>
  <c r="AC9" i="5"/>
  <c r="AD9" i="5" s="1" a="1"/>
  <c r="AC10" i="5"/>
  <c r="AD10" i="5" s="1" a="1"/>
  <c r="AC11" i="5"/>
  <c r="AD11" i="5" s="1" a="1"/>
  <c r="AC12" i="5"/>
  <c r="AD12" i="5" s="1" a="1"/>
  <c r="AC13" i="5"/>
  <c r="AD13" i="5" s="1" a="1"/>
  <c r="AC14" i="5"/>
  <c r="AD14" i="5" s="1" a="1"/>
  <c r="AC15" i="5"/>
  <c r="AD15" i="5" s="1" a="1"/>
  <c r="AC16" i="5"/>
  <c r="AD16" i="5" s="1" a="1"/>
  <c r="AC17" i="5"/>
  <c r="AD17" i="5" s="1" a="1"/>
  <c r="AC18" i="5"/>
  <c r="AD18" i="5" s="1" a="1"/>
  <c r="AC19" i="5"/>
  <c r="AD19" i="5" s="1" a="1"/>
  <c r="AC20" i="5"/>
  <c r="AD20" i="5" s="1" a="1"/>
  <c r="AC21" i="5"/>
  <c r="AD21" i="5" s="1" a="1"/>
  <c r="AC22" i="5"/>
  <c r="AD22" i="5" s="1" a="1"/>
  <c r="AC23" i="5"/>
  <c r="AD23" i="5" s="1" a="1"/>
  <c r="AC24" i="5"/>
  <c r="AD24" i="5" s="1" a="1"/>
  <c r="AC25" i="5"/>
  <c r="AD25" i="5" s="1" a="1"/>
  <c r="AC26" i="5"/>
  <c r="AD26" i="5" s="1" a="1"/>
  <c r="AC27" i="5"/>
  <c r="AD27" i="5" s="1" a="1"/>
  <c r="AC28" i="5"/>
  <c r="AD28" i="5" s="1" a="1"/>
  <c r="AC29" i="5"/>
  <c r="AD29" i="5" s="1" a="1"/>
  <c r="AC30" i="5"/>
  <c r="AD30" i="5" s="1" a="1"/>
  <c r="AC31" i="5"/>
  <c r="AD31" i="5" s="1" a="1"/>
  <c r="AC32" i="5"/>
  <c r="AD32" i="5" s="1" a="1"/>
  <c r="AC33" i="5"/>
  <c r="AD33" i="5" s="1" a="1"/>
  <c r="AC34" i="5"/>
  <c r="AD34" i="5" s="1" a="1"/>
  <c r="AC35" i="5"/>
  <c r="AD35" i="5" s="1" a="1"/>
  <c r="AC36" i="5"/>
  <c r="AD36" i="5" s="1" a="1"/>
  <c r="AC37" i="5"/>
  <c r="AD37" i="5" s="1" a="1"/>
  <c r="AC38" i="5"/>
  <c r="AD38" i="5" s="1" a="1"/>
  <c r="AC39" i="5"/>
  <c r="AD39" i="5" s="1" a="1"/>
  <c r="AC40" i="5"/>
  <c r="AD40" i="5" s="1" a="1"/>
  <c r="AC41" i="5"/>
  <c r="AD41" i="5" s="1" a="1"/>
  <c r="AC42" i="5"/>
  <c r="AD42" i="5" s="1" a="1"/>
  <c r="AC43" i="5"/>
  <c r="AD43" i="5" s="1" a="1"/>
  <c r="AC44" i="5"/>
  <c r="AD44" i="5" s="1" a="1"/>
  <c r="AC45" i="5"/>
  <c r="AD45" i="5" s="1" a="1"/>
  <c r="AC46" i="5"/>
  <c r="AD46" i="5" s="1" a="1"/>
  <c r="AC47" i="5"/>
  <c r="AD47" i="5" s="1" a="1"/>
  <c r="AC48" i="5"/>
  <c r="AD48" i="5" s="1" a="1"/>
  <c r="AC49" i="5"/>
  <c r="AD49" i="5" s="1" a="1"/>
  <c r="AC50" i="5"/>
  <c r="AD50" i="5" s="1" a="1"/>
  <c r="AC51" i="5"/>
  <c r="AD51" i="5" s="1" a="1"/>
  <c r="AC52" i="5"/>
  <c r="AD52" i="5" s="1" a="1"/>
  <c r="AC53" i="5"/>
  <c r="AD53" i="5" s="1" a="1"/>
  <c r="AC54" i="5"/>
  <c r="AD54" i="5" s="1" a="1"/>
  <c r="AC55" i="5"/>
  <c r="AD55" i="5" s="1" a="1"/>
  <c r="AC56" i="5"/>
  <c r="AD56" i="5" s="1" a="1"/>
  <c r="AC57" i="5"/>
  <c r="AD57" i="5" s="1" a="1"/>
  <c r="AC58" i="5"/>
  <c r="AD58" i="5" s="1" a="1"/>
  <c r="AC59" i="5"/>
  <c r="AD59" i="5" s="1" a="1"/>
  <c r="AC60" i="5"/>
  <c r="AD60" i="5" s="1" a="1"/>
  <c r="AC61" i="5"/>
  <c r="AD61" i="5" s="1" a="1"/>
  <c r="AC62" i="5"/>
  <c r="AD62" i="5" s="1" a="1"/>
  <c r="AC63" i="5"/>
  <c r="AD63" i="5" s="1" a="1"/>
  <c r="AC64" i="5"/>
  <c r="AD64" i="5" s="1" a="1"/>
  <c r="AC65" i="5"/>
  <c r="AD65" i="5" s="1" a="1"/>
  <c r="AC66" i="5"/>
  <c r="AD66" i="5" s="1" a="1"/>
  <c r="AC67" i="5"/>
  <c r="AD67" i="5" s="1" a="1"/>
  <c r="AC68" i="5"/>
  <c r="AD68" i="5" s="1" a="1"/>
  <c r="AC69" i="5"/>
  <c r="AD69" i="5" s="1" a="1"/>
  <c r="AC70" i="5"/>
  <c r="AD70" i="5" s="1" a="1"/>
  <c r="AC71" i="5"/>
  <c r="AD71" i="5" s="1" a="1"/>
  <c r="AC72" i="5"/>
  <c r="AD72" i="5" s="1" a="1"/>
  <c r="AC73" i="5"/>
  <c r="AD73" i="5" s="1" a="1"/>
  <c r="AC74" i="5"/>
  <c r="AD74" i="5" s="1" a="1"/>
  <c r="AC75" i="5"/>
  <c r="AD75" i="5" s="1" a="1"/>
  <c r="AC76" i="5"/>
  <c r="AD76" i="5" s="1" a="1"/>
  <c r="AC77" i="5"/>
  <c r="AD77" i="5" s="1" a="1"/>
  <c r="AC78" i="5"/>
  <c r="AD78" i="5" s="1" a="1"/>
  <c r="AC79" i="5"/>
  <c r="AD79" i="5" s="1" a="1"/>
  <c r="AC80" i="5"/>
  <c r="AD80" i="5" s="1" a="1"/>
  <c r="AC81" i="5"/>
  <c r="AD81" i="5" s="1" a="1"/>
  <c r="AC82" i="5"/>
  <c r="AD82" i="5" s="1" a="1"/>
  <c r="AC83" i="5"/>
  <c r="AD83" i="5" s="1" a="1"/>
  <c r="AC84" i="5"/>
  <c r="AD84" i="5" s="1" a="1"/>
  <c r="AC85" i="5"/>
  <c r="AD85" i="5" s="1" a="1"/>
  <c r="AC86" i="5"/>
  <c r="AD86" i="5" s="1" a="1"/>
  <c r="AC87" i="5"/>
  <c r="AD87" i="5" s="1" a="1"/>
  <c r="AC88" i="5"/>
  <c r="AD88" i="5" s="1" a="1"/>
  <c r="AC89" i="5"/>
  <c r="AD89" i="5" s="1" a="1"/>
  <c r="AC90" i="5"/>
  <c r="AD90" i="5" s="1" a="1"/>
  <c r="AC91" i="5"/>
  <c r="AD91" i="5" s="1" a="1"/>
  <c r="AC92" i="5"/>
  <c r="AD92" i="5" s="1" a="1"/>
  <c r="AC93" i="5"/>
  <c r="AD93" i="5" s="1" a="1"/>
  <c r="AC94" i="5"/>
  <c r="AD94" i="5" s="1" a="1"/>
  <c r="AC95" i="5"/>
  <c r="AD95" i="5" s="1" a="1"/>
  <c r="AC96" i="5"/>
  <c r="AD96" i="5" s="1" a="1"/>
  <c r="AC97" i="5"/>
  <c r="AD97" i="5" s="1" a="1"/>
  <c r="AC98" i="5"/>
  <c r="AD98" i="5" s="1" a="1"/>
  <c r="AC99" i="5"/>
  <c r="AD99" i="5" s="1" a="1"/>
  <c r="AC100" i="5"/>
  <c r="AD100" i="5" s="1" a="1"/>
  <c r="AC101" i="5"/>
  <c r="AD101" i="5" s="1" a="1"/>
  <c r="AC102" i="5"/>
  <c r="AD102" i="5" s="1" a="1"/>
  <c r="AC103" i="5"/>
  <c r="AD103" i="5" s="1" a="1"/>
  <c r="AC104" i="5"/>
  <c r="AD104" i="5" s="1" a="1"/>
  <c r="AC105" i="5"/>
  <c r="AD105" i="5" s="1" a="1"/>
  <c r="AC106" i="5"/>
  <c r="AD106" i="5" s="1" a="1"/>
  <c r="AC107" i="5"/>
  <c r="AD107" i="5" s="1" a="1"/>
  <c r="AC108" i="5"/>
  <c r="AD108" i="5" s="1" a="1"/>
  <c r="AC109" i="5"/>
  <c r="AD109" i="5" s="1" a="1"/>
  <c r="AC110" i="5"/>
  <c r="AD110" i="5" s="1" a="1"/>
  <c r="AC111" i="5"/>
  <c r="AD111" i="5" s="1" a="1"/>
  <c r="AC112" i="5"/>
  <c r="AD112" i="5" s="1" a="1"/>
  <c r="AC113" i="5"/>
  <c r="AD113" i="5" s="1" a="1"/>
  <c r="AC114" i="5"/>
  <c r="AD114" i="5" s="1" a="1"/>
  <c r="AC115" i="5"/>
  <c r="AD115" i="5" s="1" a="1"/>
  <c r="AC116" i="5"/>
  <c r="AD116" i="5" s="1" a="1"/>
  <c r="AC117" i="5"/>
  <c r="AD117" i="5" s="1" a="1"/>
  <c r="AC118" i="5"/>
  <c r="AD118" i="5" s="1" a="1"/>
  <c r="AC119" i="5"/>
  <c r="AD119" i="5" s="1" a="1"/>
  <c r="AC120" i="5"/>
  <c r="AD120" i="5" s="1" a="1"/>
  <c r="AC121" i="5"/>
  <c r="AD121" i="5" s="1" a="1"/>
  <c r="AC122" i="5"/>
  <c r="AD122" i="5" s="1" a="1"/>
  <c r="AC123" i="5"/>
  <c r="AD123" i="5" s="1" a="1"/>
  <c r="AC124" i="5"/>
  <c r="AD124" i="5" s="1" a="1"/>
  <c r="AC125" i="5"/>
  <c r="AD125" i="5" s="1" a="1"/>
  <c r="AC126" i="5"/>
  <c r="AD126" i="5" s="1" a="1"/>
  <c r="AC127" i="5"/>
  <c r="AD127" i="5" s="1" a="1"/>
  <c r="AC128" i="5"/>
  <c r="AD128" i="5" s="1" a="1"/>
  <c r="AC129" i="5"/>
  <c r="AD129" i="5" s="1" a="1"/>
  <c r="AC130" i="5"/>
  <c r="AD130" i="5" s="1" a="1"/>
  <c r="AC131" i="5"/>
  <c r="AD131" i="5" s="1" a="1"/>
  <c r="AC132" i="5"/>
  <c r="AD132" i="5" s="1" a="1"/>
  <c r="AC133" i="5"/>
  <c r="AD133" i="5" s="1" a="1"/>
  <c r="AC134" i="5"/>
  <c r="AD134" i="5" s="1" a="1"/>
  <c r="AC135" i="5"/>
  <c r="AD135" i="5" s="1" a="1"/>
  <c r="AC136" i="5"/>
  <c r="AD136" i="5" s="1" a="1"/>
  <c r="AC137" i="5"/>
  <c r="AD137" i="5" s="1" a="1"/>
  <c r="AC138" i="5"/>
  <c r="AD138" i="5" s="1" a="1"/>
  <c r="AC139" i="5"/>
  <c r="AD139" i="5" s="1" a="1"/>
  <c r="AC140" i="5"/>
  <c r="AD140" i="5" s="1" a="1"/>
  <c r="AC141" i="5"/>
  <c r="AD141" i="5" s="1" a="1"/>
  <c r="AC142" i="5"/>
  <c r="AD142" i="5" s="1" a="1"/>
  <c r="AC143" i="5"/>
  <c r="AD143" i="5" s="1" a="1"/>
  <c r="AC144" i="5"/>
  <c r="AD144" i="5" s="1" a="1"/>
  <c r="AC145" i="5"/>
  <c r="AD145" i="5" s="1" a="1"/>
  <c r="AC146" i="5"/>
  <c r="AD146" i="5" s="1" a="1"/>
  <c r="AC147" i="5"/>
  <c r="AD147" i="5" s="1" a="1"/>
  <c r="AC148" i="5"/>
  <c r="AD148" i="5" s="1" a="1"/>
  <c r="AC149" i="5"/>
  <c r="AD149" i="5" s="1" a="1"/>
  <c r="AC150" i="5"/>
  <c r="AD150" i="5" s="1" a="1"/>
  <c r="AC151" i="5"/>
  <c r="AD151" i="5" s="1" a="1"/>
  <c r="AC152" i="5"/>
  <c r="AD152" i="5" s="1" a="1"/>
  <c r="AC153" i="5"/>
  <c r="AD153" i="5" s="1" a="1"/>
  <c r="AC154" i="5"/>
  <c r="AD154" i="5" s="1" a="1"/>
  <c r="AC155" i="5"/>
  <c r="AD155" i="5" s="1" a="1"/>
  <c r="AC156" i="5"/>
  <c r="AD156" i="5" s="1" a="1"/>
  <c r="AC157" i="5"/>
  <c r="AD157" i="5" s="1" a="1"/>
  <c r="AC158" i="5"/>
  <c r="AD158" i="5" s="1" a="1"/>
  <c r="AC159" i="5"/>
  <c r="AD159" i="5" s="1" a="1"/>
  <c r="AC160" i="5"/>
  <c r="AD160" i="5" s="1" a="1"/>
  <c r="AC161" i="5"/>
  <c r="AD161" i="5" s="1" a="1"/>
  <c r="AC162" i="5"/>
  <c r="AD162" i="5" s="1" a="1"/>
  <c r="AC163" i="5"/>
  <c r="AD163" i="5" s="1" a="1"/>
  <c r="AC164" i="5"/>
  <c r="AD164" i="5" s="1" a="1"/>
  <c r="AC165" i="5"/>
  <c r="AD165" i="5" s="1" a="1"/>
  <c r="AC166" i="5"/>
  <c r="AD166" i="5" s="1" a="1"/>
  <c r="AC167" i="5"/>
  <c r="AD167" i="5" s="1" a="1"/>
  <c r="AC168" i="5"/>
  <c r="AD168" i="5" s="1" a="1"/>
  <c r="AC169" i="5"/>
  <c r="AD169" i="5" s="1" a="1"/>
  <c r="AC170" i="5"/>
  <c r="AD170" i="5" s="1" a="1"/>
  <c r="AC171" i="5"/>
  <c r="AD171" i="5" s="1" a="1"/>
  <c r="AC172" i="5"/>
  <c r="AD172" i="5" s="1" a="1"/>
  <c r="AC173" i="5"/>
  <c r="AD173" i="5" s="1" a="1"/>
  <c r="AC174" i="5"/>
  <c r="AD174" i="5" s="1" a="1"/>
  <c r="AC175" i="5"/>
  <c r="AD175" i="5" s="1" a="1"/>
  <c r="AC176" i="5"/>
  <c r="AD176" i="5" s="1" a="1"/>
  <c r="AC177" i="5"/>
  <c r="AD177" i="5" s="1" a="1"/>
  <c r="AC178" i="5"/>
  <c r="AD178" i="5" s="1" a="1"/>
  <c r="AC179" i="5"/>
  <c r="AD179" i="5" s="1" a="1"/>
  <c r="AC180" i="5"/>
  <c r="AD180" i="5" s="1" a="1"/>
  <c r="AC181" i="5"/>
  <c r="AD181" i="5" s="1" a="1"/>
  <c r="AC182" i="5"/>
  <c r="AD182" i="5" s="1" a="1"/>
  <c r="AC183" i="5"/>
  <c r="AD183" i="5" s="1" a="1"/>
  <c r="AC184" i="5"/>
  <c r="AD184" i="5" s="1" a="1"/>
  <c r="AC185" i="5"/>
  <c r="AD185" i="5" s="1" a="1"/>
  <c r="AC186" i="5"/>
  <c r="AD186" i="5" s="1" a="1"/>
  <c r="AC187" i="5"/>
  <c r="AD187" i="5" s="1" a="1"/>
  <c r="AC188" i="5"/>
  <c r="AD188" i="5" s="1" a="1"/>
  <c r="AC189" i="5"/>
  <c r="AD189" i="5" s="1" a="1"/>
  <c r="AC190" i="5"/>
  <c r="AD190" i="5" s="1" a="1"/>
  <c r="AC191" i="5"/>
  <c r="AD191" i="5" s="1" a="1"/>
  <c r="AC192" i="5"/>
  <c r="AD192" i="5" s="1" a="1"/>
  <c r="AC193" i="5"/>
  <c r="AD193" i="5" s="1" a="1"/>
  <c r="AC194" i="5"/>
  <c r="AD194" i="5" s="1" a="1"/>
  <c r="AC195" i="5"/>
  <c r="AD195" i="5" s="1" a="1"/>
  <c r="AC196" i="5"/>
  <c r="AD196" i="5" s="1" a="1"/>
  <c r="AC197" i="5"/>
  <c r="AD197" i="5" s="1" a="1"/>
  <c r="AC198" i="5"/>
  <c r="AD198" i="5" s="1" a="1"/>
  <c r="AC199" i="5"/>
  <c r="AD199" i="5" s="1" a="1"/>
  <c r="AC200" i="5"/>
  <c r="AD200" i="5" s="1" a="1"/>
  <c r="AC201" i="5"/>
  <c r="AD201" i="5" s="1" a="1"/>
  <c r="AC202" i="5"/>
  <c r="AD202" i="5" s="1" a="1"/>
  <c r="AC203" i="5"/>
  <c r="AD203" i="5" s="1" a="1"/>
  <c r="AC204" i="5"/>
  <c r="AD204" i="5" s="1" a="1"/>
  <c r="AC205" i="5"/>
  <c r="AD205" i="5" s="1" a="1"/>
  <c r="AC206" i="5"/>
  <c r="AD206" i="5" s="1" a="1"/>
  <c r="AC207" i="5"/>
  <c r="AD207" i="5" s="1" a="1"/>
  <c r="AC208" i="5"/>
  <c r="AD208" i="5" s="1" a="1"/>
  <c r="AC209" i="5"/>
  <c r="AD209" i="5" s="1" a="1"/>
  <c r="AC210" i="5"/>
  <c r="AD210" i="5" s="1" a="1"/>
  <c r="AC211" i="5"/>
  <c r="AD211" i="5" s="1" a="1"/>
  <c r="AC212" i="5"/>
  <c r="AD212" i="5" s="1" a="1"/>
  <c r="AC213" i="5"/>
  <c r="AD213" i="5" s="1" a="1"/>
  <c r="AC214" i="5"/>
  <c r="AD214" i="5" s="1" a="1"/>
  <c r="AC215" i="5"/>
  <c r="AD215" i="5" s="1" a="1"/>
  <c r="AC216" i="5"/>
  <c r="AD216" i="5" s="1" a="1"/>
  <c r="AC217" i="5"/>
  <c r="AD217" i="5" s="1" a="1"/>
  <c r="AC218" i="5"/>
  <c r="AD218" i="5" s="1" a="1"/>
  <c r="AC219" i="5"/>
  <c r="AD219" i="5" s="1" a="1"/>
  <c r="AC220" i="5"/>
  <c r="AD220" i="5" s="1" a="1"/>
  <c r="AC221" i="5"/>
  <c r="AD221" i="5" s="1" a="1"/>
  <c r="AC222" i="5"/>
  <c r="AD222" i="5" s="1" a="1"/>
  <c r="AC223" i="5"/>
  <c r="AD223" i="5" s="1" a="1"/>
  <c r="AC224" i="5"/>
  <c r="AD224" i="5" s="1" a="1"/>
  <c r="AC225" i="5"/>
  <c r="AD225" i="5" s="1" a="1"/>
  <c r="AC226" i="5"/>
  <c r="AD226" i="5" s="1" a="1"/>
  <c r="AC227" i="5"/>
  <c r="AD227" i="5" s="1" a="1"/>
  <c r="AC228" i="5"/>
  <c r="AD228" i="5" s="1" a="1"/>
  <c r="AC229" i="5"/>
  <c r="AD229" i="5" s="1" a="1"/>
  <c r="AC230" i="5"/>
  <c r="AD230" i="5" s="1" a="1"/>
  <c r="AC231" i="5"/>
  <c r="AD231" i="5" s="1" a="1"/>
  <c r="AC232" i="5"/>
  <c r="AD232" i="5" s="1" a="1"/>
  <c r="AC233" i="5"/>
  <c r="AD233" i="5" s="1" a="1"/>
  <c r="AC234" i="5"/>
  <c r="AD234" i="5" s="1" a="1"/>
  <c r="AC235" i="5"/>
  <c r="AD235" i="5" s="1" a="1"/>
  <c r="AC236" i="5"/>
  <c r="AD236" i="5" s="1" a="1"/>
  <c r="AC237" i="5"/>
  <c r="AD237" i="5" s="1" a="1"/>
  <c r="AC238" i="5"/>
  <c r="AD238" i="5" s="1" a="1"/>
  <c r="AC239" i="5"/>
  <c r="AD239" i="5" s="1" a="1"/>
  <c r="AC240" i="5"/>
  <c r="AD240" i="5" s="1" a="1"/>
  <c r="AC241" i="5"/>
  <c r="AD241" i="5" s="1" a="1"/>
  <c r="AC242" i="5"/>
  <c r="AD242" i="5" s="1" a="1"/>
  <c r="AC243" i="5"/>
  <c r="AD243" i="5" s="1" a="1"/>
  <c r="AC244" i="5"/>
  <c r="AD244" i="5" s="1" a="1"/>
  <c r="AC245" i="5"/>
  <c r="AD245" i="5" s="1" a="1"/>
  <c r="AC246" i="5"/>
  <c r="AD246" i="5" s="1" a="1"/>
  <c r="AC247" i="5"/>
  <c r="AD247" i="5" s="1" a="1"/>
  <c r="AC248" i="5"/>
  <c r="AD248" i="5" s="1" a="1"/>
  <c r="AC249" i="5"/>
  <c r="AD249" i="5" s="1" a="1"/>
  <c r="AC250" i="5"/>
  <c r="AD250" i="5" s="1" a="1"/>
  <c r="AC251" i="5"/>
  <c r="AD251" i="5" s="1" a="1"/>
  <c r="AC252" i="5"/>
  <c r="AD252" i="5" s="1" a="1"/>
  <c r="AC253" i="5"/>
  <c r="AD253" i="5" s="1" a="1"/>
  <c r="AC254" i="5"/>
  <c r="AD254" i="5" s="1" a="1"/>
  <c r="AC255" i="5"/>
  <c r="AD255" i="5" s="1" a="1"/>
  <c r="AC256" i="5"/>
  <c r="AD256" i="5" s="1" a="1"/>
  <c r="AC257" i="5"/>
  <c r="AD257" i="5" s="1" a="1"/>
  <c r="AC258" i="5"/>
  <c r="AD258" i="5" s="1" a="1"/>
  <c r="AC259" i="5"/>
  <c r="AD259" i="5" s="1" a="1"/>
  <c r="AC260" i="5"/>
  <c r="AD260" i="5" s="1" a="1"/>
  <c r="AC261" i="5"/>
  <c r="AD261" i="5" s="1" a="1"/>
  <c r="AC262" i="5"/>
  <c r="AD262" i="5" s="1" a="1"/>
  <c r="AC263" i="5"/>
  <c r="AD263" i="5" s="1" a="1"/>
  <c r="AC264" i="5"/>
  <c r="AD264" i="5" s="1" a="1"/>
  <c r="AC265" i="5"/>
  <c r="AD265" i="5" s="1" a="1"/>
  <c r="AC266" i="5"/>
  <c r="AD266" i="5" s="1" a="1"/>
  <c r="AC267" i="5"/>
  <c r="AD267" i="5" s="1" a="1"/>
  <c r="AC268" i="5"/>
  <c r="AD268" i="5" s="1" a="1"/>
  <c r="AC269" i="5"/>
  <c r="AD269" i="5" s="1" a="1"/>
  <c r="AC270" i="5"/>
  <c r="AD270" i="5" s="1" a="1"/>
  <c r="AC271" i="5"/>
  <c r="AD271" i="5" s="1" a="1"/>
  <c r="AC272" i="5"/>
  <c r="AD272" i="5" s="1" a="1"/>
  <c r="AC273" i="5"/>
  <c r="AD273" i="5" s="1" a="1"/>
  <c r="AC274" i="5"/>
  <c r="AD274" i="5" s="1" a="1"/>
  <c r="AC275" i="5"/>
  <c r="AD275" i="5" s="1" a="1"/>
  <c r="AC276" i="5"/>
  <c r="AD276" i="5" s="1" a="1"/>
  <c r="AC277" i="5"/>
  <c r="AD277" i="5" s="1" a="1"/>
  <c r="AC278" i="5"/>
  <c r="AD278" i="5" s="1" a="1"/>
  <c r="AC279" i="5"/>
  <c r="AD279" i="5" s="1" a="1"/>
  <c r="AC280" i="5"/>
  <c r="AD280" i="5" s="1" a="1"/>
  <c r="AC281" i="5"/>
  <c r="AD281" i="5" s="1" a="1"/>
  <c r="AC282" i="5"/>
  <c r="AD282" i="5" s="1" a="1"/>
  <c r="AC283" i="5"/>
  <c r="AD283" i="5" s="1" a="1"/>
  <c r="AC284" i="5"/>
  <c r="AD284" i="5" s="1" a="1"/>
  <c r="AC285" i="5"/>
  <c r="AD285" i="5" s="1" a="1"/>
  <c r="AC286" i="5"/>
  <c r="AD286" i="5" s="1" a="1"/>
  <c r="AC287" i="5"/>
  <c r="AD287" i="5" s="1" a="1"/>
  <c r="AC288" i="5"/>
  <c r="AD288" i="5" s="1" a="1"/>
  <c r="AC289" i="5"/>
  <c r="AD289" i="5" s="1" a="1"/>
  <c r="AC290" i="5"/>
  <c r="AD290" i="5" s="1" a="1"/>
  <c r="AC291" i="5"/>
  <c r="AD291" i="5" s="1" a="1"/>
  <c r="AC292" i="5"/>
  <c r="AD292" i="5" s="1" a="1"/>
  <c r="AC293" i="5"/>
  <c r="AD293" i="5" s="1" a="1"/>
  <c r="AC294" i="5"/>
  <c r="AD294" i="5" s="1" a="1"/>
  <c r="AC295" i="5"/>
  <c r="AD295" i="5" s="1" a="1"/>
  <c r="AC296" i="5"/>
  <c r="AD296" i="5" s="1" a="1"/>
  <c r="AC297" i="5"/>
  <c r="AD297" i="5" s="1" a="1"/>
  <c r="AC298" i="5"/>
  <c r="AD298" i="5" s="1" a="1"/>
  <c r="AC299" i="5"/>
  <c r="AD299" i="5" s="1" a="1"/>
  <c r="AC300" i="5"/>
  <c r="AD300" i="5" s="1" a="1"/>
  <c r="AC301" i="5"/>
  <c r="AD301" i="5" s="1" a="1"/>
  <c r="AC302" i="5"/>
  <c r="AD302" i="5" s="1" a="1"/>
  <c r="AC303" i="5"/>
  <c r="AD303" i="5" s="1" a="1"/>
  <c r="AC304" i="5"/>
  <c r="AD304" i="5" s="1" a="1"/>
  <c r="AC305" i="5"/>
  <c r="AD305" i="5" s="1" a="1"/>
  <c r="AC306" i="5"/>
  <c r="AD306" i="5" s="1" a="1"/>
  <c r="AC307" i="5"/>
  <c r="AD307" i="5" s="1" a="1"/>
  <c r="AC308" i="5"/>
  <c r="AD308" i="5" s="1" a="1"/>
  <c r="AC309" i="5"/>
  <c r="AD309" i="5" s="1" a="1"/>
  <c r="AC310" i="5"/>
  <c r="AD310" i="5" s="1" a="1"/>
  <c r="AC311" i="5"/>
  <c r="AD311" i="5" s="1" a="1"/>
  <c r="AC312" i="5"/>
  <c r="AD312" i="5" s="1" a="1"/>
  <c r="AC313" i="5"/>
  <c r="AD313" i="5" s="1" a="1"/>
  <c r="AC314" i="5"/>
  <c r="AD314" i="5" s="1" a="1"/>
  <c r="AC315" i="5"/>
  <c r="AD315" i="5" s="1" a="1"/>
  <c r="AC316" i="5"/>
  <c r="AD316" i="5" s="1" a="1"/>
  <c r="AC317" i="5"/>
  <c r="AD317" i="5" s="1" a="1"/>
  <c r="AC318" i="5"/>
  <c r="AD318" i="5" s="1" a="1"/>
  <c r="AC319" i="5"/>
  <c r="AD319" i="5" s="1" a="1"/>
  <c r="AC320" i="5"/>
  <c r="AD320" i="5" s="1" a="1"/>
  <c r="AC321" i="5"/>
  <c r="AD321" i="5" s="1" a="1"/>
  <c r="AC322" i="5"/>
  <c r="AD322" i="5" s="1" a="1"/>
  <c r="AC323" i="5"/>
  <c r="AD323" i="5" s="1" a="1"/>
  <c r="AC324" i="5"/>
  <c r="AD324" i="5" s="1" a="1"/>
  <c r="AC325" i="5"/>
  <c r="AD325" i="5" s="1" a="1"/>
  <c r="AC326" i="5"/>
  <c r="AD326" i="5" s="1" a="1"/>
  <c r="AC327" i="5"/>
  <c r="AD327" i="5" s="1" a="1"/>
  <c r="AC328" i="5"/>
  <c r="AD328" i="5" s="1" a="1"/>
  <c r="AC329" i="5"/>
  <c r="AD329" i="5" s="1" a="1"/>
  <c r="AC330" i="5"/>
  <c r="AD330" i="5" s="1" a="1"/>
  <c r="AC331" i="5"/>
  <c r="AD331" i="5" s="1" a="1"/>
  <c r="AC332" i="5"/>
  <c r="AD332" i="5" s="1" a="1"/>
  <c r="AC333" i="5"/>
  <c r="AD333" i="5" s="1" a="1"/>
  <c r="AC334" i="5"/>
  <c r="AD334" i="5" s="1" a="1"/>
  <c r="AC335" i="5"/>
  <c r="AD335" i="5" s="1" a="1"/>
  <c r="AC336" i="5"/>
  <c r="AD336" i="5" s="1" a="1"/>
  <c r="AC337" i="5"/>
  <c r="AD337" i="5" s="1" a="1"/>
  <c r="AC338" i="5"/>
  <c r="AD338" i="5" s="1" a="1"/>
  <c r="AC339" i="5"/>
  <c r="AD339" i="5" s="1" a="1"/>
  <c r="AC340" i="5"/>
  <c r="AD340" i="5" s="1" a="1"/>
  <c r="AC341" i="5"/>
  <c r="AD341" i="5" s="1" a="1"/>
  <c r="AC342" i="5"/>
  <c r="AD342" i="5" s="1" a="1"/>
  <c r="AC343" i="5"/>
  <c r="AD343" i="5" s="1" a="1"/>
  <c r="AC344" i="5"/>
  <c r="AD344" i="5" s="1" a="1"/>
  <c r="AC345" i="5"/>
  <c r="AD345" i="5" s="1" a="1"/>
  <c r="AC346" i="5"/>
  <c r="AD346" i="5" s="1" a="1"/>
  <c r="AC347" i="5"/>
  <c r="AD347" i="5" s="1" a="1"/>
  <c r="AC348" i="5"/>
  <c r="AD348" i="5" s="1" a="1"/>
  <c r="AC349" i="5"/>
  <c r="AD349" i="5" s="1" a="1"/>
  <c r="AC350" i="5"/>
  <c r="AD350" i="5" s="1" a="1"/>
  <c r="AC351" i="5"/>
  <c r="AD351" i="5" s="1" a="1"/>
  <c r="AC352" i="5"/>
  <c r="AD352" i="5" s="1" a="1"/>
  <c r="AC353" i="5"/>
  <c r="AD353" i="5" s="1" a="1"/>
  <c r="AC354" i="5"/>
  <c r="AD354" i="5" s="1" a="1"/>
  <c r="AC355" i="5"/>
  <c r="AD355" i="5" s="1" a="1"/>
  <c r="AC356" i="5"/>
  <c r="AD356" i="5" s="1" a="1"/>
  <c r="AC357" i="5"/>
  <c r="AD357" i="5" s="1" a="1"/>
  <c r="AC358" i="5"/>
  <c r="AD358" i="5" s="1" a="1"/>
  <c r="AC359" i="5"/>
  <c r="AD359" i="5" s="1" a="1"/>
  <c r="AC360" i="5"/>
  <c r="AD360" i="5" s="1" a="1"/>
  <c r="AC361" i="5"/>
  <c r="AD361" i="5" s="1" a="1"/>
  <c r="AC362" i="5"/>
  <c r="AD362" i="5" s="1" a="1"/>
  <c r="AC363" i="5"/>
  <c r="AD363" i="5" s="1" a="1"/>
  <c r="AC364" i="5"/>
  <c r="AD364" i="5" s="1" a="1"/>
  <c r="AC365" i="5"/>
  <c r="AD365" i="5" s="1" a="1"/>
  <c r="AC366" i="5"/>
  <c r="AD366" i="5" s="1" a="1"/>
  <c r="AC367" i="5"/>
  <c r="AD367" i="5" s="1" a="1"/>
  <c r="AC368" i="5"/>
  <c r="AD368" i="5" s="1" a="1"/>
  <c r="AC369" i="5"/>
  <c r="AD369" i="5" s="1" a="1"/>
  <c r="AC370" i="5"/>
  <c r="AD370" i="5" s="1" a="1"/>
  <c r="AC371" i="5"/>
  <c r="AD371" i="5" s="1" a="1"/>
  <c r="AC372" i="5"/>
  <c r="AD372" i="5" s="1" a="1"/>
  <c r="AC373" i="5"/>
  <c r="AD373" i="5" s="1" a="1"/>
  <c r="AC374" i="5"/>
  <c r="AD374" i="5" s="1" a="1"/>
  <c r="AC375" i="5"/>
  <c r="AD375" i="5" s="1" a="1"/>
  <c r="AC376" i="5"/>
  <c r="AD376" i="5" s="1" a="1"/>
  <c r="AC377" i="5"/>
  <c r="AD377" i="5" s="1" a="1"/>
  <c r="AC378" i="5"/>
  <c r="AD378" i="5" s="1" a="1"/>
  <c r="AC379" i="5"/>
  <c r="AD379" i="5" s="1" a="1"/>
  <c r="AC380" i="5"/>
  <c r="AD380" i="5" s="1" a="1"/>
  <c r="AC381" i="5"/>
  <c r="AD381" i="5" s="1" a="1"/>
  <c r="AC382" i="5"/>
  <c r="AD382" i="5" s="1" a="1"/>
  <c r="AC383" i="5"/>
  <c r="AD383" i="5" s="1" a="1"/>
  <c r="AC384" i="5"/>
  <c r="AD384" i="5" s="1" a="1"/>
  <c r="AC385" i="5"/>
  <c r="AD385" i="5" s="1" a="1"/>
  <c r="AC386" i="5"/>
  <c r="AD386" i="5" s="1" a="1"/>
  <c r="AC387" i="5"/>
  <c r="AD387" i="5" s="1" a="1"/>
  <c r="AC388" i="5"/>
  <c r="AD388" i="5" s="1" a="1"/>
  <c r="AC389" i="5"/>
  <c r="AD389" i="5" s="1" a="1"/>
  <c r="AC390" i="5"/>
  <c r="AD390" i="5" s="1" a="1"/>
  <c r="AC391" i="5"/>
  <c r="AD391" i="5" s="1" a="1"/>
  <c r="AC392" i="5"/>
  <c r="AD392" i="5" s="1" a="1"/>
  <c r="AC393" i="5"/>
  <c r="AD393" i="5" s="1" a="1"/>
  <c r="AC394" i="5"/>
  <c r="AD394" i="5" s="1" a="1"/>
  <c r="AC395" i="5"/>
  <c r="AD395" i="5" s="1" a="1"/>
  <c r="AC396" i="5"/>
  <c r="AD396" i="5" s="1" a="1"/>
  <c r="AC397" i="5"/>
  <c r="AD397" i="5" s="1" a="1"/>
  <c r="AC398" i="5"/>
  <c r="AD398" i="5" s="1" a="1"/>
  <c r="AC399" i="5"/>
  <c r="AD399" i="5" s="1" a="1"/>
  <c r="AC400" i="5"/>
  <c r="AD400" i="5" s="1" a="1"/>
  <c r="AC401" i="5"/>
  <c r="AD401" i="5" s="1" a="1"/>
  <c r="AC402" i="5"/>
  <c r="AD402" i="5" s="1" a="1"/>
  <c r="AC403" i="5"/>
  <c r="AD403" i="5" s="1" a="1"/>
  <c r="AC404" i="5"/>
  <c r="AD404" i="5" s="1" a="1"/>
  <c r="AC405" i="5"/>
  <c r="AD405" i="5" s="1" a="1"/>
  <c r="AC406" i="5"/>
  <c r="AD406" i="5" s="1" a="1"/>
  <c r="AC407" i="5"/>
  <c r="AD407" i="5" s="1" a="1"/>
  <c r="AC408" i="5"/>
  <c r="AD408" i="5" s="1" a="1"/>
  <c r="AC409" i="5"/>
  <c r="AD409" i="5" s="1" a="1"/>
  <c r="AC410" i="5"/>
  <c r="AD410" i="5" s="1" a="1"/>
  <c r="AC411" i="5"/>
  <c r="AD411" i="5" s="1" a="1"/>
  <c r="AC412" i="5"/>
  <c r="AD412" i="5" s="1" a="1"/>
  <c r="AC413" i="5"/>
  <c r="AD413" i="5" s="1" a="1"/>
  <c r="AC414" i="5"/>
  <c r="AD414" i="5" s="1" a="1"/>
  <c r="AC415" i="5"/>
  <c r="AD415" i="5" s="1" a="1"/>
  <c r="AC416" i="5"/>
  <c r="AD416" i="5" s="1" a="1"/>
  <c r="AC417" i="5"/>
  <c r="AD417" i="5" s="1" a="1"/>
  <c r="AC418" i="5"/>
  <c r="AD418" i="5" s="1" a="1"/>
  <c r="AC419" i="5"/>
  <c r="AD419" i="5" s="1" a="1"/>
  <c r="AC420" i="5"/>
  <c r="AD420" i="5" s="1" a="1"/>
  <c r="AC421" i="5"/>
  <c r="AD421" i="5" s="1" a="1"/>
  <c r="AC422" i="5"/>
  <c r="AD422" i="5" s="1" a="1"/>
  <c r="AC423" i="5"/>
  <c r="AD423" i="5" s="1" a="1"/>
  <c r="AC424" i="5"/>
  <c r="AD424" i="5" s="1" a="1"/>
  <c r="AC425" i="5"/>
  <c r="AD425" i="5" s="1" a="1"/>
  <c r="AC426" i="5"/>
  <c r="AD426" i="5" s="1" a="1"/>
  <c r="AC427" i="5"/>
  <c r="AD427" i="5" s="1" a="1"/>
  <c r="AC428" i="5"/>
  <c r="AD428" i="5" s="1" a="1"/>
  <c r="AC429" i="5"/>
  <c r="AD429" i="5" s="1" a="1"/>
  <c r="AC430" i="5"/>
  <c r="AD430" i="5" s="1" a="1"/>
  <c r="AC431" i="5"/>
  <c r="AD431" i="5" s="1" a="1"/>
  <c r="AC432" i="5"/>
  <c r="AD432" i="5" s="1" a="1"/>
  <c r="AC433" i="5"/>
  <c r="AD433" i="5" s="1" a="1"/>
  <c r="AC434" i="5"/>
  <c r="AD434" i="5" s="1" a="1"/>
  <c r="AC435" i="5"/>
  <c r="AD435" i="5" s="1" a="1"/>
  <c r="AC436" i="5"/>
  <c r="AD436" i="5" s="1" a="1"/>
  <c r="AC437" i="5"/>
  <c r="AD437" i="5" s="1" a="1"/>
  <c r="AC438" i="5"/>
  <c r="AD438" i="5" s="1" a="1"/>
  <c r="AC439" i="5"/>
  <c r="AD439" i="5" s="1" a="1"/>
  <c r="AC440" i="5"/>
  <c r="AD440" i="5" s="1" a="1"/>
  <c r="AC441" i="5"/>
  <c r="AD441" i="5" s="1" a="1"/>
  <c r="AC442" i="5"/>
  <c r="AD442" i="5" s="1" a="1"/>
  <c r="AC443" i="5"/>
  <c r="AD443" i="5" s="1" a="1"/>
  <c r="AC444" i="5"/>
  <c r="AD444" i="5" s="1" a="1"/>
  <c r="AC445" i="5"/>
  <c r="AD445" i="5" s="1" a="1"/>
  <c r="AC446" i="5"/>
  <c r="AD446" i="5" s="1" a="1"/>
  <c r="AC447" i="5"/>
  <c r="AD447" i="5" s="1" a="1"/>
  <c r="AC448" i="5"/>
  <c r="AD448" i="5" s="1" a="1"/>
  <c r="AC449" i="5"/>
  <c r="AD449" i="5" s="1" a="1"/>
  <c r="AC450" i="5"/>
  <c r="AD450" i="5" s="1" a="1"/>
  <c r="AC451" i="5"/>
  <c r="AD451" i="5" s="1" a="1"/>
  <c r="AC452" i="5"/>
  <c r="AD452" i="5" s="1" a="1"/>
  <c r="AC453" i="5"/>
  <c r="AD453" i="5" s="1" a="1"/>
  <c r="AC454" i="5"/>
  <c r="AD454" i="5" s="1" a="1"/>
  <c r="AC455" i="5"/>
  <c r="AD455" i="5" s="1" a="1"/>
  <c r="AC456" i="5"/>
  <c r="AD456" i="5" s="1" a="1"/>
  <c r="AC457" i="5"/>
  <c r="AD457" i="5" s="1" a="1"/>
  <c r="AC458" i="5"/>
  <c r="AD458" i="5" s="1" a="1"/>
  <c r="AC459" i="5"/>
  <c r="AD459" i="5" s="1" a="1"/>
  <c r="AC460" i="5"/>
  <c r="AD460" i="5" s="1" a="1"/>
  <c r="AC461" i="5"/>
  <c r="AD461" i="5" s="1" a="1"/>
  <c r="AC462" i="5"/>
  <c r="AD462" i="5" s="1" a="1"/>
  <c r="AC463" i="5"/>
  <c r="AD463" i="5" s="1" a="1"/>
  <c r="AC464" i="5"/>
  <c r="AD464" i="5" s="1" a="1"/>
  <c r="AC465" i="5"/>
  <c r="AD465" i="5" s="1" a="1"/>
  <c r="AC466" i="5"/>
  <c r="AD466" i="5" s="1" a="1"/>
  <c r="AC467" i="5"/>
  <c r="AD467" i="5" s="1" a="1"/>
  <c r="AC468" i="5"/>
  <c r="AD468" i="5" s="1" a="1"/>
  <c r="AC469" i="5"/>
  <c r="AD469" i="5" s="1" a="1"/>
  <c r="AC470" i="5"/>
  <c r="AD470" i="5" s="1" a="1"/>
  <c r="AC471" i="5"/>
  <c r="AD471" i="5" s="1" a="1"/>
  <c r="AC472" i="5"/>
  <c r="AD472" i="5" s="1" a="1"/>
  <c r="AC473" i="5"/>
  <c r="AD473" i="5" s="1" a="1"/>
  <c r="AC474" i="5"/>
  <c r="AD474" i="5" s="1" a="1"/>
  <c r="AC475" i="5"/>
  <c r="AD475" i="5" s="1" a="1"/>
  <c r="AC476" i="5"/>
  <c r="AD476" i="5" s="1" a="1"/>
  <c r="AC477" i="5"/>
  <c r="AD477" i="5" s="1" a="1"/>
  <c r="AC478" i="5"/>
  <c r="AD478" i="5" s="1" a="1"/>
  <c r="AC479" i="5"/>
  <c r="AD479" i="5" s="1" a="1"/>
  <c r="AC480" i="5"/>
  <c r="AD480" i="5" s="1" a="1"/>
  <c r="AC481" i="5"/>
  <c r="AD481" i="5" s="1" a="1"/>
  <c r="AC482" i="5"/>
  <c r="AD482" i="5" s="1" a="1"/>
  <c r="AC483" i="5"/>
  <c r="AD483" i="5" s="1" a="1"/>
  <c r="AC484" i="5"/>
  <c r="AD484" i="5" s="1" a="1"/>
  <c r="AC485" i="5"/>
  <c r="AD485" i="5" s="1" a="1"/>
  <c r="AC486" i="5"/>
  <c r="AD486" i="5" s="1" a="1"/>
  <c r="AC487" i="5"/>
  <c r="AD487" i="5" s="1" a="1"/>
  <c r="AC488" i="5"/>
  <c r="AD488" i="5" s="1" a="1"/>
  <c r="AC489" i="5"/>
  <c r="AD489" i="5" s="1" a="1"/>
  <c r="AC490" i="5"/>
  <c r="AD490" i="5" s="1" a="1"/>
  <c r="AC491" i="5"/>
  <c r="AD491" i="5" s="1" a="1"/>
  <c r="AC492" i="5"/>
  <c r="AD492" i="5" s="1" a="1"/>
  <c r="AC493" i="5"/>
  <c r="AD493" i="5" s="1" a="1"/>
  <c r="AC494" i="5"/>
  <c r="AD494" i="5" s="1" a="1"/>
  <c r="AC495" i="5"/>
  <c r="AD495" i="5" s="1" a="1"/>
  <c r="AC496" i="5"/>
  <c r="AD496" i="5" s="1" a="1"/>
  <c r="AC497" i="5"/>
  <c r="AD497" i="5" s="1" a="1"/>
  <c r="AC498" i="5"/>
  <c r="AD498" i="5" s="1" a="1"/>
  <c r="AC499" i="5"/>
  <c r="AD499" i="5" s="1" a="1"/>
  <c r="AC500" i="5"/>
  <c r="AD500" i="5" s="1" a="1"/>
  <c r="AC501" i="5"/>
  <c r="AD501" i="5" s="1" a="1"/>
  <c r="AC502" i="5"/>
  <c r="AD502" i="5" s="1" a="1"/>
  <c r="AC503" i="5"/>
  <c r="AD503" i="5" s="1" a="1"/>
  <c r="AC504" i="5"/>
  <c r="AD504" i="5" s="1" a="1"/>
  <c r="AC505" i="5"/>
  <c r="AD505" i="5" s="1" a="1"/>
  <c r="AC506" i="5"/>
  <c r="AD506" i="5" s="1" a="1"/>
  <c r="AC507" i="5"/>
  <c r="AD507" i="5" s="1" a="1"/>
  <c r="AC508" i="5"/>
  <c r="AD508" i="5" s="1" a="1"/>
  <c r="AC509" i="5"/>
  <c r="AD509" i="5" s="1" a="1"/>
  <c r="AC510" i="5"/>
  <c r="AD510" i="5" s="1" a="1"/>
  <c r="AC511" i="5"/>
  <c r="AD511" i="5" s="1" a="1"/>
  <c r="AC512" i="5"/>
  <c r="AD512" i="5" s="1" a="1"/>
  <c r="AC513" i="5"/>
  <c r="AD513" i="5" s="1" a="1"/>
  <c r="AC514" i="5"/>
  <c r="AD514" i="5" s="1" a="1"/>
  <c r="AC515" i="5"/>
  <c r="AD515" i="5" s="1" a="1"/>
  <c r="AC516" i="5"/>
  <c r="AD516" i="5" s="1" a="1"/>
  <c r="AC517" i="5"/>
  <c r="AD517" i="5" s="1" a="1"/>
  <c r="AC518" i="5"/>
  <c r="AC519" i="5"/>
  <c r="AC520" i="5"/>
  <c r="AC521" i="5"/>
  <c r="AC522" i="5"/>
  <c r="AC523" i="5"/>
  <c r="AC524" i="5"/>
  <c r="AC525" i="5"/>
  <c r="AC526" i="5"/>
  <c r="AC527" i="5"/>
  <c r="AC528" i="5"/>
  <c r="AC529" i="5"/>
  <c r="AC530" i="5"/>
  <c r="AC531" i="5"/>
  <c r="AC532" i="5"/>
  <c r="AC533" i="5"/>
  <c r="AC534" i="5"/>
  <c r="AC535" i="5"/>
  <c r="AC536" i="5"/>
  <c r="AC537" i="5"/>
  <c r="AC538" i="5"/>
  <c r="AC539" i="5"/>
  <c r="AC540" i="5"/>
  <c r="AC541" i="5"/>
  <c r="AC542" i="5"/>
  <c r="AC543" i="5"/>
  <c r="AC544" i="5"/>
  <c r="AC545" i="5"/>
  <c r="AC546" i="5"/>
  <c r="AC547" i="5"/>
  <c r="AC548" i="5"/>
  <c r="AC549" i="5"/>
  <c r="AC550" i="5"/>
  <c r="AC551" i="5"/>
  <c r="AC552" i="5"/>
  <c r="AC553" i="5"/>
  <c r="AC554" i="5"/>
  <c r="AC555" i="5"/>
  <c r="AC556" i="5"/>
  <c r="AC557" i="5"/>
  <c r="AC558" i="5"/>
  <c r="AC559" i="5"/>
  <c r="AC560" i="5"/>
  <c r="AC561" i="5"/>
  <c r="AC562" i="5"/>
  <c r="AC563" i="5"/>
  <c r="AC564" i="5"/>
  <c r="AC565" i="5"/>
  <c r="AC566" i="5"/>
  <c r="AC567" i="5"/>
  <c r="AC568" i="5"/>
  <c r="AC569" i="5"/>
  <c r="AC570" i="5"/>
  <c r="AC571" i="5"/>
  <c r="AC572" i="5"/>
  <c r="AC573" i="5"/>
  <c r="AC574" i="5"/>
  <c r="AC575" i="5"/>
  <c r="AC576" i="5"/>
  <c r="AC577" i="5"/>
  <c r="AC578" i="5"/>
  <c r="AC579" i="5"/>
  <c r="AC580" i="5"/>
  <c r="AC581" i="5"/>
  <c r="AC582" i="5"/>
  <c r="AC583" i="5"/>
  <c r="AC584" i="5"/>
  <c r="AC585" i="5"/>
  <c r="AC586" i="5"/>
  <c r="AC587" i="5"/>
  <c r="AC588" i="5"/>
  <c r="AC589" i="5"/>
  <c r="AC590" i="5"/>
  <c r="AC591" i="5"/>
  <c r="AC592" i="5"/>
  <c r="AC593" i="5"/>
  <c r="AC594" i="5"/>
  <c r="AC595" i="5"/>
  <c r="AC596" i="5"/>
  <c r="AC597" i="5"/>
  <c r="AC598" i="5"/>
  <c r="AC599" i="5"/>
  <c r="AC600" i="5"/>
  <c r="AC601" i="5"/>
  <c r="AC602" i="5"/>
  <c r="AC603" i="5"/>
  <c r="AC604" i="5"/>
  <c r="AC605" i="5"/>
  <c r="AC606" i="5"/>
  <c r="AC607" i="5"/>
  <c r="AC608" i="5"/>
  <c r="AC609" i="5"/>
  <c r="AC610" i="5"/>
  <c r="AC611" i="5"/>
  <c r="AC612" i="5"/>
  <c r="AC613" i="5"/>
  <c r="AC614" i="5"/>
  <c r="AC615" i="5"/>
  <c r="AC616" i="5"/>
  <c r="AC617" i="5"/>
  <c r="AC618" i="5"/>
  <c r="AC619" i="5"/>
  <c r="AC620" i="5"/>
  <c r="AC621" i="5"/>
  <c r="AC622" i="5"/>
  <c r="AC623" i="5"/>
  <c r="AC624" i="5"/>
  <c r="AC625" i="5"/>
  <c r="AC626" i="5"/>
  <c r="AC627" i="5"/>
  <c r="AC628" i="5"/>
  <c r="AC629" i="5"/>
  <c r="AC630" i="5"/>
  <c r="AC631" i="5"/>
  <c r="AC632" i="5"/>
  <c r="AC633" i="5"/>
  <c r="AC634" i="5"/>
  <c r="AC635" i="5"/>
  <c r="AC636" i="5"/>
  <c r="AC637" i="5"/>
  <c r="AC638" i="5"/>
  <c r="AC639" i="5"/>
  <c r="AC640" i="5"/>
  <c r="AC641" i="5"/>
  <c r="AC642" i="5"/>
  <c r="AC643" i="5"/>
  <c r="AC644" i="5"/>
  <c r="AC645" i="5"/>
  <c r="AC646" i="5"/>
  <c r="AC647" i="5"/>
  <c r="AC648" i="5"/>
  <c r="AC649" i="5"/>
  <c r="AC650" i="5"/>
  <c r="AC651" i="5"/>
  <c r="AC652" i="5"/>
  <c r="AC653" i="5"/>
  <c r="AC654" i="5"/>
  <c r="AC655" i="5"/>
  <c r="AC656" i="5"/>
  <c r="AC657" i="5"/>
  <c r="AC658" i="5"/>
  <c r="AC659" i="5"/>
  <c r="AC660" i="5"/>
  <c r="AC661" i="5"/>
  <c r="AC662" i="5"/>
  <c r="AC663" i="5"/>
  <c r="AC664" i="5"/>
  <c r="AC665" i="5"/>
  <c r="AC666" i="5"/>
  <c r="AC667" i="5"/>
  <c r="AC668" i="5"/>
  <c r="AC669" i="5"/>
  <c r="AC670" i="5"/>
  <c r="AC671" i="5"/>
  <c r="AC672" i="5"/>
  <c r="AC673" i="5"/>
  <c r="AC674" i="5"/>
  <c r="AC675" i="5"/>
  <c r="AC676" i="5"/>
  <c r="AC677" i="5"/>
  <c r="AC678" i="5"/>
  <c r="AC679" i="5"/>
  <c r="AC680" i="5"/>
  <c r="AC681" i="5"/>
  <c r="AC682" i="5"/>
  <c r="AC683" i="5"/>
  <c r="AC684" i="5"/>
  <c r="AC685" i="5"/>
  <c r="AC686" i="5"/>
  <c r="AC687" i="5"/>
  <c r="AC688" i="5"/>
  <c r="AC689" i="5"/>
  <c r="AC690" i="5"/>
  <c r="AC691" i="5"/>
  <c r="AC692" i="5"/>
  <c r="AC693" i="5"/>
  <c r="AC694" i="5"/>
  <c r="AC695" i="5"/>
  <c r="AC696" i="5"/>
  <c r="AC697" i="5"/>
  <c r="AC698" i="5"/>
  <c r="AC699" i="5"/>
  <c r="AC700" i="5"/>
  <c r="AC701" i="5"/>
  <c r="AC702" i="5"/>
  <c r="AC703" i="5"/>
  <c r="AC704" i="5"/>
  <c r="AC705" i="5"/>
  <c r="AC706" i="5"/>
  <c r="AC707" i="5"/>
  <c r="AC708" i="5"/>
  <c r="AC709" i="5"/>
  <c r="AC710" i="5"/>
  <c r="AC711" i="5"/>
  <c r="AC712" i="5"/>
  <c r="AC713" i="5"/>
  <c r="AC714" i="5"/>
  <c r="AC715" i="5"/>
  <c r="AC716" i="5"/>
  <c r="AC717" i="5"/>
  <c r="AC718" i="5"/>
  <c r="AC719" i="5"/>
  <c r="AC720" i="5"/>
  <c r="AC721" i="5"/>
  <c r="AC722" i="5"/>
  <c r="AC723" i="5"/>
  <c r="AC724" i="5"/>
  <c r="AC725" i="5"/>
  <c r="AC726" i="5"/>
  <c r="AC727" i="5"/>
  <c r="AC728" i="5"/>
  <c r="AC729" i="5"/>
  <c r="AC730" i="5"/>
  <c r="AC731" i="5"/>
  <c r="AC732" i="5"/>
  <c r="AC733" i="5"/>
  <c r="AC734" i="5"/>
  <c r="AC735" i="5"/>
  <c r="AC736" i="5"/>
  <c r="AC737" i="5"/>
  <c r="AC738" i="5"/>
  <c r="AC739" i="5"/>
  <c r="AC740" i="5"/>
  <c r="AC741" i="5"/>
  <c r="AC742" i="5"/>
  <c r="AC743" i="5"/>
  <c r="AC744" i="5"/>
  <c r="AC745" i="5"/>
  <c r="AC746" i="5"/>
  <c r="AC747" i="5"/>
  <c r="AC748" i="5"/>
  <c r="AC749" i="5"/>
  <c r="AC750" i="5"/>
  <c r="AC751" i="5"/>
  <c r="AC752" i="5"/>
  <c r="AC753" i="5"/>
  <c r="AC754" i="5"/>
  <c r="AC755" i="5"/>
  <c r="AC756" i="5"/>
  <c r="AC757" i="5"/>
  <c r="AC758" i="5"/>
  <c r="AC759" i="5"/>
  <c r="AC760" i="5"/>
  <c r="AC761" i="5"/>
  <c r="AC762" i="5"/>
  <c r="AC763" i="5"/>
  <c r="AC764" i="5"/>
  <c r="AC765" i="5"/>
  <c r="AC766" i="5"/>
  <c r="AC767" i="5"/>
  <c r="AC768" i="5"/>
  <c r="AC769" i="5"/>
  <c r="AC770" i="5"/>
  <c r="AC771" i="5"/>
  <c r="AC772" i="5"/>
  <c r="AC773" i="5"/>
  <c r="AC774" i="5"/>
  <c r="AC775" i="5"/>
  <c r="AC776" i="5"/>
  <c r="AC777" i="5"/>
  <c r="AC778" i="5"/>
  <c r="AC779" i="5"/>
  <c r="AC780" i="5"/>
  <c r="AC781" i="5"/>
  <c r="AC782" i="5"/>
  <c r="AC783" i="5"/>
  <c r="AC784" i="5"/>
  <c r="AC785" i="5"/>
  <c r="AC786" i="5"/>
  <c r="AC787" i="5"/>
  <c r="AC788" i="5"/>
  <c r="AC789" i="5"/>
  <c r="AC790" i="5"/>
  <c r="AC791" i="5"/>
  <c r="AC792" i="5"/>
  <c r="AC793" i="5"/>
  <c r="AC794" i="5"/>
  <c r="AC795" i="5"/>
  <c r="AC796" i="5"/>
  <c r="AC797" i="5"/>
  <c r="AC798" i="5"/>
  <c r="AC799" i="5"/>
  <c r="AC800" i="5"/>
  <c r="AC801" i="5"/>
  <c r="AC802" i="5"/>
  <c r="AC803" i="5"/>
  <c r="AC804" i="5"/>
  <c r="AC805" i="5"/>
  <c r="AC806" i="5"/>
  <c r="AC807" i="5"/>
  <c r="AC808" i="5"/>
  <c r="AC809" i="5"/>
  <c r="AC810" i="5"/>
  <c r="AC811" i="5"/>
  <c r="AC812" i="5"/>
  <c r="AC813" i="5"/>
  <c r="AC814" i="5"/>
  <c r="AC815" i="5"/>
  <c r="AC816" i="5"/>
  <c r="AC817" i="5"/>
  <c r="AC818" i="5"/>
  <c r="AC819" i="5"/>
  <c r="AC820" i="5"/>
  <c r="AC821" i="5"/>
  <c r="AC822" i="5"/>
  <c r="AC823" i="5"/>
  <c r="AC824" i="5"/>
  <c r="AC825" i="5"/>
  <c r="AC826" i="5"/>
  <c r="AC827" i="5"/>
  <c r="AC828" i="5"/>
  <c r="AC829" i="5"/>
  <c r="AC830" i="5"/>
  <c r="AC831" i="5"/>
  <c r="AC832" i="5"/>
  <c r="AC833" i="5"/>
  <c r="AC834" i="5"/>
  <c r="AC835" i="5"/>
  <c r="AC836" i="5"/>
  <c r="AC837" i="5"/>
  <c r="AC838" i="5"/>
  <c r="AC839" i="5"/>
  <c r="AC840" i="5"/>
  <c r="AC841" i="5"/>
  <c r="AD841" i="5" s="1" a="1"/>
  <c r="AC842" i="5"/>
  <c r="AD842" i="5" s="1" a="1"/>
  <c r="AC843" i="5"/>
  <c r="AD843" i="5" s="1" a="1"/>
  <c r="AC844" i="5"/>
  <c r="AD844" i="5" s="1" a="1"/>
  <c r="AC845" i="5"/>
  <c r="AD845" i="5" s="1" a="1"/>
  <c r="AC846" i="5"/>
  <c r="AD846" i="5" s="1" a="1"/>
  <c r="AC847" i="5"/>
  <c r="AD847" i="5" s="1" a="1"/>
  <c r="AC848" i="5"/>
  <c r="AD848" i="5" s="1" a="1"/>
  <c r="AC849" i="5"/>
  <c r="AD849" i="5" s="1" a="1"/>
  <c r="AC850" i="5"/>
  <c r="AD850" i="5" s="1" a="1"/>
  <c r="AC851" i="5"/>
  <c r="AD851" i="5" s="1" a="1"/>
  <c r="AC852" i="5"/>
  <c r="AD852" i="5" s="1" a="1"/>
  <c r="AC853" i="5"/>
  <c r="AD853" i="5" s="1" a="1"/>
  <c r="AC854" i="5"/>
  <c r="AD854" i="5" s="1" a="1"/>
  <c r="AC855" i="5"/>
  <c r="AD855" i="5" s="1" a="1"/>
  <c r="AC856" i="5"/>
  <c r="AD856" i="5" s="1" a="1"/>
  <c r="AC857" i="5"/>
  <c r="AD857" i="5" s="1" a="1"/>
  <c r="AC858" i="5"/>
  <c r="AD858" i="5" s="1" a="1"/>
  <c r="AC859" i="5"/>
  <c r="AD859" i="5" s="1" a="1"/>
  <c r="AC860" i="5"/>
  <c r="AD860" i="5" s="1" a="1"/>
  <c r="AC861" i="5"/>
  <c r="AD861" i="5" s="1" a="1"/>
  <c r="AC862" i="5"/>
  <c r="AD862" i="5" s="1" a="1"/>
  <c r="AC863" i="5"/>
  <c r="AD863" i="5" s="1" a="1"/>
  <c r="AC864" i="5"/>
  <c r="AD864" i="5" s="1" a="1"/>
  <c r="AC865" i="5"/>
  <c r="AD865" i="5" s="1" a="1"/>
  <c r="AC866" i="5"/>
  <c r="AD866" i="5" s="1" a="1"/>
  <c r="AC867" i="5"/>
  <c r="AD867" i="5" s="1" a="1"/>
  <c r="AC868" i="5"/>
  <c r="AD868" i="5" s="1" a="1"/>
  <c r="AC869" i="5"/>
  <c r="AD869" i="5" s="1" a="1"/>
  <c r="AC870" i="5"/>
  <c r="AD870" i="5" s="1" a="1"/>
  <c r="AC871" i="5"/>
  <c r="AD871" i="5" s="1" a="1"/>
  <c r="AC872" i="5"/>
  <c r="AD872" i="5" s="1" a="1"/>
  <c r="AC873" i="5"/>
  <c r="AD873" i="5" s="1" a="1"/>
  <c r="AC874" i="5"/>
  <c r="AD874" i="5" s="1" a="1"/>
  <c r="AC875" i="5"/>
  <c r="AD875" i="5" s="1" a="1"/>
  <c r="AC876" i="5"/>
  <c r="AD876" i="5" s="1" a="1"/>
  <c r="AC877" i="5"/>
  <c r="AD877" i="5" s="1" a="1"/>
  <c r="AC878" i="5"/>
  <c r="AD878" i="5" s="1" a="1"/>
  <c r="AC879" i="5"/>
  <c r="AD879" i="5" s="1" a="1"/>
  <c r="AC880" i="5"/>
  <c r="AD880" i="5" s="1" a="1"/>
  <c r="AC881" i="5"/>
  <c r="AD881" i="5" s="1" a="1"/>
  <c r="AC882" i="5"/>
  <c r="AD882" i="5" s="1" a="1"/>
  <c r="AC883" i="5"/>
  <c r="AD883" i="5" s="1" a="1"/>
  <c r="AC884" i="5"/>
  <c r="AD884" i="5" s="1" a="1"/>
  <c r="AC885" i="5"/>
  <c r="AD885" i="5" s="1" a="1"/>
  <c r="AC886" i="5"/>
  <c r="AD886" i="5" s="1" a="1"/>
  <c r="AC887" i="5"/>
  <c r="AD887" i="5" s="1" a="1"/>
  <c r="AC888" i="5"/>
  <c r="AD888" i="5" s="1" a="1"/>
  <c r="AC889" i="5"/>
  <c r="AD889" i="5" s="1" a="1"/>
  <c r="AC890" i="5"/>
  <c r="AD890" i="5" s="1" a="1"/>
  <c r="AC891" i="5"/>
  <c r="AD891" i="5" s="1" a="1"/>
  <c r="AC892" i="5"/>
  <c r="AD892" i="5" s="1" a="1"/>
  <c r="AC893" i="5"/>
  <c r="AD893" i="5" s="1" a="1"/>
  <c r="AC894" i="5"/>
  <c r="AD894" i="5" s="1" a="1"/>
  <c r="AC895" i="5"/>
  <c r="AD895" i="5" s="1" a="1"/>
  <c r="AC896" i="5"/>
  <c r="AD896" i="5" s="1" a="1"/>
  <c r="AC897" i="5"/>
  <c r="AD897" i="5" s="1" a="1"/>
  <c r="AC898" i="5"/>
  <c r="AD898" i="5" s="1" a="1"/>
  <c r="AC899" i="5"/>
  <c r="AD899" i="5" s="1" a="1"/>
  <c r="AC900" i="5"/>
  <c r="AD900" i="5" s="1" a="1"/>
  <c r="AC901" i="5"/>
  <c r="AD901" i="5" s="1" a="1"/>
  <c r="AC902" i="5"/>
  <c r="AD902" i="5" s="1" a="1"/>
  <c r="AC903" i="5"/>
  <c r="AD903" i="5" s="1" a="1"/>
  <c r="AC904" i="5"/>
  <c r="AD904" i="5" s="1" a="1"/>
  <c r="AC905" i="5"/>
  <c r="AD905" i="5" s="1" a="1"/>
  <c r="AC906" i="5"/>
  <c r="AD906" i="5" s="1" a="1"/>
  <c r="AC907" i="5"/>
  <c r="AD907" i="5" s="1" a="1"/>
  <c r="AC908" i="5"/>
  <c r="AD908" i="5" s="1" a="1"/>
  <c r="AC909" i="5"/>
  <c r="AD909" i="5" s="1" a="1"/>
  <c r="AC910" i="5"/>
  <c r="AD910" i="5" s="1" a="1"/>
  <c r="AC911" i="5"/>
  <c r="AD911" i="5" s="1" a="1"/>
  <c r="AC912" i="5"/>
  <c r="AD912" i="5" s="1" a="1"/>
  <c r="AC913" i="5"/>
  <c r="AD913" i="5" s="1" a="1"/>
  <c r="AC914" i="5"/>
  <c r="AD914" i="5" s="1" a="1"/>
  <c r="AC915" i="5"/>
  <c r="AD915" i="5" s="1" a="1"/>
  <c r="AC916" i="5"/>
  <c r="AD916" i="5" s="1" a="1"/>
  <c r="AC917" i="5"/>
  <c r="AD917" i="5" s="1" a="1"/>
  <c r="AC918" i="5"/>
  <c r="AD918" i="5" s="1" a="1"/>
  <c r="AC919" i="5"/>
  <c r="AD919" i="5" s="1" a="1"/>
  <c r="AC920" i="5"/>
  <c r="AD920" i="5" s="1" a="1"/>
  <c r="AC921" i="5"/>
  <c r="AD921" i="5" s="1" a="1"/>
  <c r="AC922" i="5"/>
  <c r="AD922" i="5" s="1" a="1"/>
  <c r="AC923" i="5"/>
  <c r="AD923" i="5" s="1" a="1"/>
  <c r="AC924" i="5"/>
  <c r="AD924" i="5" s="1" a="1"/>
  <c r="AC925" i="5"/>
  <c r="AD925" i="5" s="1" a="1"/>
  <c r="AC926" i="5"/>
  <c r="AD926" i="5" s="1" a="1"/>
  <c r="AC927" i="5"/>
  <c r="AD927" i="5" s="1" a="1"/>
  <c r="AC928" i="5"/>
  <c r="AD928" i="5" s="1" a="1"/>
  <c r="AC929" i="5"/>
  <c r="AD929" i="5" s="1" a="1"/>
  <c r="AC930" i="5"/>
  <c r="AD930" i="5" s="1" a="1"/>
  <c r="AC931" i="5"/>
  <c r="AD931" i="5" s="1" a="1"/>
  <c r="AC932" i="5"/>
  <c r="AD932" i="5" s="1" a="1"/>
  <c r="AC933" i="5"/>
  <c r="AD933" i="5" s="1" a="1"/>
  <c r="AC934" i="5"/>
  <c r="AD934" i="5" s="1" a="1"/>
  <c r="AC935" i="5"/>
  <c r="AD935" i="5" s="1" a="1"/>
  <c r="AC936" i="5"/>
  <c r="AD936" i="5" s="1" a="1"/>
  <c r="AC937" i="5"/>
  <c r="AD937" i="5" s="1" a="1"/>
  <c r="AC938" i="5"/>
  <c r="AD938" i="5" s="1" a="1"/>
  <c r="AC939" i="5"/>
  <c r="AD939" i="5" s="1" a="1"/>
  <c r="AC940" i="5"/>
  <c r="AD940" i="5" s="1" a="1"/>
  <c r="AC941" i="5"/>
  <c r="AD941" i="5" s="1" a="1"/>
  <c r="AC942" i="5"/>
  <c r="AD942" i="5" s="1" a="1"/>
  <c r="AC943" i="5"/>
  <c r="AD943" i="5" s="1" a="1"/>
  <c r="AC944" i="5"/>
  <c r="AD944" i="5" s="1" a="1"/>
  <c r="AC945" i="5"/>
  <c r="AD945" i="5" s="1" a="1"/>
  <c r="AC946" i="5"/>
  <c r="AD946" i="5" s="1" a="1"/>
  <c r="AC947" i="5"/>
  <c r="AD947" i="5" s="1" a="1"/>
  <c r="AC948" i="5"/>
  <c r="AD948" i="5" s="1" a="1"/>
  <c r="AC949" i="5"/>
  <c r="AD949" i="5" s="1" a="1"/>
  <c r="AC950" i="5"/>
  <c r="AD950" i="5" s="1" a="1"/>
  <c r="AC951" i="5"/>
  <c r="AD951" i="5" s="1" a="1"/>
  <c r="AC952" i="5"/>
  <c r="AD952" i="5" s="1" a="1"/>
  <c r="AC953" i="5"/>
  <c r="AD953" i="5" s="1" a="1"/>
  <c r="AC954" i="5"/>
  <c r="AD954" i="5" s="1" a="1"/>
  <c r="AC955" i="5"/>
  <c r="AD955" i="5" s="1" a="1"/>
  <c r="AC956" i="5"/>
  <c r="AD956" i="5" s="1" a="1"/>
  <c r="AC957" i="5"/>
  <c r="AD957" i="5" s="1" a="1"/>
  <c r="AC958" i="5"/>
  <c r="AD958" i="5" s="1" a="1"/>
  <c r="AC959" i="5"/>
  <c r="AD959" i="5" s="1" a="1"/>
  <c r="AC960" i="5"/>
  <c r="AD960" i="5" s="1" a="1"/>
  <c r="AC961" i="5"/>
  <c r="AD961" i="5" s="1" a="1"/>
  <c r="AC962" i="5"/>
  <c r="AD962" i="5" s="1" a="1"/>
  <c r="AC963" i="5"/>
  <c r="AD963" i="5" s="1" a="1"/>
  <c r="AC964" i="5"/>
  <c r="AD964" i="5" s="1" a="1"/>
  <c r="AC965" i="5"/>
  <c r="AD965" i="5" s="1" a="1"/>
  <c r="AC966" i="5"/>
  <c r="AD966" i="5" s="1" a="1"/>
  <c r="AC967" i="5"/>
  <c r="AD967" i="5" s="1" a="1"/>
  <c r="AC968" i="5"/>
  <c r="AD968" i="5" s="1" a="1"/>
  <c r="AC969" i="5"/>
  <c r="AD969" i="5" s="1" a="1"/>
  <c r="AC970" i="5"/>
  <c r="AD970" i="5" s="1" a="1"/>
  <c r="AC971" i="5"/>
  <c r="AD971" i="5" s="1" a="1"/>
  <c r="AC972" i="5"/>
  <c r="AD972" i="5" s="1" a="1"/>
  <c r="AC973" i="5"/>
  <c r="AD973" i="5" s="1" a="1"/>
  <c r="AC974" i="5"/>
  <c r="AD974" i="5" s="1" a="1"/>
  <c r="AC975" i="5"/>
  <c r="AD975" i="5" s="1" a="1"/>
  <c r="AC976" i="5"/>
  <c r="AD976" i="5" s="1" a="1"/>
  <c r="AC977" i="5"/>
  <c r="AD977" i="5" s="1" a="1"/>
  <c r="AC978" i="5"/>
  <c r="AD978" i="5" s="1" a="1"/>
  <c r="AC979" i="5"/>
  <c r="AD979" i="5" s="1" a="1"/>
  <c r="AC980" i="5"/>
  <c r="AD980" i="5" s="1" a="1"/>
  <c r="AC981" i="5"/>
  <c r="AD981" i="5" s="1" a="1"/>
  <c r="AC982" i="5"/>
  <c r="AD982" i="5" s="1" a="1"/>
  <c r="AC983" i="5"/>
  <c r="AD983" i="5" s="1" a="1"/>
  <c r="AC984" i="5"/>
  <c r="AD984" i="5" s="1" a="1"/>
  <c r="AC985" i="5"/>
  <c r="AD985" i="5" s="1" a="1"/>
  <c r="AC986" i="5"/>
  <c r="AD986" i="5" s="1" a="1"/>
  <c r="AC987" i="5"/>
  <c r="AD987" i="5" s="1" a="1"/>
  <c r="AC988" i="5"/>
  <c r="AD988" i="5" s="1" a="1"/>
  <c r="AC989" i="5"/>
  <c r="AD989" i="5" s="1" a="1"/>
  <c r="AC990" i="5"/>
  <c r="AD990" i="5" s="1" a="1"/>
  <c r="AC991" i="5"/>
  <c r="AD991" i="5" s="1" a="1"/>
  <c r="AC992" i="5"/>
  <c r="AD992" i="5" s="1" a="1"/>
  <c r="AC993" i="5"/>
  <c r="AD993" i="5" s="1" a="1"/>
  <c r="AC994" i="5"/>
  <c r="AD994" i="5" s="1" a="1"/>
  <c r="AC995" i="5"/>
  <c r="AD995" i="5" s="1" a="1"/>
  <c r="AC996" i="5"/>
  <c r="AD996" i="5" s="1" a="1"/>
  <c r="AC997" i="5"/>
  <c r="AD997" i="5" s="1" a="1"/>
  <c r="AC998" i="5"/>
  <c r="AD998" i="5" s="1" a="1"/>
  <c r="AC999" i="5"/>
  <c r="AD999" i="5" s="1" a="1"/>
  <c r="AC1000" i="5"/>
  <c r="AD1000" i="5" s="1" a="1"/>
  <c r="AC1001" i="5"/>
  <c r="AD1001" i="5" s="1" a="1"/>
  <c r="AC1002" i="5"/>
  <c r="AD1002" i="5" s="1" a="1"/>
  <c r="AC1003" i="5"/>
  <c r="AD1003" i="5" s="1" a="1"/>
  <c r="AC1004" i="5"/>
  <c r="AD1004" i="5" s="1" a="1"/>
  <c r="AC1005" i="5"/>
  <c r="AD1005" i="5" s="1" a="1"/>
  <c r="AC1006" i="5"/>
  <c r="AD1006" i="5" s="1" a="1"/>
  <c r="AC1007" i="5"/>
  <c r="AD1007" i="5" s="1" a="1"/>
  <c r="AC1008" i="5"/>
  <c r="AD1008" i="5" s="1" a="1"/>
  <c r="AC1009" i="5"/>
  <c r="AD1009" i="5" s="1" a="1"/>
  <c r="AC1010" i="5"/>
  <c r="AD1010" i="5" s="1" a="1"/>
  <c r="AC1011" i="5"/>
  <c r="AD1011" i="5" s="1" a="1"/>
  <c r="AC1012" i="5"/>
  <c r="AD1012" i="5" s="1" a="1"/>
  <c r="AC1013" i="5"/>
  <c r="AD1013" i="5" s="1" a="1"/>
  <c r="AC1014" i="5"/>
  <c r="AD1014" i="5" s="1" a="1"/>
  <c r="AC1015" i="5"/>
  <c r="AD1015" i="5" s="1" a="1"/>
  <c r="AC1016" i="5"/>
  <c r="AD1016" i="5" s="1" a="1"/>
  <c r="AC1017" i="5"/>
  <c r="AD1017" i="5" s="1" a="1"/>
  <c r="AC1018" i="5"/>
  <c r="AD1018" i="5" s="1" a="1"/>
  <c r="AC1019" i="5"/>
  <c r="AD1019" i="5" s="1" a="1"/>
  <c r="AC1020" i="5"/>
  <c r="AD1020" i="5" s="1" a="1"/>
  <c r="AC1021" i="5"/>
  <c r="AD1021" i="5" s="1" a="1"/>
  <c r="AC1022" i="5"/>
  <c r="AD1022" i="5" s="1" a="1"/>
  <c r="AC1023" i="5"/>
  <c r="AD1023" i="5" s="1" a="1"/>
  <c r="AC1024" i="5"/>
  <c r="AD1024" i="5" s="1" a="1"/>
  <c r="AC1025" i="5"/>
  <c r="AD1025" i="5" s="1" a="1"/>
  <c r="AC1026" i="5"/>
  <c r="AD1026" i="5" s="1" a="1"/>
  <c r="AC1027" i="5"/>
  <c r="AD1027" i="5" s="1" a="1"/>
  <c r="AC1028" i="5"/>
  <c r="AD1028" i="5" s="1" a="1"/>
  <c r="AC1029" i="5"/>
  <c r="AD1029" i="5" s="1" a="1"/>
  <c r="AC1030" i="5"/>
  <c r="AD1030" i="5" s="1" a="1"/>
  <c r="AC1031" i="5"/>
  <c r="AD1031" i="5" s="1" a="1"/>
  <c r="AC1032" i="5"/>
  <c r="AD1032" i="5" s="1" a="1"/>
  <c r="AC1033" i="5"/>
  <c r="AD1033" i="5" s="1" a="1"/>
  <c r="AC1034" i="5"/>
  <c r="AD1034" i="5" s="1" a="1"/>
  <c r="AC1035" i="5"/>
  <c r="AD1035" i="5" s="1" a="1"/>
  <c r="AC1036" i="5"/>
  <c r="AD1036" i="5" s="1" a="1"/>
  <c r="AC1037" i="5"/>
  <c r="AD1037" i="5" s="1" a="1"/>
  <c r="AC1038" i="5"/>
  <c r="AD1038" i="5" s="1" a="1"/>
  <c r="AC1039" i="5"/>
  <c r="AD1039" i="5" s="1" a="1"/>
  <c r="AC1040" i="5"/>
  <c r="AD1040" i="5" s="1" a="1"/>
  <c r="AC1041" i="5"/>
  <c r="AD1041" i="5" s="1" a="1"/>
  <c r="AC1042" i="5"/>
  <c r="AD1042" i="5" s="1" a="1"/>
  <c r="AC1043" i="5"/>
  <c r="AD1043" i="5" s="1" a="1"/>
  <c r="AC1044" i="5"/>
  <c r="AD1044" i="5" s="1" a="1"/>
  <c r="AC1045" i="5"/>
  <c r="AD1045" i="5" s="1" a="1"/>
  <c r="AC1046" i="5"/>
  <c r="AD1046" i="5" s="1" a="1"/>
  <c r="AC1047" i="5"/>
  <c r="AD1047" i="5" s="1" a="1"/>
  <c r="AC1048" i="5"/>
  <c r="AD1048" i="5" s="1" a="1"/>
  <c r="AC1049" i="5"/>
  <c r="AD1049" i="5" s="1" a="1"/>
  <c r="AC1050" i="5"/>
  <c r="AD1050" i="5" s="1" a="1"/>
  <c r="AC1051" i="5"/>
  <c r="AD1051" i="5" s="1" a="1"/>
  <c r="AC1052" i="5"/>
  <c r="AD1052" i="5" s="1" a="1"/>
  <c r="AC1053" i="5"/>
  <c r="AD1053" i="5" s="1" a="1"/>
  <c r="AC1054" i="5"/>
  <c r="AD1054" i="5" s="1" a="1"/>
  <c r="AC1055" i="5"/>
  <c r="AD1055" i="5" s="1" a="1"/>
  <c r="AC1056" i="5"/>
  <c r="AD1056" i="5" s="1" a="1"/>
  <c r="AC1057" i="5"/>
  <c r="AD1057" i="5" s="1" a="1"/>
  <c r="AC1058" i="5"/>
  <c r="AD1058" i="5" s="1" a="1"/>
  <c r="AC1059" i="5"/>
  <c r="AD1059" i="5" s="1" a="1"/>
  <c r="AC1060" i="5"/>
  <c r="AD1060" i="5" s="1" a="1"/>
  <c r="AC1061" i="5"/>
  <c r="AD1061" i="5" s="1" a="1"/>
  <c r="AC1062" i="5"/>
  <c r="AD1062" i="5" s="1" a="1"/>
  <c r="AC1063" i="5"/>
  <c r="AD1063" i="5" s="1" a="1"/>
  <c r="AC1064" i="5"/>
  <c r="AD1064" i="5" s="1" a="1"/>
  <c r="AC1065" i="5"/>
  <c r="AD1065" i="5" s="1" a="1"/>
  <c r="AC1066" i="5"/>
  <c r="AD1066" i="5" s="1" a="1"/>
  <c r="AC1067" i="5"/>
  <c r="AD1067" i="5" s="1" a="1"/>
  <c r="AC1068" i="5"/>
  <c r="AD1068" i="5" s="1" a="1"/>
  <c r="AC1069" i="5"/>
  <c r="AD1069" i="5" s="1" a="1"/>
  <c r="AC1070" i="5"/>
  <c r="AD1070" i="5" s="1" a="1"/>
  <c r="AC1071" i="5"/>
  <c r="AD1071" i="5" s="1" a="1"/>
  <c r="AC1072" i="5"/>
  <c r="AD1072" i="5" s="1" a="1"/>
  <c r="AC1073" i="5"/>
  <c r="AD1073" i="5" s="1" a="1"/>
  <c r="AC1074" i="5"/>
  <c r="AD1074" i="5" s="1" a="1"/>
  <c r="AC1075" i="5"/>
  <c r="AD1075" i="5" s="1" a="1"/>
  <c r="AC1076" i="5"/>
  <c r="AD1076" i="5" s="1" a="1"/>
  <c r="AC1077" i="5"/>
  <c r="AD1077" i="5" s="1" a="1"/>
  <c r="AC1078" i="5"/>
  <c r="AD1078" i="5" s="1" a="1"/>
  <c r="AC1079" i="5"/>
  <c r="AD1079" i="5" s="1" a="1"/>
  <c r="AC1080" i="5"/>
  <c r="AD1080" i="5" s="1" a="1"/>
  <c r="AC1081" i="5"/>
  <c r="AD1081" i="5" s="1" a="1"/>
  <c r="AC1082" i="5"/>
  <c r="AD1082" i="5" s="1" a="1"/>
  <c r="AC1083" i="5"/>
  <c r="AD1083" i="5" s="1" a="1"/>
  <c r="AC1084" i="5"/>
  <c r="AD1084" i="5" s="1" a="1"/>
  <c r="AC1085" i="5"/>
  <c r="AD1085" i="5" s="1" a="1"/>
  <c r="AC1086" i="5"/>
  <c r="AD1086" i="5" s="1" a="1"/>
  <c r="AC1087" i="5"/>
  <c r="AD1087" i="5" s="1" a="1"/>
  <c r="AC1088" i="5"/>
  <c r="AD1088" i="5" s="1" a="1"/>
  <c r="AC1089" i="5"/>
  <c r="AD1089" i="5" s="1" a="1"/>
  <c r="AC1090" i="5"/>
  <c r="AD1090" i="5" s="1" a="1"/>
  <c r="AC1091" i="5"/>
  <c r="AD1091" i="5" s="1" a="1"/>
  <c r="AC1092" i="5"/>
  <c r="AD1092" i="5" s="1" a="1"/>
  <c r="AC1093" i="5"/>
  <c r="AD1093" i="5" s="1" a="1"/>
  <c r="AC1094" i="5"/>
  <c r="AD1094" i="5" s="1" a="1"/>
  <c r="AC1095" i="5"/>
  <c r="AD1095" i="5" s="1" a="1"/>
  <c r="AC1096" i="5"/>
  <c r="AD1096" i="5" s="1" a="1"/>
  <c r="AC1097" i="5"/>
  <c r="AD1097" i="5" s="1" a="1"/>
  <c r="AC1098" i="5"/>
  <c r="AD1098" i="5" s="1" a="1"/>
  <c r="AC1099" i="5"/>
  <c r="AD1099" i="5" s="1" a="1"/>
  <c r="AC1100" i="5"/>
  <c r="AD1100" i="5" s="1" a="1"/>
  <c r="AC1101" i="5"/>
  <c r="AD1101" i="5" s="1" a="1"/>
  <c r="AC1102" i="5"/>
  <c r="AD1102" i="5" s="1" a="1"/>
  <c r="AC1103" i="5"/>
  <c r="AD1103" i="5" s="1" a="1"/>
  <c r="AC1104" i="5"/>
  <c r="AD1104" i="5" s="1" a="1"/>
  <c r="AC1105" i="5"/>
  <c r="AD1105" i="5" s="1" a="1"/>
  <c r="AC1106" i="5"/>
  <c r="AD1106" i="5" s="1" a="1"/>
  <c r="AC1107" i="5"/>
  <c r="AD1107" i="5" s="1" a="1"/>
  <c r="AC1108" i="5"/>
  <c r="AD1108" i="5" s="1" a="1"/>
  <c r="AC1109" i="5"/>
  <c r="AD1109" i="5" s="1" a="1"/>
  <c r="AC1110" i="5"/>
  <c r="AD1110" i="5" s="1" a="1"/>
  <c r="AC1111" i="5"/>
  <c r="AD1111" i="5" s="1" a="1"/>
  <c r="AC1112" i="5"/>
  <c r="AD1112" i="5" s="1" a="1"/>
  <c r="AC1113" i="5"/>
  <c r="AD1113" i="5" s="1" a="1"/>
  <c r="AC1114" i="5"/>
  <c r="AD1114" i="5" s="1" a="1"/>
  <c r="AC1115" i="5"/>
  <c r="AD1115" i="5" s="1" a="1"/>
  <c r="AC1116" i="5"/>
  <c r="AD1116" i="5" s="1" a="1"/>
  <c r="AC1117" i="5"/>
  <c r="AD1117" i="5" s="1" a="1"/>
  <c r="AC1118" i="5"/>
  <c r="AD1118" i="5" s="1" a="1"/>
  <c r="AC1119" i="5"/>
  <c r="AD1119" i="5" s="1" a="1"/>
  <c r="AC1120" i="5"/>
  <c r="AD1120" i="5" s="1" a="1"/>
  <c r="AC1121" i="5"/>
  <c r="AD1121" i="5" s="1" a="1"/>
  <c r="AC1122" i="5"/>
  <c r="AD1122" i="5" s="1" a="1"/>
  <c r="AC1123" i="5"/>
  <c r="AD1123" i="5" s="1" a="1"/>
  <c r="AC1124" i="5"/>
  <c r="AD1124" i="5" s="1" a="1"/>
  <c r="AC1125" i="5"/>
  <c r="AD1125" i="5" s="1" a="1"/>
  <c r="AC1126" i="5"/>
  <c r="AD1126" i="5" s="1" a="1"/>
  <c r="AC1127" i="5"/>
  <c r="AD1127" i="5" s="1" a="1"/>
  <c r="AC1128" i="5"/>
  <c r="AD1128" i="5" s="1" a="1"/>
  <c r="AC1129" i="5"/>
  <c r="AD1129" i="5" s="1" a="1"/>
  <c r="AC1130" i="5"/>
  <c r="AD1130" i="5" s="1" a="1"/>
  <c r="AC1131" i="5"/>
  <c r="AD1131" i="5" s="1" a="1"/>
  <c r="AC1132" i="5"/>
  <c r="AD1132" i="5" s="1" a="1"/>
  <c r="AC1133" i="5"/>
  <c r="AD1133" i="5" s="1" a="1"/>
  <c r="AC1134" i="5"/>
  <c r="AD1134" i="5" s="1" a="1"/>
  <c r="AC1135" i="5"/>
  <c r="AD1135" i="5" s="1" a="1"/>
  <c r="AC1136" i="5"/>
  <c r="AD1136" i="5" s="1" a="1"/>
  <c r="AC1137" i="5"/>
  <c r="AD1137" i="5" s="1" a="1"/>
  <c r="AC1138" i="5"/>
  <c r="AD1138" i="5" s="1" a="1"/>
  <c r="AC1139" i="5"/>
  <c r="AD1139" i="5" s="1" a="1"/>
  <c r="AC1140" i="5"/>
  <c r="AD1140" i="5" s="1" a="1"/>
  <c r="AC1141" i="5"/>
  <c r="AD1141" i="5" s="1" a="1"/>
  <c r="AC1142" i="5"/>
  <c r="AD1142" i="5" s="1" a="1"/>
  <c r="AC1143" i="5"/>
  <c r="AD1143" i="5" s="1" a="1"/>
  <c r="AC1144" i="5"/>
  <c r="AD1144" i="5" s="1" a="1"/>
  <c r="AC1145" i="5"/>
  <c r="AD1145" i="5" s="1" a="1"/>
  <c r="AC1146" i="5"/>
  <c r="AD1146" i="5" s="1" a="1"/>
  <c r="AC1147" i="5"/>
  <c r="AD1147" i="5" s="1" a="1"/>
  <c r="AC1148" i="5"/>
  <c r="AD1148" i="5" s="1" a="1"/>
  <c r="AC1149" i="5"/>
  <c r="AD1149" i="5" s="1" a="1"/>
  <c r="AC1150" i="5"/>
  <c r="AD1150" i="5" s="1" a="1"/>
  <c r="AC1151" i="5"/>
  <c r="AD1151" i="5" s="1" a="1"/>
  <c r="AC1152" i="5"/>
  <c r="AD1152" i="5" s="1" a="1"/>
  <c r="AC1153" i="5"/>
  <c r="AD1153" i="5" s="1" a="1"/>
  <c r="AC1154" i="5"/>
  <c r="AD1154" i="5" s="1" a="1"/>
  <c r="AC1155" i="5"/>
  <c r="AD1155" i="5" s="1" a="1"/>
  <c r="AC1156" i="5"/>
  <c r="AD1156" i="5" s="1" a="1"/>
  <c r="AC1157" i="5"/>
  <c r="AD1157" i="5" s="1" a="1"/>
  <c r="AC1158" i="5"/>
  <c r="AD1158" i="5" s="1" a="1"/>
  <c r="AC1159" i="5"/>
  <c r="AD1159" i="5" s="1" a="1"/>
  <c r="AC1160" i="5"/>
  <c r="AD1160" i="5" s="1" a="1"/>
  <c r="AC1161" i="5"/>
  <c r="AD1161" i="5" s="1" a="1"/>
  <c r="AC1162" i="5"/>
  <c r="AD1162" i="5" s="1" a="1"/>
  <c r="AC1163" i="5"/>
  <c r="AD1163" i="5" s="1" a="1"/>
  <c r="AC1164" i="5"/>
  <c r="AD1164" i="5" s="1" a="1"/>
  <c r="AC1165" i="5"/>
  <c r="AD1165" i="5" s="1" a="1"/>
  <c r="AC1166" i="5"/>
  <c r="AD1166" i="5" s="1" a="1"/>
  <c r="AC1167" i="5"/>
  <c r="AD1167" i="5" s="1" a="1"/>
  <c r="AC1168" i="5"/>
  <c r="AD1168" i="5" s="1" a="1"/>
  <c r="AC1169" i="5"/>
  <c r="AD1169" i="5" s="1" a="1"/>
  <c r="AC1170" i="5"/>
  <c r="AD1170" i="5" s="1" a="1"/>
  <c r="AC1171" i="5"/>
  <c r="AD1171" i="5" s="1" a="1"/>
  <c r="AC1172" i="5"/>
  <c r="AD1172" i="5" s="1" a="1"/>
  <c r="AC1173" i="5"/>
  <c r="AD1173" i="5" s="1" a="1"/>
  <c r="AC1174" i="5"/>
  <c r="AD1174" i="5" s="1" a="1"/>
  <c r="AC1175" i="5"/>
  <c r="AD1175" i="5" s="1" a="1"/>
  <c r="AC1176" i="5"/>
  <c r="AD1176" i="5" s="1" a="1"/>
  <c r="AC1177" i="5"/>
  <c r="AD1177" i="5" s="1" a="1"/>
  <c r="AC1178" i="5"/>
  <c r="AD1178" i="5" s="1" a="1"/>
  <c r="AC1179" i="5"/>
  <c r="AD1179" i="5" s="1" a="1"/>
  <c r="AC1180" i="5"/>
  <c r="AD1180" i="5" s="1" a="1"/>
  <c r="AC1181" i="5"/>
  <c r="AD1181" i="5" s="1" a="1"/>
  <c r="AC1182" i="5"/>
  <c r="AD1182" i="5" s="1" a="1"/>
  <c r="AC1183" i="5"/>
  <c r="AD1183" i="5" s="1" a="1"/>
  <c r="AC1184" i="5"/>
  <c r="AD1184" i="5" s="1" a="1"/>
  <c r="AC1185" i="5"/>
  <c r="AD1185" i="5" s="1" a="1"/>
  <c r="AC1186" i="5"/>
  <c r="AD1186" i="5" s="1" a="1"/>
  <c r="AC1187" i="5"/>
  <c r="AD1187" i="5" s="1" a="1"/>
  <c r="AC1188" i="5"/>
  <c r="AD1188" i="5" s="1" a="1"/>
  <c r="AC1189" i="5"/>
  <c r="AD1189" i="5" s="1" a="1"/>
  <c r="AC1190" i="5"/>
  <c r="AD1190" i="5" s="1" a="1"/>
  <c r="AC1191" i="5"/>
  <c r="AD1191" i="5" s="1" a="1"/>
  <c r="AC1192" i="5"/>
  <c r="AD1192" i="5" s="1" a="1"/>
  <c r="AC1193" i="5"/>
  <c r="AD1193" i="5" s="1" a="1"/>
  <c r="AC1194" i="5"/>
  <c r="AD1194" i="5" s="1" a="1"/>
  <c r="AC1195" i="5"/>
  <c r="AD1195" i="5" s="1" a="1"/>
  <c r="AC1196" i="5"/>
  <c r="AD1196" i="5" s="1" a="1"/>
  <c r="AC1197" i="5"/>
  <c r="AD1197" i="5" s="1" a="1"/>
  <c r="AC1198" i="5"/>
  <c r="AD1198" i="5" s="1" a="1"/>
  <c r="AC1199" i="5"/>
  <c r="AD1199" i="5" s="1" a="1"/>
  <c r="AC1200" i="5"/>
  <c r="AD1200" i="5" s="1" a="1"/>
  <c r="AC1201" i="5"/>
  <c r="AD1201" i="5" s="1" a="1"/>
  <c r="AC1202" i="5"/>
  <c r="AD1202" i="5" s="1" a="1"/>
  <c r="AC1203" i="5"/>
  <c r="AD1203" i="5" s="1" a="1"/>
  <c r="AC1204" i="5"/>
  <c r="AD1204" i="5" s="1" a="1"/>
  <c r="AC1205" i="5"/>
  <c r="AD1205" i="5" s="1" a="1"/>
  <c r="AC1206" i="5"/>
  <c r="AD1206" i="5" s="1" a="1"/>
  <c r="AC1207" i="5"/>
  <c r="AD1207" i="5" s="1" a="1"/>
  <c r="AC1208" i="5"/>
  <c r="AD1208" i="5" s="1" a="1"/>
  <c r="AC1209" i="5"/>
  <c r="AD1209" i="5" s="1" a="1"/>
  <c r="AC1210" i="5"/>
  <c r="AD1210" i="5" s="1" a="1"/>
  <c r="AC1211" i="5"/>
  <c r="AD1211" i="5" s="1" a="1"/>
  <c r="AC1212" i="5"/>
  <c r="AD1212" i="5" s="1" a="1"/>
  <c r="AC1213" i="5"/>
  <c r="AD1213" i="5" s="1" a="1"/>
  <c r="AC1214" i="5"/>
  <c r="AD1214" i="5" s="1" a="1"/>
  <c r="AC1215" i="5"/>
  <c r="AD1215" i="5" s="1" a="1"/>
  <c r="AC1216" i="5"/>
  <c r="AD1216" i="5" s="1" a="1"/>
  <c r="AC1217" i="5"/>
  <c r="AD1217" i="5" s="1" a="1"/>
  <c r="AC1218" i="5"/>
  <c r="AD1218" i="5" s="1" a="1"/>
  <c r="AC1219" i="5"/>
  <c r="AD1219" i="5" s="1" a="1"/>
  <c r="AC1220" i="5"/>
  <c r="AD1220" i="5" s="1" a="1"/>
  <c r="AC1221" i="5"/>
  <c r="AD1221" i="5" s="1" a="1"/>
  <c r="AC1222" i="5"/>
  <c r="AD1222" i="5" s="1" a="1"/>
  <c r="AC1223" i="5"/>
  <c r="AD1223" i="5" s="1" a="1"/>
  <c r="AC1224" i="5"/>
  <c r="AD1224" i="5" s="1" a="1"/>
  <c r="AC1225" i="5"/>
  <c r="AD1225" i="5" s="1" a="1"/>
  <c r="AC1226" i="5"/>
  <c r="AD1226" i="5" s="1" a="1"/>
  <c r="AC1227" i="5"/>
  <c r="AD1227" i="5" s="1" a="1"/>
  <c r="AC1228" i="5"/>
  <c r="AD1228" i="5" s="1" a="1"/>
  <c r="AC1229" i="5"/>
  <c r="AD1229" i="5" s="1" a="1"/>
  <c r="AC1230" i="5"/>
  <c r="AD1230" i="5" s="1" a="1"/>
  <c r="AC1231" i="5"/>
  <c r="AD1231" i="5" s="1" a="1"/>
  <c r="AC1232" i="5"/>
  <c r="AD1232" i="5" s="1" a="1"/>
  <c r="AC1233" i="5"/>
  <c r="AD1233" i="5" s="1" a="1"/>
  <c r="AC1234" i="5"/>
  <c r="AD1234" i="5" s="1" a="1"/>
  <c r="AC1235" i="5"/>
  <c r="AD1235" i="5" s="1" a="1"/>
  <c r="AC1236" i="5"/>
  <c r="AD1236" i="5" s="1" a="1"/>
  <c r="AC1237" i="5"/>
  <c r="AD1237" i="5" s="1" a="1"/>
  <c r="AC1238" i="5"/>
  <c r="AD1238" i="5" s="1" a="1"/>
  <c r="AC1239" i="5"/>
  <c r="AD1239" i="5" s="1" a="1"/>
  <c r="AC1240" i="5"/>
  <c r="AD1240" i="5" s="1" a="1"/>
  <c r="AC1241" i="5"/>
  <c r="AD1241" i="5" s="1" a="1"/>
  <c r="AC1242" i="5"/>
  <c r="AD1242" i="5" s="1" a="1"/>
  <c r="AC1243" i="5"/>
  <c r="AD1243" i="5" s="1" a="1"/>
  <c r="AC1244" i="5"/>
  <c r="AD1244" i="5" s="1" a="1"/>
  <c r="AC1245" i="5"/>
  <c r="AD1245" i="5" s="1" a="1"/>
  <c r="AC1246" i="5"/>
  <c r="AD1246" i="5" s="1" a="1"/>
  <c r="AC1247" i="5"/>
  <c r="AD1247" i="5" s="1" a="1"/>
  <c r="AC1248" i="5"/>
  <c r="AD1248" i="5" s="1" a="1"/>
  <c r="AC1249" i="5"/>
  <c r="AD1249" i="5" s="1" a="1"/>
  <c r="AC1250" i="5"/>
  <c r="AD1250" i="5" s="1" a="1"/>
  <c r="AC1251" i="5"/>
  <c r="AD1251" i="5" s="1" a="1"/>
  <c r="AC1252" i="5"/>
  <c r="AD1252" i="5" s="1" a="1"/>
  <c r="AC1253" i="5"/>
  <c r="AD1253" i="5" s="1" a="1"/>
  <c r="AC1254" i="5"/>
  <c r="AD1254" i="5" s="1" a="1"/>
  <c r="AC1255" i="5"/>
  <c r="AD1255" i="5" s="1" a="1"/>
  <c r="AC1256" i="5"/>
  <c r="AD1256" i="5" s="1" a="1"/>
  <c r="AC1257" i="5"/>
  <c r="AD1257" i="5" s="1" a="1"/>
  <c r="AC1258" i="5"/>
  <c r="AD1258" i="5" s="1" a="1"/>
  <c r="AC1259" i="5"/>
  <c r="AD1259" i="5" s="1" a="1"/>
  <c r="AC1260" i="5"/>
  <c r="AD1260" i="5" s="1" a="1"/>
  <c r="AC1261" i="5"/>
  <c r="AD1261" i="5" s="1" a="1"/>
  <c r="AC1262" i="5"/>
  <c r="AD1262" i="5" s="1" a="1"/>
  <c r="AC1263" i="5"/>
  <c r="AD1263" i="5" s="1" a="1"/>
  <c r="AC1264" i="5"/>
  <c r="AD1264" i="5" s="1" a="1"/>
  <c r="AC1265" i="5"/>
  <c r="AD1265" i="5" s="1" a="1"/>
  <c r="AC1266" i="5"/>
  <c r="AD1266" i="5" s="1" a="1"/>
  <c r="AC1267" i="5"/>
  <c r="AD1267" i="5" s="1" a="1"/>
  <c r="AC1268" i="5"/>
  <c r="AD1268" i="5" s="1" a="1"/>
  <c r="AC1269" i="5"/>
  <c r="AD1269" i="5" s="1" a="1"/>
  <c r="AC1270" i="5"/>
  <c r="AD1270" i="5" s="1" a="1"/>
  <c r="AC1271" i="5"/>
  <c r="AD1271" i="5" s="1" a="1"/>
  <c r="AC1272" i="5"/>
  <c r="AD1272" i="5" s="1" a="1"/>
  <c r="AC1273" i="5"/>
  <c r="AD1273" i="5" s="1" a="1"/>
  <c r="AC1274" i="5"/>
  <c r="AD1274" i="5" s="1" a="1"/>
  <c r="AC1275" i="5"/>
  <c r="AD1275" i="5" s="1" a="1"/>
  <c r="AC1276" i="5"/>
  <c r="AD1276" i="5" s="1" a="1"/>
  <c r="AC1277" i="5"/>
  <c r="AD1277" i="5" s="1" a="1"/>
  <c r="AC1278" i="5"/>
  <c r="AD1278" i="5" s="1" a="1"/>
  <c r="AC1279" i="5"/>
  <c r="AD1279" i="5" s="1" a="1"/>
  <c r="AC1280" i="5"/>
  <c r="AD1280" i="5" s="1" a="1"/>
  <c r="AC1281" i="5"/>
  <c r="AD1281" i="5" s="1" a="1"/>
  <c r="AC1282" i="5"/>
  <c r="AD1282" i="5" s="1" a="1"/>
  <c r="AC1283" i="5"/>
  <c r="AD1283" i="5" s="1" a="1"/>
  <c r="AC1284" i="5"/>
  <c r="AD1284" i="5" s="1" a="1"/>
  <c r="AC1285" i="5"/>
  <c r="AD1285" i="5" s="1" a="1"/>
  <c r="AC1286" i="5"/>
  <c r="AD1286" i="5" s="1" a="1"/>
  <c r="AC1287" i="5"/>
  <c r="AD1287" i="5" s="1" a="1"/>
  <c r="AC1288" i="5"/>
  <c r="AD1288" i="5" s="1" a="1"/>
  <c r="AC1289" i="5"/>
  <c r="AD1289" i="5" s="1" a="1"/>
  <c r="AC1290" i="5"/>
  <c r="AD1290" i="5" s="1" a="1"/>
  <c r="AC1291" i="5"/>
  <c r="AD1291" i="5" s="1" a="1"/>
  <c r="AC1292" i="5"/>
  <c r="AD1292" i="5" s="1" a="1"/>
  <c r="AC1293" i="5"/>
  <c r="AD1293" i="5" s="1" a="1"/>
  <c r="AC1294" i="5"/>
  <c r="AD1294" i="5" s="1" a="1"/>
  <c r="AC1295" i="5"/>
  <c r="AD1295" i="5" s="1" a="1"/>
  <c r="AC1296" i="5"/>
  <c r="AD1296" i="5" s="1" a="1"/>
  <c r="AC1297" i="5"/>
  <c r="AD1297" i="5" s="1" a="1"/>
  <c r="AC1298" i="5"/>
  <c r="AD1298" i="5" s="1" a="1"/>
  <c r="AC1299" i="5"/>
  <c r="AD1299" i="5" s="1" a="1"/>
  <c r="AC1300" i="5"/>
  <c r="AD1300" i="5" s="1" a="1"/>
  <c r="AC1301" i="5"/>
  <c r="AD1301" i="5" s="1" a="1"/>
  <c r="AC1302" i="5"/>
  <c r="AD1302" i="5" s="1" a="1"/>
  <c r="AC1303" i="5"/>
  <c r="AD1303" i="5" s="1" a="1"/>
  <c r="AC1304" i="5"/>
  <c r="AD1304" i="5" s="1" a="1"/>
  <c r="AC1305" i="5"/>
  <c r="AD1305" i="5" s="1" a="1"/>
  <c r="AC1306" i="5"/>
  <c r="AD1306" i="5" s="1" a="1"/>
  <c r="AC1307" i="5"/>
  <c r="AD1307" i="5" s="1" a="1"/>
  <c r="AC1308" i="5"/>
  <c r="AD1308" i="5" s="1" a="1"/>
  <c r="AC1309" i="5"/>
  <c r="AD1309" i="5" s="1" a="1"/>
  <c r="AC1310" i="5"/>
  <c r="AD1310" i="5" s="1" a="1"/>
  <c r="AC1311" i="5"/>
  <c r="AD1311" i="5" s="1" a="1"/>
  <c r="AC1312" i="5"/>
  <c r="AD1312" i="5" s="1" a="1"/>
  <c r="AC1313" i="5"/>
  <c r="AD1313" i="5" s="1" a="1"/>
  <c r="AC1314" i="5"/>
  <c r="AD1314" i="5" s="1" a="1"/>
  <c r="AC1315" i="5"/>
  <c r="AD1315" i="5" s="1" a="1"/>
  <c r="AC1316" i="5"/>
  <c r="AD1316" i="5" s="1" a="1"/>
  <c r="AC1317" i="5"/>
  <c r="AD1317" i="5" s="1" a="1"/>
  <c r="AC1318" i="5"/>
  <c r="AD1318" i="5" s="1" a="1"/>
  <c r="AC1319" i="5"/>
  <c r="AD1319" i="5" s="1" a="1"/>
  <c r="AC1320" i="5"/>
  <c r="AD1320" i="5" s="1" a="1"/>
  <c r="AC1321" i="5"/>
  <c r="AD1321" i="5" s="1" a="1"/>
  <c r="AC1322" i="5"/>
  <c r="AD1322" i="5" s="1" a="1"/>
  <c r="AC1323" i="5"/>
  <c r="AD1323" i="5" s="1" a="1"/>
  <c r="AC1324" i="5"/>
  <c r="AD1324" i="5" s="1" a="1"/>
  <c r="AC1325" i="5"/>
  <c r="AD1325" i="5" s="1" a="1"/>
  <c r="AC1326" i="5"/>
  <c r="AD1326" i="5" s="1" a="1"/>
  <c r="AC1327" i="5"/>
  <c r="AD1327" i="5" s="1" a="1"/>
  <c r="AC1328" i="5"/>
  <c r="AD1328" i="5" s="1" a="1"/>
  <c r="AC1329" i="5"/>
  <c r="AD1329" i="5" s="1" a="1"/>
  <c r="AC1330" i="5"/>
  <c r="AD1330" i="5" s="1" a="1"/>
  <c r="AC1331" i="5"/>
  <c r="AD1331" i="5" s="1" a="1"/>
  <c r="AC1332" i="5"/>
  <c r="AD1332" i="5" s="1" a="1"/>
  <c r="AC1333" i="5"/>
  <c r="AD1333" i="5" s="1" a="1"/>
  <c r="AC1334" i="5"/>
  <c r="AD1334" i="5" s="1" a="1"/>
  <c r="AC1335" i="5"/>
  <c r="AD1335" i="5" s="1" a="1"/>
  <c r="AC1336" i="5"/>
  <c r="AD1336" i="5" s="1" a="1"/>
  <c r="AC1337" i="5"/>
  <c r="AD1337" i="5" s="1" a="1"/>
  <c r="AC1338" i="5"/>
  <c r="AD1338" i="5" s="1" a="1"/>
  <c r="AC1339" i="5"/>
  <c r="AD1339" i="5" s="1" a="1"/>
  <c r="AC1340" i="5"/>
  <c r="AD1340" i="5" s="1" a="1"/>
  <c r="AC1341" i="5"/>
  <c r="AD1341" i="5" s="1" a="1"/>
  <c r="AC1342" i="5"/>
  <c r="AD1342" i="5" s="1" a="1"/>
  <c r="AC1343" i="5"/>
  <c r="AD1343" i="5" s="1" a="1"/>
  <c r="AC1344" i="5"/>
  <c r="AD1344" i="5" s="1" a="1"/>
  <c r="AC1345" i="5"/>
  <c r="AD1345" i="5" s="1" a="1"/>
  <c r="AC1346" i="5"/>
  <c r="AD1346" i="5" s="1" a="1"/>
  <c r="AC1347" i="5"/>
  <c r="AD1347" i="5" s="1" a="1"/>
  <c r="AC1348" i="5"/>
  <c r="AD1348" i="5" s="1" a="1"/>
  <c r="AC1349" i="5"/>
  <c r="AD1349" i="5" s="1" a="1"/>
  <c r="AC1350" i="5"/>
  <c r="AD1350" i="5" s="1" a="1"/>
  <c r="AC1351" i="5"/>
  <c r="AD1351" i="5" s="1" a="1"/>
  <c r="AC1352" i="5"/>
  <c r="AD1352" i="5" s="1" a="1"/>
  <c r="AC1353" i="5"/>
  <c r="AD1353" i="5" s="1" a="1"/>
  <c r="AC1354" i="5"/>
  <c r="AD1354" i="5" s="1" a="1"/>
  <c r="AC1355" i="5"/>
  <c r="AD1355" i="5" s="1" a="1"/>
  <c r="AC1356" i="5"/>
  <c r="AD1356" i="5" s="1" a="1"/>
  <c r="AC1357" i="5"/>
  <c r="AC1358" i="5"/>
  <c r="AC1359" i="5"/>
  <c r="AC1360" i="5"/>
  <c r="AC1361" i="5"/>
  <c r="AC1362" i="5"/>
  <c r="AC1363" i="5"/>
  <c r="AC1364" i="5"/>
  <c r="AC1365" i="5"/>
  <c r="AC1366" i="5"/>
  <c r="AC1367" i="5"/>
  <c r="AC1368" i="5"/>
  <c r="AC1369" i="5"/>
  <c r="AC1370" i="5"/>
  <c r="AC1371" i="5"/>
  <c r="AC1372" i="5"/>
  <c r="AC1373" i="5"/>
  <c r="AC1374" i="5"/>
  <c r="AC1375" i="5"/>
  <c r="AC1376" i="5"/>
  <c r="AC1377" i="5"/>
  <c r="AC1378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C1415" i="5"/>
  <c r="AC1416" i="5"/>
  <c r="AC1417" i="5"/>
  <c r="AC1418" i="5"/>
  <c r="AC1419" i="5"/>
  <c r="AC1420" i="5"/>
  <c r="AC1421" i="5"/>
  <c r="AC1422" i="5"/>
  <c r="AC1423" i="5"/>
  <c r="AC1424" i="5"/>
  <c r="AC1425" i="5"/>
  <c r="AC1426" i="5"/>
  <c r="AC1427" i="5"/>
  <c r="AC1428" i="5"/>
  <c r="AC1429" i="5"/>
  <c r="AC1430" i="5"/>
  <c r="AC1431" i="5"/>
  <c r="AC1432" i="5"/>
  <c r="AC1433" i="5"/>
  <c r="AC1434" i="5"/>
  <c r="AC1435" i="5"/>
  <c r="AC1436" i="5"/>
  <c r="AC1437" i="5"/>
  <c r="AC1438" i="5"/>
  <c r="AC1439" i="5"/>
  <c r="AC1440" i="5"/>
  <c r="AC1441" i="5"/>
  <c r="AC1442" i="5"/>
  <c r="AC1443" i="5"/>
  <c r="AC1444" i="5"/>
  <c r="AC1445" i="5"/>
  <c r="AC1446" i="5"/>
  <c r="AC1447" i="5"/>
  <c r="AC1448" i="5"/>
  <c r="AC1449" i="5"/>
  <c r="AC1450" i="5"/>
  <c r="AC1451" i="5"/>
  <c r="AC1452" i="5"/>
  <c r="AC1453" i="5"/>
  <c r="AC1454" i="5"/>
  <c r="AC1455" i="5"/>
  <c r="AC1456" i="5"/>
  <c r="AC1457" i="5"/>
  <c r="AC1458" i="5"/>
  <c r="AC1459" i="5"/>
  <c r="AC1460" i="5"/>
  <c r="AC1461" i="5"/>
  <c r="AC1462" i="5"/>
  <c r="AC1463" i="5"/>
  <c r="AC1464" i="5"/>
  <c r="AC1465" i="5"/>
  <c r="AC1466" i="5"/>
  <c r="AC1467" i="5"/>
  <c r="AC1468" i="5"/>
  <c r="AC1469" i="5"/>
  <c r="AC1470" i="5"/>
  <c r="AC1471" i="5"/>
  <c r="AC1472" i="5"/>
  <c r="AC1473" i="5"/>
  <c r="AC1474" i="5"/>
  <c r="AC1475" i="5"/>
  <c r="AC1476" i="5"/>
  <c r="AC1477" i="5"/>
  <c r="AC1478" i="5"/>
  <c r="AC1479" i="5"/>
  <c r="AC1480" i="5"/>
  <c r="AC1481" i="5"/>
  <c r="AC1482" i="5"/>
  <c r="AC1483" i="5"/>
  <c r="AC1484" i="5"/>
  <c r="AC1485" i="5"/>
  <c r="AC1486" i="5"/>
  <c r="AC1487" i="5"/>
  <c r="AC1488" i="5"/>
  <c r="AC1489" i="5"/>
  <c r="AC1490" i="5"/>
  <c r="AC1491" i="5"/>
  <c r="AC1492" i="5"/>
  <c r="AC1493" i="5"/>
  <c r="AC1494" i="5"/>
  <c r="AC1495" i="5"/>
  <c r="AC1496" i="5"/>
  <c r="AC1497" i="5"/>
  <c r="AC1498" i="5"/>
  <c r="AC1499" i="5"/>
  <c r="AC1500" i="5"/>
  <c r="AC1501" i="5"/>
  <c r="AC1502" i="5"/>
  <c r="AC1503" i="5"/>
  <c r="AC1504" i="5"/>
  <c r="AC1505" i="5"/>
  <c r="AC1506" i="5"/>
  <c r="AC1507" i="5"/>
  <c r="AC1508" i="5"/>
  <c r="AC1509" i="5"/>
  <c r="AC1510" i="5"/>
  <c r="AC1511" i="5"/>
  <c r="AC1512" i="5"/>
  <c r="AC1513" i="5"/>
  <c r="AC1514" i="5"/>
  <c r="AC1515" i="5"/>
  <c r="AC1516" i="5"/>
  <c r="AC1517" i="5"/>
  <c r="AC1518" i="5"/>
  <c r="AC1519" i="5"/>
  <c r="AC1520" i="5"/>
  <c r="AC1521" i="5"/>
  <c r="AC1522" i="5"/>
  <c r="AC1523" i="5"/>
  <c r="AC1524" i="5"/>
  <c r="AC1525" i="5"/>
  <c r="AC1526" i="5"/>
  <c r="AC1527" i="5"/>
  <c r="AC1528" i="5"/>
  <c r="AC1529" i="5"/>
  <c r="AC1530" i="5"/>
  <c r="AC1531" i="5"/>
  <c r="AC1532" i="5"/>
  <c r="AC1533" i="5"/>
  <c r="AC1534" i="5"/>
  <c r="AC1535" i="5"/>
  <c r="AC1536" i="5"/>
  <c r="AC1537" i="5"/>
  <c r="AC1538" i="5"/>
  <c r="AC1539" i="5"/>
  <c r="AC1540" i="5"/>
  <c r="AC1541" i="5"/>
  <c r="AC1542" i="5"/>
  <c r="AC1543" i="5"/>
  <c r="AC1544" i="5"/>
  <c r="AC1545" i="5"/>
  <c r="AC1546" i="5"/>
  <c r="AC1547" i="5"/>
  <c r="AC1548" i="5"/>
  <c r="AC1549" i="5"/>
  <c r="AC1550" i="5"/>
  <c r="AC1551" i="5"/>
  <c r="AC1552" i="5"/>
  <c r="AC1553" i="5"/>
  <c r="AC1554" i="5"/>
  <c r="AC1555" i="5"/>
  <c r="AC1556" i="5"/>
  <c r="AC1557" i="5"/>
  <c r="AC1558" i="5"/>
  <c r="AC1559" i="5"/>
  <c r="AC1560" i="5"/>
  <c r="AC1561" i="5"/>
  <c r="AC1562" i="5"/>
  <c r="AC1563" i="5"/>
  <c r="AC1564" i="5"/>
  <c r="AC1565" i="5"/>
  <c r="AC1566" i="5"/>
  <c r="AC1567" i="5"/>
  <c r="AC1568" i="5"/>
  <c r="AC1569" i="5"/>
  <c r="AC1570" i="5"/>
  <c r="AC1571" i="5"/>
  <c r="AC1572" i="5"/>
  <c r="AC1573" i="5"/>
  <c r="AC1574" i="5"/>
  <c r="AC1575" i="5"/>
  <c r="AC1576" i="5"/>
  <c r="AC1577" i="5"/>
  <c r="AC1578" i="5"/>
  <c r="AC1579" i="5"/>
  <c r="AC1580" i="5"/>
  <c r="AC1581" i="5"/>
  <c r="AC1582" i="5"/>
  <c r="AC1583" i="5"/>
  <c r="AC1584" i="5"/>
  <c r="AC1585" i="5"/>
  <c r="AC1586" i="5"/>
  <c r="AC1587" i="5"/>
  <c r="AC1588" i="5"/>
  <c r="AC1589" i="5"/>
  <c r="AC1590" i="5"/>
  <c r="AC1591" i="5"/>
  <c r="AC1592" i="5"/>
  <c r="AC1593" i="5"/>
  <c r="AC1594" i="5"/>
  <c r="AC1595" i="5"/>
  <c r="AC1596" i="5"/>
  <c r="AC1597" i="5"/>
  <c r="AC1598" i="5"/>
  <c r="AC1599" i="5"/>
  <c r="AC1600" i="5"/>
  <c r="AC1601" i="5"/>
  <c r="AC1602" i="5"/>
  <c r="AC1603" i="5"/>
  <c r="AC1604" i="5"/>
  <c r="AC1605" i="5"/>
  <c r="AC1606" i="5"/>
  <c r="AC1607" i="5"/>
  <c r="AC1608" i="5"/>
  <c r="AC1609" i="5"/>
  <c r="AC1610" i="5"/>
  <c r="AC1611" i="5"/>
  <c r="AC1612" i="5"/>
  <c r="AC1613" i="5"/>
  <c r="AC1614" i="5"/>
  <c r="AC1615" i="5"/>
  <c r="AC1616" i="5"/>
  <c r="AC1617" i="5"/>
  <c r="AC1618" i="5"/>
  <c r="AC1619" i="5"/>
  <c r="AC1620" i="5"/>
  <c r="AC1621" i="5"/>
  <c r="AC1622" i="5"/>
  <c r="AC1623" i="5"/>
  <c r="AC1624" i="5"/>
  <c r="AC1625" i="5"/>
  <c r="AC1626" i="5"/>
  <c r="AC1627" i="5"/>
  <c r="AC1628" i="5"/>
  <c r="AC1629" i="5"/>
  <c r="AC1630" i="5"/>
  <c r="AC1631" i="5"/>
  <c r="AC1632" i="5"/>
  <c r="AC1633" i="5"/>
  <c r="AC1634" i="5"/>
  <c r="AC1635" i="5"/>
  <c r="AC1636" i="5"/>
  <c r="AC1637" i="5"/>
  <c r="AC1638" i="5"/>
  <c r="AC1639" i="5"/>
  <c r="AC1640" i="5"/>
  <c r="AC1641" i="5"/>
  <c r="AC1642" i="5"/>
  <c r="AC1643" i="5"/>
  <c r="AC1644" i="5"/>
  <c r="AC1645" i="5"/>
  <c r="AC1646" i="5"/>
  <c r="AC1647" i="5"/>
  <c r="AC1648" i="5"/>
  <c r="AC1649" i="5"/>
  <c r="AC1650" i="5"/>
  <c r="AC1651" i="5"/>
  <c r="AC1652" i="5"/>
  <c r="AC1653" i="5"/>
  <c r="AC1654" i="5"/>
  <c r="AC1655" i="5"/>
  <c r="AC1656" i="5"/>
  <c r="AC1657" i="5"/>
  <c r="AC1658" i="5"/>
  <c r="AC1659" i="5"/>
  <c r="AC1660" i="5"/>
  <c r="AC1661" i="5"/>
  <c r="AC1662" i="5"/>
  <c r="AC1663" i="5"/>
  <c r="AC1664" i="5"/>
  <c r="AC1665" i="5"/>
  <c r="AC1666" i="5"/>
  <c r="AC1667" i="5"/>
  <c r="AC1668" i="5"/>
  <c r="AC1669" i="5"/>
  <c r="AC1670" i="5"/>
  <c r="AC1671" i="5"/>
  <c r="AC1672" i="5"/>
  <c r="AC1673" i="5"/>
  <c r="AC1674" i="5"/>
  <c r="AC1675" i="5"/>
  <c r="AC1676" i="5"/>
  <c r="AC1677" i="5"/>
  <c r="AC1678" i="5"/>
  <c r="AC1679" i="5"/>
  <c r="AC1680" i="5"/>
  <c r="AD1680" i="5" s="1" a="1"/>
  <c r="AC1681" i="5"/>
  <c r="AD1681" i="5" s="1" a="1"/>
  <c r="AC1682" i="5"/>
  <c r="AD1682" i="5" s="1" a="1"/>
  <c r="AC1683" i="5"/>
  <c r="AD1683" i="5" s="1" a="1"/>
  <c r="AC1684" i="5"/>
  <c r="AD1684" i="5" s="1" a="1"/>
  <c r="AC1685" i="5"/>
  <c r="AD1685" i="5" s="1" a="1"/>
  <c r="AC1686" i="5"/>
  <c r="AD1686" i="5" s="1" a="1"/>
  <c r="AC1687" i="5"/>
  <c r="AD1687" i="5" s="1" a="1"/>
  <c r="AC1688" i="5"/>
  <c r="AD1688" i="5" s="1" a="1"/>
  <c r="AC1689" i="5"/>
  <c r="AD1689" i="5" s="1" a="1"/>
  <c r="AC1690" i="5"/>
  <c r="AD1690" i="5" s="1" a="1"/>
  <c r="AC1691" i="5"/>
  <c r="AD1691" i="5" s="1" a="1"/>
  <c r="AC1692" i="5"/>
  <c r="AD1692" i="5" s="1" a="1"/>
  <c r="AC1693" i="5"/>
  <c r="AD1693" i="5" s="1" a="1"/>
  <c r="AC1694" i="5"/>
  <c r="AD1694" i="5" s="1" a="1"/>
  <c r="AC1695" i="5"/>
  <c r="AD1695" i="5" s="1" a="1"/>
  <c r="AC1696" i="5"/>
  <c r="AD1696" i="5" s="1" a="1"/>
  <c r="AC1697" i="5"/>
  <c r="AD1697" i="5" s="1" a="1"/>
  <c r="AC1698" i="5"/>
  <c r="AD1698" i="5" s="1" a="1"/>
  <c r="AC1699" i="5"/>
  <c r="AD1699" i="5" s="1" a="1"/>
  <c r="AC1700" i="5"/>
  <c r="AD1700" i="5" s="1" a="1"/>
  <c r="AC1701" i="5"/>
  <c r="AD1701" i="5" s="1" a="1"/>
  <c r="AC1702" i="5"/>
  <c r="AD1702" i="5" s="1" a="1"/>
  <c r="AC1703" i="5"/>
  <c r="AD1703" i="5" s="1" a="1"/>
  <c r="AC1704" i="5"/>
  <c r="AD1704" i="5" s="1" a="1"/>
  <c r="AC1705" i="5"/>
  <c r="AD1705" i="5" s="1" a="1"/>
  <c r="AC1706" i="5"/>
  <c r="AD1706" i="5" s="1" a="1"/>
  <c r="AC1707" i="5"/>
  <c r="AD1707" i="5" s="1" a="1"/>
  <c r="AC1708" i="5"/>
  <c r="AD1708" i="5" s="1" a="1"/>
  <c r="AC1709" i="5"/>
  <c r="AD1709" i="5" s="1" a="1"/>
  <c r="AC1710" i="5"/>
  <c r="AD1710" i="5" s="1" a="1"/>
  <c r="AC1711" i="5"/>
  <c r="AD1711" i="5" s="1" a="1"/>
  <c r="AC1712" i="5"/>
  <c r="AD1712" i="5" s="1" a="1"/>
  <c r="AC1713" i="5"/>
  <c r="AD1713" i="5" s="1" a="1"/>
  <c r="AC1714" i="5"/>
  <c r="AD1714" i="5" s="1" a="1"/>
  <c r="AC1715" i="5"/>
  <c r="AD1715" i="5" s="1" a="1"/>
  <c r="AC1716" i="5"/>
  <c r="AD1716" i="5" s="1" a="1"/>
  <c r="AC1717" i="5"/>
  <c r="AD1717" i="5" s="1" a="1"/>
  <c r="AC1718" i="5"/>
  <c r="AD1718" i="5" s="1" a="1"/>
  <c r="AC1719" i="5"/>
  <c r="AD1719" i="5" s="1" a="1"/>
  <c r="AC1720" i="5"/>
  <c r="AD1720" i="5" s="1" a="1"/>
  <c r="AC1721" i="5"/>
  <c r="AD1721" i="5" s="1" a="1"/>
  <c r="AC1722" i="5"/>
  <c r="AD1722" i="5" s="1" a="1"/>
  <c r="AC1723" i="5"/>
  <c r="AD1723" i="5" s="1" a="1"/>
  <c r="AC1724" i="5"/>
  <c r="AD1724" i="5" s="1" a="1"/>
  <c r="AC1725" i="5"/>
  <c r="AD1725" i="5" s="1" a="1"/>
  <c r="AC1726" i="5"/>
  <c r="AD1726" i="5" s="1" a="1"/>
  <c r="AC1727" i="5"/>
  <c r="AD1727" i="5" s="1" a="1"/>
  <c r="AC1728" i="5"/>
  <c r="AD1728" i="5" s="1" a="1"/>
  <c r="AC1729" i="5"/>
  <c r="AD1729" i="5" s="1" a="1"/>
  <c r="AC1730" i="5"/>
  <c r="AD1730" i="5" s="1" a="1"/>
  <c r="AC1731" i="5"/>
  <c r="AD1731" i="5" s="1" a="1"/>
  <c r="AC1732" i="5"/>
  <c r="AD1732" i="5" s="1" a="1"/>
  <c r="AC1733" i="5"/>
  <c r="AD1733" i="5" s="1" a="1"/>
  <c r="AC1734" i="5"/>
  <c r="AD1734" i="5" s="1" a="1"/>
  <c r="AC1735" i="5"/>
  <c r="AD1735" i="5" s="1" a="1"/>
  <c r="AC1736" i="5"/>
  <c r="AD1736" i="5" s="1" a="1"/>
  <c r="AC1737" i="5"/>
  <c r="AD1737" i="5" s="1" a="1"/>
  <c r="AC1738" i="5"/>
  <c r="AD1738" i="5" s="1" a="1"/>
  <c r="AC1739" i="5"/>
  <c r="AD1739" i="5" s="1" a="1"/>
  <c r="AC1740" i="5"/>
  <c r="AD1740" i="5" s="1" a="1"/>
  <c r="AC1741" i="5"/>
  <c r="AD1741" i="5" s="1" a="1"/>
  <c r="AC1742" i="5"/>
  <c r="AD1742" i="5" s="1" a="1"/>
  <c r="AC1743" i="5"/>
  <c r="AD1743" i="5" s="1" a="1"/>
  <c r="AC1744" i="5"/>
  <c r="AD1744" i="5" s="1" a="1"/>
  <c r="AC1745" i="5"/>
  <c r="AD1745" i="5" s="1" a="1"/>
  <c r="AC1746" i="5"/>
  <c r="AD1746" i="5" s="1" a="1"/>
  <c r="AC1747" i="5"/>
  <c r="AD1747" i="5" s="1" a="1"/>
  <c r="AC1748" i="5"/>
  <c r="AD1748" i="5" s="1" a="1"/>
  <c r="AC1749" i="5"/>
  <c r="AD1749" i="5" s="1" a="1"/>
  <c r="AC1750" i="5"/>
  <c r="AD1750" i="5" s="1" a="1"/>
  <c r="AC1751" i="5"/>
  <c r="AD1751" i="5" s="1" a="1"/>
  <c r="AC1752" i="5"/>
  <c r="AD1752" i="5" s="1" a="1"/>
  <c r="AC1753" i="5"/>
  <c r="AD1753" i="5" s="1" a="1"/>
  <c r="AC1754" i="5"/>
  <c r="AD1754" i="5" s="1" a="1"/>
  <c r="AC1755" i="5"/>
  <c r="AD1755" i="5" s="1" a="1"/>
  <c r="AC1756" i="5"/>
  <c r="AD1756" i="5" s="1" a="1"/>
  <c r="AC1757" i="5"/>
  <c r="AD1757" i="5" s="1" a="1"/>
  <c r="AC1758" i="5"/>
  <c r="AD1758" i="5" s="1" a="1"/>
  <c r="AC1759" i="5"/>
  <c r="AD1759" i="5" s="1" a="1"/>
  <c r="AC1760" i="5"/>
  <c r="AD1760" i="5" s="1" a="1"/>
  <c r="AC1761" i="5"/>
  <c r="AD1761" i="5" s="1" a="1"/>
  <c r="AC1762" i="5"/>
  <c r="AD1762" i="5" s="1" a="1"/>
  <c r="AC1763" i="5"/>
  <c r="AD1763" i="5" s="1" a="1"/>
  <c r="AC1764" i="5"/>
  <c r="AD1764" i="5" s="1" a="1"/>
  <c r="AC1765" i="5"/>
  <c r="AD1765" i="5" s="1" a="1"/>
  <c r="AC1766" i="5"/>
  <c r="AD1766" i="5" s="1" a="1"/>
  <c r="AC1767" i="5"/>
  <c r="AD1767" i="5" s="1" a="1"/>
  <c r="AC1768" i="5"/>
  <c r="AD1768" i="5" s="1" a="1"/>
  <c r="AC1769" i="5"/>
  <c r="AD1769" i="5" s="1" a="1"/>
  <c r="AC1770" i="5"/>
  <c r="AD1770" i="5" s="1" a="1"/>
  <c r="AC1771" i="5"/>
  <c r="AD1771" i="5" s="1" a="1"/>
  <c r="AC1772" i="5"/>
  <c r="AD1772" i="5" s="1" a="1"/>
  <c r="AC1773" i="5"/>
  <c r="AD1773" i="5" s="1" a="1"/>
  <c r="AC1774" i="5"/>
  <c r="AD1774" i="5" s="1" a="1"/>
  <c r="AC1775" i="5"/>
  <c r="AD1775" i="5" s="1" a="1"/>
  <c r="AC1776" i="5"/>
  <c r="AD1776" i="5" s="1" a="1"/>
  <c r="AC1777" i="5"/>
  <c r="AD1777" i="5" s="1" a="1"/>
  <c r="AC1778" i="5"/>
  <c r="AD1778" i="5" s="1" a="1"/>
  <c r="AC1779" i="5"/>
  <c r="AD1779" i="5" s="1" a="1"/>
  <c r="AC1780" i="5"/>
  <c r="AD1780" i="5" s="1" a="1"/>
  <c r="AC1781" i="5"/>
  <c r="AD1781" i="5" s="1" a="1"/>
  <c r="AC1782" i="5"/>
  <c r="AD1782" i="5" s="1" a="1"/>
  <c r="AC1783" i="5"/>
  <c r="AD1783" i="5" s="1" a="1"/>
  <c r="AC1784" i="5"/>
  <c r="AD1784" i="5" s="1" a="1"/>
  <c r="AC1785" i="5"/>
  <c r="AD1785" i="5" s="1" a="1"/>
  <c r="AC1786" i="5"/>
  <c r="AD1786" i="5" s="1" a="1"/>
  <c r="AC1787" i="5"/>
  <c r="AD1787" i="5" s="1" a="1"/>
  <c r="AC1788" i="5"/>
  <c r="AD1788" i="5" s="1" a="1"/>
  <c r="AC1789" i="5"/>
  <c r="AD1789" i="5" s="1" a="1"/>
  <c r="AC1790" i="5"/>
  <c r="AD1790" i="5" s="1" a="1"/>
  <c r="AC1791" i="5"/>
  <c r="AD1791" i="5" s="1" a="1"/>
  <c r="AC1792" i="5"/>
  <c r="AD1792" i="5" s="1" a="1"/>
  <c r="AC1793" i="5"/>
  <c r="AD1793" i="5" s="1" a="1"/>
  <c r="AC1794" i="5"/>
  <c r="AD1794" i="5" s="1" a="1"/>
  <c r="AC1795" i="5"/>
  <c r="AD1795" i="5" s="1" a="1"/>
  <c r="AC1796" i="5"/>
  <c r="AD1796" i="5" s="1" a="1"/>
  <c r="AC1797" i="5"/>
  <c r="AD1797" i="5" s="1" a="1"/>
  <c r="AC1798" i="5"/>
  <c r="AD1798" i="5" s="1" a="1"/>
  <c r="AC1799" i="5"/>
  <c r="AD1799" i="5" s="1" a="1"/>
  <c r="AC1800" i="5"/>
  <c r="AD1800" i="5" s="1" a="1"/>
  <c r="AC1801" i="5"/>
  <c r="AD1801" i="5" s="1" a="1"/>
  <c r="AC1802" i="5"/>
  <c r="AD1802" i="5" s="1" a="1"/>
  <c r="AC1803" i="5"/>
  <c r="AD1803" i="5" s="1" a="1"/>
  <c r="AC1804" i="5"/>
  <c r="AD1804" i="5" s="1" a="1"/>
  <c r="AC1805" i="5"/>
  <c r="AD1805" i="5" s="1" a="1"/>
  <c r="AC1806" i="5"/>
  <c r="AD1806" i="5" s="1" a="1"/>
  <c r="AC1807" i="5"/>
  <c r="AD1807" i="5" s="1" a="1"/>
  <c r="AC1808" i="5"/>
  <c r="AD1808" i="5" s="1" a="1"/>
  <c r="AC1809" i="5"/>
  <c r="AD1809" i="5" s="1" a="1"/>
  <c r="AC1810" i="5"/>
  <c r="AD1810" i="5" s="1" a="1"/>
  <c r="AC1811" i="5"/>
  <c r="AD1811" i="5" s="1" a="1"/>
  <c r="AC1812" i="5"/>
  <c r="AD1812" i="5" s="1" a="1"/>
  <c r="AC1813" i="5"/>
  <c r="AD1813" i="5" s="1" a="1"/>
  <c r="AC1814" i="5"/>
  <c r="AD1814" i="5" s="1" a="1"/>
  <c r="AC1815" i="5"/>
  <c r="AD1815" i="5" s="1" a="1"/>
  <c r="AC1816" i="5"/>
  <c r="AD1816" i="5" s="1" a="1"/>
  <c r="AC1817" i="5"/>
  <c r="AD1817" i="5" s="1" a="1"/>
  <c r="AC1818" i="5"/>
  <c r="AD1818" i="5" s="1" a="1"/>
  <c r="AC1819" i="5"/>
  <c r="AD1819" i="5" s="1" a="1"/>
  <c r="AC1820" i="5"/>
  <c r="AD1820" i="5" s="1" a="1"/>
  <c r="AC1821" i="5"/>
  <c r="AD1821" i="5" s="1" a="1"/>
  <c r="AC1822" i="5"/>
  <c r="AD1822" i="5" s="1" a="1"/>
  <c r="AC1823" i="5"/>
  <c r="AD1823" i="5" s="1" a="1"/>
  <c r="AC1824" i="5"/>
  <c r="AD1824" i="5" s="1" a="1"/>
  <c r="AC1825" i="5"/>
  <c r="AD1825" i="5" s="1" a="1"/>
  <c r="AC1826" i="5"/>
  <c r="AD1826" i="5" s="1" a="1"/>
  <c r="AC1827" i="5"/>
  <c r="AD1827" i="5" s="1" a="1"/>
  <c r="AC1828" i="5"/>
  <c r="AD1828" i="5" s="1" a="1"/>
  <c r="AC1829" i="5"/>
  <c r="AD1829" i="5" s="1" a="1"/>
  <c r="AC1830" i="5"/>
  <c r="AD1830" i="5" s="1" a="1"/>
  <c r="AC1831" i="5"/>
  <c r="AD1831" i="5" s="1" a="1"/>
  <c r="AC1832" i="5"/>
  <c r="AD1832" i="5" s="1" a="1"/>
  <c r="AC1833" i="5"/>
  <c r="AD1833" i="5" s="1" a="1"/>
  <c r="AC1834" i="5"/>
  <c r="AD1834" i="5" s="1" a="1"/>
  <c r="AC1835" i="5"/>
  <c r="AD1835" i="5" s="1" a="1"/>
  <c r="AC1836" i="5"/>
  <c r="AD1836" i="5" s="1" a="1"/>
  <c r="AC1837" i="5"/>
  <c r="AD1837" i="5" s="1" a="1"/>
  <c r="AC1838" i="5"/>
  <c r="AD1838" i="5" s="1" a="1"/>
  <c r="AC1839" i="5"/>
  <c r="AD1839" i="5" s="1" a="1"/>
  <c r="AC1840" i="5"/>
  <c r="AD1840" i="5" s="1" a="1"/>
  <c r="AC1841" i="5"/>
  <c r="AD1841" i="5" s="1" a="1"/>
  <c r="AC1842" i="5"/>
  <c r="AD1842" i="5" s="1" a="1"/>
  <c r="AC1843" i="5"/>
  <c r="AD1843" i="5" s="1" a="1"/>
  <c r="AC1844" i="5"/>
  <c r="AD1844" i="5" s="1" a="1"/>
  <c r="AC1845" i="5"/>
  <c r="AD1845" i="5" s="1" a="1"/>
  <c r="AC1846" i="5"/>
  <c r="AD1846" i="5" s="1" a="1"/>
  <c r="AC1847" i="5"/>
  <c r="AD1847" i="5" s="1" a="1"/>
  <c r="AC1848" i="5"/>
  <c r="AD1848" i="5" s="1" a="1"/>
  <c r="AC1849" i="5"/>
  <c r="AD1849" i="5" s="1" a="1"/>
  <c r="AC1850" i="5"/>
  <c r="AD1850" i="5" s="1" a="1"/>
  <c r="AC1851" i="5"/>
  <c r="AD1851" i="5" s="1" a="1"/>
  <c r="AC1852" i="5"/>
  <c r="AD1852" i="5" s="1" a="1"/>
  <c r="AC1853" i="5"/>
  <c r="AD1853" i="5" s="1" a="1"/>
  <c r="AC1854" i="5"/>
  <c r="AD1854" i="5" s="1" a="1"/>
  <c r="AC1855" i="5"/>
  <c r="AD1855" i="5" s="1" a="1"/>
  <c r="AC1856" i="5"/>
  <c r="AD1856" i="5" s="1" a="1"/>
  <c r="AC1857" i="5"/>
  <c r="AD1857" i="5" s="1" a="1"/>
  <c r="AC1858" i="5"/>
  <c r="AD1858" i="5" s="1" a="1"/>
  <c r="AC1859" i="5"/>
  <c r="AD1859" i="5" s="1" a="1"/>
  <c r="AC1860" i="5"/>
  <c r="AD1860" i="5" s="1" a="1"/>
  <c r="AC1861" i="5"/>
  <c r="AD1861" i="5" s="1" a="1"/>
  <c r="AC1862" i="5"/>
  <c r="AD1862" i="5" s="1" a="1"/>
  <c r="AC1863" i="5"/>
  <c r="AD1863" i="5" s="1" a="1"/>
  <c r="AC1864" i="5"/>
  <c r="AD1864" i="5" s="1" a="1"/>
  <c r="AC1865" i="5"/>
  <c r="AD1865" i="5" s="1" a="1"/>
  <c r="AC1866" i="5"/>
  <c r="AD1866" i="5" s="1" a="1"/>
  <c r="AC1867" i="5"/>
  <c r="AD1867" i="5" s="1" a="1"/>
  <c r="AC1868" i="5"/>
  <c r="AD1868" i="5" s="1" a="1"/>
  <c r="AC1869" i="5"/>
  <c r="AD1869" i="5" s="1" a="1"/>
  <c r="AC1870" i="5"/>
  <c r="AD1870" i="5" s="1" a="1"/>
  <c r="AC1871" i="5"/>
  <c r="AD1871" i="5" s="1" a="1"/>
  <c r="AC1872" i="5"/>
  <c r="AD1872" i="5" s="1" a="1"/>
  <c r="AC1873" i="5"/>
  <c r="AD1873" i="5" s="1" a="1"/>
  <c r="AC1874" i="5"/>
  <c r="AD1874" i="5" s="1" a="1"/>
  <c r="AC1875" i="5"/>
  <c r="AD1875" i="5" s="1" a="1"/>
  <c r="AC1876" i="5"/>
  <c r="AD1876" i="5" s="1" a="1"/>
  <c r="AC1877" i="5"/>
  <c r="AD1877" i="5" s="1" a="1"/>
  <c r="AC1878" i="5"/>
  <c r="AD1878" i="5" s="1" a="1"/>
  <c r="AC1879" i="5"/>
  <c r="AD1879" i="5" s="1" a="1"/>
  <c r="AC1880" i="5"/>
  <c r="AD1880" i="5" s="1" a="1"/>
  <c r="AC1881" i="5"/>
  <c r="AD1881" i="5" s="1" a="1"/>
  <c r="AC1882" i="5"/>
  <c r="AD1882" i="5" s="1" a="1"/>
  <c r="AC1883" i="5"/>
  <c r="AD1883" i="5" s="1" a="1"/>
  <c r="AC1884" i="5"/>
  <c r="AD1884" i="5" s="1" a="1"/>
  <c r="AC1885" i="5"/>
  <c r="AD1885" i="5" s="1" a="1"/>
  <c r="AC1886" i="5"/>
  <c r="AD1886" i="5" s="1" a="1"/>
  <c r="AC1887" i="5"/>
  <c r="AD1887" i="5" s="1" a="1"/>
  <c r="AC1888" i="5"/>
  <c r="AD1888" i="5" s="1" a="1"/>
  <c r="AC1889" i="5"/>
  <c r="AD1889" i="5" s="1" a="1"/>
  <c r="AC1890" i="5"/>
  <c r="AD1890" i="5" s="1" a="1"/>
  <c r="AC1891" i="5"/>
  <c r="AD1891" i="5" s="1" a="1"/>
  <c r="AC1892" i="5"/>
  <c r="AD1892" i="5" s="1" a="1"/>
  <c r="AC1893" i="5"/>
  <c r="AD1893" i="5" s="1" a="1"/>
  <c r="AC1894" i="5"/>
  <c r="AD1894" i="5" s="1" a="1"/>
  <c r="AC1895" i="5"/>
  <c r="AD1895" i="5" s="1" a="1"/>
  <c r="AC1896" i="5"/>
  <c r="AD1896" i="5" s="1" a="1"/>
  <c r="AC1897" i="5"/>
  <c r="AD1897" i="5" s="1" a="1"/>
  <c r="AC1898" i="5"/>
  <c r="AD1898" i="5" s="1" a="1"/>
  <c r="AC1899" i="5"/>
  <c r="AD1899" i="5" s="1" a="1"/>
  <c r="AC1900" i="5"/>
  <c r="AD1900" i="5" s="1" a="1"/>
  <c r="AC1901" i="5"/>
  <c r="AD1901" i="5" s="1" a="1"/>
  <c r="AC1902" i="5"/>
  <c r="AD1902" i="5" s="1" a="1"/>
  <c r="AC1903" i="5"/>
  <c r="AD1903" i="5" s="1" a="1"/>
  <c r="AC1904" i="5"/>
  <c r="AD1904" i="5" s="1" a="1"/>
  <c r="AC1905" i="5"/>
  <c r="AD1905" i="5" s="1" a="1"/>
  <c r="AC1906" i="5"/>
  <c r="AD1906" i="5" s="1" a="1"/>
  <c r="AC1907" i="5"/>
  <c r="AD1907" i="5" s="1" a="1"/>
  <c r="AC1908" i="5"/>
  <c r="AD1908" i="5" s="1" a="1"/>
  <c r="AC1909" i="5"/>
  <c r="AD1909" i="5" s="1" a="1"/>
  <c r="AC1910" i="5"/>
  <c r="AD1910" i="5" s="1" a="1"/>
  <c r="AC1911" i="5"/>
  <c r="AD1911" i="5" s="1" a="1"/>
  <c r="AC1912" i="5"/>
  <c r="AD1912" i="5" s="1" a="1"/>
  <c r="AC1913" i="5"/>
  <c r="AD1913" i="5" s="1" a="1"/>
  <c r="AC1914" i="5"/>
  <c r="AD1914" i="5" s="1" a="1"/>
  <c r="AC1915" i="5"/>
  <c r="AD1915" i="5" s="1" a="1"/>
  <c r="AC1916" i="5"/>
  <c r="AD1916" i="5" s="1" a="1"/>
  <c r="AC1917" i="5"/>
  <c r="AD1917" i="5" s="1" a="1"/>
  <c r="AC1918" i="5"/>
  <c r="AD1918" i="5" s="1" a="1"/>
  <c r="AC1919" i="5"/>
  <c r="AD1919" i="5" s="1" a="1"/>
  <c r="AC1920" i="5"/>
  <c r="AD1920" i="5" s="1" a="1"/>
  <c r="AC1921" i="5"/>
  <c r="AD1921" i="5" s="1" a="1"/>
  <c r="AC1922" i="5"/>
  <c r="AD1922" i="5" s="1" a="1"/>
  <c r="AC1923" i="5"/>
  <c r="AD1923" i="5" s="1" a="1"/>
  <c r="AC1924" i="5"/>
  <c r="AD1924" i="5" s="1" a="1"/>
  <c r="AC1925" i="5"/>
  <c r="AD1925" i="5" s="1" a="1"/>
  <c r="AC1926" i="5"/>
  <c r="AD1926" i="5" s="1" a="1"/>
  <c r="AC1927" i="5"/>
  <c r="AD1927" i="5" s="1" a="1"/>
  <c r="AC1928" i="5"/>
  <c r="AD1928" i="5" s="1" a="1"/>
  <c r="AC1929" i="5"/>
  <c r="AD1929" i="5" s="1" a="1"/>
  <c r="AC1930" i="5"/>
  <c r="AD1930" i="5" s="1" a="1"/>
  <c r="AC1931" i="5"/>
  <c r="AD1931" i="5" s="1" a="1"/>
  <c r="AC1932" i="5"/>
  <c r="AD1932" i="5" s="1" a="1"/>
  <c r="AC1933" i="5"/>
  <c r="AD1933" i="5" s="1" a="1"/>
  <c r="AC1934" i="5"/>
  <c r="AD1934" i="5" s="1" a="1"/>
  <c r="AC1935" i="5"/>
  <c r="AD1935" i="5" s="1" a="1"/>
  <c r="AC1936" i="5"/>
  <c r="AD1936" i="5" s="1" a="1"/>
  <c r="AC1937" i="5"/>
  <c r="AD1937" i="5" s="1" a="1"/>
  <c r="AC1938" i="5"/>
  <c r="AD1938" i="5" s="1" a="1"/>
  <c r="AC1939" i="5"/>
  <c r="AD1939" i="5" s="1" a="1"/>
  <c r="AC1940" i="5"/>
  <c r="AD1940" i="5" s="1" a="1"/>
  <c r="AC1941" i="5"/>
  <c r="AD1941" i="5" s="1" a="1"/>
  <c r="AC1942" i="5"/>
  <c r="AD1942" i="5" s="1" a="1"/>
  <c r="AC1943" i="5"/>
  <c r="AD1943" i="5" s="1" a="1"/>
  <c r="AC1944" i="5"/>
  <c r="AD1944" i="5" s="1" a="1"/>
  <c r="AC1945" i="5"/>
  <c r="AD1945" i="5" s="1" a="1"/>
  <c r="AC1946" i="5"/>
  <c r="AD1946" i="5" s="1" a="1"/>
  <c r="AC1947" i="5"/>
  <c r="AD1947" i="5" s="1" a="1"/>
  <c r="AC1948" i="5"/>
  <c r="AD1948" i="5" s="1" a="1"/>
  <c r="AC1949" i="5"/>
  <c r="AD1949" i="5" s="1" a="1"/>
  <c r="AC1950" i="5"/>
  <c r="AD1950" i="5" s="1" a="1"/>
  <c r="AC1951" i="5"/>
  <c r="AD1951" i="5" s="1" a="1"/>
  <c r="AC1952" i="5"/>
  <c r="AD1952" i="5" s="1" a="1"/>
  <c r="AC1953" i="5"/>
  <c r="AD1953" i="5" s="1" a="1"/>
  <c r="AC1954" i="5"/>
  <c r="AD1954" i="5" s="1" a="1"/>
  <c r="AC1955" i="5"/>
  <c r="AD1955" i="5" s="1" a="1"/>
  <c r="AC1956" i="5"/>
  <c r="AD1956" i="5" s="1" a="1"/>
  <c r="AC1957" i="5"/>
  <c r="AD1957" i="5" s="1" a="1"/>
  <c r="AC1958" i="5"/>
  <c r="AD1958" i="5" s="1" a="1"/>
  <c r="AC1959" i="5"/>
  <c r="AD1959" i="5" s="1" a="1"/>
  <c r="AC1960" i="5"/>
  <c r="AD1960" i="5" s="1" a="1"/>
  <c r="AC1961" i="5"/>
  <c r="AD1961" i="5" s="1" a="1"/>
  <c r="AC1962" i="5"/>
  <c r="AD1962" i="5" s="1" a="1"/>
  <c r="AC1963" i="5"/>
  <c r="AD1963" i="5" s="1" a="1"/>
  <c r="AC1964" i="5"/>
  <c r="AD1964" i="5" s="1" a="1"/>
  <c r="AC1965" i="5"/>
  <c r="AD1965" i="5" s="1" a="1"/>
  <c r="AC1966" i="5"/>
  <c r="AD1966" i="5" s="1" a="1"/>
  <c r="AC1967" i="5"/>
  <c r="AD1967" i="5" s="1" a="1"/>
  <c r="AC1968" i="5"/>
  <c r="AD1968" i="5" s="1" a="1"/>
  <c r="AC1969" i="5"/>
  <c r="AD1969" i="5" s="1" a="1"/>
  <c r="AC1970" i="5"/>
  <c r="AD1970" i="5" s="1" a="1"/>
  <c r="AC1971" i="5"/>
  <c r="AD1971" i="5" s="1" a="1"/>
  <c r="AC1972" i="5"/>
  <c r="AD1972" i="5" s="1" a="1"/>
  <c r="AC1973" i="5"/>
  <c r="AD1973" i="5" s="1" a="1"/>
  <c r="AC1974" i="5"/>
  <c r="AD1974" i="5" s="1" a="1"/>
  <c r="AC1975" i="5"/>
  <c r="AD1975" i="5" s="1" a="1"/>
  <c r="AC1976" i="5"/>
  <c r="AD1976" i="5" s="1" a="1"/>
  <c r="AC1977" i="5"/>
  <c r="AD1977" i="5" s="1" a="1"/>
  <c r="AC1978" i="5"/>
  <c r="AD1978" i="5" s="1" a="1"/>
  <c r="AC1979" i="5"/>
  <c r="AD1979" i="5" s="1" a="1"/>
  <c r="AC1980" i="5"/>
  <c r="AD1980" i="5" s="1" a="1"/>
  <c r="AC1981" i="5"/>
  <c r="AD1981" i="5" s="1" a="1"/>
  <c r="AC1982" i="5"/>
  <c r="AD1982" i="5" s="1" a="1"/>
  <c r="AC1983" i="5"/>
  <c r="AD1983" i="5" s="1" a="1"/>
  <c r="AC1984" i="5"/>
  <c r="AD1984" i="5" s="1" a="1"/>
  <c r="AC1985" i="5"/>
  <c r="AD1985" i="5" s="1" a="1"/>
  <c r="AC1986" i="5"/>
  <c r="AD1986" i="5" s="1" a="1"/>
  <c r="AC1987" i="5"/>
  <c r="AD1987" i="5" s="1" a="1"/>
  <c r="AC1988" i="5"/>
  <c r="AD1988" i="5" s="1" a="1"/>
  <c r="AC1989" i="5"/>
  <c r="AD1989" i="5" s="1" a="1"/>
  <c r="AC1990" i="5"/>
  <c r="AD1990" i="5" s="1" a="1"/>
  <c r="AC1991" i="5"/>
  <c r="AD1991" i="5" s="1" a="1"/>
  <c r="AC1992" i="5"/>
  <c r="AD1992" i="5" s="1" a="1"/>
  <c r="AC1993" i="5"/>
  <c r="AD1993" i="5" s="1" a="1"/>
  <c r="AC1994" i="5"/>
  <c r="AD1994" i="5" s="1" a="1"/>
  <c r="AC1995" i="5"/>
  <c r="AD1995" i="5" s="1" a="1"/>
  <c r="AC1996" i="5"/>
  <c r="AD1996" i="5" s="1" a="1"/>
  <c r="AC1997" i="5"/>
  <c r="AD1997" i="5" s="1" a="1"/>
  <c r="AC1998" i="5"/>
  <c r="AD1998" i="5" s="1" a="1"/>
  <c r="AC1999" i="5"/>
  <c r="AD1999" i="5" s="1" a="1"/>
  <c r="AC2000" i="5"/>
  <c r="AD2000" i="5" s="1" a="1"/>
  <c r="AC2001" i="5"/>
  <c r="AD2001" i="5" s="1" a="1"/>
  <c r="G143" i="7"/>
  <c r="G142" i="7"/>
  <c r="G141" i="7"/>
  <c r="G140" i="7"/>
  <c r="G139" i="7"/>
  <c r="G138" i="7"/>
  <c r="G137" i="7"/>
  <c r="G136" i="7"/>
  <c r="G135" i="7"/>
  <c r="G129" i="7"/>
  <c r="G128" i="7"/>
  <c r="G127" i="7"/>
  <c r="G126" i="7"/>
  <c r="G125" i="7"/>
  <c r="G124" i="7"/>
  <c r="G123" i="7"/>
  <c r="G122" i="7"/>
  <c r="G116" i="7"/>
  <c r="G115" i="7"/>
  <c r="G114" i="7"/>
  <c r="G113" i="7"/>
  <c r="G112" i="7"/>
  <c r="G111" i="7"/>
  <c r="G110" i="7"/>
  <c r="G109" i="7"/>
  <c r="G108" i="7"/>
  <c r="G102" i="7"/>
  <c r="G101" i="7"/>
  <c r="G100" i="7"/>
  <c r="G99" i="7"/>
  <c r="G98" i="7"/>
  <c r="G97" i="7"/>
  <c r="G96" i="7"/>
  <c r="G95" i="7"/>
  <c r="G94" i="7"/>
  <c r="G93" i="7"/>
  <c r="G87" i="7"/>
  <c r="G86" i="7"/>
  <c r="G85" i="7"/>
  <c r="G84" i="7"/>
  <c r="G83" i="7"/>
  <c r="G82" i="7"/>
  <c r="G81" i="7"/>
  <c r="G80" i="7"/>
  <c r="G79" i="7"/>
  <c r="G78" i="7"/>
  <c r="G55" i="7"/>
  <c r="G54" i="7"/>
  <c r="G53" i="7"/>
  <c r="C3" i="5" a="1"/>
  <c r="C4" i="5" a="1"/>
  <c r="C5" i="5" a="1"/>
  <c r="C6" i="5" a="1"/>
  <c r="C7" i="5" a="1"/>
  <c r="C8" i="5" a="1"/>
  <c r="C9" i="5" a="1"/>
  <c r="C10" i="5" a="1"/>
  <c r="C11" i="5" a="1"/>
  <c r="C12" i="5" a="1"/>
  <c r="C13" i="5" a="1"/>
  <c r="C14" i="5" a="1"/>
  <c r="C15" i="5" a="1"/>
  <c r="C16" i="5" a="1"/>
  <c r="C17" i="5" a="1"/>
  <c r="C18" i="5" a="1"/>
  <c r="C19" i="5" a="1"/>
  <c r="C20" i="5" a="1"/>
  <c r="C21" i="5" a="1"/>
  <c r="C22" i="5" a="1"/>
  <c r="C23" i="5" a="1"/>
  <c r="C24" i="5" a="1"/>
  <c r="C25" i="5" a="1"/>
  <c r="C26" i="5" a="1"/>
  <c r="C27" i="5" a="1"/>
  <c r="C28" i="5" a="1"/>
  <c r="C29" i="5" a="1"/>
  <c r="C30" i="5" a="1"/>
  <c r="C31" i="5" a="1"/>
  <c r="C32" i="5" a="1"/>
  <c r="C33" i="5" a="1"/>
  <c r="C34" i="5" a="1"/>
  <c r="C35" i="5" a="1"/>
  <c r="C36" i="5" a="1"/>
  <c r="C37" i="5" a="1"/>
  <c r="C38" i="5" a="1"/>
  <c r="C39" i="5" a="1"/>
  <c r="C40" i="5" a="1"/>
  <c r="C41" i="5" a="1"/>
  <c r="C42" i="5" a="1"/>
  <c r="C43" i="5" a="1"/>
  <c r="C44" i="5" a="1"/>
  <c r="C45" i="5" a="1"/>
  <c r="C46" i="5" a="1"/>
  <c r="C47" i="5" a="1"/>
  <c r="C48" i="5" a="1"/>
  <c r="C49" i="5" a="1"/>
  <c r="C50" i="5" a="1"/>
  <c r="C51" i="5" a="1"/>
  <c r="C52" i="5" a="1"/>
  <c r="C53" i="5" a="1"/>
  <c r="C54" i="5" a="1"/>
  <c r="C55" i="5" a="1"/>
  <c r="C56" i="5" a="1"/>
  <c r="C57" i="5" a="1"/>
  <c r="C58" i="5" a="1"/>
  <c r="C59" i="5" a="1"/>
  <c r="C60" i="5" a="1"/>
  <c r="C61" i="5" a="1"/>
  <c r="C62" i="5" a="1"/>
  <c r="C63" i="5" a="1"/>
  <c r="C64" i="5" a="1"/>
  <c r="C65" i="5" a="1"/>
  <c r="C66" i="5" a="1"/>
  <c r="C67" i="5" a="1"/>
  <c r="C68" i="5" a="1"/>
  <c r="C69" i="5" a="1"/>
  <c r="C70" i="5" a="1"/>
  <c r="C71" i="5" a="1"/>
  <c r="C72" i="5" a="1"/>
  <c r="C73" i="5" a="1"/>
  <c r="C74" i="5" a="1"/>
  <c r="C75" i="5" a="1"/>
  <c r="C76" i="5" a="1"/>
  <c r="C77" i="5" a="1"/>
  <c r="C78" i="5" a="1"/>
  <c r="C79" i="5" a="1"/>
  <c r="C80" i="5" a="1"/>
  <c r="C81" i="5" a="1"/>
  <c r="C82" i="5" a="1"/>
  <c r="C83" i="5" a="1"/>
  <c r="C84" i="5" a="1"/>
  <c r="C85" i="5" a="1"/>
  <c r="C86" i="5" a="1"/>
  <c r="C87" i="5" a="1"/>
  <c r="C88" i="5" a="1"/>
  <c r="C89" i="5" a="1"/>
  <c r="C90" i="5" a="1"/>
  <c r="C91" i="5" a="1"/>
  <c r="C92" i="5" a="1"/>
  <c r="C93" i="5" a="1"/>
  <c r="C94" i="5" a="1"/>
  <c r="C95" i="5" a="1"/>
  <c r="C96" i="5" a="1"/>
  <c r="C97" i="5" a="1"/>
  <c r="C98" i="5" a="1"/>
  <c r="C99" i="5" a="1"/>
  <c r="C100" i="5" a="1"/>
  <c r="C101" i="5" a="1"/>
  <c r="C102" i="5" a="1"/>
  <c r="C103" i="5" a="1"/>
  <c r="C104" i="5" a="1"/>
  <c r="C105" i="5" a="1"/>
  <c r="C106" i="5" a="1"/>
  <c r="C107" i="5" a="1"/>
  <c r="C108" i="5" a="1"/>
  <c r="C109" i="5" a="1"/>
  <c r="C110" i="5" a="1"/>
  <c r="C111" i="5" a="1"/>
  <c r="C112" i="5" a="1"/>
  <c r="C113" i="5" a="1"/>
  <c r="C114" i="5" a="1"/>
  <c r="C115" i="5" a="1"/>
  <c r="C116" i="5" a="1"/>
  <c r="C117" i="5" a="1"/>
  <c r="C118" i="5" a="1"/>
  <c r="C119" i="5" a="1"/>
  <c r="C120" i="5" a="1"/>
  <c r="C121" i="5" a="1"/>
  <c r="C122" i="5" a="1"/>
  <c r="C123" i="5" a="1"/>
  <c r="C124" i="5" a="1"/>
  <c r="C125" i="5" a="1"/>
  <c r="C126" i="5" a="1"/>
  <c r="C127" i="5" a="1"/>
  <c r="C128" i="5" a="1"/>
  <c r="C129" i="5" a="1"/>
  <c r="C130" i="5" a="1"/>
  <c r="C131" i="5" a="1"/>
  <c r="C132" i="5" a="1"/>
  <c r="C133" i="5" a="1"/>
  <c r="C134" i="5" a="1"/>
  <c r="C135" i="5" a="1"/>
  <c r="C136" i="5" a="1"/>
  <c r="C137" i="5" a="1"/>
  <c r="C138" i="5" a="1"/>
  <c r="C139" i="5" a="1"/>
  <c r="C140" i="5" a="1"/>
  <c r="C141" i="5" a="1"/>
  <c r="C142" i="5" a="1"/>
  <c r="C143" i="5" a="1"/>
  <c r="C144" i="5" a="1"/>
  <c r="C145" i="5" a="1"/>
  <c r="C146" i="5" a="1"/>
  <c r="C147" i="5" a="1"/>
  <c r="C148" i="5" a="1"/>
  <c r="C149" i="5" a="1"/>
  <c r="C150" i="5" a="1"/>
  <c r="C151" i="5" a="1"/>
  <c r="C152" i="5" a="1"/>
  <c r="C153" i="5" a="1"/>
  <c r="C154" i="5" a="1"/>
  <c r="C155" i="5" a="1"/>
  <c r="C156" i="5" a="1"/>
  <c r="C157" i="5" a="1"/>
  <c r="C158" i="5" a="1"/>
  <c r="C159" i="5" a="1"/>
  <c r="C160" i="5" a="1"/>
  <c r="C161" i="5" a="1"/>
  <c r="C162" i="5" a="1"/>
  <c r="C163" i="5" a="1"/>
  <c r="C164" i="5" a="1"/>
  <c r="C165" i="5" a="1"/>
  <c r="C166" i="5" a="1"/>
  <c r="C167" i="5" a="1"/>
  <c r="C168" i="5" a="1"/>
  <c r="C169" i="5" a="1"/>
  <c r="C170" i="5" a="1"/>
  <c r="C171" i="5" a="1"/>
  <c r="C172" i="5" a="1"/>
  <c r="C173" i="5" a="1"/>
  <c r="C174" i="5" a="1"/>
  <c r="C175" i="5" a="1"/>
  <c r="C176" i="5" a="1"/>
  <c r="C177" i="5" a="1"/>
  <c r="C178" i="5" a="1"/>
  <c r="C179" i="5" a="1"/>
  <c r="C180" i="5" a="1"/>
  <c r="C181" i="5" a="1"/>
  <c r="C182" i="5" a="1"/>
  <c r="C183" i="5" a="1"/>
  <c r="C184" i="5" a="1"/>
  <c r="C185" i="5" a="1"/>
  <c r="C186" i="5" a="1"/>
  <c r="C187" i="5" a="1"/>
  <c r="C188" i="5" a="1"/>
  <c r="C189" i="5" a="1"/>
  <c r="C190" i="5" a="1"/>
  <c r="C191" i="5" a="1"/>
  <c r="C192" i="5" a="1"/>
  <c r="C193" i="5" a="1"/>
  <c r="C194" i="5" a="1"/>
  <c r="C195" i="5" a="1"/>
  <c r="C196" i="5" a="1"/>
  <c r="C197" i="5" a="1"/>
  <c r="C198" i="5" a="1"/>
  <c r="C199" i="5" a="1"/>
  <c r="C200" i="5" a="1"/>
  <c r="C201" i="5" a="1"/>
  <c r="C202" i="5" a="1"/>
  <c r="C203" i="5" a="1"/>
  <c r="C204" i="5" a="1"/>
  <c r="C205" i="5" a="1"/>
  <c r="C206" i="5" a="1"/>
  <c r="C207" i="5" a="1"/>
  <c r="C208" i="5" a="1"/>
  <c r="C209" i="5" a="1"/>
  <c r="C210" i="5" a="1"/>
  <c r="C211" i="5" a="1"/>
  <c r="C212" i="5" a="1"/>
  <c r="C213" i="5" a="1"/>
  <c r="C214" i="5" a="1"/>
  <c r="C215" i="5" a="1"/>
  <c r="C216" i="5" a="1"/>
  <c r="C217" i="5" a="1"/>
  <c r="C218" i="5" a="1"/>
  <c r="C219" i="5" a="1"/>
  <c r="C220" i="5" a="1"/>
  <c r="C221" i="5" a="1"/>
  <c r="C222" i="5" a="1"/>
  <c r="C223" i="5" a="1"/>
  <c r="C224" i="5" a="1"/>
  <c r="C225" i="5" a="1"/>
  <c r="C226" i="5" a="1"/>
  <c r="C227" i="5" a="1"/>
  <c r="C228" i="5" a="1"/>
  <c r="C229" i="5" a="1"/>
  <c r="C230" i="5" a="1"/>
  <c r="C231" i="5" a="1"/>
  <c r="C232" i="5" a="1"/>
  <c r="C233" i="5" a="1"/>
  <c r="C234" i="5" a="1"/>
  <c r="C235" i="5" a="1"/>
  <c r="C236" i="5" a="1"/>
  <c r="C237" i="5" a="1"/>
  <c r="C238" i="5" a="1"/>
  <c r="C239" i="5" a="1"/>
  <c r="C240" i="5" a="1"/>
  <c r="C241" i="5" a="1"/>
  <c r="C242" i="5" a="1"/>
  <c r="C243" i="5" a="1"/>
  <c r="C244" i="5" a="1"/>
  <c r="C245" i="5" a="1"/>
  <c r="C246" i="5" a="1"/>
  <c r="C247" i="5" a="1"/>
  <c r="C248" i="5" a="1"/>
  <c r="C249" i="5" a="1"/>
  <c r="C250" i="5" a="1"/>
  <c r="C251" i="5" a="1"/>
  <c r="C252" i="5" a="1"/>
  <c r="C253" i="5" a="1"/>
  <c r="C254" i="5" a="1"/>
  <c r="C255" i="5" a="1"/>
  <c r="C256" i="5" a="1"/>
  <c r="C257" i="5" a="1"/>
  <c r="C258" i="5" a="1"/>
  <c r="C259" i="5" a="1"/>
  <c r="C260" i="5" a="1"/>
  <c r="C261" i="5" a="1"/>
  <c r="C262" i="5" a="1"/>
  <c r="C263" i="5" a="1"/>
  <c r="C264" i="5" a="1"/>
  <c r="C265" i="5" a="1"/>
  <c r="C266" i="5" a="1"/>
  <c r="C267" i="5" a="1"/>
  <c r="C268" i="5" a="1"/>
  <c r="C269" i="5" a="1"/>
  <c r="C270" i="5" a="1"/>
  <c r="C271" i="5" a="1"/>
  <c r="C272" i="5" a="1"/>
  <c r="C273" i="5" a="1"/>
  <c r="C274" i="5" a="1"/>
  <c r="C275" i="5" a="1"/>
  <c r="C276" i="5" a="1"/>
  <c r="C277" i="5" a="1"/>
  <c r="C278" i="5" a="1"/>
  <c r="C279" i="5" a="1"/>
  <c r="C280" i="5" a="1"/>
  <c r="C281" i="5" a="1"/>
  <c r="C282" i="5" a="1"/>
  <c r="C283" i="5" a="1"/>
  <c r="C284" i="5" a="1"/>
  <c r="C285" i="5" a="1"/>
  <c r="C286" i="5" a="1"/>
  <c r="C287" i="5" a="1"/>
  <c r="C288" i="5" a="1"/>
  <c r="C289" i="5" a="1"/>
  <c r="C290" i="5" a="1"/>
  <c r="C291" i="5" a="1"/>
  <c r="C292" i="5" a="1"/>
  <c r="C293" i="5" a="1"/>
  <c r="C294" i="5" a="1"/>
  <c r="C295" i="5" a="1"/>
  <c r="C296" i="5" a="1"/>
  <c r="C297" i="5" a="1"/>
  <c r="C298" i="5" a="1"/>
  <c r="C299" i="5" a="1"/>
  <c r="C300" i="5" a="1"/>
  <c r="C301" i="5" a="1"/>
  <c r="C302" i="5" a="1"/>
  <c r="C303" i="5" a="1"/>
  <c r="C304" i="5" a="1"/>
  <c r="C305" i="5" a="1"/>
  <c r="C306" i="5" a="1"/>
  <c r="C307" i="5" a="1"/>
  <c r="C308" i="5" a="1"/>
  <c r="C309" i="5" a="1"/>
  <c r="C310" i="5" a="1"/>
  <c r="C311" i="5" a="1"/>
  <c r="C312" i="5" a="1"/>
  <c r="C313" i="5" a="1"/>
  <c r="C314" i="5" a="1"/>
  <c r="C315" i="5" a="1"/>
  <c r="C316" i="5" a="1"/>
  <c r="C317" i="5" a="1"/>
  <c r="C318" i="5" a="1"/>
  <c r="C319" i="5" a="1"/>
  <c r="C320" i="5" a="1"/>
  <c r="C321" i="5" a="1"/>
  <c r="C322" i="5" a="1"/>
  <c r="C323" i="5" a="1"/>
  <c r="C324" i="5" a="1"/>
  <c r="C325" i="5" a="1"/>
  <c r="C326" i="5" a="1"/>
  <c r="C327" i="5" a="1"/>
  <c r="C328" i="5" a="1"/>
  <c r="C329" i="5" a="1"/>
  <c r="C330" i="5" a="1"/>
  <c r="C331" i="5" a="1"/>
  <c r="C332" i="5" a="1"/>
  <c r="C333" i="5" a="1"/>
  <c r="C334" i="5" a="1"/>
  <c r="C335" i="5" a="1"/>
  <c r="C336" i="5" a="1"/>
  <c r="C337" i="5" a="1"/>
  <c r="C338" i="5" a="1"/>
  <c r="C339" i="5" a="1"/>
  <c r="C340" i="5" a="1"/>
  <c r="C341" i="5" a="1"/>
  <c r="C342" i="5" a="1"/>
  <c r="C343" i="5" a="1"/>
  <c r="C344" i="5" a="1"/>
  <c r="C345" i="5" a="1"/>
  <c r="C346" i="5" a="1"/>
  <c r="C347" i="5" a="1"/>
  <c r="C348" i="5" a="1"/>
  <c r="C349" i="5" a="1"/>
  <c r="C350" i="5" a="1"/>
  <c r="C351" i="5" a="1"/>
  <c r="C352" i="5" a="1"/>
  <c r="C353" i="5" a="1"/>
  <c r="C354" i="5" a="1"/>
  <c r="C355" i="5" a="1"/>
  <c r="C356" i="5" a="1"/>
  <c r="C357" i="5" a="1"/>
  <c r="C358" i="5" a="1"/>
  <c r="C359" i="5" a="1"/>
  <c r="C360" i="5" a="1"/>
  <c r="C361" i="5" a="1"/>
  <c r="C362" i="5" a="1"/>
  <c r="C363" i="5" a="1"/>
  <c r="C364" i="5" a="1"/>
  <c r="C365" i="5" a="1"/>
  <c r="C366" i="5" a="1"/>
  <c r="C367" i="5" a="1"/>
  <c r="C368" i="5" a="1"/>
  <c r="C369" i="5" a="1"/>
  <c r="C370" i="5" a="1"/>
  <c r="C371" i="5" a="1"/>
  <c r="C372" i="5" a="1"/>
  <c r="C373" i="5" a="1"/>
  <c r="C374" i="5" a="1"/>
  <c r="C375" i="5" a="1"/>
  <c r="C376" i="5" a="1"/>
  <c r="C377" i="5" a="1"/>
  <c r="C378" i="5" a="1"/>
  <c r="C379" i="5" a="1"/>
  <c r="C380" i="5" a="1"/>
  <c r="C381" i="5" a="1"/>
  <c r="C382" i="5" a="1"/>
  <c r="C383" i="5" a="1"/>
  <c r="C384" i="5" a="1"/>
  <c r="C385" i="5" a="1"/>
  <c r="C386" i="5" a="1"/>
  <c r="C387" i="5" a="1"/>
  <c r="C388" i="5" a="1"/>
  <c r="C389" i="5" a="1"/>
  <c r="C390" i="5" a="1"/>
  <c r="C391" i="5" a="1"/>
  <c r="C392" i="5" a="1"/>
  <c r="C393" i="5" a="1"/>
  <c r="C394" i="5" a="1"/>
  <c r="C395" i="5" a="1"/>
  <c r="C396" i="5" a="1"/>
  <c r="C397" i="5" a="1"/>
  <c r="C398" i="5" a="1"/>
  <c r="C399" i="5" a="1"/>
  <c r="C400" i="5" a="1"/>
  <c r="C401" i="5" a="1"/>
  <c r="C402" i="5" a="1"/>
  <c r="C403" i="5" a="1"/>
  <c r="C404" i="5" a="1"/>
  <c r="C405" i="5" a="1"/>
  <c r="C406" i="5" a="1"/>
  <c r="C407" i="5" a="1"/>
  <c r="C408" i="5" a="1"/>
  <c r="C409" i="5" a="1"/>
  <c r="C410" i="5" a="1"/>
  <c r="C411" i="5" a="1"/>
  <c r="C412" i="5" a="1"/>
  <c r="C413" i="5" a="1"/>
  <c r="C414" i="5" a="1"/>
  <c r="C415" i="5" a="1"/>
  <c r="C416" i="5" a="1"/>
  <c r="C417" i="5" a="1"/>
  <c r="C418" i="5" a="1"/>
  <c r="C419" i="5" a="1"/>
  <c r="C420" i="5" a="1"/>
  <c r="C421" i="5" a="1"/>
  <c r="C422" i="5" a="1"/>
  <c r="C423" i="5" a="1"/>
  <c r="C424" i="5" a="1"/>
  <c r="C425" i="5" a="1"/>
  <c r="C426" i="5" a="1"/>
  <c r="C427" i="5" a="1"/>
  <c r="C428" i="5" a="1"/>
  <c r="C429" i="5" a="1"/>
  <c r="C430" i="5" a="1"/>
  <c r="C431" i="5" a="1"/>
  <c r="C432" i="5" a="1"/>
  <c r="C433" i="5" a="1"/>
  <c r="C434" i="5" a="1"/>
  <c r="C435" i="5" a="1"/>
  <c r="C436" i="5" a="1"/>
  <c r="C437" i="5" a="1"/>
  <c r="C438" i="5" a="1"/>
  <c r="C439" i="5" a="1"/>
  <c r="C440" i="5" a="1"/>
  <c r="C441" i="5" a="1"/>
  <c r="C442" i="5" a="1"/>
  <c r="C443" i="5" a="1"/>
  <c r="C444" i="5" a="1"/>
  <c r="C445" i="5" a="1"/>
  <c r="C446" i="5" a="1"/>
  <c r="C447" i="5" a="1"/>
  <c r="C448" i="5" a="1"/>
  <c r="C449" i="5" a="1"/>
  <c r="C450" i="5" a="1"/>
  <c r="C451" i="5" a="1"/>
  <c r="C452" i="5" a="1"/>
  <c r="C453" i="5" a="1"/>
  <c r="C454" i="5" a="1"/>
  <c r="C455" i="5" a="1"/>
  <c r="C456" i="5" a="1"/>
  <c r="C457" i="5" a="1"/>
  <c r="C458" i="5" a="1"/>
  <c r="C459" i="5" a="1"/>
  <c r="C460" i="5" a="1"/>
  <c r="C461" i="5" a="1"/>
  <c r="C462" i="5" a="1"/>
  <c r="C463" i="5" a="1"/>
  <c r="C464" i="5" a="1"/>
  <c r="C465" i="5" a="1"/>
  <c r="C466" i="5" a="1"/>
  <c r="C467" i="5" a="1"/>
  <c r="C468" i="5" a="1"/>
  <c r="C469" i="5" a="1"/>
  <c r="C470" i="5" a="1"/>
  <c r="C471" i="5" a="1"/>
  <c r="C472" i="5" a="1"/>
  <c r="C473" i="5" a="1"/>
  <c r="C474" i="5" a="1"/>
  <c r="C475" i="5" a="1"/>
  <c r="C476" i="5" a="1"/>
  <c r="C477" i="5" a="1"/>
  <c r="C478" i="5" a="1"/>
  <c r="C479" i="5" a="1"/>
  <c r="C480" i="5" a="1"/>
  <c r="C481" i="5" a="1"/>
  <c r="C482" i="5" a="1"/>
  <c r="C483" i="5" a="1"/>
  <c r="C484" i="5" a="1"/>
  <c r="C485" i="5" a="1"/>
  <c r="C486" i="5" a="1"/>
  <c r="C487" i="5" a="1"/>
  <c r="C488" i="5" a="1"/>
  <c r="C489" i="5" a="1"/>
  <c r="C490" i="5" a="1"/>
  <c r="C491" i="5" a="1"/>
  <c r="C492" i="5" a="1"/>
  <c r="C493" i="5" a="1"/>
  <c r="C494" i="5" a="1"/>
  <c r="C495" i="5" a="1"/>
  <c r="C496" i="5" a="1"/>
  <c r="C497" i="5" a="1"/>
  <c r="C498" i="5" a="1"/>
  <c r="C499" i="5" a="1"/>
  <c r="C500" i="5" a="1"/>
  <c r="C501" i="5" a="1"/>
  <c r="C502" i="5" a="1"/>
  <c r="C503" i="5" a="1"/>
  <c r="C504" i="5" a="1"/>
  <c r="C505" i="5" a="1"/>
  <c r="C506" i="5" a="1"/>
  <c r="C507" i="5" a="1"/>
  <c r="C508" i="5" a="1"/>
  <c r="C509" i="5" a="1"/>
  <c r="C510" i="5" a="1"/>
  <c r="C511" i="5" a="1"/>
  <c r="C512" i="5" a="1"/>
  <c r="C513" i="5" a="1"/>
  <c r="C514" i="5" a="1"/>
  <c r="C515" i="5" a="1"/>
  <c r="C516" i="5" a="1"/>
  <c r="C517" i="5" a="1"/>
  <c r="C518" i="5" a="1"/>
  <c r="C519" i="5" a="1"/>
  <c r="C520" i="5" a="1"/>
  <c r="C521" i="5" a="1"/>
  <c r="C522" i="5" a="1"/>
  <c r="C523" i="5" a="1"/>
  <c r="C524" i="5" a="1"/>
  <c r="C525" i="5" a="1"/>
  <c r="C526" i="5" a="1"/>
  <c r="C527" i="5" a="1"/>
  <c r="C528" i="5" a="1"/>
  <c r="C529" i="5" a="1"/>
  <c r="C530" i="5" a="1"/>
  <c r="C531" i="5" a="1"/>
  <c r="C532" i="5" a="1"/>
  <c r="C533" i="5" a="1"/>
  <c r="C534" i="5" a="1"/>
  <c r="C535" i="5" a="1"/>
  <c r="C536" i="5" a="1"/>
  <c r="C537" i="5" a="1"/>
  <c r="C538" i="5" a="1"/>
  <c r="C539" i="5" a="1"/>
  <c r="C540" i="5" a="1"/>
  <c r="C541" i="5" a="1"/>
  <c r="C542" i="5" a="1"/>
  <c r="C543" i="5" a="1"/>
  <c r="C544" i="5" a="1"/>
  <c r="C545" i="5" a="1"/>
  <c r="C546" i="5" a="1"/>
  <c r="C547" i="5" a="1"/>
  <c r="C548" i="5" a="1"/>
  <c r="C549" i="5" a="1"/>
  <c r="C550" i="5" a="1"/>
  <c r="C551" i="5" a="1"/>
  <c r="C552" i="5" a="1"/>
  <c r="C553" i="5" a="1"/>
  <c r="C554" i="5" a="1"/>
  <c r="C555" i="5" a="1"/>
  <c r="C556" i="5" a="1"/>
  <c r="C557" i="5" a="1"/>
  <c r="C558" i="5" a="1"/>
  <c r="C559" i="5" a="1"/>
  <c r="C560" i="5" a="1"/>
  <c r="C561" i="5" a="1"/>
  <c r="C562" i="5" a="1"/>
  <c r="C563" i="5" a="1"/>
  <c r="C564" i="5" a="1"/>
  <c r="C565" i="5" a="1"/>
  <c r="C566" i="5" a="1"/>
  <c r="C567" i="5" a="1"/>
  <c r="C568" i="5" a="1"/>
  <c r="C569" i="5" a="1"/>
  <c r="C570" i="5" a="1"/>
  <c r="C571" i="5" a="1"/>
  <c r="C572" i="5" a="1"/>
  <c r="C573" i="5" a="1"/>
  <c r="C574" i="5" a="1"/>
  <c r="C575" i="5" a="1"/>
  <c r="C576" i="5" a="1"/>
  <c r="C577" i="5" a="1"/>
  <c r="C578" i="5" a="1"/>
  <c r="C579" i="5" a="1"/>
  <c r="C580" i="5" a="1"/>
  <c r="C581" i="5" a="1"/>
  <c r="C582" i="5" a="1"/>
  <c r="C583" i="5" a="1"/>
  <c r="C584" i="5" a="1"/>
  <c r="C585" i="5" a="1"/>
  <c r="C586" i="5" a="1"/>
  <c r="C587" i="5" a="1"/>
  <c r="C588" i="5" a="1"/>
  <c r="C589" i="5" a="1"/>
  <c r="C590" i="5" a="1"/>
  <c r="C591" i="5" a="1"/>
  <c r="C592" i="5" a="1"/>
  <c r="C593" i="5" a="1"/>
  <c r="C594" i="5" a="1"/>
  <c r="C595" i="5" a="1"/>
  <c r="C596" i="5" a="1"/>
  <c r="C597" i="5" a="1"/>
  <c r="C598" i="5" a="1"/>
  <c r="C599" i="5" a="1"/>
  <c r="C600" i="5" a="1"/>
  <c r="C601" i="5" a="1"/>
  <c r="C602" i="5" a="1"/>
  <c r="C603" i="5" a="1"/>
  <c r="C604" i="5" a="1"/>
  <c r="C605" i="5" a="1"/>
  <c r="C606" i="5" a="1"/>
  <c r="C607" i="5" a="1"/>
  <c r="C608" i="5" a="1"/>
  <c r="C609" i="5" a="1"/>
  <c r="C610" i="5" a="1"/>
  <c r="C611" i="5" a="1"/>
  <c r="C612" i="5" a="1"/>
  <c r="C613" i="5" a="1"/>
  <c r="C614" i="5" a="1"/>
  <c r="C615" i="5" a="1"/>
  <c r="C616" i="5" a="1"/>
  <c r="C617" i="5" a="1"/>
  <c r="C618" i="5" a="1"/>
  <c r="C619" i="5" a="1"/>
  <c r="C620" i="5" a="1"/>
  <c r="C621" i="5" a="1"/>
  <c r="C622" i="5" a="1"/>
  <c r="C623" i="5" a="1"/>
  <c r="C624" i="5" a="1"/>
  <c r="C625" i="5" a="1"/>
  <c r="C626" i="5" a="1"/>
  <c r="C627" i="5" a="1"/>
  <c r="C628" i="5" a="1"/>
  <c r="C629" i="5" a="1"/>
  <c r="C630" i="5" a="1"/>
  <c r="C631" i="5" a="1"/>
  <c r="C632" i="5" a="1"/>
  <c r="C633" i="5" a="1"/>
  <c r="C634" i="5" a="1"/>
  <c r="C635" i="5" a="1"/>
  <c r="C636" i="5" a="1"/>
  <c r="C637" i="5" a="1"/>
  <c r="C638" i="5" a="1"/>
  <c r="C639" i="5" a="1"/>
  <c r="C640" i="5" a="1"/>
  <c r="C641" i="5" a="1"/>
  <c r="C642" i="5" a="1"/>
  <c r="C643" i="5" a="1"/>
  <c r="C644" i="5" a="1"/>
  <c r="C645" i="5" a="1"/>
  <c r="C646" i="5" a="1"/>
  <c r="C647" i="5" a="1"/>
  <c r="C648" i="5" a="1"/>
  <c r="C649" i="5" a="1"/>
  <c r="C650" i="5" a="1"/>
  <c r="C651" i="5" a="1"/>
  <c r="C652" i="5" a="1"/>
  <c r="C653" i="5" a="1"/>
  <c r="C654" i="5" a="1"/>
  <c r="C655" i="5" a="1"/>
  <c r="C656" i="5" a="1"/>
  <c r="C657" i="5" a="1"/>
  <c r="C658" i="5" a="1"/>
  <c r="C659" i="5" a="1"/>
  <c r="C660" i="5" a="1"/>
  <c r="C661" i="5" a="1"/>
  <c r="C662" i="5" a="1"/>
  <c r="C663" i="5" a="1"/>
  <c r="C664" i="5" a="1"/>
  <c r="C665" i="5" a="1"/>
  <c r="C666" i="5" a="1"/>
  <c r="C667" i="5" a="1"/>
  <c r="C668" i="5" a="1"/>
  <c r="C669" i="5" a="1"/>
  <c r="C670" i="5" a="1"/>
  <c r="C671" i="5" a="1"/>
  <c r="C672" i="5" a="1"/>
  <c r="C673" i="5" a="1"/>
  <c r="C674" i="5" a="1"/>
  <c r="C675" i="5" a="1"/>
  <c r="C676" i="5" a="1"/>
  <c r="C677" i="5" a="1"/>
  <c r="C678" i="5" a="1"/>
  <c r="C679" i="5" a="1"/>
  <c r="C680" i="5" a="1"/>
  <c r="C681" i="5" a="1"/>
  <c r="C682" i="5" a="1"/>
  <c r="C683" i="5" a="1"/>
  <c r="C684" i="5" a="1"/>
  <c r="C685" i="5" a="1"/>
  <c r="C686" i="5" a="1"/>
  <c r="C687" i="5" a="1"/>
  <c r="C688" i="5" a="1"/>
  <c r="C689" i="5" a="1"/>
  <c r="C690" i="5" a="1"/>
  <c r="C691" i="5" a="1"/>
  <c r="C692" i="5" a="1"/>
  <c r="C693" i="5" a="1"/>
  <c r="C694" i="5" a="1"/>
  <c r="C695" i="5" a="1"/>
  <c r="C696" i="5" a="1"/>
  <c r="C697" i="5" a="1"/>
  <c r="C698" i="5" a="1"/>
  <c r="C699" i="5" a="1"/>
  <c r="C700" i="5" a="1"/>
  <c r="C701" i="5" a="1"/>
  <c r="C702" i="5" a="1"/>
  <c r="C703" i="5" a="1"/>
  <c r="C704" i="5" a="1"/>
  <c r="C705" i="5" a="1"/>
  <c r="C706" i="5" a="1"/>
  <c r="C707" i="5" a="1"/>
  <c r="C708" i="5" a="1"/>
  <c r="C709" i="5" a="1"/>
  <c r="C710" i="5" a="1"/>
  <c r="C711" i="5" a="1"/>
  <c r="C712" i="5" a="1"/>
  <c r="C713" i="5" a="1"/>
  <c r="C714" i="5" a="1"/>
  <c r="C715" i="5" a="1"/>
  <c r="C716" i="5" a="1"/>
  <c r="C717" i="5" a="1"/>
  <c r="C718" i="5" a="1"/>
  <c r="C719" i="5" a="1"/>
  <c r="C720" i="5" a="1"/>
  <c r="C721" i="5" a="1"/>
  <c r="C722" i="5" a="1"/>
  <c r="C723" i="5" a="1"/>
  <c r="C724" i="5" a="1"/>
  <c r="C725" i="5" a="1"/>
  <c r="C726" i="5" a="1"/>
  <c r="C727" i="5" a="1"/>
  <c r="C728" i="5" a="1"/>
  <c r="C729" i="5" a="1"/>
  <c r="C730" i="5" a="1"/>
  <c r="C731" i="5" a="1"/>
  <c r="C732" i="5" a="1"/>
  <c r="C733" i="5" a="1"/>
  <c r="C734" i="5" a="1"/>
  <c r="C735" i="5" a="1"/>
  <c r="C736" i="5" a="1"/>
  <c r="C737" i="5" a="1"/>
  <c r="C738" i="5" a="1"/>
  <c r="C739" i="5" a="1"/>
  <c r="C740" i="5" a="1"/>
  <c r="C741" i="5" a="1"/>
  <c r="C742" i="5" a="1"/>
  <c r="C743" i="5" a="1"/>
  <c r="C744" i="5" a="1"/>
  <c r="C745" i="5" a="1"/>
  <c r="C746" i="5" a="1"/>
  <c r="C747" i="5" a="1"/>
  <c r="C748" i="5" a="1"/>
  <c r="C749" i="5" a="1"/>
  <c r="C750" i="5" a="1"/>
  <c r="C751" i="5" a="1"/>
  <c r="C752" i="5" a="1"/>
  <c r="C753" i="5" a="1"/>
  <c r="C754" i="5" a="1"/>
  <c r="C755" i="5" a="1"/>
  <c r="C756" i="5" a="1"/>
  <c r="C757" i="5" a="1"/>
  <c r="C758" i="5" a="1"/>
  <c r="C759" i="5" a="1"/>
  <c r="C760" i="5" a="1"/>
  <c r="C761" i="5" a="1"/>
  <c r="C762" i="5" a="1"/>
  <c r="C763" i="5" a="1"/>
  <c r="C764" i="5" a="1"/>
  <c r="C765" i="5" a="1"/>
  <c r="C766" i="5" a="1"/>
  <c r="C767" i="5" a="1"/>
  <c r="C768" i="5" a="1"/>
  <c r="C769" i="5" a="1"/>
  <c r="C770" i="5" a="1"/>
  <c r="C771" i="5" a="1"/>
  <c r="C772" i="5" a="1"/>
  <c r="C773" i="5" a="1"/>
  <c r="C774" i="5" a="1"/>
  <c r="C775" i="5" a="1"/>
  <c r="C776" i="5" a="1"/>
  <c r="C777" i="5" a="1"/>
  <c r="C778" i="5" a="1"/>
  <c r="C779" i="5" a="1"/>
  <c r="C780" i="5" a="1"/>
  <c r="C781" i="5" a="1"/>
  <c r="C782" i="5" a="1"/>
  <c r="C783" i="5" a="1"/>
  <c r="C784" i="5" a="1"/>
  <c r="C785" i="5" a="1"/>
  <c r="C786" i="5" a="1"/>
  <c r="C787" i="5" a="1"/>
  <c r="C788" i="5" a="1"/>
  <c r="C789" i="5" a="1"/>
  <c r="C790" i="5" a="1"/>
  <c r="C791" i="5" a="1"/>
  <c r="C792" i="5" a="1"/>
  <c r="C793" i="5" a="1"/>
  <c r="C794" i="5" a="1"/>
  <c r="C795" i="5" a="1"/>
  <c r="C796" i="5" a="1"/>
  <c r="C797" i="5" a="1"/>
  <c r="C798" i="5" a="1"/>
  <c r="C799" i="5" a="1"/>
  <c r="C800" i="5" a="1"/>
  <c r="C801" i="5" a="1"/>
  <c r="C802" i="5" a="1"/>
  <c r="C803" i="5" a="1"/>
  <c r="C804" i="5" a="1"/>
  <c r="C805" i="5" a="1"/>
  <c r="C806" i="5" a="1"/>
  <c r="C807" i="5" a="1"/>
  <c r="C808" i="5" a="1"/>
  <c r="C809" i="5" a="1"/>
  <c r="C810" i="5" a="1"/>
  <c r="C811" i="5" a="1"/>
  <c r="C812" i="5" a="1"/>
  <c r="C813" i="5" a="1"/>
  <c r="C814" i="5" a="1"/>
  <c r="C815" i="5" a="1"/>
  <c r="C816" i="5" a="1"/>
  <c r="C817" i="5" a="1"/>
  <c r="C818" i="5" a="1"/>
  <c r="C819" i="5" a="1"/>
  <c r="C820" i="5" a="1"/>
  <c r="C821" i="5" a="1"/>
  <c r="C822" i="5" a="1"/>
  <c r="C823" i="5" a="1"/>
  <c r="C824" i="5" a="1"/>
  <c r="C825" i="5" a="1"/>
  <c r="C826" i="5" a="1"/>
  <c r="C827" i="5" a="1"/>
  <c r="C828" i="5" a="1"/>
  <c r="C829" i="5" a="1"/>
  <c r="C830" i="5" a="1"/>
  <c r="C831" i="5" a="1"/>
  <c r="C832" i="5" a="1"/>
  <c r="C833" i="5" a="1"/>
  <c r="C834" i="5" a="1"/>
  <c r="C835" i="5" a="1"/>
  <c r="C836" i="5" a="1"/>
  <c r="C837" i="5" a="1"/>
  <c r="C838" i="5" a="1"/>
  <c r="C839" i="5" a="1"/>
  <c r="C840" i="5" a="1"/>
  <c r="C841" i="5" a="1"/>
  <c r="C842" i="5" a="1"/>
  <c r="C843" i="5" a="1"/>
  <c r="C844" i="5" a="1"/>
  <c r="C845" i="5" a="1"/>
  <c r="C846" i="5" a="1"/>
  <c r="C847" i="5" a="1"/>
  <c r="C848" i="5" a="1"/>
  <c r="C849" i="5" a="1"/>
  <c r="C850" i="5" a="1"/>
  <c r="C851" i="5" a="1"/>
  <c r="C852" i="5" a="1"/>
  <c r="C853" i="5" a="1"/>
  <c r="C854" i="5" a="1"/>
  <c r="C855" i="5" a="1"/>
  <c r="C856" i="5" a="1"/>
  <c r="C857" i="5" a="1"/>
  <c r="C858" i="5" a="1"/>
  <c r="C859" i="5" a="1"/>
  <c r="C860" i="5" a="1"/>
  <c r="C861" i="5" a="1"/>
  <c r="C862" i="5" a="1"/>
  <c r="C863" i="5" a="1"/>
  <c r="C864" i="5" a="1"/>
  <c r="C865" i="5" a="1"/>
  <c r="C866" i="5" a="1"/>
  <c r="C867" i="5" a="1"/>
  <c r="C868" i="5" a="1"/>
  <c r="C869" i="5" a="1"/>
  <c r="C870" i="5" a="1"/>
  <c r="C871" i="5" a="1"/>
  <c r="C872" i="5" a="1"/>
  <c r="C873" i="5" a="1"/>
  <c r="C874" i="5" a="1"/>
  <c r="C875" i="5" a="1"/>
  <c r="C876" i="5" a="1"/>
  <c r="C877" i="5" a="1"/>
  <c r="C878" i="5" a="1"/>
  <c r="C879" i="5" a="1"/>
  <c r="C880" i="5" a="1"/>
  <c r="C881" i="5" a="1"/>
  <c r="C882" i="5" a="1"/>
  <c r="C883" i="5" a="1"/>
  <c r="C884" i="5" a="1"/>
  <c r="C885" i="5" a="1"/>
  <c r="C886" i="5" a="1"/>
  <c r="C887" i="5" a="1"/>
  <c r="C888" i="5" a="1"/>
  <c r="C889" i="5" a="1"/>
  <c r="C890" i="5" a="1"/>
  <c r="C891" i="5" a="1"/>
  <c r="C892" i="5" a="1"/>
  <c r="C893" i="5" a="1"/>
  <c r="C894" i="5" a="1"/>
  <c r="C895" i="5" a="1"/>
  <c r="C896" i="5" a="1"/>
  <c r="C897" i="5" a="1"/>
  <c r="C898" i="5" a="1"/>
  <c r="C899" i="5" a="1"/>
  <c r="C900" i="5" a="1"/>
  <c r="C901" i="5" a="1"/>
  <c r="C902" i="5" a="1"/>
  <c r="C903" i="5" a="1"/>
  <c r="C904" i="5" a="1"/>
  <c r="C905" i="5" a="1"/>
  <c r="C906" i="5" a="1"/>
  <c r="C907" i="5" a="1"/>
  <c r="C908" i="5" a="1"/>
  <c r="C909" i="5" a="1"/>
  <c r="C910" i="5" a="1"/>
  <c r="C911" i="5" a="1"/>
  <c r="C912" i="5" a="1"/>
  <c r="C913" i="5" a="1"/>
  <c r="C914" i="5" a="1"/>
  <c r="C915" i="5" a="1"/>
  <c r="C916" i="5" a="1"/>
  <c r="C917" i="5" a="1"/>
  <c r="C918" i="5" a="1"/>
  <c r="C919" i="5" a="1"/>
  <c r="C920" i="5" a="1"/>
  <c r="C921" i="5" a="1"/>
  <c r="C922" i="5" a="1"/>
  <c r="C923" i="5" a="1"/>
  <c r="C924" i="5" a="1"/>
  <c r="C925" i="5" a="1"/>
  <c r="C926" i="5" a="1"/>
  <c r="C927" i="5" a="1"/>
  <c r="C928" i="5" a="1"/>
  <c r="C929" i="5" a="1"/>
  <c r="C930" i="5" a="1"/>
  <c r="C931" i="5" a="1"/>
  <c r="C932" i="5" a="1"/>
  <c r="C933" i="5" a="1"/>
  <c r="C934" i="5" a="1"/>
  <c r="C935" i="5" a="1"/>
  <c r="C936" i="5" a="1"/>
  <c r="C937" i="5" a="1"/>
  <c r="C938" i="5" a="1"/>
  <c r="C939" i="5" a="1"/>
  <c r="C940" i="5" a="1"/>
  <c r="C941" i="5" a="1"/>
  <c r="C942" i="5" a="1"/>
  <c r="C943" i="5" a="1"/>
  <c r="C944" i="5" a="1"/>
  <c r="C945" i="5" a="1"/>
  <c r="C946" i="5" a="1"/>
  <c r="C947" i="5" a="1"/>
  <c r="C948" i="5" a="1"/>
  <c r="C949" i="5" a="1"/>
  <c r="C950" i="5" a="1"/>
  <c r="C951" i="5" a="1"/>
  <c r="C952" i="5" a="1"/>
  <c r="C953" i="5" a="1"/>
  <c r="C954" i="5" a="1"/>
  <c r="C955" i="5" a="1"/>
  <c r="C956" i="5" a="1"/>
  <c r="C957" i="5" a="1"/>
  <c r="C958" i="5" a="1"/>
  <c r="C959" i="5" a="1"/>
  <c r="C960" i="5" a="1"/>
  <c r="C961" i="5" a="1"/>
  <c r="C962" i="5" a="1"/>
  <c r="C963" i="5" a="1"/>
  <c r="C964" i="5" a="1"/>
  <c r="C965" i="5" a="1"/>
  <c r="C966" i="5" a="1"/>
  <c r="C967" i="5" a="1"/>
  <c r="C968" i="5" a="1"/>
  <c r="C969" i="5" a="1"/>
  <c r="C970" i="5" a="1"/>
  <c r="C971" i="5" a="1"/>
  <c r="C972" i="5" a="1"/>
  <c r="C973" i="5" a="1"/>
  <c r="C974" i="5" a="1"/>
  <c r="C975" i="5" a="1"/>
  <c r="C976" i="5" a="1"/>
  <c r="C977" i="5" a="1"/>
  <c r="C978" i="5" a="1"/>
  <c r="C979" i="5" a="1"/>
  <c r="C980" i="5" a="1"/>
  <c r="C981" i="5" a="1"/>
  <c r="C982" i="5" a="1"/>
  <c r="C983" i="5" a="1"/>
  <c r="C984" i="5" a="1"/>
  <c r="C985" i="5" a="1"/>
  <c r="C986" i="5" a="1"/>
  <c r="C987" i="5" a="1"/>
  <c r="C988" i="5" a="1"/>
  <c r="C989" i="5" a="1"/>
  <c r="C990" i="5" a="1"/>
  <c r="C991" i="5" a="1"/>
  <c r="C992" i="5" a="1"/>
  <c r="C993" i="5" a="1"/>
  <c r="C994" i="5" a="1"/>
  <c r="C995" i="5" a="1"/>
  <c r="C996" i="5" a="1"/>
  <c r="C997" i="5" a="1"/>
  <c r="C998" i="5" a="1"/>
  <c r="C999" i="5" a="1"/>
  <c r="C1000" i="5" a="1"/>
  <c r="C1001" i="5" a="1"/>
  <c r="C1002" i="5" a="1"/>
  <c r="C1003" i="5" a="1"/>
  <c r="C1004" i="5" a="1"/>
  <c r="C1005" i="5" a="1"/>
  <c r="C1006" i="5" a="1"/>
  <c r="C1007" i="5" a="1"/>
  <c r="C1008" i="5" a="1"/>
  <c r="C1009" i="5" a="1"/>
  <c r="C1010" i="5" a="1"/>
  <c r="C1011" i="5" a="1"/>
  <c r="C1012" i="5" a="1"/>
  <c r="C1013" i="5" a="1"/>
  <c r="C1014" i="5" a="1"/>
  <c r="C1015" i="5" a="1"/>
  <c r="C1016" i="5" a="1"/>
  <c r="C1017" i="5" a="1"/>
  <c r="C1018" i="5" a="1"/>
  <c r="C1019" i="5" a="1"/>
  <c r="C1020" i="5" a="1"/>
  <c r="C1021" i="5" a="1"/>
  <c r="C1022" i="5" a="1"/>
  <c r="C1023" i="5" a="1"/>
  <c r="C1024" i="5" a="1"/>
  <c r="C1025" i="5" a="1"/>
  <c r="C1026" i="5" a="1"/>
  <c r="C1027" i="5" a="1"/>
  <c r="C1028" i="5" a="1"/>
  <c r="C1029" i="5" a="1"/>
  <c r="C1030" i="5" a="1"/>
  <c r="C1031" i="5" a="1"/>
  <c r="C1032" i="5" a="1"/>
  <c r="C1033" i="5" a="1"/>
  <c r="C1034" i="5" a="1"/>
  <c r="C1035" i="5" a="1"/>
  <c r="C1036" i="5" a="1"/>
  <c r="C1037" i="5" a="1"/>
  <c r="C1038" i="5" a="1"/>
  <c r="C1039" i="5" a="1"/>
  <c r="C1040" i="5" a="1"/>
  <c r="C1041" i="5" a="1"/>
  <c r="C1042" i="5" a="1"/>
  <c r="C1043" i="5" a="1"/>
  <c r="C1044" i="5" a="1"/>
  <c r="C1045" i="5" a="1"/>
  <c r="C1046" i="5" a="1"/>
  <c r="C1047" i="5" a="1"/>
  <c r="C1048" i="5" a="1"/>
  <c r="C1049" i="5" a="1"/>
  <c r="C1050" i="5" a="1"/>
  <c r="C1051" i="5" a="1"/>
  <c r="C1052" i="5" a="1"/>
  <c r="C1053" i="5" a="1"/>
  <c r="C1054" i="5" a="1"/>
  <c r="C1055" i="5" a="1"/>
  <c r="C1056" i="5" a="1"/>
  <c r="C1057" i="5" a="1"/>
  <c r="C1058" i="5" a="1"/>
  <c r="C1059" i="5" a="1"/>
  <c r="C1060" i="5" a="1"/>
  <c r="C1061" i="5" a="1"/>
  <c r="C1062" i="5" a="1"/>
  <c r="C1063" i="5" a="1"/>
  <c r="C1064" i="5" a="1"/>
  <c r="C1065" i="5" a="1"/>
  <c r="C1066" i="5" a="1"/>
  <c r="C1067" i="5" a="1"/>
  <c r="C1068" i="5" a="1"/>
  <c r="C1069" i="5" a="1"/>
  <c r="C1070" i="5" a="1"/>
  <c r="C1071" i="5" a="1"/>
  <c r="C1072" i="5" a="1"/>
  <c r="C1073" i="5" a="1"/>
  <c r="C1074" i="5" a="1"/>
  <c r="C1075" i="5" a="1"/>
  <c r="C1076" i="5" a="1"/>
  <c r="C1077" i="5" a="1"/>
  <c r="C1078" i="5" a="1"/>
  <c r="C1079" i="5" a="1"/>
  <c r="C1080" i="5" a="1"/>
  <c r="C1081" i="5" a="1"/>
  <c r="C1082" i="5" a="1"/>
  <c r="C1083" i="5" a="1"/>
  <c r="C1084" i="5" a="1"/>
  <c r="C1085" i="5" a="1"/>
  <c r="C1086" i="5" a="1"/>
  <c r="C1087" i="5" a="1"/>
  <c r="C1088" i="5" a="1"/>
  <c r="C1089" i="5" a="1"/>
  <c r="C1090" i="5" a="1"/>
  <c r="C1091" i="5" a="1"/>
  <c r="C1092" i="5" a="1"/>
  <c r="C1093" i="5" a="1"/>
  <c r="C1094" i="5" a="1"/>
  <c r="C1095" i="5" a="1"/>
  <c r="C1096" i="5" a="1"/>
  <c r="C1097" i="5" a="1"/>
  <c r="C1098" i="5" a="1"/>
  <c r="C1099" i="5" a="1"/>
  <c r="C1100" i="5" a="1"/>
  <c r="C1101" i="5" a="1"/>
  <c r="C1102" i="5" a="1"/>
  <c r="C1103" i="5" a="1"/>
  <c r="C1104" i="5" a="1"/>
  <c r="C1105" i="5" a="1"/>
  <c r="C1106" i="5" a="1"/>
  <c r="C1107" i="5" a="1"/>
  <c r="C1108" i="5" a="1"/>
  <c r="C1109" i="5" a="1"/>
  <c r="C1110" i="5" a="1"/>
  <c r="C1111" i="5" a="1"/>
  <c r="C1112" i="5" a="1"/>
  <c r="C1113" i="5" a="1"/>
  <c r="C1114" i="5" a="1"/>
  <c r="C1115" i="5" a="1"/>
  <c r="C1116" i="5" a="1"/>
  <c r="C1117" i="5" a="1"/>
  <c r="C1118" i="5" a="1"/>
  <c r="C1119" i="5" a="1"/>
  <c r="C1120" i="5" a="1"/>
  <c r="C1121" i="5" a="1"/>
  <c r="C1122" i="5" a="1"/>
  <c r="C1123" i="5" a="1"/>
  <c r="C1124" i="5" a="1"/>
  <c r="C1125" i="5" a="1"/>
  <c r="C1126" i="5" a="1"/>
  <c r="C1127" i="5" a="1"/>
  <c r="C1128" i="5" a="1"/>
  <c r="C1129" i="5" a="1"/>
  <c r="C1130" i="5" a="1"/>
  <c r="C1131" i="5" a="1"/>
  <c r="C1132" i="5" a="1"/>
  <c r="C1133" i="5" a="1"/>
  <c r="C1134" i="5" a="1"/>
  <c r="C1135" i="5" a="1"/>
  <c r="C1136" i="5" a="1"/>
  <c r="C1137" i="5" a="1"/>
  <c r="C1138" i="5" a="1"/>
  <c r="C1139" i="5" a="1"/>
  <c r="C1140" i="5" a="1"/>
  <c r="C1141" i="5" a="1"/>
  <c r="C1142" i="5" a="1"/>
  <c r="C1143" i="5" a="1"/>
  <c r="C1144" i="5" a="1"/>
  <c r="C1145" i="5" a="1"/>
  <c r="C1146" i="5" a="1"/>
  <c r="C1147" i="5" a="1"/>
  <c r="C1148" i="5" a="1"/>
  <c r="C1149" i="5" a="1"/>
  <c r="C1150" i="5" a="1"/>
  <c r="C1151" i="5" a="1"/>
  <c r="C1152" i="5" a="1"/>
  <c r="C1153" i="5" a="1"/>
  <c r="C1154" i="5" a="1"/>
  <c r="C1155" i="5" a="1"/>
  <c r="C1156" i="5" a="1"/>
  <c r="C1157" i="5" a="1"/>
  <c r="C1158" i="5" a="1"/>
  <c r="C1159" i="5" a="1"/>
  <c r="C1160" i="5" a="1"/>
  <c r="C1161" i="5" a="1"/>
  <c r="C1162" i="5" a="1"/>
  <c r="C1163" i="5" a="1"/>
  <c r="C1164" i="5" a="1"/>
  <c r="C1165" i="5" a="1"/>
  <c r="C1166" i="5" a="1"/>
  <c r="C1167" i="5" a="1"/>
  <c r="C1168" i="5" a="1"/>
  <c r="C1169" i="5" a="1"/>
  <c r="C1170" i="5" a="1"/>
  <c r="C1171" i="5" a="1"/>
  <c r="C1172" i="5" a="1"/>
  <c r="C1173" i="5" a="1"/>
  <c r="C1174" i="5" a="1"/>
  <c r="C1175" i="5" a="1"/>
  <c r="C1176" i="5" a="1"/>
  <c r="C1177" i="5" a="1"/>
  <c r="C1178" i="5" a="1"/>
  <c r="C1179" i="5" a="1"/>
  <c r="C1180" i="5" a="1"/>
  <c r="C1181" i="5" a="1"/>
  <c r="C1182" i="5" a="1"/>
  <c r="C1183" i="5" a="1"/>
  <c r="C1184" i="5" a="1"/>
  <c r="C1185" i="5" a="1"/>
  <c r="C1186" i="5" a="1"/>
  <c r="C1187" i="5" a="1"/>
  <c r="C1188" i="5" a="1"/>
  <c r="C1189" i="5" a="1"/>
  <c r="C1190" i="5" a="1"/>
  <c r="C1191" i="5" a="1"/>
  <c r="C1192" i="5" a="1"/>
  <c r="C1193" i="5" a="1"/>
  <c r="C1194" i="5" a="1"/>
  <c r="C1195" i="5" a="1"/>
  <c r="C1196" i="5" a="1"/>
  <c r="C1197" i="5" a="1"/>
  <c r="C1198" i="5" a="1"/>
  <c r="C1199" i="5" a="1"/>
  <c r="C1200" i="5" a="1"/>
  <c r="C1201" i="5" a="1"/>
  <c r="C1202" i="5" a="1"/>
  <c r="C1203" i="5" a="1"/>
  <c r="C1204" i="5" a="1"/>
  <c r="C1205" i="5" a="1"/>
  <c r="C1206" i="5" a="1"/>
  <c r="C1207" i="5" a="1"/>
  <c r="C1208" i="5" a="1"/>
  <c r="C1209" i="5" a="1"/>
  <c r="C1210" i="5" a="1"/>
  <c r="C1211" i="5" a="1"/>
  <c r="C1212" i="5" a="1"/>
  <c r="C1213" i="5" a="1"/>
  <c r="C1214" i="5" a="1"/>
  <c r="C1215" i="5" a="1"/>
  <c r="C1216" i="5" a="1"/>
  <c r="C1217" i="5" a="1"/>
  <c r="C1218" i="5" a="1"/>
  <c r="C1219" i="5" a="1"/>
  <c r="C1220" i="5" a="1"/>
  <c r="C1221" i="5" a="1"/>
  <c r="C1222" i="5" a="1"/>
  <c r="C1223" i="5" a="1"/>
  <c r="C1224" i="5" a="1"/>
  <c r="C1225" i="5" a="1"/>
  <c r="C1226" i="5" a="1"/>
  <c r="C1227" i="5" a="1"/>
  <c r="C1228" i="5" a="1"/>
  <c r="C1229" i="5" a="1"/>
  <c r="C1230" i="5" a="1"/>
  <c r="C1231" i="5" a="1"/>
  <c r="C1232" i="5" a="1"/>
  <c r="C1233" i="5" a="1"/>
  <c r="C1234" i="5" a="1"/>
  <c r="C1235" i="5" a="1"/>
  <c r="C1236" i="5" a="1"/>
  <c r="C1237" i="5" a="1"/>
  <c r="C1238" i="5" a="1"/>
  <c r="C1239" i="5" a="1"/>
  <c r="C1240" i="5" a="1"/>
  <c r="C1241" i="5" a="1"/>
  <c r="C1242" i="5" a="1"/>
  <c r="C1243" i="5" a="1"/>
  <c r="C1244" i="5" a="1"/>
  <c r="C1245" i="5" a="1"/>
  <c r="C1246" i="5" a="1"/>
  <c r="C1247" i="5" a="1"/>
  <c r="C1248" i="5" a="1"/>
  <c r="C1249" i="5" a="1"/>
  <c r="C1250" i="5" a="1"/>
  <c r="C1251" i="5" a="1"/>
  <c r="C1252" i="5" a="1"/>
  <c r="C1253" i="5" a="1"/>
  <c r="C1254" i="5" a="1"/>
  <c r="C1255" i="5" a="1"/>
  <c r="C1256" i="5" a="1"/>
  <c r="C1257" i="5" a="1"/>
  <c r="C1258" i="5" a="1"/>
  <c r="C1259" i="5" a="1"/>
  <c r="C1260" i="5" a="1"/>
  <c r="C1261" i="5" a="1"/>
  <c r="C1262" i="5" a="1"/>
  <c r="C1263" i="5" a="1"/>
  <c r="C1264" i="5" a="1"/>
  <c r="C1265" i="5" a="1"/>
  <c r="C1266" i="5" a="1"/>
  <c r="C1267" i="5" a="1"/>
  <c r="C1268" i="5" a="1"/>
  <c r="C1269" i="5" a="1"/>
  <c r="C1270" i="5" a="1"/>
  <c r="C1271" i="5" a="1"/>
  <c r="C1272" i="5" a="1"/>
  <c r="C1273" i="5" a="1"/>
  <c r="C1274" i="5" a="1"/>
  <c r="C1275" i="5" a="1"/>
  <c r="C1276" i="5" a="1"/>
  <c r="C1277" i="5" a="1"/>
  <c r="C1278" i="5" a="1"/>
  <c r="C1279" i="5" a="1"/>
  <c r="C1280" i="5" a="1"/>
  <c r="C1281" i="5" a="1"/>
  <c r="C1282" i="5" a="1"/>
  <c r="C1283" i="5" a="1"/>
  <c r="C1284" i="5" a="1"/>
  <c r="C1285" i="5" a="1"/>
  <c r="C1286" i="5" a="1"/>
  <c r="C1287" i="5" a="1"/>
  <c r="C1288" i="5" a="1"/>
  <c r="C1289" i="5" a="1"/>
  <c r="C1290" i="5" a="1"/>
  <c r="C1291" i="5" a="1"/>
  <c r="C1292" i="5" a="1"/>
  <c r="C1293" i="5" a="1"/>
  <c r="C1294" i="5" a="1"/>
  <c r="C1295" i="5" a="1"/>
  <c r="C1296" i="5" a="1"/>
  <c r="C1297" i="5" a="1"/>
  <c r="C1298" i="5" a="1"/>
  <c r="C1299" i="5" a="1"/>
  <c r="C1300" i="5" a="1"/>
  <c r="C1301" i="5" a="1"/>
  <c r="C1302" i="5" a="1"/>
  <c r="C1303" i="5" a="1"/>
  <c r="C1304" i="5" a="1"/>
  <c r="C1305" i="5" a="1"/>
  <c r="C1306" i="5" a="1"/>
  <c r="C1307" i="5" a="1"/>
  <c r="C1308" i="5" a="1"/>
  <c r="C1309" i="5" a="1"/>
  <c r="C1310" i="5" a="1"/>
  <c r="C1311" i="5" a="1"/>
  <c r="C1312" i="5" a="1"/>
  <c r="C1313" i="5" a="1"/>
  <c r="C1314" i="5" a="1"/>
  <c r="C1315" i="5" a="1"/>
  <c r="C1316" i="5" a="1"/>
  <c r="C1317" i="5" a="1"/>
  <c r="C1318" i="5" a="1"/>
  <c r="C1319" i="5" a="1"/>
  <c r="C1320" i="5" a="1"/>
  <c r="C1321" i="5" a="1"/>
  <c r="C1322" i="5" a="1"/>
  <c r="C1323" i="5" a="1"/>
  <c r="C1324" i="5" a="1"/>
  <c r="C1325" i="5" a="1"/>
  <c r="C1326" i="5" a="1"/>
  <c r="C1327" i="5" a="1"/>
  <c r="C1328" i="5" a="1"/>
  <c r="C1329" i="5" a="1"/>
  <c r="C1330" i="5" a="1"/>
  <c r="C1331" i="5" a="1"/>
  <c r="C1332" i="5" a="1"/>
  <c r="C1333" i="5" a="1"/>
  <c r="C1334" i="5" a="1"/>
  <c r="C1335" i="5" a="1"/>
  <c r="C1336" i="5" a="1"/>
  <c r="C1337" i="5" a="1"/>
  <c r="C1338" i="5" a="1"/>
  <c r="C1339" i="5" a="1"/>
  <c r="C1340" i="5" a="1"/>
  <c r="C1341" i="5" a="1"/>
  <c r="C1342" i="5" a="1"/>
  <c r="C1343" i="5" a="1"/>
  <c r="C1344" i="5" a="1"/>
  <c r="C1345" i="5" a="1"/>
  <c r="C1346" i="5" a="1"/>
  <c r="C1347" i="5" a="1"/>
  <c r="C1348" i="5" a="1"/>
  <c r="C1349" i="5" a="1"/>
  <c r="C1350" i="5" a="1"/>
  <c r="C1351" i="5" a="1"/>
  <c r="C1352" i="5" a="1"/>
  <c r="C1353" i="5" a="1"/>
  <c r="C1354" i="5" a="1"/>
  <c r="C1355" i="5" a="1"/>
  <c r="C1356" i="5" a="1"/>
  <c r="C1357" i="5" a="1"/>
  <c r="C1358" i="5" a="1"/>
  <c r="C1359" i="5" a="1"/>
  <c r="C1360" i="5" a="1"/>
  <c r="C1361" i="5" a="1"/>
  <c r="C1362" i="5" a="1"/>
  <c r="C1363" i="5" a="1"/>
  <c r="C1364" i="5" a="1"/>
  <c r="C1365" i="5" a="1"/>
  <c r="C1366" i="5" a="1"/>
  <c r="C1367" i="5" a="1"/>
  <c r="C1368" i="5" a="1"/>
  <c r="C1369" i="5" a="1"/>
  <c r="C1370" i="5" a="1"/>
  <c r="C1371" i="5" a="1"/>
  <c r="C1372" i="5" a="1"/>
  <c r="C1373" i="5" a="1"/>
  <c r="C1374" i="5" a="1"/>
  <c r="C1375" i="5" a="1"/>
  <c r="C1376" i="5" a="1"/>
  <c r="C1377" i="5" a="1"/>
  <c r="C1378" i="5" a="1"/>
  <c r="C1379" i="5" a="1"/>
  <c r="C1380" i="5" a="1"/>
  <c r="C1381" i="5" a="1"/>
  <c r="C1382" i="5" a="1"/>
  <c r="C1383" i="5" a="1"/>
  <c r="C1384" i="5" a="1"/>
  <c r="C1385" i="5" a="1"/>
  <c r="C1386" i="5" a="1"/>
  <c r="C1387" i="5" a="1"/>
  <c r="C1388" i="5" a="1"/>
  <c r="C1389" i="5" a="1"/>
  <c r="C1390" i="5" a="1"/>
  <c r="C1391" i="5" a="1"/>
  <c r="C1392" i="5" a="1"/>
  <c r="C1393" i="5" a="1"/>
  <c r="C1394" i="5" a="1"/>
  <c r="C1395" i="5" a="1"/>
  <c r="C1396" i="5" a="1"/>
  <c r="C1397" i="5" a="1"/>
  <c r="C1398" i="5" a="1"/>
  <c r="C1399" i="5" a="1"/>
  <c r="C1400" i="5" a="1"/>
  <c r="C1401" i="5" a="1"/>
  <c r="C1402" i="5" a="1"/>
  <c r="C1403" i="5" a="1"/>
  <c r="C1404" i="5" a="1"/>
  <c r="C1405" i="5" a="1"/>
  <c r="C1406" i="5" a="1"/>
  <c r="C1407" i="5" a="1"/>
  <c r="C1408" i="5" a="1"/>
  <c r="C1409" i="5" a="1"/>
  <c r="C1410" i="5" a="1"/>
  <c r="C1411" i="5" a="1"/>
  <c r="C1412" i="5" a="1"/>
  <c r="C1413" i="5" a="1"/>
  <c r="C1414" i="5" a="1"/>
  <c r="C1415" i="5" a="1"/>
  <c r="C1416" i="5" a="1"/>
  <c r="C1417" i="5" a="1"/>
  <c r="C1418" i="5" a="1"/>
  <c r="C1419" i="5" a="1"/>
  <c r="C1420" i="5" a="1"/>
  <c r="C1421" i="5" a="1"/>
  <c r="C1422" i="5" a="1"/>
  <c r="C1423" i="5" a="1"/>
  <c r="C1424" i="5" a="1"/>
  <c r="C1425" i="5" a="1"/>
  <c r="C1426" i="5" a="1"/>
  <c r="C1427" i="5" a="1"/>
  <c r="C1428" i="5" a="1"/>
  <c r="C1429" i="5" a="1"/>
  <c r="C1430" i="5" a="1"/>
  <c r="C1431" i="5" a="1"/>
  <c r="C1432" i="5" a="1"/>
  <c r="C1433" i="5" a="1"/>
  <c r="C1434" i="5" a="1"/>
  <c r="C1435" i="5" a="1"/>
  <c r="C1436" i="5" a="1"/>
  <c r="C1437" i="5" a="1"/>
  <c r="C1438" i="5" a="1"/>
  <c r="C1439" i="5" a="1"/>
  <c r="C1440" i="5" a="1"/>
  <c r="C1441" i="5" a="1"/>
  <c r="C1442" i="5" a="1"/>
  <c r="C1443" i="5" a="1"/>
  <c r="C1444" i="5" a="1"/>
  <c r="C1445" i="5" a="1"/>
  <c r="C1446" i="5" a="1"/>
  <c r="C1447" i="5" a="1"/>
  <c r="C1448" i="5" a="1"/>
  <c r="C1449" i="5" a="1"/>
  <c r="C1450" i="5" a="1"/>
  <c r="C1451" i="5" a="1"/>
  <c r="C1452" i="5" a="1"/>
  <c r="C1453" i="5" a="1"/>
  <c r="C1454" i="5" a="1"/>
  <c r="C1455" i="5" a="1"/>
  <c r="C1456" i="5" a="1"/>
  <c r="C1457" i="5" a="1"/>
  <c r="C1458" i="5" a="1"/>
  <c r="C1459" i="5" a="1"/>
  <c r="C1460" i="5" a="1"/>
  <c r="C1461" i="5" a="1"/>
  <c r="C1462" i="5" a="1"/>
  <c r="C1463" i="5" a="1"/>
  <c r="C1464" i="5" a="1"/>
  <c r="C1465" i="5" a="1"/>
  <c r="C1466" i="5" a="1"/>
  <c r="C1467" i="5" a="1"/>
  <c r="C1468" i="5" a="1"/>
  <c r="C1469" i="5" a="1"/>
  <c r="C1470" i="5" a="1"/>
  <c r="C1471" i="5" a="1"/>
  <c r="C1472" i="5" a="1"/>
  <c r="C1473" i="5" a="1"/>
  <c r="C1474" i="5" a="1"/>
  <c r="C1475" i="5" a="1"/>
  <c r="C1476" i="5" a="1"/>
  <c r="C1477" i="5" a="1"/>
  <c r="C1478" i="5" a="1"/>
  <c r="C1479" i="5" a="1"/>
  <c r="C1480" i="5" a="1"/>
  <c r="C1481" i="5" a="1"/>
  <c r="C1482" i="5" a="1"/>
  <c r="C1483" i="5" a="1"/>
  <c r="C1484" i="5" a="1"/>
  <c r="C1485" i="5" a="1"/>
  <c r="C1486" i="5" a="1"/>
  <c r="C1487" i="5" a="1"/>
  <c r="C1488" i="5" a="1"/>
  <c r="C1489" i="5" a="1"/>
  <c r="C1490" i="5" a="1"/>
  <c r="C1491" i="5" a="1"/>
  <c r="C1492" i="5" a="1"/>
  <c r="C1493" i="5" a="1"/>
  <c r="C1494" i="5" a="1"/>
  <c r="C1495" i="5" a="1"/>
  <c r="C1496" i="5" a="1"/>
  <c r="C1497" i="5" a="1"/>
  <c r="C1498" i="5" a="1"/>
  <c r="C1499" i="5" a="1"/>
  <c r="C1500" i="5" a="1"/>
  <c r="C1501" i="5" a="1"/>
  <c r="C1502" i="5" a="1"/>
  <c r="C1503" i="5" a="1"/>
  <c r="C1504" i="5" a="1"/>
  <c r="C1505" i="5" a="1"/>
  <c r="C1506" i="5" a="1"/>
  <c r="C1507" i="5" a="1"/>
  <c r="C1508" i="5" a="1"/>
  <c r="C1509" i="5" a="1"/>
  <c r="C1510" i="5" a="1"/>
  <c r="C1511" i="5" a="1"/>
  <c r="C1512" i="5" a="1"/>
  <c r="C1513" i="5" a="1"/>
  <c r="C1514" i="5" a="1"/>
  <c r="C1515" i="5" a="1"/>
  <c r="C1516" i="5" a="1"/>
  <c r="C1517" i="5" a="1"/>
  <c r="C1518" i="5" a="1"/>
  <c r="C1519" i="5" a="1"/>
  <c r="C1520" i="5" a="1"/>
  <c r="C1521" i="5" a="1"/>
  <c r="C1522" i="5" a="1"/>
  <c r="C1523" i="5" a="1"/>
  <c r="C1524" i="5" a="1"/>
  <c r="C1525" i="5" a="1"/>
  <c r="C1526" i="5" a="1"/>
  <c r="C1527" i="5" a="1"/>
  <c r="C1528" i="5" a="1"/>
  <c r="C1529" i="5" a="1"/>
  <c r="C1530" i="5" a="1"/>
  <c r="C1531" i="5" a="1"/>
  <c r="C1532" i="5" a="1"/>
  <c r="C1533" i="5" a="1"/>
  <c r="C1534" i="5" a="1"/>
  <c r="C1535" i="5" a="1"/>
  <c r="C1536" i="5" a="1"/>
  <c r="C1537" i="5" a="1"/>
  <c r="C1538" i="5" a="1"/>
  <c r="C1539" i="5" a="1"/>
  <c r="C1540" i="5" a="1"/>
  <c r="C1541" i="5" a="1"/>
  <c r="C1542" i="5" a="1"/>
  <c r="C1543" i="5" a="1"/>
  <c r="C1544" i="5" a="1"/>
  <c r="C1545" i="5" a="1"/>
  <c r="C1546" i="5" a="1"/>
  <c r="C1547" i="5" a="1"/>
  <c r="C1548" i="5" a="1"/>
  <c r="C1549" i="5" a="1"/>
  <c r="C1550" i="5" a="1"/>
  <c r="C1551" i="5" a="1"/>
  <c r="C1552" i="5" a="1"/>
  <c r="C1553" i="5" a="1"/>
  <c r="C1554" i="5" a="1"/>
  <c r="C1555" i="5" a="1"/>
  <c r="C1556" i="5" a="1"/>
  <c r="C1557" i="5" a="1"/>
  <c r="C1558" i="5" a="1"/>
  <c r="C1559" i="5" a="1"/>
  <c r="C1560" i="5" a="1"/>
  <c r="C1561" i="5" a="1"/>
  <c r="C1562" i="5" a="1"/>
  <c r="C1563" i="5" a="1"/>
  <c r="C1564" i="5" a="1"/>
  <c r="C1565" i="5" a="1"/>
  <c r="C1566" i="5" a="1"/>
  <c r="C1567" i="5" a="1"/>
  <c r="C1568" i="5" a="1"/>
  <c r="C1569" i="5" a="1"/>
  <c r="C1570" i="5" a="1"/>
  <c r="C1571" i="5" a="1"/>
  <c r="C1572" i="5" a="1"/>
  <c r="C1573" i="5" a="1"/>
  <c r="C1574" i="5" a="1"/>
  <c r="C1575" i="5" a="1"/>
  <c r="C1576" i="5" a="1"/>
  <c r="C1577" i="5" a="1"/>
  <c r="C1578" i="5" a="1"/>
  <c r="C1579" i="5" a="1"/>
  <c r="C1580" i="5" a="1"/>
  <c r="C1581" i="5" a="1"/>
  <c r="C1582" i="5" a="1"/>
  <c r="C1583" i="5" a="1"/>
  <c r="C1584" i="5" a="1"/>
  <c r="C1585" i="5" a="1"/>
  <c r="C1586" i="5" a="1"/>
  <c r="C1587" i="5" a="1"/>
  <c r="C1588" i="5" a="1"/>
  <c r="C1589" i="5" a="1"/>
  <c r="C1590" i="5" a="1"/>
  <c r="C1591" i="5" a="1"/>
  <c r="C1592" i="5" a="1"/>
  <c r="C1593" i="5" a="1"/>
  <c r="C1594" i="5" a="1"/>
  <c r="C1595" i="5" a="1"/>
  <c r="C1596" i="5" a="1"/>
  <c r="C1597" i="5" a="1"/>
  <c r="C1598" i="5" a="1"/>
  <c r="C1599" i="5" a="1"/>
  <c r="C1600" i="5" a="1"/>
  <c r="C1601" i="5" a="1"/>
  <c r="C1602" i="5" a="1"/>
  <c r="C1603" i="5" a="1"/>
  <c r="C1604" i="5" a="1"/>
  <c r="C1605" i="5" a="1"/>
  <c r="C1606" i="5" a="1"/>
  <c r="C1607" i="5" a="1"/>
  <c r="C1608" i="5" a="1"/>
  <c r="C1609" i="5" a="1"/>
  <c r="C1610" i="5" a="1"/>
  <c r="C1611" i="5" a="1"/>
  <c r="C1612" i="5" a="1"/>
  <c r="C1613" i="5" a="1"/>
  <c r="C1614" i="5" a="1"/>
  <c r="C1615" i="5" a="1"/>
  <c r="C1616" i="5" a="1"/>
  <c r="C1617" i="5" a="1"/>
  <c r="C1618" i="5" a="1"/>
  <c r="C1619" i="5" a="1"/>
  <c r="C1620" i="5" a="1"/>
  <c r="C1621" i="5" a="1"/>
  <c r="C1622" i="5" a="1"/>
  <c r="C1623" i="5" a="1"/>
  <c r="C1624" i="5" a="1"/>
  <c r="C1625" i="5" a="1"/>
  <c r="C1626" i="5" a="1"/>
  <c r="C1627" i="5" a="1"/>
  <c r="C1628" i="5" a="1"/>
  <c r="C1629" i="5" a="1"/>
  <c r="C1630" i="5" a="1"/>
  <c r="C1631" i="5" a="1"/>
  <c r="C1632" i="5" a="1"/>
  <c r="C1633" i="5" a="1"/>
  <c r="C1634" i="5" a="1"/>
  <c r="C1635" i="5" a="1"/>
  <c r="C1636" i="5" a="1"/>
  <c r="C1637" i="5" a="1"/>
  <c r="C1638" i="5" a="1"/>
  <c r="C1639" i="5" a="1"/>
  <c r="C1640" i="5" a="1"/>
  <c r="C1641" i="5" a="1"/>
  <c r="C1642" i="5" a="1"/>
  <c r="C1643" i="5" a="1"/>
  <c r="C1644" i="5" a="1"/>
  <c r="C1645" i="5" a="1"/>
  <c r="C1646" i="5" a="1"/>
  <c r="C1647" i="5" a="1"/>
  <c r="C1648" i="5" a="1"/>
  <c r="C1649" i="5" a="1"/>
  <c r="C1650" i="5" a="1"/>
  <c r="C1651" i="5" a="1"/>
  <c r="C1652" i="5" a="1"/>
  <c r="C1653" i="5" a="1"/>
  <c r="C1654" i="5" a="1"/>
  <c r="C1655" i="5" a="1"/>
  <c r="C1656" i="5" a="1"/>
  <c r="C1657" i="5" a="1"/>
  <c r="C1658" i="5" a="1"/>
  <c r="C1659" i="5" a="1"/>
  <c r="C1660" i="5" a="1"/>
  <c r="C1661" i="5" a="1"/>
  <c r="C1662" i="5" a="1"/>
  <c r="C1663" i="5" a="1"/>
  <c r="C1664" i="5" a="1"/>
  <c r="C1665" i="5" a="1"/>
  <c r="C1666" i="5" a="1"/>
  <c r="C1667" i="5" a="1"/>
  <c r="C1668" i="5" a="1"/>
  <c r="C1669" i="5" a="1"/>
  <c r="C1670" i="5" a="1"/>
  <c r="C1671" i="5" a="1"/>
  <c r="C1672" i="5" a="1"/>
  <c r="C1673" i="5" a="1"/>
  <c r="C1674" i="5" a="1"/>
  <c r="C1675" i="5" a="1"/>
  <c r="C1676" i="5" a="1"/>
  <c r="C1677" i="5" a="1"/>
  <c r="C1678" i="5" a="1"/>
  <c r="C1679" i="5" a="1"/>
  <c r="C1680" i="5" a="1"/>
  <c r="C1681" i="5" a="1"/>
  <c r="C1682" i="5" a="1"/>
  <c r="C1683" i="5" a="1"/>
  <c r="C1684" i="5" a="1"/>
  <c r="C1685" i="5" a="1"/>
  <c r="C1686" i="5" a="1"/>
  <c r="C1687" i="5" a="1"/>
  <c r="C1688" i="5" a="1"/>
  <c r="C1689" i="5" a="1"/>
  <c r="C1690" i="5" a="1"/>
  <c r="C1691" i="5" a="1"/>
  <c r="C1692" i="5" a="1"/>
  <c r="C1693" i="5" a="1"/>
  <c r="C1694" i="5" a="1"/>
  <c r="C1695" i="5" a="1"/>
  <c r="C1696" i="5" a="1"/>
  <c r="C1697" i="5" a="1"/>
  <c r="C1698" i="5" a="1"/>
  <c r="C1699" i="5" a="1"/>
  <c r="C1700" i="5" a="1"/>
  <c r="C1701" i="5" a="1"/>
  <c r="C1702" i="5" a="1"/>
  <c r="C1703" i="5" a="1"/>
  <c r="C1704" i="5" a="1"/>
  <c r="C1705" i="5" a="1"/>
  <c r="C1706" i="5" a="1"/>
  <c r="C1707" i="5" a="1"/>
  <c r="C1708" i="5" a="1"/>
  <c r="C1709" i="5" a="1"/>
  <c r="C1710" i="5" a="1"/>
  <c r="C1711" i="5" a="1"/>
  <c r="C1712" i="5" a="1"/>
  <c r="C1713" i="5" a="1"/>
  <c r="C1714" i="5" a="1"/>
  <c r="C1715" i="5" a="1"/>
  <c r="C1716" i="5" a="1"/>
  <c r="C1717" i="5" a="1"/>
  <c r="C1718" i="5" a="1"/>
  <c r="C1719" i="5" a="1"/>
  <c r="C1720" i="5" a="1"/>
  <c r="C1721" i="5" a="1"/>
  <c r="C1722" i="5" a="1"/>
  <c r="C1723" i="5" a="1"/>
  <c r="C1724" i="5" a="1"/>
  <c r="C1725" i="5" a="1"/>
  <c r="C1726" i="5" a="1"/>
  <c r="C1727" i="5" a="1"/>
  <c r="C1728" i="5" a="1"/>
  <c r="C1729" i="5" a="1"/>
  <c r="C1730" i="5" a="1"/>
  <c r="C1731" i="5" a="1"/>
  <c r="C1732" i="5" a="1"/>
  <c r="C1733" i="5" a="1"/>
  <c r="C1734" i="5" a="1"/>
  <c r="C1735" i="5" a="1"/>
  <c r="C1736" i="5" a="1"/>
  <c r="C1737" i="5" a="1"/>
  <c r="C1738" i="5" a="1"/>
  <c r="C1739" i="5" a="1"/>
  <c r="C1740" i="5" a="1"/>
  <c r="C1741" i="5" a="1"/>
  <c r="C1742" i="5" a="1"/>
  <c r="C1743" i="5" a="1"/>
  <c r="C1744" i="5" a="1"/>
  <c r="C1745" i="5" a="1"/>
  <c r="C1746" i="5" a="1"/>
  <c r="C1747" i="5" a="1"/>
  <c r="C1748" i="5" a="1"/>
  <c r="C1749" i="5" a="1"/>
  <c r="C1750" i="5" a="1"/>
  <c r="C1751" i="5" a="1"/>
  <c r="C1752" i="5" a="1"/>
  <c r="C1753" i="5" a="1"/>
  <c r="C1754" i="5" a="1"/>
  <c r="C1755" i="5" a="1"/>
  <c r="C1756" i="5" a="1"/>
  <c r="C1757" i="5" a="1"/>
  <c r="C1758" i="5" a="1"/>
  <c r="C1759" i="5" a="1"/>
  <c r="C1760" i="5" a="1"/>
  <c r="C1761" i="5" a="1"/>
  <c r="C1762" i="5" a="1"/>
  <c r="C1763" i="5" a="1"/>
  <c r="C1764" i="5" a="1"/>
  <c r="C1765" i="5" a="1"/>
  <c r="C1766" i="5" a="1"/>
  <c r="C1767" i="5" a="1"/>
  <c r="C1768" i="5" a="1"/>
  <c r="C1769" i="5" a="1"/>
  <c r="C1770" i="5" a="1"/>
  <c r="C1771" i="5" a="1"/>
  <c r="C1772" i="5" a="1"/>
  <c r="C1773" i="5" a="1"/>
  <c r="C1774" i="5" a="1"/>
  <c r="C1775" i="5" a="1"/>
  <c r="C1776" i="5" a="1"/>
  <c r="C1777" i="5" a="1"/>
  <c r="C1778" i="5" a="1"/>
  <c r="C1779" i="5" a="1"/>
  <c r="C1780" i="5" a="1"/>
  <c r="C1781" i="5" a="1"/>
  <c r="C1782" i="5" a="1"/>
  <c r="C1783" i="5" a="1"/>
  <c r="C1784" i="5" a="1"/>
  <c r="C1785" i="5" a="1"/>
  <c r="C1786" i="5" a="1"/>
  <c r="C1787" i="5" a="1"/>
  <c r="C1788" i="5" a="1"/>
  <c r="C1789" i="5" a="1"/>
  <c r="C1790" i="5" a="1"/>
  <c r="C1791" i="5" a="1"/>
  <c r="C1792" i="5" a="1"/>
  <c r="C1793" i="5" a="1"/>
  <c r="C1794" i="5" a="1"/>
  <c r="C1795" i="5" a="1"/>
  <c r="C1796" i="5" a="1"/>
  <c r="C1797" i="5" a="1"/>
  <c r="C1798" i="5" a="1"/>
  <c r="C1799" i="5" a="1"/>
  <c r="C1800" i="5" a="1"/>
  <c r="C1801" i="5" a="1"/>
  <c r="C1802" i="5" a="1"/>
  <c r="C1803" i="5" a="1"/>
  <c r="C1804" i="5" a="1"/>
  <c r="C1805" i="5" a="1"/>
  <c r="C1806" i="5" a="1"/>
  <c r="C1807" i="5" a="1"/>
  <c r="C1808" i="5" a="1"/>
  <c r="C1809" i="5" a="1"/>
  <c r="C1810" i="5" a="1"/>
  <c r="C1811" i="5" a="1"/>
  <c r="C1812" i="5" a="1"/>
  <c r="C1813" i="5" a="1"/>
  <c r="C1814" i="5" a="1"/>
  <c r="C1815" i="5" a="1"/>
  <c r="C1816" i="5" a="1"/>
  <c r="C1817" i="5" a="1"/>
  <c r="C1818" i="5" a="1"/>
  <c r="C1819" i="5" a="1"/>
  <c r="C1820" i="5" a="1"/>
  <c r="C1821" i="5" a="1"/>
  <c r="C1822" i="5" a="1"/>
  <c r="C1823" i="5" a="1"/>
  <c r="C1824" i="5" a="1"/>
  <c r="C1825" i="5" a="1"/>
  <c r="C1826" i="5" a="1"/>
  <c r="C1827" i="5" a="1"/>
  <c r="C1828" i="5" a="1"/>
  <c r="C1829" i="5" a="1"/>
  <c r="C1830" i="5" a="1"/>
  <c r="C1831" i="5" a="1"/>
  <c r="C1832" i="5" a="1"/>
  <c r="C1833" i="5" a="1"/>
  <c r="C1834" i="5" a="1"/>
  <c r="C1835" i="5" a="1"/>
  <c r="C1836" i="5" a="1"/>
  <c r="C1837" i="5" a="1"/>
  <c r="C1838" i="5" a="1"/>
  <c r="C1839" i="5" a="1"/>
  <c r="C1840" i="5" a="1"/>
  <c r="C1841" i="5" a="1"/>
  <c r="C1842" i="5" a="1"/>
  <c r="C1843" i="5" a="1"/>
  <c r="C1844" i="5" a="1"/>
  <c r="C1845" i="5" a="1"/>
  <c r="C1846" i="5" a="1"/>
  <c r="C1847" i="5" a="1"/>
  <c r="C1848" i="5" a="1"/>
  <c r="C1849" i="5" a="1"/>
  <c r="C1850" i="5" a="1"/>
  <c r="C1851" i="5" a="1"/>
  <c r="C1852" i="5" a="1"/>
  <c r="C1853" i="5" a="1"/>
  <c r="C1854" i="5" a="1"/>
  <c r="C1855" i="5" a="1"/>
  <c r="C1856" i="5" a="1"/>
  <c r="C1857" i="5" a="1"/>
  <c r="C1858" i="5" a="1"/>
  <c r="C1859" i="5" a="1"/>
  <c r="C1860" i="5" a="1"/>
  <c r="C1861" i="5" a="1"/>
  <c r="C1862" i="5" a="1"/>
  <c r="C1863" i="5" a="1"/>
  <c r="C1864" i="5" a="1"/>
  <c r="C1865" i="5" a="1"/>
  <c r="C1866" i="5" a="1"/>
  <c r="C1867" i="5" a="1"/>
  <c r="C1868" i="5" a="1"/>
  <c r="C1869" i="5" a="1"/>
  <c r="C1870" i="5" a="1"/>
  <c r="C1871" i="5" a="1"/>
  <c r="C1872" i="5" a="1"/>
  <c r="C1873" i="5" a="1"/>
  <c r="C1874" i="5" a="1"/>
  <c r="C1875" i="5" a="1"/>
  <c r="C1876" i="5" a="1"/>
  <c r="C1877" i="5" a="1"/>
  <c r="C1878" i="5" a="1"/>
  <c r="C1879" i="5" a="1"/>
  <c r="C1880" i="5" a="1"/>
  <c r="C1881" i="5" a="1"/>
  <c r="C1882" i="5" a="1"/>
  <c r="C1883" i="5" a="1"/>
  <c r="C1884" i="5" a="1"/>
  <c r="C1885" i="5" a="1"/>
  <c r="C1886" i="5" a="1"/>
  <c r="C1887" i="5" a="1"/>
  <c r="C1888" i="5" a="1"/>
  <c r="C1889" i="5" a="1"/>
  <c r="C1890" i="5" a="1"/>
  <c r="C1891" i="5" a="1"/>
  <c r="C1892" i="5" a="1"/>
  <c r="C1893" i="5" a="1"/>
  <c r="C1894" i="5" a="1"/>
  <c r="C1895" i="5" a="1"/>
  <c r="C1896" i="5" a="1"/>
  <c r="C1897" i="5" a="1"/>
  <c r="C1898" i="5" a="1"/>
  <c r="C1899" i="5" a="1"/>
  <c r="C1900" i="5" a="1"/>
  <c r="C1901" i="5" a="1"/>
  <c r="C1902" i="5" a="1"/>
  <c r="C1903" i="5" a="1"/>
  <c r="C1904" i="5" a="1"/>
  <c r="C1905" i="5" a="1"/>
  <c r="C1906" i="5" a="1"/>
  <c r="C1907" i="5" a="1"/>
  <c r="C1908" i="5" a="1"/>
  <c r="C1909" i="5" a="1"/>
  <c r="C1910" i="5" a="1"/>
  <c r="C1911" i="5" a="1"/>
  <c r="C1912" i="5" a="1"/>
  <c r="C1913" i="5" a="1"/>
  <c r="C1914" i="5" a="1"/>
  <c r="C1915" i="5" a="1"/>
  <c r="C1916" i="5" a="1"/>
  <c r="C1917" i="5" a="1"/>
  <c r="C1918" i="5" a="1"/>
  <c r="C1919" i="5" a="1"/>
  <c r="C1920" i="5" a="1"/>
  <c r="C1921" i="5" a="1"/>
  <c r="C1922" i="5" a="1"/>
  <c r="C1923" i="5" a="1"/>
  <c r="C1924" i="5" a="1"/>
  <c r="C1925" i="5" a="1"/>
  <c r="C1926" i="5" a="1"/>
  <c r="C1927" i="5" a="1"/>
  <c r="C1928" i="5" a="1"/>
  <c r="C1929" i="5" a="1"/>
  <c r="C1930" i="5" a="1"/>
  <c r="C1931" i="5" a="1"/>
  <c r="C1932" i="5" a="1"/>
  <c r="C1933" i="5" a="1"/>
  <c r="C1934" i="5" a="1"/>
  <c r="C1935" i="5" a="1"/>
  <c r="C1936" i="5" a="1"/>
  <c r="C1937" i="5" a="1"/>
  <c r="C1938" i="5" a="1"/>
  <c r="C1939" i="5" a="1"/>
  <c r="C1940" i="5" a="1"/>
  <c r="C1941" i="5" a="1"/>
  <c r="C1942" i="5" a="1"/>
  <c r="C1943" i="5" a="1"/>
  <c r="C1944" i="5" a="1"/>
  <c r="C1945" i="5" a="1"/>
  <c r="C1946" i="5" a="1"/>
  <c r="C1947" i="5" a="1"/>
  <c r="C1948" i="5" a="1"/>
  <c r="C1949" i="5" a="1"/>
  <c r="C1950" i="5" a="1"/>
  <c r="C1951" i="5" a="1"/>
  <c r="C1952" i="5" a="1"/>
  <c r="C1953" i="5" a="1"/>
  <c r="C1954" i="5" a="1"/>
  <c r="C1955" i="5" a="1"/>
  <c r="C1956" i="5" a="1"/>
  <c r="C1957" i="5" a="1"/>
  <c r="C1958" i="5" a="1"/>
  <c r="C1959" i="5" a="1"/>
  <c r="C1960" i="5" a="1"/>
  <c r="C1961" i="5" a="1"/>
  <c r="C1962" i="5" a="1"/>
  <c r="C1963" i="5" a="1"/>
  <c r="C1964" i="5" a="1"/>
  <c r="C1965" i="5" a="1"/>
  <c r="C1966" i="5" a="1"/>
  <c r="C1967" i="5" a="1"/>
  <c r="C1968" i="5" a="1"/>
  <c r="C1969" i="5" a="1"/>
  <c r="C1970" i="5" a="1"/>
  <c r="C1971" i="5" a="1"/>
  <c r="C1972" i="5" a="1"/>
  <c r="C1973" i="5" a="1"/>
  <c r="C1974" i="5" a="1"/>
  <c r="C1975" i="5" a="1"/>
  <c r="C1976" i="5" a="1"/>
  <c r="C1977" i="5" a="1"/>
  <c r="C1978" i="5" a="1"/>
  <c r="C1979" i="5" a="1"/>
  <c r="C1980" i="5" a="1"/>
  <c r="C1981" i="5" a="1"/>
  <c r="C1982" i="5" a="1"/>
  <c r="C1983" i="5" a="1"/>
  <c r="C1984" i="5" a="1"/>
  <c r="C1985" i="5" a="1"/>
  <c r="C1986" i="5" a="1"/>
  <c r="C1987" i="5" a="1"/>
  <c r="C1988" i="5" a="1"/>
  <c r="C1989" i="5" a="1"/>
  <c r="C1990" i="5" a="1"/>
  <c r="C1991" i="5" a="1"/>
  <c r="C1992" i="5" a="1"/>
  <c r="C1993" i="5" a="1"/>
  <c r="C1994" i="5" a="1"/>
  <c r="C1995" i="5" a="1"/>
  <c r="C1996" i="5" a="1"/>
  <c r="C1997" i="5" a="1"/>
  <c r="C1998" i="5" a="1"/>
  <c r="C1999" i="5" a="1"/>
  <c r="C2000" i="5" a="1"/>
  <c r="C2001" i="5" a="1"/>
  <c r="C2" i="5" a="1"/>
  <c r="G72" i="7"/>
  <c r="G71" i="7"/>
  <c r="G70" i="7"/>
  <c r="G69" i="7"/>
  <c r="G68" i="7"/>
  <c r="G67" i="7"/>
  <c r="G66" i="7"/>
  <c r="G65" i="7"/>
  <c r="G45" i="7"/>
  <c r="G44" i="7"/>
  <c r="G43" i="7"/>
  <c r="G42" i="7"/>
  <c r="G34" i="7"/>
  <c r="G33" i="7"/>
  <c r="G32" i="7"/>
  <c r="G31" i="7"/>
  <c r="G23" i="7"/>
  <c r="G21" i="7"/>
  <c r="G20" i="7"/>
  <c r="G12" i="7"/>
  <c r="G13" i="7"/>
  <c r="H2" i="5" a="1"/>
  <c r="H3" i="5" a="1"/>
  <c r="H4" i="5" a="1"/>
  <c r="H5" i="5" a="1"/>
  <c r="H6" i="5" a="1"/>
  <c r="H7" i="5" a="1"/>
  <c r="H8" i="5" a="1"/>
  <c r="H9" i="5" a="1"/>
  <c r="H10" i="5" a="1"/>
  <c r="H11" i="5" a="1"/>
  <c r="H12" i="5" a="1"/>
  <c r="H13" i="5" a="1"/>
  <c r="H14" i="5" a="1"/>
  <c r="H15" i="5" a="1"/>
  <c r="H16" i="5" a="1"/>
  <c r="H17" i="5" a="1"/>
  <c r="H18" i="5" a="1"/>
  <c r="H19" i="5" a="1"/>
  <c r="H20" i="5" a="1"/>
  <c r="H21" i="5" a="1"/>
  <c r="H22" i="5" a="1"/>
  <c r="H23" i="5" a="1"/>
  <c r="H24" i="5" a="1"/>
  <c r="H25" i="5" a="1"/>
  <c r="H26" i="5" a="1"/>
  <c r="H27" i="5" a="1"/>
  <c r="H28" i="5" a="1"/>
  <c r="H29" i="5" a="1"/>
  <c r="H30" i="5" a="1"/>
  <c r="H31" i="5" a="1"/>
  <c r="H32" i="5" a="1"/>
  <c r="H33" i="5" a="1"/>
  <c r="H34" i="5" a="1"/>
  <c r="H35" i="5" a="1"/>
  <c r="H36" i="5" a="1"/>
  <c r="H37" i="5" a="1"/>
  <c r="H38" i="5" a="1"/>
  <c r="H39" i="5" a="1"/>
  <c r="H40" i="5" a="1"/>
  <c r="H41" i="5" a="1"/>
  <c r="H42" i="5" a="1"/>
  <c r="H43" i="5" a="1"/>
  <c r="H44" i="5" a="1"/>
  <c r="H45" i="5" a="1"/>
  <c r="H46" i="5" a="1"/>
  <c r="H47" i="5" a="1"/>
  <c r="H48" i="5" a="1"/>
  <c r="H49" i="5" a="1"/>
  <c r="H50" i="5" a="1"/>
  <c r="H51" i="5" a="1"/>
  <c r="H52" i="5" a="1"/>
  <c r="H53" i="5" a="1"/>
  <c r="H54" i="5" a="1"/>
  <c r="H55" i="5" a="1"/>
  <c r="H56" i="5" a="1"/>
  <c r="H57" i="5" a="1"/>
  <c r="H58" i="5" a="1"/>
  <c r="H59" i="5" a="1"/>
  <c r="H60" i="5" a="1"/>
  <c r="H61" i="5" a="1"/>
  <c r="H62" i="5" a="1"/>
  <c r="H63" i="5" a="1"/>
  <c r="H64" i="5" a="1"/>
  <c r="H65" i="5" a="1"/>
  <c r="H66" i="5" a="1"/>
  <c r="H67" i="5" a="1"/>
  <c r="H68" i="5" a="1"/>
  <c r="H69" i="5" a="1"/>
  <c r="H70" i="5" a="1"/>
  <c r="H71" i="5" a="1"/>
  <c r="H72" i="5" a="1"/>
  <c r="H73" i="5" a="1"/>
  <c r="H74" i="5" a="1"/>
  <c r="H75" i="5" a="1"/>
  <c r="H76" i="5" a="1"/>
  <c r="H77" i="5" a="1"/>
  <c r="H78" i="5" a="1"/>
  <c r="H79" i="5" a="1"/>
  <c r="H80" i="5" a="1"/>
  <c r="H81" i="5" a="1"/>
  <c r="H82" i="5" a="1"/>
  <c r="H83" i="5" a="1"/>
  <c r="H84" i="5" a="1"/>
  <c r="H85" i="5" a="1"/>
  <c r="H86" i="5" a="1"/>
  <c r="H87" i="5" a="1"/>
  <c r="H88" i="5" a="1"/>
  <c r="H89" i="5" a="1"/>
  <c r="H90" i="5" a="1"/>
  <c r="H91" i="5" a="1"/>
  <c r="H92" i="5" a="1"/>
  <c r="H93" i="5" a="1"/>
  <c r="H94" i="5" a="1"/>
  <c r="H95" i="5" a="1"/>
  <c r="H96" i="5" a="1"/>
  <c r="H97" i="5" a="1"/>
  <c r="H98" i="5" a="1"/>
  <c r="H99" i="5" a="1"/>
  <c r="H100" i="5" a="1"/>
  <c r="H101" i="5" a="1"/>
  <c r="H102" i="5" a="1"/>
  <c r="H103" i="5" a="1"/>
  <c r="H104" i="5" a="1"/>
  <c r="H105" i="5" a="1"/>
  <c r="H106" i="5" a="1"/>
  <c r="H107" i="5" a="1"/>
  <c r="H108" i="5" a="1"/>
  <c r="H109" i="5" a="1"/>
  <c r="H110" i="5" a="1"/>
  <c r="H111" i="5" a="1"/>
  <c r="H112" i="5" a="1"/>
  <c r="H113" i="5" a="1"/>
  <c r="H114" i="5" a="1"/>
  <c r="H115" i="5" a="1"/>
  <c r="H116" i="5" a="1"/>
  <c r="H117" i="5" a="1"/>
  <c r="H118" i="5" a="1"/>
  <c r="H119" i="5" a="1"/>
  <c r="H120" i="5" a="1"/>
  <c r="H121" i="5" a="1"/>
  <c r="H122" i="5" a="1"/>
  <c r="H123" i="5" a="1"/>
  <c r="H124" i="5" a="1"/>
  <c r="H125" i="5" a="1"/>
  <c r="H126" i="5" a="1"/>
  <c r="H127" i="5" a="1"/>
  <c r="H128" i="5" a="1"/>
  <c r="H129" i="5" a="1"/>
  <c r="H130" i="5" a="1"/>
  <c r="H131" i="5" a="1"/>
  <c r="H132" i="5" a="1"/>
  <c r="H133" i="5" a="1"/>
  <c r="H134" i="5" a="1"/>
  <c r="H135" i="5" a="1"/>
  <c r="H136" i="5" a="1"/>
  <c r="H137" i="5" a="1"/>
  <c r="H138" i="5" a="1"/>
  <c r="H139" i="5" a="1"/>
  <c r="H140" i="5" a="1"/>
  <c r="H141" i="5" a="1"/>
  <c r="H142" i="5" a="1"/>
  <c r="H143" i="5" a="1"/>
  <c r="H144" i="5" a="1"/>
  <c r="H145" i="5" a="1"/>
  <c r="H146" i="5" a="1"/>
  <c r="H147" i="5" a="1"/>
  <c r="H148" i="5" a="1"/>
  <c r="H149" i="5" a="1"/>
  <c r="H150" i="5" a="1"/>
  <c r="H151" i="5" a="1"/>
  <c r="H152" i="5" a="1"/>
  <c r="H153" i="5" a="1"/>
  <c r="H154" i="5" a="1"/>
  <c r="H155" i="5" a="1"/>
  <c r="H156" i="5" a="1"/>
  <c r="H157" i="5" a="1"/>
  <c r="H158" i="5" a="1"/>
  <c r="H159" i="5" a="1"/>
  <c r="H160" i="5" a="1"/>
  <c r="H161" i="5" a="1"/>
  <c r="H162" i="5" a="1"/>
  <c r="H163" i="5" a="1"/>
  <c r="H164" i="5" a="1"/>
  <c r="H165" i="5" a="1"/>
  <c r="H166" i="5" a="1"/>
  <c r="H167" i="5" a="1"/>
  <c r="H168" i="5" a="1"/>
  <c r="H169" i="5" a="1"/>
  <c r="H170" i="5" a="1"/>
  <c r="H171" i="5" a="1"/>
  <c r="H172" i="5" a="1"/>
  <c r="H173" i="5" a="1"/>
  <c r="H174" i="5" a="1"/>
  <c r="H175" i="5" a="1"/>
  <c r="H176" i="5" a="1"/>
  <c r="H177" i="5" a="1"/>
  <c r="H178" i="5" a="1"/>
  <c r="H179" i="5" a="1"/>
  <c r="H180" i="5" a="1"/>
  <c r="H181" i="5" a="1"/>
  <c r="H182" i="5" a="1"/>
  <c r="H183" i="5" a="1"/>
  <c r="H184" i="5" a="1"/>
  <c r="H185" i="5" a="1"/>
  <c r="H186" i="5" a="1"/>
  <c r="H187" i="5" a="1"/>
  <c r="H188" i="5" a="1"/>
  <c r="H189" i="5" a="1"/>
  <c r="H190" i="5" a="1"/>
  <c r="H191" i="5" a="1"/>
  <c r="H192" i="5" a="1"/>
  <c r="H193" i="5" a="1"/>
  <c r="H194" i="5" a="1"/>
  <c r="H195" i="5" a="1"/>
  <c r="H196" i="5" a="1"/>
  <c r="H197" i="5" a="1"/>
  <c r="H198" i="5" a="1"/>
  <c r="H199" i="5" a="1"/>
  <c r="H200" i="5" a="1"/>
  <c r="H201" i="5" a="1"/>
  <c r="H202" i="5" a="1"/>
  <c r="H203" i="5" a="1"/>
  <c r="H204" i="5" a="1"/>
  <c r="H205" i="5" a="1"/>
  <c r="H206" i="5" a="1"/>
  <c r="H207" i="5" a="1"/>
  <c r="H208" i="5" a="1"/>
  <c r="H209" i="5" a="1"/>
  <c r="H210" i="5" a="1"/>
  <c r="H211" i="5" a="1"/>
  <c r="H212" i="5" a="1"/>
  <c r="H213" i="5" a="1"/>
  <c r="H214" i="5" a="1"/>
  <c r="H215" i="5" a="1"/>
  <c r="H216" i="5" a="1"/>
  <c r="H217" i="5" a="1"/>
  <c r="H218" i="5" a="1"/>
  <c r="H219" i="5" a="1"/>
  <c r="H220" i="5" a="1"/>
  <c r="H221" i="5" a="1"/>
  <c r="H222" i="5" a="1"/>
  <c r="H223" i="5" a="1"/>
  <c r="H224" i="5" a="1"/>
  <c r="H225" i="5" a="1"/>
  <c r="H226" i="5" a="1"/>
  <c r="H227" i="5" a="1"/>
  <c r="H228" i="5" a="1"/>
  <c r="H229" i="5" a="1"/>
  <c r="H230" i="5" a="1"/>
  <c r="H231" i="5" a="1"/>
  <c r="H232" i="5" a="1"/>
  <c r="H233" i="5" a="1"/>
  <c r="H234" i="5" a="1"/>
  <c r="H235" i="5" a="1"/>
  <c r="H236" i="5" a="1"/>
  <c r="H237" i="5" a="1"/>
  <c r="H238" i="5" a="1"/>
  <c r="H239" i="5" a="1"/>
  <c r="H240" i="5" a="1"/>
  <c r="H241" i="5" a="1"/>
  <c r="H242" i="5" a="1"/>
  <c r="H243" i="5" a="1"/>
  <c r="H244" i="5" a="1"/>
  <c r="H245" i="5" a="1"/>
  <c r="H246" i="5" a="1"/>
  <c r="H247" i="5" a="1"/>
  <c r="H248" i="5" a="1"/>
  <c r="H249" i="5" a="1"/>
  <c r="H250" i="5" a="1"/>
  <c r="H251" i="5" a="1"/>
  <c r="H252" i="5" a="1"/>
  <c r="H253" i="5" a="1"/>
  <c r="H254" i="5" a="1"/>
  <c r="H255" i="5" a="1"/>
  <c r="H256" i="5" a="1"/>
  <c r="H257" i="5" a="1"/>
  <c r="H258" i="5" a="1"/>
  <c r="H259" i="5" a="1"/>
  <c r="H260" i="5" a="1"/>
  <c r="H261" i="5" a="1"/>
  <c r="H262" i="5" a="1"/>
  <c r="H263" i="5" a="1"/>
  <c r="H264" i="5" a="1"/>
  <c r="H265" i="5" a="1"/>
  <c r="H266" i="5" a="1"/>
  <c r="H267" i="5" a="1"/>
  <c r="H268" i="5" a="1"/>
  <c r="H269" i="5" a="1"/>
  <c r="H270" i="5" a="1"/>
  <c r="H271" i="5" a="1"/>
  <c r="H272" i="5" a="1"/>
  <c r="H273" i="5" a="1"/>
  <c r="H274" i="5" a="1"/>
  <c r="H275" i="5" a="1"/>
  <c r="H276" i="5" a="1"/>
  <c r="H277" i="5" a="1"/>
  <c r="H278" i="5" a="1"/>
  <c r="H279" i="5" a="1"/>
  <c r="H280" i="5" a="1"/>
  <c r="H281" i="5" a="1"/>
  <c r="H282" i="5" a="1"/>
  <c r="H283" i="5" a="1"/>
  <c r="H284" i="5" a="1"/>
  <c r="H285" i="5" a="1"/>
  <c r="H286" i="5" a="1"/>
  <c r="H287" i="5" a="1"/>
  <c r="H288" i="5" a="1"/>
  <c r="H289" i="5" a="1"/>
  <c r="H290" i="5" a="1"/>
  <c r="H291" i="5" a="1"/>
  <c r="H292" i="5" a="1"/>
  <c r="H293" i="5" a="1"/>
  <c r="H294" i="5" a="1"/>
  <c r="H295" i="5" a="1"/>
  <c r="H296" i="5" a="1"/>
  <c r="H297" i="5" a="1"/>
  <c r="H298" i="5" a="1"/>
  <c r="H299" i="5" a="1"/>
  <c r="H300" i="5" a="1"/>
  <c r="H301" i="5" a="1"/>
  <c r="H302" i="5" a="1"/>
  <c r="H303" i="5" a="1"/>
  <c r="H304" i="5" a="1"/>
  <c r="H305" i="5" a="1"/>
  <c r="H306" i="5" a="1"/>
  <c r="H307" i="5" a="1"/>
  <c r="H308" i="5" a="1"/>
  <c r="H309" i="5" a="1"/>
  <c r="H310" i="5" a="1"/>
  <c r="H311" i="5" a="1"/>
  <c r="H312" i="5" a="1"/>
  <c r="H313" i="5" a="1"/>
  <c r="H314" i="5" a="1"/>
  <c r="H315" i="5" a="1"/>
  <c r="H316" i="5" a="1"/>
  <c r="H317" i="5" a="1"/>
  <c r="H318" i="5" a="1"/>
  <c r="H319" i="5" a="1"/>
  <c r="H320" i="5" a="1"/>
  <c r="H321" i="5" a="1"/>
  <c r="H322" i="5" a="1"/>
  <c r="H323" i="5" a="1"/>
  <c r="H324" i="5" a="1"/>
  <c r="H325" i="5" a="1"/>
  <c r="H326" i="5" a="1"/>
  <c r="H327" i="5" a="1"/>
  <c r="H328" i="5" a="1"/>
  <c r="H329" i="5" a="1"/>
  <c r="H330" i="5" a="1"/>
  <c r="H331" i="5" a="1"/>
  <c r="H332" i="5" a="1"/>
  <c r="H333" i="5" a="1"/>
  <c r="H334" i="5" a="1"/>
  <c r="H335" i="5" a="1"/>
  <c r="H336" i="5" a="1"/>
  <c r="H337" i="5" a="1"/>
  <c r="H338" i="5" a="1"/>
  <c r="H339" i="5" a="1"/>
  <c r="H340" i="5" a="1"/>
  <c r="H341" i="5" a="1"/>
  <c r="H342" i="5" a="1"/>
  <c r="H343" i="5" a="1"/>
  <c r="H344" i="5" a="1"/>
  <c r="H345" i="5" a="1"/>
  <c r="H346" i="5" a="1"/>
  <c r="H347" i="5" a="1"/>
  <c r="H348" i="5" a="1"/>
  <c r="H349" i="5" a="1"/>
  <c r="H350" i="5" a="1"/>
  <c r="H351" i="5" a="1"/>
  <c r="H352" i="5" a="1"/>
  <c r="H353" i="5" a="1"/>
  <c r="H354" i="5" a="1"/>
  <c r="H355" i="5" a="1"/>
  <c r="H356" i="5" a="1"/>
  <c r="H357" i="5" a="1"/>
  <c r="H358" i="5" a="1"/>
  <c r="H359" i="5" a="1"/>
  <c r="H360" i="5" a="1"/>
  <c r="H361" i="5" a="1"/>
  <c r="H362" i="5" a="1"/>
  <c r="H363" i="5" a="1"/>
  <c r="H364" i="5" a="1"/>
  <c r="H365" i="5" a="1"/>
  <c r="H366" i="5" a="1"/>
  <c r="H367" i="5" a="1"/>
  <c r="H368" i="5" a="1"/>
  <c r="H369" i="5" a="1"/>
  <c r="H370" i="5" a="1"/>
  <c r="H371" i="5" a="1"/>
  <c r="H372" i="5" a="1"/>
  <c r="H373" i="5" a="1"/>
  <c r="H374" i="5" a="1"/>
  <c r="H375" i="5" a="1"/>
  <c r="H376" i="5" a="1"/>
  <c r="H377" i="5" a="1"/>
  <c r="H378" i="5" a="1"/>
  <c r="H379" i="5" a="1"/>
  <c r="H380" i="5" a="1"/>
  <c r="H381" i="5" a="1"/>
  <c r="H382" i="5" a="1"/>
  <c r="H383" i="5" a="1"/>
  <c r="H384" i="5" a="1"/>
  <c r="H385" i="5" a="1"/>
  <c r="H386" i="5" a="1"/>
  <c r="H387" i="5" a="1"/>
  <c r="H388" i="5" a="1"/>
  <c r="H389" i="5" a="1"/>
  <c r="H390" i="5" a="1"/>
  <c r="H391" i="5" a="1"/>
  <c r="H392" i="5" a="1"/>
  <c r="H393" i="5" a="1"/>
  <c r="H394" i="5" a="1"/>
  <c r="H395" i="5" a="1"/>
  <c r="H396" i="5" a="1"/>
  <c r="H397" i="5" a="1"/>
  <c r="H398" i="5" a="1"/>
  <c r="H399" i="5" a="1"/>
  <c r="H400" i="5" a="1"/>
  <c r="H401" i="5" a="1"/>
  <c r="H402" i="5" a="1"/>
  <c r="H403" i="5" a="1"/>
  <c r="H404" i="5" a="1"/>
  <c r="H405" i="5" a="1"/>
  <c r="H406" i="5" a="1"/>
  <c r="H407" i="5" a="1"/>
  <c r="H408" i="5" a="1"/>
  <c r="H409" i="5" a="1"/>
  <c r="H410" i="5" a="1"/>
  <c r="H411" i="5" a="1"/>
  <c r="H412" i="5" a="1"/>
  <c r="H413" i="5" a="1"/>
  <c r="H414" i="5" a="1"/>
  <c r="H415" i="5" a="1"/>
  <c r="H416" i="5" a="1"/>
  <c r="H417" i="5" a="1"/>
  <c r="H418" i="5" a="1"/>
  <c r="H419" i="5" a="1"/>
  <c r="H420" i="5" a="1"/>
  <c r="H421" i="5" a="1"/>
  <c r="H422" i="5" a="1"/>
  <c r="H423" i="5" a="1"/>
  <c r="H424" i="5" a="1"/>
  <c r="H425" i="5" a="1"/>
  <c r="H426" i="5" a="1"/>
  <c r="H427" i="5" a="1"/>
  <c r="H428" i="5" a="1"/>
  <c r="H429" i="5" a="1"/>
  <c r="H430" i="5" a="1"/>
  <c r="H431" i="5" a="1"/>
  <c r="H432" i="5" a="1"/>
  <c r="H433" i="5" a="1"/>
  <c r="H434" i="5" a="1"/>
  <c r="H435" i="5" a="1"/>
  <c r="H436" i="5" a="1"/>
  <c r="H437" i="5" a="1"/>
  <c r="H438" i="5" a="1"/>
  <c r="H439" i="5" a="1"/>
  <c r="H440" i="5" a="1"/>
  <c r="H441" i="5" a="1"/>
  <c r="H442" i="5" a="1"/>
  <c r="H443" i="5" a="1"/>
  <c r="H444" i="5" a="1"/>
  <c r="H445" i="5" a="1"/>
  <c r="H446" i="5" a="1"/>
  <c r="H447" i="5" a="1"/>
  <c r="H448" i="5" a="1"/>
  <c r="H449" i="5" a="1"/>
  <c r="H450" i="5" a="1"/>
  <c r="H451" i="5" a="1"/>
  <c r="H452" i="5" a="1"/>
  <c r="H453" i="5" a="1"/>
  <c r="H454" i="5" a="1"/>
  <c r="H455" i="5" a="1"/>
  <c r="H456" i="5" a="1"/>
  <c r="H457" i="5" a="1"/>
  <c r="H458" i="5" a="1"/>
  <c r="H459" i="5" a="1"/>
  <c r="H460" i="5" a="1"/>
  <c r="H461" i="5" a="1"/>
  <c r="H462" i="5" a="1"/>
  <c r="H463" i="5" a="1"/>
  <c r="H464" i="5" a="1"/>
  <c r="H465" i="5" a="1"/>
  <c r="H466" i="5" a="1"/>
  <c r="H467" i="5" a="1"/>
  <c r="H468" i="5" a="1"/>
  <c r="H469" i="5" a="1"/>
  <c r="H470" i="5" a="1"/>
  <c r="H471" i="5" a="1"/>
  <c r="H472" i="5" a="1"/>
  <c r="H473" i="5" a="1"/>
  <c r="H474" i="5" a="1"/>
  <c r="H475" i="5" a="1"/>
  <c r="H476" i="5" a="1"/>
  <c r="H477" i="5" a="1"/>
  <c r="H478" i="5" a="1"/>
  <c r="H479" i="5" a="1"/>
  <c r="H480" i="5" a="1"/>
  <c r="H481" i="5" a="1"/>
  <c r="H482" i="5" a="1"/>
  <c r="H483" i="5" a="1"/>
  <c r="H484" i="5" a="1"/>
  <c r="H485" i="5" a="1"/>
  <c r="H486" i="5" a="1"/>
  <c r="H487" i="5" a="1"/>
  <c r="H488" i="5" a="1"/>
  <c r="H489" i="5" a="1"/>
  <c r="H490" i="5" a="1"/>
  <c r="H491" i="5" a="1"/>
  <c r="H492" i="5" a="1"/>
  <c r="H493" i="5" a="1"/>
  <c r="H494" i="5" a="1"/>
  <c r="H495" i="5" a="1"/>
  <c r="H496" i="5" a="1"/>
  <c r="H497" i="5" a="1"/>
  <c r="H498" i="5" a="1"/>
  <c r="H499" i="5" a="1"/>
  <c r="H500" i="5" a="1"/>
  <c r="H501" i="5" a="1"/>
  <c r="H502" i="5" a="1"/>
  <c r="H503" i="5" a="1"/>
  <c r="H504" i="5" a="1"/>
  <c r="H505" i="5" a="1"/>
  <c r="H506" i="5" a="1"/>
  <c r="H507" i="5" a="1"/>
  <c r="H508" i="5" a="1"/>
  <c r="H509" i="5" a="1"/>
  <c r="H510" i="5" a="1"/>
  <c r="H511" i="5" a="1"/>
  <c r="H512" i="5" a="1"/>
  <c r="H513" i="5" a="1"/>
  <c r="H514" i="5" a="1"/>
  <c r="H515" i="5" a="1"/>
  <c r="H516" i="5" a="1"/>
  <c r="H517" i="5" a="1"/>
  <c r="H518" i="5" a="1"/>
  <c r="H519" i="5" a="1"/>
  <c r="H520" i="5" a="1"/>
  <c r="H521" i="5" a="1"/>
  <c r="H522" i="5" a="1"/>
  <c r="H523" i="5" a="1"/>
  <c r="H524" i="5" a="1"/>
  <c r="H525" i="5" a="1"/>
  <c r="H526" i="5" a="1"/>
  <c r="H527" i="5" a="1"/>
  <c r="H528" i="5" a="1"/>
  <c r="H529" i="5" a="1"/>
  <c r="H530" i="5" a="1"/>
  <c r="H531" i="5" a="1"/>
  <c r="H532" i="5" a="1"/>
  <c r="H533" i="5" a="1"/>
  <c r="H534" i="5" a="1"/>
  <c r="H535" i="5" a="1"/>
  <c r="H536" i="5" a="1"/>
  <c r="H537" i="5" a="1"/>
  <c r="H538" i="5" a="1"/>
  <c r="H539" i="5" a="1"/>
  <c r="H540" i="5" a="1"/>
  <c r="H541" i="5" a="1"/>
  <c r="H542" i="5" a="1"/>
  <c r="H543" i="5" a="1"/>
  <c r="H544" i="5" a="1"/>
  <c r="H545" i="5" a="1"/>
  <c r="H546" i="5" a="1"/>
  <c r="H547" i="5" a="1"/>
  <c r="H548" i="5" a="1"/>
  <c r="H549" i="5" a="1"/>
  <c r="H550" i="5" a="1"/>
  <c r="H551" i="5" a="1"/>
  <c r="H552" i="5" a="1"/>
  <c r="H553" i="5" a="1"/>
  <c r="H554" i="5" a="1"/>
  <c r="H555" i="5" a="1"/>
  <c r="H556" i="5" a="1"/>
  <c r="H557" i="5" a="1"/>
  <c r="H558" i="5" a="1"/>
  <c r="H559" i="5" a="1"/>
  <c r="H560" i="5" a="1"/>
  <c r="H561" i="5" a="1"/>
  <c r="H562" i="5" a="1"/>
  <c r="H563" i="5" a="1"/>
  <c r="H564" i="5" a="1"/>
  <c r="H565" i="5" a="1"/>
  <c r="H566" i="5" a="1"/>
  <c r="H567" i="5" a="1"/>
  <c r="H568" i="5" a="1"/>
  <c r="H569" i="5" a="1"/>
  <c r="H570" i="5" a="1"/>
  <c r="H571" i="5" a="1"/>
  <c r="H572" i="5" a="1"/>
  <c r="H573" i="5" a="1"/>
  <c r="H574" i="5" a="1"/>
  <c r="H575" i="5" a="1"/>
  <c r="H576" i="5" a="1"/>
  <c r="H577" i="5" a="1"/>
  <c r="H578" i="5" a="1"/>
  <c r="H579" i="5" a="1"/>
  <c r="H580" i="5" a="1"/>
  <c r="H581" i="5" a="1"/>
  <c r="H582" i="5" a="1"/>
  <c r="H583" i="5" a="1"/>
  <c r="H584" i="5" a="1"/>
  <c r="H585" i="5" a="1"/>
  <c r="H586" i="5" a="1"/>
  <c r="H587" i="5" a="1"/>
  <c r="H588" i="5" a="1"/>
  <c r="H589" i="5" a="1"/>
  <c r="H590" i="5" a="1"/>
  <c r="H591" i="5" a="1"/>
  <c r="H592" i="5" a="1"/>
  <c r="H593" i="5" a="1"/>
  <c r="H594" i="5" a="1"/>
  <c r="H595" i="5" a="1"/>
  <c r="H596" i="5" a="1"/>
  <c r="H597" i="5" a="1"/>
  <c r="H598" i="5" a="1"/>
  <c r="H599" i="5" a="1"/>
  <c r="H600" i="5" a="1"/>
  <c r="H601" i="5" a="1"/>
  <c r="H602" i="5" a="1"/>
  <c r="H603" i="5" a="1"/>
  <c r="H604" i="5" a="1"/>
  <c r="H605" i="5" a="1"/>
  <c r="H606" i="5" a="1"/>
  <c r="H607" i="5" a="1"/>
  <c r="H608" i="5" a="1"/>
  <c r="H609" i="5" a="1"/>
  <c r="H610" i="5" a="1"/>
  <c r="H611" i="5" a="1"/>
  <c r="H612" i="5" a="1"/>
  <c r="H613" i="5" a="1"/>
  <c r="H614" i="5" a="1"/>
  <c r="H615" i="5" a="1"/>
  <c r="H616" i="5" a="1"/>
  <c r="H617" i="5" a="1"/>
  <c r="H618" i="5" a="1"/>
  <c r="H619" i="5" a="1"/>
  <c r="H620" i="5" a="1"/>
  <c r="H621" i="5" a="1"/>
  <c r="H622" i="5" a="1"/>
  <c r="H623" i="5" a="1"/>
  <c r="H624" i="5" a="1"/>
  <c r="H625" i="5" a="1"/>
  <c r="H626" i="5" a="1"/>
  <c r="H627" i="5" a="1"/>
  <c r="H628" i="5" a="1"/>
  <c r="H629" i="5" a="1"/>
  <c r="H630" i="5" a="1"/>
  <c r="H631" i="5" a="1"/>
  <c r="H632" i="5" a="1"/>
  <c r="H633" i="5" a="1"/>
  <c r="H634" i="5" a="1"/>
  <c r="H635" i="5" a="1"/>
  <c r="H636" i="5" a="1"/>
  <c r="H637" i="5" a="1"/>
  <c r="H638" i="5" a="1"/>
  <c r="H639" i="5" a="1"/>
  <c r="H640" i="5" a="1"/>
  <c r="H641" i="5" a="1"/>
  <c r="H642" i="5" a="1"/>
  <c r="H643" i="5" a="1"/>
  <c r="H644" i="5" a="1"/>
  <c r="H645" i="5" a="1"/>
  <c r="H646" i="5" a="1"/>
  <c r="H647" i="5" a="1"/>
  <c r="H648" i="5" a="1"/>
  <c r="H649" i="5" a="1"/>
  <c r="H650" i="5" a="1"/>
  <c r="H651" i="5" a="1"/>
  <c r="H652" i="5" a="1"/>
  <c r="H653" i="5" a="1"/>
  <c r="H654" i="5" a="1"/>
  <c r="H655" i="5" a="1"/>
  <c r="H656" i="5" a="1"/>
  <c r="H657" i="5" a="1"/>
  <c r="H658" i="5" a="1"/>
  <c r="H659" i="5" a="1"/>
  <c r="H660" i="5" a="1"/>
  <c r="H661" i="5" a="1"/>
  <c r="H662" i="5" a="1"/>
  <c r="H663" i="5" a="1"/>
  <c r="H664" i="5" a="1"/>
  <c r="H665" i="5" a="1"/>
  <c r="H666" i="5" a="1"/>
  <c r="H667" i="5" a="1"/>
  <c r="H668" i="5" a="1"/>
  <c r="H669" i="5" a="1"/>
  <c r="H670" i="5" a="1"/>
  <c r="H671" i="5" a="1"/>
  <c r="H672" i="5" a="1"/>
  <c r="H673" i="5" a="1"/>
  <c r="H674" i="5" a="1"/>
  <c r="H675" i="5" a="1"/>
  <c r="H676" i="5" a="1"/>
  <c r="H677" i="5" a="1"/>
  <c r="H678" i="5" a="1"/>
  <c r="H679" i="5" a="1"/>
  <c r="H680" i="5" a="1"/>
  <c r="H681" i="5" a="1"/>
  <c r="H682" i="5" a="1"/>
  <c r="H683" i="5" a="1"/>
  <c r="H684" i="5" a="1"/>
  <c r="H685" i="5" a="1"/>
  <c r="H686" i="5" a="1"/>
  <c r="H687" i="5" a="1"/>
  <c r="H688" i="5" a="1"/>
  <c r="H689" i="5" a="1"/>
  <c r="H690" i="5" a="1"/>
  <c r="H691" i="5" a="1"/>
  <c r="H692" i="5" a="1"/>
  <c r="H693" i="5" a="1"/>
  <c r="H694" i="5" a="1"/>
  <c r="H695" i="5" a="1"/>
  <c r="H696" i="5" a="1"/>
  <c r="H697" i="5" a="1"/>
  <c r="H698" i="5" a="1"/>
  <c r="H699" i="5" a="1"/>
  <c r="H700" i="5" a="1"/>
  <c r="H701" i="5" a="1"/>
  <c r="H702" i="5" a="1"/>
  <c r="H703" i="5" a="1"/>
  <c r="H704" i="5" a="1"/>
  <c r="H705" i="5" a="1"/>
  <c r="H706" i="5" a="1"/>
  <c r="H707" i="5" a="1"/>
  <c r="H708" i="5" a="1"/>
  <c r="H709" i="5" a="1"/>
  <c r="H710" i="5" a="1"/>
  <c r="H711" i="5" a="1"/>
  <c r="H712" i="5" a="1"/>
  <c r="H713" i="5" a="1"/>
  <c r="H714" i="5" a="1"/>
  <c r="H715" i="5" a="1"/>
  <c r="H716" i="5" a="1"/>
  <c r="H717" i="5" a="1"/>
  <c r="H718" i="5" a="1"/>
  <c r="H719" i="5" a="1"/>
  <c r="H720" i="5" a="1"/>
  <c r="H721" i="5" a="1"/>
  <c r="H722" i="5" a="1"/>
  <c r="H723" i="5" a="1"/>
  <c r="H724" i="5" a="1"/>
  <c r="H725" i="5" a="1"/>
  <c r="H726" i="5" a="1"/>
  <c r="H727" i="5" a="1"/>
  <c r="H728" i="5" a="1"/>
  <c r="H729" i="5" a="1"/>
  <c r="H730" i="5" a="1"/>
  <c r="H731" i="5" a="1"/>
  <c r="H732" i="5" a="1"/>
  <c r="H733" i="5" a="1"/>
  <c r="H734" i="5" a="1"/>
  <c r="H735" i="5" a="1"/>
  <c r="H736" i="5" a="1"/>
  <c r="H737" i="5" a="1"/>
  <c r="H738" i="5" a="1"/>
  <c r="H739" i="5" a="1"/>
  <c r="H740" i="5" a="1"/>
  <c r="H741" i="5" a="1"/>
  <c r="H742" i="5" a="1"/>
  <c r="H743" i="5" a="1"/>
  <c r="H744" i="5" a="1"/>
  <c r="H745" i="5" a="1"/>
  <c r="H746" i="5" a="1"/>
  <c r="H747" i="5" a="1"/>
  <c r="H748" i="5" a="1"/>
  <c r="H749" i="5" a="1"/>
  <c r="H750" i="5" a="1"/>
  <c r="H751" i="5" a="1"/>
  <c r="H752" i="5" a="1"/>
  <c r="H753" i="5" a="1"/>
  <c r="H754" i="5" a="1"/>
  <c r="H755" i="5" a="1"/>
  <c r="H756" i="5" a="1"/>
  <c r="H757" i="5" a="1"/>
  <c r="H758" i="5" a="1"/>
  <c r="H759" i="5" a="1"/>
  <c r="H760" i="5" a="1"/>
  <c r="H761" i="5" a="1"/>
  <c r="H762" i="5" a="1"/>
  <c r="H763" i="5" a="1"/>
  <c r="H764" i="5" a="1"/>
  <c r="H765" i="5" a="1"/>
  <c r="H766" i="5" a="1"/>
  <c r="H767" i="5" a="1"/>
  <c r="H768" i="5" a="1"/>
  <c r="H769" i="5" a="1"/>
  <c r="H770" i="5" a="1"/>
  <c r="H771" i="5" a="1"/>
  <c r="H772" i="5" a="1"/>
  <c r="H773" i="5" a="1"/>
  <c r="H774" i="5" a="1"/>
  <c r="H775" i="5" a="1"/>
  <c r="H776" i="5" a="1"/>
  <c r="H777" i="5" a="1"/>
  <c r="H778" i="5" a="1"/>
  <c r="H779" i="5" a="1"/>
  <c r="H780" i="5" a="1"/>
  <c r="H781" i="5" a="1"/>
  <c r="H782" i="5" a="1"/>
  <c r="H783" i="5" a="1"/>
  <c r="H784" i="5" a="1"/>
  <c r="H785" i="5" a="1"/>
  <c r="H786" i="5" a="1"/>
  <c r="H787" i="5" a="1"/>
  <c r="H788" i="5" a="1"/>
  <c r="H789" i="5" a="1"/>
  <c r="H790" i="5" a="1"/>
  <c r="H791" i="5" a="1"/>
  <c r="H792" i="5" a="1"/>
  <c r="H793" i="5" a="1"/>
  <c r="H794" i="5" a="1"/>
  <c r="H795" i="5" a="1"/>
  <c r="H796" i="5" a="1"/>
  <c r="H797" i="5" a="1"/>
  <c r="H798" i="5" a="1"/>
  <c r="H799" i="5" a="1"/>
  <c r="H800" i="5" a="1"/>
  <c r="H801" i="5" a="1"/>
  <c r="H802" i="5" a="1"/>
  <c r="H803" i="5" a="1"/>
  <c r="H804" i="5" a="1"/>
  <c r="H805" i="5" a="1"/>
  <c r="H806" i="5" a="1"/>
  <c r="H807" i="5" a="1"/>
  <c r="H808" i="5" a="1"/>
  <c r="H809" i="5" a="1"/>
  <c r="H810" i="5" a="1"/>
  <c r="H811" i="5" a="1"/>
  <c r="H812" i="5" a="1"/>
  <c r="H813" i="5" a="1"/>
  <c r="H814" i="5" a="1"/>
  <c r="H815" i="5" a="1"/>
  <c r="H816" i="5" a="1"/>
  <c r="H817" i="5" a="1"/>
  <c r="H818" i="5" a="1"/>
  <c r="H819" i="5" a="1"/>
  <c r="H820" i="5" a="1"/>
  <c r="H821" i="5" a="1"/>
  <c r="H822" i="5" a="1"/>
  <c r="H823" i="5" a="1"/>
  <c r="H824" i="5" a="1"/>
  <c r="H825" i="5" a="1"/>
  <c r="H826" i="5" a="1"/>
  <c r="H827" i="5" a="1"/>
  <c r="H828" i="5" a="1"/>
  <c r="H829" i="5" a="1"/>
  <c r="H830" i="5" a="1"/>
  <c r="H831" i="5" a="1"/>
  <c r="H832" i="5" a="1"/>
  <c r="H833" i="5" a="1"/>
  <c r="H834" i="5" a="1"/>
  <c r="H835" i="5" a="1"/>
  <c r="H836" i="5" a="1"/>
  <c r="H837" i="5" a="1"/>
  <c r="H838" i="5" a="1"/>
  <c r="H839" i="5" a="1"/>
  <c r="H840" i="5" a="1"/>
  <c r="H841" i="5" a="1"/>
  <c r="H842" i="5" a="1"/>
  <c r="H843" i="5" a="1"/>
  <c r="H844" i="5" a="1"/>
  <c r="H845" i="5" a="1"/>
  <c r="H846" i="5" a="1"/>
  <c r="H847" i="5" a="1"/>
  <c r="H848" i="5" a="1"/>
  <c r="H849" i="5" a="1"/>
  <c r="H850" i="5" a="1"/>
  <c r="H851" i="5" a="1"/>
  <c r="H852" i="5" a="1"/>
  <c r="H853" i="5" a="1"/>
  <c r="H854" i="5" a="1"/>
  <c r="H855" i="5" a="1"/>
  <c r="H856" i="5" a="1"/>
  <c r="H857" i="5" a="1"/>
  <c r="H858" i="5" a="1"/>
  <c r="H859" i="5" a="1"/>
  <c r="H860" i="5" a="1"/>
  <c r="H861" i="5" a="1"/>
  <c r="H862" i="5" a="1"/>
  <c r="H863" i="5" a="1"/>
  <c r="H864" i="5" a="1"/>
  <c r="H865" i="5" a="1"/>
  <c r="H866" i="5" a="1"/>
  <c r="H867" i="5" a="1"/>
  <c r="H868" i="5" a="1"/>
  <c r="H869" i="5" a="1"/>
  <c r="H870" i="5" a="1"/>
  <c r="H871" i="5" a="1"/>
  <c r="H872" i="5" a="1"/>
  <c r="H873" i="5" a="1"/>
  <c r="H874" i="5" a="1"/>
  <c r="H875" i="5" a="1"/>
  <c r="H876" i="5" a="1"/>
  <c r="H877" i="5" a="1"/>
  <c r="H878" i="5" a="1"/>
  <c r="H879" i="5" a="1"/>
  <c r="H880" i="5" a="1"/>
  <c r="H881" i="5" a="1"/>
  <c r="H882" i="5" a="1"/>
  <c r="H883" i="5" a="1"/>
  <c r="H884" i="5" a="1"/>
  <c r="H885" i="5" a="1"/>
  <c r="H886" i="5" a="1"/>
  <c r="H887" i="5" a="1"/>
  <c r="H888" i="5" a="1"/>
  <c r="H889" i="5" a="1"/>
  <c r="H890" i="5" a="1"/>
  <c r="H891" i="5" a="1"/>
  <c r="H892" i="5" a="1"/>
  <c r="H893" i="5" a="1"/>
  <c r="H894" i="5" a="1"/>
  <c r="H895" i="5" a="1"/>
  <c r="H896" i="5" a="1"/>
  <c r="H897" i="5" a="1"/>
  <c r="H898" i="5" a="1"/>
  <c r="H899" i="5" a="1"/>
  <c r="H900" i="5" a="1"/>
  <c r="H901" i="5" a="1"/>
  <c r="H902" i="5" a="1"/>
  <c r="H903" i="5" a="1"/>
  <c r="H904" i="5" a="1"/>
  <c r="H905" i="5" a="1"/>
  <c r="H906" i="5" a="1"/>
  <c r="H907" i="5" a="1"/>
  <c r="H908" i="5" a="1"/>
  <c r="H909" i="5" a="1"/>
  <c r="H910" i="5" a="1"/>
  <c r="H911" i="5" a="1"/>
  <c r="H912" i="5" a="1"/>
  <c r="H913" i="5" a="1"/>
  <c r="H914" i="5" a="1"/>
  <c r="H915" i="5" a="1"/>
  <c r="H916" i="5" a="1"/>
  <c r="H917" i="5" a="1"/>
  <c r="H918" i="5" a="1"/>
  <c r="H919" i="5" a="1"/>
  <c r="H920" i="5" a="1"/>
  <c r="H921" i="5" a="1"/>
  <c r="H922" i="5" a="1"/>
  <c r="H923" i="5" a="1"/>
  <c r="H924" i="5" a="1"/>
  <c r="H925" i="5" a="1"/>
  <c r="H926" i="5" a="1"/>
  <c r="H927" i="5" a="1"/>
  <c r="H928" i="5" a="1"/>
  <c r="H929" i="5" a="1"/>
  <c r="H930" i="5" a="1"/>
  <c r="H931" i="5" a="1"/>
  <c r="H932" i="5" a="1"/>
  <c r="H933" i="5" a="1"/>
  <c r="H934" i="5" a="1"/>
  <c r="H935" i="5" a="1"/>
  <c r="H936" i="5" a="1"/>
  <c r="H937" i="5" a="1"/>
  <c r="H938" i="5" a="1"/>
  <c r="H939" i="5" a="1"/>
  <c r="H940" i="5" a="1"/>
  <c r="H941" i="5" a="1"/>
  <c r="H942" i="5" a="1"/>
  <c r="H943" i="5" a="1"/>
  <c r="H944" i="5" a="1"/>
  <c r="H945" i="5" a="1"/>
  <c r="H946" i="5" a="1"/>
  <c r="H947" i="5" a="1"/>
  <c r="H948" i="5" a="1"/>
  <c r="H949" i="5" a="1"/>
  <c r="H950" i="5" a="1"/>
  <c r="H951" i="5" a="1"/>
  <c r="H952" i="5" a="1"/>
  <c r="H953" i="5" a="1"/>
  <c r="H954" i="5" a="1"/>
  <c r="H955" i="5" a="1"/>
  <c r="H956" i="5" a="1"/>
  <c r="H957" i="5" a="1"/>
  <c r="H958" i="5" a="1"/>
  <c r="H959" i="5" a="1"/>
  <c r="H960" i="5" a="1"/>
  <c r="H961" i="5" a="1"/>
  <c r="H962" i="5" a="1"/>
  <c r="H963" i="5" a="1"/>
  <c r="H964" i="5" a="1"/>
  <c r="H965" i="5" a="1"/>
  <c r="H966" i="5" a="1"/>
  <c r="H967" i="5" a="1"/>
  <c r="H968" i="5" a="1"/>
  <c r="H969" i="5" a="1"/>
  <c r="H970" i="5" a="1"/>
  <c r="H971" i="5" a="1"/>
  <c r="H972" i="5" a="1"/>
  <c r="H973" i="5" a="1"/>
  <c r="H974" i="5" a="1"/>
  <c r="H975" i="5" a="1"/>
  <c r="H976" i="5" a="1"/>
  <c r="H977" i="5" a="1"/>
  <c r="H978" i="5" a="1"/>
  <c r="H979" i="5" a="1"/>
  <c r="H980" i="5" a="1"/>
  <c r="H981" i="5" a="1"/>
  <c r="H982" i="5" a="1"/>
  <c r="H983" i="5" a="1"/>
  <c r="H984" i="5" a="1"/>
  <c r="H985" i="5" a="1"/>
  <c r="H986" i="5" a="1"/>
  <c r="H987" i="5" a="1"/>
  <c r="H988" i="5" a="1"/>
  <c r="H989" i="5" a="1"/>
  <c r="H990" i="5" a="1"/>
  <c r="H991" i="5" a="1"/>
  <c r="H992" i="5" a="1"/>
  <c r="H993" i="5" a="1"/>
  <c r="H994" i="5" a="1"/>
  <c r="H995" i="5" a="1"/>
  <c r="H996" i="5" a="1"/>
  <c r="H997" i="5" a="1"/>
  <c r="H998" i="5" a="1"/>
  <c r="H999" i="5" a="1"/>
  <c r="H1000" i="5" a="1"/>
  <c r="H1001" i="5" a="1"/>
  <c r="H1002" i="5" a="1"/>
  <c r="H1003" i="5" a="1"/>
  <c r="H1004" i="5" a="1"/>
  <c r="H1005" i="5" a="1"/>
  <c r="H1006" i="5" a="1"/>
  <c r="H1007" i="5" a="1"/>
  <c r="H1008" i="5" a="1"/>
  <c r="H1009" i="5" a="1"/>
  <c r="H1010" i="5" a="1"/>
  <c r="H1011" i="5" a="1"/>
  <c r="H1012" i="5" a="1"/>
  <c r="H1013" i="5" a="1"/>
  <c r="H1014" i="5" a="1"/>
  <c r="H1015" i="5" a="1"/>
  <c r="H1016" i="5" a="1"/>
  <c r="H1017" i="5" a="1"/>
  <c r="H1018" i="5" a="1"/>
  <c r="H1019" i="5" a="1"/>
  <c r="H1020" i="5" a="1"/>
  <c r="H1021" i="5" a="1"/>
  <c r="H1022" i="5" a="1"/>
  <c r="H1023" i="5" a="1"/>
  <c r="H1024" i="5" a="1"/>
  <c r="H1025" i="5" a="1"/>
  <c r="H1026" i="5" a="1"/>
  <c r="H1027" i="5" a="1"/>
  <c r="H1028" i="5" a="1"/>
  <c r="H1029" i="5" a="1"/>
  <c r="H1030" i="5" a="1"/>
  <c r="H1031" i="5" a="1"/>
  <c r="H1032" i="5" a="1"/>
  <c r="H1033" i="5" a="1"/>
  <c r="H1034" i="5" a="1"/>
  <c r="H1035" i="5" a="1"/>
  <c r="H1036" i="5" a="1"/>
  <c r="H1037" i="5" a="1"/>
  <c r="H1038" i="5" a="1"/>
  <c r="H1039" i="5" a="1"/>
  <c r="H1040" i="5" a="1"/>
  <c r="H1041" i="5" a="1"/>
  <c r="H1042" i="5" a="1"/>
  <c r="H1043" i="5" a="1"/>
  <c r="H1044" i="5" a="1"/>
  <c r="H1045" i="5" a="1"/>
  <c r="H1046" i="5" a="1"/>
  <c r="H1047" i="5" a="1"/>
  <c r="H1048" i="5" a="1"/>
  <c r="H1049" i="5" a="1"/>
  <c r="H1050" i="5" a="1"/>
  <c r="H1051" i="5" a="1"/>
  <c r="H1052" i="5" a="1"/>
  <c r="H1053" i="5" a="1"/>
  <c r="H1054" i="5" a="1"/>
  <c r="H1055" i="5" a="1"/>
  <c r="H1056" i="5" a="1"/>
  <c r="H1057" i="5" a="1"/>
  <c r="H1058" i="5" a="1"/>
  <c r="H1059" i="5" a="1"/>
  <c r="H1060" i="5" a="1"/>
  <c r="H1061" i="5" a="1"/>
  <c r="H1062" i="5" a="1"/>
  <c r="H1063" i="5" a="1"/>
  <c r="H1064" i="5" a="1"/>
  <c r="H1065" i="5" a="1"/>
  <c r="H1066" i="5" a="1"/>
  <c r="H1067" i="5" a="1"/>
  <c r="H1068" i="5" a="1"/>
  <c r="H1069" i="5" a="1"/>
  <c r="H1070" i="5" a="1"/>
  <c r="H1071" i="5" a="1"/>
  <c r="H1072" i="5" a="1"/>
  <c r="H1073" i="5" a="1"/>
  <c r="H1074" i="5" a="1"/>
  <c r="H1075" i="5" a="1"/>
  <c r="H1076" i="5" a="1"/>
  <c r="H1077" i="5" a="1"/>
  <c r="H1078" i="5" a="1"/>
  <c r="H1079" i="5" a="1"/>
  <c r="H1080" i="5" a="1"/>
  <c r="H1081" i="5" a="1"/>
  <c r="H1082" i="5" a="1"/>
  <c r="H1083" i="5" a="1"/>
  <c r="H1084" i="5" a="1"/>
  <c r="H1085" i="5" a="1"/>
  <c r="H1086" i="5" a="1"/>
  <c r="H1087" i="5" a="1"/>
  <c r="H1088" i="5" a="1"/>
  <c r="H1089" i="5" a="1"/>
  <c r="H1090" i="5" a="1"/>
  <c r="H1091" i="5" a="1"/>
  <c r="H1092" i="5" a="1"/>
  <c r="H1093" i="5" a="1"/>
  <c r="H1094" i="5" a="1"/>
  <c r="H1095" i="5" a="1"/>
  <c r="H1096" i="5" a="1"/>
  <c r="H1097" i="5" a="1"/>
  <c r="H1098" i="5" a="1"/>
  <c r="H1099" i="5" a="1"/>
  <c r="H1100" i="5" a="1"/>
  <c r="H1101" i="5" a="1"/>
  <c r="H1102" i="5" a="1"/>
  <c r="H1103" i="5" a="1"/>
  <c r="H1104" i="5" a="1"/>
  <c r="H1105" i="5" a="1"/>
  <c r="H1106" i="5" a="1"/>
  <c r="H1107" i="5" a="1"/>
  <c r="H1108" i="5" a="1"/>
  <c r="H1109" i="5" a="1"/>
  <c r="H1110" i="5" a="1"/>
  <c r="H1111" i="5" a="1"/>
  <c r="H1112" i="5" a="1"/>
  <c r="H1113" i="5" a="1"/>
  <c r="H1114" i="5" a="1"/>
  <c r="H1115" i="5" a="1"/>
  <c r="H1116" i="5" a="1"/>
  <c r="H1117" i="5" a="1"/>
  <c r="H1118" i="5" a="1"/>
  <c r="H1119" i="5" a="1"/>
  <c r="H1120" i="5" a="1"/>
  <c r="H1121" i="5" a="1"/>
  <c r="H1122" i="5" a="1"/>
  <c r="H1123" i="5" a="1"/>
  <c r="H1124" i="5" a="1"/>
  <c r="H1125" i="5" a="1"/>
  <c r="H1126" i="5" a="1"/>
  <c r="H1127" i="5" a="1"/>
  <c r="H1128" i="5" a="1"/>
  <c r="H1129" i="5" a="1"/>
  <c r="H1130" i="5" a="1"/>
  <c r="H1131" i="5" a="1"/>
  <c r="H1132" i="5" a="1"/>
  <c r="H1133" i="5" a="1"/>
  <c r="H1134" i="5" a="1"/>
  <c r="H1135" i="5" a="1"/>
  <c r="H1136" i="5" a="1"/>
  <c r="H1137" i="5" a="1"/>
  <c r="H1138" i="5" a="1"/>
  <c r="H1139" i="5" a="1"/>
  <c r="H1140" i="5" a="1"/>
  <c r="H1141" i="5" a="1"/>
  <c r="H1142" i="5" a="1"/>
  <c r="H1143" i="5" a="1"/>
  <c r="H1144" i="5" a="1"/>
  <c r="H1145" i="5" a="1"/>
  <c r="H1146" i="5" a="1"/>
  <c r="H1147" i="5" a="1"/>
  <c r="H1148" i="5" a="1"/>
  <c r="H1149" i="5" a="1"/>
  <c r="H1150" i="5" a="1"/>
  <c r="H1151" i="5" a="1"/>
  <c r="H1152" i="5" a="1"/>
  <c r="H1153" i="5" a="1"/>
  <c r="H1154" i="5" a="1"/>
  <c r="H1155" i="5" a="1"/>
  <c r="H1156" i="5" a="1"/>
  <c r="H1157" i="5" a="1"/>
  <c r="H1158" i="5" a="1"/>
  <c r="H1159" i="5" a="1"/>
  <c r="H1160" i="5" a="1"/>
  <c r="H1161" i="5" a="1"/>
  <c r="H1162" i="5" a="1"/>
  <c r="H1163" i="5" a="1"/>
  <c r="H1164" i="5" a="1"/>
  <c r="H1165" i="5" a="1"/>
  <c r="H1166" i="5" a="1"/>
  <c r="H1167" i="5" a="1"/>
  <c r="H1168" i="5" a="1"/>
  <c r="H1169" i="5" a="1"/>
  <c r="H1170" i="5" a="1"/>
  <c r="H1171" i="5" a="1"/>
  <c r="H1172" i="5" a="1"/>
  <c r="H1173" i="5" a="1"/>
  <c r="H1174" i="5" a="1"/>
  <c r="H1175" i="5" a="1"/>
  <c r="H1176" i="5" a="1"/>
  <c r="H1177" i="5" a="1"/>
  <c r="H1178" i="5" a="1"/>
  <c r="H1179" i="5" a="1"/>
  <c r="H1180" i="5" a="1"/>
  <c r="H1181" i="5" a="1"/>
  <c r="H1182" i="5" a="1"/>
  <c r="H1183" i="5" a="1"/>
  <c r="H1184" i="5" a="1"/>
  <c r="H1185" i="5" a="1"/>
  <c r="H1186" i="5" a="1"/>
  <c r="H1187" i="5" a="1"/>
  <c r="H1188" i="5" a="1"/>
  <c r="H1189" i="5" a="1"/>
  <c r="H1190" i="5" a="1"/>
  <c r="H1191" i="5" a="1"/>
  <c r="H1192" i="5" a="1"/>
  <c r="H1193" i="5" a="1"/>
  <c r="H1194" i="5" a="1"/>
  <c r="H1195" i="5" a="1"/>
  <c r="H1196" i="5" a="1"/>
  <c r="H1197" i="5" a="1"/>
  <c r="H1198" i="5" a="1"/>
  <c r="H1199" i="5" a="1"/>
  <c r="H1200" i="5" a="1"/>
  <c r="H1201" i="5" a="1"/>
  <c r="H1202" i="5" a="1"/>
  <c r="H1203" i="5" a="1"/>
  <c r="H1204" i="5" a="1"/>
  <c r="H1205" i="5" a="1"/>
  <c r="H1206" i="5" a="1"/>
  <c r="H1207" i="5" a="1"/>
  <c r="H1208" i="5" a="1"/>
  <c r="H1209" i="5" a="1"/>
  <c r="H1210" i="5" a="1"/>
  <c r="H1211" i="5" a="1"/>
  <c r="H1212" i="5" a="1"/>
  <c r="H1213" i="5" a="1"/>
  <c r="H1214" i="5" a="1"/>
  <c r="H1215" i="5" a="1"/>
  <c r="H1216" i="5" a="1"/>
  <c r="H1217" i="5" a="1"/>
  <c r="H1218" i="5" a="1"/>
  <c r="H1219" i="5" a="1"/>
  <c r="H1220" i="5" a="1"/>
  <c r="H1221" i="5" a="1"/>
  <c r="H1222" i="5" a="1"/>
  <c r="H1223" i="5" a="1"/>
  <c r="H1224" i="5" a="1"/>
  <c r="H1225" i="5" a="1"/>
  <c r="H1226" i="5" a="1"/>
  <c r="H1227" i="5" a="1"/>
  <c r="H1228" i="5" a="1"/>
  <c r="H1229" i="5" a="1"/>
  <c r="H1230" i="5" a="1"/>
  <c r="H1231" i="5" a="1"/>
  <c r="H1232" i="5" a="1"/>
  <c r="H1233" i="5" a="1"/>
  <c r="H1234" i="5" a="1"/>
  <c r="H1235" i="5" a="1"/>
  <c r="H1236" i="5" a="1"/>
  <c r="H1237" i="5" a="1"/>
  <c r="H1238" i="5" a="1"/>
  <c r="H1239" i="5" a="1"/>
  <c r="H1240" i="5" a="1"/>
  <c r="H1241" i="5" a="1"/>
  <c r="H1242" i="5" a="1"/>
  <c r="H1243" i="5" a="1"/>
  <c r="H1244" i="5" a="1"/>
  <c r="H1245" i="5" a="1"/>
  <c r="H1246" i="5" a="1"/>
  <c r="H1247" i="5" a="1"/>
  <c r="H1248" i="5" a="1"/>
  <c r="H1249" i="5" a="1"/>
  <c r="H1250" i="5" a="1"/>
  <c r="H1251" i="5" a="1"/>
  <c r="H1252" i="5" a="1"/>
  <c r="H1253" i="5" a="1"/>
  <c r="H1254" i="5" a="1"/>
  <c r="H1255" i="5" a="1"/>
  <c r="H1256" i="5" a="1"/>
  <c r="H1257" i="5" a="1"/>
  <c r="H1258" i="5" a="1"/>
  <c r="H1259" i="5" a="1"/>
  <c r="H1260" i="5" a="1"/>
  <c r="H1261" i="5" a="1"/>
  <c r="H1262" i="5" a="1"/>
  <c r="H1263" i="5" a="1"/>
  <c r="H1264" i="5" a="1"/>
  <c r="H1265" i="5" a="1"/>
  <c r="H1266" i="5" a="1"/>
  <c r="H1267" i="5" a="1"/>
  <c r="H1268" i="5" a="1"/>
  <c r="H1269" i="5" a="1"/>
  <c r="H1270" i="5" a="1"/>
  <c r="H1271" i="5" a="1"/>
  <c r="H1272" i="5" a="1"/>
  <c r="H1273" i="5" a="1"/>
  <c r="H1274" i="5" a="1"/>
  <c r="H1275" i="5" a="1"/>
  <c r="H1276" i="5" a="1"/>
  <c r="H1277" i="5" a="1"/>
  <c r="H1278" i="5" a="1"/>
  <c r="H1279" i="5" a="1"/>
  <c r="H1280" i="5" a="1"/>
  <c r="H1281" i="5" a="1"/>
  <c r="H1282" i="5" a="1"/>
  <c r="H1283" i="5" a="1"/>
  <c r="H1284" i="5" a="1"/>
  <c r="H1285" i="5" a="1"/>
  <c r="H1286" i="5" a="1"/>
  <c r="H1287" i="5" a="1"/>
  <c r="H1288" i="5" a="1"/>
  <c r="H1289" i="5" a="1"/>
  <c r="H1290" i="5" a="1"/>
  <c r="H1291" i="5" a="1"/>
  <c r="H1292" i="5" a="1"/>
  <c r="H1293" i="5" a="1"/>
  <c r="H1294" i="5" a="1"/>
  <c r="H1295" i="5" a="1"/>
  <c r="H1296" i="5" a="1"/>
  <c r="H1297" i="5" a="1"/>
  <c r="H1298" i="5" a="1"/>
  <c r="H1299" i="5" a="1"/>
  <c r="H1300" i="5" a="1"/>
  <c r="H1301" i="5" a="1"/>
  <c r="H1302" i="5" a="1"/>
  <c r="H1303" i="5" a="1"/>
  <c r="H1304" i="5" a="1"/>
  <c r="H1305" i="5" a="1"/>
  <c r="H1306" i="5" a="1"/>
  <c r="H1307" i="5" a="1"/>
  <c r="H1308" i="5" a="1"/>
  <c r="H1309" i="5" a="1"/>
  <c r="H1310" i="5" a="1"/>
  <c r="H1311" i="5" a="1"/>
  <c r="H1312" i="5" a="1"/>
  <c r="H1313" i="5" a="1"/>
  <c r="H1314" i="5" a="1"/>
  <c r="H1315" i="5" a="1"/>
  <c r="H1316" i="5" a="1"/>
  <c r="H1317" i="5" a="1"/>
  <c r="H1318" i="5" a="1"/>
  <c r="H1319" i="5" a="1"/>
  <c r="H1320" i="5" a="1"/>
  <c r="H1321" i="5" a="1"/>
  <c r="H1322" i="5" a="1"/>
  <c r="H1323" i="5" a="1"/>
  <c r="H1324" i="5" a="1"/>
  <c r="H1325" i="5" a="1"/>
  <c r="H1326" i="5" a="1"/>
  <c r="H1327" i="5" a="1"/>
  <c r="H1328" i="5" a="1"/>
  <c r="H1329" i="5" a="1"/>
  <c r="H1330" i="5" a="1"/>
  <c r="H1331" i="5" a="1"/>
  <c r="H1332" i="5" a="1"/>
  <c r="H1333" i="5" a="1"/>
  <c r="H1334" i="5" a="1"/>
  <c r="H1335" i="5" a="1"/>
  <c r="H1336" i="5" a="1"/>
  <c r="H1337" i="5" a="1"/>
  <c r="H1338" i="5" a="1"/>
  <c r="H1339" i="5" a="1"/>
  <c r="H1340" i="5" a="1"/>
  <c r="H1341" i="5" a="1"/>
  <c r="H1342" i="5" a="1"/>
  <c r="H1343" i="5" a="1"/>
  <c r="H1344" i="5" a="1"/>
  <c r="H1345" i="5" a="1"/>
  <c r="H1346" i="5" a="1"/>
  <c r="H1347" i="5" a="1"/>
  <c r="H1348" i="5" a="1"/>
  <c r="H1349" i="5" a="1"/>
  <c r="H1350" i="5" a="1"/>
  <c r="H1351" i="5" a="1"/>
  <c r="H1352" i="5" a="1"/>
  <c r="H1353" i="5" a="1"/>
  <c r="H1354" i="5" a="1"/>
  <c r="H1355" i="5" a="1"/>
  <c r="H1356" i="5" a="1"/>
  <c r="H1357" i="5" a="1"/>
  <c r="H1358" i="5" a="1"/>
  <c r="H1359" i="5" a="1"/>
  <c r="H1360" i="5" a="1"/>
  <c r="H1361" i="5" a="1"/>
  <c r="H1362" i="5" a="1"/>
  <c r="H1363" i="5" a="1"/>
  <c r="H1364" i="5" a="1"/>
  <c r="H1365" i="5" a="1"/>
  <c r="H1366" i="5" a="1"/>
  <c r="H1367" i="5" a="1"/>
  <c r="H1368" i="5" a="1"/>
  <c r="H1369" i="5" a="1"/>
  <c r="H1370" i="5" a="1"/>
  <c r="H1371" i="5" a="1"/>
  <c r="H1372" i="5" a="1"/>
  <c r="H1373" i="5" a="1"/>
  <c r="H1374" i="5" a="1"/>
  <c r="H1375" i="5" a="1"/>
  <c r="H1376" i="5" a="1"/>
  <c r="H1377" i="5" a="1"/>
  <c r="H1378" i="5" a="1"/>
  <c r="H1379" i="5" a="1"/>
  <c r="H1380" i="5" a="1"/>
  <c r="H1381" i="5" a="1"/>
  <c r="H1382" i="5" a="1"/>
  <c r="H1383" i="5" a="1"/>
  <c r="H1384" i="5" a="1"/>
  <c r="H1385" i="5" a="1"/>
  <c r="H1386" i="5" a="1"/>
  <c r="H1387" i="5" a="1"/>
  <c r="H1388" i="5" a="1"/>
  <c r="H1389" i="5" a="1"/>
  <c r="H1390" i="5" a="1"/>
  <c r="H1391" i="5" a="1"/>
  <c r="H1392" i="5" a="1"/>
  <c r="H1393" i="5" a="1"/>
  <c r="H1394" i="5" a="1"/>
  <c r="H1395" i="5" a="1"/>
  <c r="H1396" i="5" a="1"/>
  <c r="H1397" i="5" a="1"/>
  <c r="H1398" i="5" a="1"/>
  <c r="H1399" i="5" a="1"/>
  <c r="H1400" i="5" a="1"/>
  <c r="H1401" i="5" a="1"/>
  <c r="H1402" i="5" a="1"/>
  <c r="H1403" i="5" a="1"/>
  <c r="H1404" i="5" a="1"/>
  <c r="H1405" i="5" a="1"/>
  <c r="H1406" i="5" a="1"/>
  <c r="H1407" i="5" a="1"/>
  <c r="H1408" i="5" a="1"/>
  <c r="H1409" i="5" a="1"/>
  <c r="H1410" i="5" a="1"/>
  <c r="H1411" i="5" a="1"/>
  <c r="H1412" i="5" a="1"/>
  <c r="H1413" i="5" a="1"/>
  <c r="H1414" i="5" a="1"/>
  <c r="H1415" i="5" a="1"/>
  <c r="H1416" i="5" a="1"/>
  <c r="H1417" i="5" a="1"/>
  <c r="H1418" i="5" a="1"/>
  <c r="H1419" i="5" a="1"/>
  <c r="H1420" i="5" a="1"/>
  <c r="H1421" i="5" a="1"/>
  <c r="H1422" i="5" a="1"/>
  <c r="H1423" i="5" a="1"/>
  <c r="H1424" i="5" a="1"/>
  <c r="H1425" i="5" a="1"/>
  <c r="H1426" i="5" a="1"/>
  <c r="H1427" i="5" a="1"/>
  <c r="H1428" i="5" a="1"/>
  <c r="H1429" i="5" a="1"/>
  <c r="H1430" i="5" a="1"/>
  <c r="H1431" i="5" a="1"/>
  <c r="H1432" i="5" a="1"/>
  <c r="H1433" i="5" a="1"/>
  <c r="H1434" i="5" a="1"/>
  <c r="H1435" i="5" a="1"/>
  <c r="H1436" i="5" a="1"/>
  <c r="H1437" i="5" a="1"/>
  <c r="H1438" i="5" a="1"/>
  <c r="H1439" i="5" a="1"/>
  <c r="H1440" i="5" a="1"/>
  <c r="H1441" i="5" a="1"/>
  <c r="H1442" i="5" a="1"/>
  <c r="H1443" i="5" a="1"/>
  <c r="H1444" i="5" a="1"/>
  <c r="H1445" i="5" a="1"/>
  <c r="H1446" i="5" a="1"/>
  <c r="H1447" i="5" a="1"/>
  <c r="H1448" i="5" a="1"/>
  <c r="H1449" i="5" a="1"/>
  <c r="H1450" i="5" a="1"/>
  <c r="H1451" i="5" a="1"/>
  <c r="H1452" i="5" a="1"/>
  <c r="H1453" i="5" a="1"/>
  <c r="H1454" i="5" a="1"/>
  <c r="H1455" i="5" a="1"/>
  <c r="H1456" i="5" a="1"/>
  <c r="H1457" i="5" a="1"/>
  <c r="H1458" i="5" a="1"/>
  <c r="H1459" i="5" a="1"/>
  <c r="H1460" i="5" a="1"/>
  <c r="H1461" i="5" a="1"/>
  <c r="H1462" i="5" a="1"/>
  <c r="H1463" i="5" a="1"/>
  <c r="H1464" i="5" a="1"/>
  <c r="H1465" i="5" a="1"/>
  <c r="H1466" i="5" a="1"/>
  <c r="H1467" i="5" a="1"/>
  <c r="H1468" i="5" a="1"/>
  <c r="H1469" i="5" a="1"/>
  <c r="H1470" i="5" a="1"/>
  <c r="H1471" i="5" a="1"/>
  <c r="H1472" i="5" a="1"/>
  <c r="H1473" i="5" a="1"/>
  <c r="H1474" i="5" a="1"/>
  <c r="H1475" i="5" a="1"/>
  <c r="H1476" i="5" a="1"/>
  <c r="H1477" i="5" a="1"/>
  <c r="H1478" i="5" a="1"/>
  <c r="H1479" i="5" a="1"/>
  <c r="H1480" i="5" a="1"/>
  <c r="H1481" i="5" a="1"/>
  <c r="H1482" i="5" a="1"/>
  <c r="H1483" i="5" a="1"/>
  <c r="H1484" i="5" a="1"/>
  <c r="H1485" i="5" a="1"/>
  <c r="H1486" i="5" a="1"/>
  <c r="H1487" i="5" a="1"/>
  <c r="H1488" i="5" a="1"/>
  <c r="H1489" i="5" a="1"/>
  <c r="H1490" i="5" a="1"/>
  <c r="H1491" i="5" a="1"/>
  <c r="H1492" i="5" a="1"/>
  <c r="H1493" i="5" a="1"/>
  <c r="H1494" i="5" a="1"/>
  <c r="H1495" i="5" a="1"/>
  <c r="H1496" i="5" a="1"/>
  <c r="H1497" i="5" a="1"/>
  <c r="H1498" i="5" a="1"/>
  <c r="H1499" i="5" a="1"/>
  <c r="H1500" i="5" a="1"/>
  <c r="H1501" i="5" a="1"/>
  <c r="H1502" i="5" a="1"/>
  <c r="H1503" i="5" a="1"/>
  <c r="H1504" i="5" a="1"/>
  <c r="H1505" i="5" a="1"/>
  <c r="H1506" i="5" a="1"/>
  <c r="H1507" i="5" a="1"/>
  <c r="H1508" i="5" a="1"/>
  <c r="H1509" i="5" a="1"/>
  <c r="H1510" i="5" a="1"/>
  <c r="H1511" i="5" a="1"/>
  <c r="H1512" i="5" a="1"/>
  <c r="H1513" i="5" a="1"/>
  <c r="H1514" i="5" a="1"/>
  <c r="H1515" i="5" a="1"/>
  <c r="H1516" i="5" a="1"/>
  <c r="H1517" i="5" a="1"/>
  <c r="H1518" i="5" a="1"/>
  <c r="H1519" i="5" a="1"/>
  <c r="H1520" i="5" a="1"/>
  <c r="H1521" i="5" a="1"/>
  <c r="H1522" i="5" a="1"/>
  <c r="H1523" i="5" a="1"/>
  <c r="H1524" i="5" a="1"/>
  <c r="H1525" i="5" a="1"/>
  <c r="H1526" i="5" a="1"/>
  <c r="H1527" i="5" a="1"/>
  <c r="H1528" i="5" a="1"/>
  <c r="H1529" i="5" a="1"/>
  <c r="H1530" i="5" a="1"/>
  <c r="H1531" i="5" a="1"/>
  <c r="H1532" i="5" a="1"/>
  <c r="H1533" i="5" a="1"/>
  <c r="H1534" i="5" a="1"/>
  <c r="H1535" i="5" a="1"/>
  <c r="H1536" i="5" a="1"/>
  <c r="H1537" i="5" a="1"/>
  <c r="H1538" i="5" a="1"/>
  <c r="H1539" i="5" a="1"/>
  <c r="H1540" i="5" a="1"/>
  <c r="H1541" i="5" a="1"/>
  <c r="H1542" i="5" a="1"/>
  <c r="H1543" i="5" a="1"/>
  <c r="H1544" i="5" a="1"/>
  <c r="H1545" i="5" a="1"/>
  <c r="H1546" i="5" a="1"/>
  <c r="H1547" i="5" a="1"/>
  <c r="H1548" i="5" a="1"/>
  <c r="H1549" i="5" a="1"/>
  <c r="H1550" i="5" a="1"/>
  <c r="H1551" i="5" a="1"/>
  <c r="H1552" i="5" a="1"/>
  <c r="H1553" i="5" a="1"/>
  <c r="H1554" i="5" a="1"/>
  <c r="H1555" i="5" a="1"/>
  <c r="H1556" i="5" a="1"/>
  <c r="H1557" i="5" a="1"/>
  <c r="H1558" i="5" a="1"/>
  <c r="H1559" i="5" a="1"/>
  <c r="H1560" i="5" a="1"/>
  <c r="H1561" i="5" a="1"/>
  <c r="H1562" i="5" a="1"/>
  <c r="H1563" i="5" a="1"/>
  <c r="H1564" i="5" a="1"/>
  <c r="H1565" i="5" a="1"/>
  <c r="H1566" i="5" a="1"/>
  <c r="H1567" i="5" a="1"/>
  <c r="H1568" i="5" a="1"/>
  <c r="H1569" i="5" a="1"/>
  <c r="H1570" i="5" a="1"/>
  <c r="H1571" i="5" a="1"/>
  <c r="H1572" i="5" a="1"/>
  <c r="H1573" i="5" a="1"/>
  <c r="H1574" i="5" a="1"/>
  <c r="H1575" i="5" a="1"/>
  <c r="H1576" i="5" a="1"/>
  <c r="H1577" i="5" a="1"/>
  <c r="H1578" i="5" a="1"/>
  <c r="H1579" i="5" a="1"/>
  <c r="H1580" i="5" a="1"/>
  <c r="H1581" i="5" a="1"/>
  <c r="H1582" i="5" a="1"/>
  <c r="H1583" i="5" a="1"/>
  <c r="H1584" i="5" a="1"/>
  <c r="H1585" i="5" a="1"/>
  <c r="H1586" i="5" a="1"/>
  <c r="H1587" i="5" a="1"/>
  <c r="H1588" i="5" a="1"/>
  <c r="H1589" i="5" a="1"/>
  <c r="H1590" i="5" a="1"/>
  <c r="H1591" i="5" a="1"/>
  <c r="H1592" i="5" a="1"/>
  <c r="H1593" i="5" a="1"/>
  <c r="H1594" i="5" a="1"/>
  <c r="H1595" i="5" a="1"/>
  <c r="H1596" i="5" a="1"/>
  <c r="H1597" i="5" a="1"/>
  <c r="H1598" i="5" a="1"/>
  <c r="H1599" i="5" a="1"/>
  <c r="H1600" i="5" a="1"/>
  <c r="H1601" i="5" a="1"/>
  <c r="H1602" i="5" a="1"/>
  <c r="H1603" i="5" a="1"/>
  <c r="H1604" i="5" a="1"/>
  <c r="H1605" i="5" a="1"/>
  <c r="H1606" i="5" a="1"/>
  <c r="H1607" i="5" a="1"/>
  <c r="H1608" i="5" a="1"/>
  <c r="H1609" i="5" a="1"/>
  <c r="H1610" i="5" a="1"/>
  <c r="H1611" i="5" a="1"/>
  <c r="H1612" i="5" a="1"/>
  <c r="H1613" i="5" a="1"/>
  <c r="H1614" i="5" a="1"/>
  <c r="H1615" i="5" a="1"/>
  <c r="H1616" i="5" a="1"/>
  <c r="H1617" i="5" a="1"/>
  <c r="H1618" i="5" a="1"/>
  <c r="H1619" i="5" a="1"/>
  <c r="H1620" i="5" a="1"/>
  <c r="H1621" i="5" a="1"/>
  <c r="H1622" i="5" a="1"/>
  <c r="H1623" i="5" a="1"/>
  <c r="H1624" i="5" a="1"/>
  <c r="H1625" i="5" a="1"/>
  <c r="H1626" i="5" a="1"/>
  <c r="H1627" i="5" a="1"/>
  <c r="H1628" i="5" a="1"/>
  <c r="H1629" i="5" a="1"/>
  <c r="H1630" i="5" a="1"/>
  <c r="H1631" i="5" a="1"/>
  <c r="H1632" i="5" a="1"/>
  <c r="H1633" i="5" a="1"/>
  <c r="H1634" i="5" a="1"/>
  <c r="H1635" i="5" a="1"/>
  <c r="H1636" i="5" a="1"/>
  <c r="H1637" i="5" a="1"/>
  <c r="H1638" i="5" a="1"/>
  <c r="H1639" i="5" a="1"/>
  <c r="H1640" i="5" a="1"/>
  <c r="H1641" i="5" a="1"/>
  <c r="H1642" i="5" a="1"/>
  <c r="H1643" i="5" a="1"/>
  <c r="H1644" i="5" a="1"/>
  <c r="H1645" i="5" a="1"/>
  <c r="H1646" i="5" a="1"/>
  <c r="H1647" i="5" a="1"/>
  <c r="H1648" i="5" a="1"/>
  <c r="H1649" i="5" a="1"/>
  <c r="H1650" i="5" a="1"/>
  <c r="H1651" i="5" a="1"/>
  <c r="H1652" i="5" a="1"/>
  <c r="H1653" i="5" a="1"/>
  <c r="H1654" i="5" a="1"/>
  <c r="H1655" i="5" a="1"/>
  <c r="H1656" i="5" a="1"/>
  <c r="H1657" i="5" a="1"/>
  <c r="H1658" i="5" a="1"/>
  <c r="H1659" i="5" a="1"/>
  <c r="H1660" i="5" a="1"/>
  <c r="H1661" i="5" a="1"/>
  <c r="H1662" i="5" a="1"/>
  <c r="H1663" i="5" a="1"/>
  <c r="H1664" i="5" a="1"/>
  <c r="H1665" i="5" a="1"/>
  <c r="H1666" i="5" a="1"/>
  <c r="H1667" i="5" a="1"/>
  <c r="H1668" i="5" a="1"/>
  <c r="H1669" i="5" a="1"/>
  <c r="H1670" i="5" a="1"/>
  <c r="H1671" i="5" a="1"/>
  <c r="H1672" i="5" a="1"/>
  <c r="H1673" i="5" a="1"/>
  <c r="H1674" i="5" a="1"/>
  <c r="H1675" i="5" a="1"/>
  <c r="H1676" i="5" a="1"/>
  <c r="H1677" i="5" a="1"/>
  <c r="H1678" i="5" a="1"/>
  <c r="H1679" i="5" a="1"/>
  <c r="H1680" i="5" a="1"/>
  <c r="H1681" i="5" a="1"/>
  <c r="H1682" i="5" a="1"/>
  <c r="H1683" i="5" a="1"/>
  <c r="H1684" i="5" a="1"/>
  <c r="H1685" i="5" a="1"/>
  <c r="H1686" i="5" a="1"/>
  <c r="H1687" i="5" a="1"/>
  <c r="H1688" i="5" a="1"/>
  <c r="H1689" i="5" a="1"/>
  <c r="H1690" i="5" a="1"/>
  <c r="H1691" i="5" a="1"/>
  <c r="H1692" i="5" a="1"/>
  <c r="H1693" i="5" a="1"/>
  <c r="H1694" i="5" a="1"/>
  <c r="H1695" i="5" a="1"/>
  <c r="H1696" i="5" a="1"/>
  <c r="H1697" i="5" a="1"/>
  <c r="H1698" i="5" a="1"/>
  <c r="H1699" i="5" a="1"/>
  <c r="H1700" i="5" a="1"/>
  <c r="H1701" i="5" a="1"/>
  <c r="H1702" i="5" a="1"/>
  <c r="H1703" i="5" a="1"/>
  <c r="H1704" i="5" a="1"/>
  <c r="H1705" i="5" a="1"/>
  <c r="H1706" i="5" a="1"/>
  <c r="H1707" i="5" a="1"/>
  <c r="H1708" i="5" a="1"/>
  <c r="H1709" i="5" a="1"/>
  <c r="H1710" i="5" a="1"/>
  <c r="H1711" i="5" a="1"/>
  <c r="H1712" i="5" a="1"/>
  <c r="H1713" i="5" a="1"/>
  <c r="H1714" i="5" a="1"/>
  <c r="H1715" i="5" a="1"/>
  <c r="H1716" i="5" a="1"/>
  <c r="H1717" i="5" a="1"/>
  <c r="H1718" i="5" a="1"/>
  <c r="H1719" i="5" a="1"/>
  <c r="H1720" i="5" a="1"/>
  <c r="H1721" i="5" a="1"/>
  <c r="H1722" i="5" a="1"/>
  <c r="H1723" i="5" a="1"/>
  <c r="H1724" i="5" a="1"/>
  <c r="H1725" i="5" a="1"/>
  <c r="H1726" i="5" a="1"/>
  <c r="H1727" i="5" a="1"/>
  <c r="H1728" i="5" a="1"/>
  <c r="H1729" i="5" a="1"/>
  <c r="H1730" i="5" a="1"/>
  <c r="H1731" i="5" a="1"/>
  <c r="H1732" i="5" a="1"/>
  <c r="H1733" i="5" a="1"/>
  <c r="H1734" i="5" a="1"/>
  <c r="H1735" i="5" a="1"/>
  <c r="H1736" i="5" a="1"/>
  <c r="H1737" i="5" a="1"/>
  <c r="H1738" i="5" a="1"/>
  <c r="H1739" i="5" a="1"/>
  <c r="H1740" i="5" a="1"/>
  <c r="H1741" i="5" a="1"/>
  <c r="H1742" i="5" a="1"/>
  <c r="H1743" i="5" a="1"/>
  <c r="H1744" i="5" a="1"/>
  <c r="H1745" i="5" a="1"/>
  <c r="H1746" i="5" a="1"/>
  <c r="H1747" i="5" a="1"/>
  <c r="H1748" i="5" a="1"/>
  <c r="H1749" i="5" a="1"/>
  <c r="H1750" i="5" a="1"/>
  <c r="H1751" i="5" a="1"/>
  <c r="H1752" i="5" a="1"/>
  <c r="H1753" i="5" a="1"/>
  <c r="H1754" i="5" a="1"/>
  <c r="H1755" i="5" a="1"/>
  <c r="H1756" i="5" a="1"/>
  <c r="H1757" i="5" a="1"/>
  <c r="H1758" i="5" a="1"/>
  <c r="H1759" i="5" a="1"/>
  <c r="H1760" i="5" a="1"/>
  <c r="H1761" i="5" a="1"/>
  <c r="H1762" i="5" a="1"/>
  <c r="H1763" i="5" a="1"/>
  <c r="H1764" i="5" a="1"/>
  <c r="H1765" i="5" a="1"/>
  <c r="H1766" i="5" a="1"/>
  <c r="H1767" i="5" a="1"/>
  <c r="H1768" i="5" a="1"/>
  <c r="H1769" i="5" a="1"/>
  <c r="H1770" i="5" a="1"/>
  <c r="H1771" i="5" a="1"/>
  <c r="H1772" i="5" a="1"/>
  <c r="H1773" i="5" a="1"/>
  <c r="H1774" i="5" a="1"/>
  <c r="H1775" i="5" a="1"/>
  <c r="H1776" i="5" a="1"/>
  <c r="H1777" i="5" a="1"/>
  <c r="H1778" i="5" a="1"/>
  <c r="H1779" i="5" a="1"/>
  <c r="H1780" i="5" a="1"/>
  <c r="H1781" i="5" a="1"/>
  <c r="H1782" i="5" a="1"/>
  <c r="H1783" i="5" a="1"/>
  <c r="H1784" i="5" a="1"/>
  <c r="H1785" i="5" a="1"/>
  <c r="H1786" i="5" a="1"/>
  <c r="H1787" i="5" a="1"/>
  <c r="H1788" i="5" a="1"/>
  <c r="H1789" i="5" a="1"/>
  <c r="H1790" i="5" a="1"/>
  <c r="H1791" i="5" a="1"/>
  <c r="H1792" i="5" a="1"/>
  <c r="H1793" i="5" a="1"/>
  <c r="H1794" i="5" a="1"/>
  <c r="H1795" i="5" a="1"/>
  <c r="H1796" i="5" a="1"/>
  <c r="H1797" i="5" a="1"/>
  <c r="H1798" i="5" a="1"/>
  <c r="H1799" i="5" a="1"/>
  <c r="H1800" i="5" a="1"/>
  <c r="H1801" i="5" a="1"/>
  <c r="H1802" i="5" a="1"/>
  <c r="H1803" i="5" a="1"/>
  <c r="H1804" i="5" a="1"/>
  <c r="H1805" i="5" a="1"/>
  <c r="H1806" i="5" a="1"/>
  <c r="H1807" i="5" a="1"/>
  <c r="H1808" i="5" a="1"/>
  <c r="H1809" i="5" a="1"/>
  <c r="H1810" i="5" a="1"/>
  <c r="H1811" i="5" a="1"/>
  <c r="H1812" i="5" a="1"/>
  <c r="H1813" i="5" a="1"/>
  <c r="H1814" i="5" a="1"/>
  <c r="H1815" i="5" a="1"/>
  <c r="H1816" i="5" a="1"/>
  <c r="H1817" i="5" a="1"/>
  <c r="H1818" i="5" a="1"/>
  <c r="H1819" i="5" a="1"/>
  <c r="H1820" i="5" a="1"/>
  <c r="H1821" i="5" a="1"/>
  <c r="H1822" i="5" a="1"/>
  <c r="H1823" i="5" a="1"/>
  <c r="H1824" i="5" a="1"/>
  <c r="H1825" i="5" a="1"/>
  <c r="H1826" i="5" a="1"/>
  <c r="H1827" i="5" a="1"/>
  <c r="H1828" i="5" a="1"/>
  <c r="H1829" i="5" a="1"/>
  <c r="H1830" i="5" a="1"/>
  <c r="H1831" i="5" a="1"/>
  <c r="H1832" i="5" a="1"/>
  <c r="H1833" i="5" a="1"/>
  <c r="H1834" i="5" a="1"/>
  <c r="H1835" i="5" a="1"/>
  <c r="H1836" i="5" a="1"/>
  <c r="H1837" i="5" a="1"/>
  <c r="H1838" i="5" a="1"/>
  <c r="H1839" i="5" a="1"/>
  <c r="H1840" i="5" a="1"/>
  <c r="H1841" i="5" a="1"/>
  <c r="H1842" i="5" a="1"/>
  <c r="H1843" i="5" a="1"/>
  <c r="H1844" i="5" a="1"/>
  <c r="H1845" i="5" a="1"/>
  <c r="H1846" i="5" a="1"/>
  <c r="H1847" i="5" a="1"/>
  <c r="H1848" i="5" a="1"/>
  <c r="H1849" i="5" a="1"/>
  <c r="H1850" i="5" a="1"/>
  <c r="H1851" i="5" a="1"/>
  <c r="H1852" i="5" a="1"/>
  <c r="H1853" i="5" a="1"/>
  <c r="H1854" i="5" a="1"/>
  <c r="H1855" i="5" a="1"/>
  <c r="H1856" i="5" a="1"/>
  <c r="H1857" i="5" a="1"/>
  <c r="H1858" i="5" a="1"/>
  <c r="H1859" i="5" a="1"/>
  <c r="H1860" i="5" a="1"/>
  <c r="H1861" i="5" a="1"/>
  <c r="H1862" i="5" a="1"/>
  <c r="H1863" i="5" a="1"/>
  <c r="H1864" i="5" a="1"/>
  <c r="H1865" i="5" a="1"/>
  <c r="H1866" i="5" a="1"/>
  <c r="H1867" i="5" a="1"/>
  <c r="H1868" i="5" a="1"/>
  <c r="H1869" i="5" a="1"/>
  <c r="H1870" i="5" a="1"/>
  <c r="H1871" i="5" a="1"/>
  <c r="H1872" i="5" a="1"/>
  <c r="H1873" i="5" a="1"/>
  <c r="H1874" i="5" a="1"/>
  <c r="H1875" i="5" a="1"/>
  <c r="H1876" i="5" a="1"/>
  <c r="H1877" i="5" a="1"/>
  <c r="H1878" i="5" a="1"/>
  <c r="H1879" i="5" a="1"/>
  <c r="H1880" i="5" a="1"/>
  <c r="H1881" i="5" a="1"/>
  <c r="H1882" i="5" a="1"/>
  <c r="H1883" i="5" a="1"/>
  <c r="H1884" i="5" a="1"/>
  <c r="H1885" i="5" a="1"/>
  <c r="H1886" i="5" a="1"/>
  <c r="H1887" i="5" a="1"/>
  <c r="H1888" i="5" a="1"/>
  <c r="H1889" i="5" a="1"/>
  <c r="H1890" i="5" a="1"/>
  <c r="H1891" i="5" a="1"/>
  <c r="H1892" i="5" a="1"/>
  <c r="H1893" i="5" a="1"/>
  <c r="H1894" i="5" a="1"/>
  <c r="H1895" i="5" a="1"/>
  <c r="H1896" i="5" a="1"/>
  <c r="H1897" i="5" a="1"/>
  <c r="H1898" i="5" a="1"/>
  <c r="H1899" i="5" a="1"/>
  <c r="H1900" i="5" a="1"/>
  <c r="H1901" i="5" a="1"/>
  <c r="H1902" i="5" a="1"/>
  <c r="H1903" i="5" a="1"/>
  <c r="H1904" i="5" a="1"/>
  <c r="H1905" i="5" a="1"/>
  <c r="H1906" i="5" a="1"/>
  <c r="H1907" i="5" a="1"/>
  <c r="H1908" i="5" a="1"/>
  <c r="H1909" i="5" a="1"/>
  <c r="H1910" i="5" a="1"/>
  <c r="H1911" i="5" a="1"/>
  <c r="H1912" i="5" a="1"/>
  <c r="H1913" i="5" a="1"/>
  <c r="H1914" i="5" a="1"/>
  <c r="H1915" i="5" a="1"/>
  <c r="H1916" i="5" a="1"/>
  <c r="H1917" i="5" a="1"/>
  <c r="H1918" i="5" a="1"/>
  <c r="H1919" i="5" a="1"/>
  <c r="H1920" i="5" a="1"/>
  <c r="H1921" i="5" a="1"/>
  <c r="H1922" i="5" a="1"/>
  <c r="H1923" i="5" a="1"/>
  <c r="H1924" i="5" a="1"/>
  <c r="H1925" i="5" a="1"/>
  <c r="H1926" i="5" a="1"/>
  <c r="H1927" i="5" a="1"/>
  <c r="H1928" i="5" a="1"/>
  <c r="H1929" i="5" a="1"/>
  <c r="H1930" i="5" a="1"/>
  <c r="H1931" i="5" a="1"/>
  <c r="H1932" i="5" a="1"/>
  <c r="H1933" i="5" a="1"/>
  <c r="H1934" i="5" a="1"/>
  <c r="H1935" i="5" a="1"/>
  <c r="H1936" i="5" a="1"/>
  <c r="H1937" i="5" a="1"/>
  <c r="H1938" i="5" a="1"/>
  <c r="H1939" i="5" a="1"/>
  <c r="H1940" i="5" a="1"/>
  <c r="H1941" i="5" a="1"/>
  <c r="H1942" i="5" a="1"/>
  <c r="H1943" i="5" a="1"/>
  <c r="H1944" i="5" a="1"/>
  <c r="H1945" i="5" a="1"/>
  <c r="H1946" i="5" a="1"/>
  <c r="H1947" i="5" a="1"/>
  <c r="H1948" i="5" a="1"/>
  <c r="H1949" i="5" a="1"/>
  <c r="H1950" i="5" a="1"/>
  <c r="H1951" i="5" a="1"/>
  <c r="H1952" i="5" a="1"/>
  <c r="H1953" i="5" a="1"/>
  <c r="H1954" i="5" a="1"/>
  <c r="H1955" i="5" a="1"/>
  <c r="H1956" i="5" a="1"/>
  <c r="H1957" i="5" a="1"/>
  <c r="H1958" i="5" a="1"/>
  <c r="H1959" i="5" a="1"/>
  <c r="H1960" i="5" a="1"/>
  <c r="H1961" i="5" a="1"/>
  <c r="H1962" i="5" a="1"/>
  <c r="H1963" i="5" a="1"/>
  <c r="H1964" i="5" a="1"/>
  <c r="H1965" i="5" a="1"/>
  <c r="H1966" i="5" a="1"/>
  <c r="H1967" i="5" a="1"/>
  <c r="H1968" i="5" a="1"/>
  <c r="H1969" i="5" a="1"/>
  <c r="H1970" i="5" a="1"/>
  <c r="H1971" i="5" a="1"/>
  <c r="H1972" i="5" a="1"/>
  <c r="H1973" i="5" a="1"/>
  <c r="H1974" i="5" a="1"/>
  <c r="H1975" i="5" a="1"/>
  <c r="H1976" i="5" a="1"/>
  <c r="H1977" i="5" a="1"/>
  <c r="H1978" i="5" a="1"/>
  <c r="H1979" i="5" a="1"/>
  <c r="H1980" i="5" a="1"/>
  <c r="H1981" i="5" a="1"/>
  <c r="H1982" i="5" a="1"/>
  <c r="H1983" i="5" a="1"/>
  <c r="H1984" i="5" a="1"/>
  <c r="H1985" i="5" a="1"/>
  <c r="H1986" i="5" a="1"/>
  <c r="H1987" i="5" a="1"/>
  <c r="H1988" i="5" a="1"/>
  <c r="H1989" i="5" a="1"/>
  <c r="H1990" i="5" a="1"/>
  <c r="H1991" i="5" a="1"/>
  <c r="H1992" i="5" a="1"/>
  <c r="H1993" i="5" a="1"/>
  <c r="H1994" i="5" a="1"/>
  <c r="H1995" i="5" a="1"/>
  <c r="H1996" i="5" a="1"/>
  <c r="H1997" i="5" a="1"/>
  <c r="H1998" i="5" a="1"/>
  <c r="H1999" i="5" a="1"/>
  <c r="H2000" i="5" a="1"/>
  <c r="H2001" i="5" a="1"/>
  <c r="AB2" i="5"/>
  <c r="AB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99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172" i="5"/>
  <c r="AB173" i="5"/>
  <c r="AB174" i="5"/>
  <c r="AB175" i="5"/>
  <c r="AB176" i="5"/>
  <c r="AB177" i="5"/>
  <c r="AB178" i="5"/>
  <c r="AB179" i="5"/>
  <c r="AB180" i="5"/>
  <c r="AB181" i="5"/>
  <c r="AB182" i="5"/>
  <c r="AB183" i="5"/>
  <c r="AB184" i="5"/>
  <c r="AB185" i="5"/>
  <c r="AB186" i="5"/>
  <c r="AB187" i="5"/>
  <c r="AB188" i="5"/>
  <c r="AB189" i="5"/>
  <c r="AB190" i="5"/>
  <c r="AB191" i="5"/>
  <c r="AB192" i="5"/>
  <c r="AB193" i="5"/>
  <c r="AB194" i="5"/>
  <c r="AB195" i="5"/>
  <c r="AB196" i="5"/>
  <c r="AB197" i="5"/>
  <c r="AB198" i="5"/>
  <c r="AB199" i="5"/>
  <c r="AB200" i="5"/>
  <c r="AB201" i="5"/>
  <c r="AB202" i="5"/>
  <c r="AB203" i="5"/>
  <c r="AB204" i="5"/>
  <c r="AB205" i="5"/>
  <c r="AB206" i="5"/>
  <c r="AB207" i="5"/>
  <c r="AB208" i="5"/>
  <c r="AB209" i="5"/>
  <c r="AB210" i="5"/>
  <c r="AB211" i="5"/>
  <c r="AB212" i="5"/>
  <c r="AB213" i="5"/>
  <c r="AB214" i="5"/>
  <c r="AB215" i="5"/>
  <c r="AB216" i="5"/>
  <c r="AB217" i="5"/>
  <c r="AB218" i="5"/>
  <c r="AB219" i="5"/>
  <c r="AB220" i="5"/>
  <c r="AB221" i="5"/>
  <c r="AB222" i="5"/>
  <c r="AB223" i="5"/>
  <c r="AB224" i="5"/>
  <c r="AB225" i="5"/>
  <c r="AB226" i="5"/>
  <c r="AB227" i="5"/>
  <c r="AB228" i="5"/>
  <c r="AB229" i="5"/>
  <c r="AB230" i="5"/>
  <c r="AB231" i="5"/>
  <c r="AB232" i="5"/>
  <c r="AB233" i="5"/>
  <c r="AB234" i="5"/>
  <c r="AB235" i="5"/>
  <c r="AB236" i="5"/>
  <c r="AB237" i="5"/>
  <c r="AB238" i="5"/>
  <c r="AB239" i="5"/>
  <c r="AB240" i="5"/>
  <c r="AB241" i="5"/>
  <c r="AB242" i="5"/>
  <c r="AB243" i="5"/>
  <c r="AB244" i="5"/>
  <c r="AB245" i="5"/>
  <c r="AB246" i="5"/>
  <c r="AB247" i="5"/>
  <c r="AB248" i="5"/>
  <c r="AB249" i="5"/>
  <c r="AB250" i="5"/>
  <c r="AB251" i="5"/>
  <c r="AB252" i="5"/>
  <c r="AB253" i="5"/>
  <c r="AB254" i="5"/>
  <c r="AB255" i="5"/>
  <c r="AB256" i="5"/>
  <c r="AB257" i="5"/>
  <c r="AB258" i="5"/>
  <c r="AB259" i="5"/>
  <c r="AB260" i="5"/>
  <c r="AB261" i="5"/>
  <c r="AB262" i="5"/>
  <c r="AB263" i="5"/>
  <c r="AB264" i="5"/>
  <c r="AB265" i="5"/>
  <c r="AB266" i="5"/>
  <c r="AB267" i="5"/>
  <c r="AB268" i="5"/>
  <c r="AB269" i="5"/>
  <c r="AB270" i="5"/>
  <c r="AB271" i="5"/>
  <c r="AB272" i="5"/>
  <c r="AB273" i="5"/>
  <c r="AB274" i="5"/>
  <c r="AB275" i="5"/>
  <c r="AB276" i="5"/>
  <c r="AB277" i="5"/>
  <c r="AB278" i="5"/>
  <c r="AB279" i="5"/>
  <c r="AB280" i="5"/>
  <c r="AB281" i="5"/>
  <c r="AB282" i="5"/>
  <c r="AB283" i="5"/>
  <c r="AB284" i="5"/>
  <c r="AB285" i="5"/>
  <c r="AB286" i="5"/>
  <c r="AB287" i="5"/>
  <c r="AB288" i="5"/>
  <c r="AB289" i="5"/>
  <c r="AB290" i="5"/>
  <c r="AB291" i="5"/>
  <c r="AB292" i="5"/>
  <c r="AB293" i="5"/>
  <c r="AB294" i="5"/>
  <c r="AB295" i="5"/>
  <c r="AB296" i="5"/>
  <c r="AB297" i="5"/>
  <c r="AB298" i="5"/>
  <c r="AB299" i="5"/>
  <c r="AB300" i="5"/>
  <c r="AB301" i="5"/>
  <c r="AB302" i="5"/>
  <c r="AB303" i="5"/>
  <c r="AB304" i="5"/>
  <c r="AB305" i="5"/>
  <c r="AB306" i="5"/>
  <c r="AB307" i="5"/>
  <c r="AB308" i="5"/>
  <c r="AB309" i="5"/>
  <c r="AB310" i="5"/>
  <c r="AB311" i="5"/>
  <c r="AB312" i="5"/>
  <c r="AB313" i="5"/>
  <c r="AB314" i="5"/>
  <c r="AB315" i="5"/>
  <c r="AB316" i="5"/>
  <c r="AB317" i="5"/>
  <c r="AB318" i="5"/>
  <c r="AB319" i="5"/>
  <c r="AB320" i="5"/>
  <c r="AB321" i="5"/>
  <c r="AB322" i="5"/>
  <c r="AB323" i="5"/>
  <c r="AB324" i="5"/>
  <c r="AB325" i="5"/>
  <c r="AB326" i="5"/>
  <c r="AB327" i="5"/>
  <c r="AB328" i="5"/>
  <c r="AB329" i="5"/>
  <c r="AB330" i="5"/>
  <c r="AB331" i="5"/>
  <c r="AB332" i="5"/>
  <c r="AB333" i="5"/>
  <c r="AB334" i="5"/>
  <c r="AB335" i="5"/>
  <c r="AB336" i="5"/>
  <c r="AB337" i="5"/>
  <c r="AB338" i="5"/>
  <c r="AB339" i="5"/>
  <c r="AB340" i="5"/>
  <c r="AB341" i="5"/>
  <c r="AB342" i="5"/>
  <c r="AB343" i="5"/>
  <c r="AB344" i="5"/>
  <c r="AB345" i="5"/>
  <c r="AB346" i="5"/>
  <c r="AB347" i="5"/>
  <c r="AB348" i="5"/>
  <c r="AB349" i="5"/>
  <c r="AB350" i="5"/>
  <c r="AB351" i="5"/>
  <c r="AB352" i="5"/>
  <c r="AB353" i="5"/>
  <c r="AB354" i="5"/>
  <c r="AB355" i="5"/>
  <c r="AB356" i="5"/>
  <c r="AB357" i="5"/>
  <c r="AB358" i="5"/>
  <c r="AB359" i="5"/>
  <c r="AB360" i="5"/>
  <c r="AB361" i="5"/>
  <c r="AB362" i="5"/>
  <c r="AB363" i="5"/>
  <c r="AB364" i="5"/>
  <c r="AB365" i="5"/>
  <c r="AB366" i="5"/>
  <c r="AB367" i="5"/>
  <c r="AB368" i="5"/>
  <c r="AB369" i="5"/>
  <c r="AB370" i="5"/>
  <c r="AB371" i="5"/>
  <c r="AB372" i="5"/>
  <c r="AB373" i="5"/>
  <c r="AB374" i="5"/>
  <c r="AB375" i="5"/>
  <c r="AB376" i="5"/>
  <c r="AB377" i="5"/>
  <c r="AB378" i="5"/>
  <c r="AB379" i="5"/>
  <c r="AB380" i="5"/>
  <c r="AB381" i="5"/>
  <c r="AB382" i="5"/>
  <c r="AB383" i="5"/>
  <c r="AB384" i="5"/>
  <c r="AB385" i="5"/>
  <c r="AB386" i="5"/>
  <c r="AB387" i="5"/>
  <c r="AB388" i="5"/>
  <c r="AB389" i="5"/>
  <c r="AB390" i="5"/>
  <c r="AB391" i="5"/>
  <c r="AB392" i="5"/>
  <c r="AB393" i="5"/>
  <c r="AB394" i="5"/>
  <c r="AB395" i="5"/>
  <c r="AB396" i="5"/>
  <c r="AB397" i="5"/>
  <c r="AB398" i="5"/>
  <c r="AB399" i="5"/>
  <c r="AB400" i="5"/>
  <c r="AB401" i="5"/>
  <c r="AB402" i="5"/>
  <c r="AB403" i="5"/>
  <c r="AB404" i="5"/>
  <c r="AB405" i="5"/>
  <c r="AB406" i="5"/>
  <c r="AB407" i="5"/>
  <c r="AB408" i="5"/>
  <c r="AB409" i="5"/>
  <c r="AB410" i="5"/>
  <c r="AB411" i="5"/>
  <c r="AB412" i="5"/>
  <c r="AB413" i="5"/>
  <c r="AB414" i="5"/>
  <c r="AB415" i="5"/>
  <c r="AB416" i="5"/>
  <c r="AB417" i="5"/>
  <c r="AB418" i="5"/>
  <c r="AB419" i="5"/>
  <c r="AB420" i="5"/>
  <c r="AB421" i="5"/>
  <c r="AB422" i="5"/>
  <c r="AB423" i="5"/>
  <c r="AB424" i="5"/>
  <c r="AB425" i="5"/>
  <c r="AB426" i="5"/>
  <c r="AB427" i="5"/>
  <c r="AB428" i="5"/>
  <c r="AB429" i="5"/>
  <c r="AB430" i="5"/>
  <c r="AB431" i="5"/>
  <c r="AB432" i="5"/>
  <c r="AB433" i="5"/>
  <c r="AB434" i="5"/>
  <c r="AB435" i="5"/>
  <c r="AB436" i="5"/>
  <c r="AB437" i="5"/>
  <c r="AB438" i="5"/>
  <c r="AB439" i="5"/>
  <c r="AB440" i="5"/>
  <c r="AB441" i="5"/>
  <c r="AB442" i="5"/>
  <c r="AB443" i="5"/>
  <c r="AB444" i="5"/>
  <c r="AB445" i="5"/>
  <c r="AB446" i="5"/>
  <c r="AB447" i="5"/>
  <c r="AB448" i="5"/>
  <c r="AB449" i="5"/>
  <c r="AB450" i="5"/>
  <c r="AB451" i="5"/>
  <c r="AB452" i="5"/>
  <c r="AB453" i="5"/>
  <c r="AB454" i="5"/>
  <c r="AB455" i="5"/>
  <c r="AB456" i="5"/>
  <c r="AB457" i="5"/>
  <c r="AB458" i="5"/>
  <c r="AB459" i="5"/>
  <c r="AB460" i="5"/>
  <c r="AB461" i="5"/>
  <c r="AB462" i="5"/>
  <c r="AB463" i="5"/>
  <c r="AB464" i="5"/>
  <c r="AB465" i="5"/>
  <c r="AB466" i="5"/>
  <c r="AB467" i="5"/>
  <c r="AB468" i="5"/>
  <c r="AB469" i="5"/>
  <c r="AB470" i="5"/>
  <c r="AB471" i="5"/>
  <c r="AB472" i="5"/>
  <c r="AB473" i="5"/>
  <c r="AB474" i="5"/>
  <c r="AB475" i="5"/>
  <c r="AB476" i="5"/>
  <c r="AB477" i="5"/>
  <c r="AB478" i="5"/>
  <c r="AB479" i="5"/>
  <c r="AB480" i="5"/>
  <c r="AB481" i="5"/>
  <c r="AB482" i="5"/>
  <c r="AB483" i="5"/>
  <c r="AB484" i="5"/>
  <c r="AB485" i="5"/>
  <c r="AB486" i="5"/>
  <c r="AB487" i="5"/>
  <c r="AB488" i="5"/>
  <c r="AB489" i="5"/>
  <c r="AB490" i="5"/>
  <c r="AB491" i="5"/>
  <c r="AB492" i="5"/>
  <c r="AB493" i="5"/>
  <c r="AB494" i="5"/>
  <c r="AB495" i="5"/>
  <c r="AB496" i="5"/>
  <c r="AB497" i="5"/>
  <c r="AB498" i="5"/>
  <c r="AB499" i="5"/>
  <c r="AB500" i="5"/>
  <c r="AB501" i="5"/>
  <c r="AB502" i="5"/>
  <c r="AB503" i="5"/>
  <c r="AB504" i="5"/>
  <c r="AB505" i="5"/>
  <c r="AB506" i="5"/>
  <c r="AB507" i="5"/>
  <c r="AB508" i="5"/>
  <c r="AB509" i="5"/>
  <c r="AB510" i="5"/>
  <c r="AB511" i="5"/>
  <c r="AB512" i="5"/>
  <c r="AB513" i="5"/>
  <c r="AB514" i="5"/>
  <c r="AB515" i="5"/>
  <c r="AB516" i="5"/>
  <c r="AB517" i="5"/>
  <c r="AB518" i="5"/>
  <c r="AB519" i="5"/>
  <c r="AB520" i="5"/>
  <c r="AB521" i="5"/>
  <c r="AB522" i="5"/>
  <c r="AB523" i="5"/>
  <c r="AB524" i="5"/>
  <c r="AB525" i="5"/>
  <c r="AB526" i="5"/>
  <c r="AB527" i="5"/>
  <c r="AB528" i="5"/>
  <c r="AB529" i="5"/>
  <c r="AB530" i="5"/>
  <c r="AB531" i="5"/>
  <c r="AB532" i="5"/>
  <c r="AB533" i="5"/>
  <c r="AB534" i="5"/>
  <c r="AB535" i="5"/>
  <c r="AB536" i="5"/>
  <c r="AB537" i="5"/>
  <c r="AB538" i="5"/>
  <c r="AB539" i="5"/>
  <c r="AB540" i="5"/>
  <c r="AB541" i="5"/>
  <c r="AB542" i="5"/>
  <c r="AB543" i="5"/>
  <c r="AB544" i="5"/>
  <c r="AB545" i="5"/>
  <c r="AB546" i="5"/>
  <c r="AB547" i="5"/>
  <c r="AB548" i="5"/>
  <c r="AB549" i="5"/>
  <c r="AB550" i="5"/>
  <c r="AB551" i="5"/>
  <c r="AB552" i="5"/>
  <c r="AB553" i="5"/>
  <c r="AB554" i="5"/>
  <c r="AB555" i="5"/>
  <c r="AB556" i="5"/>
  <c r="AB557" i="5"/>
  <c r="AB558" i="5"/>
  <c r="AB559" i="5"/>
  <c r="AB560" i="5"/>
  <c r="AB561" i="5"/>
  <c r="AB562" i="5"/>
  <c r="AB563" i="5"/>
  <c r="AB564" i="5"/>
  <c r="AB565" i="5"/>
  <c r="AB566" i="5"/>
  <c r="AB567" i="5"/>
  <c r="AB568" i="5"/>
  <c r="AB569" i="5"/>
  <c r="AB570" i="5"/>
  <c r="AB571" i="5"/>
  <c r="AB572" i="5"/>
  <c r="AB573" i="5"/>
  <c r="AB574" i="5"/>
  <c r="AB575" i="5"/>
  <c r="AB576" i="5"/>
  <c r="AB577" i="5"/>
  <c r="AB578" i="5"/>
  <c r="AB579" i="5"/>
  <c r="AB580" i="5"/>
  <c r="AB581" i="5"/>
  <c r="AB582" i="5"/>
  <c r="AB583" i="5"/>
  <c r="AB584" i="5"/>
  <c r="AB585" i="5"/>
  <c r="AB586" i="5"/>
  <c r="AB587" i="5"/>
  <c r="AB588" i="5"/>
  <c r="AB589" i="5"/>
  <c r="AB590" i="5"/>
  <c r="AB591" i="5"/>
  <c r="AB592" i="5"/>
  <c r="AB593" i="5"/>
  <c r="AB594" i="5"/>
  <c r="AB595" i="5"/>
  <c r="AB596" i="5"/>
  <c r="AB597" i="5"/>
  <c r="AB598" i="5"/>
  <c r="AB599" i="5"/>
  <c r="AB600" i="5"/>
  <c r="AB601" i="5"/>
  <c r="AB602" i="5"/>
  <c r="AB603" i="5"/>
  <c r="AB604" i="5"/>
  <c r="AB605" i="5"/>
  <c r="AB606" i="5"/>
  <c r="AB607" i="5"/>
  <c r="AB608" i="5"/>
  <c r="AB609" i="5"/>
  <c r="AB610" i="5"/>
  <c r="AB611" i="5"/>
  <c r="AB612" i="5"/>
  <c r="AB613" i="5"/>
  <c r="AB614" i="5"/>
  <c r="AB615" i="5"/>
  <c r="AB616" i="5"/>
  <c r="AB617" i="5"/>
  <c r="AB618" i="5"/>
  <c r="AB619" i="5"/>
  <c r="AB620" i="5"/>
  <c r="AB621" i="5"/>
  <c r="AB622" i="5"/>
  <c r="AB623" i="5"/>
  <c r="AB624" i="5"/>
  <c r="AB625" i="5"/>
  <c r="AB626" i="5"/>
  <c r="AB627" i="5"/>
  <c r="AB628" i="5"/>
  <c r="AB629" i="5"/>
  <c r="AB630" i="5"/>
  <c r="AB631" i="5"/>
  <c r="AB632" i="5"/>
  <c r="AB633" i="5"/>
  <c r="AB634" i="5"/>
  <c r="AB635" i="5"/>
  <c r="AB636" i="5"/>
  <c r="AB637" i="5"/>
  <c r="AB638" i="5"/>
  <c r="AB639" i="5"/>
  <c r="AB640" i="5"/>
  <c r="AB641" i="5"/>
  <c r="AB642" i="5"/>
  <c r="AB643" i="5"/>
  <c r="AB644" i="5"/>
  <c r="AB645" i="5"/>
  <c r="AB646" i="5"/>
  <c r="AB647" i="5"/>
  <c r="AB648" i="5"/>
  <c r="AB649" i="5"/>
  <c r="AB650" i="5"/>
  <c r="AB651" i="5"/>
  <c r="AB652" i="5"/>
  <c r="AB653" i="5"/>
  <c r="AB654" i="5"/>
  <c r="AB655" i="5"/>
  <c r="AB656" i="5"/>
  <c r="AB657" i="5"/>
  <c r="AB658" i="5"/>
  <c r="AB659" i="5"/>
  <c r="AB660" i="5"/>
  <c r="AB661" i="5"/>
  <c r="AB662" i="5"/>
  <c r="AB663" i="5"/>
  <c r="AB664" i="5"/>
  <c r="AB665" i="5"/>
  <c r="AB666" i="5"/>
  <c r="AB667" i="5"/>
  <c r="AB668" i="5"/>
  <c r="AB669" i="5"/>
  <c r="AB670" i="5"/>
  <c r="AB671" i="5"/>
  <c r="AB672" i="5"/>
  <c r="AB673" i="5"/>
  <c r="AB674" i="5"/>
  <c r="AB675" i="5"/>
  <c r="AB676" i="5"/>
  <c r="AB677" i="5"/>
  <c r="AB678" i="5"/>
  <c r="AB679" i="5"/>
  <c r="AB680" i="5"/>
  <c r="AB681" i="5"/>
  <c r="AB682" i="5"/>
  <c r="AB683" i="5"/>
  <c r="AB684" i="5"/>
  <c r="AB685" i="5"/>
  <c r="AB686" i="5"/>
  <c r="AB687" i="5"/>
  <c r="AB688" i="5"/>
  <c r="AB689" i="5"/>
  <c r="AB690" i="5"/>
  <c r="AB691" i="5"/>
  <c r="AB692" i="5"/>
  <c r="AB693" i="5"/>
  <c r="AB694" i="5"/>
  <c r="AB695" i="5"/>
  <c r="AB696" i="5"/>
  <c r="AB697" i="5"/>
  <c r="AB698" i="5"/>
  <c r="AB699" i="5"/>
  <c r="AB700" i="5"/>
  <c r="AB701" i="5"/>
  <c r="AB702" i="5"/>
  <c r="AB703" i="5"/>
  <c r="AB704" i="5"/>
  <c r="AB705" i="5"/>
  <c r="AB706" i="5"/>
  <c r="AB707" i="5"/>
  <c r="AB708" i="5"/>
  <c r="AB709" i="5"/>
  <c r="AB710" i="5"/>
  <c r="AB711" i="5"/>
  <c r="AB712" i="5"/>
  <c r="AB713" i="5"/>
  <c r="AB714" i="5"/>
  <c r="AB715" i="5"/>
  <c r="AB716" i="5"/>
  <c r="AB717" i="5"/>
  <c r="AB718" i="5"/>
  <c r="AB719" i="5"/>
  <c r="AB720" i="5"/>
  <c r="AB721" i="5"/>
  <c r="AB722" i="5"/>
  <c r="AB723" i="5"/>
  <c r="AB724" i="5"/>
  <c r="AB725" i="5"/>
  <c r="AB726" i="5"/>
  <c r="AB727" i="5"/>
  <c r="AB728" i="5"/>
  <c r="AB729" i="5"/>
  <c r="AB730" i="5"/>
  <c r="AB731" i="5"/>
  <c r="AB732" i="5"/>
  <c r="AB733" i="5"/>
  <c r="AB734" i="5"/>
  <c r="AB735" i="5"/>
  <c r="AB736" i="5"/>
  <c r="AB737" i="5"/>
  <c r="AB738" i="5"/>
  <c r="AB739" i="5"/>
  <c r="AB740" i="5"/>
  <c r="AB741" i="5"/>
  <c r="AB742" i="5"/>
  <c r="AB743" i="5"/>
  <c r="AB744" i="5"/>
  <c r="AB745" i="5"/>
  <c r="AB746" i="5"/>
  <c r="AB747" i="5"/>
  <c r="AB748" i="5"/>
  <c r="AB749" i="5"/>
  <c r="AB750" i="5"/>
  <c r="AB751" i="5"/>
  <c r="AB752" i="5"/>
  <c r="AB753" i="5"/>
  <c r="AB754" i="5"/>
  <c r="AB755" i="5"/>
  <c r="AB756" i="5"/>
  <c r="AB757" i="5"/>
  <c r="AB758" i="5"/>
  <c r="AB759" i="5"/>
  <c r="AB760" i="5"/>
  <c r="AB761" i="5"/>
  <c r="AB762" i="5"/>
  <c r="AB763" i="5"/>
  <c r="AB764" i="5"/>
  <c r="AB765" i="5"/>
  <c r="AB766" i="5"/>
  <c r="AB767" i="5"/>
  <c r="AB768" i="5"/>
  <c r="AB769" i="5"/>
  <c r="AB770" i="5"/>
  <c r="AB771" i="5"/>
  <c r="AB772" i="5"/>
  <c r="AB773" i="5"/>
  <c r="AB774" i="5"/>
  <c r="AB775" i="5"/>
  <c r="AB776" i="5"/>
  <c r="AB777" i="5"/>
  <c r="AB778" i="5"/>
  <c r="AB779" i="5"/>
  <c r="AB780" i="5"/>
  <c r="AB781" i="5"/>
  <c r="AB782" i="5"/>
  <c r="AB783" i="5"/>
  <c r="AB784" i="5"/>
  <c r="AB785" i="5"/>
  <c r="AB786" i="5"/>
  <c r="AB787" i="5"/>
  <c r="AB788" i="5"/>
  <c r="AB789" i="5"/>
  <c r="AB790" i="5"/>
  <c r="AB791" i="5"/>
  <c r="AB792" i="5"/>
  <c r="AB793" i="5"/>
  <c r="AB794" i="5"/>
  <c r="AB795" i="5"/>
  <c r="AB796" i="5"/>
  <c r="AB797" i="5"/>
  <c r="AB798" i="5"/>
  <c r="AB799" i="5"/>
  <c r="AB800" i="5"/>
  <c r="AB801" i="5"/>
  <c r="AB802" i="5"/>
  <c r="AB803" i="5"/>
  <c r="AB804" i="5"/>
  <c r="AB805" i="5"/>
  <c r="AB806" i="5"/>
  <c r="AB807" i="5"/>
  <c r="AB808" i="5"/>
  <c r="AB809" i="5"/>
  <c r="AB810" i="5"/>
  <c r="AB811" i="5"/>
  <c r="AB812" i="5"/>
  <c r="AB813" i="5"/>
  <c r="AB814" i="5"/>
  <c r="AB815" i="5"/>
  <c r="AB816" i="5"/>
  <c r="AB817" i="5"/>
  <c r="AB818" i="5"/>
  <c r="AB819" i="5"/>
  <c r="AB820" i="5"/>
  <c r="AB821" i="5"/>
  <c r="AB822" i="5"/>
  <c r="AB823" i="5"/>
  <c r="AB824" i="5"/>
  <c r="AB825" i="5"/>
  <c r="AB826" i="5"/>
  <c r="AB827" i="5"/>
  <c r="AB828" i="5"/>
  <c r="AB829" i="5"/>
  <c r="AB830" i="5"/>
  <c r="AB831" i="5"/>
  <c r="AB832" i="5"/>
  <c r="AB833" i="5"/>
  <c r="AB834" i="5"/>
  <c r="AB835" i="5"/>
  <c r="AB836" i="5"/>
  <c r="AB837" i="5"/>
  <c r="AB838" i="5"/>
  <c r="AB839" i="5"/>
  <c r="AB840" i="5"/>
  <c r="AB841" i="5"/>
  <c r="AB842" i="5"/>
  <c r="AB843" i="5"/>
  <c r="AB844" i="5"/>
  <c r="AB845" i="5"/>
  <c r="AB846" i="5"/>
  <c r="AB847" i="5"/>
  <c r="AB848" i="5"/>
  <c r="AB849" i="5"/>
  <c r="AB850" i="5"/>
  <c r="AB851" i="5"/>
  <c r="AB852" i="5"/>
  <c r="AB853" i="5"/>
  <c r="AB854" i="5"/>
  <c r="AB855" i="5"/>
  <c r="AB856" i="5"/>
  <c r="AB857" i="5"/>
  <c r="AB858" i="5"/>
  <c r="AB859" i="5"/>
  <c r="AB860" i="5"/>
  <c r="AB861" i="5"/>
  <c r="AB862" i="5"/>
  <c r="AB863" i="5"/>
  <c r="AB864" i="5"/>
  <c r="AB865" i="5"/>
  <c r="AB866" i="5"/>
  <c r="AB867" i="5"/>
  <c r="AB868" i="5"/>
  <c r="AB869" i="5"/>
  <c r="AB870" i="5"/>
  <c r="AB871" i="5"/>
  <c r="AB872" i="5"/>
  <c r="AB873" i="5"/>
  <c r="AB874" i="5"/>
  <c r="AB875" i="5"/>
  <c r="AB876" i="5"/>
  <c r="AB877" i="5"/>
  <c r="AB878" i="5"/>
  <c r="AB879" i="5"/>
  <c r="AB880" i="5"/>
  <c r="AB881" i="5"/>
  <c r="AB882" i="5"/>
  <c r="AB883" i="5"/>
  <c r="AB884" i="5"/>
  <c r="AB885" i="5"/>
  <c r="AB886" i="5"/>
  <c r="AB887" i="5"/>
  <c r="AB888" i="5"/>
  <c r="AB889" i="5"/>
  <c r="AB890" i="5"/>
  <c r="AB891" i="5"/>
  <c r="AB892" i="5"/>
  <c r="AB893" i="5"/>
  <c r="AB894" i="5"/>
  <c r="AB895" i="5"/>
  <c r="AB896" i="5"/>
  <c r="AB897" i="5"/>
  <c r="AB898" i="5"/>
  <c r="AB899" i="5"/>
  <c r="AB900" i="5"/>
  <c r="AB901" i="5"/>
  <c r="AB902" i="5"/>
  <c r="AB903" i="5"/>
  <c r="AB904" i="5"/>
  <c r="AB905" i="5"/>
  <c r="AB906" i="5"/>
  <c r="AB907" i="5"/>
  <c r="AB908" i="5"/>
  <c r="AB909" i="5"/>
  <c r="AB910" i="5"/>
  <c r="AB911" i="5"/>
  <c r="AB912" i="5"/>
  <c r="AB913" i="5"/>
  <c r="AB914" i="5"/>
  <c r="AB915" i="5"/>
  <c r="AB916" i="5"/>
  <c r="AB917" i="5"/>
  <c r="AB918" i="5"/>
  <c r="AB919" i="5"/>
  <c r="AB920" i="5"/>
  <c r="AB921" i="5"/>
  <c r="AB922" i="5"/>
  <c r="AB923" i="5"/>
  <c r="AB924" i="5"/>
  <c r="AB925" i="5"/>
  <c r="AB926" i="5"/>
  <c r="AB927" i="5"/>
  <c r="AB928" i="5"/>
  <c r="AB929" i="5"/>
  <c r="AB930" i="5"/>
  <c r="AB931" i="5"/>
  <c r="AB932" i="5"/>
  <c r="AB933" i="5"/>
  <c r="AB934" i="5"/>
  <c r="AB935" i="5"/>
  <c r="AB936" i="5"/>
  <c r="AB937" i="5"/>
  <c r="AB938" i="5"/>
  <c r="AB939" i="5"/>
  <c r="AB940" i="5"/>
  <c r="AB941" i="5"/>
  <c r="AB942" i="5"/>
  <c r="AB943" i="5"/>
  <c r="AB944" i="5"/>
  <c r="AB945" i="5"/>
  <c r="AB946" i="5"/>
  <c r="AB947" i="5"/>
  <c r="AB948" i="5"/>
  <c r="AB949" i="5"/>
  <c r="AB950" i="5"/>
  <c r="AB951" i="5"/>
  <c r="AB952" i="5"/>
  <c r="AB953" i="5"/>
  <c r="AB954" i="5"/>
  <c r="AB955" i="5"/>
  <c r="AB956" i="5"/>
  <c r="AB957" i="5"/>
  <c r="AB958" i="5"/>
  <c r="AB959" i="5"/>
  <c r="AB960" i="5"/>
  <c r="AB961" i="5"/>
  <c r="AB962" i="5"/>
  <c r="AB963" i="5"/>
  <c r="AB964" i="5"/>
  <c r="AB965" i="5"/>
  <c r="AB966" i="5"/>
  <c r="AB967" i="5"/>
  <c r="AB968" i="5"/>
  <c r="AB969" i="5"/>
  <c r="AB970" i="5"/>
  <c r="AB971" i="5"/>
  <c r="AB972" i="5"/>
  <c r="AB973" i="5"/>
  <c r="AB974" i="5"/>
  <c r="AB975" i="5"/>
  <c r="AB976" i="5"/>
  <c r="AB977" i="5"/>
  <c r="AB978" i="5"/>
  <c r="AB979" i="5"/>
  <c r="AB980" i="5"/>
  <c r="AB981" i="5"/>
  <c r="AB982" i="5"/>
  <c r="AB983" i="5"/>
  <c r="AB984" i="5"/>
  <c r="AB985" i="5"/>
  <c r="AB986" i="5"/>
  <c r="AB987" i="5"/>
  <c r="AB988" i="5"/>
  <c r="AB989" i="5"/>
  <c r="AB990" i="5"/>
  <c r="AB991" i="5"/>
  <c r="AB992" i="5"/>
  <c r="AB993" i="5"/>
  <c r="AB994" i="5"/>
  <c r="AB995" i="5"/>
  <c r="AB996" i="5"/>
  <c r="AB997" i="5"/>
  <c r="AB998" i="5"/>
  <c r="AB999" i="5"/>
  <c r="AB1000" i="5"/>
  <c r="AB1001" i="5"/>
  <c r="AB1002" i="5"/>
  <c r="AB1003" i="5"/>
  <c r="AB1004" i="5"/>
  <c r="AB1005" i="5"/>
  <c r="AB1006" i="5"/>
  <c r="AB1007" i="5"/>
  <c r="AB1008" i="5"/>
  <c r="AB1009" i="5"/>
  <c r="AB1010" i="5"/>
  <c r="AB1011" i="5"/>
  <c r="AB1012" i="5"/>
  <c r="AB1013" i="5"/>
  <c r="AB1014" i="5"/>
  <c r="AB1015" i="5"/>
  <c r="AB1016" i="5"/>
  <c r="AB1017" i="5"/>
  <c r="AB1018" i="5"/>
  <c r="AB1019" i="5"/>
  <c r="AB1020" i="5"/>
  <c r="AB1021" i="5"/>
  <c r="AB1022" i="5"/>
  <c r="AB1023" i="5"/>
  <c r="AB1024" i="5"/>
  <c r="AB1025" i="5"/>
  <c r="AB1026" i="5"/>
  <c r="AB1027" i="5"/>
  <c r="AB1028" i="5"/>
  <c r="AB1029" i="5"/>
  <c r="AB1030" i="5"/>
  <c r="AB1031" i="5"/>
  <c r="AB1032" i="5"/>
  <c r="AB1033" i="5"/>
  <c r="AB1034" i="5"/>
  <c r="AB1035" i="5"/>
  <c r="AB1036" i="5"/>
  <c r="AB1037" i="5"/>
  <c r="AB1038" i="5"/>
  <c r="AB1039" i="5"/>
  <c r="AB1040" i="5"/>
  <c r="AB1041" i="5"/>
  <c r="AB1042" i="5"/>
  <c r="AB1043" i="5"/>
  <c r="AB1044" i="5"/>
  <c r="AB1045" i="5"/>
  <c r="AB1046" i="5"/>
  <c r="AB1047" i="5"/>
  <c r="AB1048" i="5"/>
  <c r="AB1049" i="5"/>
  <c r="AB1050" i="5"/>
  <c r="AB1051" i="5"/>
  <c r="AB1052" i="5"/>
  <c r="AB1053" i="5"/>
  <c r="AB1054" i="5"/>
  <c r="AB1055" i="5"/>
  <c r="AB1056" i="5"/>
  <c r="AB1057" i="5"/>
  <c r="AB1058" i="5"/>
  <c r="AB1059" i="5"/>
  <c r="AB1060" i="5"/>
  <c r="AB1061" i="5"/>
  <c r="AB1062" i="5"/>
  <c r="AB1063" i="5"/>
  <c r="AB1064" i="5"/>
  <c r="AB1065" i="5"/>
  <c r="AB1066" i="5"/>
  <c r="AB1067" i="5"/>
  <c r="AB1068" i="5"/>
  <c r="AB1069" i="5"/>
  <c r="AB1070" i="5"/>
  <c r="AB1071" i="5"/>
  <c r="AB1072" i="5"/>
  <c r="AB1073" i="5"/>
  <c r="AB1074" i="5"/>
  <c r="AB1075" i="5"/>
  <c r="AB1076" i="5"/>
  <c r="AB1077" i="5"/>
  <c r="AB1078" i="5"/>
  <c r="AB1079" i="5"/>
  <c r="AB1080" i="5"/>
  <c r="AB1081" i="5"/>
  <c r="AB1082" i="5"/>
  <c r="AB1083" i="5"/>
  <c r="AB1084" i="5"/>
  <c r="AB1085" i="5"/>
  <c r="AB1086" i="5"/>
  <c r="AB1087" i="5"/>
  <c r="AB1088" i="5"/>
  <c r="AB1089" i="5"/>
  <c r="AB1090" i="5"/>
  <c r="AB1091" i="5"/>
  <c r="AB1092" i="5"/>
  <c r="AB1093" i="5"/>
  <c r="AB1094" i="5"/>
  <c r="AB1095" i="5"/>
  <c r="AB1096" i="5"/>
  <c r="AB1097" i="5"/>
  <c r="AB1098" i="5"/>
  <c r="AB1099" i="5"/>
  <c r="AB1100" i="5"/>
  <c r="AB1101" i="5"/>
  <c r="AB1102" i="5"/>
  <c r="AB1103" i="5"/>
  <c r="AB1104" i="5"/>
  <c r="AB1105" i="5"/>
  <c r="AB1106" i="5"/>
  <c r="AB1107" i="5"/>
  <c r="AB1108" i="5"/>
  <c r="AB1109" i="5"/>
  <c r="AB1110" i="5"/>
  <c r="AB1111" i="5"/>
  <c r="AB1112" i="5"/>
  <c r="AB1113" i="5"/>
  <c r="AB1114" i="5"/>
  <c r="AB1115" i="5"/>
  <c r="AB1116" i="5"/>
  <c r="AB1117" i="5"/>
  <c r="AB1118" i="5"/>
  <c r="AB1119" i="5"/>
  <c r="AB1120" i="5"/>
  <c r="AB1121" i="5"/>
  <c r="AB1122" i="5"/>
  <c r="AB1123" i="5"/>
  <c r="AB1124" i="5"/>
  <c r="AB1125" i="5"/>
  <c r="AB1126" i="5"/>
  <c r="AB1127" i="5"/>
  <c r="AB1128" i="5"/>
  <c r="AB1129" i="5"/>
  <c r="AB1130" i="5"/>
  <c r="AB1131" i="5"/>
  <c r="AB1132" i="5"/>
  <c r="AB1133" i="5"/>
  <c r="AB1134" i="5"/>
  <c r="AB1135" i="5"/>
  <c r="AB1136" i="5"/>
  <c r="AB1137" i="5"/>
  <c r="AB1138" i="5"/>
  <c r="AB1139" i="5"/>
  <c r="AB1140" i="5"/>
  <c r="AB1141" i="5"/>
  <c r="AB1142" i="5"/>
  <c r="AB1143" i="5"/>
  <c r="AB1144" i="5"/>
  <c r="AB1145" i="5"/>
  <c r="AB1146" i="5"/>
  <c r="AB1147" i="5"/>
  <c r="AB1148" i="5"/>
  <c r="AB1149" i="5"/>
  <c r="AB1150" i="5"/>
  <c r="AB1151" i="5"/>
  <c r="AB1152" i="5"/>
  <c r="AB1153" i="5"/>
  <c r="AB1154" i="5"/>
  <c r="AB1155" i="5"/>
  <c r="AB1156" i="5"/>
  <c r="AB1157" i="5"/>
  <c r="AB1158" i="5"/>
  <c r="AB1159" i="5"/>
  <c r="AB1160" i="5"/>
  <c r="AB1161" i="5"/>
  <c r="AB1162" i="5"/>
  <c r="AB1163" i="5"/>
  <c r="AB1164" i="5"/>
  <c r="AB1165" i="5"/>
  <c r="AB1166" i="5"/>
  <c r="AB1167" i="5"/>
  <c r="AB1168" i="5"/>
  <c r="AB1169" i="5"/>
  <c r="AB1170" i="5"/>
  <c r="AB1171" i="5"/>
  <c r="AB1172" i="5"/>
  <c r="AB1173" i="5"/>
  <c r="AB1174" i="5"/>
  <c r="AB1175" i="5"/>
  <c r="AB1176" i="5"/>
  <c r="AB1177" i="5"/>
  <c r="AB1178" i="5"/>
  <c r="AB1179" i="5"/>
  <c r="AB1180" i="5"/>
  <c r="AB1181" i="5"/>
  <c r="AB1182" i="5"/>
  <c r="AB1183" i="5"/>
  <c r="AB1184" i="5"/>
  <c r="AB1185" i="5"/>
  <c r="AB1186" i="5"/>
  <c r="AB1187" i="5"/>
  <c r="AB1188" i="5"/>
  <c r="AB1189" i="5"/>
  <c r="AB1190" i="5"/>
  <c r="AB1191" i="5"/>
  <c r="AB1192" i="5"/>
  <c r="AB1193" i="5"/>
  <c r="AB1194" i="5"/>
  <c r="AB1195" i="5"/>
  <c r="AB1196" i="5"/>
  <c r="AB1197" i="5"/>
  <c r="AB1198" i="5"/>
  <c r="AB1199" i="5"/>
  <c r="AB1200" i="5"/>
  <c r="AB1201" i="5"/>
  <c r="AB1202" i="5"/>
  <c r="AB1203" i="5"/>
  <c r="AB1204" i="5"/>
  <c r="AB1205" i="5"/>
  <c r="AB1206" i="5"/>
  <c r="AB1207" i="5"/>
  <c r="AB1208" i="5"/>
  <c r="AB1209" i="5"/>
  <c r="AB1210" i="5"/>
  <c r="AB1211" i="5"/>
  <c r="AB1212" i="5"/>
  <c r="AB1213" i="5"/>
  <c r="AB1214" i="5"/>
  <c r="AB1215" i="5"/>
  <c r="AB1216" i="5"/>
  <c r="AB1217" i="5"/>
  <c r="AB1218" i="5"/>
  <c r="AB1219" i="5"/>
  <c r="AB1220" i="5"/>
  <c r="AB1221" i="5"/>
  <c r="AB1222" i="5"/>
  <c r="AB1223" i="5"/>
  <c r="AB1224" i="5"/>
  <c r="AB1225" i="5"/>
  <c r="AB1226" i="5"/>
  <c r="AB1227" i="5"/>
  <c r="AB1228" i="5"/>
  <c r="AB1229" i="5"/>
  <c r="AB1230" i="5"/>
  <c r="AB1231" i="5"/>
  <c r="AB1232" i="5"/>
  <c r="AB1233" i="5"/>
  <c r="AB1234" i="5"/>
  <c r="AB1235" i="5"/>
  <c r="AB1236" i="5"/>
  <c r="AB1237" i="5"/>
  <c r="AB1238" i="5"/>
  <c r="AB1239" i="5"/>
  <c r="AB1240" i="5"/>
  <c r="AB1241" i="5"/>
  <c r="AB1242" i="5"/>
  <c r="AB1243" i="5"/>
  <c r="AB1244" i="5"/>
  <c r="AB1245" i="5"/>
  <c r="AB1246" i="5"/>
  <c r="AB1247" i="5"/>
  <c r="AB1248" i="5"/>
  <c r="AB1249" i="5"/>
  <c r="AB1250" i="5"/>
  <c r="AB1251" i="5"/>
  <c r="AB1252" i="5"/>
  <c r="AB1253" i="5"/>
  <c r="AB1254" i="5"/>
  <c r="AB1255" i="5"/>
  <c r="AB1256" i="5"/>
  <c r="AB1257" i="5"/>
  <c r="AB1258" i="5"/>
  <c r="AB1259" i="5"/>
  <c r="AB1260" i="5"/>
  <c r="AB1261" i="5"/>
  <c r="AB1262" i="5"/>
  <c r="AB1263" i="5"/>
  <c r="AB1264" i="5"/>
  <c r="AB1265" i="5"/>
  <c r="AB1266" i="5"/>
  <c r="AB1267" i="5"/>
  <c r="AB1268" i="5"/>
  <c r="AB1269" i="5"/>
  <c r="AB1270" i="5"/>
  <c r="AB1271" i="5"/>
  <c r="AB1272" i="5"/>
  <c r="AB1273" i="5"/>
  <c r="AB1274" i="5"/>
  <c r="AB1275" i="5"/>
  <c r="AB1276" i="5"/>
  <c r="AB1277" i="5"/>
  <c r="AB1278" i="5"/>
  <c r="AB1279" i="5"/>
  <c r="AB1280" i="5"/>
  <c r="AB1281" i="5"/>
  <c r="AB1282" i="5"/>
  <c r="AB1283" i="5"/>
  <c r="AB1284" i="5"/>
  <c r="AB1285" i="5"/>
  <c r="AB1286" i="5"/>
  <c r="AB1287" i="5"/>
  <c r="AB1288" i="5"/>
  <c r="AB1289" i="5"/>
  <c r="AB1290" i="5"/>
  <c r="AB1291" i="5"/>
  <c r="AB1292" i="5"/>
  <c r="AB1293" i="5"/>
  <c r="AB1294" i="5"/>
  <c r="AB1295" i="5"/>
  <c r="AB1296" i="5"/>
  <c r="AB1297" i="5"/>
  <c r="AB1298" i="5"/>
  <c r="AB1299" i="5"/>
  <c r="AB1300" i="5"/>
  <c r="AB1301" i="5"/>
  <c r="AB1302" i="5"/>
  <c r="AB1303" i="5"/>
  <c r="AB1304" i="5"/>
  <c r="AB1305" i="5"/>
  <c r="AB1306" i="5"/>
  <c r="AB1307" i="5"/>
  <c r="AB1308" i="5"/>
  <c r="AB1309" i="5"/>
  <c r="AB1310" i="5"/>
  <c r="AB1311" i="5"/>
  <c r="AB1312" i="5"/>
  <c r="AB1313" i="5"/>
  <c r="AB1314" i="5"/>
  <c r="AB1315" i="5"/>
  <c r="AB1316" i="5"/>
  <c r="AB1317" i="5"/>
  <c r="AB1318" i="5"/>
  <c r="AB1319" i="5"/>
  <c r="AB1320" i="5"/>
  <c r="AB1321" i="5"/>
  <c r="AB1322" i="5"/>
  <c r="AB1323" i="5"/>
  <c r="AB1324" i="5"/>
  <c r="AB1325" i="5"/>
  <c r="AB1326" i="5"/>
  <c r="AB1327" i="5"/>
  <c r="AB1328" i="5"/>
  <c r="AB1329" i="5"/>
  <c r="AB1330" i="5"/>
  <c r="AB1331" i="5"/>
  <c r="AB1332" i="5"/>
  <c r="AB1333" i="5"/>
  <c r="AB1334" i="5"/>
  <c r="AB1335" i="5"/>
  <c r="AB1336" i="5"/>
  <c r="AB1337" i="5"/>
  <c r="AB1338" i="5"/>
  <c r="AB1339" i="5"/>
  <c r="AB1340" i="5"/>
  <c r="AB1341" i="5"/>
  <c r="AB1342" i="5"/>
  <c r="AB1343" i="5"/>
  <c r="AB1344" i="5"/>
  <c r="AB1345" i="5"/>
  <c r="AB1346" i="5"/>
  <c r="AB1347" i="5"/>
  <c r="AB1348" i="5"/>
  <c r="AB1349" i="5"/>
  <c r="AB1350" i="5"/>
  <c r="AB1351" i="5"/>
  <c r="AB1352" i="5"/>
  <c r="AB1353" i="5"/>
  <c r="AB1354" i="5"/>
  <c r="AB1355" i="5"/>
  <c r="AB1356" i="5"/>
  <c r="AB1357" i="5"/>
  <c r="AB1358" i="5"/>
  <c r="AB1359" i="5"/>
  <c r="AB1360" i="5"/>
  <c r="AB1361" i="5"/>
  <c r="AB1362" i="5"/>
  <c r="AB1363" i="5"/>
  <c r="AB1364" i="5"/>
  <c r="AB1365" i="5"/>
  <c r="AB1366" i="5"/>
  <c r="AB1367" i="5"/>
  <c r="AB1368" i="5"/>
  <c r="AB1369" i="5"/>
  <c r="AB1370" i="5"/>
  <c r="AB1371" i="5"/>
  <c r="AB1372" i="5"/>
  <c r="AB1373" i="5"/>
  <c r="AB1374" i="5"/>
  <c r="AB1375" i="5"/>
  <c r="AB1376" i="5"/>
  <c r="AB1377" i="5"/>
  <c r="AB1378" i="5"/>
  <c r="AB1379" i="5"/>
  <c r="AB1380" i="5"/>
  <c r="AB1381" i="5"/>
  <c r="AB1382" i="5"/>
  <c r="AB1383" i="5"/>
  <c r="AB1384" i="5"/>
  <c r="AB1385" i="5"/>
  <c r="AB1386" i="5"/>
  <c r="AB1387" i="5"/>
  <c r="AB1388" i="5"/>
  <c r="AB1389" i="5"/>
  <c r="AB1390" i="5"/>
  <c r="AB1391" i="5"/>
  <c r="AB1392" i="5"/>
  <c r="AB1393" i="5"/>
  <c r="AB1394" i="5"/>
  <c r="AB1395" i="5"/>
  <c r="AB1396" i="5"/>
  <c r="AB1397" i="5"/>
  <c r="AB1398" i="5"/>
  <c r="AB1399" i="5"/>
  <c r="AB1400" i="5"/>
  <c r="AB1401" i="5"/>
  <c r="AB1402" i="5"/>
  <c r="AB1403" i="5"/>
  <c r="AB1404" i="5"/>
  <c r="AB1405" i="5"/>
  <c r="AB1406" i="5"/>
  <c r="AB1407" i="5"/>
  <c r="AB1408" i="5"/>
  <c r="AB1409" i="5"/>
  <c r="AB1410" i="5"/>
  <c r="AB1411" i="5"/>
  <c r="AB1412" i="5"/>
  <c r="AB1413" i="5"/>
  <c r="AB1414" i="5"/>
  <c r="AB1415" i="5"/>
  <c r="AB1416" i="5"/>
  <c r="AB1417" i="5"/>
  <c r="AB1418" i="5"/>
  <c r="AB1419" i="5"/>
  <c r="AB1420" i="5"/>
  <c r="AB1421" i="5"/>
  <c r="AB1422" i="5"/>
  <c r="AB1423" i="5"/>
  <c r="AB1424" i="5"/>
  <c r="AB1425" i="5"/>
  <c r="AB1426" i="5"/>
  <c r="AB1427" i="5"/>
  <c r="AB1428" i="5"/>
  <c r="AB1429" i="5"/>
  <c r="AB1430" i="5"/>
  <c r="AB1431" i="5"/>
  <c r="AB1432" i="5"/>
  <c r="AB1433" i="5"/>
  <c r="AB1434" i="5"/>
  <c r="AB1435" i="5"/>
  <c r="AB1436" i="5"/>
  <c r="AB1437" i="5"/>
  <c r="AB1438" i="5"/>
  <c r="AB1439" i="5"/>
  <c r="AB1440" i="5"/>
  <c r="AB1441" i="5"/>
  <c r="AB1442" i="5"/>
  <c r="AB1443" i="5"/>
  <c r="AB1444" i="5"/>
  <c r="AB1445" i="5"/>
  <c r="AB1446" i="5"/>
  <c r="AB1447" i="5"/>
  <c r="AB1448" i="5"/>
  <c r="AB1449" i="5"/>
  <c r="AB1450" i="5"/>
  <c r="AB1451" i="5"/>
  <c r="AB1452" i="5"/>
  <c r="AB1453" i="5"/>
  <c r="AB1454" i="5"/>
  <c r="AB1455" i="5"/>
  <c r="AB1456" i="5"/>
  <c r="AB1457" i="5"/>
  <c r="AB1458" i="5"/>
  <c r="AB1459" i="5"/>
  <c r="AB1460" i="5"/>
  <c r="AB1461" i="5"/>
  <c r="AB1462" i="5"/>
  <c r="AB1463" i="5"/>
  <c r="AB1464" i="5"/>
  <c r="AB1465" i="5"/>
  <c r="AB1466" i="5"/>
  <c r="AB1467" i="5"/>
  <c r="AB1468" i="5"/>
  <c r="AB1469" i="5"/>
  <c r="AB1470" i="5"/>
  <c r="AB1471" i="5"/>
  <c r="AB1472" i="5"/>
  <c r="AB1473" i="5"/>
  <c r="AB1474" i="5"/>
  <c r="AB1475" i="5"/>
  <c r="AB1476" i="5"/>
  <c r="AB1477" i="5"/>
  <c r="AB1478" i="5"/>
  <c r="AB1479" i="5"/>
  <c r="AB1480" i="5"/>
  <c r="AB1481" i="5"/>
  <c r="AB1482" i="5"/>
  <c r="AB1483" i="5"/>
  <c r="AB1484" i="5"/>
  <c r="AB1485" i="5"/>
  <c r="AB1486" i="5"/>
  <c r="AB1487" i="5"/>
  <c r="AB1488" i="5"/>
  <c r="AB1489" i="5"/>
  <c r="AB1490" i="5"/>
  <c r="AB1491" i="5"/>
  <c r="AB1492" i="5"/>
  <c r="AB1493" i="5"/>
  <c r="AB1494" i="5"/>
  <c r="AB1495" i="5"/>
  <c r="AB1496" i="5"/>
  <c r="AB1497" i="5"/>
  <c r="AB1498" i="5"/>
  <c r="AB1499" i="5"/>
  <c r="AB1500" i="5"/>
  <c r="AB1501" i="5"/>
  <c r="AB1502" i="5"/>
  <c r="AB1503" i="5"/>
  <c r="AB1504" i="5"/>
  <c r="AB1505" i="5"/>
  <c r="AB1506" i="5"/>
  <c r="AB1507" i="5"/>
  <c r="AB1508" i="5"/>
  <c r="AB1509" i="5"/>
  <c r="AB1510" i="5"/>
  <c r="AB1511" i="5"/>
  <c r="AB1512" i="5"/>
  <c r="AB1513" i="5"/>
  <c r="AB1514" i="5"/>
  <c r="AB1515" i="5"/>
  <c r="AB1516" i="5"/>
  <c r="AB1517" i="5"/>
  <c r="AB1518" i="5"/>
  <c r="AB1519" i="5"/>
  <c r="AB1520" i="5"/>
  <c r="AB1521" i="5"/>
  <c r="AB1522" i="5"/>
  <c r="AB1523" i="5"/>
  <c r="AB1524" i="5"/>
  <c r="AB1525" i="5"/>
  <c r="AB1526" i="5"/>
  <c r="AB1527" i="5"/>
  <c r="AB1528" i="5"/>
  <c r="AB1529" i="5"/>
  <c r="AB1530" i="5"/>
  <c r="AB1531" i="5"/>
  <c r="AB1532" i="5"/>
  <c r="AB1533" i="5"/>
  <c r="AB1534" i="5"/>
  <c r="AB1535" i="5"/>
  <c r="AB1536" i="5"/>
  <c r="AB1537" i="5"/>
  <c r="AB1538" i="5"/>
  <c r="AB1539" i="5"/>
  <c r="AB1540" i="5"/>
  <c r="AB1541" i="5"/>
  <c r="AB1542" i="5"/>
  <c r="AB1543" i="5"/>
  <c r="AB1544" i="5"/>
  <c r="AB1545" i="5"/>
  <c r="AB1546" i="5"/>
  <c r="AB1547" i="5"/>
  <c r="AB1548" i="5"/>
  <c r="AB1549" i="5"/>
  <c r="AB1550" i="5"/>
  <c r="AB1551" i="5"/>
  <c r="AB1552" i="5"/>
  <c r="AB1553" i="5"/>
  <c r="AB1554" i="5"/>
  <c r="AB1555" i="5"/>
  <c r="AB1556" i="5"/>
  <c r="AB1557" i="5"/>
  <c r="AB1558" i="5"/>
  <c r="AB1559" i="5"/>
  <c r="AB1560" i="5"/>
  <c r="AB1561" i="5"/>
  <c r="AB1562" i="5"/>
  <c r="AB1563" i="5"/>
  <c r="AB1564" i="5"/>
  <c r="AB1565" i="5"/>
  <c r="AB1566" i="5"/>
  <c r="AB1567" i="5"/>
  <c r="AB1568" i="5"/>
  <c r="AB1569" i="5"/>
  <c r="AB1570" i="5"/>
  <c r="AB1571" i="5"/>
  <c r="AB1572" i="5"/>
  <c r="AB1573" i="5"/>
  <c r="AB1574" i="5"/>
  <c r="AB1575" i="5"/>
  <c r="AB1576" i="5"/>
  <c r="AB1577" i="5"/>
  <c r="AB1578" i="5"/>
  <c r="AB1579" i="5"/>
  <c r="AB1580" i="5"/>
  <c r="AB1581" i="5"/>
  <c r="AB1582" i="5"/>
  <c r="AB1583" i="5"/>
  <c r="AB1584" i="5"/>
  <c r="AB1585" i="5"/>
  <c r="AB1586" i="5"/>
  <c r="AB1587" i="5"/>
  <c r="AB1588" i="5"/>
  <c r="AB1589" i="5"/>
  <c r="AB1590" i="5"/>
  <c r="AB1591" i="5"/>
  <c r="AB1592" i="5"/>
  <c r="AB1593" i="5"/>
  <c r="AB1594" i="5"/>
  <c r="AB1595" i="5"/>
  <c r="AB1596" i="5"/>
  <c r="AB1597" i="5"/>
  <c r="AB1598" i="5"/>
  <c r="AB1599" i="5"/>
  <c r="AB1600" i="5"/>
  <c r="AB1601" i="5"/>
  <c r="AB1602" i="5"/>
  <c r="AB1603" i="5"/>
  <c r="AB1604" i="5"/>
  <c r="AB1605" i="5"/>
  <c r="AB1606" i="5"/>
  <c r="AB1607" i="5"/>
  <c r="AB1608" i="5"/>
  <c r="AB1609" i="5"/>
  <c r="AB1610" i="5"/>
  <c r="AB1611" i="5"/>
  <c r="AB1612" i="5"/>
  <c r="AB1613" i="5"/>
  <c r="AB1614" i="5"/>
  <c r="AB1615" i="5"/>
  <c r="AB1616" i="5"/>
  <c r="AB1617" i="5"/>
  <c r="AB1618" i="5"/>
  <c r="AB1619" i="5"/>
  <c r="AB1620" i="5"/>
  <c r="AB1621" i="5"/>
  <c r="AB1622" i="5"/>
  <c r="AB1623" i="5"/>
  <c r="AB1624" i="5"/>
  <c r="AB1625" i="5"/>
  <c r="AB1626" i="5"/>
  <c r="AB1627" i="5"/>
  <c r="AB1628" i="5"/>
  <c r="AB1629" i="5"/>
  <c r="AB1630" i="5"/>
  <c r="AB1631" i="5"/>
  <c r="AB1632" i="5"/>
  <c r="AB1633" i="5"/>
  <c r="AB1634" i="5"/>
  <c r="AB1635" i="5"/>
  <c r="AB1636" i="5"/>
  <c r="AB1637" i="5"/>
  <c r="AB1638" i="5"/>
  <c r="AB1639" i="5"/>
  <c r="AB1640" i="5"/>
  <c r="AB1641" i="5"/>
  <c r="AB1642" i="5"/>
  <c r="AB1643" i="5"/>
  <c r="AB1644" i="5"/>
  <c r="AB1645" i="5"/>
  <c r="AB1646" i="5"/>
  <c r="AB1647" i="5"/>
  <c r="AB1648" i="5"/>
  <c r="AB1649" i="5"/>
  <c r="AB1650" i="5"/>
  <c r="AB1651" i="5"/>
  <c r="AB1652" i="5"/>
  <c r="AB1653" i="5"/>
  <c r="AB1654" i="5"/>
  <c r="AB1655" i="5"/>
  <c r="AB1656" i="5"/>
  <c r="AB1657" i="5"/>
  <c r="AB1658" i="5"/>
  <c r="AB1659" i="5"/>
  <c r="AB1660" i="5"/>
  <c r="AB1661" i="5"/>
  <c r="AB1662" i="5"/>
  <c r="AB1663" i="5"/>
  <c r="AB1664" i="5"/>
  <c r="AB1665" i="5"/>
  <c r="AB1666" i="5"/>
  <c r="AB1667" i="5"/>
  <c r="AB1668" i="5"/>
  <c r="AB1669" i="5"/>
  <c r="AB1670" i="5"/>
  <c r="AB1671" i="5"/>
  <c r="AB1672" i="5"/>
  <c r="AB1673" i="5"/>
  <c r="AB1674" i="5"/>
  <c r="AB1675" i="5"/>
  <c r="AB1676" i="5"/>
  <c r="AB1677" i="5"/>
  <c r="AB1678" i="5"/>
  <c r="AB1679" i="5"/>
  <c r="AB1680" i="5"/>
  <c r="AB1681" i="5"/>
  <c r="AB1682" i="5"/>
  <c r="AB1683" i="5"/>
  <c r="AB1684" i="5"/>
  <c r="AB1685" i="5"/>
  <c r="AB1686" i="5"/>
  <c r="AB1687" i="5"/>
  <c r="AB1688" i="5"/>
  <c r="AB1689" i="5"/>
  <c r="AB1690" i="5"/>
  <c r="AB1691" i="5"/>
  <c r="AB1692" i="5"/>
  <c r="AB1693" i="5"/>
  <c r="AB1694" i="5"/>
  <c r="AB1695" i="5"/>
  <c r="AB1696" i="5"/>
  <c r="AB1697" i="5"/>
  <c r="AB1698" i="5"/>
  <c r="AB1699" i="5"/>
  <c r="AB1700" i="5"/>
  <c r="AB1701" i="5"/>
  <c r="AB1702" i="5"/>
  <c r="AB1703" i="5"/>
  <c r="AB1704" i="5"/>
  <c r="AB1705" i="5"/>
  <c r="AB1706" i="5"/>
  <c r="AB1707" i="5"/>
  <c r="AB1708" i="5"/>
  <c r="AB1709" i="5"/>
  <c r="AB1710" i="5"/>
  <c r="AB1711" i="5"/>
  <c r="AB1712" i="5"/>
  <c r="AB1713" i="5"/>
  <c r="AB1714" i="5"/>
  <c r="AB1715" i="5"/>
  <c r="AB1716" i="5"/>
  <c r="AB1717" i="5"/>
  <c r="AB1718" i="5"/>
  <c r="AB1719" i="5"/>
  <c r="AB1720" i="5"/>
  <c r="AB1721" i="5"/>
  <c r="AB1722" i="5"/>
  <c r="AB1723" i="5"/>
  <c r="AB1724" i="5"/>
  <c r="AB1725" i="5"/>
  <c r="AB1726" i="5"/>
  <c r="AB1727" i="5"/>
  <c r="AB1728" i="5"/>
  <c r="AB1729" i="5"/>
  <c r="AB1730" i="5"/>
  <c r="AB1731" i="5"/>
  <c r="AB1732" i="5"/>
  <c r="AB1733" i="5"/>
  <c r="AB1734" i="5"/>
  <c r="AB1735" i="5"/>
  <c r="AB1736" i="5"/>
  <c r="AB1737" i="5"/>
  <c r="AB1738" i="5"/>
  <c r="AB1739" i="5"/>
  <c r="AB1740" i="5"/>
  <c r="AB1741" i="5"/>
  <c r="AB1742" i="5"/>
  <c r="AB1743" i="5"/>
  <c r="AB1744" i="5"/>
  <c r="AB1745" i="5"/>
  <c r="AB1746" i="5"/>
  <c r="AB1747" i="5"/>
  <c r="AB1748" i="5"/>
  <c r="AB1749" i="5"/>
  <c r="AB1750" i="5"/>
  <c r="AB1751" i="5"/>
  <c r="AB1752" i="5"/>
  <c r="AB1753" i="5"/>
  <c r="AB1754" i="5"/>
  <c r="AB1755" i="5"/>
  <c r="AB1756" i="5"/>
  <c r="AB1757" i="5"/>
  <c r="AB1758" i="5"/>
  <c r="AB1759" i="5"/>
  <c r="AB1760" i="5"/>
  <c r="AB1761" i="5"/>
  <c r="AB1762" i="5"/>
  <c r="AB1763" i="5"/>
  <c r="AB1764" i="5"/>
  <c r="AB1765" i="5"/>
  <c r="AB1766" i="5"/>
  <c r="AB1767" i="5"/>
  <c r="AB1768" i="5"/>
  <c r="AB1769" i="5"/>
  <c r="AB1770" i="5"/>
  <c r="AB1771" i="5"/>
  <c r="AB1772" i="5"/>
  <c r="AB1773" i="5"/>
  <c r="AB1774" i="5"/>
  <c r="AB1775" i="5"/>
  <c r="AB1776" i="5"/>
  <c r="AB1777" i="5"/>
  <c r="AB1778" i="5"/>
  <c r="AB1779" i="5"/>
  <c r="AB1780" i="5"/>
  <c r="AB1781" i="5"/>
  <c r="AB1782" i="5"/>
  <c r="AB1783" i="5"/>
  <c r="AB1784" i="5"/>
  <c r="AB1785" i="5"/>
  <c r="AB1786" i="5"/>
  <c r="AB1787" i="5"/>
  <c r="AB1788" i="5"/>
  <c r="AB1789" i="5"/>
  <c r="AB1790" i="5"/>
  <c r="AB1791" i="5"/>
  <c r="AB1792" i="5"/>
  <c r="AB1793" i="5"/>
  <c r="AB1794" i="5"/>
  <c r="AB1795" i="5"/>
  <c r="AB1796" i="5"/>
  <c r="AB1797" i="5"/>
  <c r="AB1798" i="5"/>
  <c r="AB1799" i="5"/>
  <c r="AB1800" i="5"/>
  <c r="AB1801" i="5"/>
  <c r="AB1802" i="5"/>
  <c r="AB1803" i="5"/>
  <c r="AB1804" i="5"/>
  <c r="AB1805" i="5"/>
  <c r="AB1806" i="5"/>
  <c r="AB1807" i="5"/>
  <c r="AB1808" i="5"/>
  <c r="AB1809" i="5"/>
  <c r="AB1810" i="5"/>
  <c r="AB1811" i="5"/>
  <c r="AB1812" i="5"/>
  <c r="AB1813" i="5"/>
  <c r="AB1814" i="5"/>
  <c r="AB1815" i="5"/>
  <c r="AB1816" i="5"/>
  <c r="AB1817" i="5"/>
  <c r="AB1818" i="5"/>
  <c r="AB1819" i="5"/>
  <c r="AB1820" i="5"/>
  <c r="AB1821" i="5"/>
  <c r="AB1822" i="5"/>
  <c r="AB1823" i="5"/>
  <c r="AB1824" i="5"/>
  <c r="AB1825" i="5"/>
  <c r="AB1826" i="5"/>
  <c r="AB1827" i="5"/>
  <c r="AB1828" i="5"/>
  <c r="AB1829" i="5"/>
  <c r="AB1830" i="5"/>
  <c r="AB1831" i="5"/>
  <c r="AB1832" i="5"/>
  <c r="AB1833" i="5"/>
  <c r="AB1834" i="5"/>
  <c r="AB1835" i="5"/>
  <c r="AB1836" i="5"/>
  <c r="AB1837" i="5"/>
  <c r="AB1838" i="5"/>
  <c r="AB1839" i="5"/>
  <c r="AB1840" i="5"/>
  <c r="AB1841" i="5"/>
  <c r="AB1842" i="5"/>
  <c r="AB1843" i="5"/>
  <c r="AB1844" i="5"/>
  <c r="AB1845" i="5"/>
  <c r="AB1846" i="5"/>
  <c r="AB1847" i="5"/>
  <c r="AB1848" i="5"/>
  <c r="AB1849" i="5"/>
  <c r="AB1850" i="5"/>
  <c r="AB1851" i="5"/>
  <c r="AB1852" i="5"/>
  <c r="AB1853" i="5"/>
  <c r="AB1854" i="5"/>
  <c r="AB1855" i="5"/>
  <c r="AB1856" i="5"/>
  <c r="AB1857" i="5"/>
  <c r="AB1858" i="5"/>
  <c r="AB1859" i="5"/>
  <c r="AB1860" i="5"/>
  <c r="AB1861" i="5"/>
  <c r="AB1862" i="5"/>
  <c r="AB1863" i="5"/>
  <c r="AB1864" i="5"/>
  <c r="AB1865" i="5"/>
  <c r="AB1866" i="5"/>
  <c r="AB1867" i="5"/>
  <c r="AB1868" i="5"/>
  <c r="AB1869" i="5"/>
  <c r="AB1870" i="5"/>
  <c r="AB1871" i="5"/>
  <c r="AB1872" i="5"/>
  <c r="AB1873" i="5"/>
  <c r="AB1874" i="5"/>
  <c r="AB1875" i="5"/>
  <c r="AB1876" i="5"/>
  <c r="AB1877" i="5"/>
  <c r="AB1878" i="5"/>
  <c r="AB1879" i="5"/>
  <c r="AB1880" i="5"/>
  <c r="AB1881" i="5"/>
  <c r="AB1882" i="5"/>
  <c r="AB1883" i="5"/>
  <c r="AB1884" i="5"/>
  <c r="AB1885" i="5"/>
  <c r="AB1886" i="5"/>
  <c r="AB1887" i="5"/>
  <c r="AB1888" i="5"/>
  <c r="AB1889" i="5"/>
  <c r="AB1890" i="5"/>
  <c r="AB1891" i="5"/>
  <c r="AB1892" i="5"/>
  <c r="AB1893" i="5"/>
  <c r="AB1894" i="5"/>
  <c r="AB1895" i="5"/>
  <c r="AB1896" i="5"/>
  <c r="AB1897" i="5"/>
  <c r="AB1898" i="5"/>
  <c r="AB1899" i="5"/>
  <c r="AB1900" i="5"/>
  <c r="AB1901" i="5"/>
  <c r="AB1902" i="5"/>
  <c r="AB1903" i="5"/>
  <c r="AB1904" i="5"/>
  <c r="AB1905" i="5"/>
  <c r="AB1906" i="5"/>
  <c r="AB1907" i="5"/>
  <c r="AB1908" i="5"/>
  <c r="AB1909" i="5"/>
  <c r="AB1910" i="5"/>
  <c r="AB1911" i="5"/>
  <c r="AB1912" i="5"/>
  <c r="AB1913" i="5"/>
  <c r="AB1914" i="5"/>
  <c r="AB1915" i="5"/>
  <c r="AB1916" i="5"/>
  <c r="AB1917" i="5"/>
  <c r="AB1918" i="5"/>
  <c r="AB1919" i="5"/>
  <c r="AB1920" i="5"/>
  <c r="AB1921" i="5"/>
  <c r="AB1922" i="5"/>
  <c r="AB1923" i="5"/>
  <c r="AB1924" i="5"/>
  <c r="AB1925" i="5"/>
  <c r="AB1926" i="5"/>
  <c r="AB1927" i="5"/>
  <c r="AB1928" i="5"/>
  <c r="AB1929" i="5"/>
  <c r="AB1930" i="5"/>
  <c r="AB1931" i="5"/>
  <c r="AB1932" i="5"/>
  <c r="AB1933" i="5"/>
  <c r="AB1934" i="5"/>
  <c r="AB1935" i="5"/>
  <c r="AB1936" i="5"/>
  <c r="AB1937" i="5"/>
  <c r="AB1938" i="5"/>
  <c r="AB1939" i="5"/>
  <c r="AB1940" i="5"/>
  <c r="AB1941" i="5"/>
  <c r="AB1942" i="5"/>
  <c r="AB1943" i="5"/>
  <c r="AB1944" i="5"/>
  <c r="AB1945" i="5"/>
  <c r="AB1946" i="5"/>
  <c r="AB1947" i="5"/>
  <c r="AB1948" i="5"/>
  <c r="AB1949" i="5"/>
  <c r="AB1950" i="5"/>
  <c r="AB1951" i="5"/>
  <c r="AB1952" i="5"/>
  <c r="AB1953" i="5"/>
  <c r="AB1954" i="5"/>
  <c r="AB1955" i="5"/>
  <c r="AB1956" i="5"/>
  <c r="AB1957" i="5"/>
  <c r="AB1958" i="5"/>
  <c r="AB1959" i="5"/>
  <c r="AB1960" i="5"/>
  <c r="AB1961" i="5"/>
  <c r="AB1962" i="5"/>
  <c r="AB1963" i="5"/>
  <c r="AB1964" i="5"/>
  <c r="AB1965" i="5"/>
  <c r="AB1966" i="5"/>
  <c r="AB1967" i="5"/>
  <c r="AB1968" i="5"/>
  <c r="AB1969" i="5"/>
  <c r="AB1970" i="5"/>
  <c r="AB1971" i="5"/>
  <c r="AB1972" i="5"/>
  <c r="AB1973" i="5"/>
  <c r="AB1974" i="5"/>
  <c r="AB1975" i="5"/>
  <c r="AB1976" i="5"/>
  <c r="AB1977" i="5"/>
  <c r="AB1978" i="5"/>
  <c r="AB1979" i="5"/>
  <c r="AB1980" i="5"/>
  <c r="AB1981" i="5"/>
  <c r="AB1982" i="5"/>
  <c r="AB1983" i="5"/>
  <c r="AB1984" i="5"/>
  <c r="AB1985" i="5"/>
  <c r="AB1986" i="5"/>
  <c r="AB1987" i="5"/>
  <c r="AB1988" i="5"/>
  <c r="AB1989" i="5"/>
  <c r="AB1990" i="5"/>
  <c r="AB1991" i="5"/>
  <c r="AB1992" i="5"/>
  <c r="AB1993" i="5"/>
  <c r="AB1994" i="5"/>
  <c r="AB1995" i="5"/>
  <c r="AB1996" i="5"/>
  <c r="AB1997" i="5"/>
  <c r="AB1998" i="5"/>
  <c r="AB1999" i="5"/>
  <c r="AB2000" i="5"/>
  <c r="AB2001" i="5"/>
  <c r="AD2" i="5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<sst xmlns="http://schemas.openxmlformats.org/spreadsheetml/2006/main" count="8213" uniqueCount="2079">
  <si>
    <t>ID,LIMIT_BAL,SEX,EDUCATION,MARRIAGE,AGE,PAY_1,PAY_2,PAY_3,PAY_4,PAY_5,PAY_6,BILL_AMT1,BILL_AMT2,BILL_AMT3,BILL_AMT4,BILL_AMT5,BILL_AMT6,PAY_AMT1,PAY_AMT2,PAY_AMT3,PAY_AMT4,PAY_AMT5,PAY_AMT6,default payment next month</t>
  </si>
  <si>
    <t>1,20000,2,2,1,24,2,2,-1,-1,-2,-2,3913,3102,689,0,0,0,0,689,0,0,0,0,1</t>
  </si>
  <si>
    <t>2,120000,2,2,2,26,-1,2,0,0,0,2,2682,1725,2682,3272,3455,3261,0,1000,1000,1000,0,2000,1</t>
  </si>
  <si>
    <t>3,90000,2,2,2,34,0,0,0,0,0,0,29239,14027,13559,14331,14948,15549,1518,1500,1000,1000,1000,5000,0</t>
  </si>
  <si>
    <t>4,50000,2,2,1,37,0,0,0,0,0,0,46990,48233,49291,28314,28959,29547,2000,2019,1200,1100,1069,1000,0</t>
  </si>
  <si>
    <t>5,50000,1,2,1,57,-1,0,-1,0,0,0,8617,5670,35835,20940,19146,19131,2000,36681,10000,9000,689,679,0</t>
  </si>
  <si>
    <t>6,50000,1,1,2,37,0,0,0,0,0,0,64400,57069,57608,19394,19619,20024,2500,1815,657,1000,1000,800,0</t>
  </si>
  <si>
    <t>7,500000,1,1,2,29,0,0,0,0,0,0,367965,412023,445007,542653,483003,473944,55000,40000,38000,20239,13750,13770,0</t>
  </si>
  <si>
    <t>8,100000,2,2,2,23,0,-1,-1,0,0,-1,11876,380,601,221,-159,567,380,601,0,581,1687,1542,0</t>
  </si>
  <si>
    <t>9,140000,2,3,1,28,0,0,2,0,0,0,11285,14096,12108,12211,11793,3719,3329,0,432,1000,1000,1000,0</t>
  </si>
  <si>
    <t>10,20000,1,3,2,35,-2,-2,-2,-2,-1,-1,0,0,0,0,13007,13912,0,0,0,13007,1122,0,0</t>
  </si>
  <si>
    <t>11,200000,2,3,2,34,0,0,2,0,0,-1,11073,9787,5535,2513,1828,3731,2306,12,50,300,3738,66,0</t>
  </si>
  <si>
    <t>12,260000,2,1,2,51,-1,-1,-1,-1,-1,2,12261,21670,9966,8517,22287,13668,21818,9966,8583,22301,0,3640,0</t>
  </si>
  <si>
    <t>13,630000,2,2,2,41,-1,0,-1,-1,-1,-1,12137,6500,6500,6500,6500,2870,1000,6500,6500,6500,2870,0,0</t>
  </si>
  <si>
    <t>14,70000,1,2,2,30,1,2,2,0,0,2,65802,67369,65701,66782,36137,36894,3200,0,3000,3000,1500,0,1</t>
  </si>
  <si>
    <t>15,250000,1,1,2,29,0,0,0,0,0,0,70887,67060,63561,59696,56875,55512,3000,3000,3000,3000,3000,3000,0</t>
  </si>
  <si>
    <t>16,50000,2,3,3,23,1,2,0,0,0,0,50614,29173,28116,28771,29531,30211,0,1500,1100,1200,1300,1100,0</t>
  </si>
  <si>
    <t>17,20000,1,1,2,24,0,0,2,2,2,2,15376,18010,17428,18338,17905,19104,3200,0,1500,0,1650,0,1</t>
  </si>
  <si>
    <t>18,320000,1,1,1,49,0,0,0,-1,-1,-1,253286,246536,194663,70074,5856,195599,10358,10000,75940,20000,195599,50000,0</t>
  </si>
  <si>
    <t>19,360000,2,1,1,49,1,-2,-2,-2,-2,-2,0,0,0,0,0,0,0,0,0,0,0,0,0</t>
  </si>
  <si>
    <t>20,180000,2,1,2,29,1,-2,-2,-2,-2,-2,0,0,0,0,0,0,0,0,0,0,0,0,0</t>
  </si>
  <si>
    <t>21,130000,2,3,2,39,0,0,0,0,0,-1,38358,27688,24489,20616,11802,930,3000,1537,1000,2000,930,33764,0</t>
  </si>
  <si>
    <t>22,120000,2,2,1,39,-1,-1,-1,-1,-1,-1,316,316,316,0,632,316,316,316,0,632,316,0,1</t>
  </si>
  <si>
    <t>23,70000,2,2,2,26,2,0,0,2,2,2,41087,42445,45020,44006,46905,46012,2007,3582,0,3601,0,1820,1</t>
  </si>
  <si>
    <t>24,450000,2,1,1,40,-2,-2,-2,-2,-2,-2,5512,19420,1473,560,0,0,19428,1473,560,0,0,1128,1</t>
  </si>
  <si>
    <t>25,90000,1,1,2,23,0,0,0,-1,0,0,4744,7070,0,5398,6360,8292,5757,0,5398,1200,2045,2000,0</t>
  </si>
  <si>
    <t>26,50000,1,3,2,23,0,0,0,0,0,0,47620,41810,36023,28967,29829,30046,1973,1426,1001,1432,1062,997,0</t>
  </si>
  <si>
    <t>27,60000,1,1,2,27,1,-2,-1,-1,-1,-1,-109,-425,259,-57,127,-189,0,1000,0,500,0,1000,1</t>
  </si>
  <si>
    <t>28,50000,2,3,2,30,0,0,0,0,0,0,22541,16138,17163,17878,18931,19617,1300,1300,1000,1500,1000,1012,0</t>
  </si>
  <si>
    <t>29,50000,2,3,1,47,-1,-1,-1,-1,-1,-1,650,3415,3416,2040,30430,257,3415,3421,2044,30430,257,0,0</t>
  </si>
  <si>
    <t>30,50000,1,1,2,26,0,0,0,0,0,0,15329,16575,17496,17907,18375,11400,1500,1500,1000,1000,1600,0,0</t>
  </si>
  <si>
    <t>31,230000,2,1,2,27,-1,-1,-1,-1,-1,-1,16646,17265,13266,15339,14307,36923,17270,13281,15339,14307,37292,0,0</t>
  </si>
  <si>
    <t>32,50000,1,2,2,33,2,0,0,0,0,0,30518,29618,22102,22734,23217,23680,1718,1500,1000,1000,1000,716,1</t>
  </si>
  <si>
    <t>33,100000,1,1,2,32,0,0,0,0,0,0,93036,84071,82880,80958,78703,75589,3023,3511,3302,3204,3200,2504,0</t>
  </si>
  <si>
    <t>34,500000,2,2,1,54,-2,-2,-2,-2,-2,-2,10929,4152,22722,7521,71439,8981,4152,22827,7521,71439,981,51582,0</t>
  </si>
  <si>
    <t>35,500000,1,1,1,58,-2,-2,-2,-2,-2,-2,13709,5006,31130,3180,0,5293,5006,31178,3180,0,5293,768,0</t>
  </si>
  <si>
    <t>36,160000,1,1,2,30,-1,-1,-2,-2,-2,-1,30265,-131,-527,-923,-1488,-1884,131,396,396,565,792,0,0</t>
  </si>
  <si>
    <t>37,280000,1,2,1,40,0,0,0,0,0,0,186503,181328,180422,170410,173901,177413,8026,8060,6300,6400,6400,6737,0</t>
  </si>
  <si>
    <t>38,60000,2,2,2,22,0,0,0,0,0,-1,15054,9806,11068,6026,-28335,18660,1500,1518,2043,0,47671,617,0</t>
  </si>
  <si>
    <t>39,50000,1,1,2,25,1,-1,-1,-2,-2,-2,0,780,0,0,0,0,780,0,0,0,0,0,1</t>
  </si>
  <si>
    <t>40,280000,1,1,2,31,-1,-1,2,-1,0,-1,498,9075,4641,9976,17976,9477,9075,0,9976,8000,9525,781,0</t>
  </si>
  <si>
    <t>41,360000,1,1,2,33,0,0,0,0,0,0,218668,221296,206895,628699,195969,179224,10000,7000,6000,188840,28000,4000,0</t>
  </si>
  <si>
    <t>42,70000,2,1,2,25,0,0,0,0,0,0,67521,66999,63949,63699,64718,65970,3000,4500,4042,2500,2800,2500,0</t>
  </si>
  <si>
    <t>43,10000,1,2,2,22,0,0,0,0,0,0,1877,3184,6003,3576,3670,4451,1500,2927,1000,300,1000,500,0</t>
  </si>
  <si>
    <t>44,140000,2,2,1,37,0,0,0,0,0,0,59504,61544,62925,64280,67079,69802,3000,3000,3000,4000,4000,3000,0</t>
  </si>
  <si>
    <t>45,40000,2,1,2,30,0,0,0,2,0,0,18927,21295,25921,25209,26636,29197,3000,5000,0,2000,3000,0,0</t>
  </si>
  <si>
    <t>46,210000,1,1,2,29,-2,-2,-2,-2,-2,-2,0,0,0,0,0,0,0,0,0,0,0,0,1</t>
  </si>
  <si>
    <t>47,20000,2,1,2,22,0,0,2,-1,0,0,14028,16484,15800,16341,16675,0,3000,0,16741,334,0,0,1</t>
  </si>
  <si>
    <t>48,150000,2,5,2,46,0,0,-1,0,0,-2,4463,3034,1170,1170,0,0,1013,1170,0,0,0,0,1</t>
  </si>
  <si>
    <t>49,380000,1,2,2,32,-1,-1,-1,-1,-1,-1,22401,21540,15134,32018,11849,11873,21540,15138,24677,11851,11875,8251,0</t>
  </si>
  <si>
    <t>50,20000,1,1,2,24,0,0,0,0,0,0,17447,18479,19476,19865,20480,20063,1318,1315,704,928,912,1069,0</t>
  </si>
  <si>
    <t>51,70000,1,3,2,42,1,2,2,2,2,0,37042,36171,38355,39423,38659,39362,0,3100,2000,0,1500,1500,1</t>
  </si>
  <si>
    <t>52,100000,2,3,3,43,0,0,0,0,0,0,61559,51163,43824,39619,35762,33258,2000,1606,1500,2000,1500,1000,0</t>
  </si>
  <si>
    <t>53,310000,2,2,1,49,-2,-2,-2,-2,-2,-2,13465,7867,7600,11185,3544,464,7875,7600,11185,3544,464,0,0</t>
  </si>
  <si>
    <t>54,180000,2,1,2,25,1,2,0,0,0,0,41402,41742,42758,43510,44420,45319,1300,2010,1762,1762,1790,1622,0</t>
  </si>
  <si>
    <t>55,150000,2,1,2,29,2,0,0,0,0,0,46224,34993,31434,26518,21042,16540,1600,1718,1049,1500,2000,5000,0</t>
  </si>
  <si>
    <t>56,500000,2,1,1,45,-2,-2,-2,-2,-2,-2,1905,3640,162,0,151,2530,3640,162,0,151,2530,0,0</t>
  </si>
  <si>
    <t>57,180000,2,3,1,34,0,0,0,-1,-1,-1,16386,15793,8441,7142,-679,8321,8500,1500,7500,679,9000,2000,0</t>
  </si>
  <si>
    <t>58,180000,2,2,1,34,0,0,0,0,0,0,175886,173440,172308,168608,132202,129918,8083,7296,5253,4814,4816,3800,0</t>
  </si>
  <si>
    <t>59,200000,2,1,2,34,-1,3,2,2,2,2,1587,1098,782,1166,700,1414,0,0,700,0,1200,0,0</t>
  </si>
  <si>
    <t>60,400000,2,2,1,29,0,0,0,0,0,0,400134,398857,404205,360199,356656,364089,17000,15029,30000,12000,12000,23000,0</t>
  </si>
  <si>
    <t>61,500000,2,3,1,28,0,0,0,0,0,0,22848,23638,18878,14937,13827,15571,1516,1300,1000,1000,2000,2000,1</t>
  </si>
  <si>
    <t>62,70000,1,2,1,39,0,0,0,0,0,-1,70800,72060,69938,16518,14096,830,4025,2095,1000,2000,3000,0,0</t>
  </si>
  <si>
    <t>63,50000,1,1,2,29,2,2,2,2,2,2,24987,24300,26591,25865,27667,28264,0,2700,0,2225,1200,0,1</t>
  </si>
  <si>
    <t>64,50000,2,2,1,46,0,0,0,-2,-2,-2,28718,29166,0,0,0,0,1000,0,0,0,0,0,1</t>
  </si>
  <si>
    <t>65,130000,2,2,1,51,-1,-1,-2,-2,-1,-1,99,0,0,0,2353,0,0,0,0,2353,0,0,0</t>
  </si>
  <si>
    <t>66,200000,1,1,1,57,-2,-2,-2,-1,2,2,152519,148751,144076,8174,8198,7918,0,0,8222,300,0,1000,1</t>
  </si>
  <si>
    <t>67,10000,1,2,1,56,2,2,2,0,0,0,2097,4193,3978,4062,4196,4326,2300,0,150,200,200,160,1</t>
  </si>
  <si>
    <t>68,210000,2,1,2,30,2,-1,-1,-1,-1,-1,300,300,1159,2280,300,4250,300,1159,2280,300,4250,909,0</t>
  </si>
  <si>
    <t>69,130000,2,3,2,29,1,-2,-2,-1,2,-1,-190,-9850,-9850,10311,10161,7319,0,0,20161,0,7319,13899,0</t>
  </si>
  <si>
    <t>70,20000,1,5,2,22,2,0,0,0,0,0,18565,17204,17285,18085,11205,5982,0,1200,1000,500,1000,0,0</t>
  </si>
  <si>
    <t>71,80000,1,1,2,31,-1,-1,-1,-1,-1,-1,780,0,390,390,390,390,0,390,390,390,390,390,0</t>
  </si>
  <si>
    <t>72,320000,1,2,2,29,2,2,2,2,2,2,58267,59246,60184,58622,62307,63526,2500,2500,0,4800,2400,1600,1</t>
  </si>
  <si>
    <t>73,200000,2,2,1,32,-1,-1,-1,-1,2,-1,9076,5787,-684,5247,3848,3151,5818,15,9102,17,3165,1395,0</t>
  </si>
  <si>
    <t>74,290000,2,1,2,37,1,-2,-1,-1,-1,-1,0,0,3155,0,2359,0,0,3155,0,2359,0,0,0</t>
  </si>
  <si>
    <t>75,340000,1,1,2,32,-1,-1,-1,-1,-1,-1,3048,5550,23337,4291,80153,25820,5713,23453,4314,80552,25949,2016,0</t>
  </si>
  <si>
    <t>76,20000,1,2,2,24,0,0,2,0,0,0,14619,17216,16642,16976,17332,18543,2850,0,610,630,1500,0,0</t>
  </si>
  <si>
    <t>77,50000,1,3,2,25,-1,0,0,0,0,0,42838,37225,36087,9636,9590,10030,1759,1779,320,500,1000,1000,0</t>
  </si>
  <si>
    <t>78,300000,2,1,1,45,-1,-1,-1,-1,-1,-1,291,291,291,291,291,291,291,291,291,291,291,291,0</t>
  </si>
  <si>
    <t>79,30000,2,2,2,22,0,0,0,0,0,0,28387,29612,30326,28004,26446,6411,1686,1400,560,3000,1765,0,1</t>
  </si>
  <si>
    <t>80,240000,2,2,2,44,1,-2,-2,-2,-2,-2,0,0,0,0,0,0,0,0,0,0,0,0,1</t>
  </si>
  <si>
    <t>81,470000,2,3,3,33,0,0,0,0,0,0,165254,157784,162702,69923,29271,29889,6400,7566,3000,960,1000,3000,0</t>
  </si>
  <si>
    <t>82,360000,2,1,2,26,0,0,0,0,0,-1,23411,27796,30400,33100,180000,196,4796,3400,3100,146900,196,2963,0</t>
  </si>
  <si>
    <t>83,60000,1,3,2,30,0,0,0,0,0,0,26324,27471,28108,21993,19899,19771,1576,1213,648,768,1140,0,1</t>
  </si>
  <si>
    <t>84,400000,2,2,1,44,0,0,2,0,0,0,131595,139060,126819,104430,104990,94058,10700,3,3050,3000,3200,2800,0</t>
  </si>
  <si>
    <t>85,50000,2,3,2,49,0,0,0,0,0,0,48909,47863,21489,20414,19342,19482,1676,1302,700,699,849,826,0</t>
  </si>
  <si>
    <t>86,160000,1,2,2,33,0,0,0,0,0,0,130028,107808,71934,118418,118407,120418,4400,3547,80000,4500,4800,4500,0</t>
  </si>
  <si>
    <t>87,360000,2,1,1,45,-1,-1,2,0,-1,-1,390,1170,780,390,390,390,1170,0,0,390,390,390,1</t>
  </si>
  <si>
    <t>88,160000,2,2,2,32,0,0,0,0,0,-1,3826,4751,6604,8604,7072,766,1147,2000,2000,0,766,2303,0</t>
  </si>
  <si>
    <t>89,130000,2,1,1,35,0,0,0,-1,-1,-1,81313,117866,17740,1330,7095,1190,40000,5000,1330,7095,1190,2090,0</t>
  </si>
  <si>
    <t>90,20000,1,3,2,44,2,2,0,0,0,2,8583,8303,9651,10488,12314,11970,0,1651,1000,2000,0,1500,0</t>
  </si>
  <si>
    <t>91,200000,1,1,1,53,2,2,2,2,2,2,138180,140774,142460,144098,147124,149531,6300,5500,5500,5500,5000,5000,1</t>
  </si>
  <si>
    <t>92,280000,2,1,2,39,-1,-1,-1,0,0,-2,7524,0,3968,3868,0,0,0,3968,0,0,0,0,0</t>
  </si>
  <si>
    <t>93,100000,2,1,2,27,-2,-2,-2,-2,-2,-2,-2000,5555,0,0,0,0,7555,0,0,0,0,0,0</t>
  </si>
  <si>
    <t>94,160000,2,2,1,37,-1,-1,-1,-1,-1,-2,880,1602,840,840,0,0,1602,840,840,0,0,7736,0</t>
  </si>
  <si>
    <t>95,60000,2,2,2,23,0,0,0,0,0,0,45648,46850,47214,19595,19209,19323,1937,1301,682,690,816,835,0</t>
  </si>
  <si>
    <t>96,90000,1,2,2,35,0,0,0,0,0,0,83725,85996,87653,35565,30942,30835,3621,3597,1179,1112,1104,1143,0</t>
  </si>
  <si>
    <t>97,360000,1,1,1,43,-1,-1,-1,-1,-1,0,3967,8322,3394,6451,26370,9956,8339,3394,12902,27000,0,68978,0</t>
  </si>
  <si>
    <t>98,150000,1,1,2,27,0,0,0,0,0,0,86009,86108,89006,89775,87725,40788,4031,10006,3266,4040,1698,800,0</t>
  </si>
  <si>
    <t>99,50000,2,3,1,22,0,0,0,0,0,0,18722,18160,16997,13150,8866,7899,1411,1194,379,281,321,197,0</t>
  </si>
  <si>
    <t>100,20000,1,2,1,38,0,0,0,0,0,-1,17973,19367,19559,18240,17928,150,1699,1460,626,1750,150,0,1</t>
  </si>
  <si>
    <t>101,140000,1,1,2,32,-2,-2,-2,-2,-2,-2,672,10212,850,415,100,1430,10212,850,415,100,1430,0,0</t>
  </si>
  <si>
    <t>102,380000,2,1,2,30,-2,-2,-1,0,0,0,-81,-303,32475,32891,33564,34056,223,33178,1171,1197,1250,5000,0</t>
  </si>
  <si>
    <t>103,480000,1,1,1,63,0,0,0,2,2,0,422069,431342,479432,487066,471145,469961,16078,55693,17000,0,18000,24200,0</t>
  </si>
  <si>
    <t>104,50000,2,3,2,22,0,0,0,0,0,0,44698,42254,38347,32496,23477,24094,1767,1362,1002,840,995,904,1</t>
  </si>
  <si>
    <t>105,60000,2,2,2,26,2,2,2,2,2,0,56685,55208,59175,60218,55447,55305,0,5000,2511,6,3000,3000,0</t>
  </si>
  <si>
    <t>106,70000,2,2,2,24,-1,-1,-2,-2,-2,-1,5580,0,0,0,0,26529,0,0,0,0,26529,2000,0</t>
  </si>
  <si>
    <t>107,80000,2,2,1,36,-1,-1,-1,-1,-1,-1,6108,2861,3277,3319,1150,1150,2861,3279,3319,1150,1150,1035,0</t>
  </si>
  <si>
    <t>108,350000,1,1,2,52,-1,-1,-1,-1,-1,-1,713,2272,722,867,1150,5263,2272,722,867,1150,5263,5011,0</t>
  </si>
  <si>
    <t>109,130000,1,2,2,38,0,0,0,-1,-1,-1,171438,178382,39940,120483,44127,126568,10908,0,133657,4566,133841,4796,0</t>
  </si>
  <si>
    <t>110,360000,1,2,1,35,1,-2,-2,-2,-2,-2,-103,-103,-103,-103,-103,-103,0,0,0,0,0,0,0</t>
  </si>
  <si>
    <t>111,330000,2,1,1,31,0,0,2,0,0,0,105879,108431,105594,105896,106491,107289,9260,0,3593,4100,15794,0,0</t>
  </si>
  <si>
    <t>112,50000,1,3,1,47,0,0,2,0,0,0,13244,14722,15181,15928,16671,17393,2000,1000,1000,1000,1000,1000,0</t>
  </si>
  <si>
    <t>113,280000,1,2,1,41,2,2,2,2,2,3,135673,138532,134813,144401,152174,149415,6500,0,14254,14850,0,5000,0</t>
  </si>
  <si>
    <t>114,100000,2,1,2,24,0,0,0,0,0,0,52128,52692,54477,56076,60100,59713,2000,2677,3076,5080,3000,2033,0</t>
  </si>
  <si>
    <t>115,50000,1,2,2,41,0,0,0,0,0,0,19015,19294,20259,20274,20311,19957,1340,1305,700,718,724,684,0</t>
  </si>
  <si>
    <t>116,30000,1,1,2,24,-1,2,0,0,3,2,18199,17618,18631,21319,20692,21201,0,1312,3000,0,1000,1000,1</t>
  </si>
  <si>
    <t>117,240000,1,1,2,28,-1,-1,-1,-1,-1,-1,326,326,326,5676,476,326,326,326,5676,476,326,526,0</t>
  </si>
  <si>
    <t>118,80000,1,2,2,26,2,0,0,0,0,0,14029,15493,16630,17055,17629,18186,2000,1700,1000,1000,1000,1000,1</t>
  </si>
  <si>
    <t>119,400000,1,2,1,34,-1,-1,-1,-1,-1,-1,19660,9666,11867,7839,14837,7959,9677,11867,7839,14837,7959,5712,0</t>
  </si>
  <si>
    <t>120,240000,2,2,2,38,0,0,0,0,-1,-1,50254,51445,53015,52479,1307,1203,2000,3000,3000,1307,1203,563,0</t>
  </si>
  <si>
    <t>121,50000,1,3,2,37,2,2,2,3,2,2,46004,45976,48953,48851,49318,51143,1000,4035,1000,1400,2800,0,1</t>
  </si>
  <si>
    <t>122,450000,1,1,1,40,1,-2,-2,-2,-2,-2,0,0,0,0,0,0,0,0,0,0,0,0,1</t>
  </si>
  <si>
    <t>123,110000,2,1,1,48,1,-2,-2,-2,-2,-2,0,0,0,0,0,0,0,0,0,0,0,0,0</t>
  </si>
  <si>
    <t>124,310000,2,2,1,35,2,0,0,0,0,0,304991,311243,306314,258610,246491,198889,13019,11128,8407,8599,6833,5987,1</t>
  </si>
  <si>
    <t>125,20000,1,1,2,27,0,0,0,0,0,0,19115,18962,19298,19378,19717,15630,1404,1130,600,861,313,0,0</t>
  </si>
  <si>
    <t>126,20000,1,2,2,23,1,-2,-2,-2,-2,-2,0,0,0,0,0,0,0,0,0,0,0,0,0</t>
  </si>
  <si>
    <t>127,200000,1,3,2,52,0,0,0,0,0,0,110151,99530,98951,100914,103146,104993,3568,3585,3602,3848,3669,3784,0</t>
  </si>
  <si>
    <t>128,180000,1,1,1,36,0,0,0,0,0,0,163736,116422,99278,95766,97753,95927,4655,2690,2067,2142,2217,1000,1</t>
  </si>
  <si>
    <t>129,50000,1,2,1,51,0,0,0,0,0,0,3347,3899,4503,5347,6375,7077,1000,1066,1300,1500,1200,134,1</t>
  </si>
  <si>
    <t>130,60000,1,3,1,55,3,2,2,0,0,0,60521,61450,57244,28853,29510,26547,2504,7,1200,1200,1100,1500,0</t>
  </si>
  <si>
    <t>131,30000,2,1,2,23,1,-2,-2,-2,-1,-1,4000,5645,3508,-27,13744,5906,5645,3508,27,13771,5911,3024,0</t>
  </si>
  <si>
    <t>132,240000,1,1,2,41,1,-1,-1,0,0,-1,95,2622,3301,3164,360,1737,2622,3301,0,360,1737,924,0</t>
  </si>
  <si>
    <t>133,420000,1,2,1,34,0,0,0,0,0,0,253454,247743,229049,220951,210606,188108,9744,9553,7603,7830,7253,11326,0</t>
  </si>
  <si>
    <t>134,330000,1,3,1,46,0,0,0,0,0,0,227389,228719,229644,227587,227775,228203,8210,8095,8025,8175,8391,8200,0</t>
  </si>
  <si>
    <t>135,30000,2,2,2,22,0,0,0,0,0,0,28452,26145,26712,25350,17603,-780,2000,1400,0,500,0,1560,0</t>
  </si>
  <si>
    <t>136,240000,1,2,1,34,0,0,0,2,2,2,10674,12035,13681,13269,14158,13891,1500,1800,0,1000,0,327,0</t>
  </si>
  <si>
    <t>137,150000,1,1,2,27,0,0,0,0,0,0,17444,19342,22000,24614,27200,30229,2500,3000,3000,3000,3500,5000,0</t>
  </si>
  <si>
    <t>138,210000,2,2,1,33,0,0,0,0,0,0,7166,7997,8792,9189,4404,5708,1500,1500,1000,500,2000,546,0</t>
  </si>
  <si>
    <t>139,50000,2,3,1,51,-1,-1,-1,-1,-2,-2,752,300,5880,0,0,0,300,5880,0,0,0,0,1</t>
  </si>
  <si>
    <t>140,50000,1,1,2,24,0,0,0,0,0,0,50801,50143,49586,19430,19375,18995,2360,1700,1000,900,870,2130,0</t>
  </si>
  <si>
    <t>141,240000,1,1,2,47,1,-2,-2,-2,-2,-2,0,0,0,0,0,0,0,0,0,0,0,0,1</t>
  </si>
  <si>
    <t>142,180000,1,2,2,28,-1,-1,-1,-1,-1,-1,1832,0,832,332,416,416,0,416,332,500,3500,832,0</t>
  </si>
  <si>
    <t>143,50000,1,2,2,23,1,2,2,2,0,0,10131,10833,20583,19996,19879,18065,1000,10000,400,700,800,600,0</t>
  </si>
  <si>
    <t>144,170000,1,2,2,29,-2,-2,-2,-2,-2,-2,12159,10000,10000,10000,9983,15846,10000,10000,10000,9983,15863,10000,0</t>
  </si>
  <si>
    <t>145,20000,1,1,2,29,-1,-1,-1,-1,0,-1,1199,15586,344,2340,6702,339,15586,344,2340,4702,339,330,0</t>
  </si>
  <si>
    <t>146,50000,1,1,2,28,0,0,0,0,0,3,4999,5913,7315,9195,10624,10138,1000,1500,2000,1583,1100,0,0</t>
  </si>
  <si>
    <t>147,170000,2,2,2,27,0,0,0,0,0,0,19269,20313,20852,17560,17918,9100,1661,1200,351,358,182,0,1</t>
  </si>
  <si>
    <t>148,200000,1,1,2,34,1,2,0,0,0,0,197236,176192,93069,135668,132233,59875,8000,5000,55500,5000,5000,8500,0</t>
  </si>
  <si>
    <t>149,80000,2,2,1,23,1,2,3,2,0,0,9168,10522,10205,9898,10123,12034,1650,0,0,379,2091,1,0</t>
  </si>
  <si>
    <t>150,260000,2,1,1,60,1,-2,-1,-1,-1,-1,-1100,-1100,21400,0,969,869,0,22500,0,969,1000,0,0</t>
  </si>
  <si>
    <t>151,140000,1,2,1,32,0,0,0,0,2,0,86627,78142,68336,64648,58319,55251,3455,3110,5000,0,2100,2602,0</t>
  </si>
  <si>
    <t>152,80000,1,1,2,25,0,0,0,0,0,0,42444,55744,43476,41087,41951,31826,30000,3000,6000,8000,2000,14000,0</t>
  </si>
  <si>
    <t>153,350000,1,1,2,41,1,-1,-1,-1,-1,-2,208,2906,1000,630,0,0,2906,1000,630,0,0,0,0</t>
  </si>
  <si>
    <t>154,280000,2,2,1,56,0,0,0,0,0,0,208775,182350,132257,101783,177145,169311,8042,6700,5137,100000,7000,6321,0</t>
  </si>
  <si>
    <t>155,30000,2,3,2,26,0,0,0,0,0,0,9014,10406,11427,11935,13084,14206,1700,1500,1000,1500,1500,1500,0</t>
  </si>
  <si>
    <t>156,140000,1,1,1,34,0,0,0,0,0,0,23944,28049,32073,43129,47086,48699,5000,5000,11885,5000,3000,5504,0</t>
  </si>
  <si>
    <t>157,200000,2,1,2,37,0,0,0,0,0,0,105420,102870,89643,90938,92505,94031,4000,3250,3250,3500,3560,5000,0</t>
  </si>
  <si>
    <t>158,200000,2,3,2,30,0,0,0,0,0,0,196031,196143,189524,167163,146975,122324,7300,7108,7680,6200,5000,4500,0</t>
  </si>
  <si>
    <t>159,210000,1,3,1,45,2,3,4,4,5,6,115785,122904,129847,137277,145533,154105,10478,10478,11078,11078,11678,10478,1</t>
  </si>
  <si>
    <t>160,50000,1,3,1,57,3,2,0,0,0,0,12854,12362,13447,13427,13711,14083,0,1600,500,500,600,600,0</t>
  </si>
  <si>
    <t>161,30000,1,1,2,41,2,2,2,2,2,0,24357,27453,26718,28168,27579,28321,3500,0,2200,0,1200,1250,0</t>
  </si>
  <si>
    <t>162,50000,1,2,2,27,2,-1,-1,-1,-1,2,390,390,780,216,1080,540,390,780,216,864,0,390,0</t>
  </si>
  <si>
    <t>163,290000,1,3,1,47,-1,-1,-1,-1,0,-1,1234,396,396,792,396,423,396,396,792,0,423,369,0</t>
  </si>
  <si>
    <t>164,250000,2,1,1,34,0,0,2,0,0,0,141223,156858,151841,152803,155997,160220,17994,0,5469,5656,6811,3920,0</t>
  </si>
  <si>
    <t>165,60000,2,2,1,46,0,0,0,0,0,0,21148,23803,24908,26034,26655,27756,3000,1500,1500,1000,1500,1500,0</t>
  </si>
  <si>
    <t>166,110000,2,1,2,27,0,0,0,0,0,0,101640,104795,104855,74737,76058,77254,5500,3900,3000,2900,3000,2800,0</t>
  </si>
  <si>
    <t>167,370000,1,1,2,50,-2,-2,-2,-2,-2,-2,6093,15130,8204,15398,4792,13453,15383,8204,15413,4792,13453,4699,0</t>
  </si>
  <si>
    <t>168,100000,1,2,1,27,-1,2,2,0,0,0,102349,96847,58824,29336,22979,-246,3166,0,1330,1398,12,50000,0</t>
  </si>
  <si>
    <t>169,90000,2,2,1,35,0,0,0,0,0,2,72112,73854,75526,77317,85852,88290,3500,3500,3652,10000,4000,0,0</t>
  </si>
  <si>
    <t>170,50000,2,2,2,22,0,0,0,0,0,0,28040,29092,29366,27737,28318,28806,1510,1442,982,1017,1277,567,0</t>
  </si>
  <si>
    <t>171,270000,1,2,2,37,0,0,0,0,0,0,37695,33397,30534,27598,26344,24641,5000,2000,3000,4000,3000,2000,0</t>
  </si>
  <si>
    <t>172,300000,2,1,2,30,-1,-1,-1,-1,-1,-1,688,3280,0,4340,2672,800,3288,0,4340,2672,800,746,0</t>
  </si>
  <si>
    <t>173,50000,2,2,2,22,-1,0,0,0,0,0,8567,15273,11650,7457,3115,7725,15000,1000,149,0,5000,10000,0</t>
  </si>
  <si>
    <t>174,50000,2,1,2,24,1,-2,-2,-2,-2,-2,-709,-709,-709,-2898,-3272,-3272,0,0,0,0,0,0,1</t>
  </si>
  <si>
    <t>175,360000,1,1,2,29,1,-2,-1,-1,-2,-2,0,0,77,0,0,0,0,77,0,0,0,0,0</t>
  </si>
  <si>
    <t>176,130000,1,3,1,56,1,2,2,2,2,3,64617,65978,67282,68557,72796,71345,3000,3000,3000,5500,0,0,1</t>
  </si>
  <si>
    <t>177,80000,1,1,2,30,-2,-1,0,0,0,0,6187,100,600,1438,1919,5380,504,500,1000,500,3500,0,0</t>
  </si>
  <si>
    <t>178,50000,1,2,2,30,1,2,0,0,0,2,48860,47801,48363,30221,22877,22361,0,1500,1000,2000,0,2000,0</t>
  </si>
  <si>
    <t>179,20000,2,2,2,22,0,0,0,0,0,0,16001,12622,13221,13130,14034,14906,1212,1201,500,1500,1500,1000,0</t>
  </si>
  <si>
    <t>180,80000,2,2,1,29,0,0,2,0,0,0,77883,81811,80250,61467,10662,11486,5800,1000,600,400,1000,0,0</t>
  </si>
  <si>
    <t>181,240000,1,1,2,37,-1,-1,2,0,0,-1,12212,26578,25331,26605,26279,1256,15000,0,2000,0,1256,65935,0</t>
  </si>
  <si>
    <t>182,80000,2,3,2,35,0,-1,0,0,0,0,49608,12412,14873,17364,17770,17460,12500,6500,3000,2000,3000,2000,0</t>
  </si>
  <si>
    <t>183,500000,2,1,1,47,0,0,0,0,0,0,56422,110616,110340,122967,108834,70064,70010,30357,30000,20000,52183,20000,0</t>
  </si>
  <si>
    <t>184,60000,2,2,1,24,0,0,0,0,0,0,58024,57891,48839,18971,19323,19395,2500,1600,3000,1000,737,2000,1</t>
  </si>
  <si>
    <t>185,20000,1,2,2,25,0,0,0,0,0,-1,10642,11677,13070,12280,1615,1620,1200,1593,601,135,1824,0,0</t>
  </si>
  <si>
    <t>186,100000,2,2,1,38,1,2,0,0,2,0,14483,13961,15323,16268,15868,16448,0,1600,1500,0,1000,1500,1</t>
  </si>
  <si>
    <t>187,360000,2,1,2,32,1,-1,-1,-1,-1,-1,2616,57077,5287,68445,13881,16240,57087,5295,68454,13889,16250,38313,0</t>
  </si>
  <si>
    <t>188,200000,2,3,2,47,2,2,2,2,2,2,199436,202947,193936,196186,200162,189915,8214,7000,6800,7134,0,6836,1</t>
  </si>
  <si>
    <t>189,130000,2,2,1,34,1,-1,0,0,0,0,0,5396,10270,13576,13864,14636,5396,5000,3500,501,1000,2000,0</t>
  </si>
  <si>
    <t>190,20000,2,2,2,31,1,5,4,4,3,2,21703,21087,21461,20835,20219,20487,0,1000,0,0,760,0,0</t>
  </si>
  <si>
    <t>191,310000,1,1,2,32,0,0,0,0,0,0,59901,62147,62102,65875,60387,43328,10020,6031,10057,5028,5060,4223,0</t>
  </si>
  <si>
    <t>192,60000,2,1,2,27,2,0,0,0,2,0,19625,20347,21669,23005,22499,22873,1342,1664,2000,0,900,846,1</t>
  </si>
  <si>
    <t>193,180000,2,1,2,29,-1,-1,-1,-2,-1,0,11386,199,0,0,17227,17042,199,0,0,17227,341,5114,0</t>
  </si>
  <si>
    <t>194,180000,2,1,2,24,-1,-1,2,0,0,-2,14670,22087,21282,10200,0,0,37867,0,200,0,0,0,0</t>
  </si>
  <si>
    <t>195,50000,1,2,1,36,0,0,0,0,-1,-1,47790,18114,18250,-14,72,658,2000,1000,2000,500,1000,20011,0</t>
  </si>
  <si>
    <t>196,50000,2,1,2,24,1,2,2,2,2,2,36166,37188,37680,38462,39228,40035,1900,1400,1700,1532,1600,0,1</t>
  </si>
  <si>
    <t>197,150000,2,2,1,34,-2,-2,-2,-2,-2,-2,0,0,0,116,0,1500,0,0,116,0,1500,0,0</t>
  </si>
  <si>
    <t>198,20000,2,1,2,22,0,0,0,0,-1,0,18553,19446,19065,8332,18868,19247,1500,1032,541,20000,693,1000,0</t>
  </si>
  <si>
    <t>199,500000,2,1,1,34,-2,-2,-2,-1,-1,-1,412,138,2299,1251,1206,1151,138,2299,1251,1206,1151,15816,0</t>
  </si>
  <si>
    <t>200,30000,2,3,2,22,1,2,2,0,0,0,29010,29256,28122,29836,1630,0,1000,85,1714,104,0,0,1</t>
  </si>
  <si>
    <t>201,180000,2,1,1,38,-2,-2,-2,-2,-2,-2,750,0,0,0,0,0,0,0,0,0,0,0,0</t>
  </si>
  <si>
    <t>202,140000,1,1,2,31,0,0,2,0,0,2,27123,27299,17985,20225,27407,10833,25000,0,3000,7800,0,2500,0</t>
  </si>
  <si>
    <t>203,140000,2,1,2,26,-1,0,-1,-1,-1,-1,13424,18000,13001,5818,13506,487,10000,13001,5841,13506,487,7004,0</t>
  </si>
  <si>
    <t>204,120000,1,2,2,26,0,0,0,0,0,0,107314,110578,113736,116000,119131,122135,5000,5000,4152,5000,5000,5000,0</t>
  </si>
  <si>
    <t>205,360000,2,2,1,48,0,0,0,0,0,0,226430,231878,234192,190211,173557,146511,9100,7300,5800,5600,5600,4100,0</t>
  </si>
  <si>
    <t>206,20000,1,3,1,43,-1,-1,0,0,0,0,227,20351,20237,19339,19450,19337,22359,1305,1258,1459,3457,1700,0</t>
  </si>
  <si>
    <t>207,100000,1,1,1,47,-1,-1,-1,-1,-1,-1,390,1473,390,390,390,0,1473,390,390,390,0,2380,0</t>
  </si>
  <si>
    <t>208,210000,2,2,1,41,-1,-1,-1,-1,-1,-1,3088,1586,343,3763,877,0,1586,343,3763,877,0,419,1</t>
  </si>
  <si>
    <t>209,80000,2,2,2,24,0,0,0,0,0,0,81625,81554,79599,49552,49509,49568,3200,3000,2038,2000,1800,1800,1</t>
  </si>
  <si>
    <t>210,330000,2,1,1,50,-1,-1,-1,-1,-2,-2,8872,4337,2854,1690,0,1709,4345,2854,1702,0,1709,258,0</t>
  </si>
  <si>
    <t>211,220000,1,1,2,24,0,0,0,-1,-1,-1,105607,108917,111520,8303,0,85632,5000,5050,8303,0,85632,0,0</t>
  </si>
  <si>
    <t>212,210000,2,1,1,38,1,-2,-1,0,-1,-1,0,0,250,123,789,1222,0,250,0,789,1222,9616,1</t>
  </si>
  <si>
    <t>213,40000,2,3,1,43,0,0,0,0,0,0,38257,38901,38103,36207,33138,31339,1700,1504,1200,1500,1500,1000,0</t>
  </si>
  <si>
    <t>214,30000,1,2,2,39,0,0,0,2,0,0,28347,28108,18388,12992,7736,8032,3036,2309,0,1000,2000,148,0</t>
  </si>
  <si>
    <t>215,470000,1,2,2,27,2,2,2,2,0,0,296573,303320,307843,479978,305145,309959,13000,11001,0,10484,10838,10367,0</t>
  </si>
  <si>
    <t>216,30000,1,3,1,42,-1,-1,-1,-1,-1,2,390,390,390,240,1320,780,390,390,240,1470,0,0,0</t>
  </si>
  <si>
    <t>217,240000,2,2,1,36,1,-2,-2,-2,-2,-2,-946,-946,-946,-946,-946,-946,0,0,0,0,0,0,1</t>
  </si>
  <si>
    <t>218,80000,1,2,2,36,2,0,0,0,0,0,79278,78501,78534,80016,76235,78245,3100,3500,3400,3000,3500,3000,0</t>
  </si>
  <si>
    <t>219,110000,2,3,0,31,0,0,0,0,0,0,89989,84229,79288,73315,63818,63208,4000,5000,3000,3000,3000,8954,0</t>
  </si>
  <si>
    <t>220,310000,2,1,2,38,-1,-1,-1,-1,-2,-2,1424,4542,126,0,0,0,4542,126,0,0,0,0,0</t>
  </si>
  <si>
    <t>221,360000,2,1,1,40,2,2,2,0,0,0,105167,115468,112157,114690,117845,120238,12000,0,5900,5000,4500,4700,1</t>
  </si>
  <si>
    <t>222,330000,2,3,2,45,0,0,0,0,0,0,335196,334954,335527,333860,335760,330121,12388,12378,12116,12450,12213,11678,0</t>
  </si>
  <si>
    <t>223,300000,2,2,2,35,0,0,0,0,0,0,291619,297268,205629,215827,208464,212508,12019,9006,17000,12000,9557,15000,0</t>
  </si>
  <si>
    <t>224,320000,2,2,2,33,0,0,0,0,0,0,91653,94037,108597,65913,43805,33263,10042,18832,2117,2076,5045,3754,0</t>
  </si>
  <si>
    <t>225,50000,2,3,2,37,1,3,2,0,0,0,52626,51537,49205,30394,30249,29957,0,24,1500,1000,1201,30592,1</t>
  </si>
  <si>
    <t>226,170000,2,1,2,28,0,0,0,0,0,0,130370,131199,128900,125514,127280,128839,6530,4860,22500,4820,4877,4962,0</t>
  </si>
  <si>
    <t>227,350000,1,3,1,44,-1,-1,-1,-1,-1,-2,3265,2686,1864,569,0,0,2686,1864,569,0,0,0,0</t>
  </si>
  <si>
    <t>228,20000,1,2,1,37,0,0,0,0,0,0,16455,16511,18902,18768,18650,19175,1609,3000,663,676,834,782,0</t>
  </si>
  <si>
    <t>229,50000,1,2,2,23,2,0,0,0,0,0,49758,48456,44116,21247,20066,18858,2401,2254,2004,704,707,1004,1</t>
  </si>
  <si>
    <t>230,20000,2,3,2,24,1,2,0,0,0,0,19154,18165,17233,7630,1730,0,0,1333,500,100,0,3200,0</t>
  </si>
  <si>
    <t>231,50000,2,1,2,24,0,0,0,0,0,0,35084,35796,30937,19420,10385,1308,2090,2002,1002,238,1011,389,0</t>
  </si>
  <si>
    <t>232,20000,1,2,2,23,1,2,0,0,2,0,20235,17132,16856,16875,13454,10104,0,1200,1000,0,1000,10000,1</t>
  </si>
  <si>
    <t>233,50000,1,2,1,26,0,0,-2,-1,-1,0,102800,0,0,2624,45567,46557,0,0,2624,45567,1747,2000,0</t>
  </si>
  <si>
    <t>234,190000,1,2,2,34,2,0,0,0,2,2,129801,131383,134379,142323,140120,150052,5000,5000,10000,0,12118,2769,1</t>
  </si>
  <si>
    <t>235,60000,2,2,1,33,0,0,0,0,0,0,58203,36367,20934,20694,20175,19421,1506,1298,1000,721,811,599,0</t>
  </si>
  <si>
    <t>236,80000,1,1,2,35,-1,-1,-1,-1,-1,-1,7988,3977,6848,1719,1378,19942,3983,6853,1719,1378,19942,2418,0</t>
  </si>
  <si>
    <t>237,150000,2,2,2,27,0,0,0,0,0,0,127402,110050,51547,44384,36900,29497,4500,1745,1566,1208,1077,2529,0</t>
  </si>
  <si>
    <t>238,210000,2,1,2,31,-2,-2,-2,-2,-1,-1,1440,0,7422,893,6082,2293,0,7422,893,6082,2293,3299,0</t>
  </si>
  <si>
    <t>239,240000,2,3,1,50,0,0,0,0,0,0,234205,231669,214642,207642,210375,214694,10116,9150,8008,8000,8009,7714,1</t>
  </si>
  <si>
    <t>240,140000,2,2,3,41,0,0,0,0,0,0,19346,21708,22940,19068,16409,16383,3000,2000,2198,1000,3000,2399,1</t>
  </si>
  <si>
    <t>241,60000,2,1,2,28,1,2,2,-2,-2,-1,21501,20650,0,0,0,2285,0,0,0,0,2285,0,0</t>
  </si>
  <si>
    <t>242,50000,1,1,2,39,0,0,0,0,0,0,47174,47974,48630,50803,30789,15874,1800,2000,3000,2000,2000,2000,0</t>
  </si>
  <si>
    <t>243,50000,2,2,2,27,0,0,0,0,0,0,26655,27724,28676,27990,28790,29399,1800,1750,900,1200,1200,1100,0</t>
  </si>
  <si>
    <t>244,180000,2,1,2,32,-1,-1,2,2,-1,-1,3139,5853,2821,0,2821,0,2821,0,0,2821,0,176,0</t>
  </si>
  <si>
    <t>245,30000,2,1,2,40,-1,-1,2,2,2,2,142,215,139,19,19,79,355,120,0,0,60,60,0</t>
  </si>
  <si>
    <t>246,20000,2,2,2,40,0,0,0,0,0,-2,19816,20396,20102,19575,0,0,1601,2203,2114,0,0,0,0</t>
  </si>
  <si>
    <t>247,250000,2,2,1,75,0,-1,-1,-1,-1,-1,52874,1631,1536,1010,5572,794,1631,1536,1010,5572,794,1184,0</t>
  </si>
  <si>
    <t>248,100000,2,2,2,27,0,0,0,0,0,0,37767,34457,30036,30337,30997,32904,1788,1799,1100,1150,2423,0,0</t>
  </si>
  <si>
    <t>249,330000,1,1,2,25,0,0,0,0,2,0,46140,45781,48139,51137,39450,25358,2504,4007,5056,74,1023,2566,0</t>
  </si>
  <si>
    <t>250,50000,1,3,1,46,0,0,0,0,0,0,35713,15392,16099,16418,16765,17484,1561,1268,587,611,1000,2000,0</t>
  </si>
  <si>
    <t>251,50000,2,2,2,26,1,2,2,0,0,0,50867,51486,48869,30115,29527,29998,1710,136,1206,2002,2005,3003,0</t>
  </si>
  <si>
    <t>252,30000,1,2,2,28,0,0,0,0,0,0,29242,29507,29155,25255,22001,0,5006,1244,851,955,0,0,0</t>
  </si>
  <si>
    <t>253,140000,2,2,2,26,0,0,0,0,0,0,101551,105246,104781,105334,107699,106828,5366,5087,3605,3894,3785,3304,1</t>
  </si>
  <si>
    <t>254,160000,2,1,2,28,0,0,0,0,-1,0,70243,47779,28052,7222,99669,84426,7042,2000,1000,99669,12600,10000,0</t>
  </si>
  <si>
    <t>255,400000,2,2,2,29,-1,0,-1,-1,-1,-1,19532,3719,1453,4944,1896,2486,3127,1469,4968,1905,2494,862,0</t>
  </si>
  <si>
    <t>256,50000,1,2,1,25,0,0,0,0,0,0,27699,28513,29341,29928,29533,28538,1565,1393,980,994,1024,886,0</t>
  </si>
  <si>
    <t>257,140000,2,2,1,48,0,-1,-1,-1,-1,-1,1154,1233,862,1355,1130,21361,1233,1075,1355,1130,21361,1347,0</t>
  </si>
  <si>
    <t>258,160000,2,2,1,33,-1,-1,-1,-1,0,-1,8015,2453,9624,52572,7333,2210,2453,9880,52572,1546,2210,0,0</t>
  </si>
  <si>
    <t>259,100000,2,3,1,43,0,0,-2,-2,-2,-2,62170,0,0,0,0,0,0,0,0,0,0,0,0</t>
  </si>
  <si>
    <t>260,220000,1,1,1,48,2,0,0,0,0,0,210380,213522,201852,169115,172169,162402,10000,9020,6000,5500,6000,5500,1</t>
  </si>
  <si>
    <t>261,510000,2,1,2,29,0,0,0,0,0,0,78331,99414,107686,103776,87265,36739,40010,20094,5000,5001,25365,65000,0</t>
  </si>
  <si>
    <t>262,50000,1,2,2,29,0,0,0,0,0,0,49276,35100,32563,27823,29130,28309,1602,1400,3000,3130,1062,6318,0</t>
  </si>
  <si>
    <t>263,160000,2,1,1,38,-1,-1,-1,-1,2,-1,4473,4664,5969,18941,16578,12652,4664,5969,18941,0,12652,1916,0</t>
  </si>
  <si>
    <t>264,230000,2,1,2,37,-2,-2,-2,-2,-2,-2,2283,50815,0,0,299,338,51315,0,0,299,338,0,0</t>
  </si>
  <si>
    <t>265,80000,2,1,2,37,-1,-1,-1,-1,-1,-1,10115,249,5986,188,1644,16872,258,5995,188,1644,16872,4000,0</t>
  </si>
  <si>
    <t>266,150000,2,2,1,25,-1,-1,-2,-1,-1,-1,6156,0,0,316,316,316,0,0,316,316,316,316,0</t>
  </si>
  <si>
    <t>267,10000,1,3,2,23,0,0,0,0,0,2,6974,7838,9002,9182,9729,9411,1134,1298,478,847,0,175,0</t>
  </si>
  <si>
    <t>268,130000,2,3,2,49,0,0,0,0,0,0,89003,91362,72197,49654,28065,27500,4100,3095,1630,561,600,0,1</t>
  </si>
  <si>
    <t>269,40000,2,1,2,48,0,0,0,0,0,0,34871,34449,33634,34586,34762,35673,1600,1600,1500,1500,1500,1500,0</t>
  </si>
  <si>
    <t>270,50000,1,2,2,27,3,2,2,0,0,-1,13694,14880,14242,13968,14319,2614,1700,0,426,501,2614,1390,1</t>
  </si>
  <si>
    <t>271,100000,1,3,2,32,0,0,0,0,0,0,70003,31545,20974,19713,19848,18126,2035,2004,616,2007,1009,2015,0</t>
  </si>
  <si>
    <t>272,120000,1,1,1,34,-1,2,-1,0,0,0,1082,632,1350,900,450,0,0,1350,0,0,0,450,0</t>
  </si>
  <si>
    <t>273,260000,2,1,2,58,1,-2,-2,-2,-2,-2,0,0,0,0,0,0,0,0,0,0,0,0,1</t>
  </si>
  <si>
    <t>274,200000,2,2,2,33,0,0,0,0,0,0,11253,12852,14024,14512,16325,11905,2000,1322,2000,2000,1200,3000,0</t>
  </si>
  <si>
    <t>275,360000,2,2,2,28,-2,-2,-2,-2,-2,-2,0,0,0,0,0,0,0,0,0,0,0,0,1</t>
  </si>
  <si>
    <t>276,70000,2,2,2,36,0,0,0,0,0,0,68699,69120,68376,30163,14310,15085,4483,12496,3268,3000,3000,2000,0</t>
  </si>
  <si>
    <t>277,460000,1,1,1,40,2,-1,-1,-1,-1,-1,171,2715,-13,2641,-10,22535,2728,0,2654,0,22545,0,1</t>
  </si>
  <si>
    <t>278,50000,2,1,2,26,-1,-1,-1,-1,-1,-1,1156,316,316,316,316,316,316,316,316,316,316,316,0</t>
  </si>
  <si>
    <t>279,50000,1,3,1,33,0,0,0,0,0,0,50859,50462,50654,20046,20067,19703,2007,2199,691,707,703,697,0</t>
  </si>
  <si>
    <t>280,250000,2,2,1,31,0,0,0,0,0,0,103109,102594,97109,99029,100871,101299,4000,4500,5000,4000,5000,4400,0</t>
  </si>
  <si>
    <t>281,30000,2,1,2,27,0,0,-1,0,0,-2,1512,2458,664,1814,0,0,1000,664,1500,0,0,0,0</t>
  </si>
  <si>
    <t>282,270000,1,2,1,44,0,0,0,0,-1,-1,127543,109189,92630,69669,44149,43414,10063,5162,10150,44299,43509,31031,0</t>
  </si>
  <si>
    <t>283,180000,2,3,2,30,0,0,0,0,0,0,163935,153152,147032,122196,103692,70204,7722,6091,3563,3605,3000,3211,0</t>
  </si>
  <si>
    <t>284,100000,2,1,2,28,0,0,0,0,0,0,53494,52656,52600,52336,55831,56265,4173,3000,2025,5000,3000,3000,0</t>
  </si>
  <si>
    <t>285,230000,2,3,1,32,0,0,0,0,0,0,195126,88743,92195,94814,98182,98457,5000,5000,5000,5000,4000,5000,0</t>
  </si>
  <si>
    <t>286,210000,2,1,1,46,-1,-1,-1,-1,-1,-1,110346,41986,21874,20076,16171,586,41986,21874,20076,16171,586,19777,0</t>
  </si>
  <si>
    <t>287,210000,1,1,2,38,2,0,0,0,0,0,60502,62804,62769,62683,63663,46549,3276,2026,2000,2000,2000,2502,0</t>
  </si>
  <si>
    <t>288,440000,2,2,1,46,0,0,0,0,0,0,180641,181557,149944,113135,105280,97622,8610,6907,3727,3800,4001,2701,0</t>
  </si>
  <si>
    <t>289,100000,2,2,2,25,2,0,0,0,0,0,70896,71678,70125,69856,69718,51365,3472,2092,2000,2127,1960,1559,1</t>
  </si>
  <si>
    <t>290,240000,2,2,1,46,0,0,0,0,0,0,8751,9900,10605,10765,11765,4311,1295,1000,1000,1000,1000,1000,0</t>
  </si>
  <si>
    <t>291,280000,1,1,2,33,-1,-1,-1,-1,-1,-1,898,898,325,898,325,-339603,898,325,898,325,0,345293,1</t>
  </si>
  <si>
    <t>292,50000,2,2,2,22,1,-2,-2,-2,-2,-2,0,0,0,0,0,0,0,0,0,0,0,0,1</t>
  </si>
  <si>
    <t>293,30000,1,2,1,43,3,2,2,2,2,2,1700,2610,1914,2182,2000,2566,1100,0,300,0,600,0,0</t>
  </si>
  <si>
    <t>294,10000,1,2,2,27,0,0,2,0,0,0,7015,10227,9560,9901,9963,10182,3507,0,500,370,393,700,1</t>
  </si>
  <si>
    <t>295,130000,1,1,2,29,1,-2,-2,-2,-2,-2,0,0,0,0,0,0,0,0,0,0,0,1500,0</t>
  </si>
  <si>
    <t>296,200000,1,1,2,31,0,0,0,0,0,0,194353,197344,186292,133345,133634,133990,9000,7465,4715,4804,5141,5300,0</t>
  </si>
  <si>
    <t>297,120000,2,2,1,29,-1,-1,-1,-1,-1,-1,1686,657,2179,1423,0,1820,657,2319,1423,0,1820,2496,0</t>
  </si>
  <si>
    <t>298,210000,2,2,1,36,0,0,0,0,0,0,143225,142996,144415,148190,147993,131629,6483,5082,6000,5900,4544,4700,0</t>
  </si>
  <si>
    <t>299,280000,2,1,1,36,0,0,0,0,0,0,58983,60788,63225,29701,30172,30771,2755,3463,1300,1100,1100,2000,0</t>
  </si>
  <si>
    <t>300,300000,1,1,2,34,1,-2,-1,0,-1,-1,0,0,13001,12601,19595,203,0,13001,0,19595,203,0,1</t>
  </si>
  <si>
    <t>301,100000,1,2,2,37,0,0,0,0,0,0,99209,98222,67185,66926,66796,64513,3490,2332,2314,2365,2497,2305,0</t>
  </si>
  <si>
    <t>302,440000,2,1,2,36,-2,-2,-2,-2,-2,-2,0,0,0,0,0,0,0,0,0,0,162000,0,0</t>
  </si>
  <si>
    <t>303,50000,2,3,1,40,0,0,0,0,0,0,49941,51213,12104,12898,13687,14458,2400,1206,1000,1000,1000,1000,0</t>
  </si>
  <si>
    <t>304,20000,2,1,2,25,0,0,2,0,0,0,11968,14564,27820,15824,15761,12510,2800,0,4000,1700,1000,2000,1</t>
  </si>
  <si>
    <t>305,200000,2,1,2,27,-1,-1,-1,0,0,0,871,665,960,4242,4084,7414,665,960,3908,1014,3500,2880,0</t>
  </si>
  <si>
    <t>306,110000,2,2,2,26,-2,-2,-2,-2,-2,-2,432,3220,5704,1256,1848,400,3220,5904,0,3000,0,0,0</t>
  </si>
  <si>
    <t>307,500000,2,2,1,36,-1,-1,-1,-1,-1,-1,10483,23956,0,8500,4590,0,23962,0,8500,4590,0,0,0</t>
  </si>
  <si>
    <t>308,300000,2,2,1,27,1,-1,-1,-2,-2,-2,0,5215,0,0,0,0,5215,0,0,0,0,0,0</t>
  </si>
  <si>
    <t>309,30000,1,3,1,55,2,2,2,3,3,4,9720,10613,11339,12841,13836,14514,1200,1200,2000,1500,1500,1500,1</t>
  </si>
  <si>
    <t>310,60000,2,1,2,27,-1,-1,-1,-1,-1,-1,20847,13801,14366,4889,273,11736,13809,14583,4889,273,13557,0,0</t>
  </si>
  <si>
    <t>311,400000,2,2,1,38,-1,0,-1,-1,0,-1,3697,3600,1354,5322,5103,2077,1000,1354,5322,6,2386,9085,0</t>
  </si>
  <si>
    <t>312,180000,2,2,1,34,0,0,0,0,0,0,143301,146333,147042,127814,130331,132845,7000,5000,5000,4900,5000,5100,0</t>
  </si>
  <si>
    <t>313,20000,1,1,2,40,0,0,0,2,0,0,10934,13738,16567,10411,13057,14340,3000,3100,0,3000,1500,0,0</t>
  </si>
  <si>
    <t>314,200000,2,3,1,49,-1,2,2,2,0,0,52439,51040,56205,54723,58657,59983,0,6000,0,5000,2286,3000,1</t>
  </si>
  <si>
    <t>315,100000,1,1,2,27,0,0,0,0,0,0,55734,52557,33415,28776,17580,6441,1631,1286,200,645,909,200,0</t>
  </si>
  <si>
    <t>316,60000,1,2,2,23,0,0,0,0,0,0,49507,33282,34312,17277,17808,19346,1970,2000,618,809,2000,616,1</t>
  </si>
  <si>
    <t>317,110000,2,2,2,36,0,0,0,0,0,0,47819,48947,50330,50894,52175,53652,2200,2500,2000,2100,2500,2200,0</t>
  </si>
  <si>
    <t>318,260000,2,3,1,53,1,-1,-1,-2,-2,-1,0,165,526,452,397,485,165,526,452,397,485,459,0</t>
  </si>
  <si>
    <t>319,50000,2,3,1,46,3,2,2,0,0,0,48522,50955,29516,29742,29898,24883,3754,1,1070,1030,863,654,0</t>
  </si>
  <si>
    <t>320,180000,1,2,2,29,1,-2,-2,-2,-2,-2,-2,-2,-2,-2,-2,-2,0,0,0,0,0,0,0</t>
  </si>
  <si>
    <t>321,110000,1,2,2,29,1,2,2,0,0,0,58362,56598,51908,48647,47862,47969,2500,0,2000,2000,1854,2000,1</t>
  </si>
  <si>
    <t>322,340000,2,1,2,27,0,0,0,0,0,0,172180,180140,166281,155628,145645,103263,21105,5461,5000,5849,2732,50000,0</t>
  </si>
  <si>
    <t>323,50000,1,2,2,24,-1,0,0,0,0,0,1399,2441,3865,7476,8384,8085,1070,1500,3666,2477,1306,1000,0</t>
  </si>
  <si>
    <t>324,230000,2,2,1,28,0,0,0,-2,-1,-1,26361,18826,1100,2100,767,6173,1710,1100,1000,767,6173,1000,1</t>
  </si>
  <si>
    <t>325,360000,2,2,2,32,0,0,0,0,0,0,93029,94054,91834,95631,100123,100738,10000,7000,10000,10000,10000,10000,0</t>
  </si>
  <si>
    <t>326,210000,1,2,2,43,1,-2,-1,0,0,0,0,0,38013,40555,45075,37056,0,38013,3000,5000,3000,3000,0</t>
  </si>
  <si>
    <t>327,220000,2,2,1,41,-1,2,2,-1,2,-1,650,650,325,950,475,325,325,0,950,0,325,325,1</t>
  </si>
  <si>
    <t>328,60000,2,2,1,34,2,2,2,2,2,0,24898,27976,27233,30184,29566,30225,3800,0,3720,0,1300,1291,1</t>
  </si>
  <si>
    <t>329,340000,1,2,1,55,-2,-1,-1,-2,-2,-2,50396,44665,8300,2190,24599,7416,44665,8321,2190,24599,7416,77195,0</t>
  </si>
  <si>
    <t>330,150000,1,1,1,40,2,2,2,2,2,2,99855,102586,100064,104975,107147,109428,5200,0,8100,4000,4200,4200,0</t>
  </si>
  <si>
    <t>331,200000,2,2,1,37,1,-1,2,-1,-1,-1,-179,505,189,6773,23209,16893,1000,0,6900,24000,17000,2500,1</t>
  </si>
  <si>
    <t>332,130000,2,2,2,40,0,0,2,0,0,0,9559,12394,11883,9826,10167,12685,3000,0,500,500,2700,500,1</t>
  </si>
  <si>
    <t>333,60000,2,1,2,28,1,2,0,0,0,0,10540,10232,11237,11427,20973,31857,0,1483,673,10000,11540,7000,0</t>
  </si>
  <si>
    <t>334,400000,2,2,1,43,1,-2,-2,-2,-1,-1,0,0,0,0,1600,78388,0,0,0,1600,78388,0,0</t>
  </si>
  <si>
    <t>335,20000,1,1,2,27,0,0,0,0,0,0,20571,19089,19658,19453,19108,18868,1323,1600,830,700,674,376,0</t>
  </si>
  <si>
    <t>336,190000,2,1,2,28,0,0,0,0,0,0,143464,146943,151905,153538,156664,160361,5795,7408,5645,5753,6370,5865,0</t>
  </si>
  <si>
    <t>337,260000,2,1,2,30,0,0,0,0,0,0,156882,160246,159988,158114,158762,159108,10000,8000,6000,7000,7000,6000,0</t>
  </si>
  <si>
    <t>338,140000,2,2,2,31,-2,-2,-2,-2,-2,-2,390,0,0,0,0,0,0,0,0,0,0,0,0</t>
  </si>
  <si>
    <t>339,50000,2,2,1,31,0,0,0,0,0,0,46512,47716,49675,30929,30078,29170,1974,4406,1061,1073,1046,1047,1</t>
  </si>
  <si>
    <t>340,120000,2,1,2,34,-1,-1,0,-1,-1,-1,882,6531,6313,1100,1330,830,6900,5037,1100,1330,3800,2037,0</t>
  </si>
  <si>
    <t>341,240000,2,2,2,30,-2,-2,-2,-2,-2,-2,92,92,92,0,92,0,92,92,0,92,0,1883,0</t>
  </si>
  <si>
    <t>342,50000,1,2,2,36,0,0,0,0,-1,0,5916,6172,4123,680,978,978,1212,1200,0,978,0,0,0</t>
  </si>
  <si>
    <t>343,200000,2,1,2,29,-1,2,-1,-1,-1,2,2393,183,4847,20183,24815,24248,0,4872,20183,5000,0,1000,0</t>
  </si>
  <si>
    <t>344,180000,1,1,1,39,0,0,-1,0,0,-1,274731,281713,242063,122295,-1005,1005,11000,145000,26000,0,101005,1898,0</t>
  </si>
  <si>
    <t>345,180000,2,1,2,26,0,0,0,0,0,0,145403,138232,130553,105894,108248,106517,5440,5051,3835,4106,4250,4028,0</t>
  </si>
  <si>
    <t>346,160000,2,1,2,29,-1,-1,-2,-1,0,0,3097,-707,-2697,2303,6182,1654,0,0,5000,5000,1500,13000,0</t>
  </si>
  <si>
    <t>347,100000,2,2,2,26,-1,-1,-1,0,0,0,1370,4192,4159,3542,1980,3980,4210,4159,1000,1080,2000,1525,0</t>
  </si>
  <si>
    <t>348,50000,2,2,2,29,0,0,0,0,0,0,47081,49316,50409,45545,39963,41145,3000,2000,2000,2000,2000,2000,1</t>
  </si>
  <si>
    <t>349,140000,2,2,2,31,0,0,0,0,0,0,138119,137950,140254,139679,141748,142174,6600,6500,5100,5300,6000,5000,0</t>
  </si>
  <si>
    <t>350,30000,2,2,2,26,0,0,0,0,0,0,17893,19012,20123,20222,20796,19844,1411,1522,621,795,715,1000,1</t>
  </si>
  <si>
    <t>351,90000,1,1,2,26,0,0,-1,0,0,-1,39128,20473,1940,1940,0,23101,1541,4200,0,0,23101,3000,0</t>
  </si>
  <si>
    <t>352,200000,1,1,1,36,1,-2,-1,-1,-2,-1,-14386,-13543,3432,-3684,0,1386,10118,47015,0,4000,100000,10000,0</t>
  </si>
  <si>
    <t>353,380000,1,1,2,30,1,-2,-2,-2,-2,-2,0,0,0,0,0,0,0,0,0,0,0,0,1</t>
  </si>
  <si>
    <t>354,80000,2,2,2,43,0,0,0,0,0,0,77057,78102,58501,51042,19036,19414,3177,2600,3000,1691,695,882,0</t>
  </si>
  <si>
    <t>355,50000,1,3,1,58,2,2,2,0,0,2,15899,18720,18122,18530,19089,18856,3400,0,1000,1001,634,638,0</t>
  </si>
  <si>
    <t>356,180000,1,2,1,45,-1,0,0,0,0,0,27679,28422,29650,29981,30419,31127,1481,2000,1100,1200,1500,1500,1</t>
  </si>
  <si>
    <t>357,240000,2,2,2,26,0,0,0,0,0,0,141315,128940,124226,113133,113966,103360,6349,5834,3870,4000,3825,3520,0</t>
  </si>
  <si>
    <t>358,380000,1,2,2,34,0,0,0,0,0,0,194314,179206,193992,174675,171253,169121,9010,35000,5000,6000,5000,4400,0</t>
  </si>
  <si>
    <t>359,110000,2,4,2,24,0,0,0,0,0,0,83755,77431,79044,80631,82333,84462,3000,2900,2900,3000,3500,4000,0</t>
  </si>
  <si>
    <t>360,260000,1,1,1,34,-1,-1,-1,-1,-1,-1,49657,291,51058,2351,34039,291,291,51058,35696,34039,291,291,0</t>
  </si>
  <si>
    <t>361,500000,2,2,2,23,4,3,2,0,0,0,507726,509229,499936,505507,484612,419643,10000,0,14000,16500,16000,19000,1</t>
  </si>
  <si>
    <t>362,320000,2,2,2,30,0,0,0,0,0,0,71305,71151,72029,72849,74374,74610,2589,2568,2570,2661,2781,2500,0</t>
  </si>
  <si>
    <t>363,50000,1,2,2,32,4,3,2,0,0,0,45734,44741,43562,44039,45008,25775,0,0,1262,1358,1275,1590,0</t>
  </si>
  <si>
    <t>364,110000,1,1,1,40,1,-2,-1,0,-1,-1,0,0,2066,2000,216,216,0,2066,0,216,216,66,1</t>
  </si>
  <si>
    <t>365,230000,2,1,2,35,-2,-2,-2,-2,-2,-2,761,300,399,665,576,613,300,399,665,576,613,520,0</t>
  </si>
  <si>
    <t>366,330000,2,2,1,56,1,-1,-1,-2,-1,-1,-9,1520,1488,0,3965,8676,1529,1507,0,3965,8676,384,0</t>
  </si>
  <si>
    <t>367,50000,2,2,1,61,0,0,0,0,0,0,47166,49396,50476,23319,23171,24774,3000,2237,975,1000,2000,1039,0</t>
  </si>
  <si>
    <t>368,10000,1,2,2,24,-1,2,2,2,0,0,2887,1923,2989,2813,2008,2132,0,1500,0,0,150,0,0</t>
  </si>
  <si>
    <t>369,300000,1,1,1,40,1,-2,-2,-2,-2,-2,0,0,0,0,0,0,0,0,0,0,0,0,0</t>
  </si>
  <si>
    <t>370,20000,2,2,1,32,3,2,0,0,0,0,20631,20010,19703,11084,10918,10985,0,1168,384,390,632,616,1</t>
  </si>
  <si>
    <t>371,180000,1,2,1,36,2,2,-2,-2,-2,-2,83538,0,0,0,0,0,0,0,0,0,0,0,1</t>
  </si>
  <si>
    <t>372,160000,1,1,2,30,-1,-1,-1,-1,-1,-1,99,2977,15086,8578,13028,21712,2977,15086,9123,13028,29712,50000,0</t>
  </si>
  <si>
    <t>373,90000,2,1,2,34,0,0,0,2,2,2,34302,35089,43449,42451,49718,48767,1640,9000,0,8000,0,2000,0</t>
  </si>
  <si>
    <t>374,30000,1,3,3,54,0,0,0,0,0,0,22987,22298,22352,23221,24339,25943,2500,2000,1500,4000,2000,0,0</t>
  </si>
  <si>
    <t>375,180000,1,1,1,46,0,0,0,0,0,0,173267,174590,175233,106288,28089,178719,8100,5299,3305,5040,160719,7000,0</t>
  </si>
  <si>
    <t>376,30000,1,3,1,58,0,0,0,0,0,0,19143,20168,21229,21495,21800,22437,1640,1700,915,800,1000,1961,0</t>
  </si>
  <si>
    <t>377,30000,1,2,1,43,1,2,0,0,0,2,20518,19901,20905,21509,25183,24242,0,1342,946,4200,0,1000,0</t>
  </si>
  <si>
    <t>378,140000,2,1,2,28,-1,0,0,-1,-1,-1,10833,14446,7609,4991,3400,3745,14000,3855,4991,3600,5500,4000,0</t>
  </si>
  <si>
    <t>379,210000,1,1,2,30,0,0,0,0,0,0,69937,71906,43308,44584,47842,49888,3500,3000,2000,4000,3000,10000,0</t>
  </si>
  <si>
    <t>380,50000,1,2,2,31,0,0,0,0,0,0,20526,15129,15093,9577,11139,12487,2000,3000,327,3000,3000,5000,1</t>
  </si>
  <si>
    <t>381,130000,2,2,2,29,0,0,0,0,0,0,89055,90780,70947,72367,73875,75355,4200,2575,2600,2674,2701,5750,0</t>
  </si>
  <si>
    <t>382,50000,2,2,1,37,2,2,2,0,0,0,1894,3200,3381,3559,1948,2415,1500,400,200,500,500,400,1</t>
  </si>
  <si>
    <t>383,140000,1,3,1,36,0,0,0,0,0,0,100594,78372,91502,90859,88616,88450,3000,30000,4000,4000,3400,3300,0</t>
  </si>
  <si>
    <t>384,170000,2,2,2,28,-1,0,0,2,0,0,2948,3848,5646,5464,5577,5889,1105,1903,0,296,500,95,1</t>
  </si>
  <si>
    <t>385,80000,1,2,2,25,0,0,0,0,0,-2,22619,31429,27923,25280,0,0,10010,1209,579,0,0,6305,0</t>
  </si>
  <si>
    <t>386,410000,2,5,1,42,0,0,0,0,0,0,338106,342904,344464,240865,234939,240176,15000,14000,9000,8500,9000,8300,0</t>
  </si>
  <si>
    <t>387,80000,2,1,2,29,1,-1,-1,-2,-2,-2,0,80000,0,0,0,0,80000,0,0,0,0,0,0</t>
  </si>
  <si>
    <t>388,80000,1,3,1,73,-1,0,0,2,2,2,63144,65631,68875,70646,72870,75018,3500,4330,3500,3500,3500,5100,1</t>
  </si>
  <si>
    <t>389,150000,1,2,1,43,0,0,0,0,0,0,153249,154049,156523,159653,162866,157759,7900,6500,5700,5700,5700,5334,0</t>
  </si>
  <si>
    <t>390,260000,1,1,1,30,-1,-1,-1,0,0,-1,1131,291,582,291,0,291,291,582,0,0,130291,651,1</t>
  </si>
  <si>
    <t>391,350000,1,1,1,38,1,-2,-2,-2,-2,-2,0,0,0,0,0,0,0,0,0,0,0,0,0</t>
  </si>
  <si>
    <t>392,280000,2,2,1,39,1,-1,0,0,0,0,-1312,35918,37297,37154,32581,33316,38621,2000,1130,922,1011,5000,1</t>
  </si>
  <si>
    <t>393,310000,1,2,1,44,0,0,0,0,0,0,103797,91989,87720,76218,72090,71620,4400,4013,3011,3000,3001,2653,0</t>
  </si>
  <si>
    <t>394,140000,2,2,2,29,0,0,0,0,0,0,20110,17102,18862,19996,21214,21085,3000,3000,3000,3500,2000,2000,0</t>
  </si>
  <si>
    <t>395,360000,1,1,1,51,-1,-1,-1,-2,-2,-2,38000,25000,0,0,0,0,25000,0,0,0,0,0,0</t>
  </si>
  <si>
    <t>396,140000,2,1,2,27,0,0,0,0,0,0,142428,144105,143952,142590,142650,142620,10000,10000,6000,6000,6000,5600,0</t>
  </si>
  <si>
    <t>397,100000,1,1,2,38,0,0,0,0,0,0,40810,42653,42351,43011,43011,28947,2502,1200,860,0,579,0,0</t>
  </si>
  <si>
    <t>398,50000,2,2,2,22,-2,-2,-2,-2,-2,-2,0,0,0,848,0,632,0,0,848,0,632,0,0</t>
  </si>
  <si>
    <t>399,210000,2,2,1,30,0,0,0,0,0,0,104701,106134,108423,91143,82733,74125,4002,5000,3500,3000,2700,5000,0</t>
  </si>
  <si>
    <t>400,120000,2,2,2,25,2,2,2,2,2,2,120298,120822,109887,116313,119311,117167,4007,0,8272,5000,0,4400,0</t>
  </si>
  <si>
    <t>401,240000,1,1,2,29,0,0,0,0,0,-1,156362,132280,99174,65372,28797,184922,5233,3289,2072,3018,184922,6100,0</t>
  </si>
  <si>
    <t>402,60000,2,3,3,42,0,0,0,0,0,0,41322,29091,28097,28665,28768,29064,1488,1394,962,1500,2541,2000,0</t>
  </si>
  <si>
    <t>403,150000,1,1,2,41,-1,-1,-1,-1,-1,2,1464,2084,384,0,2344,822,2091,384,0,2344,0,472,1</t>
  </si>
  <si>
    <t>404,30000,1,2,1,48,0,0,0,0,0,0,27879,28870,27806,25142,25667,26179,1774,1710,1046,1079,1089,2244,0</t>
  </si>
  <si>
    <t>405,160000,2,1,2,29,2,2,2,2,2,2,160432,163916,159676,166893,170098,153800,7500,0,11558,5800,0,5654,1</t>
  </si>
  <si>
    <t>406,200000,1,1,1,52,-2,-2,-2,-2,-2,-2,3858,2690,3410,0,0,82150,2690,3487,0,0,85900,396,0</t>
  </si>
  <si>
    <t>407,120000,2,2,1,25,0,0,0,-2,-2,-2,26476,21393,0,0,0,0,6000,0,0,0,0,0,0</t>
  </si>
  <si>
    <t>408,500000,1,1,1,37,1,2,0,0,0,0,507062,491956,430637,376657,356636,303510,325,15296,12137,12312,14113,10526,0</t>
  </si>
  <si>
    <t>409,320000,2,1,2,27,0,0,0,0,0,0,55607,62893,59001,61565,59508,66541,11404,8232,10450,9697,16477,11341,0</t>
  </si>
  <si>
    <t>410,280000,1,1,2,31,0,0,0,0,0,0,168382,175646,180650,182672,168399,167983,10000,8000,6371,6217,5947,6288,0</t>
  </si>
  <si>
    <t>411,60000,2,1,2,23,1,2,2,2,2,2,29332,28577,30805,31601,32349,32965,0,2709,1600,1400,1300,1200,1</t>
  </si>
  <si>
    <t>412,200000,2,1,1,38,-1,-1,-2,-1,-1,-2,190,0,0,367,-150,-150,0,0,367,150,0,0,0</t>
  </si>
  <si>
    <t>413,230000,2,1,1,32,1,-2,-1,-1,-1,-1,0,0,2809,4595,792,3404,0,2809,4606,792,3404,0,0</t>
  </si>
  <si>
    <t>414,230000,2,2,2,27,1,2,0,0,0,0,13668,12647,13135,10596,9218,5068,0,1064,423,313,1000,4641,1</t>
  </si>
  <si>
    <t>415,480000,2,3,1,41,-2,-2,-2,-2,-2,-2,14867,26665,199960,9033,19371,22593,26734,199982,9033,19371,22593,2000,0</t>
  </si>
  <si>
    <t>416,50000,2,3,1,35,-1,-1,-1,-2,-2,-2,22500,5000,0,0,0,0,5000,0,0,0,0,640,0</t>
  </si>
  <si>
    <t>417,200000,2,1,2,31,-2,-2,-2,-2,-2,-2,7184,14845,1097,0,0,160,17507,1102,0,0,160,1103,0</t>
  </si>
  <si>
    <t>418,50000,2,1,2,30,0,0,0,0,0,2,14811,16262,17286,17895,19450,18990,2000,1600,1200,2000,0,1000,0</t>
  </si>
  <si>
    <t>419,50000,1,2,1,48,0,0,0,0,0,0,44338,43048,35639,18753,19091,19548,3629,3332,2000,2000,2000,2500,0</t>
  </si>
  <si>
    <t>420,260000,2,1,2,36,1,-2,-2,-2,-2,-2,0,0,0,0,0,0,0,0,0,0,0,0,1</t>
  </si>
  <si>
    <t>421,30000,1,1,2,24,2,0,0,0,0,2,25265,26354,27710,27959,30002,29371,1500,1800,1007,2500,0,1800,0</t>
  </si>
  <si>
    <t>422,440000,2,1,2,29,0,0,0,0,0,0,169661,167199,158520,156977,157963,151936,8071,9021,7013,6013,6028,6010,0</t>
  </si>
  <si>
    <t>423,230000,2,2,2,38,-1,-1,-1,-1,-1,-1,10237,2795,1350,371,2980,0,2795,1350,371,2980,0,2213,0</t>
  </si>
  <si>
    <t>424,200000,1,2,1,38,2,2,2,0,0,0,104978,105924,102663,97090,98045,105253,4500,0,3500,3500,9000,0,1</t>
  </si>
  <si>
    <t>425,490000,2,2,1,30,0,0,0,0,0,0,192586,197967,201666,205798,196698,190306,10000,7143,7306,6303,6429,6000,0</t>
  </si>
  <si>
    <t>426,80000,2,2,1,32,-1,-1,-2,-2,-2,-2,11262,0,0,0,0,0,0,0,0,0,0,0,0</t>
  </si>
  <si>
    <t>427,20000,2,3,2,49,2,2,2,2,0,0,9551,12081,13087,12583,15327,16414,3000,1500,0,3123,1500,1000,1</t>
  </si>
  <si>
    <t>428,170000,2,1,2,31,-1,-1,-1,-1,0,-1,199,199,199,398,199,199,199,199,398,0,199,398,1</t>
  </si>
  <si>
    <t>429,70000,1,1,2,27,0,0,0,0,0,0,70119,68536,66601,29401,28949,29795,3600,1646,600,28468,1327,1000,0</t>
  </si>
  <si>
    <t>430,210000,2,2,2,33,0,0,0,0,0,0,212601,177946,119362,117766,68791,66167,6000,4500,5000,3000,3000,3000,0</t>
  </si>
  <si>
    <t>431,90000,2,2,2,25,0,0,0,0,0,0,91894,71732,73241,74424,76070,77648,3200,3300,3000,3001,3000,3100,0</t>
  </si>
  <si>
    <t>432,390000,2,1,2,27,0,0,0,0,0,0,304867,299998,300426,292869,292885,281826,13007,10612,10041,11000,10512,7000,1</t>
  </si>
  <si>
    <t>433,110000,2,1,2,29,0,0,0,0,0,0,48123,49537,50422,50990,52014,53206,2500,2500,2000,2000,2057,2500,0</t>
  </si>
  <si>
    <t>434,580000,2,1,1,36,0,0,0,0,0,0,159760,162189,166127,169365,168755,167964,6422,6565,5951,6006,5894,5946,0</t>
  </si>
  <si>
    <t>435,360000,1,3,1,55,0,0,-1,-1,-1,-2,9210,8485,17231,1770,0,0,6015,17454,1775,0,0,0,0</t>
  </si>
  <si>
    <t>436,270000,2,2,1,32,1,2,2,2,2,2,234752,233036,229286,217644,223690,221413,10000,8000,0,16000,8000,0,1</t>
  </si>
  <si>
    <t>437,60000,2,1,2,27,-1,-1,-2,-1,2,-1,14072,0,0,300,150,150,0,0,300,0,150,200,0</t>
  </si>
  <si>
    <t>438,110000,1,3,1,37,0,0,0,0,0,0,61807,62499,62162,60605,60272,60145,2300,2200,2300,2200,2300,2300,0</t>
  </si>
  <si>
    <t>439,50000,2,1,1,25,0,0,0,0,0,0,51044,50231,46677,44982,21399,20859,2500,3008,1000,761,800,704,0</t>
  </si>
  <si>
    <t>440,80000,2,1,2,23,0,0,0,0,0,0,77024,73281,57806,37642,46235,47110,3212,1600,956,40000,1800,1700,1</t>
  </si>
  <si>
    <t>441,50000,1,2,2,23,-1,-1,-1,-1,0,0,350,350,400,1695,12645,12584,350,400,1695,11300,485,2400,0</t>
  </si>
  <si>
    <t>442,100000,1,1,2,32,0,0,0,0,2,2,83831,85586,87289,91451,93381,89522,4000,4037,6500,3500,0,3200,0</t>
  </si>
  <si>
    <t>443,30000,2,1,2,26,1,-2,-1,-1,-1,-1,0,0,945,0,197,2995,0,945,0,197,2995,0,0</t>
  </si>
  <si>
    <t>444,200000,2,1,2,27,0,0,0,0,0,0,122923,124653,126355,114881,117213,124793,5704,5930,4000,4003,10033,4400,0</t>
  </si>
  <si>
    <t>445,240000,1,1,2,44,0,0,0,0,0,0,246135,231443,234557,200643,194410,198857,12026,9010,7400,8000,8000,7000,1</t>
  </si>
  <si>
    <t>446,220000,1,2,2,34,0,0,0,0,0,0,37304,33304,29254,24875,20329,15602,1600,1500,1100,1000,600,500,0</t>
  </si>
  <si>
    <t>447,160000,2,1,2,28,0,0,0,0,0,0,146433,107604,89902,90983,82255,83988,4500,4400,3000,2400,2500,2500,0</t>
  </si>
  <si>
    <t>448,180000,2,1,1,53,-1,-1,-1,0,0,-1,46122,1260,29366,5400,0,1599,1260,29366,54,0,1599,0,0</t>
  </si>
  <si>
    <t>449,200000,1,4,1,42,0,0,0,0,0,0,38564,38246,32253,30384,30900,0,5000,1485,1956,1500,0,2102,0</t>
  </si>
  <si>
    <t>450,140000,2,3,1,30,0,0,0,2,0,0,96304,98007,82227,65000,60848,58880,4505,12906,0,2210,2300,5200,0</t>
  </si>
  <si>
    <t>451,380000,1,1,1,51,1,-2,-2,-2,-2,-2,0,0,0,0,0,0,0,0,0,0,0,0,1</t>
  </si>
  <si>
    <t>452,600000,1,1,1,53,2,2,0,0,0,0,467150,458862,469703,447130,440982,434715,0,18000,16000,16000,21000,20000,1</t>
  </si>
  <si>
    <t>453,260000,1,2,2,37,0,0,0,-1,0,0,255691,262736,36638,122388,127402,131074,14000,5022,130000,7000,6000,6000,0</t>
  </si>
  <si>
    <t>454,200000,2,1,2,26,0,0,-2,-2,-2,-2,156786,179,1443,1443,1443,871,179,1443,1443,1443,871,2015,0</t>
  </si>
  <si>
    <t>455,80000,1,2,2,42,0,0,0,0,0,0,78129,28202,78553,49340,48919,48443,2500,51432,1800,1800,1800,1700,0</t>
  </si>
  <si>
    <t>456,40000,1,2,2,39,0,0,0,0,0,-1,40034,36549,17431,15031,10600,5315,2027,1207,301,212,5315,4987,0</t>
  </si>
  <si>
    <t>457,130000,1,3,2,39,1,2,2,2,2,2,71034,69329,74175,72383,77217,75820,0,6000,0,6000,0,6000,0</t>
  </si>
  <si>
    <t>458,50000,1,1,2,32,-1,0,0,0,0,-2,23974,24131,25326,25775,0,0,1800,1900,1300,0,0,0,0</t>
  </si>
  <si>
    <t>459,230000,2,2,1,41,-1,-1,-1,-1,-1,-1,819,18163,5473,8162,6985,9130,18163,5654,12887,6985,9130,6554,0</t>
  </si>
  <si>
    <t>460,70000,1,2,1,48,0,0,0,0,0,-1,50927,39883,32017,17630,9730,6400,2100,1217,500,0,6400,4590,1</t>
  </si>
  <si>
    <t>461,180000,2,2,1,38,0,0,0,0,0,0,152510,151651,159019,123022,126075,126219,5657,10372,5000,5000,5000,5000,0</t>
  </si>
  <si>
    <t>462,80000,2,2,1,36,-1,-1,-1,-1,-1,-1,1689,8638,5702,2980,1260,7868,8638,5723,2980,1260,7868,2198,0</t>
  </si>
  <si>
    <t>463,290000,2,2,2,26,0,0,0,-1,-1,0,20807,99860,100000,3015,23473,1448,80000,3000,3015,23473,1148,4900,0</t>
  </si>
  <si>
    <t>464,230000,2,1,2,28,0,0,0,0,0,0,30141,131255,110503,99283,97599,96116,120093,8034,3013,4010,5882,3000,0</t>
  </si>
  <si>
    <t>465,170000,2,3,3,56,1,-2,-1,-1,-2,-1,0,0,1991,0,0,150,0,1991,0,0,150,614,0</t>
  </si>
  <si>
    <t>466,230000,1,1,1,59,-1,0,0,0,0,0,208459,206331,203813,201331,198999,191671,7536,7277,7100,7120,6844,6945,1</t>
  </si>
  <si>
    <t>467,220000,1,1,2,38,0,0,0,0,0,0,212795,211043,212759,218541,167743,165300,8909,7500,9000,6729,6000,7009,1</t>
  </si>
  <si>
    <t>468,230000,1,2,2,32,0,0,0,0,0,0,28114,28006,25000,22046,19860,19831,1610,1224,655,627,620,500,0</t>
  </si>
  <si>
    <t>469,500000,1,2,1,38,0,0,0,-1,0,0,59372,49677,49515,42568,48268,51481,10026,7241,50091,25000,5078,2132,0</t>
  </si>
  <si>
    <t>470,90000,2,1,1,41,-1,-1,-1,-1,-1,-1,6160,3274,6190,307,2870,670,3276,6246,307,2870,670,1362,0</t>
  </si>
  <si>
    <t>471,390000,2,3,2,35,0,0,0,0,0,0,355215,363325,373181,252195,257496,263018,13802,16525,8893,9229,10000,9435,1</t>
  </si>
  <si>
    <t>472,400000,2,2,2,41,0,0,0,0,0,0,366193,372700,375948,195991,152127,155182,14020,13595,6243,6007,6061,6012,0</t>
  </si>
  <si>
    <t>473,180000,1,2,1,34,-1,-1,-1,-1,-1,-1,2927,2790,1140,2144,1180,1382,2790,1140,2144,1180,1382,2440,0</t>
  </si>
  <si>
    <t>474,60000,1,3,1,38,1,2,2,0,0,2,29295,30321,31018,32193,34213,35002,1800,1500,2000,2700,1500,0,0</t>
  </si>
  <si>
    <t>475,120000,2,2,1,32,-1,-1,-1,-1,-1,-1,4158,2682,0,6440,0,5930,2682,0,6440,0,5930,5120,0</t>
  </si>
  <si>
    <t>476,60000,2,2,2,29,0,0,0,0,0,0,27199,28358,28937,29614,30391,23159,1900,1400,1000,1100,1000,420,0</t>
  </si>
  <si>
    <t>477,50000,1,1,2,44,0,0,0,0,0,0,50893,28527,29241,28513,29106,29638,1800,1500,1200,1203,1166,1000,0</t>
  </si>
  <si>
    <t>478,70000,2,2,1,37,0,0,0,2,0,0,66759,68200,72972,71248,50610,50809,2518,5950,0,1782,1985,2700,0</t>
  </si>
  <si>
    <t>479,500000,2,1,1,38,-1,2,-1,-1,-1,0,600,300,501,300,600,450,0,501,300,600,300,600,0</t>
  </si>
  <si>
    <t>480,200000,1,1,2,31,-2,-2,-2,-2,-2,-2,0,0,0,0,0,0,0,0,0,0,0,0,0</t>
  </si>
  <si>
    <t>481,250000,2,2,1,40,0,0,0,0,-1,2,44930,137101,90801,0,1069,919,120041,4435,0,1069,0,67619,0</t>
  </si>
  <si>
    <t>482,140000,1,2,2,26,0,0,2,2,2,2,131367,146193,140202,144035,140419,130271,17000,0,11400,550,5300,5400,1</t>
  </si>
  <si>
    <t>483,70000,2,2,2,28,0,0,0,0,-1,2,41264,41799,37887,37876,6736,4162,2112,1200,758,6736,0,0,0</t>
  </si>
  <si>
    <t>484,90000,1,3,1,48,1,2,2,2,2,2,77604,73317,71334,67009,63228,59378,1700,4000,1600,1600,1500,4086,0</t>
  </si>
  <si>
    <t>485,100000,2,2,1,43,-1,-1,-1,-1,-1,-1,2491,1709,574,556,2306,2562,1709,574,556,2306,2562,2111,0</t>
  </si>
  <si>
    <t>486,190000,1,2,1,31,0,0,0,0,0,0,177554,180633,172914,130139,115494,117465,7600,6303,4137,3502,4027,3517,0</t>
  </si>
  <si>
    <t>487,230000,2,1,1,42,-1,-1,-1,-1,-1,-1,6865,15111,13165,0,10500,6992,15111,13165,0,10500,6992,0,0</t>
  </si>
  <si>
    <t>488,320000,1,2,1,39,0,0,0,0,0,0,93768,91523,91579,91193,92837,95323,3317,3506,4218,5000,6080,938,0</t>
  </si>
  <si>
    <t>489,220000,2,2,1,36,-1,-1,-1,0,-1,-1,396,1648,792,396,396,396,1648,792,0,396,396,792,1</t>
  </si>
  <si>
    <t>490,260000,2,1,1,34,-1,-1,-1,-1,-1,-1,16426,6088,4663,3885,4414,2514,6277,4663,4140,4414,2646,7725,0</t>
  </si>
  <si>
    <t>491,90000,2,2,2,32,-2,-2,-2,-2,-2,-2,573,0,0,0,0,0,157,0,0,0,0,0,0</t>
  </si>
  <si>
    <t>492,30000,2,2,1,43,2,2,2,2,2,0,28703,26622,24022,24368,20859,19633,1300,2,1608,0,900,800,0</t>
  </si>
  <si>
    <t>493,260000,1,2,2,30,0,0,0,2,0,0,98560,100980,222102,108724,68500,69174,4000,11900,207,2003,2003,2003,0</t>
  </si>
  <si>
    <t>494,170000,2,2,2,28,0,0,-1,-1,-2,-2,28304,17616,308,0,0,0,4000,308,0,0,0,0,0</t>
  </si>
  <si>
    <t>495,80000,2,1,1,28,0,0,0,0,0,0,8574,9434,10038,10040,10400,10490,1203,1047,248,408,294,276,1</t>
  </si>
  <si>
    <t>496,50000,1,1,1,41,-1,-1,-1,-1,-1,-1,508,672,226,390,220,320,1000,390,1000,220,640,1000,0</t>
  </si>
  <si>
    <t>497,200000,2,3,2,47,0,0,0,0,0,0,203183,202961,194449,196814,200526,198717,7521,7000,7000,7128,8000,7100,0</t>
  </si>
  <si>
    <t>498,20000,1,2,2,23,0,0,2,0,0,0,16440,20417,18333,18848,30190,19664,7403,0,820,1025,1113,104,0</t>
  </si>
  <si>
    <t>499,250000,2,1,1,49,-1,-1,-2,-1,-1,-1,66,0,0,120,-6,1639,0,0,120,6,1645,0,0</t>
  </si>
  <si>
    <t>500,20000,1,1,1,38,0,0,0,2,2,0,15912,17272,20565,20705,20255,19933,1623,3916,750,0,800,850,0</t>
  </si>
  <si>
    <t>501,30000,2,2,1,38,0,0,0,0,2,2,20344,21705,22537,24161,25128,24576,2000,1500,2000,1500,0,1200,0</t>
  </si>
  <si>
    <t>502,90000,2,2,1,35,1,2,2,2,2,2,23132,22474,28067,27320,31199,30548,0,6000,0,4500,0,2000,0</t>
  </si>
  <si>
    <t>503,230000,2,6,2,46,0,0,0,0,0,0,221590,227397,230302,186635,189896,193351,10000,9000,8000,8000,7500,7000,0</t>
  </si>
  <si>
    <t>504,130000,2,1,1,33,0,0,0,0,0,0,19161,20544,22704,22304,22304,0,2000,3000,0,0,0,0,1</t>
  </si>
  <si>
    <t>505,30000,1,6,1,53,-2,-2,-2,-2,-2,-2,0,0,0,0,0,0,0,0,0,0,0,0,0</t>
  </si>
  <si>
    <t>506,160000,1,1,2,35,-1,-1,-1,-1,-1,-1,396,396,396,0,792,1220,396,396,0,793,1220,0,0</t>
  </si>
  <si>
    <t>507,500000,2,2,2,43,-1,-1,-1,0,0,-1,3959,0,285138,249445,222831,200,0,285138,4989,100,200,528666,0</t>
  </si>
  <si>
    <t>508,180000,2,2,2,28,0,0,0,0,0,2,42238,38741,36696,35813,37893,34661,2500,2000,1128,2500,0,2000,0</t>
  </si>
  <si>
    <t>509,80000,2,2,1,30,0,0,0,0,0,2,21507,13207,13997,10914,10685,5515,1700,1400,200,1000,0,500,0</t>
  </si>
  <si>
    <t>510,120000,1,1,2,26,-1,-1,-2,-1,-1,-2,884,0,0,10446,0,0,0,0,10446,0,0,0,0</t>
  </si>
  <si>
    <t>511,130000,1,2,1,31,-1,-1,-1,-1,-1,2,1261,1261,1261,1411,930,390,1261,1261,1411,930,0,780,0</t>
  </si>
  <si>
    <t>512,120000,2,2,2,35,-1,-1,-1,-1,-1,-1,240,240,240,240,240,240,240,240,240,240,240,240,1</t>
  </si>
  <si>
    <t>513,360000,1,1,2,28,-1,-1,-1,-1,-1,-1,20223,52962,3978,1743,2828,50537,53228,3997,1750,2853,51041,3219,0</t>
  </si>
  <si>
    <t>514,50000,1,2,2,23,2,2,2,2,2,2,29509,30741,31438,31924,32566,33081,2000,1500,1300,1300,1200,1500,1</t>
  </si>
  <si>
    <t>515,20000,2,2,2,23,0,0,2,0,0,0,18355,20259,19534,16467,15746,13246,2900,10,577,430,1017,4,0</t>
  </si>
  <si>
    <t>516,100000,1,3,1,56,0,0,-1,0,0,0,94265,53376,85787,78762,79529,80335,2385,88678,2169,2634,3132,732,0</t>
  </si>
  <si>
    <t>517,70000,1,3,1,32,0,0,0,0,0,0,68739,67629,69188,68392,69884,71284,3060,3300,2610,2750,2750,5500,0</t>
  </si>
  <si>
    <t>518,50000,1,2,1,47,0,0,0,0,0,0,13917,16695,21320,18614,19003,19439,3000,5000,2000,618,679,500,0</t>
  </si>
  <si>
    <t>519,10000,2,2,2,22,1,2,0,0,0,0,10250,8558,10525,10050,9903,9984,0,2126,390,328,476,1287,0</t>
  </si>
  <si>
    <t>520,290000,2,1,1,34,0,0,0,0,0,0,93844,97708,103066,104864,110151,115297,6000,7000,5000,7000,7000,7000,0</t>
  </si>
  <si>
    <t>521,30000,2,1,1,31,0,0,0,0,0,0,16496,17522,18531,18744,19291,19818,1597,1606,819,1000,1000,1623,0</t>
  </si>
  <si>
    <t>522,410000,2,2,2,27,1,-1,0,0,0,0,-58,32991,36465,44310,62408,61420,33049,16000,8700,18775,15000,5350,0</t>
  </si>
  <si>
    <t>523,360000,1,1,2,28,-1,-1,-1,0,0,-1,1210,820,64644,125984,106584,125557,390,75720,62520,17000,132200,167000,1</t>
  </si>
  <si>
    <t>524,140000,2,2,1,42,0,0,0,0,0,0,111496,112133,69529,70804,70781,66735,6022,3021,5012,5112,3000,5000,1</t>
  </si>
  <si>
    <t>525,210000,2,1,2,32,0,0,0,0,0,0,67374,69489,70937,71761,73505,74827,3200,3200,2600,2900,2700,3000,0</t>
  </si>
  <si>
    <t>526,220000,2,2,2,27,-1,-1,-1,-1,-1,-1,1692,13250,433,1831,0,2891,13250,433,1831,0,2891,153504,0</t>
  </si>
  <si>
    <t>527,20000,1,2,2,27,1,2,0,0,0,2,18649,18066,19040,19446,20759,20241,0,1594,1000,1606,0,300,0</t>
  </si>
  <si>
    <t>528,620000,2,2,1,45,2,2,0,0,0,0,160837,156839,160440,163781,167159,170894,0,6200,6000,6000,6500,6000,1</t>
  </si>
  <si>
    <t>529,360000,1,1,2,26,1,-2,-2,-2,-1,-1,-8,-8,-8,-8,1677,2600,0,0,0,1685,2613,0,0</t>
  </si>
  <si>
    <t>530,20000,2,2,2,21,-1,-1,2,2,-1,-1,18763,14410,13771,362,5308,0,14410,0,28,22073,0,0,0</t>
  </si>
  <si>
    <t>531,50000,1,2,2,23,0,0,0,0,0,0,34549,18552,19334,18165,19322,19575,2836,1200,13000,1500,9000,1000,0</t>
  </si>
  <si>
    <t>532,50000,1,2,3,30,0,0,0,0,0,0,97538,49187,17518,17710,18079,18302,2454,1588,780,803,673,637,0</t>
  </si>
  <si>
    <t>533,10000,1,2,2,46,0,0,2,2,2,0,4073,6394,6143,6908,6652,6785,2400,0,871,0,244,251,1</t>
  </si>
  <si>
    <t>534,100000,2,3,1,50,2,0,0,3,3,2,53849,55030,61574,62470,61198,62524,2050,7500,2500,0,2500,2500,1</t>
  </si>
  <si>
    <t>535,50000,1,1,2,26,-2,-2,-2,-2,-2,-2,2411,3059,2333,1800,1620,0,3068,2440,1807,2204,0,0,0</t>
  </si>
  <si>
    <t>536,60000,1,2,2,25,-1,-1,0,-1,-1,0,480,1675,3630,578,4825,6200,1675,2500,578,4825,2000,2435,0</t>
  </si>
  <si>
    <t>537,440000,2,1,2,35,0,0,0,0,0,0,330759,337794,274075,252584,216547,179221,13100,11000,10000,9000,7100,5500,0</t>
  </si>
  <si>
    <t>538,120000,1,2,1,44,0,0,0,0,0,0,92007,87939,82094,59105,53442,46775,5417,2847,2066,1919,2200,0,0</t>
  </si>
  <si>
    <t>539,50000,2,1,2,52,0,0,0,-2,-1,-1,3257,4166,0,0,318,0,1000,0,0,318,0,0,0</t>
  </si>
  <si>
    <t>540,110000,2,2,1,40,1,2,2,2,2,2,92638,90905,95768,97004,99005,101213,600,7300,3700,3700,4000,3800,0</t>
  </si>
  <si>
    <t>541,200000,2,1,2,38,-1,-1,-2,-2,-1,-1,399,0,0,0,218,270,0,0,0,218,270,317,0</t>
  </si>
  <si>
    <t>542,150000,2,1,2,28,1,-2,-2,-2,-2,-1,0,0,0,0,0,318,0,0,0,0,318,0,0</t>
  </si>
  <si>
    <t>543,30000,2,2,1,36,2,3,2,2,0,0,28778,28039,28286,27533,28189,28805,0,1000,0,1100,1100,1500,1</t>
  </si>
  <si>
    <t>544,100000,2,1,2,24,0,0,0,0,-1,-1,30092,30486,30178,29735,14718,29427,1553,5000,87,14761,29514,330,0</t>
  </si>
  <si>
    <t>545,360000,2,1,1,34,-1,0,0,-1,0,-1,12339,10138,23912,9785,166,2142,10000,13912,9785,0,2142,4230,0</t>
  </si>
  <si>
    <t>546,390000,2,1,2,31,0,0,0,0,0,0,50620,43220,44237,46495,47751,51941,5000,3000,3000,2000,5000,5000,0</t>
  </si>
  <si>
    <t>547,220000,2,1,1,41,1,-2,-2,-2,-2,-2,-65,-65,-65,-65,-65,-200,0,0,0,0,0,0,1</t>
  </si>
  <si>
    <t>548,160000,2,2,2,25,-2,-2,-2,-2,-2,-2,0,0,0,0,0,0,0,0,0,0,0,0,0</t>
  </si>
  <si>
    <t>549,230000,2,1,2,28,-1,-1,0,0,0,0,2403,7357,9752,12608,10797,20539,7357,2566,3000,1000,10000,2000,0</t>
  </si>
  <si>
    <t>550,120000,1,1,2,27,0,0,0,0,0,0,52437,50473,45087,35424,31760,31214,5024,5000,5000,4000,5000,3500,0</t>
  </si>
  <si>
    <t>551,100000,1,3,1,52,0,0,2,2,2,0,4657,6068,6418,6781,6144,7638,1500,1000,1000,0,2000,2000,1</t>
  </si>
  <si>
    <t>552,190000,2,1,2,41,-1,-1,-1,-1,-1,-1,28204,0,16500,0,26854,554,0,16500,0,26854,500,0,1</t>
  </si>
  <si>
    <t>553,50000,1,1,1,56,0,0,0,0,0,0,50715,51073,28185,28842,30399,29977,2500,1500,1100,2000,1500,1017,1</t>
  </si>
  <si>
    <t>554,240000,2,1,1,42,1,-1,-1,-2,-2,-2,0,6370,0,0,0,0,6370,0,0,0,0,0,0</t>
  </si>
  <si>
    <t>555,40000,2,2,2,24,-2,-2,-2,-2,-2,-2,35285,36714,37356,38184,38724,37255,2000,1600,1401,1607,1800,1751,0</t>
  </si>
  <si>
    <t>556,630000,2,2,1,47,0,0,0,-1,-1,-2,37850,68187,1207,2632,8654,0,38187,1207,2632,8654,0,4981,0</t>
  </si>
  <si>
    <t>557,160000,2,1,1,33,-2,-2,-2,-2,-2,-2,5233,5393,1824,350,150,199,5401,1829,350,150,199,1145,0</t>
  </si>
  <si>
    <t>558,110000,2,2,2,32,0,0,2,2,2,2,65299,74565,78516,79829,81603,83206,11000,5800,3200,3200,3100,3000,0</t>
  </si>
  <si>
    <t>559,20000,1,2,2,29,0,0,0,-2,-2,-2,17208,18419,0,0,0,0,2055,0,0,0,0,0,0</t>
  </si>
  <si>
    <t>560,210000,2,3,1,53,0,0,0,0,0,0,57192,58472,59658,60466,61593,65163,2800,2753,2400,2255,4767,0,0</t>
  </si>
  <si>
    <t>561,270000,1,1,2,34,-1,-1,0,-1,-1,-1,5780,12006,15736,6621,2457,14923,12006,5736,6621,2457,14923,1712,0</t>
  </si>
  <si>
    <t>562,360000,2,2,2,52,-2,-2,-2,-2,-2,-2,640,2113,-6,999,944,-3,2231,0,1005,948,0,789,0</t>
  </si>
  <si>
    <t>563,60000,2,2,1,42,-1,-1,-1,-1,-1,-1,631,2790,1758,416,416,3640,2790,1758,416,416,3640,730,0</t>
  </si>
  <si>
    <t>564,360000,1,2,2,38,-1,0,0,0,0,0,108351,111201,63146,63723,65108,66078,8005,8004,5000,5000,5000,105700,0</t>
  </si>
  <si>
    <t>565,390000,2,1,2,45,2,2,2,-1,2,2,834,155,-1690,4240,3346,2698,1,1693,6940,7,1230,3,0</t>
  </si>
  <si>
    <t>566,250000,2,3,2,35,-2,-2,-2,-2,-2,-2,7244,8472,1738,6706,2391,11082,8514,1751,6739,2403,11137,13407,0</t>
  </si>
  <si>
    <t>567,90000,2,1,2,24,0,0,0,0,0,0,13141,14526,15482,18219,22737,23387,1600,1500,3000,5000,1020,764,1</t>
  </si>
  <si>
    <t>568,360000,1,1,2,28,-1,-1,-1,-1,-1,-1,7071,401,3545,10540,10132,6220,1510,3575,10573,10155,6240,16071,0</t>
  </si>
  <si>
    <t>569,50000,1,3,2,26,0,0,0,0,0,0,35429,30626,30241,20284,19166,19567,1537,1947,800,1000,718,683,0</t>
  </si>
  <si>
    <t>570,270000,2,1,1,40,0,0,0,-2,-2,-2,18751,5706,0,0,0,0,1000,0,0,0,0,0,0</t>
  </si>
  <si>
    <t>571,200000,2,1,2,29,1,-1,-1,-1,-1,-1,55788,8360,4897,5065,19468,0,8394,4927,5089,19561,0,125,0</t>
  </si>
  <si>
    <t>572,50000,2,2,2,23,0,0,0,0,0,0,49809,50364,38429,18815,18305,19013,2040,2766,1690,1000,1000,1000,0</t>
  </si>
  <si>
    <t>573,350000,1,1,2,33,-1,-1,-1,-2,-2,-1,10900,10478,-22,-22,-22,4532,10530,0,0,0,4554,0,0</t>
  </si>
  <si>
    <t>574,160000,2,2,2,60,-2,-1,-1,0,-1,-1,3128,5156,1089,489,3177,1009,5156,1089,0,3177,1009,0,1</t>
  </si>
  <si>
    <t>575,80000,2,3,1,49,-1,-1,-1,-1,-1,-1,3367,4641,2290,1459,6764,7601,4641,2290,1459,6764,7601,7990,0</t>
  </si>
  <si>
    <t>576,290000,1,1,1,53,2,0,0,0,0,0,279610,282024,282508,284660,255892,238266,13000,10200,10265,8803,8300,8546,1</t>
  </si>
  <si>
    <t>577,270000,2,1,2,28,-1,-1,-1,0,0,0,475,475,5691,37526,50565,48888,475,5691,34000,14000,8000,15000,0</t>
  </si>
  <si>
    <t>578,80000,1,1,2,31,-1,-1,-1,-1,2,-1,5994,32223,8308,4082,538,4085,13647,8314,4082,0,4085,0,0</t>
  </si>
  <si>
    <t>579,50000,1,2,2,36,0,0,0,0,0,0,5197,6015,6615,7131,6987,6980,1300,1100,1000,500,500,1000,0</t>
  </si>
  <si>
    <t>580,30000,1,2,1,35,-2,-1,-1,-1,-1,-2,7797,2687,8762,3377,2000,0,2687,8765,3390,2040,0,0,0</t>
  </si>
  <si>
    <t>581,30000,1,2,2,28,1,-1,-1,-2,-2,-2,0,780,0,0,0,0,780,0,0,0,0,0,1</t>
  </si>
  <si>
    <t>582,90000,1,2,2,33,-1,0,0,0,0,0,35785,29155,27485,29266,35598,38449,15155,5485,5263,8598,5449,6537,0</t>
  </si>
  <si>
    <t>583,160000,1,1,2,26,-1,-1,-1,-1,-1,-1,1433,3746,30258,1036,21572,9528,3757,30348,1044,21636,9556,6066,0</t>
  </si>
  <si>
    <t>584,80000,2,3,2,53,0,0,0,0,0,0,77766,77954,78512,60452,61556,54022,4000,2374,2007,2500,3000,2000,0</t>
  </si>
  <si>
    <t>585,50000,1,2,2,42,0,0,0,0,0,0,50300,50898,49111,48943,45775,0,2200,1600,1700,1700,0,0,0</t>
  </si>
  <si>
    <t>586,20000,2,1,2,25,0,0,0,0,0,2,14603,15661,16394,16723,18056,17618,1600,1300,600,1600,0,800,0</t>
  </si>
  <si>
    <t>587,220000,1,1,1,43,1,-2,-2,-2,-2,-2,0,0,0,0,0,0,0,0,0,0,0,0,1</t>
  </si>
  <si>
    <t>588,210000,1,3,2,25,-1,-1,2,-1,-1,-1,8817,23634,21776,9631,1561,1990,23776,0,9631,1561,1990,7967,1</t>
  </si>
  <si>
    <t>589,130000,2,2,2,29,0,0,0,0,0,0,131575,130931,132969,45584,46516,47455,6700,6000,1291,1319,1336,1365,0</t>
  </si>
  <si>
    <t>590,260000,2,2,1,31,-1,-1,0,0,-1,-1,5841,23194,62361,67057,17024,18659,23194,50000,11500,17024,18659,38923,0</t>
  </si>
  <si>
    <t>591,230000,2,1,1,30,0,0,0,-1,0,0,30341,25981,24092,65840,56538,51522,5000,5000,65840,2000,2000,10000,0</t>
  </si>
  <si>
    <t>592,160000,1,1,2,34,0,0,0,0,0,0,83255,83912,85161,85715,86773,87526,4000,3924,3200,3300,3425,3013,0</t>
  </si>
  <si>
    <t>593,50000,1,1,1,35,0,0,0,0,0,0,34976,6018,13930,7106,6020,9011,1127,1074,215,249,4383,172,0</t>
  </si>
  <si>
    <t>594,80000,1,2,1,32,0,0,0,0,0,0,48747,45955,44989,41358,42379,38052,2145,1844,2009,5017,2000,5002,0</t>
  </si>
  <si>
    <t>595,110000,1,3,2,46,0,0,0,0,0,0,56700,57875,59044,59756,61004,62213,2681,2724,2287,2362,2374,2454,0</t>
  </si>
  <si>
    <t>596,200000,1,1,1,43,0,0,0,0,0,0,144678,140804,136437,135253,134629,134309,5090,5014,5009,4844,5002,4902,0</t>
  </si>
  <si>
    <t>597,360000,1,2,2,29,0,0,0,0,0,0,268112,263368,259969,255832,245462,250244,9429,8738,7017,7154,7073,7300,0</t>
  </si>
  <si>
    <t>598,210000,2,3,2,31,1,-2,-2,-2,-2,-2,0,0,0,0,0,0,0,0,0,0,0,0,0</t>
  </si>
  <si>
    <t>599,80000,2,2,2,24,2,0,0,0,0,0,79243,75254,58683,58886,60035,57264,3249,3000,5000,2500,2300,2200,0</t>
  </si>
  <si>
    <t>600,300000,2,2,1,36,-1,-1,2,0,-1,-1,-475,5191,4606,2303,2768,65373,10000,0,0,2768,65373,10780,1</t>
  </si>
  <si>
    <t>601,310000,2,2,1,43,0,0,0,0,0,0,23396,24182,25135,25095,25356,25514,1426,1379,867,898,933,807,0</t>
  </si>
  <si>
    <t>602,30000,1,3,1,59,-1,-1,-1,-1,-1,-1,390,390,390,390,390,1320,390,390,390,390,1320,0,1</t>
  </si>
  <si>
    <t>603,170000,1,1,1,53,0,0,0,0,0,0,17862,17927,18800,17647,18015,12930,1323,1196,544,563,629,361,0</t>
  </si>
  <si>
    <t>604,140000,2,2,2,28,2,2,2,0,0,2,26450,28823,28171,28740,30454,29930,3007,0,924,2070,0,3000,0</t>
  </si>
  <si>
    <t>605,180000,2,2,2,31,1,-2,-2,-2,-2,-2,0,0,0,0,0,0,0,0,0,0,0,1576,0</t>
  </si>
  <si>
    <t>606,50000,1,1,2,34,1,2,2,2,2,2,22746,22099,24121,23437,25101,24549,0,2700,0,2200,0,1030,0</t>
  </si>
  <si>
    <t>607,50000,2,2,1,36,0,0,0,0,0,-2,9214,10359,7350,7500,0,0,1351,1500,150,0,0,0,0</t>
  </si>
  <si>
    <t>608,110000,2,1,2,24,0,0,0,0,2,0,40882,35428,39680,44097,42543,33189,2000,5000,5000,0,2000,3000,0</t>
  </si>
  <si>
    <t>609,450000,2,3,1,36,-2,-2,-2,-2,-2,-2,3996,9120,8528,0,6368,3000,9120,8528,0,6368,3000,3238,0</t>
  </si>
  <si>
    <t>610,200000,2,2,1,34,-1,-1,-1,-1,-1,-1,390,390,390,561,390,390,390,390,561,390,390,390,0</t>
  </si>
  <si>
    <t>611,220000,1,1,2,43,0,0,-1,-1,-1,-1,44177,25736,19292,18900,13580,33150,1006,32906,18900,13580,33150,0,0</t>
  </si>
  <si>
    <t>612,360000,2,1,2,29,0,0,-2,-2,-2,-1,3280,0,0,0,0,2650,0,0,0,0,2650,0,1</t>
  </si>
  <si>
    <t>613,50000,1,2,1,37,0,0,0,0,0,0,48226,48727,46228,46755,43686,44573,2000,1684,1601,2000,2000,2000,0</t>
  </si>
  <si>
    <t>614,40000,1,2,2,23,2,2,0,0,0,0,36650,29541,26190,26710,27274,29551,0,1435,955,993,2734,0,0</t>
  </si>
  <si>
    <t>615,190000,2,2,1,37,1,2,2,2,2,2,115049,117856,119570,116284,123528,125478,6000,5000,0,9000,4000,5000,0</t>
  </si>
  <si>
    <t>616,150000,1,1,2,33,0,0,0,0,0,0,21724,23168,23320,24085,24149,3323,2100,1200,965,64,509,8399,0</t>
  </si>
  <si>
    <t>617,200000,2,1,1,37,1,-2,-2,-2,-1,-1,0,0,0,0,595,0,0,0,0,595,0,2370,0</t>
  </si>
  <si>
    <t>618,270000,2,2,1,56,0,0,0,0,0,0,137807,123769,104377,106651,109294,101151,5000,5000,3953,4500,4000,3900,0</t>
  </si>
  <si>
    <t>619,60000,1,1,2,25,0,0,0,0,0,0,58839,53235,38533,39639,39619,39140,2018,1900,2000,1500,1900,2000,0</t>
  </si>
  <si>
    <t>620,200000,2,2,1,39,0,0,0,0,0,0,80833,79100,70764,71629,70805,70718,3315,3088,2572,2559,2526,2620,0</t>
  </si>
  <si>
    <t>621,150000,2,2,1,39,0,0,0,0,0,0,36146,36184,37511,33080,30223,31561,3000,3000,3000,2500,2000,2000,0</t>
  </si>
  <si>
    <t>622,180000,2,2,2,28,-1,-1,-1,-1,-1,-1,340,-120,420,460,460,610,0,1000,500,460,610,460,0</t>
  </si>
  <si>
    <t>623,90000,2,1,2,27,0,0,-2,-2,-2,-2,7624,0,0,0,0,0,0,0,0,0,0,0,0</t>
  </si>
  <si>
    <t>624,360000,2,2,1,37,1,-2,-2,-2,-1,-1,0,0,0,0,166,541,0,0,0,166,543,4268,0</t>
  </si>
  <si>
    <t>625,90000,2,1,2,24,-1,-1,-2,-2,-2,-2,491,0,0,0,0,0,0,0,0,0,0,0,0</t>
  </si>
  <si>
    <t>626,20000,2,2,2,24,0,0,0,0,2,0,13168,13888,14900,15916,15519,15829,1237,1249,1265,0,568,1327,0</t>
  </si>
  <si>
    <t>627,70000,1,1,1,46,0,0,0,0,0,0,60040,55274,51766,51757,50013,49946,2600,1800,2000,3140,2000,1800,0</t>
  </si>
  <si>
    <t>628,230000,1,1,1,39,-1,-1,-1,-1,-1,-1,660,660,660,660,660,660,660,660,660,660,660,660,0</t>
  </si>
  <si>
    <t>629,30000,1,3,1,48,0,0,0,0,0,0,29434,28960,29022,29201,29553,29693,1465,2000,1033,1200,1055,530,0</t>
  </si>
  <si>
    <t>630,200000,2,3,3,45,-1,-1,-1,-1,-1,-1,4430,7182,3855,3411,6788,9921,7193,3855,3411,6788,9921,5016,0</t>
  </si>
  <si>
    <t>631,100000,1,3,2,49,-1,-1,-2,-2,-2,-2,1440,0,0,0,0,0,0,0,0,0,0,0,0</t>
  </si>
  <si>
    <t>632,50000,2,2,2,23,0,0,0,0,0,2,26795,28056,29284,30487,33831,33138,2000,2000,2000,4000,0,2000,0</t>
  </si>
  <si>
    <t>633,20000,2,3,1,25,0,0,0,0,0,-2,16591,16442,6401,4300,1304,0,1155,1000,0,1304,0,0,0</t>
  </si>
  <si>
    <t>634,210000,2,2,1,47,-2,-2,-2,-2,-2,-2,0,0,0,0,0,0,0,0,0,0,0,0,0</t>
  </si>
  <si>
    <t>635,110000,1,3,1,56,0,0,0,0,0,0,46486,35758,34323,30452,22628,23468,4086,1428,1318,2171,3198,4976,0</t>
  </si>
  <si>
    <t>636,20000,2,3,1,44,-1,-1,-1,-1,-1,-2,550,228,0,228,0,0,228,0,228,0,0,0,0</t>
  </si>
  <si>
    <t>637,50000,2,3,1,49,0,0,0,0,0,0,5630,6629,5918,6918,6941,4756,1107,1000,1000,1500,2150,0,0</t>
  </si>
  <si>
    <t>638,50000,1,2,1,41,0,0,0,0,0,0,21986,21520,20979,19894,18811,18805,1362,1294,682,680,694,618,0</t>
  </si>
  <si>
    <t>639,400000,2,1,2,40,-1,-1,-1,-1,-1,0,60125,1981,4521,20472,76933,173599,1981,4521,20500,77000,100000,7700,0</t>
  </si>
  <si>
    <t>640,170000,1,2,2,31,0,0,0,0,0,0,56364,58132,59171,55888,53672,51461,3000,3000,2000,3000,3000,3000,0</t>
  </si>
  <si>
    <t>641,280000,1,2,1,42,0,0,0,0,0,0,148363,148432,151310,141937,144990,147911,6900,6867,5500,5500,5500,5600,0</t>
  </si>
  <si>
    <t>642,130000,2,3,1,28,0,0,0,0,-2,-2,100143,50456,50000,0,0,0,2500,1000,0,0,0,0,0</t>
  </si>
  <si>
    <t>643,210000,2,2,2,32,0,0,0,0,0,0,46255,50486,54019,58091,61630,65576,5000,5000,5000,4500,5000,5000,0</t>
  </si>
  <si>
    <t>644,370000,1,2,2,28,0,0,0,0,0,0,276436,239025,149128,48907,53025,51434,20000,13000,5000,10000,4000,6000,0</t>
  </si>
  <si>
    <t>645,30000,2,2,1,31,0,0,2,0,0,0,29493,19433,18782,19006,19637,21251,3200,0,742,1000,2000,0,0</t>
  </si>
  <si>
    <t>646,150000,1,3,2,39,1,-1,-1,-2,-2,-2,214450,147280,150000,0,-5000,0,5180,5000,0,0,5000,0,0</t>
  </si>
  <si>
    <t>647,60000,1,3,1,31,2,0,0,-2,-2,-2,35369,35320,0,0,0,0,1027,0,0,0,0,0,1</t>
  </si>
  <si>
    <t>648,80000,2,2,2,24,0,0,0,0,0,0,77615,77303,66396,55639,56873,58390,3100,2586,2000,2500,3000,2500,0</t>
  </si>
  <si>
    <t>649,280000,2,2,1,44,2,2,2,2,2,2,186149,181779,192189,195517,199250,195874,0,15000,8000,7000,0,15000,1</t>
  </si>
  <si>
    <t>650,20000,2,2,2,46,8,7,6,5,4,3,21075,20795,20206,19617,18737,18148,0,0,0,0,0,0,0</t>
  </si>
  <si>
    <t>651,270000,1,1,2,32,-2,-2,-2,-2,-2,-2,0,0,1100,300,-200,-200,0,1100,300,0,0,0,0</t>
  </si>
  <si>
    <t>652,240000,2,2,2,26,0,0,-1,-1,-1,-1,14348,7500,7816,7500,7500,14497,1000,7816,7500,7500,14497,500,0</t>
  </si>
  <si>
    <t>653,20000,2,1,2,22,0,0,0,0,0,0,20137,20179,18067,18666,19115,19547,1300,1301,900,900,900,1600,0</t>
  </si>
  <si>
    <t>654,450000,2,1,1,42,1,-2,-2,-1,-1,-2,-200,-200,0,42000,0,0,0,200,42000,0,0,0,1</t>
  </si>
  <si>
    <t>655,10000,1,2,2,33,0,0,0,0,0,0,8177,9131,9669,7624,8049,6857,2500,1145,1000,1000,1000,1500,0</t>
  </si>
  <si>
    <t>656,280000,1,2,1,39,-2,-2,-2,-2,-2,-2,2082,3557,5623,5400,3866,3526,3597,5672,5427,3885,3543,3519,1</t>
  </si>
  <si>
    <t>657,290000,2,3,2,27,0,0,0,0,-1,-1,13820,15614,16293,7760,2000,0,2000,1300,0,2000,1000,0,0</t>
  </si>
  <si>
    <t>658,190000,2,1,2,28,0,0,0,0,0,0,46923,48666,49347,50386,43883,34412,2500,2000,3000,2000,2000,2000,1</t>
  </si>
  <si>
    <t>659,80000,2,1,2,23,0,0,0,0,0,-1,53261,38091,19744,14556,0,1460,4500,2011,3105,0,1460,0,0</t>
  </si>
  <si>
    <t>660,280000,2,2,2,28,-1,2,-1,-1,0,-1,427,298,1179,1714,2875,1047,0,1179,1714,1290,1047,1000,0</t>
  </si>
  <si>
    <t>661,160000,2,1,1,33,-2,-2,-2,-2,-2,-2,14150,8106,12431,12145,13391,7957,8106,12431,12145,13391,7957,1905,0</t>
  </si>
  <si>
    <t>662,90000,1,2,1,40,0,0,0,-1,-1,-1,42856,44925,0,787,1457,0,3114,0,787,1457,0,0,1</t>
  </si>
  <si>
    <t>663,140000,2,1,2,37,-1,-1,-1,-2,-2,-1,1034,40000,0,0,0,510,40000,0,0,0,510,0,0</t>
  </si>
  <si>
    <t>664,50000,1,1,2,22,0,0,0,0,0,-1,5137,5960,6270,6000,5810,390,1300,1000,120,200,390,1170,0</t>
  </si>
  <si>
    <t>665,40000,2,2,1,32,0,0,0,2,2,2,24114,25417,28777,29107,29693,30456,2000,4110,1100,1200,1400,0,0</t>
  </si>
  <si>
    <t>666,130000,2,3,1,43,0,0,0,0,0,0,130067,129385,96775,98071,97743,100124,5540,4403,3814,3562,4021,3681,0</t>
  </si>
  <si>
    <t>667,70000,2,3,1,27,0,0,0,0,0,2,61611,62711,63695,63926,67361,59480,3011,3095,2000,4600,0,2258,0</t>
  </si>
  <si>
    <t>668,30000,2,2,1,35,0,0,0,0,0,0,25078,25538,25880,25873,26157,26918,1500,1387,893,1000,1501,2000,0</t>
  </si>
  <si>
    <t>669,100000,2,3,1,35,1,2,2,2,2,2,97002,102698,97997,103384,97266,101492,8200,0,8000,0,8600,0,0</t>
  </si>
  <si>
    <t>670,20000,2,1,1,30,2,2,2,0,0,0,5766,7511,7678,7318,7458,7598,2000,500,0,500,500,0,1</t>
  </si>
  <si>
    <t>671,30000,2,2,2,34,2,-1,2,2,2,2,99568,32326,31840,37075,37662,36904,33000,33000,5810,1325,0,3095,0</t>
  </si>
  <si>
    <t>672,20000,1,2,1,34,0,0,0,0,0,0,12857,14183,14890,15642,16387,17113,1541,1248,1000,1000,1000,1000,1</t>
  </si>
  <si>
    <t>673,100000,2,1,2,28,2,0,0,0,0,0,96193,82342,81967,82177,78840,79261,3600,3800,3000,3000,3023,3000,1</t>
  </si>
  <si>
    <t>674,30000,1,2,2,25,2,2,7,7,7,6,2400,2400,2400,2400,2400,1800,0,0,0,0,0,0,1</t>
  </si>
  <si>
    <t>675,320000,2,1,1,41,0,0,0,0,0,0,97797,99672,101953,102284,104090,105859,4520,5050,3590,3700,3750,3510,0</t>
  </si>
  <si>
    <t>676,90000,1,3,2,42,2,2,2,2,2,2,64762,63164,32789,31641,29240,28306,0,2900,0,2500,0,1300,1</t>
  </si>
  <si>
    <t>677,190000,1,2,2,40,2,2,2,2,2,2,145613,156765,159386,161870,165725,169928,15000,6600,6500,6500,7000,7000,1</t>
  </si>
  <si>
    <t>678,200000,1,1,2,28,0,0,0,0,0,0,71989,122129,147936,149573,152574,156323,52129,30000,6000,6000,7000,10000,0</t>
  </si>
  <si>
    <t>679,300000,2,2,2,31,-1,-1,-1,-1,0,-1,3345,1083,4339,7423,4059,2508,1087,4355,7423,0,2508,4141,0</t>
  </si>
  <si>
    <t>680,30000,2,1,2,56,-1,0,0,-2,-2,-2,29033,17013,7024,7024,7024,7024,1283,7024,7024,7024,7024,7024,0</t>
  </si>
  <si>
    <t>681,110000,2,2,3,45,0,0,0,0,0,0,26650,20787,20566,21158,22141,22158,1532,2000,783,3000,2000,2000,0</t>
  </si>
  <si>
    <t>682,230000,2,1,2,29,-2,-2,-2,-2,-2,-2,0,0,1024,0,0,0,0,1024,0,0,0,0,0</t>
  </si>
  <si>
    <t>683,230000,2,1,1,35,0,0,0,0,-2,-2,4259,5432,6182,0,0,0,1250,1000,0,0,0,0,0</t>
  </si>
  <si>
    <t>684,310000,2,2,2,28,0,0,0,0,0,0,106468,108955,112374,54762,58189,57170,8000,6000,5000,5000,4000,5000,0</t>
  </si>
  <si>
    <t>685,320000,1,1,1,40,0,0,0,0,0,0,247276,241167,238196,231580,229683,235837,10000,10000,10000,19000,13000,8000,0</t>
  </si>
  <si>
    <t>686,360000,1,1,1,47,-1,-1,-1,0,-1,-1,1548,-32,177639,174397,4852,4125,0,177671,3508,4876,4188,10007,0</t>
  </si>
  <si>
    <t>687,20000,2,3,1,41,-1,-1,-1,0,0,0,780,0,732,642,1252,643,0,732,300,1000,500,1000,1</t>
  </si>
  <si>
    <t>688,170000,2,2,2,27,0,0,0,0,0,0,162671,166202,161973,167201,161327,171863,7500,6000,10000,7000,16000,6200,0</t>
  </si>
  <si>
    <t>689,140000,1,1,1,40,0,0,0,0,0,0,123049,125616,129695,130735,133467,136287,4310,5913,4426,4580,4770,4767,0</t>
  </si>
  <si>
    <t>690,80000,1,2,2,32,0,0,0,0,0,0,51372,51872,47593,43882,42256,42527,1853,1700,1522,1548,1488,1500,0</t>
  </si>
  <si>
    <t>691,150000,1,2,2,35,0,0,0,-1,-1,-1,60015,72227,51364,54340,0,2129,20000,30000,54340,0,2129,0,0</t>
  </si>
  <si>
    <t>692,170000,1,2,2,27,-1,2,2,-2,-2,-2,1170,780,0,0,0,0,0,0,0,0,0,0,0</t>
  </si>
  <si>
    <t>693,200000,2,2,1,29,2,0,0,0,0,0,159398,156955,132144,119136,122211,125021,6163,4530,4500,5000,5000,5000,1</t>
  </si>
  <si>
    <t>694,70000,1,1,2,30,0,0,2,0,0,2,55664,59529,57571,57871,60872,59329,5800,0,2250,4500,0,2500,0</t>
  </si>
  <si>
    <t>695,320000,1,2,1,37,-2,-2,-2,-2,-2,-2,43528,498,429,14257,5417,2967,500,431,14328,5439,2980,5028,0</t>
  </si>
  <si>
    <t>696,150000,2,1,2,29,-2,-2,-2,-2,-2,-2,0,0,0,0,0,0,0,0,0,0,0,0,0</t>
  </si>
  <si>
    <t>697,50000,2,1,1,34,0,0,0,-1,0,0,27966,28539,11597,6611,7349,7570,1267,1553,7511,1000,343,1000,0</t>
  </si>
  <si>
    <t>698,90000,2,2,2,34,-1,2,2,-2,-2,-2,8792,7500,0,0,0,0,0,0,0,0,0,0,0</t>
  </si>
  <si>
    <t>699,280000,1,1,1,41,-2,-2,-2,-2,-1,0,28026,41302,51500,35752,3955,13969,41346,52110,35752,3955,13939,4437,0</t>
  </si>
  <si>
    <t>700,300000,2,1,2,31,0,0,0,0,2,-1,43610,43280,36156,30305,30155,561,1655,1797,750,0,561,500,0</t>
  </si>
  <si>
    <t>701,400000,2,2,2,40,-2,-2,-2,-2,-1,-1,0,8235,0,0,1524,0,8235,0,0,1524,0,385,0</t>
  </si>
  <si>
    <t>702,200000,2,1,1,27,-1,-1,-1,-1,-1,-1,5780,105,105,0,7384,8588,105,105,0,7384,8588,1304,0</t>
  </si>
  <si>
    <t>703,10000,2,3,2,22,0,0,0,0,-2,-2,8109,9778,8259,0,0,0,2000,1036,0,0,0,0,1</t>
  </si>
  <si>
    <t>704,50000,2,2,3,30,1,3,2,0,0,0,52515,51424,49967,20036,20076,37615,0,0,2000,1000,1000,1600,1</t>
  </si>
  <si>
    <t>705,30000,2,2,3,22,1,2,4,3,2,2,22582,26518,25814,25110,24569,26357,4600,0,0,0,2200,2500,0</t>
  </si>
  <si>
    <t>706,50000,1,1,2,26,-1,0,0,0,0,0,15448,16392,18096,18425,18619,19060,1500,2000,1500,1200,900,1000,1</t>
  </si>
  <si>
    <t>707,50000,1,2,1,38,1,2,0,0,0,0,58102,59011,56272,53663,51507,50616,2500,2500,2000,2000,3200,2000,0</t>
  </si>
  <si>
    <t>708,30000,2,3,1,46,1,2,2,2,2,2,12289,11806,13268,12758,13549,14673,0,1970,0,1000,1500,0,0</t>
  </si>
  <si>
    <t>709,20000,1,2,2,24,0,0,-1,2,0,0,10476,7279,688,688,688,1320,1000,688,0,0,650,0,0</t>
  </si>
  <si>
    <t>710,20000,1,2,2,49,0,0,0,0,0,0,16326,17497,18456,18424,18800,10000,1441,1400,368,376,200,0,0</t>
  </si>
  <si>
    <t>711,50000,1,1,3,49,0,0,0,0,0,0,17681,18249,18054,18569,19152,18088,1611,2000,780,1000,1000,2000,0</t>
  </si>
  <si>
    <t>712,30000,2,2,1,42,0,0,0,0,0,0,47912,25023,25768,26410,27960,46254,1755,1500,1000,1909,1000,2000,0</t>
  </si>
  <si>
    <t>713,360000,2,1,1,30,1,2,-1,0,-1,-1,18886,14249,3821,2404,319,0,0,3828,2000,319,0,0,0</t>
  </si>
  <si>
    <t>714,170000,1,2,1,42,1,-1,-1,-2,-2,-1,0,1690,0,0,0,4750,1690,0,0,0,4750,0,0</t>
  </si>
  <si>
    <t>715,400000,2,1,2,31,-2,-2,-2,-2,-2,-2,203,767,664,1250,-10,2174,770,667,1256,0,2184,0,0</t>
  </si>
  <si>
    <t>716,50000,2,2,1,49,0,0,0,0,0,0,34962,32275,31253,32014,33573,29645,1613,2000,1500,2000,1645,1064,0</t>
  </si>
  <si>
    <t>717,160000,2,2,2,27,0,0,0,0,0,0,80964,80337,82182,82586,85145,87049,4000,4000,3500,4000,4000,2500,0</t>
  </si>
  <si>
    <t>718,70000,2,2,1,33,0,0,0,0,0,0,69418,68943,38783,3758,1261,0,2382,2025,1000,25,0,1651,1</t>
  </si>
  <si>
    <t>719,150000,2,1,1,35,1,-2,-2,-2,-2,-2,0,0,0,0,0,0,0,0,0,0,0,0,0</t>
  </si>
  <si>
    <t>720,80000,2,2,2,48,0,0,0,0,0,0,45174,41885,42832,23799,11723,27236,3000,3413,2000,5000,17236,2000,0</t>
  </si>
  <si>
    <t>721,30000,2,2,2,22,0,0,2,0,0,0,23892,28459,25499,25778,28708,30520,5300,0,1000,3352,2300,0,0</t>
  </si>
  <si>
    <t>722,10000,1,2,2,22,0,0,0,0,0,0,7960,9649,8518,8628,9293,5033,2000,1000,500,1500,0,2500,1</t>
  </si>
  <si>
    <t>723,180000,2,1,2,27,1,-1,-1,-1,-1,-1,0,3338,3333,3333,3333,3333,3338,3333,3333,3333,3333,3333,0</t>
  </si>
  <si>
    <t>724,320000,1,1,1,47,-1,-1,-1,-1,-1,-1,9192,13920,4022,316,8420,316,13942,4022,316,8420,316,516,0</t>
  </si>
  <si>
    <t>725,80000,2,2,2,34,0,0,0,2,2,2,25935,27210,28783,30003,29385,31401,2000,2338,2000,0,2500,0,0</t>
  </si>
  <si>
    <t>726,10000,1,2,1,45,0,0,0,2,0,0,7139,8416,9815,9508,9754,10192,1400,1700,0,400,600,200,1</t>
  </si>
  <si>
    <t>727,360000,2,2,2,39,-1,-1,-1,0,-1,-1,12865,4462,19560,8894,5329,998,4484,19623,222,5355,998,9004,0</t>
  </si>
  <si>
    <t>728,450000,1,2,2,33,-2,-2,-2,-2,-2,-2,-14,2568,-387,-387,-387,113,2582,0,0,0,500,2515,0</t>
  </si>
  <si>
    <t>729,330000,2,2,2,29,0,0,0,0,-1,-1,49549,133957,128212,79407,8875,49880,90000,3000,5000,8875,49880,519,0</t>
  </si>
  <si>
    <t>730,60000,1,1,2,29,-1,2,-1,-1,2,2,546,255,464,1173,732,1023,0,500,1000,0,582,0,1</t>
  </si>
  <si>
    <t>731,50000,2,3,2,26,0,0,0,0,0,0,9935,11029,12795,9983,10884,7666,1234,2000,297,1000,307,361,0</t>
  </si>
  <si>
    <t>732,200000,1,2,1,38,0,0,0,0,0,0,152856,156104,158279,161934,165447,168802,6000,5000,5000,5000,4917,10000,0</t>
  </si>
  <si>
    <t>733,120000,1,1,2,34,1,2,-1,-1,-2,-2,1278,639,621,-18,-18,-18,0,621,0,0,0,0,0</t>
  </si>
  <si>
    <t>734,160000,2,1,1,37,-1,-1,-1,-1,-1,-1,316,316,0,316,632,0,316,0,316,632,0,316,0</t>
  </si>
  <si>
    <t>735,110000,1,2,1,57,0,0,0,0,0,0,46132,41050,40091,40659,38529,30900,2306,2111,3009,1725,1500,0,0</t>
  </si>
  <si>
    <t>736,70000,2,3,1,50,-2,-2,-1,0,0,0,27345,-1041,17571,17920,18296,18659,1041,18862,640,663,666,690,0</t>
  </si>
  <si>
    <t>737,150000,2,3,2,28,0,0,0,0,0,0,101593,101886,101441,100829,101913,96704,4000,4032,3410,4000,3665,3050,0</t>
  </si>
  <si>
    <t>738,610000,2,1,2,31,0,0,0,0,0,0,142764,126606,67887,58397,105301,105965,6540,2100,2150,50000,4700,2000,0</t>
  </si>
  <si>
    <t>739,110000,2,1,2,25,0,0,0,0,0,0,92849,94766,93894,85723,86443,84011,4346,4075,3144,3238,3167,3202,0</t>
  </si>
  <si>
    <t>740,80000,2,2,2,25,2,0,0,2,0,0,17330,19258,23416,22768,23243,23718,3000,4790,0,816,833,2000,1</t>
  </si>
  <si>
    <t>741,170000,2,2,1,33,0,0,0,0,0,0,109863,79574,78440,80141,81862,84237,4380,3000,3000,3000,4000,4500,0</t>
  </si>
  <si>
    <t>742,110000,2,1,2,30,-1,-1,-1,-1,-2,-2,1064,2001,3796,0,0,0,2007,3796,0,0,0,0,0</t>
  </si>
  <si>
    <t>743,140000,2,1,1,51,0,0,0,0,0,0,56764,57950,57668,55024,55883,55744,2115,2004,1941,2073,1909,2132,0</t>
  </si>
  <si>
    <t>744,70000,1,1,2,51,0,0,0,2,0,0,43048,43257,44115,41112,39922,40150,3000,4000,0,1500,3000,5000,0</t>
  </si>
  <si>
    <t>745,260000,2,2,1,46,-2,-2,-2,-2,-2,-2,29484,28592,16869,12713,10420,12532,10000,3000,12713,10420,12532,12151,0</t>
  </si>
  <si>
    <t>746,170000,1,3,2,38,0,0,0,0,0,0,21310,22957,24266,25556,29949,34434,2000,2000,2000,5000,5000,5000,0</t>
  </si>
  <si>
    <t>747,50000,2,2,1,34,0,0,0,0,0,0,10821,11877,13656,14949,16567,16826,1221,2000,1500,2000,2000,4000,0</t>
  </si>
  <si>
    <t>748,300000,2,3,1,34,0,0,0,0,0,0,280823,275303,271952,193403,187562,191069,11000,12000,7200,6500,6173,5500,1</t>
  </si>
  <si>
    <t>749,150000,2,1,2,31,2,-1,-1,-1,-1,-1,390,390,390,4825,5202,780,390,390,4825,5202,780,0,1</t>
  </si>
  <si>
    <t>750,50000,2,2,2,25,8,7,6,5,4,3,37647,37102,36238,36374,35229,34365,0,0,1000,0,0,3000,1</t>
  </si>
  <si>
    <t>751,50000,2,2,1,26,1,-2,-1,0,0,0,0,0,1756,2719,4049,5176,0,1756,1000,1537,1200,2000,0</t>
  </si>
  <si>
    <t>752,90000,2,1,2,25,2,0,0,0,0,-1,84710,87334,87862,18889,-783,73568,4000,3258,1000,0,77500,0,0</t>
  </si>
  <si>
    <t>753,50000,1,2,2,26,0,0,0,0,0,0,48036,46787,42011,19147,2845,20041,2100,1227,383,2000,20000,649,1</t>
  </si>
  <si>
    <t>754,500000,2,2,2,43,-1,0,0,0,0,0,43346,43976,39032,29092,22725,11590,4006,2383,1126,782,596,1572,0</t>
  </si>
  <si>
    <t>755,470000,2,2,1,36,-1,0,0,-1,-1,-1,873,1593,1518,285,688,2100,1005,1000,285,688,2100,1014,0</t>
  </si>
  <si>
    <t>756,230000,1,2,2,58,0,0,0,0,0,0,110163,112499,114837,116400,45643,51083,5600,5700,5000,1855,6400,0,0</t>
  </si>
  <si>
    <t>757,140000,2,2,2,26,0,0,-1,-1,0,0,4113,6030,16025,24616,19458,20047,2000,16025,24616,1000,1000,1000,0</t>
  </si>
  <si>
    <t>758,230000,2,2,1,30,2,0,-1,-1,-1,-1,9636,10152,1817,-828,6153,12663,1222,1837,0,7863,12675,2959,1</t>
  </si>
  <si>
    <t>759,420000,2,2,2,31,0,0,0,0,-1,-1,25103,21330,16024,9603,2131,64507,1509,1067,3061,2210,64524,2324,0</t>
  </si>
  <si>
    <t>760,30000,2,2,2,24,0,0,0,0,0,0,31319,31181,31540,31016,30531,30528,1564,1800,1100,1500,1500,3000,0</t>
  </si>
  <si>
    <t>761,50000,2,2,2,52,1,2,0,0,0,2,43343,43360,23417,21969,21179,18711,1300,1400,920,1700,0,900,1</t>
  </si>
  <si>
    <t>762,140000,2,2,2,24,-1,-1,-2,-1,-1,-2,197,0,0,233,0,0,0,0,233,0,0,0,0</t>
  </si>
  <si>
    <t>763,260000,2,2,1,35,-1,-1,-1,-1,-1,0,7967,67650,6000,0,88348,85962,67650,6000,0,88348,5000,25000,0</t>
  </si>
  <si>
    <t>764,90000,2,3,2,29,-1,2,-1,-1,-1,-2,19450,3123,2121,3113,0,0,0,3509,3113,0,0,0,0</t>
  </si>
  <si>
    <t>765,240000,2,2,1,33,0,0,0,0,0,0,240878,233838,238067,242579,238245,233710,10000,11000,10000,10000,10000,8000,0</t>
  </si>
  <si>
    <t>766,510000,2,1,2,35,-1,0,0,0,0,-1,2115,2116,5560,4535,3488,1116,1117,4560,91,69,1116,2115,0</t>
  </si>
  <si>
    <t>767,110000,2,2,1,35,0,0,0,0,0,0,81665,46070,34419,36829,38080,40434,2460,2000,3000,2000,3000,5000,0</t>
  </si>
  <si>
    <t>768,210000,2,1,2,28,-1,-1,-1,0,0,0,11442,3738,7526,10217,11737,8114,3738,7526,5000,5000,162,27760,0</t>
  </si>
  <si>
    <t>769,220000,1,2,1,40,-1,-1,-2,-2,-2,-2,158,0,0,0,0,612,0,0,0,0,612,1863,0</t>
  </si>
  <si>
    <t>770,200000,2,1,1,35,-2,-2,-2,-2,-2,-2,2257,4261,1265,2473,0,0,4266,1667,2473,0,0,0,0</t>
  </si>
  <si>
    <t>771,360000,2,2,2,53,-1,-1,-1,-1,-1,-1,10733,15206,15000,9744,11114,8123,15206,15032,9769,11114,8123,8736,0</t>
  </si>
  <si>
    <t>772,260000,1,1,2,44,-1,-1,-1,-1,-1,-1,316,316,316,316,316,466,316,316,316,316,466,316,0</t>
  </si>
  <si>
    <t>773,20000,1,2,1,33,0,0,0,0,0,0,11026,9535,10510,10472,10140,10101,1174,1149,501,356,507,458,0</t>
  </si>
  <si>
    <t>774,120000,2,2,1,32,0,0,0,0,0,0,113869,116110,111978,112822,114969,117949,5498,5500,4000,4300,5012,4003,0</t>
  </si>
  <si>
    <t>775,50000,2,1,2,33,-1,2,-1,-1,-1,-2,7363,5180,31902,11044,0,0,39,32013,11079,0,0,0,0</t>
  </si>
  <si>
    <t>776,60000,2,1,2,26,1,2,0,0,0,0,29649,21657,28736,42733,46404,37993,0,8000,15000,9000,10000,0,0</t>
  </si>
  <si>
    <t>777,200000,1,1,2,26,-2,-2,-2,-2,-1,-1,12716,16164,1954,5297,1483,3393,16244,1963,3359,4849,3410,2994,0</t>
  </si>
  <si>
    <t>778,20000,1,2,2,26,-1,-1,-1,-1,-2,-1,1438,1261,451,-810,-420,1320,1261,451,0,780,2130,0,0</t>
  </si>
  <si>
    <t>779,50000,2,1,1,32,2,0,0,-1,0,-1,47858,49223,42589,639,4639,2312,2500,3000,7000,4000,2413,2000,1</t>
  </si>
  <si>
    <t>780,50000,2,2,2,31,1,-2,-1,-1,-1,2,0,0,190,0,36059,32851,0,190,0,36059,0,2420,0</t>
  </si>
  <si>
    <t>781,230000,1,1,2,29,0,0,2,2,2,0,40732,44563,42804,44020,41278,34672,5000,0,3000,0,3000,3000,0</t>
  </si>
  <si>
    <t>782,50000,1,2,1,27,-1,-1,2,-1,-1,-1,819,3003,1677,1177,1313,1085,2184,5,1180,1316,1088,0,0</t>
  </si>
  <si>
    <t>783,100000,2,1,2,28,2,2,2,2,2,2,79580,81493,82759,83609,85325,87096,3790,3200,3100,3200,3332,3280,1</t>
  </si>
  <si>
    <t>784,210000,2,1,1,42,1,-2,-1,-1,-2,-2,0,0,2490,0,0,0,0,2490,0,0,0,0,1</t>
  </si>
  <si>
    <t>785,230000,2,2,1,32,0,0,0,0,2,0,87764,73526,72376,76870,75211,76645,2630,2614,6000,0,3000,2800,1</t>
  </si>
  <si>
    <t>786,500000,2,1,2,26,1,-2,-2,-2,-2,-2,31421,22150,0,0,0,0,22157,0,0,0,0,0,0</t>
  </si>
  <si>
    <t>787,370000,2,1,2,38,-1,-1,-1,-1,-1,-1,929,328,0,1539,1815,0,328,0,1539,1815,0,0,0</t>
  </si>
  <si>
    <t>788,230000,2,1,1,35,-1,-1,-1,-1,0,0,2648,191,1947,11674,16160,32519,200,1950,11692,10000,20000,6000,0</t>
  </si>
  <si>
    <t>789,80000,1,2,2,29,0,0,0,0,0,0,11894,12287,12407,14360,14657,4129,1284,1047,2000,359,175,1000,0</t>
  </si>
  <si>
    <t>790,60000,2,2,2,29,-1,0,0,0,-2,-2,55064,57833,9479,0,0,0,5000,1033,0,0,0,0,0</t>
  </si>
  <si>
    <t>791,30000,2,2,2,51,1,2,2,0,0,0,25382,26480,25761,25964,26507,27249,1800,0,928,960,1181,967,0</t>
  </si>
  <si>
    <t>792,70000,1,1,2,27,1,-1,-1,-1,-2,-1,-54,273,19,-254,-527,1096,600,19,0,0,1896,0,0</t>
  </si>
  <si>
    <t>793,410000,1,1,2,32,-1,-1,-1,-2,-2,-2,5335,5369,-281,-281,-281,-281,5400,0,0,0,0,0,0</t>
  </si>
  <si>
    <t>794,280000,2,3,1,40,1,-2,-2,-2,-2,-2,-288,-288,-288,-288,-288,2124,0,0,0,0,2412,0,0</t>
  </si>
  <si>
    <t>795,50000,2,1,1,34,0,0,0,0,0,0,46750,48317,48282,18299,19323,20329,2320,1282,3299,1323,1329,1114,0</t>
  </si>
  <si>
    <t>796,100000,2,2,1,30,0,0,0,0,0,0,97062,74352,75004,76705,78168,80347,2800,2700,5400,3500,3500,3200,0</t>
  </si>
  <si>
    <t>797,230000,2,1,2,29,-2,-2,-2,-2,-2,-2,0,0,0,0,0,0,0,0,0,0,0,0,0</t>
  </si>
  <si>
    <t>798,50000,2,1,2,22,0,0,0,-1,-1,-2,13801,9549,5385,7781,0,0,1372,1275,7900,0,0,0,0</t>
  </si>
  <si>
    <t>799,100000,2,1,2,48,2,2,2,2,2,0,15355,17949,18158,18365,17932,18147,3164,800,800,0,662,3000,0</t>
  </si>
  <si>
    <t>800,210000,2,2,1,35,0,0,0,0,0,0,37148,35754,34232,32331,30337,28012,2000,2000,2444,1342,1038,2000,0</t>
  </si>
  <si>
    <t>801,400000,1,1,2,37,-1,-1,-1,-1,-2,-1,385,12695,1290,0,0,3058,13032,1290,0,0,3058,3768,0</t>
  </si>
  <si>
    <t>802,20000,1,2,2,25,4,3,2,0,0,0,20610,20005,19331,19333,17363,16314,0,0,500,715,326,0,1</t>
  </si>
  <si>
    <t>803,50000,2,3,1,44,-1,-1,-1,-1,0,0,2000,780,0,7472,10174,11104,780,0,7472,3000,1104,1000,0</t>
  </si>
  <si>
    <t>804,230000,2,1,2,28,-1,-1,-1,-2,-2,-2,6666,6666,0,0,0,0,6666,0,0,0,0,0,0</t>
  </si>
  <si>
    <t>805,220000,1,2,2,29,0,0,0,-2,-2,-2,31037,6244,0,0,0,0,3050,0,0,0,0,0,0</t>
  </si>
  <si>
    <t>806,300000,2,1,1,36,0,0,0,0,-2,-1,25239,25001,20800,0,0,65755,1713,1000,0,0,65755,3000,0</t>
  </si>
  <si>
    <t>807,80000,2,2,2,23,1,-1,2,-1,-1,-1,998,6858,1879,1145,7328,3703,6861,11,1146,7329,3704,426,0</t>
  </si>
  <si>
    <t>808,20000,2,3,2,36,0,0,2,2,2,2,16754,18873,19862,19245,20532,19953,2400,1600,0,1600,209,0,1</t>
  </si>
  <si>
    <t>809,190000,2,1,2,26,0,0,0,0,0,2,31061,32129,33142,33726,35758,35171,1750,1720,1300,2600,0,1400,0</t>
  </si>
  <si>
    <t>810,160000,2,2,0,37,0,0,0,0,0,0,2694,38433,38870,28574,27268,28021,35888,1325,891,1000,1098,426,0</t>
  </si>
  <si>
    <t>811,120000,2,1,3,44,0,0,2,0,0,0,70096,76446,73732,12329,12329,0,8100,0,247,0,0,0,0</t>
  </si>
  <si>
    <t>812,700000,2,1,1,39,0,0,0,0,-2,-1,99259,102345,109636,326,2016,61707,5000,10000,326,2016,61707,17785,0</t>
  </si>
  <si>
    <t>813,140000,2,1,2,24,1,-2,-2,-2,-1,-1,0,0,0,0,1086,0,0,0,0,1086,0,0,0</t>
  </si>
  <si>
    <t>814,300000,2,3,1,29,-1,0,0,0,0,-1,24921,21333,16212,11304,11396,6138,2000,3000,0,5000,6202,0,0</t>
  </si>
  <si>
    <t>815,120000,1,3,1,33,1,2,2,2,2,2,66055,67405,68405,69387,70727,72215,3000,2700,2700,2600,2800,0,1</t>
  </si>
  <si>
    <t>816,280000,2,2,1,39,0,0,2,0,0,0,213738,228963,223810,158542,162244,108143,20300,0,5600,6300,4000,4000,0</t>
  </si>
  <si>
    <t>817,70000,1,3,1,51,2,2,0,0,0,0,54968,51384,49734,50361,49185,47245,0,2100,1950,1900,2219,2100,1</t>
  </si>
  <si>
    <t>818,20000,2,3,2,24,-1,-1,-1,-1,-1,2,4101,507,3042,0,8402,6204,507,3042,0,8402,0,4739,0</t>
  </si>
  <si>
    <t>819,150000,2,2,1,45,-1,-1,-1,-1,-1,-1,2605,2605,4590,2605,2605,3795,2605,4590,2605,2605,3795,10675,0</t>
  </si>
  <si>
    <t>820,60000,1,1,2,30,0,-1,0,0,0,0,15380,4116,19453,17912,18480,18848,4147,19435,1000,1000,1000,1000,0</t>
  </si>
  <si>
    <t>821,200000,2,3,0,51,-1,-1,-1,-1,0,-1,780,0,390,780,390,390,0,390,780,0,390,390,0</t>
  </si>
  <si>
    <t>822,50000,2,2,2,24,1,2,0,0,0,0,48861,48082,48614,26667,26036,26850,2000,2233,1083,1100,1400,3000,1</t>
  </si>
  <si>
    <t>823,150000,1,2,1,50,-1,0,0,2,0,0,55336,58255,36260,35037,34631,63156,5085,4000,0,2000,30000,5000,0</t>
  </si>
  <si>
    <t>824,20000,2,1,2,22,0,0,0,0,0,0,20243,20400,19583,19983,20196,19705,1410,1200,534,700,1000,0,0</t>
  </si>
  <si>
    <t>825,40000,1,1,2,27,0,0,0,0,0,0,11058,11471,11776,12660,12660,12413,2000,1500,2330,2300,1000,2078,1</t>
  </si>
  <si>
    <t>826,170000,2,2,2,33,1,-1,-1,-1,-2,-2,0,7042,2986,0,0,0,7042,2986,0,0,0,0,0</t>
  </si>
  <si>
    <t>827,50000,2,2,1,24,1,2,0,0,0,2,27087,26372,26992,27693,29237,28607,0,1400,1100,2100,0,1000,0</t>
  </si>
  <si>
    <t>828,10000,1,2,2,37,0,0,0,0,2,2,8755,8158,7540,8164,6963,5923,1167,1022,1036,0,2700,0,0</t>
  </si>
  <si>
    <t>829,200000,2,2,1,58,-1,-1,-1,-1,-2,-1,3035,199602,720,0,0,1500,199646,720,0,0,1500,185652,0</t>
  </si>
  <si>
    <t>830,50000,2,2,1,48,0,-1,-1,0,0,0,20944,4696,47225,16483,9343,9693,2360,49325,3001,1882,500,503,0</t>
  </si>
  <si>
    <t>831,320000,1,1,2,28,-1,0,0,-1,0,0,2007,3477,3037,1633,3633,0,2000,1000,1633,2000,0,3000,0</t>
  </si>
  <si>
    <t>832,20000,2,3,1,24,8,7,6,5,4,3,24310,23987,23353,22719,21796,21162,0,0,0,0,0,0,0</t>
  </si>
  <si>
    <t>833,470000,2,2,1,27,0,0,0,0,-1,0,152478,62084,54551,14363,97440,90717,3001,4005,2021,97441,5001,5001,1</t>
  </si>
  <si>
    <t>834,230000,2,3,2,30,-1,-1,-1,0,0,0,550,0,13013,14265,13659,0,0,13013,1252,3659,0,0,0</t>
  </si>
  <si>
    <t>835,20000,2,1,2,23,0,0,0,0,0,-2,17246,16988,15973,18773,0,0,2000,2000,3000,0,0,0,0</t>
  </si>
  <si>
    <t>836,30000,2,3,2,53,-1,-1,-1,-1,-1,-1,1598,2487,0,4810,2796,3245,2487,0,4810,2796,3245,7305,1</t>
  </si>
  <si>
    <t>837,80000,2,2,2,23,2,2,2,2,2,2,22895,23837,24253,24562,25126,25476,1600,1100,1000,1100,906,0,0</t>
  </si>
  <si>
    <t>838,110000,2,2,1,55,0,0,0,0,0,0,15069,16123,16850,17568,18133,18828,1600,1300,1000,1000,1000,1000,0</t>
  </si>
  <si>
    <t>839,420000,1,2,1,34,0,0,0,0,0,0,88948,79783,80575,92982,98502,103200,30000,10575,15000,10000,10000,20000,0</t>
  </si>
  <si>
    <t>840,500000,1,1,1,43,1,-2,-2,-2,-2,-2,0,0,0,0,0,0,0,0,0,0,0,0,1</t>
  </si>
  <si>
    <t>841,80000,2,2,2,22,1,2,0,0,0,0,79318,79459,79788,29069,26551,27109,2000,2201,2000,1000,1000,2000,0</t>
  </si>
  <si>
    <t>842,350000,2,2,1,31,0,0,0,0,0,0,67648,68557,63179,57987,53948,39965,3039,2047,1750,1703,1721,784,0</t>
  </si>
  <si>
    <t>843,30000,2,2,1,32,-2,-2,-2,-2,-2,-2,0,0,0,0,7463,6804,0,0,0,7463,6804,4985,0</t>
  </si>
  <si>
    <t>844,110000,2,2,2,33,1,-2,-2,-2,-2,-1,0,0,0,0,0,150,0,0,0,0,300,102,1</t>
  </si>
  <si>
    <t>845,500000,1,3,1,39,0,0,0,0,0,0,315201,332071,375070,354839,369532,367399,25000,50000,20000,19586,14122,12022,0</t>
  </si>
  <si>
    <t>846,490000,2,1,1,38,-1,-1,-1,-1,-1,0,4290,4738,2803,6027,10722,8452,4738,2803,6027,10722,6000,1139,0</t>
  </si>
  <si>
    <t>847,300000,2,2,1,34,-2,-2,-2,-2,-2,-2,205064,-86,-86,2014,-185,1815,0,0,2100,0,2000,5000,0</t>
  </si>
  <si>
    <t>848,50000,1,2,3,42,2,0,0,2,0,0,47647,50232,50510,32177,29530,29789,3700,3700,0,1072,1500,1132,1</t>
  </si>
  <si>
    <t>849,150000,1,3,1,37,4,4,4,3,2,0,151117,153787,150320,147989,143355,143131,6500,0,512,0,4388,4221,1</t>
  </si>
  <si>
    <t>850,80000,2,3,1,57,-1,2,-1,0,0,0,726,726,15400,15000,15000,15000,0,15400,0,0,0,100,0</t>
  </si>
  <si>
    <t>851,40000,2,2,2,23,0,0,0,2,2,6,20035,21406,24735,24050,43317,44059,2000,4000,0,20000,2000,0,0</t>
  </si>
  <si>
    <t>852,30000,1,2,2,32,1,2,2,0,0,0,29095,30819,29214,29478,23384,22428,2500,0,910,1000,1000,1000,0</t>
  </si>
  <si>
    <t>853,50000,1,1,1,37,0,0,-2,-2,-2,-2,30400,0,0,0,0,0,500,0,0,0,0,0,0</t>
  </si>
  <si>
    <t>854,140000,2,2,2,23,0,0,0,0,0,0,44733,44144,44739,43455,43980,44614,2100,2027,1800,1600,1750,1700,0</t>
  </si>
  <si>
    <t>855,50000,2,3,2,49,0,0,0,0,0,0,4987,6741,9366,8566,10066,0,2000,3000,1500,1500,0,0,0</t>
  </si>
  <si>
    <t>856,30000,2,2,2,25,-2,-2,-2,-2,-2,-2,26957,26269,17036,27497,16098,7300,1333,2256,27497,787,200,0,0</t>
  </si>
  <si>
    <t>857,40000,2,1,2,29,0,0,2,2,2,2,26461,29425,30145,29361,33893,34487,3400,1500,0,5000,1300,0,1</t>
  </si>
  <si>
    <t>858,100000,2,3,1,43,2,2,2,2,2,2,50485,51582,52141,52691,54199,53176,2200,2000,2000,2500,0,4500,1</t>
  </si>
  <si>
    <t>859,130000,1,2,2,29,0,0,0,0,0,0,131041,133698,131990,127512,128683,129669,7000,5151,4464,5000,4702,8000,0</t>
  </si>
  <si>
    <t>860,20000,2,2,2,27,0,0,0,0,0,0,20218,19194,20112,19712,19712,6321,1482,1400,0,0,0,0,0</t>
  </si>
  <si>
    <t>861,50000,1,1,2,26,-2,-2,-2,-2,-2,-2,0,0,0,0,0,0,0,0,0,0,0,0,0</t>
  </si>
  <si>
    <t>862,260000,1,1,1,41,-2,-2,-1,0,0,0,1086,2853,38836,45087,47201,46199,3552,38836,20000,15000,15000,10000,0</t>
  </si>
  <si>
    <t>863,30000,2,3,2,52,2,2,7,7,7,7,2450,2450,2450,2450,2450,2450,0,0,0,0,0,0,1</t>
  </si>
  <si>
    <t>864,10000,2,2,1,31,0,0,0,0,0,0,15915,9050,9901,9975,9736,8703,2330,2200,1000,333,311,322,0</t>
  </si>
  <si>
    <t>865,200000,1,1,2,32,0,0,0,0,0,0,43515,44557,45574,49022,47459,49666,1739,1756,2662,1726,3000,2500,0</t>
  </si>
  <si>
    <t>866,30000,2,2,1,46,0,0,0,0,0,0,28234,28874,29437,27738,27268,27409,1484,1436,1120,995,989,800,0</t>
  </si>
  <si>
    <t>867,180000,2,2,2,35,0,0,0,-2,-2,-2,119333,123150,0,0,0,0,6000,0,0,0,0,0,0</t>
  </si>
  <si>
    <t>868,100000,1,1,2,35,0,0,-2,-2,-2,-2,29109,0,0,0,0,0,0,0,0,0,0,47970,0</t>
  </si>
  <si>
    <t>869,140000,2,2,1,39,0,0,0,0,0,0,105192,90337,74510,73876,76180,78400,3000,6000,4000,4000,4000,3000,0</t>
  </si>
  <si>
    <t>870,290000,2,2,2,34,0,0,0,0,0,0,310403,315048,314085,317631,315820,305498,12012,12012,11016,11088,12031,12031,0</t>
  </si>
  <si>
    <t>871,20000,2,2,3,52,0,0,0,0,0,0,14591,15616,16628,16958,17314,17664,1265,1277,607,629,638,641,0</t>
  </si>
  <si>
    <t>872,80000,2,3,1,40,0,0,0,0,0,0,35660,37082,38464,38922,40791,43108,2000,2000,1397,2500,3000,1600,0</t>
  </si>
  <si>
    <t>873,500000,2,3,1,38,-2,-2,-2,-2,-2,-2,13655,8351,2340,2340,11435,189,8351,2340,2340,11435,189,5391,0</t>
  </si>
  <si>
    <t>874,180000,1,1,1,45,-1,-1,-1,-1,-1,-1,4453,3310,7226,5060,2832,1890,3310,7228,5060,2832,1890,2576,0</t>
  </si>
  <si>
    <t>875,20000,2,3,1,40,-1,-1,-1,-1,-1,-1,2946,0,390,390,390,390,0,390,390,390,390,780,0</t>
  </si>
  <si>
    <t>876,30000,2,2,1,25,0,0,0,0,0,2,30606,29579,30291,30616,30456,29818,1800,1512,1259,2500,0,1000,0</t>
  </si>
  <si>
    <t>877,150000,1,1,2,33,0,0,0,0,0,0,45335,50262,54793,59244,64096,68837,6000,6000,6000,6000,6001,6000,0</t>
  </si>
  <si>
    <t>878,280000,2,2,2,27,-1,-1,-1,-1,-1,-1,5924,5174,980,3058,3158,9530,5174,1078,3058,3158,9530,0,0</t>
  </si>
  <si>
    <t>879,50000,2,2,1,43,0,0,0,-1,0,0,23587,24580,20165,10732,10566,10757,1800,1775,10732,384,757,501,0</t>
  </si>
  <si>
    <t>880,20000,2,2,1,43,2,0,0,0,0,2,15294,16340,17359,17776,19293,18844,1300,1300,700,1800,0,1000,0</t>
  </si>
  <si>
    <t>881,200000,1,1,2,30,-1,-1,-1,0,0,0,4935,-200,11463,11751,11772,5318,0,11663,9363,3232,3000,1000,0</t>
  </si>
  <si>
    <t>882,210000,2,2,1,49,1,-2,-2,-2,-2,-2,0,0,0,0,0,0,0,0,0,0,0,0,1</t>
  </si>
  <si>
    <t>883,230000,2,1,2,38,0,0,0,0,0,0,224020,227311,184500,128190,130883,133504,8750,7470,4540,4710,4750,4900,0</t>
  </si>
  <si>
    <t>884,50000,1,3,2,57,0,0,0,0,0,0,47917,48455,48120,28450,29046,29647,1988,1989,1018,1054,1084,1048,0</t>
  </si>
  <si>
    <t>885,50000,1,3,2,55,0,0,0,0,0,0,51737,27121,28103,28814,29261,29878,2930,1447,1158,1041,1082,994,1</t>
  </si>
  <si>
    <t>886,70000,2,2,2,23,0,0,0,0,0,0,49605,51804,53041,55150,57098,59141,3000,2700,3000,3000,3000,4700,0</t>
  </si>
  <si>
    <t>887,310000,1,1,2,30,-2,-2,-2,-2,-2,-2,1544,1648,1284,1088,892,-304,1300,1000,1000,1000,304,39544,0</t>
  </si>
  <si>
    <t>888,180000,2,2,1,30,-1,-1,-1,-1,-1,-1,2488,13476,3173,13202,6594,2549,13476,3173,13212,6594,2549,1000,0</t>
  </si>
  <si>
    <t>889,90000,2,2,2,24,0,0,0,0,0,2,24401,22771,19461,16181,14669,14422,1454,1384,407,673,0,102,0</t>
  </si>
  <si>
    <t>890,390000,1,2,2,28,0,0,0,0,0,0,149445,139794,133224,106127,51097,38555,8046,5150,5297,5084,5065,5042,0</t>
  </si>
  <si>
    <t>891,150000,2,3,1,34,-1,-1,-1,-1,-1,-1,772,337,618,150,150,377,340,618,150,150,227,0,0</t>
  </si>
  <si>
    <t>892,400000,1,2,2,37,1,1,1,2,0,0,13611,15066,15882,12599,18599,12284,3019,5014,3,7040,2006,2005,0</t>
  </si>
  <si>
    <t>893,80000,2,2,1,32,0,0,0,0,0,-2,28408,25695,11553,2350,0,0,1259,1035,1600,0,0,0,0</t>
  </si>
  <si>
    <t>894,320000,1,1,2,27,0,0,0,0,0,0,137574,199563,122093,105425,100206,96073,6048,6371,3043,3031,3066,3031,0</t>
  </si>
  <si>
    <t>895,240000,2,2,1,37,-1,-1,-2,-2,-2,-2,238,0,0,0,0,0,0,0,0,0,0,0,1</t>
  </si>
  <si>
    <t>896,200000,1,1,2,31,-2,-2,-2,-2,-2,-2,100,100,100,100,100,100,100,100,100,100,100,100,0</t>
  </si>
  <si>
    <t>897,110000,1,1,3,55,1,2,2,2,3,2,92610,94755,92351,101140,99260,101577,4500,0,11300,0,4100,0,1</t>
  </si>
  <si>
    <t>898,170000,2,1,2,28,2,2,2,2,2,2,131864,133897,129761,138604,136283,145012,5600,0,11000,0,11000,5656,1</t>
  </si>
  <si>
    <t>899,90000,2,3,3,51,0,0,0,0,2,0,11315,12340,13349,14276,13904,14184,1212,1221,1148,0,510,525,1</t>
  </si>
  <si>
    <t>900,200000,1,1,1,36,-1,-1,0,-1,-1,-1,3877,11496,5935,295,1867,0,11496,1011,297,2923,0,0,0</t>
  </si>
  <si>
    <t>901,360000,1,1,2,30,-2,-1,-1,-2,-2,-2,0,2500,0,0,0,0,2500,0,0,0,0,0,0</t>
  </si>
  <si>
    <t>902,140000,2,1,1,36,-1,-1,-2,-1,0,0,4036,0,0,2971,1607,0,0,0,2971,0,0,0,0</t>
  </si>
  <si>
    <t>903,220000,1,2,2,25,0,0,0,0,0,0,168286,155893,119575,51317,51926,34608,10000,3900,1000,1000,2000,2000,0</t>
  </si>
  <si>
    <t>904,100000,1,3,1,50,0,0,-2,-2,-2,-2,154970,0,0,0,0,0,0,0,0,0,0,0,0</t>
  </si>
  <si>
    <t>905,80000,2,2,2,40,2,0,0,0,2,2,57364,58637,59863,62860,63976,63293,2200,2200,4000,1777,0,2000,0</t>
  </si>
  <si>
    <t>906,30000,2,2,2,27,-1,-1,2,0,-1,2,27772,30461,29325,21449,29709,29086,3136,0,0,29709,0,1576,0</t>
  </si>
  <si>
    <t>907,50000,1,1,2,30,2,2,2,-1,2,2,4187,5152,3679,596,446,2699,2300,0,700,0,2300,0,1</t>
  </si>
  <si>
    <t>908,120000,2,2,2,26,0,0,0,0,0,0,22431,12399,4199,3059,674,0,1500,1000,682,0,0,738,0</t>
  </si>
  <si>
    <t>909,50000,1,1,2,27,0,0,0,0,0,0,7010,9876,11115,12915,14415,0,3000,1500,2000,2000,0,0,0</t>
  </si>
  <si>
    <t>910,360000,2,1,2,27,0,-1,0,-1,-1,-1,79837,27456,68117,39105,54456,46153,27465,50154,39105,54456,46153,40000,0</t>
  </si>
  <si>
    <t>911,90000,2,1,2,25,2,2,2,2,0,0,86014,92898,92860,88533,90942,88813,8300,2400,1000,4000,3600,4000,0</t>
  </si>
  <si>
    <t>912,500000,1,1,2,32,-1,0,0,0,0,0,386405,387910,293177,274539,253443,253671,25016,20018,10000,79377,52778,10000,0</t>
  </si>
  <si>
    <t>913,140000,2,3,1,46,0,0,0,0,0,0,68075,69972,71805,73613,75426,77169,3000,3000,3000,3000,3000,5000,0</t>
  </si>
  <si>
    <t>914,30000,1,3,1,45,0,0,2,0,0,0,17187,24045,23180,22000,22000,0,7900,0,0,0,0,0,0</t>
  </si>
  <si>
    <t>915,70000,1,3,1,30,0,0,0,0,0,0,19882,20611,21859,22445,22935,23404,1352,1600,949,1000,1000,1000,0</t>
  </si>
  <si>
    <t>916,200000,1,1,1,39,-2,-2,-2,-2,-2,-2,0,0,0,0,0,3983,0,0,0,0,3983,0,0</t>
  </si>
  <si>
    <t>917,350000,1,1,1,48,0,0,0,0,0,0,54969,47978,48631,48351,47939,33827,2087,1989,1591,1466,2000,1500,0</t>
  </si>
  <si>
    <t>918,120000,1,1,2,32,1,-2,-2,-2,-2,-2,0,0,0,0,0,0,0,0,0,0,0,0,1</t>
  </si>
  <si>
    <t>919,240000,1,1,2,46,0,0,0,0,0,0,471814,478380,395612,386295,356206,352257,16044,15087,12000,15000,12000,12000,0</t>
  </si>
  <si>
    <t>920,90000,2,1,2,23,0,0,0,0,0,0,22109,25011,29230,32747,38217,43744,6000,5000,4000,6000,8000,4000,0</t>
  </si>
  <si>
    <t>921,260000,2,1,2,33,1,-2,-2,-2,-1,-1,0,0,0,0,1980,2500,0,0,0,1980,2500,0,0</t>
  </si>
  <si>
    <t>922,50000,2,1,2,24,0,0,0,2,0,0,27245,28300,31900,31090,31837,32555,1800,4400,0,1400,1400,1400,0</t>
  </si>
  <si>
    <t>923,110000,1,1,1,40,0,0,0,0,0,0,8481,13066,17638,22204,26784,31352,4980,5124,5256,5416,5552,5742,0</t>
  </si>
  <si>
    <t>924,20000,2,1,2,24,-1,-1,2,-1,0,-1,1371,796,398,796,398,716,796,0,796,0,716,12111,0</t>
  </si>
  <si>
    <t>925,30000,2,2,2,24,0,0,0,0,0,0,27391,28412,28575,28925,24159,0,1767,1700,1010,1141,0,0,0</t>
  </si>
  <si>
    <t>926,180000,1,1,2,27,-2,-1,2,2,-2,-2,11392,14688,14040,13440,13440,13080,3500,0,0,0,0,0,1</t>
  </si>
  <si>
    <t>927,20000,1,2,1,46,0,0,0,0,0,0,5902,6767,8145,8153,8324,8490,1122,1500,291,302,304,319,0</t>
  </si>
  <si>
    <t>928,50000,2,2,2,22,0,0,0,0,0,0,50342,50482,49217,40882,20258,20303,1896,1656,1750,717,753,1000,0</t>
  </si>
  <si>
    <t>929,180000,2,1,2,36,-2,-2,-2,-2,-2,-2,10737,21197,11936,40420,9210,17795,21197,11936,40420,9210,17795,6915,0</t>
  </si>
  <si>
    <t>930,200000,1,1,1,34,-2,-2,-2,-2,-2,-2,1242,4006,941,2357,2945,1143,4034,945,2366,2947,1143,744,0</t>
  </si>
  <si>
    <t>931,260000,2,2,2,24,0,0,0,0,0,0,68411,60386,48663,50998,53835,56728,2500,4000,4000,3835,3805,3000,0</t>
  </si>
  <si>
    <t>932,320000,1,1,1,60,-1,-1,-1,-1,0,-1,9955,3465,84421,886,11741,4317,3465,84440,886,11533,4317,52466,1</t>
  </si>
  <si>
    <t>933,160000,2,2,2,29,2,2,-1,-1,-1,-1,1989,-8,866,0,892,0,0,874,0,892,0,594,1</t>
  </si>
  <si>
    <t>934,30000,1,2,2,32,2,0,0,2,2,2,7851,9065,11595,11112,12923,12566,1500,3000,0,2000,0,1000,1</t>
  </si>
  <si>
    <t>935,50000,2,2,1,36,0,0,0,0,0,0,16906,17645,18478,10279,10646,10776,1314,1147,348,512,435,190,0</t>
  </si>
  <si>
    <t>936,50000,1,2,2,30,0,0,0,0,-2,-2,21062,6495,2207,0,0,0,2000,1000,0,0,0,0,0</t>
  </si>
  <si>
    <t>937,90000,2,2,2,29,0,0,0,0,0,0,47585,52084,53817,54818,55985,57398,10000,2600,2500,2200,2500,3000,0</t>
  </si>
  <si>
    <t>938,240000,1,1,2,34,1,2,-1,-1,0,-1,11874,5979,6938,41858,10416,1711,0,6938,41877,0,1711,27162,0</t>
  </si>
  <si>
    <t>939,180000,2,2,1,32,1,2,2,2,0,0,15548,15009,17752,17172,18732,23389,0,3000,0,2000,5000,2000,1</t>
  </si>
  <si>
    <t>940,200000,2,2,1,32,-1,-1,-1,-1,-1,-1,5150,10190,10190,10190,10594,11193,10190,10190,10190,10594,11193,10190,0</t>
  </si>
  <si>
    <t>941,50000,2,1,2,25,0,0,0,0,0,2,42543,34629,27095,18538,20100,19630,1900,1428,600,3000,0,1000,0</t>
  </si>
  <si>
    <t>942,50000,1,2,1,44,-1,-1,-1,-1,-1,-1,1261,1261,1261,1261,1261,1261,1261,1261,1261,1261,1261,1261,0</t>
  </si>
  <si>
    <t>943,330000,2,1,1,37,-1,-1,-1,-1,0,-1,4785,3403,0,5882,5882,1013,3523,0,5882,0,1013,0,0</t>
  </si>
  <si>
    <t>944,80000,2,2,2,24,2,2,5,5,4,3,1200,1200,1200,1200,600,300,0,0,0,0,0,0,1</t>
  </si>
  <si>
    <t>945,50000,2,2,2,23,-2,-2,-2,-2,-2,-2,3779,3944,2118,2259,3527,1100,3955,2124,2266,3638,1303,0,0</t>
  </si>
  <si>
    <t>946,360000,2,1,2,29,0,0,-1,-1,-1,-1,15854,8174,1004,1004,646,3508,1000,1004,1004,646,3508,0,0</t>
  </si>
  <si>
    <t>947,240000,2,2,1,37,0,0,0,0,0,0,219099,217058,187841,186140,191678,191816,8131,8123,6700,10000,7700,6000,0</t>
  </si>
  <si>
    <t>948,50000,1,2,1,59,0,0,0,0,0,0,47069,48479,49520,18990,19539,19791,2169,2210,680,855,726,687,0</t>
  </si>
  <si>
    <t>949,470000,1,2,2,33,0,0,0,0,0,0,190258,181207,120318,129281,113437,164377,40012,10020,40069,25005,100000,51305,0</t>
  </si>
  <si>
    <t>950,160000,2,3,1,51,-1,2,-1,-1,-1,-1,2000,1000,2125,2125,1000,2125,0,2125,2125,1000,2125,23250,0</t>
  </si>
  <si>
    <t>951,30000,1,1,1,27,-1,0,0,0,0,-2,12897,13484,6655,6618,0,0,2011,2211,2101,148,0,0,1</t>
  </si>
  <si>
    <t>952,80000,2,2,1,32,0,0,0,0,0,0,81074,78262,76163,76813,77511,79069,3700,3400,2900,2900,2841,3100,0</t>
  </si>
  <si>
    <t>953,500000,2,3,2,42,-2,-1,-1,0,0,0,10889,26146,104279,103945,101945,90193,29987,104279,2085,1130,45551,0,0</t>
  </si>
  <si>
    <t>954,180000,1,2,2,39,-1,-1,-1,-1,-1,0,3135,2822,1938,5818,2628,2628,2833,2015,5818,2628,0,0,0</t>
  </si>
  <si>
    <t>955,110000,2,2,1,46,-1,-1,-1,-1,-1,0,2410,2151,2161,1719,107591,107940,2151,2161,1719,107591,5000,3500,0</t>
  </si>
  <si>
    <t>956,160000,1,1,1,41,0,-1,0,0,2,2,117126,11222,15513,18087,17499,19939,15315,15000,3000,0,3000,0,0</t>
  </si>
  <si>
    <t>957,210000,2,2,2,30,0,0,0,0,0,0,21780,20974,18652,13464,109722,105573,1325,1074,1000,99000,3745,4000,0</t>
  </si>
  <si>
    <t>958,200000,2,1,1,34,-1,0,0,-1,0,-1,6206,6723,7545,362,181,488,1120,1024,362,0,488,300,1</t>
  </si>
  <si>
    <t>959,350000,1,1,2,35,-1,-1,-1,0,0,0,4439,33720,14283,16426,10833,2261,33891,16267,4027,234,1565,26346,0</t>
  </si>
  <si>
    <t>960,250000,1,1,2,41,-1,-1,-1,0,-1,-1,1338,-24,8324,5872,23020,2367,0,8348,0,23020,2367,3117,1</t>
  </si>
  <si>
    <t>961,380000,1,1,2,43,1,2,2,-2,-2,-2,8201,7882,-2,-2,-2,-2,39,0,0,0,0,0,1</t>
  </si>
  <si>
    <t>962,30000,1,2,2,47,-1,-1,-1,-1,0,-1,396,396,396,792,396,772,396,396,792,0,772,0,0</t>
  </si>
  <si>
    <t>963,200000,1,2,2,31,0,0,0,0,0,0,33781,35879,26043,27497,29082,31647,3000,2000,2000,2000,3000,4000,0</t>
  </si>
  <si>
    <t>964,30000,1,2,2,30,-1,0,0,0,0,0,27826,28672,29622,30271,24536,22913,1600,1500,1000,1000,1000,1000,0</t>
  </si>
  <si>
    <t>965,50000,1,2,2,24,0,0,-1,-1,0,0,14937,12171,3847,11117,6479,6187,3027,3858,11139,3009,3016,3008,0</t>
  </si>
  <si>
    <t>966,500000,1,1,1,36,0,0,0,0,0,0,294827,292920,291760,288024,274632,266669,20007,20026,20020,10017,15024,10002,0</t>
  </si>
  <si>
    <t>967,30000,1,1,2,28,1,-2,-1,-1,-1,-2,0,0,1310,816,0,0,0,1310,816,0,0,0,0</t>
  </si>
  <si>
    <t>968,220000,2,1,1,36,-1,-1,0,-1,-1,-1,996,4102,4111,1057,990,1324,4102,1111,1057,990,1324,1039,0</t>
  </si>
  <si>
    <t>969,20000,2,2,1,27,0,0,0,-1,0,0,42784,41009,44267,47149,48497,14774,3000,5000,10000,3011,2011,2011,0</t>
  </si>
  <si>
    <t>970,180000,2,2,1,32,0,0,0,0,-1,-1,74189,30670,6428,4618,2708,54024,2000,1000,0,2708,54024,2000,0</t>
  </si>
  <si>
    <t>971,300000,1,1,1,42,-1,0,0,-1,0,0,11973,61834,25145,37666,19453,10492,20979,5000,37676,8808,2000,2709,1</t>
  </si>
  <si>
    <t>972,130000,2,2,1,33,0,0,0,0,0,0,133461,133393,132211,101807,101083,101597,7010,6657,3899,3952,3900,4000,0</t>
  </si>
  <si>
    <t>973,180000,2,3,1,39,2,2,2,2,2,0,10159,12689,12183,13979,13621,14809,2710,0,2000,0,2000,2000,1</t>
  </si>
  <si>
    <t>974,150000,2,1,3,30,-2,-2,-2,-2,-2,-2,50,6527,2168,-7,1373,-1,8589,2500,0,1380,0,2050,0</t>
  </si>
  <si>
    <t>975,140000,1,2,1,30,0,0,0,0,0,0,134203,127319,107496,69218,70702,72267,5000,3500,2700,2600,2742,2700,1</t>
  </si>
  <si>
    <t>976,50000,2,2,2,22,0,0,0,0,0,0,49609,61162,31485,15281,18031,18233,2100,2000,4000,3000,1500,1000,0</t>
  </si>
  <si>
    <t>977,20000,1,2,2,25,1,2,2,0,0,0,6174,7543,7255,3887,5887,0,2000,28,0,2000,0,0,1</t>
  </si>
  <si>
    <t>978,180000,1,1,2,28,-1,-1,-1,-1,-1,-1,666,662,-4,55566,1056,390,662,0,61411,1056,0,1998,0</t>
  </si>
  <si>
    <t>979,180000,1,2,2,26,0,0,0,0,0,0,5591,6619,10574,7733,6794,5487,1126,4081,240,504,169,62,1</t>
  </si>
  <si>
    <t>980,150000,2,3,1,54,-1,0,0,0,2,0,148747,145231,145341,153833,151194,145738,5500,5500,11000,0,6000,5215,0</t>
  </si>
  <si>
    <t>981,70000,2,1,2,24,0,0,0,0,0,0,63903,65248,62958,64209,59482,60883,3000,2190,2201,2181,2413,1952,0</t>
  </si>
  <si>
    <t>982,30000,1,2,2,29,8,7,6,5,4,3,34423,33952,33165,32391,31332,30558,0,0,0,0,0,0,0</t>
  </si>
  <si>
    <t>983,500000,1,1,2,36,-2,-2,-2,-2,-2,-2,45106,81264,18122,27229,21462,27911,81690,18225,27365,21570,28050,17397,1</t>
  </si>
  <si>
    <t>984,60000,1,3,1,49,0,0,0,0,0,0,44801,41545,40649,40843,40612,40656,3000,4506,2500,1800,4200,2500,0</t>
  </si>
  <si>
    <t>985,50000,2,1,2,23,-2,-2,-2,-2,-2,-2,49860,50187,50022,20114,18777,18273,2500,1289,917,1315,5042,2512,0</t>
  </si>
  <si>
    <t>986,130000,1,3,2,43,1,-1,-1,-2,-1,-1,1018,6377,-2,935,4985,1212,6433,2,937,4990,1215,9546,1</t>
  </si>
  <si>
    <t>987,260000,2,2,1,33,-2,-2,-2,-1,-1,0,134736,135593,120909,102524,40157,40805,6067,10000,3000,40157,1466,2000,0</t>
  </si>
  <si>
    <t>988,380000,1,3,1,53,-2,-2,-2,-2,-2,-2,0,0,0,0,0,0,0,0,0,0,0,0,0</t>
  </si>
  <si>
    <t>989,360000,2,2,2,25,2,2,2,2,2,2,286732,290690,284059,294308,297916,279503,10792,0,15000,5800,0,126685,0</t>
  </si>
  <si>
    <t>990,50000,1,3,1,54,1,2,2,0,0,0,62847,60885,56828,55419,54054,53143,2100,0,2000,2000,2455,4000,0</t>
  </si>
  <si>
    <t>991,50000,2,3,1,39,0,0,2,-1,0,0,58300,59727,142,29886,30510,31276,7876,161,74354,927,1089,9100,0</t>
  </si>
  <si>
    <t>992,260000,2,1,1,44,-1,2,2,-1,-1,-2,1215,856,291,803,98,431,0,291,803,98,431,1104,1</t>
  </si>
  <si>
    <t>993,80000,2,2,2,27,0,0,0,0,0,0,57376,58649,59873,61077,62394,63655,2200,2200,2200,2300,2300,2600,0</t>
  </si>
  <si>
    <t>994,360000,2,1,2,25,0,0,0,0,0,-2,279846,169426,68810,12800,0,0,7004,1793,2757,0,0,0,1</t>
  </si>
  <si>
    <t>995,290000,2,1,2,29,1,-2,-2,-2,-2,-2,0,0,0,0,0,0,0,0,0,0,0,0,1</t>
  </si>
  <si>
    <t>996,200000,1,1,2,39,-2,-2,-2,-2,-2,-2,-200,-200,-200,0,60800,0,0,0,200,60800,0,0,0</t>
  </si>
  <si>
    <t>997,140000,1,1,1,45,0,0,0,0,2,2,39716,40799,41853,44452,45433,46383,1600,1600,3169,1700,1700,1495,0</t>
  </si>
  <si>
    <t>998,360000,1,1,1,38,1,-2,-2,-2,-2,-2,0,0,0,0,0,0,0,0,0,0,0,0,1</t>
  </si>
  <si>
    <t>999,50000,2,2,2,23,-1,-1,-1,0,-1,-1,780,0,780,390,390,500,0,780,0,390,500,18300,1</t>
  </si>
  <si>
    <t>1000,120000,1,2,2,25,2,2,0,0,0,0,113348,110119,111700,83858,86434,88802,0,5000,3158,3934,3802,2000,0</t>
  </si>
  <si>
    <t>1001,100000,1,2,1,29,0,0,0,0,-1,-1,94453,95860,67782,-2618,95748,101299,3320,5000,0,100000,7186,0,0</t>
  </si>
  <si>
    <t>1002,200000,2,2,1,28,0,0,0,0,0,0,81865,86790,8441,97041,103541,3632,5000,2000,89000,6500,91,1504,0</t>
  </si>
  <si>
    <t>1003,90000,2,2,1,40,-1,-1,-1,-1,-1,-1,4989,-818,1114,657,1332,780,0,2806,2256,2274,780,0,0</t>
  </si>
  <si>
    <t>1004,360000,1,1,2,36,1,-2,-2,-2,-2,-2,0,0,0,0,0,0,0,0,0,0,0,0,1</t>
  </si>
  <si>
    <t>1005,150000,2,3,2,30,-2,-2,-2,-2,-2,-2,456,9664,3420,2527,0,0,9664,3420,2612,0,0,0,1</t>
  </si>
  <si>
    <t>1006,140000,1,1,2,29,-1,-1,-1,-1,-1,-1,2937,5150,1514,2573,495,1744,2024,1522,2580,496,1749,2265,0</t>
  </si>
  <si>
    <t>1007,200000,2,2,2,36,-1,-1,-1,-2,-2,-1,1371,4068,0,0,0,980,4077,0,0,0,980,0,0</t>
  </si>
  <si>
    <t>1008,170000,2,2,1,37,0,0,0,0,0,0,166246,169163,136604,136607,133199,135242,6700,6800,4700,4700,5500,5000,0</t>
  </si>
  <si>
    <t>1009,30000,1,2,2,34,0,0,4,3,2,0,19785,24633,23961,23289,22779,51224,5500,0,0,0,3400,512,0</t>
  </si>
  <si>
    <t>1010,80000,2,1,2,27,0,0,-2,-2,-2,-2,80000,0,0,0,0,0,0,0,0,0,0,0,0</t>
  </si>
  <si>
    <t>1011,280000,1,1,2,31,0,0,0,0,0,2,164736,170564,150666,133465,133536,132964,8833,12005,5000,8000,3000,5000,0</t>
  </si>
  <si>
    <t>1012,410000,2,1,1,31,-1,-1,2,2,-2,-2,2744,2041,630,-736,-1591,-2303,2051,5,266,266,253,6384,0</t>
  </si>
  <si>
    <t>1013,450000,1,1,2,38,-1,0,-1,-1,-1,-1,29747,53311,10920,8072,22809,12415,30323,10973,8112,22923,12476,6728,0</t>
  </si>
  <si>
    <t>1014,80000,1,2,2,36,0,0,0,0,0,0,79148,52174,44275,42029,33838,29757,2000,2000,1500,1500,2000,1500,0</t>
  </si>
  <si>
    <t>1015,360000,1,1,1,46,0,0,0,0,-2,-2,92961,76243,51722,-8,-8,-16,10125,13092,0,0,0,0,0</t>
  </si>
  <si>
    <t>1016,130000,2,1,1,36,0,0,0,0,0,0,129689,107070,103942,94623,90556,92394,5000,4400,5000,4000,3500,4000,0</t>
  </si>
  <si>
    <t>1017,160000,2,1,2,26,0,0,0,-1,-1,-1,2198,11155,0,12315,0,11855,9155,0,12315,0,11855,0,1</t>
  </si>
  <si>
    <t>1018,140000,2,3,2,57,2,0,0,0,0,0,131795,134083,125360,99313,90623,92425,6743,5421,3926,3290,3310,3424,1</t>
  </si>
  <si>
    <t>1019,240000,2,3,1,40,1,-2,-1,-1,-1,-1,-55,-55,3545,1338,1075,1744,0,3600,1338,1075,1744,0,0</t>
  </si>
  <si>
    <t>1020,180000,2,3,0,45,-1,-1,-2,-2,-2,-2,4148,0,0,0,0,0,0,0,0,0,0,0,0</t>
  </si>
  <si>
    <t>1021,70000,1,1,3,57,0,0,0,0,0,0,69398,70352,69936,68118,65942,62495,2667,2321,2391,2316,2466,1451,0</t>
  </si>
  <si>
    <t>1022,150000,2,2,2,25,0,0,0,0,0,0,142827,126317,75324,78773,95375,57663,5000,4000,5000,40000,3000,2880,0</t>
  </si>
  <si>
    <t>1023,210000,2,3,1,37,-2,-2,-2,-2,-2,-2,138398,109115,101912,62959,60767,41150,5000,5000,2500,2800,2000,0,0</t>
  </si>
  <si>
    <t>1024,200000,2,1,1,35,-1,0,0,0,0,0,9918,10971,11817,17865,18239,14527,1219,1165,7865,592,807,679,0</t>
  </si>
  <si>
    <t>1025,310000,1,2,2,33,-2,-2,-2,-2,-2,-2,4040,4048,3959,205,3199,5104,4068,3964,205,3209,5109,1434,0</t>
  </si>
  <si>
    <t>1026,180000,1,1,1,38,0,0,0,0,0,2,153099,150227,138313,137274,147314,129870,7005,6500,5000,12042,32,1300,0</t>
  </si>
  <si>
    <t>1027,300000,1,2,2,31,0,0,0,-1,-1,-1,62198,35674,34979,510,2166,765,1600,2600,510,903,765,773,0</t>
  </si>
  <si>
    <t>1028,450000,2,1,2,41,-1,-1,-1,-1,-1,-1,11343,75083,25273,85357,27745,1990,75459,25413,85784,27856,2000,1900,0</t>
  </si>
  <si>
    <t>1029,200000,1,1,2,33,1,-1,-1,0,-1,-1,-5,3465,3191,1873,90687,4577,3470,3191,0,90729,0,6266,0</t>
  </si>
  <si>
    <t>1030,30000,2,2,1,67,2,2,0,0,2,2,30374,29038,27737,29499,30124,26855,0,1500,2182,1200,0,2302,1</t>
  </si>
  <si>
    <t>1031,400000,2,1,1,40,-1,-1,-1,0,0,-1,1107,3891,120338,8318,8488,130,3891,120407,0,170,130,8595,0</t>
  </si>
  <si>
    <t>1032,170000,1,1,2,33,-1,-1,-1,-1,-1,-1,764,1100,500,2499,1500,600,1105,500,2499,1500,600,2100,0</t>
  </si>
  <si>
    <t>1033,140000,2,1,2,31,-1,2,-1,-1,-1,-1,652,326,326,326,476,326,0,326,326,476,326,326,1</t>
  </si>
  <si>
    <t>1034,200000,2,2,2,35,0,0,0,0,0,0,64195,65565,66870,68752,70485,71887,3000,3000,3000,3000,2575,3000,0</t>
  </si>
  <si>
    <t>1035,60000,2,2,3,39,1,-2,-2,-2,-2,-2,-1540,-1930,-2320,-1220,0,0,0,0,2000,2000,0,0,0</t>
  </si>
  <si>
    <t>1036,60000,1,2,2,27,1,2,0,0,2,2,43356,42381,46663,49877,50734,49764,0,5000,4000,1800,0,2000,1</t>
  </si>
  <si>
    <t>1037,150000,1,1,2,23,0,0,0,0,0,0,11109,83376,79726,76986,78038,78321,78016,3048,4000,3500,3000,3000,0</t>
  </si>
  <si>
    <t>1038,180000,1,3,1,54,0,0,0,0,0,0,149698,137260,124500,111430,98182,84598,4834,4371,3849,3405,2887,2402,1</t>
  </si>
  <si>
    <t>1039,50000,2,3,2,23,0,0,0,0,0,0,43979,33403,20879,18573,17318,17936,2000,2000,2000,1000,1000,2800,0</t>
  </si>
  <si>
    <t>1040,50000,1,3,2,24,-1,-1,-1,-1,0,0,2562,8743,-290,18115,18495,18804,8769,0,18650,659,1000,1000,0</t>
  </si>
  <si>
    <t>1041,20000,1,2,2,26,-1,-1,-2,-2,-2,-2,70,-620,-620,-1400,0,0,0,0,0,1400,0,0,0</t>
  </si>
  <si>
    <t>1042,230000,2,2,2,52,2,-1,2,0,-1,-1,1292,3943,1990,1499,593,2553,3951,1,9,594,2560,3759,1</t>
  </si>
  <si>
    <t>1043,110000,2,2,1,42,0,0,0,0,0,0,55349,52914,49483,49292,49460,49470,2096,2003,1802,1783,1783,1756,0</t>
  </si>
  <si>
    <t>1044,90000,2,1,2,36,0,0,0,0,0,0,90922,80980,66503,67347,68509,67588,4273,3200,2500,2500,2631,2646,0</t>
  </si>
  <si>
    <t>1045,20000,2,1,2,22,2,2,2,2,2,2,16233,20547,20542,19572,20437,19994,5383,660,0,1538,0,2658,1</t>
  </si>
  <si>
    <t>1046,30000,2,1,2,23,0,0,0,0,0,0,26847,24815,21681,22293,17155,13470,2500,3500,2000,3500,2000,1000,0</t>
  </si>
  <si>
    <t>1047,220000,1,3,1,30,0,0,0,0,2,0,162105,170592,173969,183030,181385,174107,10000,5013,10626,52,5255,4222,1</t>
  </si>
  <si>
    <t>1048,140000,2,3,2,24,1,2,2,2,0,0,42897,45739,46468,45422,46371,47297,3821,1775,0,1833,1850,2000,1</t>
  </si>
  <si>
    <t>1049,300000,2,1,1,42,-2,-2,-2,-2,-2,-2,3000,3300,0,0,610,2165,3300,0,0,610,2165,2394,0</t>
  </si>
  <si>
    <t>1050,100000,1,2,1,49,0,0,0,2,0,0,34704,30906,28325,22160,18842,17023,2011,2028,10,558,1044,12,0</t>
  </si>
  <si>
    <t>1051,110000,1,2,2,31,2,2,3,3,2,-1,279,279,279,279,129,179,0,0,0,0,200,0,0</t>
  </si>
  <si>
    <t>1052,270000,2,3,2,33,0,-1,-1,-1,0,0,10000,10000,10000,123693,116843,110059,10000,10000,222750,5000,5008,5026,0</t>
  </si>
  <si>
    <t>1053,30000,1,1,1,42,0,0,-1,-1,-1,-1,28033,17085,200,323,29525,0,1525,200,323,29525,0,0,0</t>
  </si>
  <si>
    <t>1054,70000,1,3,2,41,0,0,0,0,0,0,70476,68539,69520,51605,50311,50729,2700,3500,2000,2000,2500,2500,0</t>
  </si>
  <si>
    <t>1055,230000,1,2,1,53,2,2,-2,-2,-2,-1,1350,0,0,0,0,470,0,0,0,0,470,0,0</t>
  </si>
  <si>
    <t>1056,20000,1,2,2,23,0,0,0,0,0,0,18852,16648,19395,20271,20445,17532,1500,4000,2000,2000,2900,2735,0</t>
  </si>
  <si>
    <t>1057,190000,2,1,2,33,1,2,0,0,0,0,115056,108137,89722,69861,49894,49727,0,4413,2942,2000,1583,1500,0</t>
  </si>
  <si>
    <t>1058,20000,2,2,1,29,0,0,0,0,0,0,15890,13995,13375,14205,15869,16666,2000,2000,1000,2000,1000,1000,0</t>
  </si>
  <si>
    <t>1059,80000,2,3,1,67,0,0,0,0,0,-1,20255,18885,21529,29236,10662,2408,6000,5002,10662,2,2408,11662,0</t>
  </si>
  <si>
    <t>1060,20000,1,3,1,33,2,0,0,0,0,-2,20500,16237,20960,6914,1017,780,2191,1000,0,1017,780,6380,1</t>
  </si>
  <si>
    <t>1061,60000,2,3,1,34,0,0,0,2,0,0,9928,11261,12853,12352,12703,13338,1500,2090,0,700,1000,1400,1</t>
  </si>
  <si>
    <t>1062,50000,1,2,1,49,0,0,0,0,0,0,10750,8755,8684,5983,4252,5034,1507,3109,2209,2000,2500,3000,0</t>
  </si>
  <si>
    <t>1063,280000,2,2,1,56,0,0,0,0,0,0,284204,284041,283396,213294,213384,213604,10261,17003,7657,7750,7861,8083,1</t>
  </si>
  <si>
    <t>1064,300000,1,1,1,42,0,0,0,0,0,0,120151,89618,47857,48128,50332,23688,4229,5024,6012,5191,12139,110247,0</t>
  </si>
  <si>
    <t>1065,30000,2,3,1,55,2,0,0,0,0,0,29278,30393,29785,30377,30155,31098,1600,1585,1377,1155,2600,0,1</t>
  </si>
  <si>
    <t>1066,270000,2,2,1,25,0,0,0,0,0,0,21586,239499,203867,188064,147915,139976,239104,7098,6179,5023,6090,4000,0</t>
  </si>
  <si>
    <t>1067,100000,1,3,2,30,0,0,0,0,0,0,87579,72308,53505,43371,48125,40388,4172,2094,3007,10021,3012,1527,0</t>
  </si>
  <si>
    <t>1068,240000,1,2,2,43,-1,-1,-1,-1,-1,-1,291,291,291,291,291,291,291,291,291,291,291,291,1</t>
  </si>
  <si>
    <t>1069,200000,1,1,2,40,-1,-1,-1,-1,-1,-1,2159,760,2775,22813,10526,326,1086,2775,22813,10526,326,573,0</t>
  </si>
  <si>
    <t>1070,110000,2,1,2,35,0,0,2,2,0,0,32691,36344,36055,36163,37028,38250,4500,600,1000,1600,2000,2000,0</t>
  </si>
  <si>
    <t>1071,230000,1,1,1,61,-1,-1,-1,-1,-1,-1,1477,3699,2252,4932,2783,7411,3710,2266,7338,2791,7433,4527,0</t>
  </si>
  <si>
    <t>1072,150000,2,2,1,44,-1,-1,-1,-1,-1,-1,390,5104,10318,5775,14441,780,5104,10318,10355,14441,780,66950,1</t>
  </si>
  <si>
    <t>1073,350000,1,1,2,33,-1,-1,-1,-1,-1,-1,148341,8095,15047,3220,20461,3249,8405,15052,3805,20467,3253,27168,0</t>
  </si>
  <si>
    <t>1074,360000,1,6,1,66,-1,-1,-1,-1,-1,-1,47615,74976,4040,151858,48580,1451,75351,4064,152618,48822,1451,171944,0</t>
  </si>
  <si>
    <t>1075,150000,2,2,2,40,1,-1,-1,-1,-1,-2,-19,3894,5570,10516,-3,-3,3913,5606,10568,0,0,2379,0</t>
  </si>
  <si>
    <t>1076,100000,1,3,2,47,0,0,0,0,0,0,94925,95130,60003,38500,4681,76728,3889,2412,1698,679,72809,2748,0</t>
  </si>
  <si>
    <t>1077,500000,1,1,2,27,0,0,0,0,0,0,204198,201648,197549,192093,187726,183860,7434,6342,5276,5271,5778,5029,0</t>
  </si>
  <si>
    <t>1078,500000,1,1,2,35,-1,0,-1,-1,-1,0,172041,70011,12976,34469,27425,28506,58761,13976,34828,28289,18175,17500,0</t>
  </si>
  <si>
    <t>1079,180000,2,3,1,47,-1,-1,-1,-1,-1,-1,316,316,316,316,316,316,316,316,316,316,316,316,0</t>
  </si>
  <si>
    <t>1080,400000,2,3,1,39,1,-1,-1,-1,-2,-1,2384,3500,471,-203,2371,1949,3603,471,203,2574,1949,1040,0</t>
  </si>
  <si>
    <t>1081,100000,2,2,2,29,0,0,0,0,0,0,61383,49560,40183,61820,8322,6182,1908,2000,1000,2000,3000,5000,0</t>
  </si>
  <si>
    <t>1082,10000,1,2,1,32,1,2,2,2,2,2,8425,8148,9481,9180,10052,10091,0,1632,0,1022,350,0,0</t>
  </si>
  <si>
    <t>1083,60000,2,1,2,30,2,2,2,2,2,2,34735,33895,36530,37133,37893,37131,0,3200,1500,1500,0,1700,0</t>
  </si>
  <si>
    <t>1084,50000,2,1,2,25,1,2,2,2,2,2,47054,48008,48913,49847,50840,49502,2000,2000,2000,1900,1900,1600,1</t>
  </si>
  <si>
    <t>1085,80000,2,2,2,23,-1,0,0,0,0,0,57314,58489,50452,51573,49061,33931,2145,2000,2012,2049,2008,1217,0</t>
  </si>
  <si>
    <t>1086,110000,2,2,1,43,0,0,2,0,0,0,108616,114854,105275,107561,105502,103813,9600,0,4000,3765,4000,4200,0</t>
  </si>
  <si>
    <t>1087,410000,2,2,1,41,0,0,0,0,0,0,354506,363666,369776,368779,369358,368043,14600,15500,14000,13580,14000,19000,1</t>
  </si>
  <si>
    <t>1088,260000,2,2,1,40,1,-1,-1,-2,-2,-2,0,342,0,0,0,0,342,0,0,0,0,0,0</t>
  </si>
  <si>
    <t>1089,30000,2,3,1,35,0,0,0,0,0,0,28786,26496,25098,26209,25325,26400,1500,1450,1500,1500,1500,1500,0</t>
  </si>
  <si>
    <t>1090,310000,2,1,2,28,0,0,0,0,-1,-1,36513,37628,39579,40879,85,4381,2500,3000,1500,85,4381,11100,0</t>
  </si>
  <si>
    <t>1091,70000,2,2,2,38,0,0,0,0,0,0,22578,23606,24619,25107,25634,26143,1397,1410,898,931,936,970,0</t>
  </si>
  <si>
    <t>1092,250000,1,1,2,31,0,0,0,0,0,0,215316,198490,169014,167776,168110,168505,6845,5945,5919,6000,6059,5837,0</t>
  </si>
  <si>
    <t>1093,210000,1,3,1,29,1,2,0,0,0,0,198510,194040,199393,194538,195990,194136,0,10000,7000,8000,8000,7200,0</t>
  </si>
  <si>
    <t>1094,360000,1,2,1,41,1,-2,-2,-2,-2,-2,0,0,0,0,0,0,0,0,0,0,0,0,1</t>
  </si>
  <si>
    <t>1095,50000,1,2,2,31,1,2,0,0,2,0,48657,45079,47714,19586,19143,20051,0,4300,2150,0,1204,1000,0</t>
  </si>
  <si>
    <t>1096,670000,1,1,2,29,0,0,0,0,0,0,244663,243209,229265,228114,232795,237726,10000,8000,8500,8190,9000,8000,0</t>
  </si>
  <si>
    <t>1097,130000,1,1,2,26,-1,-1,0,0,0,0,2343,32278,24175,15182,12805,14415,32322,1217,1000,3000,2000,390,0</t>
  </si>
  <si>
    <t>1098,170000,1,1,1,42,1,-2,-2,-2,-2,-1,0,0,0,0,0,2485,0,0,0,0,2485,7797,0</t>
  </si>
  <si>
    <t>1099,30000,1,3,2,29,-1,-1,-1,-1,-2,-2,390,0,780,0,0,0,0,780,0,0,0,0,0</t>
  </si>
  <si>
    <t>1100,110000,1,1,1,50,0,0,0,0,0,0,36802,38210,40259,41585,42913,44197,2000,3000,2000,2000,2000,2000,0</t>
  </si>
  <si>
    <t>1101,210000,2,3,2,46,1,2,0,0,-1,-1,5816,5579,20079,17309,2310,241,13,17309,0,2310,241,4000,1</t>
  </si>
  <si>
    <t>1102,30000,2,2,2,24,0,0,2,2,2,0,24238,26996,26269,27734,27151,28199,3462,0,2200,0,1500,1500,1</t>
  </si>
  <si>
    <t>1103,260000,2,2,1,46,0,0,2,2,2,0,18256,19556,18136,24018,21490,18196,2934,0,8000,0,2000,8000,0</t>
  </si>
  <si>
    <t>1104,150000,2,3,2,28,-2,-1,-1,-1,-1,-1,1723,2292,240,683,3486,5390,6876,240,683,3486,5390,1200,0</t>
  </si>
  <si>
    <t>1105,20000,2,2,1,35,1,2,2,3,2,0,18648,18061,21034,20419,19289,19600,0,3292,0,0,781,701,1</t>
  </si>
  <si>
    <t>1106,380000,2,1,1,40,-1,-1,-2,-2,-2,-2,6614,54457,47872,24543,0,0,49094,0,24543,0,0,0,0</t>
  </si>
  <si>
    <t>1107,200000,2,1,1,41,-2,-2,-2,-2,-2,-2,7812,0,0,1115,0,0,0,0,1115,0,0,0,0</t>
  </si>
  <si>
    <t>1108,120000,2,2,1,47,-1,-1,-1,-1,-1,-1,1188,2512,3444,1742,502,346,2512,3444,1742,502,346,325,0</t>
  </si>
  <si>
    <t>1109,80000,1,2,1,54,0,0,0,0,0,0,76962,79463,79761,30286,29898,30364,4000,3500,1100,1100,1200,1000,1</t>
  </si>
  <si>
    <t>1110,30000,2,2,2,33,1,2,0,0,0,0,31089,10989,11997,12397,13043,13325,0,1200,600,1000,650,650,0</t>
  </si>
  <si>
    <t>1111,110000,1,2,2,29,1,2,2,2,0,0,83687,85360,86274,84001,85897,88759,3900,3200,0,3400,4500,2600,0</t>
  </si>
  <si>
    <t>1112,50000,2,3,1,44,-1,-1,-1,-1,-1,-1,3424,155,1922,1473,1865,835,155,1922,1473,1865,835,1833,0</t>
  </si>
  <si>
    <t>1113,90000,2,2,1,24,0,0,0,0,0,0,84148,79847,75576,75266,74431,68399,5006,4007,5006,4003,3014,4007,0</t>
  </si>
  <si>
    <t>1114,110000,1,1,2,33,0,0,0,0,0,0,12633,88334,53978,23687,26567,8435,80004,1500,12013,7000,2000,4000,0</t>
  </si>
  <si>
    <t>1115,50000,1,3,1,54,0,0,0,0,0,0,38607,39681,40717,41682,42857,45581,2000,2000,1642,2000,3600,0,0</t>
  </si>
  <si>
    <t>1116,60000,1,1,2,27,-2,-2,-2,-2,-1,-1,11862,1856,-14,4839,9567,11407,1861,0,4853,9567,2000,0,0</t>
  </si>
  <si>
    <t>1117,150000,2,2,2,37,0,0,0,0,0,0,80463,82513,84271,43832,33963,34638,3348,3490,1402,1233,1240,1284,1</t>
  </si>
  <si>
    <t>1118,20000,1,1,2,24,1,2,0,0,0,-2,18738,18016,7190,7190,0,0,20,1500,0,0,0,0,0</t>
  </si>
  <si>
    <t>1119,140000,2,3,1,54,1,-2,-2,-2,-2,-2,-150,-150,-150,-150,-150,-150,0,0,0,0,0,0,1</t>
  </si>
  <si>
    <t>1120,120000,2,2,1,34,1,-1,-1,-1,-1,-1,-9,898,7752,4447,8495,0,907,7772,4447,8495,0,528,0</t>
  </si>
  <si>
    <t>1121,200000,2,2,2,40,2,0,0,0,0,0,176502,176297,162826,160186,161965,152361,8000,7300,6000,6000,6000,6000,1</t>
  </si>
  <si>
    <t>1122,20000,1,2,2,30,1,2,4,3,2,2,19977,21359,20581,19860,19690,1735,2000,0,0,0,500,0,1</t>
  </si>
  <si>
    <t>1123,50000,1,2,2,26,0,0,0,0,0,0,48221,49629,48868,49668,49780,49980,2571,1200,1000,40000,1000,0,0</t>
  </si>
  <si>
    <t>1124,200000,2,2,1,41,0,0,0,0,0,-1,18012,18367,16996,11461,8150,5584,1385,1020,229,183,5584,888,0</t>
  </si>
  <si>
    <t>1125,100000,2,2,2,29,-2,-1,0,0,0,0,75912,85276,88498,90289,92485,95630,10000,4000,2600,3000,4000,5000,0</t>
  </si>
  <si>
    <t>1126,300000,1,1,1,38,-1,-1,-2,-2,-2,-2,2285,0,0,0,0,0,0,0,0,0,0,0,0</t>
  </si>
  <si>
    <t>1127,500000,2,1,2,35,-1,-1,-1,-1,0,-1,22369,14100,24754,21443,13892,11241,14128,24902,21479,11465,11356,66710,0</t>
  </si>
  <si>
    <t>1128,360000,2,2,1,52,-1,-1,-2,-2,-2,-2,2995,2401,2277,500,3586,7399,2406,2282,500,3586,7399,600,0</t>
  </si>
  <si>
    <t>1129,160000,2,1,2,29,1,-2,-2,-2,-2,-2,0,0,0,0,0,0,0,0,0,0,0,0,0</t>
  </si>
  <si>
    <t>1130,50000,2,2,2,23,0,0,0,2,2,2,47053,47835,51109,51713,52738,48789,1842,4116,2000,1950,0,1885,1</t>
  </si>
  <si>
    <t>1131,230000,2,2,1,34,0,0,0,0,0,0,234328,234211,157345,155335,153427,150514,8913,5449,5339,5370,4435,4432,1</t>
  </si>
  <si>
    <t>1132,200000,2,2,2,34,1,-1,-1,-1,-1,-1,0,3346,0,465,1775,8722,3346,0,465,1775,8722,0,0</t>
  </si>
  <si>
    <t>1133,270000,1,1,1,44,3,3,4,4,4,4,256402,264267,271951,278509,283545,278436,17944,18112,15405,10000,0,0,0</t>
  </si>
  <si>
    <t>1134,50000,2,2,1,36,2,2,2,0,0,2,45159,49125,47956,43578,35126,34420,4700,0,2004,3500,0,1000,0</t>
  </si>
  <si>
    <t>1135,20000,1,2,2,28,1,2,2,2,0,0,15764,15718,17164,16594,18158,19554,500,2000,0,2000,1700,0,0</t>
  </si>
  <si>
    <t>1136,60000,2,2,2,31,0,0,0,0,2,0,59643,61279,61017,30117,29526,29201,3200,2535,2331,0,1073,2134,0</t>
  </si>
  <si>
    <t>1137,50000,1,2,2,31,-1,-1,-1,0,0,-1,2522,0,18171,17051,390,16526,0,18171,341,0,16526,324,0</t>
  </si>
  <si>
    <t>1138,50000,1,2,1,41,0,0,0,0,0,0,19339,20424,20086,18600,19153,19289,1703,1306,810,1000,900,900,0</t>
  </si>
  <si>
    <t>1139,130000,2,3,1,44,0,0,0,0,0,2,109006,110256,113283,101247,96939,81977,4500,5000,4000,10600,0,2300,0</t>
  </si>
  <si>
    <t>1140,230000,2,3,2,47,0,0,0,0,0,0,147300,121855,102074,94225,96616,95849,10000,5000,4000,4000,5000,4000,0</t>
  </si>
  <si>
    <t>1141,20000,1,2,2,25,0,0,0,-2,-1,0,3400,4129,0,0,3244,3314,1000,0,0,3244,124,66,0</t>
  </si>
  <si>
    <t>1142,30000,2,1,2,25,0,0,2,0,0,2,19801,20449,19798,20217,21435,19239,3000,0,700,1500,0,323,0</t>
  </si>
  <si>
    <t>1143,200000,2,1,1,39,-1,0,-1,0,0,0,8432,6977,6727,6864,5253,3388,3746,6737,2013,10,20,10901,0</t>
  </si>
  <si>
    <t>1144,140000,2,2,1,24,-1,-1,-2,-2,-1,-1,2515,0,0,0,2243,5530,0,0,0,2243,5530,4441,0</t>
  </si>
  <si>
    <t>1145,100000,2,2,1,35,2,0,0,2,2,0,98845,95265,98571,99322,96661,95951,4600,8002,4003,2,4005,4000,1</t>
  </si>
  <si>
    <t>1146,240000,1,2,1,32,2,2,2,0,0,0,127418,135942,132640,135320,138523,141618,10400,0,4500,5000,5000,5000,1</t>
  </si>
  <si>
    <t>1147,70000,2,1,2,31,2,2,7,7,7,7,2400,2400,2400,2400,2400,2400,0,0,0,0,0,0,1</t>
  </si>
  <si>
    <t>1148,360000,1,1,2,33,1,2,0,0,-1,-1,71195,60553,60158,16672,35039,8320,0,1399,0,35039,8320,5169,0</t>
  </si>
  <si>
    <t>1149,140000,2,1,2,30,1,2,0,0,0,0,149389,145757,144229,144470,144386,120586,0,5350,5555,5836,4191,4341,0</t>
  </si>
  <si>
    <t>1150,50000,1,2,1,52,-1,2,0,0,0,0,2072,1532,3106,2721,780,0,0,2000,5,0,0,0,0</t>
  </si>
  <si>
    <t>1151,210000,2,2,1,36,-1,-1,-1,0,-1,-1,396,590,2042,1646,396,396,590,2042,0,396,396,396,0</t>
  </si>
  <si>
    <t>1152,280000,1,1,2,30,1,2,2,0,0,0,191493,187913,169223,153063,133490,130377,1000,7600,5949,6000,5200,5117,0</t>
  </si>
  <si>
    <t>1153,180000,2,2,2,42,2,2,2,2,2,2,50420,51818,52372,52917,54123,55176,2500,2000,2000,2200,2100,2200,1</t>
  </si>
  <si>
    <t>1154,150000,2,1,2,30,-1,0,-1,0,-1,-1,10705,5416,5162,4068,249,249,1000,5162,1000,249,249,5565,0</t>
  </si>
  <si>
    <t>1155,20000,1,3,1,47,1,2,0,0,0,2,19739,19137,19857,15422,19279,9537,0,1200,0,9537,0,0,0</t>
  </si>
  <si>
    <t>1156,350000,2,2,1,29,-1,-1,-1,-1,-1,-1,8760,5882,9845,4677,5767,6532,5932,9908,4692,5787,6548,4863,0</t>
  </si>
  <si>
    <t>1157,130000,2,1,2,23,-1,-1,-1,0,-1,0,3820,2640,30403,9630,7120,3940,2640,30403,193,7120,79,9589,0</t>
  </si>
  <si>
    <t>1158,470000,1,3,1,39,1,-2,-2,-2,-2,-2,0,0,0,0,0,0,0,0,0,0,0,789,0</t>
  </si>
  <si>
    <t>1159,340000,2,2,1,48,-1,-1,-1,0,0,-1,4052,0,4105,2895,2895,2360,0,4105,0,0,2360,1090,0</t>
  </si>
  <si>
    <t>1160,80000,1,2,2,26,1,2,2,2,0,0,77389,75585,80300,75724,77504,79715,0,6000,0,3000,3500,3000,0</t>
  </si>
  <si>
    <t>1161,70000,1,1,2,33,0,0,0,0,-2,-2,70524,70740,46740,0,0,0,2500,2000,0,0,0,0,0</t>
  </si>
  <si>
    <t>1162,230000,2,2,1,44,-2,-2,-2,-2,-2,-2,5990,1677,2920,2683,1674,3273,1677,2920,2683,1674,3273,2749,0</t>
  </si>
  <si>
    <t>1163,180000,2,2,1,36,0,0,0,-2,-1,0,21494,25600,0,0,36565,37353,5000,0,0,36565,1548,1000,0</t>
  </si>
  <si>
    <t>1164,210000,2,2,1,39,0,0,0,0,0,-1,26749,34451,25200,19850,15530,13021,14000,3007,5000,1000,13021,22171,0</t>
  </si>
  <si>
    <t>1165,20000,1,2,2,24,-1,-1,-1,-1,-1,-1,780,0,390,390,780,0,0,390,390,780,0,0,0</t>
  </si>
  <si>
    <t>1166,140000,2,2,2,25,2,0,0,-1,-1,0,137606,140557,111000,3238,89437,91136,6000,3200,3238,89437,3228,3000,0</t>
  </si>
  <si>
    <t>1167,200000,1,1,2,52,0,0,0,0,0,0,115702,113576,109812,104567,100541,96495,5517,5381,3838,3589,3397,3296,0</t>
  </si>
  <si>
    <t>1168,50000,2,3,1,59,0,0,0,0,0,0,47822,36488,36811,13234,11543,10751,2009,2000,556,378,619,5000,0</t>
  </si>
  <si>
    <t>1169,80000,2,1,2,23,-1,-1,0,0,-1,-1,3526,6687,4356,3450,4318,0,6687,1000,0,4318,0,254,0</t>
  </si>
  <si>
    <t>1170,30000,2,3,2,48,0,0,0,0,0,0,1445,3410,5338,7239,9112,10949,2000,2000,2000,2000,2000,2000,0</t>
  </si>
  <si>
    <t>1171,140000,2,1,2,28,0,0,2,0,0,0,9305,13614,13103,14077,15189,16275,4800,0,1500,1500,1500,1500,1</t>
  </si>
  <si>
    <t>1172,80000,1,3,1,62,-1,-1,-1,-1,-1,-1,1262,1642,1975,672,5112,3932,1642,1975,672,5112,3932,20289,0</t>
  </si>
  <si>
    <t>1173,220000,2,3,1,38,-1,-1,-1,-1,-1,-1,20000,3450,5516,47619,28800,8561,3450,5549,50019,28800,8561,16599,0</t>
  </si>
  <si>
    <t>1174,180000,2,1,2,32,-1,-1,-1,-1,-1,-1,666,666,666,666,666,666,666,666,666,666,666,666,0</t>
  </si>
  <si>
    <t>1175,140000,2,2,1,29,0,0,0,0,0,0,81764,92071,43777,22806,12643,29707,20167,5000,28800,2000,20007,10009,1</t>
  </si>
  <si>
    <t>1176,180000,1,2,2,25,2,2,2,0,0,0,10022,12847,12351,12350,12608,12892,3000,0,500,455,491,500,1</t>
  </si>
  <si>
    <t>1177,50000,2,2,2,35,0,0,0,0,0,0,14536,15694,16431,17056,17581,18089,1700,1300,900,800,800,900,0</t>
  </si>
  <si>
    <t>1178,170000,2,2,2,27,0,0,0,0,0,0,97474,78520,80131,70788,68927,70678,2932,3000,2500,3000,2900,2918,0</t>
  </si>
  <si>
    <t>1179,50000,1,2,2,38,0,0,0,0,0,0,50958,50889,49697,9176,9368,9554,2042,1150,329,340,342,354,0</t>
  </si>
  <si>
    <t>1180,50000,1,2,2,24,0,0,0,0,0,0,49144,20818,17890,18310,17931,18633,1500,1300,700,1000,1000,1000,0</t>
  </si>
  <si>
    <t>1181,300000,1,2,1,29,-1,-1,-2,-2,-2,-2,1874,-200,-200,-200,-200,-200,0,0,0,0,0,0,0</t>
  </si>
  <si>
    <t>1182,390000,2,1,2,27,2,0,0,0,0,0,386301,392458,290201,295606,300709,305904,17000,11000,11000,10656,11000,12000,0</t>
  </si>
  <si>
    <t>1183,90000,2,2,1,55,2,2,0,0,0,0,81998,83674,80890,31565,33049,22694,4003,3000,3000,3000,2000,2000,1</t>
  </si>
  <si>
    <t>1184,200000,2,1,2,29,0,0,0,0,0,0,194241,193425,196537,195268,192829,192499,12000,8500,7000,10000,10000,10000,0</t>
  </si>
  <si>
    <t>1185,460000,1,1,2,29,0,0,0,0,0,0,410033,385394,325663,324067,324749,327929,16088,13039,11127,11017,11110,11113,0</t>
  </si>
  <si>
    <t>1186,10000,1,2,2,23,0,0,0,0,0,-2,3714,4158,4654,3080,0,0,1104,1000,31,0,0,0,0</t>
  </si>
  <si>
    <t>1187,20000,1,2,1,30,-1,-1,0,0,-1,-1,1261,2835,2522,1261,1261,930,2835,1000,0,1261,930,540,1</t>
  </si>
  <si>
    <t>1188,50000,2,2,1,50,-1,-1,-1,-1,-2,-1,1232,1846,697,364,0,760,1846,697,364,0,760,5862,0</t>
  </si>
  <si>
    <t>1189,480000,2,2,1,38,0,0,0,0,0,0,90258,76099,56776,37484,37906,18387,30000,1708,1292,1010,772,705,0</t>
  </si>
  <si>
    <t>1190,180000,2,1,2,24,0,0,0,0,0,0,169263,174532,176686,165491,169222,173246,8000,6700,6000,6400,7000,7000,0</t>
  </si>
  <si>
    <t>1191,240000,2,1,2,29,0,0,0,0,0,-2,3093,2322,8186,3980,0,0,2000,2020,2500,0,0,85,0</t>
  </si>
  <si>
    <t>1192,250000,1,1,2,38,-2,-2,-2,-2,-2,-2,584,3291,8660,7495,1120,62,3307,8703,7532,1125,62,7718,0</t>
  </si>
  <si>
    <t>1193,270000,2,2,2,34,-1,-1,-1,-1,-1,-1,381,3376,2958,4154,5885,3129,3406,2983,4172,5912,3143,0,1</t>
  </si>
  <si>
    <t>1194,200000,1,1,1,37,0,0,0,0,0,0,123337,11148,19165,21171,17762,23670,11202,19275,22304,23850,23784,84430,0</t>
  </si>
  <si>
    <t>1195,100000,2,3,1,66,0,0,0,0,0,0,100036,100041,100402,97141,97143,97532,4702,4617,3600,3865,3850,3705,0</t>
  </si>
  <si>
    <t>1196,160000,2,1,1,39,-2,-2,-2,-2,-2,-2,710,666,403,1650,336,790,666,403,1650,336,790,1141,0</t>
  </si>
  <si>
    <t>1197,80000,2,2,1,45,0,0,0,0,0,0,81841,74516,69485,30396,30595,29033,4100,2507,2140,2000,1500,1000,0</t>
  </si>
  <si>
    <t>1198,130000,1,2,1,44,-1,2,0,0,0,0,29547,23154,18637,14691,8769,4166,0,1500,486,303,83,780,0</t>
  </si>
  <si>
    <t>1199,340000,2,3,2,44,0,0,0,0,0,0,142836,145125,146682,150407,147868,149349,7000,5500,6027,5328,5390,6047,1</t>
  </si>
  <si>
    <t>1200,360000,1,1,1,36,-2,-1,-1,-1,-2,-2,0,394,11142,0,0,0,394,11253,0,0,0,0,0</t>
  </si>
  <si>
    <t>1201,120000,2,3,1,40,0,0,0,0,0,0,108300,108538,94833,49078,40643,4200,5000,4121,2000,2000,2000,96583,0</t>
  </si>
  <si>
    <t>1202,120000,1,1,2,29,0,0,0,0,0,0,30101,31281,30180,30471,31110,31728,2000,2000,1090,1129,1135,1200,0</t>
  </si>
  <si>
    <t>1203,300000,2,1,2,48,0,0,0,0,0,0,247279,235093,224062,212480,202148,186955,10005,9500,7500,6914,6100,5500,0</t>
  </si>
  <si>
    <t>1204,60000,2,2,2,23,2,2,-2,-2,-1,-1,2516,0,0,0,1524,25421,0,0,0,1524,25421,1000,0</t>
  </si>
  <si>
    <t>1205,210000,2,2,1,50,0,0,0,0,0,0,106724,109251,103733,102027,103453,103651,4037,3519,3442,3553,3625,3470,0</t>
  </si>
  <si>
    <t>1206,210000,2,2,1,29,0,0,0,0,0,0,209807,123664,51353,43485,44784,45685,5088,2000,1600,2000,1800,1807,1</t>
  </si>
  <si>
    <t>1207,70000,2,3,1,49,2,2,2,2,2,2,21024,21790,21142,23772,24930,25709,1400,0,3000,1700,1340,1100,1</t>
  </si>
  <si>
    <t>1208,200000,1,2,1,33,0,0,2,-1,-1,0,50612,10537,5552,2506,9443,11818,10023,27,2614,9454,5019,5015,0</t>
  </si>
  <si>
    <t>1209,230000,2,2,1,51,0,0,0,0,0,0,51802,53956,56968,58099,59318,60504,3000,3921,2079,2155,2174,2225,1</t>
  </si>
  <si>
    <t>1210,20000,1,3,1,23,-1,-1,0,0,0,0,3675,19316,19844,19844,20388,19554,19316,1261,651,803,747,155,1</t>
  </si>
  <si>
    <t>1211,210000,2,1,1,37,0,0,0,0,0,0,211749,205947,201848,168664,172013,175557,7000,10015,10000,5331,5748,48061,0</t>
  </si>
  <si>
    <t>1212,160000,2,3,2,26,-1,-1,-1,-1,-1,-1,390,390,390,390,390,390,390,390,390,390,390,390,0</t>
  </si>
  <si>
    <t>1213,290000,2,1,1,30,-1,-1,-1,-1,-1,-1,1312,1312,1311,1486,1488,1650,1318,1317,1493,1495,1657,35267,1</t>
  </si>
  <si>
    <t>1214,80000,2,3,1,26,0,0,0,0,0,0,63677,64162,38141,38190,38586,39962,2000,1905,1350,1388,2401,1410,0</t>
  </si>
  <si>
    <t>1215,360000,1,1,2,43,-1,-1,-2,-2,-2,-2,4134,2128,960,6658,0,0,2134,982,6858,0,0,0,0</t>
  </si>
  <si>
    <t>1216,230000,1,1,2,32,0,0,0,0,0,0,164634,166134,142049,106677,88091,60929,7326,10000,10000,3000,2000,2000,0</t>
  </si>
  <si>
    <t>1217,360000,1,3,1,54,-2,-2,-2,-2,-2,-1,16230,-200,0,0,69000,2500,0,200,0,69000,2500,0,0</t>
  </si>
  <si>
    <t>1218,340000,2,1,1,30,0,0,0,0,0,0,351828,280067,259651,243094,223907,216912,30076,25118,20085,10041,8184,6626,0</t>
  </si>
  <si>
    <t>1219,50000,2,1,2,22,0,0,0,0,0,0,8537,9591,10581,10818,11050,10880,1200,1163,400,790,400,380,0</t>
  </si>
  <si>
    <t>1220,80000,1,2,2,38,0,0,0,0,0,0,89394,81223,77198,29891,34528,35229,5000,19153,1500,10000,1274,1275,0</t>
  </si>
  <si>
    <t>1221,50000,2,2,2,24,0,0,-1,-1,0,0,97043,39837,6928,17006,17363,17707,2000,6943,17006,630,633,657,0</t>
  </si>
  <si>
    <t>1222,30000,2,1,2,24,-1,-1,-1,0,0,0,3019,1479,18860,950,5660,0,1479,18881,0,4710,0,7153,0</t>
  </si>
  <si>
    <t>1223,210000,1,1,2,26,-1,-1,-2,-1,-1,-2,1360,0,0,3620,0,0,0,0,3620,0,0,15513,0</t>
  </si>
  <si>
    <t>1224,150000,2,2,1,42,-1,-1,-1,-1,-1,-1,3260,2270,5887,3935,3935,3935,2270,5887,3935,3935,3935,3935,1</t>
  </si>
  <si>
    <t>1225,20000,1,2,2,21,0,0,-1,0,0,-2,20297,17054,2333,1300,0,0,1240,2333,0,0,0,0,0</t>
  </si>
  <si>
    <t>1226,20000,1,3,2,22,0,0,0,-2,-2,-2,19624,16972,0,0,0,0,1000,0,0,0,0,0,1</t>
  </si>
  <si>
    <t>1227,240000,2,3,1,41,-1,-1,-2,-1,-1,-1,5325,-5,-5,1074,1972,1876,5,0,1079,1977,1885,1211,0</t>
  </si>
  <si>
    <t>1228,500000,2,2,1,50,-2,-1,-1,-1,-1,-1,16984,86772,53170,28622,19140,0,87004,53192,28622,19140,0,20211,0</t>
  </si>
  <si>
    <t>1229,90000,2,2,1,23,0,0,0,0,0,0,12770,14241,14895,25195,23769,2269,2500,1200,10500,7000,1000,0,1</t>
  </si>
  <si>
    <t>1230,50000,1,3,2,46,0,0,0,0,0,0,50131,28152,20746,27624,16015,16746,1388,2011,1006,1000,1000,1000,0</t>
  </si>
  <si>
    <t>1231,50000,2,2,2,22,0,0,0,0,0,0,50834,50770,50215,29386,29527,30125,2200,1517,1000,1500,2005,1305,1</t>
  </si>
  <si>
    <t>1232,680000,1,1,2,37,0,0,0,0,0,0,18314,16088,17806,15498,13810,164969,2700,2400,600,400,161000,5800,0</t>
  </si>
  <si>
    <t>1233,50000,1,1,1,47,0,0,2,2,2,2,45717,47974,49837,50807,49947,50424,3000,3000,2000,0,5000,0,0</t>
  </si>
  <si>
    <t>1234,100000,2,2,1,40,-1,-1,-1,0,-1,-1,326,326,652,326,326,326,326,652,0,326,326,652,0</t>
  </si>
  <si>
    <t>1235,280000,2,1,2,30,0,0,0,0,0,0,270276,506260,263734,268216,262895,264508,11000,10000,10004,10020,10100,10000,0</t>
  </si>
  <si>
    <t>1236,30000,1,2,2,54,0,0,0,0,0,0,26278,24767,27533,26400,25620,390,1700,3400,2528,0,390,780,1</t>
  </si>
  <si>
    <t>1237,50000,1,2,2,27,2,2,0,0,0,0,23901,13262,8643,7382,1975,50514,4146,1200,0,0,49800,0,1</t>
  </si>
  <si>
    <t>1238,60000,1,1,1,33,-1,-1,-1,-1,-1,-1,8308,7565,8373,7565,7565,7565,7565,8373,7565,7565,7565,7565,0</t>
  </si>
  <si>
    <t>1239,120000,1,2,1,57,0,0,0,0,0,0,118709,120580,118684,88557,91124,88094,5000,5007,4000,4003,4003,4000,1</t>
  </si>
  <si>
    <t>1240,80000,2,2,1,35,-1,-1,-1,-1,-1,0,2890,9796,13443,396,396,396,9796,13443,396,396,0,396,0</t>
  </si>
  <si>
    <t>1241,500000,1,1,1,45,-1,-1,-1,-1,-1,-2,140,94,39,44,0,0,94,39,44,0,0,790,0</t>
  </si>
  <si>
    <t>1242,70000,2,3,1,32,2,2,0,0,0,-1,18317,17330,11400,11120,10914,11315,0,1000,110,500,18963,1000,0</t>
  </si>
  <si>
    <t>1243,160000,2,2,1,45,-2,-2,-2,-2,-2,-2,0,0,0,1468,0,0,0,0,1468,0,0,0,0</t>
  </si>
  <si>
    <t>1244,100000,2,3,1,50,2,2,2,-1,0,0,110537,99734,99973,71008,66735,68621,0,3000,103000,2500,3000,3000,1</t>
  </si>
  <si>
    <t>1245,10000,1,3,2,35,0,0,0,0,0,0,7877,8918,9864,9673,9414,9156,1174,1120,310,316,1000,2000,0</t>
  </si>
  <si>
    <t>1246,90000,1,1,2,26,-1,-1,-1,-1,-1,0,10750,100,200,100,9894,20699,100,200,0,9894,20000,4100,0</t>
  </si>
  <si>
    <t>1247,170000,1,1,1,39,2,2,2,2,4,3,74298,80073,81959,89991,88018,86299,7000,3800,10000,0,0,3100,1</t>
  </si>
  <si>
    <t>1248,90000,2,2,2,35,-1,-1,-1,-2,-2,-2,2667,2667,0,0,0,0,2667,0,0,0,0,0,0</t>
  </si>
  <si>
    <t>1249,180000,2,3,2,42,0,0,0,0,0,0,67414,61256,66668,83568,90418,88898,10000,10000,17500,7000,25000,33600,0</t>
  </si>
  <si>
    <t>1250,350000,2,1,1,52,2,2,7,7,7,7,2400,2400,2400,2400,2400,2400,0,0,0,0,0,0,1</t>
  </si>
  <si>
    <t>1251,270000,1,2,2,35,0,0,0,-1,-1,-1,225400,220202,215056,10506,10224,9233,9000,9348,10600,10300,9300,1000,0</t>
  </si>
  <si>
    <t>1252,200000,2,1,2,29,0,0,-1,0,0,-2,65935,25574,28727,19164,0,0,1011,31209,383,0,0,0,1</t>
  </si>
  <si>
    <t>1253,20000,2,1,2,22,0,0,0,0,0,0,15829,15299,16262,16749,13764,18732,1600,1550,1000,1000,5283,0,0</t>
  </si>
  <si>
    <t>1254,100000,1,2,2,30,0,0,0,0,0,0,44953,46922,48677,49496,51010,32630,3000,3000,2000,2000,2000,2000,0</t>
  </si>
  <si>
    <t>1255,290000,1,1,1,46,0,0,0,0,0,0,194301,199451,198684,87700,88621,53243,10744,6000,1573,1629,3129,105423,0</t>
  </si>
  <si>
    <t>1256,70000,1,3,2,28,1,2,0,0,0,0,68970,67308,68582,68361,68060,68223,0,3005,2546,2602,2430,2659,0</t>
  </si>
  <si>
    <t>1257,230000,1,1,2,26,-2,-2,-2,-2,-2,-2,416,371,416,416,566,416,371,461,416,566,416,0,0</t>
  </si>
  <si>
    <t>1258,180000,2,1,2,28,-1,-1,-1,-1,-1,0,950,4369,9673,2861,12338,9124,4369,9673,3260,13959,3000,18396,0</t>
  </si>
  <si>
    <t>1259,210000,1,1,2,33,-1,-1,-1,-1,-1,-1,291,291,291,291,441,291,291,291,291,441,291,291,0</t>
  </si>
  <si>
    <t>1260,50000,1,1,2,24,2,2,0,0,0,0,49946,48808,45469,20228,18900,19066,0,2079,693,1080,700,1004,0</t>
  </si>
  <si>
    <t>1261,150000,1,1,2,37,0,0,0,0,0,0,45000,44386,46505,49103,51698,52549,3000,2500,3000,3000,1546,2000,0</t>
  </si>
  <si>
    <t>1262,380000,1,2,1,50,0,0,0,0,0,0,385662,294826,220022,154283,35270,332270,12020,9009,6109,3000,332000,12000,1</t>
  </si>
  <si>
    <t>1263,50000,1,2,1,44,0,0,0,0,0,0,45335,46027,30286,26275,26823,27371,1524,1427,941,972,992,1000,0</t>
  </si>
  <si>
    <t>1264,150000,2,3,1,43,-1,-1,2,0,-1,-1,264,948,632,316,316,1414,1000,0,0,316,1414,0,1</t>
  </si>
  <si>
    <t>1265,220000,1,2,2,29,0,0,0,0,0,0,122286,122839,123035,114385,115903,118528,5008,5007,6007,5000,4700,5503,0</t>
  </si>
  <si>
    <t>1266,80000,2,5,2,27,0,0,0,0,0,0,45268,47140,47411,48443,49478,43264,2600,1800,1700,1700,1700,1300,0</t>
  </si>
  <si>
    <t>1267,220000,2,2,1,32,0,0,0,0,0,0,194961,197536,203251,208355,213015,217475,7200,9000,10000,8000,8010,8500,0</t>
  </si>
  <si>
    <t>1268,70000,2,2,2,34,1,2,2,2,0,0,24208,25015,27189,26456,28361,31873,1500,2900,0,2500,4000,0,0</t>
  </si>
  <si>
    <t>1269,120000,1,2,2,37,-1,2,0,0,0,2,16241,16680,17695,17901,19608,19143,1000,1600,800,2000,0,1600,1</t>
  </si>
  <si>
    <t>1270,180000,2,2,2,32,0,0,0,0,0,0,20730,17107,35884,31057,29052,25933,1582,30000,1000,1000,1000,1000,0</t>
  </si>
  <si>
    <t>1271,50000,2,3,1,57,0,0,0,0,0,0,49017,50690,47487,48319,48449,49656,2500,2000,2000,1746,2000,1800,0</t>
  </si>
  <si>
    <t>1272,10000,2,2,3,46,1,2,0,0,0,0,9532,9236,10047,8775,8984,7628,0,1006,1390,1000,1000,2000,0</t>
  </si>
  <si>
    <t>1273,370000,2,1,1,53,-1,-1,-1,-1,-1,0,21160,8153,12094,30751,30131,9630,8162,12294,30751,30131,0,0,0</t>
  </si>
  <si>
    <t>1274,20000,2,1,2,26,-1,0,-1,-1,-1,-1,10658,9288,390,390,390,0,1072,390,390,390,0,780,0</t>
  </si>
  <si>
    <t>1275,150000,1,2,1,34,0,0,0,0,0,0,132214,135140,135263,137540,144786,146379,4414,4700,4306,10006,4822,4112,0</t>
  </si>
  <si>
    <t>1276,20000,1,1,2,26,-1,-1,-1,-1,-1,-1,416,416,416,416,416,982,416,416,416,416,982,0,1</t>
  </si>
  <si>
    <t>1277,480000,2,2,1,54,-2,-2,-2,-2,-2,-2,17189,6013,1717,1385,0,0,6026,1717,1390,0,0,2300,0</t>
  </si>
  <si>
    <t>1278,50000,1,3,2,26,0,0,0,0,2,0,25060,26649,28202,30727,30098,32580,2000,2000,3000,0,3000,3000,0</t>
  </si>
  <si>
    <t>1279,170000,1,2,2,31,0,0,0,0,0,0,24581,25611,26631,27383,27801,31337,1728,1748,1500,1011,4000,0,0</t>
  </si>
  <si>
    <t>1280,400000,2,2,2,30,-2,-2,-2,-2,-2,-2,-200,-200,-200,746,3956,2500,0,0,946,3956,2500,0,0</t>
  </si>
  <si>
    <t>1281,200000,2,1,2,31,0,0,0,0,0,0,38635,41031,45929,48661,49723,50896,3031,5929,3500,2000,2000,11028,0</t>
  </si>
  <si>
    <t>1282,360000,1,1,2,34,1,-2,-2,-2,-2,-1,0,0,0,0,0,150,0,0,0,0,150,59,0</t>
  </si>
  <si>
    <t>1283,140000,2,5,2,36,0,0,0,0,0,0,91226,83650,80037,53055,102587,98251,4182,4000,4000,98000,4000,3500,0</t>
  </si>
  <si>
    <t>1284,260000,1,3,1,34,-2,-2,-2,-2,-2,-2,12071,12497,1027,-103,-103,1047,2114,1027,103,0,1150,2503,0</t>
  </si>
  <si>
    <t>1285,440000,2,2,2,26,0,0,0,0,0,0,96190,90462,78267,71795,51812,25064,3513,3017,2037,2019,3010,3004,0</t>
  </si>
  <si>
    <t>1286,500000,1,2,1,43,0,0,0,0,0,0,12200,8140,10176,20719,15665,8074,1518,5019,15027,639,547,50274,0</t>
  </si>
  <si>
    <t>1287,230000,2,2,1,29,0,0,0,0,0,0,64982,44908,51535,24607,28279,48934,3000,11000,15000,13000,36000,3000,0</t>
  </si>
  <si>
    <t>1288,470000,1,2,1,41,-2,-2,-2,-2,-2,-1,13780,12242,32463,20621,13711,8294,12300,32520,34,68,8334,45684,0</t>
  </si>
  <si>
    <t>1289,20000,2,3,1,48,1,2,2,3,2,2,14589,16743,17522,17055,10400,0,2700,1400,0,0,0,0,1</t>
  </si>
  <si>
    <t>1290,210000,2,2,2,24,0,0,0,0,0,0,108491,111046,110716,97168,94524,96777,5800,3700,3505,3400,3769,3229,0</t>
  </si>
  <si>
    <t>1291,20000,2,1,2,23,0,0,-2,-1,0,0,6733,0,0,19132,19533,20235,0,0,19132,709,1027,600,0</t>
  </si>
  <si>
    <t>1292,20000,2,3,1,53,0,0,0,0,0,0,12197,13292,14362,14821,15143,15737,1600,1600,1000,710,1000,1000,0</t>
  </si>
  <si>
    <t>1293,200000,2,2,1,34,1,-1,-1,-1,-1,-1,-2,758,998,668,9815,36870,760,1000,670,9852,40063,1049,0</t>
  </si>
  <si>
    <t>1294,250000,2,2,2,36,0,-1,-1,0,0,0,6220,27217,6149,26202,6906,3855,27225,6159,25846,0,3855,3876,1</t>
  </si>
  <si>
    <t>1295,300000,1,2,2,41,0,0,0,-1,-1,2,34480,31159,18580,1400,6297,977,1472,1000,1410,6297,0,19480,0</t>
  </si>
  <si>
    <t>1296,320000,2,1,2,30,0,0,0,0,0,0,113801,90354,88467,79241,83530,90573,5017,4057,4014,8531,15005,5033,0</t>
  </si>
  <si>
    <t>1297,50000,1,2,2,29,1,2,2,2,0,0,37170,36297,39863,38924,39744,40533,0,4500,0,1600,1600,1600,0</t>
  </si>
  <si>
    <t>1298,200000,2,2,1,34,-2,-2,-2,-1,-1,-1,6626,2469,3760,4273,3015,5076,2476,3771,4285,3023,5088,6282,0</t>
  </si>
  <si>
    <t>1299,80000,2,1,2,29,0,0,0,0,0,0,16936,17963,18976,19660,20343,21003,1303,1316,1000,1000,1000,933,1</t>
  </si>
  <si>
    <t>1300,70000,1,2,1,37,-1,2,0,0,-1,-1,10323,6659,6740,3559,7086,6979,0,3559,189,7086,3370,0,1</t>
  </si>
  <si>
    <t>1301,60000,1,3,2,36,3,2,0,0,0,0,56807,55339,55751,37851,34195,33499,0,2141,2000,2000,2000,2000,0</t>
  </si>
  <si>
    <t>1302,10000,2,3,2,22,0,0,2,0,0,0,10012,9784,9473,8947,9135,8613,2452,7,308,320,328,1000,1</t>
  </si>
  <si>
    <t>1303,50000,2,3,2,30,0,0,2,0,0,0,50332,51247,50073,26550,25842,25996,4210,0,1500,1090,2000,2000,0</t>
  </si>
  <si>
    <t>1304,140000,1,2,2,26,2,0,0,0,0,0,133572,135367,113272,115685,118171,120550,6169,4500,4287,4500,4500,9500,1</t>
  </si>
  <si>
    <t>1305,30000,1,2,2,25,0,0,0,0,0,0,7160,8185,9286,9483,9780,10068,1300,1400,500,600,600,600,0</t>
  </si>
  <si>
    <t>1306,190000,1,2,1,49,-1,-1,-1,-1,-1,0,435,435,635,2084,161110,149941,435,635,2084,161110,5800,4138,0</t>
  </si>
  <si>
    <t>1307,70000,2,1,2,23,-1,-1,-1,-1,-1,-1,853,3128,4719,100,1610,690,3128,4722,0,1610,0,10909,0</t>
  </si>
  <si>
    <t>1308,330000,2,2,1,28,-1,-1,-1,-1,-1,-1,390,0,780,150,320,780,0,780,150,320,1000,0,0</t>
  </si>
  <si>
    <t>1309,110000,2,2,2,24,0,0,0,2,0,0,6470,8610,15123,9761,9717,8046,2654,7230,0,463,393,151,0</t>
  </si>
  <si>
    <t>1310,270000,1,3,1,47,0,0,0,0,0,0,165303,168837,172281,175705,179582,184650,6200,6254,6290,6710,8250,0,0</t>
  </si>
  <si>
    <t>1311,160000,1,2,1,31,3,2,0,0,0,0,26295,27074,28314,29341,31690,33993,1500,2000,1500,3000,3000,1500,1</t>
  </si>
  <si>
    <t>1312,20000,1,2,2,24,3,2,0,0,-1,-1,18937,18350,18918,19323,13180,5200,0,1251,656,13180,5200,0,0</t>
  </si>
  <si>
    <t>1313,320000,1,2,2,32,0,0,0,0,0,0,21460,23412,25331,25741,26800,28817,3000,3000,1500,2000,3000,2000,0</t>
  </si>
  <si>
    <t>1314,430000,1,1,2,31,0,0,0,0,0,0,29860,39305,43020,45540,8342,8310,10000,5000,5540,8310,5640,2820,0</t>
  </si>
  <si>
    <t>1315,50000,2,1,1,37,2,0,0,0,-1,2,8014,7668,7081,5738,6461,4822,1200,1000,91,11283,0,1000,0</t>
  </si>
  <si>
    <t>1316,140000,1,2,1,48,-1,-1,2,0,0,-2,1600,5012,4739,4739,0,0,5012,0,0,0,0,2770,1</t>
  </si>
  <si>
    <t>1317,500000,1,2,1,49,-2,-2,-2,-2,-2,-2,4214,6378,4074,116446,9335,3312,6378,4074,116446,9335,3312,43664,0</t>
  </si>
  <si>
    <t>1318,80000,1,3,1,45,0,0,0,0,0,0,26637,26437,26686,28372,28345,27279,1490,2000,2000,3000,5000,865,0</t>
  </si>
  <si>
    <t>1319,390000,2,1,1,34,1,-2,-1,-1,-2,-2,0,0,1266,0,0,0,0,1266,0,0,0,0,0</t>
  </si>
  <si>
    <t>1320,250000,2,1,1,43,-1,-1,-1,0,0,-1,17454,-50,45297,17371,11481,5922,24890,48394,0,5461,15000,6000,0</t>
  </si>
  <si>
    <t>1321,390000,2,1,2,31,-2,-2,-2,-2,-2,-2,6466,6266,12578,7650,48090,17013,6266,12581,7650,48090,28973,17271,0</t>
  </si>
  <si>
    <t>1322,100000,2,1,1,35,0,0,0,0,0,0,57612,58818,60841,61434,62743,66677,2134,3000,2200,2300,5000,3000,0</t>
  </si>
  <si>
    <t>1323,360000,2,1,1,42,0,0,0,0,0,0,179851,186961,201703,189455,194373,207022,10005,20117,15018,10027,20057,17000,0</t>
  </si>
  <si>
    <t>1324,140000,1,1,2,36,1,-1,-1,0,0,-1,-5,1135,17227,12918,10898,823,1140,17227,0,365,840,4507,0</t>
  </si>
  <si>
    <t>1325,110000,1,2,1,51,0,0,0,0,0,0,45964,46922,48140,49339,50542,52689,2000,2000,2000,2000,3000,2000,0</t>
  </si>
  <si>
    <t>1326,170000,1,3,1,48,2,-1,-1,0,-1,-1,316,316,632,316,466,316,316,632,0,466,316,0,0</t>
  </si>
  <si>
    <t>1327,170000,1,2,1,48,0,0,0,0,0,0,137823,137199,136331,123913,122657,122225,5396,5000,5000,5000,5000,4000,0</t>
  </si>
  <si>
    <t>1328,180000,2,2,2,25,0,0,0,0,2,2,4745,5765,6631,8386,8109,8820,1257,1123,1878,0,1000,0,0</t>
  </si>
  <si>
    <t>1329,140000,1,2,1,41,0,0,0,0,0,0,109326,111679,113921,114348,111382,112458,5600,5600,4500,4200,4500,4500,0</t>
  </si>
  <si>
    <t>1330,20000,2,2,1,49,0,0,-1,-1,0,0,13882,13342,808,18910,19306,19809,2018,404,19000,677,800,601,0</t>
  </si>
  <si>
    <t>1331,150000,1,1,2,28,-2,-2,-2,-2,-2,-2,0,0,0,0,0,0,0,0,0,0,0,0,0</t>
  </si>
  <si>
    <t>1332,50000,2,2,2,28,0,0,0,0,0,0,48072,49518,49500,19600,20000,0,2518,1500,500,400,0,0,0</t>
  </si>
  <si>
    <t>1333,160000,2,2,1,38,1,-2,-2,-2,-2,-2,0,0,0,0,0,0,0,0,0,0,0,0,1</t>
  </si>
  <si>
    <t>1334,80000,1,2,1,41,-2,-2,-2,-2,-2,-1,3153,1013,0,0,2115,4264,1013,0,0,2115,4264,0,0</t>
  </si>
  <si>
    <t>1335,300000,2,3,2,29,-2,-2,-2,-2,-2,-2,-140,28092,3572,195,209,990,28232,3589,195,210,994,0,1</t>
  </si>
  <si>
    <t>1336,60000,2,3,2,32,0,0,0,0,0,0,62552,26929,27967,28526,28275,29151,1500,1500,1003,1500,1500,1044,0</t>
  </si>
  <si>
    <t>1337,70000,2,2,2,26,2,2,2,3,2,2,42583,43600,47550,46487,47298,46384,2000,5000,0,1700,0,3700,1</t>
  </si>
  <si>
    <t>1338,290000,2,1,2,31,-1,-1,-1,-1,-1,0,632,0,480,-150,66675,68071,0,480,4,69001,2500,3000,0</t>
  </si>
  <si>
    <t>1339,80000,2,1,2,23,0,0,0,-2,-2,-2,8766,4777,0,0,0,0,1600,0,0,0,0,0,0</t>
  </si>
  <si>
    <t>1340,50000,2,3,1,53,1,-2,-2,-2,-2,-2,0,0,0,0,0,0,0,0,0,0,0,0,1</t>
  </si>
  <si>
    <t>1341,200000,2,3,2,49,-1,-1,0,0,0,-1,7697,18951,27974,30596,38109,22170,20071,20036,15022,15113,22235,3919,0</t>
  </si>
  <si>
    <t>1342,200000,2,1,1,34,-2,-2,-2,-2,-2,-2,267,6794,10430,3576,2522,934,6817,10671,3576,2522,934,7764,0</t>
  </si>
  <si>
    <t>1343,50000,2,1,2,22,-1,-1,-1,-1,-1,-1,586,297,3674,1392,3085,3450,297,3675,1392,3086,3492,3721,1</t>
  </si>
  <si>
    <t>1344,20000,2,2,2,26,2,-1,0,0,0,0,1041,10757,11094,9351,8562,8058,10758,2679,502,224,513,9,0</t>
  </si>
  <si>
    <t>1345,200000,1,1,1,38,-1,-1,-1,-1,-1,-1,6186,735,1463,15550,5045,6709,735,1463,15550,5045,6709,3021,1</t>
  </si>
  <si>
    <t>1346,120000,2,1,2,35,1,2,0,0,0,0,77785,75984,78109,79198,80865,82859,0,4000,2988,3100,3500,6382,0</t>
  </si>
  <si>
    <t>1347,220000,2,2,1,49,0,0,0,0,0,0,172184,170697,168041,163783,160806,158866,7583,7461,5809,5608,6500,6100,0</t>
  </si>
  <si>
    <t>1348,630000,1,1,2,40,0,0,0,0,0,0,440474,444370,455286,327021,334558,341439,18000,20000,12000,13000,13022,13016,0</t>
  </si>
  <si>
    <t>1349,300000,2,1,2,34,-1,-1,-1,-1,-1,-1,19357,5000,3744,8059,3425,11860,5032,3744,8059,3425,11860,7595,0</t>
  </si>
  <si>
    <t>1350,10000,2,2,2,49,1,2,0,0,0,0,8184,5011,5728,4255,2782,1309,0,1000,0,0,0,0,1</t>
  </si>
  <si>
    <t>1351,50000,1,2,2,29,1,-2,-2,-2,-2,-2,0,0,0,0,0,0,0,0,0,0,0,0,0</t>
  </si>
  <si>
    <t>1352,280000,2,1,1,39,-1,0,-1,-1,-1,-1,7791,5851,430,2041,775,580,1000,430,2041,775,580,1029,1</t>
  </si>
  <si>
    <t>1353,130000,1,1,2,30,0,0,0,0,0,0,4536,5616,6455,6791,6991,0,1161,1000,336,200,0,0,0</t>
  </si>
  <si>
    <t>1354,30000,2,3,1,28,0,0,0,2,0,0,23182,19083,19632,15252,14021,13793,2000,2000,0,1500,1353,0,0</t>
  </si>
  <si>
    <t>1355,50000,2,2,1,27,0,0,0,0,0,0,9877,10800,5921,6042,4012,0,1140,1000,121,0,0,10620,0</t>
  </si>
  <si>
    <t>1356,70000,2,3,1,38,0,0,0,0,0,0,24758,25581,16105,17571,18330,16268,1273,1534,2000,1000,1000,1000,0</t>
  </si>
  <si>
    <t>1357,80000,1,2,2,29,0,0,0,0,0,0,41815,42938,44022,44792,45915,46998,2100,2100,1800,2000,2000,2500,0</t>
  </si>
  <si>
    <t>1358,20000,2,2,1,22,2,2,2,0,0,0,16726,19143,18391,18562,11798,0,3000,0,371,1236,0,0,1</t>
  </si>
  <si>
    <t>1359,390000,1,1,1,41,0,0,0,0,0,0,495559,248821,216051,208373,199727,186332,10218,8035,7035,6056,8053,5603,0</t>
  </si>
  <si>
    <t>1360,470000,2,2,2,32,0,0,0,0,0,0,147113,133486,125159,120869,60507,53100,5000,4500,2505,50000,3000,3000,0</t>
  </si>
  <si>
    <t>1361,240000,2,2,2,30,0,-1,-1,-2,-2,-2,7818,9363,0,0,0,0,9434,0,0,0,0,178,0</t>
  </si>
  <si>
    <t>1362,140000,2,1,2,29,-1,-1,-1,-2,-2,-2,14943,2888,0,0,0,0,2888,0,0,0,0,0,0</t>
  </si>
  <si>
    <t>1363,260000,2,2,1,37,2,2,2,0,0,0,244738,251351,244949,248273,119124,132619,12000,0,11000,4321,20000,27,1</t>
  </si>
  <si>
    <t>1364,150000,2,1,2,25,1,-2,-1,-1,-1,-1,191,1963,4729,1568,4295,0,1964,4729,1568,4295,0,1895,0</t>
  </si>
  <si>
    <t>1365,120000,1,1,1,46,0,0,2,2,2,2,14682,17325,17936,18536,19091,19629,3200,1200,1200,1000,1000,0,0</t>
  </si>
  <si>
    <t>1366,20000,2,2,1,47,0,0,0,0,0,2,18021,17352,17667,18187,20499,20718,1280,1293,813,2770,703,0,0</t>
  </si>
  <si>
    <t>1367,260000,2,4,2,42,-1,-1,-1,-1,-1,-1,399,2101,577,0,200,0,2101,577,0,200,0,664,0</t>
  </si>
  <si>
    <t>1368,50000,1,3,2,22,0,0,0,0,0,0,42678,38239,22691,8807,7143,6967,1500,1100,1000,500,500,1000,1</t>
  </si>
  <si>
    <t>1369,180000,2,2,2,27,2,2,2,2,0,0,126195,127881,128491,124080,126154,130064,6000,4575,0,4600,6000,3100,0</t>
  </si>
  <si>
    <t>1370,310000,2,5,1,35,1,-2,-2,-2,-2,-2,10350,0,0,0,0,0,0,0,0,0,0,0,0</t>
  </si>
  <si>
    <t>1371,360000,1,2,1,44,-1,-1,-1,-1,-1,-1,5101,9358,15452,9990,6515,5694,9419,15485,9995,6515,5694,12785,0</t>
  </si>
  <si>
    <t>1372,180000,2,2,2,30,0,0,0,0,0,0,14445,15404,19885,22355,22902,15373,1500,4911,10355,10902,3500,5493,0</t>
  </si>
  <si>
    <t>1373,270000,2,1,1,42,2,2,5,5,4,3,1250,1250,1250,1250,650,350,0,0,0,0,0,0,0</t>
  </si>
  <si>
    <t>1374,70000,1,1,2,28,0,0,0,0,0,0,67857,69711,64947,26022,28575,21460,3000,1500,13959,3000,1500,4000,0</t>
  </si>
  <si>
    <t>1375,50000,1,2,2,24,-1,-1,-1,-1,0,-1,2155,0,1978,14207,8602,7201,0,30300,14207,602,7201,383,0</t>
  </si>
  <si>
    <t>1376,30000,2,3,2,50,-2,-2,-2,-2,-1,2,0,0,0,0,7092,6832,0,0,0,7092,0,0,0</t>
  </si>
  <si>
    <t>1377,50000,2,2,1,54,0,0,0,0,0,-1,11351,11449,6515,2315,1817,2081,1150,1012,46,36,2081,2270,0</t>
  </si>
  <si>
    <t>1378,350000,1,2,1,37,-1,-1,-1,-1,-1,-1,325,294,6574,3543,1654,6186,294,6636,3559,1659,6215,325,0</t>
  </si>
  <si>
    <t>1379,200000,1,1,1,58,0,0,0,0,0,0,192461,195970,122214,124647,126921,129167,7822,4417,4446,4597,4677,4698,0</t>
  </si>
  <si>
    <t>1380,80000,1,3,2,26,1,2,2,2,2,2,71661,69947,74755,75732,74397,80138,0,6000,2800,0,7000,8,0</t>
  </si>
  <si>
    <t>1381,60000,2,2,1,31,0,0,0,3,2,2,47000,49236,57752,56243,55213,58700,3000,10000,0,0,4400,2200,0</t>
  </si>
  <si>
    <t>1382,30000,1,1,1,52,0,0,0,2,0,0,15743,16784,18998,18395,19100,20582,1300,2500,0,1000,1800,0,0</t>
  </si>
  <si>
    <t>1383,110000,2,1,2,36,0,0,0,0,0,0,108316,100784,88568,43720,42138,43085,4600,3500,2000,2000,1800,1700,0</t>
  </si>
  <si>
    <t>1384,300000,2,1,2,27,-1,-1,-1,0,0,0,42189,83754,120927,105303,82475,33262,83754,120927,0,716,25213,92250,0</t>
  </si>
  <si>
    <t>1385,50000,2,3,1,22,0,0,0,0,-1,0,22854,31329,23927,0,83,20083,9000,1507,0,83,20000,600,0</t>
  </si>
  <si>
    <t>1386,500000,1,1,2,39,-1,-1,-1,-1,0,-1,2450,11833,22963,7086,5453,1486,11833,22963,7086,0,1486,7570,0</t>
  </si>
  <si>
    <t>1387,360000,1,1,2,36,-1,-1,-1,0,0,0,356913,208305,68214,168014,16209,18918,210000,170000,100000,3000,3000,5000,0</t>
  </si>
  <si>
    <t>1388,20000,2,2,1,39,1,2,2,0,-1,-1,14112,11221,10656,7928,580,0,3520,0,1000,580,0,0,0</t>
  </si>
  <si>
    <t>1389,220000,1,1,1,39,0,0,0,0,0,0,75190,151004,152786,137946,118310,119147,100000,8000,6000,5000,5000,5000,0</t>
  </si>
  <si>
    <t>1390,20000,2,2,2,22,0,0,2,0,0,2,11192,15677,15133,15582,16677,16259,5000,0,1000,1500,0,700,0</t>
  </si>
  <si>
    <t>1391,60000,1,2,1,37,3,4,3,2,2,2,30381,29986,29210,29729,30505,32232,366,0,1300,1400,2400,2300,1</t>
  </si>
  <si>
    <t>1392,170000,2,1,2,30,-1,0,-1,-1,0,-1,1560,1280,590,1168,2160,145564,1000,590,1168,1582,145564,5069,0</t>
  </si>
  <si>
    <t>1393,200000,2,2,1,26,0,0,0,0,0,0,47236,45200,35939,34096,34876,34615,1800,1603,2000,2500,1500,1500,0</t>
  </si>
  <si>
    <t>1394,20000,2,1,2,23,0,0,0,0,0,0,19990,20038,19571,14362,15127,15872,1438,1300,1000,1000,1000,2000,0</t>
  </si>
  <si>
    <t>1395,140000,2,3,2,23,-2,-2,-2,-2,-2,-2,67505,36772,38399,39131,39508,3441,2000,2400,2132,1617,515,2031,0</t>
  </si>
  <si>
    <t>1396,330000,2,1,2,35,-2,-2,-2,-2,-2,-2,1663,0,0,0,29221,3194,0,0,0,29221,3194,0,0</t>
  </si>
  <si>
    <t>1397,180000,2,2,2,24,1,2,2,2,2,2,108580,105403,112073,111345,98404,102460,0,8564,4000,0,7414,0,1</t>
  </si>
  <si>
    <t>1398,360000,2,2,1,35,0,0,0,-1,-1,0,5157,2461,0,277,2599,3941,1012,0,277,2602,2019,1123,0</t>
  </si>
  <si>
    <t>1399,20000,1,3,1,51,2,0,0,0,0,0,14815,15837,16852,17188,17546,17895,1264,1279,615,635,639,664,0</t>
  </si>
  <si>
    <t>1400,50000,2,1,2,23,0,0,0,0,0,2,34422,32703,22851,6699,10060,7737,1544,1000,0,3361,0,100,0</t>
  </si>
  <si>
    <t>1401,100000,2,2,1,25,0,0,0,0,0,0,20755,20043,19778,24939,28639,8370,2000,2000,6000,4000,4000,3000,0</t>
  </si>
  <si>
    <t>1402,30000,1,2,1,36,2,2,0,0,0,0,30573,28473,29083,28313,28932,29565,0,2000,940,1000,1106,0,0</t>
  </si>
  <si>
    <t>1403,70000,2,2,1,44,0,0,0,0,0,0,4221,6642,8361,10208,11038,11848,2500,2000,2000,1000,1000,1000,1</t>
  </si>
  <si>
    <t>1404,470000,1,1,2,33,-1,-1,-1,0,0,-1,5613,11576,7017,1185,0,542,11606,7017,24,0,542,208896,0</t>
  </si>
  <si>
    <t>1405,300000,2,1,1,36,-1,-1,-2,-2,-2,-2,8385,-27,-27,-27,-27,-27,27,0,0,0,0,0,0</t>
  </si>
  <si>
    <t>1406,300000,2,1,1,45,-1,-1,-1,0,0,-1,6608,10009,22456,22056,14020,1230,10017,22456,0,0,1230,0,1</t>
  </si>
  <si>
    <t>1407,200000,2,1,2,26,-2,-2,-2,-2,-2,-2,2179,6440,3908,-5,1060,2996,6440,3908,5,1065,3000,1108,0</t>
  </si>
  <si>
    <t>1408,150000,2,2,1,41,0,0,0,0,0,0,79021,77975,74749,80757,83685,81569,4023,3016,10000,4011,3073,3005,0</t>
  </si>
  <si>
    <t>1409,220000,2,2,2,25,0,0,0,0,0,0,165040,167485,148133,123266,125736,128342,6809,7038,5000,4500,5000,4473,1</t>
  </si>
  <si>
    <t>1410,420000,1,1,2,31,-2,-2,-2,-2,-2,-2,1569,563,1914,1189,1208,4964,565,1923,1194,1214,4988,296,0</t>
  </si>
  <si>
    <t>1411,210000,2,2,2,45,-2,-2,-2,-2,-2,-2,467,2050,416,416,416,416,2050,416,416,416,416,416,0</t>
  </si>
  <si>
    <t>1412,450000,1,3,1,58,-1,-1,-1,-1,-1,-1,8940,6239,5535,9856,819,863,6271,5740,9905,823,867,2488,0</t>
  </si>
  <si>
    <t>1413,30000,1,2,1,38,-1,-1,-1,-1,-1,-1,184,1522,0,5480,175,-2000,1522,0,5480,175,0,2000,0</t>
  </si>
  <si>
    <t>1414,240000,1,2,1,30,-1,-1,-1,-1,-1,-1,2816,7608,26832,3518,1280,5900,7608,26834,3518,1280,5900,1319,0</t>
  </si>
  <si>
    <t>1415,420000,2,2,2,25,-1,0,0,0,0,0,28206,122212,117835,112705,111357,108306,100000,4013,3822,4086,3800,3600,0</t>
  </si>
  <si>
    <t>1416,60000,2,1,2,25,0,0,0,0,0,0,57174,58559,60586,39144,39615,39334,3000,3800,3300,1900,1600,1500,0</t>
  </si>
  <si>
    <t>1417,30000,2,3,2,24,-1,-1,-1,-1,-1,-1,4882,14630,6323,2870,1485,3926,14630,6485,2870,1485,3926,0,0</t>
  </si>
  <si>
    <t>1418,80000,2,1,2,29,-2,-2,-1,2,2,3,2673,0,317,317,1521,1204,0,317,0,1204,0,0,0</t>
  </si>
  <si>
    <t>1419,50000,1,2,2,37,0,0,0,0,0,0,48206,48659,47248,48241,49196,50296,2120,1750,1700,1800,2023,2113,0</t>
  </si>
  <si>
    <t>1420,230000,1,3,2,27,-2,-2,-2,-2,-2,-2,19200,10000,20176,10000,10000,10000,10000,20176,200,10000,10000,10000,0</t>
  </si>
  <si>
    <t>1421,200000,1,1,2,31,0,0,0,0,0,0,6618,6777,7957,4667,76187,74900,1900,3008,3500,73000,2700,3800,0</t>
  </si>
  <si>
    <t>1422,230000,2,2,2,28,0,0,0,0,0,0,12218,17667,20345,39945,41352,11032,6000,3500,20000,2000,1500,8000,0</t>
  </si>
  <si>
    <t>1423,130000,2,2,2,24,0,0,0,0,0,0,122750,118319,61466,48288,48898,49699,4966,2034,1710,1765,2000,2672,0</t>
  </si>
  <si>
    <t>1424,200000,2,3,2,27,1,-2,-2,-2,-2,-2,0,0,0,0,0,0,0,0,0,0,0,0,0</t>
  </si>
  <si>
    <t>1425,90000,2,1,2,33,0,0,0,0,0,0,80919,87993,17316,18026,18559,19097,9000,1500,1000,824,1000,857,0</t>
  </si>
  <si>
    <t>1426,120000,1,1,2,27,-1,-1,-1,-1,0,0,316,316,1360,9474,10158,2551,316,1360,10000,1000,2000,3000,0</t>
  </si>
  <si>
    <t>1427,200000,1,1,2,42,-2,-2,-2,-2,-2,-2,470,740,3774,836,1325,1440,740,3782,836,1325,1440,506,0</t>
  </si>
  <si>
    <t>1428,20000,2,2,2,32,2,3,2,2,2,0,17757,17193,16602,19521,18925,18806,0,0,3200,0,900,633,0</t>
  </si>
  <si>
    <t>1429,210000,2,1,1,37,2,2,2,2,2,2,76089,77985,79104,80399,81462,83366,3700,3000,3200,2500,3400,4300,1</t>
  </si>
  <si>
    <t>1430,80000,2,2,2,44,0,0,0,0,0,0,80610,81008,80725,50472,50340,42393,6502,4000,1889,2000,7700,9600,0</t>
  </si>
  <si>
    <t>1431,50000,2,1,1,29,0,0,0,0,0,0,50486,50035,49388,10275,9598,8382,2200,1192,1000,2000,1000,1500,0</t>
  </si>
  <si>
    <t>1432,70000,2,2,1,42,2,2,2,2,2,2,50886,51975,52527,53560,54653,55797,2200,2000,2500,2100,2200,2100,1</t>
  </si>
  <si>
    <t>1433,230000,1,2,2,32,2,2,2,2,2,2,189567,189023,187521,182671,174794,182160,9000,6300,6200,500,12500,0,1</t>
  </si>
  <si>
    <t>1434,20000,1,2,2,52,0,0,0,0,0,0,17420,19130,20340,19940,19940,0,2000,2000,0,0,0,0,0</t>
  </si>
  <si>
    <t>1435,30000,1,2,2,44,-1,0,-1,0,-1,-1,21043,21183,1754,666,1339,1748,1196,1757,2,1443,1949,0,0</t>
  </si>
  <si>
    <t>1436,100000,1,1,2,31,2,2,2,2,2,2,33752,32928,35572,34700,36942,36196,0,3200,0,2800,0,1511,1</t>
  </si>
  <si>
    <t>1437,80000,2,1,2,29,0,0,0,2,0,0,81337,80290,82215,80422,78284,77270,2842,20412,0,3000,3000,3000,1</t>
  </si>
  <si>
    <t>1438,210000,1,2,2,33,0,0,0,0,0,0,187610,191592,195739,198081,202410,206582,8500,9000,7100,7510,7700,9051,0</t>
  </si>
  <si>
    <t>1439,50000,1,2,2,54,1,2,0,0,0,0,48153,46885,27168,27585,27910,27380,0,1400,1200,1500,1000,1500,0</t>
  </si>
  <si>
    <t>1440,130000,2,2,2,23,0,0,0,0,0,0,133622,129784,126021,70186,71762,73192,4752,5010,2505,2700,2623,2800,0</t>
  </si>
  <si>
    <t>1441,70000,2,1,2,24,0,0,2,2,2,2,48432,52650,53099,51648,55409,54366,5000,1900,0,4600,0,2300,0</t>
  </si>
  <si>
    <t>1442,210000,2,1,1,33,0,0,0,0,0,0,17420,16182,14109,10955,11217,11367,1236,1613,1000,552,607,1500,0</t>
  </si>
  <si>
    <t>1443,100000,1,3,1,44,-1,-1,-1,-1,-1,-1,780,0,390,390,390,390,0,390,390,390,390,390,1</t>
  </si>
  <si>
    <t>1444,200000,1,3,0,51,-1,-1,-1,-1,0,-1,3556,4993,9212,2529,1036,4430,5020,9236,2529,0,4430,6398,0</t>
  </si>
  <si>
    <t>1445,40000,1,1,2,24,1,2,0,0,0,3,28926,28182,28912,29495,33011,32194,0,1500,1064,4000,0,0,1</t>
  </si>
  <si>
    <t>1446,80000,2,2,2,25,2,3,2,2,2,2,69602,67930,72205,73116,74801,73444,0,6000,2700,3000,0,5300,0</t>
  </si>
  <si>
    <t>1447,210000,2,1,1,37,1,-1,-1,-1,-1,-1,0,732,873,148,129,292,732,873,148,129,292,0,1</t>
  </si>
  <si>
    <t>1448,20000,2,2,2,23,-1,-1,-1,2,-1,-1,7186,3478,137,1714,17694,12237,8060,137,5199,17694,575,0,0</t>
  </si>
  <si>
    <t>1449,10000,1,3,2,34,0,0,0,0,0,0,8813,8464,9474,9716,9960,10188,2148,1158,400,400,400,300,0</t>
  </si>
  <si>
    <t>1450,60000,2,3,1,50,0,0,0,0,0,0,61600,61952,60661,29095,17636,31406,3300,2000,900,889,21500,3600,1</t>
  </si>
  <si>
    <t>1451,40000,2,2,1,25,0,0,0,0,0,0,11273,12307,13348,13530,13811,14132,1520,1550,700,648,700,700,0</t>
  </si>
  <si>
    <t>1452,290000,2,1,2,33,-1,-1,-1,-1,-1,-1,413,486,820,60,1773,3904,486,820,60,1773,3904,0,1</t>
  </si>
  <si>
    <t>1453,50000,1,2,1,54,-2,-2,-2,-2,-2,-2,1583,2134,0,2025,0,1924,2134,0,2025,0,1924,0,0</t>
  </si>
  <si>
    <t>1454,20000,1,2,2,25,0,0,0,0,2,2,17384,13648,13924,15685,15292,17524,1500,1400,2000,0,2500,0,0</t>
  </si>
  <si>
    <t>1455,30000,1,2,2,26,0,0,0,0,0,0,33195,32705,32406,32167,31728,31061,1600,1500,1500,1300,1261,1003,0</t>
  </si>
  <si>
    <t>1456,20000,1,2,1,32,0,0,0,0,0,2,17104,18134,19123,19351,20411,19947,1613,1602,830,1512,0,545,0</t>
  </si>
  <si>
    <t>1457,50000,2,3,3,43,0,0,0,0,0,0,24443,24391,23595,22590,21788,21949,1800,1400,800,1000,900,900,0</t>
  </si>
  <si>
    <t>1458,500000,1,2,1,42,1,-1,2,2,0,0,-984,3516,1924,1924,8924,6729,4500,0,0,7000,36,532,1</t>
  </si>
  <si>
    <t>1459,90000,2,3,2,24,-1,-1,-1,-1,-1,-2,595,207,18189,557,0,0,207,18281,557,0,0,0,1</t>
  </si>
  <si>
    <t>1460,10000,1,2,2,26,0,0,0,0,0,0,15147,6641,15318,8610,8790,8963,2234,1135,1086,319,319,180,0</t>
  </si>
  <si>
    <t>1461,50000,2,2,1,37,2,2,3,3,3,3,1050,1050,1050,1050,1050,1050,0,0,0,0,0,0,1</t>
  </si>
  <si>
    <t>1462,120000,1,1,2,36,0,0,2,0,0,2,24466,28255,27507,27952,31136,30486,4500,0,1200,3800,0,1500,0</t>
  </si>
  <si>
    <t>1463,200000,2,1,2,27,0,0,0,0,0,0,157607,155693,155290,147604,146719,143317,7194,6760,5018,5370,5294,5300,0</t>
  </si>
  <si>
    <t>1464,300000,2,2,1,50,-1,-1,-1,0,0,0,8924,3131,117497,110680,104016,109839,3131,121715,4000,5000,9000,5000,0</t>
  </si>
  <si>
    <t>1465,90000,2,2,2,24,-1,0,0,0,0,0,17524,22184,23270,27372,31905,34954,5000,5000,5000,5000,3600,2000,0</t>
  </si>
  <si>
    <t>1466,90000,1,2,1,27,0,0,0,0,0,0,70482,70591,64926,59949,54029,48170,2580,2337,1634,1606,1371,620,0</t>
  </si>
  <si>
    <t>1467,140000,2,1,2,23,1,-2,-2,-2,-2,-2,0,0,0,0,0,0,0,0,0,0,0,0,1</t>
  </si>
  <si>
    <t>1468,180000,2,2,1,39,-1,-1,-1,-1,0,-1,1081,148,148,296,148,148,148,148,296,0,148,1495,0</t>
  </si>
  <si>
    <t>1469,360000,1,1,1,39,-1,-1,-1,-2,-2,-2,1761,2560,0,0,0,0,2816,0,0,0,0,2456,0</t>
  </si>
  <si>
    <t>1470,160000,2,3,2,29,1,-2,-2,-2,-2,-2,0,0,4150,2065,0,500,0,4150,2065,0,500,0,1</t>
  </si>
  <si>
    <t>1471,100000,1,1,1,45,0,0,0,0,0,0,10529,12723,15807,18901,21794,25051,2688,3688,3288,3288,3688,0,0</t>
  </si>
  <si>
    <t>1472,20000,1,2,2,21,0,0,2,0,0,-2,19277,20997,20200,20000,0,0,5000,0,0,0,0,0,1</t>
  </si>
  <si>
    <t>1473,360000,1,1,1,36,0,0,-1,0,0,0,40434,13352,129978,150637,138969,132118,2000,129990,30000,25000,5000,3000,0</t>
  </si>
  <si>
    <t>1474,230000,1,2,2,39,-1,-1,-1,-1,-1,-1,326,326,326,326,326,326,652,326,326,326,326,326,0</t>
  </si>
  <si>
    <t>1475,110000,2,3,2,29,0,0,0,0,0,0,101006,104474,106332,106906,108952,110444,5300,5300,4000,4100,4631,4404,1</t>
  </si>
  <si>
    <t>1476,210000,1,2,2,37,0,0,0,0,0,0,142149,139025,50283,159231,155342,156769,6534,3069,110017,5496,6307,5376,0</t>
  </si>
  <si>
    <t>1477,200000,1,2,2,26,-1,-1,0,0,0,0,1747,11817,14225,16017,12613,6600,12957,3884,5010,700,360,1713,0</t>
  </si>
  <si>
    <t>1478,50000,1,2,2,44,0,0,0,0,0,0,27560,19002,8542,8711,8893,9070,1159,1142,311,322,324,335,0</t>
  </si>
  <si>
    <t>1479,210000,2,1,2,30,1,-2,-2,-2,-1,-1,0,0,0,0,49525,0,0,0,0,49525,0,0,1</t>
  </si>
  <si>
    <t>1480,280000,1,1,2,31,1,-2,-1,0,-1,-1,-32,-32,4887,2067,6624,1489,0,4919,10,6657,1496,2244,0</t>
  </si>
  <si>
    <t>1481,500000,1,2,1,40,0,0,0,-1,-1,0,94585,61111,24801,6288,166251,162785,2659,2090,6333,178460,5506,6205,0</t>
  </si>
  <si>
    <t>1482,30000,2,1,2,25,0,0,0,0,0,-2,3924,4972,5873,5993,0,0,1099,1000,120,0,0,0,0</t>
  </si>
  <si>
    <t>1483,340000,2,2,1,36,0,0,0,0,0,0,167474,155293,134467,129891,113919,106675,7106,4435,4091,3548,4535,4127,0</t>
  </si>
  <si>
    <t>1484,360000,1,1,2,32,-1,-1,-1,-1,-1,-1,389,389,1955,5316,2265,6594,389,1955,5316,2265,6594,2974,0</t>
  </si>
  <si>
    <t>1485,70000,2,1,2,22,0,0,0,0,0,0,71358,70285,28867,29766,26522,27584,3280,1480,1360,960,1500,1000,0</t>
  </si>
  <si>
    <t>1486,20000,2,2,3,44,2,2,7,7,7,6,2400,2400,2400,2400,2400,1800,0,0,0,0,0,0,1</t>
  </si>
  <si>
    <t>1487,230000,1,1,2,32,0,0,0,0,0,0,44734,47178,29582,38426,42500,43531,10120,20000,10000,5000,5000,5000,0</t>
  </si>
  <si>
    <t>1488,60000,1,2,1,41,0,0,0,0,0,-1,48979,41597,29347,19544,11989,9079,5070,1219,1007,8,9381,1156,0</t>
  </si>
  <si>
    <t>1489,50000,1,1,2,28,3,2,2,0,0,0,49828,50467,48964,49447,44067,44760,2121,0,2000,2000,2000,2000,1</t>
  </si>
  <si>
    <t>1490,50000,2,1,2,29,0,0,2,2,2,2,10532,13145,12637,13922,13556,14528,2800,0,1500,0,1200,0,1</t>
  </si>
  <si>
    <t>1491,130000,2,4,2,28,0,0,0,0,0,0,36108,34256,36357,37878,39489,41833,3000,3000,2500,3000,3000,2000,0</t>
  </si>
  <si>
    <t>1492,160000,1,3,2,52,0,0,0,0,0,0,155684,157364,156581,72814,66825,63419,6525,6649,2724,2503,2310,2200,0</t>
  </si>
  <si>
    <t>1493,60000,2,3,2,48,2,0,0,0,0,0,43533,39252,38051,37988,38725,39685,1700,1700,2000,1500,1600,1000,0</t>
  </si>
  <si>
    <t>1494,160000,1,2,2,43,-1,-1,0,0,0,-1,12458,7146,11529,20860,0,780,7545,5000,10000,0,780,0,0</t>
  </si>
  <si>
    <t>1495,180000,2,1,2,25,0,-1,-1,0,-1,0,23800,1246,3430,8430,92925,88283,1246,3430,5000,92925,5000,5000,0</t>
  </si>
  <si>
    <t>1496,170000,1,2,1,36,2,2,2,0,0,0,75960,64683,51184,37938,25292,12646,2000,0,0,0,0,173869,0</t>
  </si>
  <si>
    <t>1497,360000,2,2,2,35,2,2,2,0,0,0,360023,363239,350214,319960,260944,202686,14693,30,12302,10004,7506,19721,1</t>
  </si>
  <si>
    <t>1498,130000,2,2,1,34,0,0,0,2,0,0,59955,61252,65399,63800,65312,37838,2260,5203,0,2670,1342,1815,0</t>
  </si>
  <si>
    <t>1499,180000,2,2,2,48,1,-1,-1,-1,-1,-1,2551,3044,3044,5283,1660,6671,3044,3044,5283,1660,6671,493,0</t>
  </si>
  <si>
    <t>1500,20000,1,1,2,27,1,2,-1,-1,0,0,6274,5971,3980,9040,9040,0,0,4000,9040,0,0,17291,0</t>
  </si>
  <si>
    <t>1501,230000,2,2,1,43,0,0,0,0,0,0,7806,8392,8967,8729,10816,15893,1295,1300,468,2816,5893,5977,0</t>
  </si>
  <si>
    <t>1502,220000,2,2,1,30,1,-2,-2,-2,-2,-2,0,0,0,0,0,0,0,0,0,0,0,0,0</t>
  </si>
  <si>
    <t>1503,240000,1,2,1,43,-2,-2,-2,-2,-2,-2,0,0,0,0,0,0,0,0,0,0,0,0,0</t>
  </si>
  <si>
    <t>1504,50000,1,3,1,54,0,0,0,-1,-1,0,50356,48981,47942,1261,17147,16609,2000,1120,1300,17147,1000,1000,0</t>
  </si>
  <si>
    <t>1505,310000,2,2,1,39,0,0,0,0,0,0,7246,6713,9507,8894,7418,12154,1155,4507,1000,283,7482,2473,0</t>
  </si>
  <si>
    <t>1506,350000,1,1,1,70,0,0,0,0,0,0,100895,70244,64839,57583,45554,37063,3371,2089,3008,1300,1500,1372,0</t>
  </si>
  <si>
    <t>1507,50000,2,1,2,24,-1,-1,-1,-1,-1,-1,629,351,784,696,800,341,351,789,699,910,341,210,0</t>
  </si>
  <si>
    <t>1508,200000,2,2,1,30,1,-2,-1,0,0,0,26223,-137,73284,65428,65820,2859,0,73421,1309,392,2859,1250,0</t>
  </si>
  <si>
    <t>1509,480000,1,3,2,53,0,0,0,0,0,0,482250,475931,429037,383821,369920,699944,18093,15233,12597,15098,14155,20306,0</t>
  </si>
  <si>
    <t>1510,180000,2,1,1,27,2,2,2,2,2,0,81044,78403,58083,58244,56041,50816,2600,0,4700,0,2500,1092,1</t>
  </si>
  <si>
    <t>1511,200000,2,2,2,33,0,0,0,0,0,0,184676,178491,169860,165713,168199,160769,7900,6112,6000,6000,5838,5900,0</t>
  </si>
  <si>
    <t>1512,20000,1,3,1,34,2,0,0,0,0,0,15736,16762,17774,18125,18507,19063,1284,1296,647,672,864,1506,0</t>
  </si>
  <si>
    <t>1513,50000,1,2,2,48,0,0,0,-1,0,0,51631,45223,45461,18354,19118,19404,1800,1005,19763,1000,1000,1000,0</t>
  </si>
  <si>
    <t>1514,210000,2,3,2,33,1,-2,-1,-1,-1,-1,0,0,3104,4056,565,960,0,3104,4056,565,960,1958,1</t>
  </si>
  <si>
    <t>1515,20000,2,2,2,24,0,0,0,0,0,0,19433,20508,19662,20001,16448,16774,1700,1300,600,600,600,622,0</t>
  </si>
  <si>
    <t>1516,150000,2,2,1,31,1,-2,-1,-1,-1,-2,6526,779,8927,8660,692,0,783,9098,8660,698,0,0,0</t>
  </si>
  <si>
    <t>1517,50000,2,2,2,25,0,0,0,-1,-1,2,46528,47456,36251,438,43367,44305,1794,1021,438,43367,1800,0,0</t>
  </si>
  <si>
    <t>1518,190000,1,3,1,49,2,2,2,2,2,2,178367,179062,177663,180312,185910,191895,5000,3000,7100,8700,9300,9500,1</t>
  </si>
  <si>
    <t>1519,290000,2,1,2,27,2,0,0,0,2,2,232523,243753,253145,267412,273095,278260,16500,15000,20000,10000,9701,0,0</t>
  </si>
  <si>
    <t>1520,420000,1,2,1,39,0,0,0,0,0,0,171141,118103,119543,122851,126007,129144,5700,4600,5000,5000,5000,4700,0</t>
  </si>
  <si>
    <t>1521,340000,2,2,2,36,2,0,0,0,0,0,337981,344920,18921,21205,19810,13586,17181,2000,10000,5000,3000,1000,0</t>
  </si>
  <si>
    <t>1522,60000,1,2,2,40,3,3,5,4,3,2,9744,10940,10630,10320,9865,10055,1500,0,0,0,500,0,0</t>
  </si>
  <si>
    <t>1523,90000,2,1,2,27,0,0,0,0,0,0,81111,83081,60210,61221,62636,54261,3500,3000,2600,2600,3000,1500,0</t>
  </si>
  <si>
    <t>1524,30000,2,1,2,27,2,2,2,2,2,2,28207,29261,28497,29862,43148,30603,1800,0,2150,900,3776,0,1</t>
  </si>
  <si>
    <t>1525,160000,2,2,1,37,-1,-1,-2,-1,-1,-2,1988,0,0,1188,0,0,0,0,1188,0,0,1935,0</t>
  </si>
  <si>
    <t>1526,20000,1,2,2,35,-1,2,2,2,2,2,11916,11434,13433,13398,13040,14518,0,2200,480,0,1702,200,0</t>
  </si>
  <si>
    <t>1527,90000,2,2,1,25,0,0,0,0,0,0,87525,89052,85807,68186,69011,70341,4200,3000,3000,3000,2600,3000,1</t>
  </si>
  <si>
    <t>1528,120000,1,1,2,27,0,0,0,0,0,0,20874,21930,22165,20502,19030,15119,1700,1500,700,1000,1000,1000,0</t>
  </si>
  <si>
    <t>1529,120000,1,1,2,38,1,-2,-2,-2,-2,-2,-284,-610,-936,-1262,-1588,-1914,0,0,0,0,0,0,0</t>
  </si>
  <si>
    <t>1530,360000,2,2,1,50,-1,-1,-1,-1,-1,-1,147,686,6037,1560,0,275,686,6041,1560,0,275,0,0</t>
  </si>
  <si>
    <t>1531,160000,2,1,2,32,-2,-2,-2,-2,-2,-2,16922,2552,0,0,0,0,2555,0,0,0,0,0,0</t>
  </si>
  <si>
    <t>1532,320000,2,1,1,34,-2,-1,0,-1,-1,-1,65083,23750,22381,14685,7511,6722,23750,10162,14702,7511,6722,10000,0</t>
  </si>
  <si>
    <t>1533,20000,1,2,2,25,0,0,2,2,4,3,16508,19638,19030,22033,21109,20474,3400,0,3633,0,0,0,0</t>
  </si>
  <si>
    <t>1534,230000,2,1,2,29,0,0,0,0,0,0,63184,64667,65888,66645,67865,69231,3100,3000,2300,2300,2500,2300,0</t>
  </si>
  <si>
    <t>1535,50000,1,3,1,44,0,0,0,0,0,0,15931,17363,18735,19188,17578,16855,2000,2000,1006,1003,1000,1000,0</t>
  </si>
  <si>
    <t>1536,50000,1,3,1,48,-1,-1,0,0,0,0,2722,33868,26646,26832,27395,27940,33895,1439,959,994,1000,1013,0</t>
  </si>
  <si>
    <t>1537,40000,2,3,2,24,-1,2,-1,-1,0,0,5496,698,400,25289,24435,2201,0,400,25289,0,0,1329,0</t>
  </si>
  <si>
    <t>1538,120000,2,3,1,27,2,-1,-1,-1,2,-1,390,390,390,780,240,630,390,390,780,0,930,300,0</t>
  </si>
  <si>
    <t>1539,130000,2,2,2,25,-1,-1,-1,-1,-1,-1,1031,1583,776,776,776,776,1583,1000,776,776,776,12184,1</t>
  </si>
  <si>
    <t>1540,110000,2,3,2,28,0,0,2,2,0,0,85918,87442,82975,80446,80006,80421,4000,6000,12,3100,3200,3000,0</t>
  </si>
  <si>
    <t>1541,20000,1,2,2,22,1,2,0,0,0,0,8222,7948,8958,9456,10150,10727,0,1300,800,1000,900,2130,1</t>
  </si>
  <si>
    <t>1542,50000,1,3,2,22,1,-2,-2,-2,-2,-2,0,0,0,0,0,0,0,0,0,0,0,0,0</t>
  </si>
  <si>
    <t>1543,120000,2,3,1,30,0,0,0,0,0,0,115583,114915,117220,119599,120888,117881,4178,4223,4296,4800,4423,4080,0</t>
  </si>
  <si>
    <t>1544,50000,1,3,2,34,0,0,0,-2,-2,-2,50375,51400,0,0,0,0,2400,0,0,0,0,0,0</t>
  </si>
  <si>
    <t>1545,360000,2,2,2,34,1,-2,-2,-1,-1,-2,0,0,0,700,0,0,0,0,700,0,0,0,1</t>
  </si>
  <si>
    <t>1546,240000,2,2,1,44,-1,-1,-1,-1,-1,-1,3313,7458,2329,4267,2404,4243,7458,2335,4267,2404,4243,2952,1</t>
  </si>
  <si>
    <t>1547,150000,1,1,2,32,0,-1,-1,-1,-1,-2,46272,1079,0,41147,-3,-3,1082,0,41147,0,0,0,0</t>
  </si>
  <si>
    <t>1548,50000,2,2,2,23,0,0,0,0,2,0,30501,33113,33967,28115,27529,29896,3113,1421,4295,0,3000,896,0</t>
  </si>
  <si>
    <t>1549,500000,2,1,2,42,-1,-1,-1,2,-1,-1,30439,1844,844,614,2887,3850,1844,1000,0,3000,4000,6000,1</t>
  </si>
  <si>
    <t>1550,110000,2,2,1,33,0,0,0,0,0,0,115895,115609,113984,112510,112319,110730,6000,5500,4000,4000,4100,4000,0</t>
  </si>
  <si>
    <t>1551,170000,1,2,1,48,0,0,0,0,0,0,93420,96284,97322,99419,101590,111679,4371,3533,3716,3934,12030,0,1</t>
  </si>
  <si>
    <t>1552,230000,2,2,1,29,0,0,0,0,0,0,30818,31209,32211,31647,34304,36849,2000,2000,1113,5000,5000,2000,0</t>
  </si>
  <si>
    <t>1553,20000,2,3,3,47,0,0,0,0,0,0,9417,10436,11450,12257,12685,13306,1179,1193,1000,625,1000,405,0</t>
  </si>
  <si>
    <t>1554,100000,2,1,1,41,1,-2,-2,-2,-2,-1,0,0,0,0,0,18149,0,0,0,0,18149,0,0</t>
  </si>
  <si>
    <t>1555,110000,1,1,2,28,1,2,0,0,0,0,44278,41812,43095,46292,44744,36243,0,2000,5000,1514,1197,982,0</t>
  </si>
  <si>
    <t>1556,340000,1,1,1,52,-2,-2,-2,-2,-2,-2,30832,33652,35192,30000,10766,33887,33670,35212,30000,10766,33905,30200,1</t>
  </si>
  <si>
    <t>1557,50000,1,1,2,37,0,0,0,0,0,0,37774,38492,36453,29700,30167,29613,1976,1564,1170,1055,1052,1022,0</t>
  </si>
  <si>
    <t>1558,310000,1,1,1,50,-1,-1,-1,-1,-1,-1,316,316,10131,2456,316,316,316,10131,2456,316,316,316,0</t>
  </si>
  <si>
    <t>1559,50000,2,3,1,31,1,2,2,2,2,2,38102,40025,40071,40906,42100,41269,2830,1000,1800,2000,0,1704,1</t>
  </si>
  <si>
    <t>1560,240000,2,3,1,38,0,0,2,0,0,0,107148,113396,110084,112272,114779,116920,9500,0,4019,4317,4204,4314,1</t>
  </si>
  <si>
    <t>1561,50000,2,2,1,48,0,0,0,0,0,0,10929,13262,14273,14555,14860,15155,2526,1237,519,538,541,560,0</t>
  </si>
  <si>
    <t>1562,150000,2,1,2,34,-2,-1,2,0,0,-2,0,13206,10227,398,0,0,13206,0,0,0,0,0,0</t>
  </si>
  <si>
    <t>1563,140000,1,2,2,44,0,0,0,0,0,0,108033,105021,107659,109104,109352,101534,4000,4537,3800,3823,3806,3511,0</t>
  </si>
  <si>
    <t>1564,30000,2,3,1,56,0,0,2,2,0,0,16088,24800,25098,24396,24907,25555,9000,1000,0,903,1061,942,0</t>
  </si>
  <si>
    <t>1565,300000,2,1,1,30,0,0,0,0,0,0,93738,84636,88446,76244,67747,70389,3000,5000,2500,2500,3500,87000,1</t>
  </si>
  <si>
    <t>1566,50000,1,1,2,29,0,0,0,0,0,0,2087,2632,3355,3253,3640,3512,1000,1186,500,1000,500,1000,0</t>
  </si>
  <si>
    <t>1567,280000,2,2,1,37,0,0,0,0,0,0,29078,30144,32629,35126,35759,42317,1515,3000,3000,1292,7147,1415,0</t>
  </si>
  <si>
    <t>1568,120000,2,2,2,23,0,0,0,0,0,0,118063,120851,120013,77539,77333,79113,4700,3538,3000,3000,3000,5000,0</t>
  </si>
  <si>
    <t>1569,30000,2,1,1,27,1,-1,-1,-1,0,0,0,306,2017,6316,3107,0,306,2017,6316,62,0,1002,0</t>
  </si>
  <si>
    <t>1570,30000,2,2,2,23,-1,0,0,0,0,-1,3226,5591,6992,20412,14427,5119,3596,2992,16500,0,5119,0,1</t>
  </si>
  <si>
    <t>1571,180000,1,3,1,45,1,2,0,0,0,0,24400,24508,22627,23306,22780,20890,1500,1500,1000,1000,1000,1000,0</t>
  </si>
  <si>
    <t>1572,150000,1,2,1,33,1,2,2,0,0,2,8967,11510,12022,12524,13868,13502,3001,1000,1000,1700,0,1000,0</t>
  </si>
  <si>
    <t>1573,110000,2,2,1,40,0,0,0,2,0,0,84589,85418,38333,37419,38199,38957,3700,4890,0,1535,1545,1500,0</t>
  </si>
  <si>
    <t>1574,50000,1,1,2,24,0,0,0,0,0,0,50716,50606,33265,29300,20703,30101,3029,2000,1021,1004,10000,2500,1</t>
  </si>
  <si>
    <t>1575,230000,2,3,1,43,1,-1,2,-1,0,-1,0,3832,1823,3646,1823,1823,5655,0,3646,0,1823,1823,0</t>
  </si>
  <si>
    <t>1576,230000,2,2,2,25,0,0,0,0,0,2,95311,94489,93143,87654,90172,86850,4500,4114,3500,4000,3000,3000,0</t>
  </si>
  <si>
    <t>1577,160000,2,1,2,46,-2,-2,-2,-2,-2,-2,6241,8788,0,0,0,0,8805,0,0,0,0,0,0</t>
  </si>
  <si>
    <t>1578,50000,1,3,2,36,0,0,0,0,0,0,52855,49123,49522,19843,18440,18272,2206,1605,397,369,365,1088,0</t>
  </si>
  <si>
    <t>1579,210000,2,1,1,36,1,-1,-1,-1,-1,-1,0,1690,0,5619,4090,581,1690,0,5619,4090,581,0,0</t>
  </si>
  <si>
    <t>1580,120000,2,2,1,38,-1,-1,-1,-1,-1,-1,4100,7270,820,820,2870,970,7270,820,820,2870,970,820,0</t>
  </si>
  <si>
    <t>1581,240000,2,2,1,42,0,0,0,2,0,0,21943,36519,55515,49049,57178,42009,15000,20000,3330,30000,10000,10000,0</t>
  </si>
  <si>
    <t>1582,20000,1,3,3,47,0,0,0,0,0,0,18768,18795,19390,19464,18126,18827,1400,1400,1000,700,1600,0,0</t>
  </si>
  <si>
    <t>1583,50000,2,3,2,40,0,0,0,0,0,0,5538,6563,7422,8292,8465,8650,1271,1130,1000,307,325,436,0</t>
  </si>
  <si>
    <t>1584,50000,2,1,2,70,2,2,0,0,0,0,49546,48480,48621,17793,18224,18612,0,2200,700,700,674,608,0</t>
  </si>
  <si>
    <t>1585,50000,2,2,1,32,0,0,0,0,0,0,48508,49213,38280,12305,6436,0,3037,1800,1130,2000,0,0,0</t>
  </si>
  <si>
    <t>1586,100000,1,3,2,52,0,0,0,0,0,-1,73904,73249,12327,10793,5309,900,2781,2101,216,0,900,500,0</t>
  </si>
  <si>
    <t>1587,390000,2,1,1,49,-1,-1,-1,-2,-2,-1,15026,13357,0,0,0,100000,13357,0,0,0,100000,39268,0</t>
  </si>
  <si>
    <t>1588,550000,1,1,2,31,0,0,0,0,0,0,43769,38907,36111,32723,26946,26439,2018,1520,1131,1005,1107,1019,0</t>
  </si>
  <si>
    <t>1589,450000,2,2,2,36,-1,-1,-1,-1,-1,-1,13500,6350,11670,1530,1232,201,6364,11728,1532,1234,201,3,0</t>
  </si>
  <si>
    <t>1590,80000,2,2,1,50,-1,-1,-1,0,0,0,2587,2587,50097,48753,50000,49209,2587,50097,2000,2000,1933,1700,0</t>
  </si>
  <si>
    <t>1591,50000,2,3,1,48,0,0,0,0,0,0,4064,5987,7719,8588,9291,11127,2000,2000,1000,1000,2000,2000,0</t>
  </si>
  <si>
    <t>1592,50000,2,2,2,33,1,2,2,0,0,0,49617,50352,49243,49819,19324,20103,1813,0,2169,702,1101,529,0</t>
  </si>
  <si>
    <t>1593,180000,1,2,1,44,0,0,0,0,0,0,70721,69994,70204,70238,73296,73369,8000,3000,3000,5000,2595,3000,0</t>
  </si>
  <si>
    <t>1594,240000,1,1,2,35,-2,-2,-2,-2,-1,-1,15432,10835,22134,32823,1897,5627,10851,22258,20076,2099,5827,0,0</t>
  </si>
  <si>
    <t>1595,320000,2,3,2,29,-1,-1,-1,-2,-2,-1,500,500,0,0,0,2900,500,0,0,0,2900,0,0</t>
  </si>
  <si>
    <t>1596,480000,2,2,1,35,-1,2,-1,-1,2,0,18214,11031,182123,188956,179179,181746,0,182123,12960,0,9000,50000,0</t>
  </si>
  <si>
    <t>1597,150000,2,2,1,37,-1,2,2,-2,-1,-1,1184,794,2756,0,2430,4840,0,2772,0,2430,4844,0,0</t>
  </si>
  <si>
    <t>1598,110000,2,1,2,29,0,0,2,0,0,0,107195,109443,106637,106665,92417,90730,7845,4000,4000,3500,9500,9600,0</t>
  </si>
  <si>
    <t>1599,240000,1,1,2,30,-1,-1,-1,0,0,0,7744,7284,11234,15214,9107,5621,7305,11263,10018,21,3637,7008,0</t>
  </si>
  <si>
    <t>1600,50000,1,1,2,33,0,0,0,0,0,0,47853,49474,47822,8585,8797,9001,2412,1500,500,500,500,490,1</t>
  </si>
  <si>
    <t>1601,120000,1,2,2,27,-1,-1,-1,-1,-1,-1,2474,2469,2439,2439,2439,2116,2469,2439,2439,2439,2116,0,0</t>
  </si>
  <si>
    <t>1602,150000,2,1,1,31,1,-2,-2,-2,-2,-2,0,0,0,0,0,0,0,0,0,0,0,0,0</t>
  </si>
  <si>
    <t>1603,100000,2,3,2,53,0,0,0,0,0,0,101503,29880,31119,58653,59477,60695,1538,1777,29103,2283,2334,2290,0</t>
  </si>
  <si>
    <t>1604,260000,2,2,2,38,-2,-2,-2,-2,-2,-2,-2,-2,725,2074,0,585,0,727,2074,0,585,0,0</t>
  </si>
  <si>
    <t>1605,250000,2,2,2,26,-2,-2,-2,-2,-2,-2,16884,10397,5291,4671,4400,6011,2000,1000,1010,2000,6011,2325,0</t>
  </si>
  <si>
    <t>1606,100000,2,2,2,26,0,0,-2,-2,-2,-1,9614,0,0,0,0,16708,0,0,0,0,16708,2000,0</t>
  </si>
  <si>
    <t>1607,160000,1,1,1,51,2,3,2,0,0,0,79244,77441,75598,82277,84955,87549,0,0,8000,4000,4000,4000,1</t>
  </si>
  <si>
    <t>1608,270000,2,1,1,37,-1,-1,-1,-1,-1,-1,264,264,1191,3691,3445,56264,264,1191,3691,3445,56264,953,1</t>
  </si>
  <si>
    <t>1609,390000,2,2,2,42,-1,-1,0,0,0,0,5895,42006,31192,13859,10078,4635,42016,1397,347,250,145,94,0</t>
  </si>
  <si>
    <t>1610,210000,2,2,1,43,0,0,0,0,2,0,80527,82332,84043,88508,85802,85280,4000,4000,7000,0,3500,7000,0</t>
  </si>
  <si>
    <t>1611,30000,2,2,2,23,0,0,0,2,0,0,24285,26143,26929,19610,20591,19472,3002,2130,2,3004,8013,0,0</t>
  </si>
  <si>
    <t>1612,300000,2,3,1,30,-1,-1,0,0,-1,-1,12090,15035,25895,16416,3972,2200,15042,25500,6000,3972,2200,0,0</t>
  </si>
  <si>
    <t>1613,190000,2,3,1,38,0,0,0,0,0,0,89619,103095,110000,115674,121313,15538,15000,10000,5674,11313,5538,18272,0</t>
  </si>
  <si>
    <t>1614,130000,2,1,1,35,-1,-1,-1,-1,-1,-1,6348,321,321,0,321,0,321,321,0,321,0,0,1</t>
  </si>
  <si>
    <t>1615,360000,1,2,1,44,0,0,0,0,2,0,270248,138566,142337,149758,147152,149460,5000,5000,8600,0,5000,5000,0</t>
  </si>
  <si>
    <t>1616,320000,1,1,1,35,1,-2,-2,-2,-2,-2,291,2594,2691,291,291,291,2594,2691,291,291,291,3124,1</t>
  </si>
  <si>
    <t>1617,20000,1,2,3,35,1,-2,-2,-2,-2,-2,0,0,0,0,0,0,0,0,0,0,0,0,1</t>
  </si>
  <si>
    <t>1618,360000,1,1,1,32,-2,-2,-2,-2,-2,-2,10729,2523,-2,-2,-2,-2,2535,0,0,0,0,0,0</t>
  </si>
  <si>
    <t>1619,190000,2,2,2,25,0,0,0,0,-1,0,110031,105500,104430,93,158481,161866,8614,5000,93,159212,5800,5500,0</t>
  </si>
  <si>
    <t>1620,90000,2,2,2,33,0,0,-1,-1,0,0,63626,1788,1988,55970,59612,40281,1000,2000,61000,5000,1800,1200,1</t>
  </si>
  <si>
    <t>1621,30000,2,1,2,26,-1,-1,-1,-1,-1,2,2635,807,11428,2462,3605,1559,1270,11500,2462,1559,0,3192,0</t>
  </si>
  <si>
    <t>1622,240000,1,1,2,29,0,0,0,0,0,0,240248,221277,201606,183454,180255,184230,11000,9100,8000,8000,7000,8000,0</t>
  </si>
  <si>
    <t>1623,40000,2,1,2,26,0,0,0,0,0,0,12308,13604,14873,15624,15972,16308,1500,1500,1000,600,600,1700,0</t>
  </si>
  <si>
    <t>1624,170000,1,2,2,36,-1,-1,-1,-1,-1,-1,2104,2074,10719,12654,25784,19950,2081,10725,12654,25784,19950,200,0</t>
  </si>
  <si>
    <t>1625,180000,1,1,2,37,0,0,0,0,0,0,22121,31681,32552,34004,35792,36645,10000,1700,2000,2500,1600,2000,0</t>
  </si>
  <si>
    <t>1626,20000,1,3,1,63,2,2,2,2,2,0,16097,16951,17090,17128,16725,17263,1400,700,600,0,800,772,1</t>
  </si>
  <si>
    <t>1627,150000,2,3,1,48,0,0,2,0,0,0,37800,40874,39922,40953,42136,43279,4000,0,2000,2000,2000,2000,0</t>
  </si>
  <si>
    <t>1628,50000,2,2,1,47,0,0,0,0,0,0,44624,45128,3837,3913,4146,4225,2355,1064,140,296,296,301,1</t>
  </si>
  <si>
    <t>1629,140000,2,3,1,31,2,2,2,2,2,2,89910,92588,91936,94623,94952,95234,5000,1800,5000,1900,4700,0,0</t>
  </si>
  <si>
    <t>1630,50000,1,3,2,31,0,0,0,0,2,0,40011,33648,35082,38286,37543,0,1566,2000,3800,0,1546,0,0</t>
  </si>
  <si>
    <t>1631,200000,1,1,2,34,0,0,0,0,0,0,67002,76429,94564,95859,99593,101834,10000,18900,3000,4524,3084,3242,0</t>
  </si>
  <si>
    <t>1632,100000,2,1,1,43,-1,-1,-1,-1,-1,-1,9122,22971,15537,27075,8423,37259,22982,15561,27091,8423,37259,16751,0</t>
  </si>
  <si>
    <t>1633,250000,2,1,2,32,0,0,0,0,-1,-1,33323,30090,21218,10875,3328,1460,2038,2065,52,3336,1460,1000,0</t>
  </si>
  <si>
    <t>1634,80000,2,1,2,38,-2,-2,-2,-2,-2,-2,1927,446,909,1740,2190,518,446,909,1740,2190,518,5062,0</t>
  </si>
  <si>
    <t>1635,170000,2,2,1,50,0,0,0,0,0,0,177956,176155,171665,65479,61234,42484,7262,5586,2272,2998,39321,1390,0</t>
  </si>
  <si>
    <t>1636,80000,1,3,2,29,0,0,0,0,0,0,46638,47680,48395,49356,50560,51431,2091,1806,1767,2000,1767,1740,0</t>
  </si>
  <si>
    <t>1637,50000,1,2,1,49,0,0,0,0,0,0,49816,49749,48589,59469,20239,20059,3000,2000,1900,1004,1600,700,0</t>
  </si>
  <si>
    <t>1638,30000,2,3,2,40,2,2,2,2,0,0,23687,23020,25218,24514,25030,25557,0,2579,0,909,944,4642,0</t>
  </si>
  <si>
    <t>1639,70000,2,1,2,34,1,3,2,0,0,0,70971,71272,69405,34045,34995,36025,2000,0,1220,1500,1725,0,1</t>
  </si>
  <si>
    <t>1640,30000,2,3,1,47,-1,-1,-1,-1,-1,-1,1355,5137,1392,696,0,696,5174,1392,696,0,696,696,0</t>
  </si>
  <si>
    <t>1641,200000,1,1,1,34,-1,-1,-1,-1,-1,-1,5023,618,605,3098,805,2154,621,608,3114,1003,2164,1210,0</t>
  </si>
  <si>
    <t>1642,100000,2,2,2,27,-1,-1,-1,-2,-2,-2,11540,1300,0,0,0,0,1303,0,0,0,0,0,0</t>
  </si>
  <si>
    <t>1643,20000,1,2,2,44,0,0,0,0,0,0,17636,17947,17914,18357,19155,10200,1375,1122,565,1000,204,0,1</t>
  </si>
  <si>
    <t>1644,200000,1,1,2,29,-1,-1,-2,-2,-2,-2,2290,0,0,0,0,0,0,0,0,0,0,0,0</t>
  </si>
  <si>
    <t>1645,50000,1,3,1,72,2,0,0,0,2,2,35417,36453,37166,39710,40519,41324,1908,1621,3165,1600,1620,0,1</t>
  </si>
  <si>
    <t>1646,50000,1,2,1,48,0,0,0,0,0,0,40931,40892,41612,18825,18019,18124,1880,1650,10000,1000,700,600,1</t>
  </si>
  <si>
    <t>1647,50000,2,1,2,27,1,2,2,2,2,2,36794,35922,39319,38387,42764,41926,0,4000,0,5000,0,5000,1</t>
  </si>
  <si>
    <t>1648,220000,1,2,1,44,0,0,0,0,0,0,217743,180357,183453,176900,118965,172907,7000,8000,8000,6000,60000,7000,0</t>
  </si>
  <si>
    <t>1649,240000,2,3,1,39,-2,-2,-2,-2,-2,-2,0,1234,0,0,620,0,1234,0,0,620,0,0,0</t>
  </si>
  <si>
    <t>1650,50000,1,1,1,40,0,0,0,0,0,0,42549,36110,9715,8965,6652,7385,2200,2000,1000,500,1000,400,0</t>
  </si>
  <si>
    <t>1651,500000,2,1,1,45,-1,-1,-1,-1,-1,-1,36954,-24704,22999,18339,-3876,15586,0,83000,0,0,20000,18000,0</t>
  </si>
  <si>
    <t>1652,170000,1,1,2,26,-1,-1,-1,-1,-1,-1,23594,1512,1362,1591,3524,8545,1512,1362,1591,3524,8545,1485,0</t>
  </si>
  <si>
    <t>1653,30000,1,1,1,34,-1,-1,-1,-2,-2,-2,220,2500,0,0,0,0,2500,0,0,0,0,0,0</t>
  </si>
  <si>
    <t>1654,300000,1,1,1,43,1,-2,-2,-2,-2,-2,0,0,0,0,0,0,0,0,0,0,0,0,1</t>
  </si>
  <si>
    <t>1655,50000,1,2,2,30,0,0,0,0,0,0,50507,48751,44688,19823,13645,10876,4000,2220,1000,1500,1000,1500,0</t>
  </si>
  <si>
    <t>1656,100000,2,3,1,31,-1,-1,-1,-2,-2,-2,16033,1716,1200,0,0,1300,1716,1200,0,0,1300,6455,0</t>
  </si>
  <si>
    <t>1657,150000,2,1,2,29,0,0,2,0,0,0,108817,83654,79713,64468,66488,58131,7500,0,4000,4000,4000,3500,1</t>
  </si>
  <si>
    <t>1658,50000,1,1,2,28,0,0,0,0,0,0,46176,40870,41590,42419,43307,44167,2000,1700,1519,1572,1580,1637,0</t>
  </si>
  <si>
    <t>1659,190000,2,2,2,31,-1,-1,-1,-1,-2,-1,771,0,4251,0,0,6732,0,4251,0,0,6732,11306,0</t>
  </si>
  <si>
    <t>1660,20000,2,3,2,22,0,0,0,0,-1,-1,14562,5991,6870,0,2734,0,1121,1000,0,1367,0,0,0</t>
  </si>
  <si>
    <t>1661,50000,2,3,1,55,1,2,2,2,0,0,49003,49067,50498,47579,47567,48155,2005,3900,0,2000,1900,1900,0</t>
  </si>
  <si>
    <t>1662,30000,2,2,1,39,-1,-1,-1,-1,-1,-1,223,223,223,223,223,675,223,223,223,223,675,10473,1</t>
  </si>
  <si>
    <t>1663,90000,2,1,2,27,-2,-2,2,2,-2,-2,1179,6346,4607,-6,-2153,-4306,7020,2980,3000,0,0,0,0</t>
  </si>
  <si>
    <t>1664,500000,2,1,2,36,-2,-2,-2,-2,-2,-2,-312,-2479,2479,2479,763,288,0,4958,0,763,0,14472,1</t>
  </si>
  <si>
    <t>1665,280000,1,1,1,40,-1,-1,-1,-1,-1,-1,5310,2196,2928,9564,22017,5220,2196,2928,9564,22017,5220,1964,0</t>
  </si>
  <si>
    <t>1666,30000,1,2,1,31,0,0,0,-1,-1,-2,13265,7206,0,2320,0,0,1632,780,2320,0,0,0,0</t>
  </si>
  <si>
    <t>1667,90000,2,2,1,36,2,2,2,2,2,2,49295,50206,50781,51840,52607,53784,2000,1700,2200,1750,2200,2000,0</t>
  </si>
  <si>
    <t>1668,200000,1,2,1,42,1,2,0,0,2,2,38187,35827,19208,20023,19572,19652,44,1303,1522,0,1099,1339,1</t>
  </si>
  <si>
    <t>1669,100000,1,2,2,30,-2,-2,-2,-2,-2,-2,914,1170,0,0,1756,0,1475,0,0,1756,0,0,0</t>
  </si>
  <si>
    <t>1670,20000,1,3,2,40,0,0,2,3,2,2,12649,15526,16383,15831,15438,17371,3103,1408,0,0,2346,0,0</t>
  </si>
  <si>
    <t>1671,50000,1,2,1,51,0,0,0,0,0,0,49613,49326,47010,20661,14528,15544,3036,6000,1000,2000,2500,3000,0</t>
  </si>
  <si>
    <t>1672,50000,2,2,3,51,0,-1,0,0,0,-2,10571,2477,3234,2904,0,0,2477,2904,0,0,0,0,0</t>
  </si>
  <si>
    <t>1673,290000,1,3,2,32,-1,-1,-1,-1,-1,0,1520,1200,0,1000,28661,8976,1200,0,1000,9948,8974,175000,0</t>
  </si>
  <si>
    <t>1674,220000,2,1,2,36,-2,-2,-2,-2,-2,-2,0,420,0,584,790,0,420,0,584,790,0,1309,0</t>
  </si>
  <si>
    <t>1675,440000,1,1,1,37,-1,-1,-1,-1,-1,-1,4330,8369,16786,396,600,3596,8369,16786,396,600,3596,4095,0</t>
  </si>
  <si>
    <t>1676,50000,1,2,2,49,0,0,0,0,0,0,90231,90647,92309,93880,99418,101392,2852,2784,2603,10000,3164,2868,1</t>
  </si>
  <si>
    <t>1677,300000,1,1,2,31,-1,-1,-1,-1,-1,-1,40779,5401,2444,578,390,1424,5401,2444,578,390,1424,390,0</t>
  </si>
  <si>
    <t>1678,290000,2,1,1,50,0,0,0,0,0,0,165563,128747,120469,78892,81561,83687,7000,10009,5000,5000,5000,10000,0</t>
  </si>
  <si>
    <t>1679,390000,1,2,1,40,1,2,0,0,0,0,424244,395060,258372,261498,213003,102423,587,9500,30140,4235,1998,25226,0</t>
  </si>
  <si>
    <t>1680,50000,2,2,2,24,0,0,0,0,0,0,29186,29792,26660,27416,27836,28473,1500,1500,1200,1010,1100,980,0</t>
  </si>
  <si>
    <t>1681,220000,2,2,2,31,-1,-1,-2,-1,-1,-2,38746,0,0,110699,0,0,0,0,110699,0,0,0,1</t>
  </si>
  <si>
    <t>1682,150000,2,2,2,29,0,0,-1,0,0,0,3559,4724,2629,2584,1371,0,1222,2634,1008,506,0,0,0</t>
  </si>
  <si>
    <t>1683,50000,1,1,2,24,0,0,0,0,0,0,50963,49720,50839,93436,46733,50925,1844,1963,2635,1750,5000,2160,0</t>
  </si>
  <si>
    <t>1684,200000,1,1,1,44,-1,-1,-2,-2,-2,-2,667,0,0,0,0,0,0,0,0,0,0,0,0</t>
  </si>
  <si>
    <t>1685,120000,2,2,2,30,0,0,0,0,0,0,16812,17571,18013,18197,9032,11951,1358,1126,636,650,4000,1800,0</t>
  </si>
  <si>
    <t>1686,230000,2,1,1,61,-2,-2,-2,-2,-2,-2,1443,1443,1443,1443,1443,1443,1443,1443,1443,1443,1443,1443,0</t>
  </si>
  <si>
    <t>1687,180000,2,2,1,28,0,0,0,0,0,0,133868,125613,86893,89014,91946,93237,5300,4000,4000,10000,3200,3100,0</t>
  </si>
  <si>
    <t>1688,20000,1,1,2,22,0,0,0,0,0,0,23538,22780,23623,19600,20100,0,3000,1400,2500,500,0,0,0</t>
  </si>
  <si>
    <t>1689,20000,1,2,2,23,0,0,2,0,0,0,18804,17855,17199,17548,17992,31150,2150,1000,504,600,4000,4000,0</t>
  </si>
  <si>
    <t>1690,50000,1,3,1,46,-1,2,2,-2,-2,-2,13473,12800,0,0,0,0,0,0,0,0,0,0,1</t>
  </si>
  <si>
    <t>1691,290000,2,1,2,24,-2,-2,-1,-1,-1,0,14931,15090,19239,4940,93332,96112,15090,19239,4975,96151,5500,4000,0</t>
  </si>
  <si>
    <t>1692,290000,2,2,2,54,-2,-2,-2,-2,-2,-2,-68,-68,-68,675,-6,2168,0,0,743,0,2174,972,0</t>
  </si>
  <si>
    <t>1693,150000,2,1,2,27,-2,-2,-2,-2,-2,-2,0,610,610,0,610,0,610,610,0,610,0,0,0</t>
  </si>
  <si>
    <t>1694,190000,2,2,2,53,0,0,0,0,0,0,173058,133198,131891,133516,135008,136486,6300,5000,5000,5000,5100,5000,0</t>
  </si>
  <si>
    <t>1695,80000,2,2,2,25,0,0,0,0,0,0,81003,85894,87061,89008,93523,80288,8213,3491,3508,19523,3288,1570,1</t>
  </si>
  <si>
    <t>1696,250000,1,3,1,47,-1,-1,-1,-1,-1,-1,1170,1863,3100,2560,2580,3699,1863,3112,2950,2580,3699,0,0</t>
  </si>
  <si>
    <t>1697,20000,1,2,1,35,1,2,2,0,0,0,19755,19661,20018,20427,19377,19386,1000,1000,1000,1500,900,1000,1</t>
  </si>
  <si>
    <t>1698,180000,2,3,1,45,-1,-1,-1,-1,-1,-1,396,396,396,396,396,396,396,396,396,396,396,396,0</t>
  </si>
  <si>
    <t>1699,80000,1,1,2,25,-1,-1,-1,-1,-1,2,2109,1257,466,628,2395,930,1257,466,628,2395,0,601,0</t>
  </si>
  <si>
    <t>1700,300000,1,1,2,31,-1,-1,-1,-1,0,-1,2166,2894,8903,12445,24650,8339,2918,8974,12457,15113,8369,3832,0</t>
  </si>
  <si>
    <t>1701,50000,2,3,1,51,0,0,0,0,0,-1,20454,21899,20895,11241,-861,38040,2100,2000,1000,0,39500,1500,0</t>
  </si>
  <si>
    <t>1702,70000,2,1,1,40,0,0,0,0,0,0,51959,40519,31310,28929,29535,28160,1597,1407,972,1007,1028,913,0</t>
  </si>
  <si>
    <t>1703,150000,2,1,2,30,0,0,2,0,0,2,44795,43700,19543,34648,24241,19339,10000,20,30000,19800,0,5000,1</t>
  </si>
  <si>
    <t>1704,320000,2,1,2,29,-1,-1,-1,-1,-1,0,179226,-200,200,0,10000,210000,0,400,0,10000,200000,0,0</t>
  </si>
  <si>
    <t>1705,60000,2,1,2,24,0,0,0,0,0,0,60381,39798,38344,37311,37428,38187,1639,1590,1500,1354,1377,1514,0</t>
  </si>
  <si>
    <t>1706,20000,1,3,2,32,0,0,2,2,2,0,3677,6002,5758,12619,12274,15049,2400,0,7000,0,3000,4000,1</t>
  </si>
  <si>
    <t>1707,230000,1,1,2,35,2,2,2,2,2,2,117277,119823,120988,121464,123740,120937,5800,4500,3800,5000,0,4500,0</t>
  </si>
  <si>
    <t>1708,310000,2,2,1,29,0,0,0,-1,0,0,74955,77730,78497,72529,76345,79072,4000,5000,72529,5000,4000,4000,0</t>
  </si>
  <si>
    <t>1709,230000,2,1,2,36,-1,-1,-1,0,0,0,1545,306,8389,7465,6549,576,306,8389,9,0,0,342,0</t>
  </si>
  <si>
    <t>1710,200000,2,1,1,40,-2,-2,-2,-2,-2,-2,2552,8064,32082,6914,1905,3244,8084,32105,7186,1905,3244,9768,0</t>
  </si>
  <si>
    <t>1711,100000,2,1,2,30,0,0,0,0,2,0,28383,32903,42283,51539,50583,52588,5000,10000,10000,0,2846,1936,1</t>
  </si>
  <si>
    <t>1712,310000,1,2,1,64,-1,-1,-1,0,-1,-1,1920,0,10124,10130,7958,0,0,10124,6,7958,0,0,0</t>
  </si>
  <si>
    <t>1713,180000,1,3,1,33,2,2,0,0,0,2,159999,156038,159924,162775,174719,178651,0,8000,7000,15000,7000,0,1</t>
  </si>
  <si>
    <t>1714,390000,2,1,1,38,0,0,0,0,0,0,164418,167501,134282,128701,131529,135242,9000,7027,5000,5000,6000,5000,0</t>
  </si>
  <si>
    <t>1715,20000,2,1,2,26,1,-2,-1,-1,-1,-1,0,0,450,-150,750,568,0,450,0,900,568,1769,0</t>
  </si>
  <si>
    <t>1716,50000,2,2,1,26,0,0,0,0,0,0,45663,43522,43193,18768,19182,19447,2300,2349,800,835,726,361,0</t>
  </si>
  <si>
    <t>1717,140000,1,1,2,29,0,0,0,0,0,0,142087,255846,140057,100177,100873,98363,5528,4500,3500,4000,4000,4000,0</t>
  </si>
  <si>
    <t>1718,170000,1,1,2,37,-1,-1,-1,-1,-1,-1,4334,1343,1078,1392,1606,9955,1343,1078,1392,1606,9955,4382,1</t>
  </si>
  <si>
    <t>1719,250000,2,2,1,45,-2,-2,-2,-2,-2,-2,100323,37494,41300,0,0,0,2500,5300,0,0,0,0,0</t>
  </si>
  <si>
    <t>1720,50000,2,3,1,40,2,2,0,0,0,0,49157,47990,38426,7816,7859,7979,0,2050,500,500,400,400,1</t>
  </si>
  <si>
    <t>1721,250000,2,1,2,36,0,0,0,0,0,0,130360,133799,137119,141367,133174,136481,5000,5000,5847,5000,5000,5018,0</t>
  </si>
  <si>
    <t>1722,90000,1,1,2,27,0,0,0,2,2,2,56608,57897,63686,65233,66637,67882,2800,7400,3200,2600,2500,2500,0</t>
  </si>
  <si>
    <t>1723,90000,1,2,1,44,2,0,0,0,0,0,89875,92338,87511,47796,48306,49054,4000,4200,1700,1800,2083,1827,1</t>
  </si>
  <si>
    <t>1724,160000,2,1,2,27,0,0,-2,-1,-1,-1,13234,0,6000,15866,4168,2067,0,6000,15866,4168,2067,11826,0</t>
  </si>
  <si>
    <t>1725,360000,1,2,2,29,0,0,0,0,0,0,114527,119487,113438,112940,122122,121547,20046,5046,10000,10048,10043,5014,0</t>
  </si>
  <si>
    <t>1726,330000,2,1,2,26,0,0,0,0,0,0,58667,38323,32726,43579,28908,20777,2213,5000,20000,1000,672,1200,0</t>
  </si>
  <si>
    <t>1727,50000,2,3,1,54,1,2,0,0,0,0,64069,59153,56275,53936,51740,49043,0,2031,1918,1993,1614,1789,0</t>
  </si>
  <si>
    <t>1728,60000,2,2,1,42,2,2,0,0,0,0,57598,50821,19638,18919,16853,29682,0,2000,2000,1000,20000,10000,1</t>
  </si>
  <si>
    <t>1729,10000,2,3,2,42,0,0,-1,-1,-1,-1,4908,5665,381,390,0,780,1275,381,399,0,780,0,0</t>
  </si>
  <si>
    <t>1730,70000,1,2,1,41,1,2,2,2,0,0,34779,35921,36536,35651,36427,37169,2000,1500,0,1500,1500,3000,0</t>
  </si>
  <si>
    <t>1731,150000,2,1,1,31,-2,-2,-2,-2,-2,-2,2977,1408,0,0,0,0,1408,0,0,0,0,4400,1</t>
  </si>
  <si>
    <t>1732,250000,2,2,2,33,0,0,0,0,0,0,255223,47070,48130,49625,51500,0,1600,1650,2100,3000,0,94825,1</t>
  </si>
  <si>
    <t>1733,130000,2,3,1,33,0,0,0,0,0,0,122199,125283,120957,41771,42648,43495,5100,3085,1493,1548,1556,1700,0</t>
  </si>
  <si>
    <t>1734,130000,1,1,2,27,0,0,0,0,0,0,84664,72079,24934,17810,11705,10007,2039,2007,1000,1000,600,2000,0</t>
  </si>
  <si>
    <t>1735,100000,2,2,1,36,-2,-2,-2,-2,-2,-2,2205,0,1983,3543,0,0,0,1983,3543,0,0,2645,0</t>
  </si>
  <si>
    <t>1736,130000,1,2,2,37,0,0,0,-2,-2,-2,131446,102650,0,0,0,0,5000,0,0,0,0,0,0</t>
  </si>
  <si>
    <t>1737,80000,2,2,2,29,2,0,0,0,0,0,77416,75500,69313,67972,66800,68693,2661,2509,2500,3000,3000,3000,1</t>
  </si>
  <si>
    <t>1738,380000,1,1,2,41,0,0,2,0,0,0,350341,357703,344460,347754,334891,340728,28400,0,12800,12500,12500,12000,0</t>
  </si>
  <si>
    <t>1739,20000,2,2,2,23,0,0,0,0,0,0,17257,17417,14462,14750,15215,16209,1230,1239,527,702,1400,0,1</t>
  </si>
  <si>
    <t>1740,20000,1,2,2,25,0,0,3,2,2,-1,15789,21698,21054,20355,19980,3470,6500,0,0,10000,25065,177,0</t>
  </si>
  <si>
    <t>1741,140000,1,1,1,54,0,0,0,0,0,0,139406,140295,134000,74388,92555,86993,5545,4200,3105,86417,3936,48390,1</t>
  </si>
  <si>
    <t>1742,180000,1,1,2,33,-1,-1,-1,-1,-1,-1,2217,0,8264,0,3278,0,0,8264,0,3278,0,4646,0</t>
  </si>
  <si>
    <t>1743,230000,2,1,2,29,-2,-2,-2,-2,-2,-2,-5,-5,2969,3419,0,1841,0,2974,3425,0,1841,200,0</t>
  </si>
  <si>
    <t>1744,90000,1,1,2,32,-1,-1,-1,-1,-1,2,6546,1485,25558,1443,1677,1480,1498,25572,1443,257,0,58,0</t>
  </si>
  <si>
    <t>1745,160000,1,2,2,29,-1,-1,-1,-1,-1,-1,7002,6696,6062,4203,5780,12575,7229,6085,4230,5797,12589,6233,0</t>
  </si>
  <si>
    <t>1746,50000,2,1,2,22,0,0,0,0,0,0,49459,49281,50071,10104,9208,10075,2300,2000,1000,500,1000,500,0</t>
  </si>
  <si>
    <t>1747,140000,2,2,2,29,-2,-2,-2,-2,-2,-2,945,945,0,0,0,0,945,0,0,0,0,0,0</t>
  </si>
  <si>
    <t>1748,250000,2,2,1,31,0,0,0,0,0,0,42441,43061,29385,27677,86250,65710,4000,3000,901,63000,2700,2000,0</t>
  </si>
  <si>
    <t>1749,120000,2,2,2,24,-1,-1,-2,-1,-1,-1,100,0,0,618,9614,39133,0,0,618,9614,39133,1500,0</t>
  </si>
  <si>
    <t>1750,120000,2,1,2,27,0,0,0,0,0,0,79072,80795,82451,84177,85945,87813,3000,3000,3100,3122,3300,3060,0</t>
  </si>
  <si>
    <t>1751,260000,2,2,1,40,0,0,0,0,0,0,243196,258720,178102,77215,79331,81483,20008,7500,3000,3500,3605,3750,0</t>
  </si>
  <si>
    <t>1752,10000,1,2,2,38,2,2,3,3,3,3,1050,1050,1050,1050,1050,1050,0,0,0,0,0,0,1</t>
  </si>
  <si>
    <t>1753,60000,2,2,1,38,-2,-2,-2,-2,-2,-2,4764,30500,0,0,52829,41404,30500,0,0,52829,41404,22401,0</t>
  </si>
  <si>
    <t>1754,60000,2,2,1,29,0,0,0,0,0,0,33147,54511,56167,28609,27660,27059,24511,6000,17000,1984,1100,1600,0</t>
  </si>
  <si>
    <t>1755,50000,1,2,2,27,0,0,0,0,0,0,17771,18794,19062,19443,19849,20287,1311,1299,680,703,750,626,0</t>
  </si>
  <si>
    <t>1756,130000,1,3,1,34,0,0,0,0,0,0,5444,5927,7106,7106,8106,9106,1321,1500,0,1000,1000,598,0</t>
  </si>
  <si>
    <t>1757,130000,1,1,2,34,0,0,0,0,0,0,31179,30569,28659,26952,15852,0,2002,1400,600,1000,0,0,0</t>
  </si>
  <si>
    <t>1758,360000,2,1,2,32,-2,-2,-2,-2,-2,-2,0,0,0,0,0,0,0,0,0,0,0,0,0</t>
  </si>
  <si>
    <t>1759,80000,2,2,1,36,0,0,0,0,0,0,20366,21084,22411,23624,23964,25661,1352,1679,1892,870,2096,0,0</t>
  </si>
  <si>
    <t>1760,50000,1,2,2,26,1,-2,-2,-2,-2,-2,0,0,0,0,0,0,0,0,0,0,0,0,0</t>
  </si>
  <si>
    <t>1761,290000,2,1,1,33,1,2,-1,-1,-1,-1,7064,1875,1814,8537,25576,13475,0,1814,8537,25576,13475,6000,0</t>
  </si>
  <si>
    <t>1762,200000,1,1,1,53,0,0,-2,-2,-1,-1,195050,0,0,0,1000,0,0,0,0,1000,0,0,0</t>
  </si>
  <si>
    <t>1763,20000,1,2,2,27,0,0,0,0,0,-2,18290,20144,19106,19292,0,0,2458,1200,386,1000,0,0,0</t>
  </si>
  <si>
    <t>1764,500000,1,1,2,33,-1,-1,-1,-2,-1,-1,5379,2062,10515,4158,7958,-196,2065,10556,4170,7963,196,7083,0</t>
  </si>
  <si>
    <t>1765,130000,2,1,2,26,1,2,2,2,2,2,22415,21146,23647,22984,24315,23155,0,3500,0,2000,0,2000,0</t>
  </si>
  <si>
    <t>1766,30000,2,1,2,27,0,0,0,0,0,0,23447,24563,25650,26222,26800,27554,1500,1500,1000,1000,1200,4271,1</t>
  </si>
  <si>
    <t>1767,20000,2,1,2,24,2,2,2,0,0,0,7919,8637,9339,10029,10615,11285,1000,1000,1000,900,1000,500,1</t>
  </si>
  <si>
    <t>1768,70000,2,2,2,26,0,0,0,0,0,0,30139,8241,8398,8864,9301,10702,2000,2000,2000,2000,3000,1500,0</t>
  </si>
  <si>
    <t>1769,200000,1,1,2,27,-1,-1,-1,-1,-1,-1,4890,3630,4882,10955,10435,1665,3630,4882,11034,10435,1665,3765,0</t>
  </si>
  <si>
    <t>1770,50000,2,2,1,46,-1,-1,-1,-1,-1,-1,569,1436,3220,6592,5085,1050,1440,3224,6621,5396,1050,0,1</t>
  </si>
  <si>
    <t>1771,360000,1,2,1,56,-1,-1,-1,-1,-1,-1,750,1224,3206,291,951,2941,1236,3537,291,951,2941,291,0</t>
  </si>
  <si>
    <t>1772,50000,2,3,1,56,0,0,0,0,0,0,33197,34961,28913,29093,29306,29506,2407,2960,1029,1059,1073,1200,0</t>
  </si>
  <si>
    <t>1773,180000,2,3,1,26,0,0,0,-2,-2,-2,32023,20233,0,0,0,0,10000,0,0,0,0,0,0</t>
  </si>
  <si>
    <t>1774,50000,1,2,2,25,2,2,0,0,0,2,7180,6922,7849,8018,8884,8593,0,1200,300,1000,0,1000,1</t>
  </si>
  <si>
    <t>1775,120000,2,1,2,28,-2,-2,-2,-2,-2,-2,-8,2046,0,409,872,1539,2054,0,409,872,1539,580,0</t>
  </si>
  <si>
    <t>1776,80000,2,2,1,37,2,2,2,2,2,2,15234,16893,17834,17250,18470,18023,2200,1500,0,1500,0,1600,1</t>
  </si>
  <si>
    <t>1777,330000,2,1,1,47,1,-2,-2,-2,-2,-1,2246,13990,20992,681,0,5180,13990,21060,681,0,5180,3820,0</t>
  </si>
  <si>
    <t>1778,40000,1,3,1,43,0,0,0,0,0,0,41094,36554,37568,38314,39141,40231,1611,1625,1371,1444,1765,1283,1</t>
  </si>
  <si>
    <t>1779,50000,1,2,2,26,0,0,0,0,0,0,27570,28820,29400,5124,6874,7654,2000,1200,1000,2000,1000,1979,0</t>
  </si>
  <si>
    <t>1780,80000,1,3,1,48,0,0,0,0,0,0,71515,70287,61892,26779,25464,25993,3679,2305,924,1069,1100,1110,0</t>
  </si>
  <si>
    <t>1781,450000,1,1,1,41,-1,-1,-1,-2,-1,-1,697,500,0,0,461,-3,505,0,0,461,3,0,0</t>
  </si>
  <si>
    <t>1782,30000,2,3,1,48,0,0,0,0,0,0,27947,27035,27876,26640,25896,25481,2000,1800,1500,1500,1500,1500,0</t>
  </si>
  <si>
    <t>1783,160000,1,2,1,28,0,0,2,2,0,0,62312,66965,67648,66020,67386,68336,5856,2311,0,2377,2000,1881,0</t>
  </si>
  <si>
    <t>1784,80000,2,1,2,22,-1,-1,0,0,-2,-2,10439,11501,12113,-33,2748,90,11501,1000,33,2871,90,0,0</t>
  </si>
  <si>
    <t>1785,400000,1,2,1,34,0,0,0,0,0,2,52271,56788,60049,60876,65178,45933,6000,5000,1902,5000,0,5000,0</t>
  </si>
  <si>
    <t>1786,220000,1,2,1,60,-1,-1,-1,-1,-1,-1,1994,1598,6944,7161,1534,11248,1606,6978,7196,1541,11304,483,1</t>
  </si>
  <si>
    <t>1787,40000,2,2,1,25,0,0,2,2,2,2,21590,24326,23642,25936,25384,26905,3400,0,3000,0,2100,0,1</t>
  </si>
  <si>
    <t>1788,280000,2,2,2,27,-1,0,0,0,2,0,82742,153791,85601,108984,105275,117635,10077,27785,30000,23,20000,3406,0</t>
  </si>
  <si>
    <t>1789,50000,2,1,2,25,0,0,0,-2,-2,-2,50380,38712,0,0,0,0,4000,0,0,0,0,0,0</t>
  </si>
  <si>
    <t>1790,110000,1,2,2,26,0,0,0,0,0,0,106417,103587,56676,47332,45171,47092,9026,6000,2000,2000,3000,4006,0</t>
  </si>
  <si>
    <t>1791,180000,2,1,1,44,1,-1,-1,-1,-1,-1,2788,5646,13647,30848,15520,558,5646,13901,30848,15520,558,26733,0</t>
  </si>
  <si>
    <t>1792,200000,2,1,2,26,0,0,0,0,0,0,18630,15996,16304,14973,20542,15810,1502,1200,300,7000,8000,4000,0</t>
  </si>
  <si>
    <t>1793,390000,2,1,2,33,0,0,0,0,0,0,85538,79875,82853,82747,44143,38488,3500,4502,3518,2003,3001,3000,0</t>
  </si>
  <si>
    <t>1794,400000,2,1,2,29,-1,0,0,0,0,0,5154,6016,7056,7310,9943,12849,1060,1100,310,3000,3000,6100,0</t>
  </si>
  <si>
    <t>1795,120000,2,3,2,37,-1,-1,-1,-1,-1,-1,776,1616,776,776,776,776,1616,776,776,776,776,776,1</t>
  </si>
  <si>
    <t>1796,200000,1,1,2,34,1,-2,-2,-2,-2,-2,-800,-2685,-6144,-7905,-10213,-11060,0,0,0,0,0,0,0</t>
  </si>
  <si>
    <t>1797,280000,1,2,1,33,0,0,0,0,0,0,207982,196055,182099,185925,188224,186529,8644,6445,15934,7016,6753,6008,0</t>
  </si>
  <si>
    <t>1798,230000,2,1,2,27,0,0,0,0,0,0,105217,107857,110177,60137,62035,64034,4326,4533,2337,3035,3034,3101,0</t>
  </si>
  <si>
    <t>1799,280000,2,1,1,36,-1,-1,-1,-1,-1,-1,21251,33746,8689,41652,9031,14106,33840,8689,41652,9031,14106,6680,0</t>
  </si>
  <si>
    <t>1800,130000,1,3,2,28,0,0,0,0,0,0,132258,133781,133834,132336,132614,132208,6900,7000,7000,6000,5500,6000,0</t>
  </si>
  <si>
    <t>1801,160000,2,2,1,35,-1,-1,-1,-1,-1,-1,776,1172,380,776,1172,380,1172,380,776,1172,380,776,1</t>
  </si>
  <si>
    <t>1802,120000,1,3,1,47,-1,-1,-1,-1,-1,-1,1051,671,291,1051,291,671,671,291,1051,291,671,1051,0</t>
  </si>
  <si>
    <t>1803,300000,2,3,1,31,-1,-1,-1,-1,-1,-1,331,331,331,331,-1,199,332,332,332,0,200,0,0</t>
  </si>
  <si>
    <t>1804,20000,2,1,2,31,-2,-2,-2,-2,-2,-2,264,264,2227,1357,1357,4500,264,2227,1357,1357,4500,1357,0</t>
  </si>
  <si>
    <t>1805,450000,1,1,2,31,-1,-1,-1,-1,-1,-1,10350,3629,3271,6271,2135,2546,3629,3271,6271,2135,2546,4877,1</t>
  </si>
  <si>
    <t>1806,250000,1,2,1,30,-2,-2,-2,-2,-2,-2,2419,28965,44179,37145,46733,46963,29062,44385,40682,46873,47104,52448,0</t>
  </si>
  <si>
    <t>1807,100000,2,2,1,58,0,0,0,0,0,0,101249,101476,94893,101301,101451,99319,3642,4230,10000,3582,5000,4133,0</t>
  </si>
  <si>
    <t>1808,150000,2,2,2,27,0,0,0,0,0,0,23165,24515,25592,24949,26846,26908,1723,1800,1100,2300,1000,1300,0</t>
  </si>
  <si>
    <t>1809,140000,1,2,2,35,0,0,0,0,0,0,101038,66734,64018,64656,65341,66277,4215,3221,2066,1864,1895,1883,0</t>
  </si>
  <si>
    <t>1810,500000,2,1,2,46,-2,-1,-1,-1,-1,-1,33332,163500,60560,104734,41018,6258,163500,70160,104734,41018,6258,70356,0</t>
  </si>
  <si>
    <t>1811,20000,1,2,2,36,-1,-1,-1,0,0,0,3152,0,4956,10148,6979,8353,0,4956,200,2000,1500,500,0</t>
  </si>
  <si>
    <t>1812,50000,1,2,2,53,0,0,0,0,0,0,18922,19486,19917,20017,20146,20221,1329,1310,680,705,728,690,0</t>
  </si>
  <si>
    <t>1813,100000,1,2,2,39,0,0,0,0,0,0,121895,107315,115214,83649,59993,62813,4500,10000,11000,3000,4000,3000,1</t>
  </si>
  <si>
    <t>1814,200000,2,2,2,27,2,2,0,0,0,0,186806,166153,157633,145423,146202,144685,0,6908,5200,5400,5700,9101,0</t>
  </si>
  <si>
    <t>1815,150000,2,2,2,37,0,0,0,0,0,0,86037,84679,82490,78890,75240,75639,5000,5000,4000,3500,3000,4000,0</t>
  </si>
  <si>
    <t>1816,80000,1,1,2,23,0,0,0,-1,2,2,60130,59744,44031,48089,44789,30423,2550,1848,6084,38,4,70,0</t>
  </si>
  <si>
    <t>1817,160000,1,1,1,40,1,-1,-1,-1,-1,-1,0,567,4027,3100,2123,4899,567,4059,3100,2123,4899,3165,0</t>
  </si>
  <si>
    <t>1818,180000,2,2,1,44,-1,-1,-1,-1,-1,-1,816,803,2599,0,2311,2194,803,2800,0,2311,2542,236,0</t>
  </si>
  <si>
    <t>1819,270000,2,1,1,32,-1,-1,-1,0,0,-1,23351,30960,180473,58839,21334,19080,30972,180519,1177,0,19080,133504,0</t>
  </si>
  <si>
    <t>1820,180000,2,1,2,41,0,0,-1,0,-1,-1,37353,24797,5549,22349,2974,0,1012,5549,17000,3322,0,2633,0</t>
  </si>
  <si>
    <t>1821,120000,1,1,1,54,-1,-1,-1,-1,0,-1,390,390,390,1878,390,930,390,390,1878,0,930,0,1</t>
  </si>
  <si>
    <t>1822,110000,2,1,2,29,0,0,0,0,0,0,48088,45980,44231,32489,26354,20221,2000,2010,3000,3000,3000,1000,0</t>
  </si>
  <si>
    <t>1823,50000,2,3,1,61,0,0,-2,-2,-1,0,42200,0,0,0,15883,16617,0,0,0,15883,1000,792,0</t>
  </si>
  <si>
    <t>1824,200000,2,3,2,30,0,0,0,0,0,0,185723,166726,160181,161469,104232,151726,8009,6402,6715,4625,50086,5458,0</t>
  </si>
  <si>
    <t>1825,70000,2,3,1,23,2,-1,-1,-1,-1,-1,254,2746,1885,2216,1348,29873,6840,1885,2216,1348,29873,1000,0</t>
  </si>
  <si>
    <t>1826,360000,2,2,2,30,0,0,-2,-1,0,0,23900,0,0,150,205150,0,0,0,150,205000,0,0,0</t>
  </si>
  <si>
    <t>1827,260000,2,2,1,35,0,0,0,0,0,0,425349,435873,445129,452162,258010,221780,14347,15000,12406,9279,6078,0,1</t>
  </si>
  <si>
    <t>1828,50000,1,3,1,32,0,0,0,0,0,0,40992,35215,29156,18891,19443,19478,2026,2021,1000,1001,1000,707,0</t>
  </si>
  <si>
    <t>1829,380000,2,2,1,39,-1,-1,0,0,0,0,19261,81961,61189,38875,17876,13313,81975,1480,3000,1000,3000,10024,0</t>
  </si>
  <si>
    <t>1830,50000,1,2,2,24,-1,-1,-2,-2,-2,-2,402,-2760,-3650,-3650,-3650,-3650,0,0,0,0,0,0,0</t>
  </si>
  <si>
    <t>1831,20000,1,3,1,38,0,0,-1,-1,-1,-1,19805,19900,390,390,0,780,1000,390,390,0,780,0,1</t>
  </si>
  <si>
    <t>1832,270000,1,6,2,32,-2,-2,-2,-2,-2,-2,24089,51408,27067,40359,51264,34874,52398,27787,40569,53500,35051,120391,0</t>
  </si>
  <si>
    <t>1833,460000,1,1,2,32,0,0,0,0,0,0,386437,393742,392625,368365,377858,362132,15000,15000,15000,15000,15000,20000,0</t>
  </si>
  <si>
    <t>1834,60000,1,3,2,24,0,0,0,0,2,0,58819,59810,56566,30627,30203,28648,3000,1768,3954,1000,1500,1200,0</t>
  </si>
  <si>
    <t>1835,200000,2,1,1,35,-1,-1,-1,-1,-1,-1,25663,14224,17560,3300,1920,2731,14224,17560,3300,1920,2731,0,0</t>
  </si>
  <si>
    <t>1836,50000,2,2,2,37,1,2,2,2,2,2,14008,13493,17259,16684,18017,17581,0,4000,0,1600,0,3000,1</t>
  </si>
  <si>
    <t>1837,20000,2,1,2,22,0,0,0,0,0,0,19760,18570,17604,11973,9517,6799,1376,1383,1000,455,1500,2200,0</t>
  </si>
  <si>
    <t>1838,290000,2,2,1,40,0,0,0,0,0,0,274558,256910,229566,148812,53157,47998,10700,11014,5800,1820,2000,2000,1</t>
  </si>
  <si>
    <t>1839,110000,2,2,2,36,0,0,0,0,0,0,116486,105604,96945,74171,70012,62256,4353,3294,5000,8300,5000,5000,0</t>
  </si>
  <si>
    <t>1840,160000,2,3,1,51,2,2,2,2,2,2,142064,144900,146534,147955,145488,155041,6600,5500,5310,0,12000,0,1</t>
  </si>
  <si>
    <t>1841,70000,2,2,1,31,0,0,0,0,0,0,60058,49647,43968,41127,39137,28712,1834,1608,1559,1630,1300,1000,0</t>
  </si>
  <si>
    <t>1842,200000,2,1,2,39,-2,-2,-2,-2,-1,-1,0,0,0,0,2330,0,0,0,0,2330,0,0,1</t>
  </si>
  <si>
    <t>1843,80000,2,2,2,40,0,0,0,0,0,0,78717,75873,68602,54617,55987,53895,3300,3300,2000,2200,2100,1900,0</t>
  </si>
  <si>
    <t>1844,20000,1,1,2,41,-2,-2,0,0,0,0,18803,18376,19342,19081,19799,18718,36147,1281,658,1000,1000,760,1</t>
  </si>
  <si>
    <t>1845,210000,1,1,2,48,-2,-2,-2,-2,-2,-2,0,570,0,0,0,0,570,0,0,0,0,0,0</t>
  </si>
  <si>
    <t>1846,180000,2,3,1,39,2,0,0,-2,-2,-2,172488,72050,0,0,0,0,3450,0,0,0,0,0,1</t>
  </si>
  <si>
    <t>1847,50000,1,2,3,53,0,0,0,0,0,0,34664,17242,18417,18877,18985,18184,1500,1500,1000,800,2000,1000,0</t>
  </si>
  <si>
    <t>1848,30000,1,2,2,26,1,3,2,2,0,0,31305,30527,30789,29504,30276,29695,0,1060,0,1251,1078,1243,1</t>
  </si>
  <si>
    <t>1849,150000,1,1,2,30,-1,-1,-1,-1,-1,-1,6708,1098,1908,1589,9918,-16586,1098,2000,1589,9918,1157,0,0</t>
  </si>
  <si>
    <t>1850,150000,1,1,2,28,-1,2,2,-2,-2,-2,1111,820,-311,-602,-893,-1184,0,0,0,0,0,0,1</t>
  </si>
  <si>
    <t>1851,260000,1,1,1,43,1,-1,-1,-1,-1,-2,0,2000,1620,8010,0,0,2000,1620,8080,0,0,0,0</t>
  </si>
  <si>
    <t>1852,310000,2,1,2,30,0,0,0,0,0,0,304329,292848,279138,252703,248895,244026,14027,16800,11600,11000,10000,30000,0</t>
  </si>
  <si>
    <t>1853,150000,2,1,2,33,0,0,0,0,0,0,96066,98277,88202,48179,49426,50534,4400,4000,2000,2000,1900,1700,0</t>
  </si>
  <si>
    <t>1854,200000,2,1,2,27,-1,-1,-1,-1,-1,-1,16093,11163,11657,9423,9726,11070,11197,11657,9423,9726,11070,7976,0</t>
  </si>
  <si>
    <t>1855,150000,1,3,2,45,0,0,0,0,0,0,99247,101194,81194,70590,72040,73423,4268,2725,2505,3000,3000,3000,0</t>
  </si>
  <si>
    <t>1856,220000,2,2,1,54,-1,-1,-1,-1,-2,-2,8727,2553,147,0,0,0,3011,147,0,0,0,0,0</t>
  </si>
  <si>
    <t>1857,540000,2,1,2,34,-1,-1,-1,-1,-1,-1,1784,892,946,946,946,946,892,1000,946,946,946,946,0</t>
  </si>
  <si>
    <t>1858,280000,1,2,2,30,0,0,0,0,0,0,204773,188704,185257,188344,179764,167051,8038,6000,5083,5000,5036,5000,0</t>
  </si>
  <si>
    <t>1859,230000,1,2,2,32,0,0,0,0,0,0,49619,43435,41719,38072,33802,30435,2072,1689,1046,1025,928,277,0</t>
  </si>
  <si>
    <t>1860,50000,1,1,1,39,0,0,2,3,2,2,33849,36798,37890,37131,38381,39585,3817,2000,150,2000,2000,1600,0</t>
  </si>
  <si>
    <t>1861,20000,2,2,2,24,1,-2,-2,-2,-1,-1,0,0,0,0,222,6345,0,0,0,222,6345,2000,0</t>
  </si>
  <si>
    <t>1862,10000,1,2,2,35,1,6,5,4,3,2,8257,8001,7741,7481,7075,6815,0,0,0,0,0,700,1</t>
  </si>
  <si>
    <t>1863,500000,1,1,1,46,0,0,0,0,0,0,407331,403816,386053,389008,392650,391336,15043,14000,14003,14011,15003,14009,0</t>
  </si>
  <si>
    <t>1864,50000,2,2,2,24,0,0,0,0,0,0,49819,50135,32101,17401,19820,17399,1672,1246,574,3000,649,285,0</t>
  </si>
  <si>
    <t>1865,420000,2,2,2,35,-1,-1,-1,-1,-1,-1,7572,18847,16615,14156,9058,3281,18920,16615,14156,9058,3281,5971,0</t>
  </si>
  <si>
    <t>1866,50000,2,2,2,23,0,0,-1,2,0,0,21998,15299,32514,26479,27396,27789,2063,33730,0,1500,1000,1019,0</t>
  </si>
  <si>
    <t>1867,280000,2,1,2,29,-2,-2,-2,-2,-2,-2,0,0,320,2139,0,0,0,320,2139,0,0,0,0</t>
  </si>
  <si>
    <t>1868,50000,1,2,1,46,0,0,0,-1,0,0,3656,4400,0,1704,3715,-105,1000,0,1704,2011,0,1649,0</t>
  </si>
  <si>
    <t>1869,160000,2,3,1,41,2,2,2,0,0,2,46017,47188,46134,47063,50034,51063,2200,0,2000,3900,2000,0,1</t>
  </si>
  <si>
    <t>1870,40000,2,2,1,23,2,2,2,2,2,2,33895,33068,35704,36173,36796,37288,0,3200,1500,1500,1400,1500,1</t>
  </si>
  <si>
    <t>1871,100000,2,2,1,31,0,0,-1,-1,0,-1,92265,93873,1473,2946,1473,540,5000,1473,2946,0,540,780,0</t>
  </si>
  <si>
    <t>1872,50000,2,1,2,26,0,0,0,0,0,0,41003,42032,42699,43617,44509,45420,1733,1400,1300,1271,1300,4500,0</t>
  </si>
  <si>
    <t>1873,130000,2,3,2,32,0,0,0,0,0,2,119312,116259,103438,49319,91191,82168,20021,40354,20000,43608,103,10000,0</t>
  </si>
  <si>
    <t>1874,30000,2,2,2,22,0,0,0,0,0,0,27358,28612,29183,28983,13100,0,2000,1500,0,500,0,0,0</t>
  </si>
  <si>
    <t>1875,140000,1,2,1,34,-1,-1,-1,-1,-1,-1,430,430,702,430,430,430,430,702,430,430,430,860,1</t>
  </si>
  <si>
    <t>1876,210000,2,2,1,32,-1,0,0,0,2,0,164015,155235,151267,149478,145041,107495,9320,4894,3301,3,4994,116880,0</t>
  </si>
  <si>
    <t>1877,50000,1,2,1,38,0,0,0,0,0,0,48797,47153,43238,17253,16307,16651,1864,1811,594,587,1000,1000,0</t>
  </si>
  <si>
    <t>1878,310000,1,2,1,29,0,0,0,0,0,0,31132,45718,62992,62473,69837,69898,20000,20000,2500,11056,3000,4377,0</t>
  </si>
  <si>
    <t>1879,300000,2,1,1,31,-2,-2,-1,0,0,0,0,1110,12192,7639,1722,4064,1110,12192,300,191,4064,390,0</t>
  </si>
  <si>
    <t>1880,30000,2,2,2,47,2,2,2,2,2,2,16039,17080,17302,17521,17893,18252,1600,800,800,800,800,0,1</t>
  </si>
  <si>
    <t>1881,90000,2,3,1,40,0,0,0,0,0,0,89928,81721,76947,46589,47730,49488,3416,4142,1700,1888,2710,1500,0</t>
  </si>
  <si>
    <t>1882,150000,2,2,1,34,2,2,2,0,0,0,39465,42829,41845,42844,43999,45110,4000,0,2000,2000,2000,2000,1</t>
  </si>
  <si>
    <t>1883,90000,1,1,2,25,0,0,0,0,0,0,32755,31325,28034,29753,30601,33083,2000,3000,2000,3000,3000,1000,0</t>
  </si>
  <si>
    <t>1884,80000,2,3,2,65,0,0,0,0,0,0,84985,84247,81619,30095,20639,7849,4000,2048,1300,1700,401,180,0</t>
  </si>
  <si>
    <t>1885,100000,2,1,2,28,-1,-1,-1,-1,-1,-1,555,712,712,712,862,712,712,712,712,862,712,1840,1</t>
  </si>
  <si>
    <t>1886,10000,1,2,2,33,-2,-2,-2,-2,-2,-2,0,0,0,0,0,0,0,0,0,0,0,0,0</t>
  </si>
  <si>
    <t>1887,210000,1,1,2,31,0,0,0,0,0,0,161159,165071,173443,179686,197458,138218,8000,13000,10000,20000,7000,7000,0</t>
  </si>
  <si>
    <t>1888,170000,2,2,1,41,0,-1,-1,-1,-1,0,21170,9698,7360,6380,11937,6378,9734,7373,6380,11937,1000,6881,0</t>
  </si>
  <si>
    <t>1889,90000,2,2,1,32,1,2,2,2,2,2,85997,83779,88577,86365,91105,89347,0,7200,0,6200,24,3300,0</t>
  </si>
  <si>
    <t>1890,210000,2,3,2,36,1,-1,-1,-2,-1,-1,0,4866,0,0,5916,0,4866,0,0,5916,0,0,1</t>
  </si>
  <si>
    <t>1891,50000,2,1,2,26,0,0,0,0,0,0,36806,38212,39141,35524,30842,17043,2000,2000,8156,30000,1644,1209,0</t>
  </si>
  <si>
    <t>1892,150000,1,1,1,30,1,-1,2,-1,-1,-1,-819,35457,819,2145,17000,23698,36276,0,2145,17000,23698,411,0</t>
  </si>
  <si>
    <t>1893,80000,2,1,2,30,1,-1,-1,-1,-2,-2,0,1313,880,0,0,0,1313,883,0,0,0,0,0</t>
  </si>
  <si>
    <t>1894,130000,2,1,1,38,0,0,0,-2,-2,-2,64942,66775,0,0,0,0,4000,0,0,0,0,0,1</t>
  </si>
  <si>
    <t>1895,100000,1,2,2,30,1,3,7,6,7,8,72652,90461,89011,96593,105083,103522,20000,0,10000,10000,0,0,1</t>
  </si>
  <si>
    <t>1896,160000,1,1,1,41,0,0,0,-2,-1,0,53935,57997,-3,-3,2987,1993,5000,0,0,2990,6,2409,0</t>
  </si>
  <si>
    <t>1897,250000,1,2,2,31,0,0,0,0,0,0,14451,15774,16780,16807,17158,17500,1504,1510,537,556,559,658,0</t>
  </si>
  <si>
    <t>1898,500000,2,2,1,42,0,0,0,0,0,-1,60246,74832,126778,82611,71338,29756,40000,85000,139,20000,29761,70000,0</t>
  </si>
  <si>
    <t>1899,260000,1,2,2,32,0,0,0,0,0,0,106093,95060,90948,84986,84491,72248,4410,6500,9500,10000,9000,8000,0</t>
  </si>
  <si>
    <t>1900,50000,2,2,1,44,-2,-2,-2,-2,-2,-2,1473,390,390,390,390,0,390,390,390,390,0,780,0</t>
  </si>
  <si>
    <t>1901,30000,2,2,2,22,0,0,0,0,0,0,27388,29016,26941,27491,6726,0,2075,1000,550,135,0,0,0</t>
  </si>
  <si>
    <t>1902,110000,2,2,2,42,1,2,0,0,0,0,57046,51005,48572,49299,47126,48215,0,2100,2500,2000,2250,1200,0</t>
  </si>
  <si>
    <t>1903,500000,1,1,1,39,-1,-1,-1,-1,-1,-1,6057,9418,7667,6222,9435,7235,9418,7667,6222,9435,7235,8840,0</t>
  </si>
  <si>
    <t>1904,310000,2,1,2,32,0,0,0,0,0,0,35064,38195,39233,39577,42996,46319,4000,2000,2000,4000,4000,4000,0</t>
  </si>
  <si>
    <t>1905,580000,1,2,1,37,0,0,0,0,-1,-1,110417,89301,82057,27666,20226,276422,3757,2299,618,2636,326889,8689,0</t>
  </si>
  <si>
    <t>1906,340000,2,1,1,36,0,0,0,0,0,0,185268,326074,276519,251815,218706,165666,160444,10143,7190,6283,5208,4177,0</t>
  </si>
  <si>
    <t>1907,360000,2,2,1,42,-1,-1,-1,-1,-1,-1,22237,5683,1632,1632,22379,8901,6695,1632,1632,22379,8901,4852,0</t>
  </si>
  <si>
    <t>1908,290000,2,1,2,29,-1,-1,-1,-1,-1,-1,578,7124,7620,0,4788,0,7129,7620,0,4788,0,7026,0</t>
  </si>
  <si>
    <t>1909,30000,1,2,2,36,3,2,2,2,3,2,20424,19809,22478,24111,23447,24951,0,3000,2300,0,2500,0,0</t>
  </si>
  <si>
    <t>1910,80000,2,1,2,29,0,0,0,0,0,0,26524,23224,23141,22160,21478,20441,1500,1700,1000,1000,1000,1500,0</t>
  </si>
  <si>
    <t>1911,360000,1,1,1,38,-1,-1,-1,-1,-1,-1,780,0,390,390,390,390,0,390,390,390,390,390,1</t>
  </si>
  <si>
    <t>1912,170000,2,1,2,31,-1,-1,-1,-1,-1,-1,1561,1239,7315,10730,1686,9445,1239,7352,10730,1686,9445,3444,0</t>
  </si>
  <si>
    <t>1913,100000,1,2,1,42,0,0,0,0,2,0,56256,57685,58156,61103,59358,60060,3000,2688,5163,0,2358,2472,0</t>
  </si>
  <si>
    <t>1914,450000,1,2,2,37,0,0,-1,-1,0,0,457627,38692,4549,16885,6440,7440,1000,4549,16885,129,1000,0,0</t>
  </si>
  <si>
    <t>1915,260000,2,1,2,33,-2,-1,-1,-1,0,0,0,204,-810,2190,810,0,204,0,3000,0,0,0,0</t>
  </si>
  <si>
    <t>1916,240000,2,1,2,29,0,0,0,-1,-1,-1,25700,28677,22081,3428,67,1832,5009,2000,5000,0,3332,0,0</t>
  </si>
  <si>
    <t>1917,110000,2,2,2,28,0,0,0,-2,-2,-2,5660,1150,0,0,0,0,2000,0,0,0,0,0,0</t>
  </si>
  <si>
    <t>1918,240000,2,2,2,26,0,0,0,0,0,0,184501,177846,167934,169133,175175,146093,7627,6003,5504,10158,6000,6012,0</t>
  </si>
  <si>
    <t>1919,220000,2,2,2,35,0,0,0,0,0,0,34819,30937,30348,23459,23200,21281,2006,2022,1002,1007,1000,1008,0</t>
  </si>
  <si>
    <t>1920,20000,1,2,1,33,0,0,0,-2,-2,-2,2508,3448,-202,-202,950,0,1000,202,0,1152,0,1000,0</t>
  </si>
  <si>
    <t>1921,100000,2,1,1,51,1,-2,-2,-1,2,2,0,0,0,300,150,780,0,0,300,0,630,0,1</t>
  </si>
  <si>
    <t>1922,300000,1,1,2,32,-2,-2,-2,-2,-2,-2,264,264,264,264,414,264,264,264,264,414,264,264,0</t>
  </si>
  <si>
    <t>1923,20000,1,2,2,33,0,0,0,0,0,-1,8488,10179,11901,11901,9336,9054,2000,2000,0,0,9054,2000,1</t>
  </si>
  <si>
    <t>1924,360000,2,1,2,30,0,0,0,0,0,0,139762,143515,147037,146117,145884,147645,6000,6000,4818,5000,5000,4500,0</t>
  </si>
  <si>
    <t>1925,220000,1,1,2,28,0,0,0,0,0,0,221268,219545,216317,181012,181435,183283,8700,8500,6300,6700,7200,5300,1</t>
  </si>
  <si>
    <t>1926,470000,2,2,2,26,0,0,0,0,0,0,169699,170309,167876,170610,173643,178083,6200,7000,5716,5982,7000,5500,0</t>
  </si>
  <si>
    <t>1927,70000,2,2,2,22,0,0,0,0,0,0,65793,26665,22630,14573,15127,12596,2000,1400,291,1500,5000,2000,0</t>
  </si>
  <si>
    <t>1928,120000,2,1,2,26,0,0,0,0,0,0,10172,12400,14256,16859,17477,21588,3000,3000,4000,4000,5000,5000,0</t>
  </si>
  <si>
    <t>1929,50000,1,2,2,35,0,0,0,0,0,0,18510,19418,21097,21759,22421,23061,1500,2000,1000,1000,1000,1203,0</t>
  </si>
  <si>
    <t>1930,470000,1,2,1,49,0,0,0,0,0,0,169260,161760,154424,147137,138240,125866,6600,6170,5100,4726,4555,4375,0</t>
  </si>
  <si>
    <t>1931,130000,1,2,1,49,0,0,0,0,-1,-1,24008,21231,14323,7722,4689,-3614,3000,5000,2822,5000,0,6500,0</t>
  </si>
  <si>
    <t>1932,20000,2,1,2,24,-1,-1,-1,2,2,2,390,707,1320,930,780,240,1097,1003,0,240,0,780,1</t>
  </si>
  <si>
    <t>1933,260000,2,1,2,36,-2,-2,-2,-2,-1,-1,1891,2438,2280,746,1989,1668,2637,2280,746,1989,1668,2605,0</t>
  </si>
  <si>
    <t>1934,20000,1,1,1,39,-1,-1,-1,-1,-1,-1,628,662,596,630,664,598,700,600,700,700,600,1400,0</t>
  </si>
  <si>
    <t>1935,300000,2,1,2,28,2,-1,-1,0,0,-2,1314,168,1080,1080,0,0,170,1080,0,0,0,2500,1</t>
  </si>
  <si>
    <t>1936,460000,2,2,2,35,0,0,0,0,0,0,449790,450047,453770,396600,392879,398478,17610,17500,13810,14100,14520,15000,0</t>
  </si>
  <si>
    <t>1937,20000,2,1,2,24,1,-1,-1,-1,2,2,0,20087,2110,300,150,650,20087,2200,600,0,500,0,1</t>
  </si>
  <si>
    <t>1938,360000,2,2,2,27,0,0,0,0,0,0,238971,245515,248969,253896,259403,264352,10381,9036,9066,9576,9426,9435,1</t>
  </si>
  <si>
    <t>1939,290000,1,1,1,40,0,0,0,0,0,0,98441,95169,93718,89712,82809,76334,4000,4250,5000,3241,3500,7000,0</t>
  </si>
  <si>
    <t>1940,90000,1,1,1,30,0,0,0,0,0,0,38921,45577,46496,40244,39903,8629,12000,5000,3000,10000,1000,1838,0</t>
  </si>
  <si>
    <t>1941,180000,2,1,2,26,-1,-1,-1,-1,-1,-1,2049,0,351,631,13359,384,0,351,631,13359,384,487,0</t>
  </si>
  <si>
    <t>1942,360000,1,3,1,53,-2,-2,-2,-2,-2,-2,0,0,0,0,0,0,0,0,0,0,0,0,0</t>
  </si>
  <si>
    <t>1943,120000,1,1,1,45,0,0,0,0,0,0,20877,21909,22922,23376,23866,24339,1369,1382,836,866,870,902,0</t>
  </si>
  <si>
    <t>1944,220000,1,2,2,30,0,0,0,0,0,0,217800,189016,137788,106713,96588,22743,7261,5170,4054,4500,1225,110000,0</t>
  </si>
  <si>
    <t>1945,220000,1,1,2,34,2,2,0,0,0,2,203101,185384,149839,142404,120918,87005,311,38024,8105,10117,37,5264,1</t>
  </si>
  <si>
    <t>1946,10000,2,1,2,27,-1,-1,-2,-2,-2,-2,499,0,0,0,0,0,0,0,0,0,0,0,1</t>
  </si>
  <si>
    <t>1947,320000,2,2,2,31,0,0,0,0,0,0,104850,101705,93489,95033,96941,108463,3600,4277,4000,3600,13203,4500,0</t>
  </si>
  <si>
    <t>1948,320000,1,1,1,33,0,0,0,0,0,0,325445,202853,57051,161651,182265,0,10000,15000,105000,55000,0,0,0</t>
  </si>
  <si>
    <t>1949,90000,1,2,2,39,0,0,0,0,-1,0,50477,22472,20148,4708,5000,5028,3000,5000,500,5000,500,500,0</t>
  </si>
  <si>
    <t>1950,180000,1,1,1,50,0,0,0,0,0,0,66114,69436,72560,76169,77988,69293,5000,5000,5000,3000,5000,5000,0</t>
  </si>
  <si>
    <t>1951,90000,2,1,2,28,0,0,0,0,0,-1,88345,90260,87535,89335,19715,4709,3360,1947,2000,10000,4709,82400,0</t>
  </si>
  <si>
    <t>1952,100000,1,1,1,36,0,0,0,0,0,0,23070,18806,20183,21540,25775,0,1700,2000,2000,5000,0,0,0</t>
  </si>
  <si>
    <t>1953,340000,1,2,1,41,0,0,0,0,0,0,331003,332829,274467,275341,280913,270448,15110,11019,9502,9579,9026,8719,0</t>
  </si>
  <si>
    <t>1954,50000,1,1,2,22,0,0,2,0,0,0,47726,51161,48310,50332,47492,50782,5500,0,3000,3000,5000,0,1</t>
  </si>
  <si>
    <t>1955,240000,2,2,1,41,-1,0,-1,-1,-1,-1,20272,11294,16873,1143,4317,14940,1000,16906,1143,4317,14940,0,0</t>
  </si>
  <si>
    <t>1956,10000,1,2,2,41,1,2,2,2,2,2,8722,9592,9289,10140,10417,10104,1157,0,1008,584,0,198,0</t>
  </si>
  <si>
    <t>1957,220000,2,1,1,42,2,2,2,2,2,2,2500,2500,2500,2500,2500,2500,0,0,0,0,0,0,1</t>
  </si>
  <si>
    <t>1958,100000,2,2,2,37,0,0,0,0,0,0,107669,107529,73323,51125,46879,45538,3536,2821,3963,3147,2670,725,0</t>
  </si>
  <si>
    <t>1959,220000,2,1,1,31,-2,-2,-2,-2,-2,-2,3785,1137,377,5763,3952,412,1142,377,5763,3952,412,1294,0</t>
  </si>
  <si>
    <t>1960,70000,2,3,1,57,0,0,0,0,0,0,67864,65062,66447,49103,45830,46769,2620,2730,1936,1700,1700,2000,0</t>
  </si>
  <si>
    <t>1961,30000,2,2,2,37,3,2,2,0,0,0,29657,30320,28991,29066,29340,30786,1763,0,1178,1223,2435,1200,1</t>
  </si>
  <si>
    <t>1962,130000,2,3,2,53,-1,-1,-1,-1,-1,-1,11085,45677,27951,17255,10400,18776,45697,27951,17307,10400,18776,2944,0</t>
  </si>
  <si>
    <t>1963,140000,2,2,1,25,0,0,0,0,0,0,81960,81757,83046,84034,77659,77180,3005,3000,3000,3000,3000,5000,0</t>
  </si>
  <si>
    <t>1964,20000,1,2,2,32,0,0,-1,0,0,0,4485,4843,15992,14897,12792,10042,1000,16000,600,1000,500,0,0</t>
  </si>
  <si>
    <t>1965,150000,2,1,1,38,1,-2,-2,-2,-2,-2,0,0,0,0,0,0,0,0,0,0,0,0,1</t>
  </si>
  <si>
    <t>1966,50000,2,2,2,26,0,0,-2,-2,-2,-2,4136,0,0,0,0,0,0,0,0,0,0,0,0</t>
  </si>
  <si>
    <t>1967,90000,1,2,1,29,1,1,1,0,0,0,41073,43480,73960,2442,48063,48186,3100,1000,770,48012,1756,1894,0</t>
  </si>
  <si>
    <t>1968,170000,2,3,1,37,0,0,0,0,0,0,158920,164353,167455,99297,59888,44262,8000,7000,5000,5000,5000,20000,0</t>
  </si>
  <si>
    <t>1969,70000,1,1,2,30,2,2,0,0,0,0,34985,34146,35271,35986,36905,37641,0,2000,1300,1500,1500,1576,1</t>
  </si>
  <si>
    <t>1970,200000,2,1,2,43,-2,-2,-2,-2,-2,-2,830,-6,-6,657,2088,150,0,0,663,2088,150,594,0</t>
  </si>
  <si>
    <t>1971,200000,1,1,1,42,0,-1,0,0,-1,-1,19318,19067,17858,326,326,326,19067,5000,0,326,326,326,0</t>
  </si>
  <si>
    <t>1972,20000,1,2,1,40,1,2,0,0,0,0,20498,19692,20498,19898,19906,18586,0,1600,0,398,0,0,1</t>
  </si>
  <si>
    <t>1973,200000,1,2,1,41,0,0,0,0,0,0,96910,92934,99528,100341,102585,108567,10000,7004,5000,5003,7345,7000,0</t>
  </si>
  <si>
    <t>1974,170000,1,2,2,26,-2,-2,-2,-2,-2,-2,0,0,0,0,0,0,0,0,0,0,0,0,0</t>
  </si>
  <si>
    <t>1975,130000,1,1,2,25,1,-2,-2,-2,-2,-2,-2000,-2000,-2000,-2000,-2000,-2000,0,0,0,0,0,0,1</t>
  </si>
  <si>
    <t>1976,100000,2,1,2,27,0,0,0,0,2,0,90118,88435,90147,94425,92853,93816,4110,4101,6623,0,3503,3360,0</t>
  </si>
  <si>
    <t>1977,180000,1,2,2,31,0,0,0,2,0,0,28566,32876,39120,38339,42679,46953,5000,7000,0,5000,5000,5000,0</t>
  </si>
  <si>
    <t>1978,230000,2,3,2,26,-2,-1,0,0,0,0,1200,990,9079,11186,10159,11734,990,8089,2186,1159,1734,1200,0</t>
  </si>
  <si>
    <t>1979,20000,1,3,2,50,-1,-1,-1,-1,-1,0,2191,1140,12656,1693,303,12303,1140,12656,1700,500,12000,0,0</t>
  </si>
  <si>
    <t>1980,500000,2,1,1,35,0,0,0,0,0,0,35176,36193,44157,48322,21593,13866,2504,10004,5178,1047,2019,1004,1</t>
  </si>
  <si>
    <t>1981,150000,2,1,1,38,1,-2,-2,-2,-2,-2,0,0,0,0,0,0,0,0,0,0,0,0,1</t>
  </si>
  <si>
    <t>1982,80000,2,3,2,40,3,2,2,2,2,2,38503,40118,41199,42264,43083,43471,2500,2000,2000,1600,1200,2000,1</t>
  </si>
  <si>
    <t>1983,230000,1,2,1,29,0,0,0,0,0,0,56171,60250,63574,71941,75882,75619,5000,5000,10000,5000,5000,5000,0</t>
  </si>
  <si>
    <t>1984,80000,1,1,2,37,1,-2,-2,-2,-2,-2,0,0,0,0,0,0,0,0,0,0,0,0,1</t>
  </si>
  <si>
    <t>1985,230000,2,2,2,24,0,0,0,0,0,0,24973,24974,25566,23427,28229,31355,5000,5000,2100,5229,3355,4598,0</t>
  </si>
  <si>
    <t>1986,50000,2,2,2,49,2,0,-1,-1,-1,0,38947,37799,3,18080,12227,13296,2000,1000,19000,12500,2000,2000,1</t>
  </si>
  <si>
    <t>1987,50000,1,2,2,35,0,0,0,0,0,0,48813,50789,49624,19880,20431,19559,5000,23000,838,1000,1000,1000,0</t>
  </si>
  <si>
    <t>1988,10000,2,1,2,25,1,3,2,0,0,0,10438,10130,9738,9178,8398,0,0,0,0,0,0,0,0</t>
  </si>
  <si>
    <t>1989,140000,1,2,2,34,2,2,2,2,2,2,135949,130625,117392,111478,109353,97612,8408,3500,3500,3600,0,3600,0</t>
  </si>
  <si>
    <t>1990,50000,1,2,2,42,0,0,0,0,0,0,39236,39729,27068,28604,28199,58428,2094,1451,1987,1039,1500,1200,1</t>
  </si>
  <si>
    <t>1991,180000,1,3,2,28,0,0,0,0,0,0,129719,133702,133758,80055,69672,33194,6070,3521,5000,5000,5004,5029,0</t>
  </si>
  <si>
    <t>1992,360000,1,1,2,65,1,-2,-2,-2,-2,-2,0,0,0,0,0,0,0,0,0,0,0,0,1</t>
  </si>
  <si>
    <t>1993,580000,1,3,1,67,2,2,3,3,4,6,453985,470915,471175,486776,503914,527711,25704,9464,25065,25703,33000,215,0</t>
  </si>
  <si>
    <t>1994,310000,2,1,1,43,-2,-2,-2,-2,-2,-2,14619,1881,13750,9837,7785,14460,12484,13961,9838,7785,14460,14195,0</t>
  </si>
  <si>
    <t>1995,20000,1,3,2,52,0,0,2,0,0,0,16735,20373,12071,12567,13949,14318,4008,0,1000,1600,600,532,0</t>
  </si>
  <si>
    <t>1996,180000,2,1,2,43,-2,-1,-1,-1,0,-1,8657,6847,18762,22928,3129,2398,6847,18762,22928,0,2398,23149,0</t>
  </si>
  <si>
    <t>1997,60000,2,1,2,24,0,0,0,0,0,0,15050,16203,16891,15474,14612,16354,2000,1300,2000,1000,2000,1000,0</t>
  </si>
  <si>
    <t>1998,40000,2,3,1,59,0,0,0,0,0,2,14769,15271,15383,14548,16274,15650,1573,1512,504,2770,613,14,0</t>
  </si>
  <si>
    <t>1999,140000,2,2,1,34,0,0,2,0,0,0,121374,125965,102527,103337,105942,101830,8200,3000,4000,4500,4000,4200,0</t>
  </si>
  <si>
    <t>2000,220000,1,2,1,32,0,-1,-1,-1,-1,-1,8000,8288,8000,0,8000,0,8288,8000,0,8000,0,0,0</t>
  </si>
  <si>
    <t>ID</t>
  </si>
  <si>
    <t>LIMIT_BAL</t>
  </si>
  <si>
    <t>SEX</t>
  </si>
  <si>
    <t>EDUCATION</t>
  </si>
  <si>
    <t>MARRIAGE</t>
  </si>
  <si>
    <t>AGE</t>
  </si>
  <si>
    <t>PAY_1</t>
  </si>
  <si>
    <t>PAY_2</t>
  </si>
  <si>
    <t>PAY_3</t>
  </si>
  <si>
    <t>PAY_4</t>
  </si>
  <si>
    <t>PAY_5</t>
  </si>
  <si>
    <t>PAY_6</t>
  </si>
  <si>
    <t>BILL_AMT1</t>
  </si>
  <si>
    <t>BILL_AMT2</t>
  </si>
  <si>
    <t>BILL_AMT3</t>
  </si>
  <si>
    <t>BILL_AMT4</t>
  </si>
  <si>
    <t>BILL_AMT5</t>
  </si>
  <si>
    <t>BILL_AMT6</t>
  </si>
  <si>
    <t>PAY_AMT1</t>
  </si>
  <si>
    <t>PAY_AMT2</t>
  </si>
  <si>
    <t>PAY_AMT3</t>
  </si>
  <si>
    <t>PAY_AMT4</t>
  </si>
  <si>
    <t>PAY_AMT5</t>
  </si>
  <si>
    <t>PAY_AMT6</t>
  </si>
  <si>
    <t>default payment next month</t>
  </si>
  <si>
    <t>Graduate School</t>
  </si>
  <si>
    <t>High School</t>
  </si>
  <si>
    <t>Married</t>
  </si>
  <si>
    <t>Single</t>
  </si>
  <si>
    <t>Row Labels</t>
  </si>
  <si>
    <t>Grand Total</t>
  </si>
  <si>
    <t>Count of ID</t>
  </si>
  <si>
    <t>Column Labels</t>
  </si>
  <si>
    <t>Middle Age</t>
  </si>
  <si>
    <t>Senior</t>
  </si>
  <si>
    <t>Super Senior</t>
  </si>
  <si>
    <t>Young</t>
  </si>
  <si>
    <t>Defaulter</t>
  </si>
  <si>
    <t>Not Defaulter</t>
  </si>
  <si>
    <t>Defaulter/ Not Defaluter</t>
  </si>
  <si>
    <t>Female</t>
  </si>
  <si>
    <t>Male</t>
  </si>
  <si>
    <t>University / Collage</t>
  </si>
  <si>
    <t>Others</t>
  </si>
  <si>
    <t>AGE GROUP</t>
  </si>
  <si>
    <t>Defaluter Rate</t>
  </si>
  <si>
    <t>Defaulter Rate</t>
  </si>
  <si>
    <t>Defaulter on bases of SEX</t>
  </si>
  <si>
    <t>Defaluter Rate M/F</t>
  </si>
  <si>
    <t>Middle age</t>
  </si>
  <si>
    <t>Defaluter on the bases of AGE GROUP</t>
  </si>
  <si>
    <t>Defaluter Rate age group</t>
  </si>
  <si>
    <t>Defaluter on the bases of EDUCATION</t>
  </si>
  <si>
    <t>Defaluter Rate Education</t>
  </si>
  <si>
    <t>Divorced/ Seperated</t>
  </si>
  <si>
    <t>Defaulter on the bases of MARRIAGE</t>
  </si>
  <si>
    <t>Defaulter Rate Marriage</t>
  </si>
  <si>
    <t>LIMIT_BAL_GROUP</t>
  </si>
  <si>
    <t>High</t>
  </si>
  <si>
    <t>Low</t>
  </si>
  <si>
    <t>Medium</t>
  </si>
  <si>
    <t>Defaulter Rate LIMIT_BAL_GROUP</t>
  </si>
  <si>
    <t>Overall Defaluter</t>
  </si>
  <si>
    <t>Default Rate by Recent Payment Status</t>
  </si>
  <si>
    <t>Default Risk</t>
  </si>
  <si>
    <t>Default Rate by recent month 2</t>
  </si>
  <si>
    <t>Defalut Risk</t>
  </si>
  <si>
    <t>Default Rate by recent month 3</t>
  </si>
  <si>
    <t>Default Rate by recent month 4</t>
  </si>
  <si>
    <t>Default Rate by recent month 5</t>
  </si>
  <si>
    <t>Default Rate by recent month 6</t>
  </si>
  <si>
    <t>PAYMENT GAP</t>
  </si>
  <si>
    <t>PAYMENT GAP GROUP</t>
  </si>
  <si>
    <t>High Gap</t>
  </si>
  <si>
    <t>Low Gap</t>
  </si>
  <si>
    <t>Medium Gap</t>
  </si>
  <si>
    <t>No Gap / Overpaid</t>
  </si>
  <si>
    <t>Defaulter Rate by payment gap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</si>
</sst>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9">
    <xf numFmtId="0" fontId="0" fillId="0" borderId="0" xfId="0"/>
    <xf numFmtId="164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pivotButton="1" applyBorder="1"/>
    <xf numFmtId="0" fontId="0" fillId="0" borderId="14" xfId="0" applyBorder="1" applyAlignment="1">
      <alignment horizontal="left"/>
    </xf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6" xfId="0" applyBorder="1"/>
    <xf numFmtId="0" fontId="0" fillId="0" borderId="10" xfId="0" pivotButton="1" applyBorder="1"/>
    <xf numFmtId="0" fontId="0" fillId="0" borderId="19" xfId="0" applyBorder="1"/>
    <xf numFmtId="0" fontId="0" fillId="0" borderId="21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10" fontId="16" fillId="0" borderId="0" xfId="0" applyNumberFormat="1" applyFont="1"/>
    <xf numFmtId="10" fontId="0" fillId="0" borderId="15" xfId="0" applyNumberFormat="1" applyBorder="1"/>
    <xf numFmtId="0" fontId="0" fillId="0" borderId="22" xfId="0" applyBorder="1" applyAlignment="1">
      <alignment horizontal="left"/>
    </xf>
    <xf numFmtId="0" fontId="0" fillId="0" borderId="23" xfId="0" applyBorder="1" applyAlignment="1">
      <alignment horizontal="left"/>
    </xf>
    <xf numFmtId="0" fontId="0" fillId="0" borderId="24" xfId="0" applyBorder="1" applyAlignment="1">
      <alignment horizontal="left"/>
    </xf>
    <xf numFmtId="0" fontId="16" fillId="0" borderId="14" xfId="0" applyFont="1" applyBorder="1" applyAlignment="1">
      <alignment horizontal="left"/>
    </xf>
    <xf numFmtId="10" fontId="16" fillId="0" borderId="15" xfId="0" applyNumberFormat="1" applyFont="1" applyBorder="1"/>
    <xf numFmtId="0" fontId="16" fillId="0" borderId="16" xfId="0" applyFont="1" applyBorder="1" applyAlignment="1">
      <alignment horizontal="left"/>
    </xf>
    <xf numFmtId="10" fontId="16" fillId="0" borderId="18" xfId="0" applyNumberFormat="1" applyFont="1" applyBorder="1"/>
    <xf numFmtId="10" fontId="16" fillId="0" borderId="17" xfId="0" applyNumberFormat="1" applyFont="1" applyBorder="1"/>
    <xf numFmtId="0" fontId="16" fillId="0" borderId="14" xfId="0" applyFont="1" applyBorder="1"/>
    <xf numFmtId="0" fontId="16" fillId="0" borderId="16" xfId="0" applyFont="1" applyBorder="1"/>
    <xf numFmtId="0" fontId="16" fillId="33" borderId="22" xfId="0" applyFont="1" applyFill="1" applyBorder="1"/>
    <xf numFmtId="10" fontId="16" fillId="0" borderId="23" xfId="0" applyNumberFormat="1" applyFont="1" applyBorder="1"/>
    <xf numFmtId="0" fontId="0" fillId="0" borderId="16" xfId="0" applyBorder="1" applyAlignment="1">
      <alignment horizontal="left"/>
    </xf>
    <xf numFmtId="0" fontId="0" fillId="0" borderId="14" xfId="0" applyBorder="1"/>
    <xf numFmtId="0" fontId="16" fillId="0" borderId="0" xfId="0" applyFont="1" applyAlignment="1">
      <alignment horizontal="left"/>
    </xf>
    <xf numFmtId="0" fontId="16" fillId="0" borderId="17" xfId="0" applyFont="1" applyBorder="1" applyAlignment="1">
      <alignment horizontal="left"/>
    </xf>
    <xf numFmtId="0" fontId="0" fillId="0" borderId="16" xfId="0" pivotButton="1" applyBorder="1"/>
    <xf numFmtId="0" fontId="0" fillId="0" borderId="22" xfId="0" applyBorder="1"/>
    <xf numFmtId="0" fontId="0" fillId="0" borderId="24" xfId="0" applyBorder="1"/>
    <xf numFmtId="0" fontId="0" fillId="0" borderId="23" xfId="0" applyBorder="1"/>
    <xf numFmtId="0" fontId="16" fillId="33" borderId="11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/>
    </xf>
    <xf numFmtId="0" fontId="16" fillId="33" borderId="20" xfId="0" applyFont="1" applyFill="1" applyBorder="1" applyAlignment="1">
      <alignment horizontal="center"/>
    </xf>
    <xf numFmtId="0" fontId="16" fillId="33" borderId="19" xfId="0" applyFont="1" applyFill="1" applyBorder="1" applyAlignment="1">
      <alignment horizontal="center" vertical="center"/>
    </xf>
    <xf numFmtId="0" fontId="16" fillId="33" borderId="20" xfId="0" applyFont="1" applyFill="1" applyBorder="1" applyAlignment="1">
      <alignment horizontal="center" vertical="center"/>
    </xf>
    <xf numFmtId="0" fontId="0" fillId="33" borderId="13" xfId="0" applyFill="1" applyBorder="1" applyAlignment="1">
      <alignment horizontal="center"/>
    </xf>
    <xf numFmtId="0" fontId="0" fillId="33" borderId="20" xfId="0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17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3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  <dxf>
      <numFmt numFmtId="0" formatCode="General"/>
    </dxf>
    <dxf>
      <numFmt numFmtId="164" formatCode="&quot;₹&quot;\ #,##0.00"/>
    </dxf>
    <dxf>
      <numFmt numFmtId="164" formatCode="&quot;₹&quot;\ #,##0.00"/>
    </dxf>
    <dxf>
      <numFmt numFmtId="164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yush Raj" refreshedDate="46261.967319675925" createdVersion="8" refreshedVersion="8" minRefreshableVersion="3" recordCount="2000" xr:uid="{0B539124-B9E8-470F-87C5-F7EB3A7A724D}">
  <cacheSource type="worksheet">
    <worksheetSource name="Table2"/>
  </cacheSource>
  <cacheFields count="30">
    <cacheField name="ID" numFmtId="0">
      <sharedItems containsSemiMixedTypes="0" containsString="0" containsNumber="1" containsInteger="1" minValue="1" maxValue="2000" count="2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</sharedItems>
    </cacheField>
    <cacheField name="LIMIT_BAL" numFmtId="164">
      <sharedItems containsSemiMixedTypes="0" containsString="0" containsNumber="1" containsInteger="1" minValue="10000" maxValue="700000"/>
    </cacheField>
    <cacheField name="LIMIT_BAL_GROUP" numFmtId="164">
      <sharedItems count="4">
        <s v="Low"/>
        <s v="Medium"/>
        <s v="High"/>
        <s v="Very High" u="1"/>
      </sharedItems>
    </cacheField>
    <cacheField name="SEX" numFmtId="0">
      <sharedItems count="2">
        <s v="Female"/>
        <s v="Male"/>
      </sharedItems>
    </cacheField>
    <cacheField name="EDUCATION" numFmtId="0">
      <sharedItems count="5">
        <s v="University / Collage"/>
        <s v="Graduate School"/>
        <s v="High School"/>
        <s v="Others"/>
        <e v="#N/A" u="1"/>
      </sharedItems>
    </cacheField>
    <cacheField name="MARRIAGE" numFmtId="0">
      <sharedItems count="5">
        <s v="Married"/>
        <s v="Single"/>
        <s v="Divorced/ Seperated"/>
        <s v="Others"/>
        <e v="#N/A" u="1"/>
      </sharedItems>
    </cacheField>
    <cacheField name="AGE" numFmtId="0">
      <sharedItems containsSemiMixedTypes="0" containsString="0" containsNumber="1" containsInteger="1" minValue="21" maxValue="75"/>
    </cacheField>
    <cacheField name="AGE GROUP" numFmtId="0">
      <sharedItems count="5">
        <s v="Young"/>
        <s v="Middle Age"/>
        <s v="Super Senior"/>
        <s v="Senior"/>
        <e v="#N/A" u="1"/>
      </sharedItems>
    </cacheField>
    <cacheField name="PAY_1" numFmtId="0">
      <sharedItems containsSemiMixedTypes="0" containsString="0" containsNumber="1" containsInteger="1" minValue="-2" maxValue="8" count="8">
        <n v="2"/>
        <n v="-1"/>
        <n v="0"/>
        <n v="-2"/>
        <n v="1"/>
        <n v="3"/>
        <n v="4"/>
        <n v="8"/>
      </sharedItems>
    </cacheField>
    <cacheField name="PAY_2" numFmtId="0">
      <sharedItems containsSemiMixedTypes="0" containsString="0" containsNumber="1" containsInteger="1" minValue="-2" maxValue="7" count="10">
        <n v="2"/>
        <n v="0"/>
        <n v="-1"/>
        <n v="-2"/>
        <n v="3"/>
        <n v="5"/>
        <n v="7"/>
        <n v="4"/>
        <n v="1"/>
        <n v="6"/>
      </sharedItems>
    </cacheField>
    <cacheField name="PAY_3" numFmtId="0">
      <sharedItems containsSemiMixedTypes="0" containsString="0" containsNumber="1" containsInteger="1" minValue="-2" maxValue="7" count="10">
        <n v="-1"/>
        <n v="0"/>
        <n v="2"/>
        <n v="-2"/>
        <n v="3"/>
        <n v="4"/>
        <n v="6"/>
        <n v="7"/>
        <n v="1"/>
        <n v="5"/>
      </sharedItems>
    </cacheField>
    <cacheField name="PAY_4" numFmtId="0">
      <sharedItems containsSemiMixedTypes="0" containsString="0" containsNumber="1" containsInteger="1" minValue="-2" maxValue="7" count="9">
        <n v="-1"/>
        <n v="0"/>
        <n v="-2"/>
        <n v="2"/>
        <n v="3"/>
        <n v="4"/>
        <n v="5"/>
        <n v="7"/>
        <n v="6"/>
      </sharedItems>
    </cacheField>
    <cacheField name="PAY_5" numFmtId="0">
      <sharedItems containsSemiMixedTypes="0" containsString="0" containsNumber="1" containsInteger="1" minValue="-2" maxValue="7" count="8">
        <n v="-2"/>
        <n v="0"/>
        <n v="-1"/>
        <n v="2"/>
        <n v="3"/>
        <n v="5"/>
        <n v="4"/>
        <n v="7"/>
      </sharedItems>
    </cacheField>
    <cacheField name="PAY_6" numFmtId="0">
      <sharedItems containsSemiMixedTypes="0" containsString="0" containsNumber="1" containsInteger="1" minValue="-2" maxValue="8" count="9">
        <n v="-2"/>
        <n v="2"/>
        <n v="0"/>
        <n v="-1"/>
        <n v="3"/>
        <n v="6"/>
        <n v="4"/>
        <n v="7"/>
        <n v="8"/>
      </sharedItems>
    </cacheField>
    <cacheField name="BILL_AMT1" numFmtId="164">
      <sharedItems containsSemiMixedTypes="0" containsString="0" containsNumber="1" containsInteger="1" minValue="-14386" maxValue="507726"/>
    </cacheField>
    <cacheField name="BILL_AMT2" numFmtId="164">
      <sharedItems containsSemiMixedTypes="0" containsString="0" containsNumber="1" containsInteger="1" minValue="-24704" maxValue="509229"/>
    </cacheField>
    <cacheField name="BILL_AMT3" numFmtId="164">
      <sharedItems containsSemiMixedTypes="0" containsString="0" containsNumber="1" containsInteger="1" minValue="-9850" maxValue="499936"/>
    </cacheField>
    <cacheField name="BILL_AMT4" numFmtId="164">
      <sharedItems containsSemiMixedTypes="0" containsString="0" containsNumber="1" containsInteger="1" minValue="-7905" maxValue="628699"/>
    </cacheField>
    <cacheField name="BILL_AMT5" numFmtId="164">
      <sharedItems containsSemiMixedTypes="0" containsString="0" containsNumber="1" containsInteger="1" minValue="-28335" maxValue="503914"/>
    </cacheField>
    <cacheField name="BILL_AMT6" numFmtId="164">
      <sharedItems containsSemiMixedTypes="0" containsString="0" containsNumber="1" containsInteger="1" minValue="-339603" maxValue="699944"/>
    </cacheField>
    <cacheField name="PAY_AMT1" numFmtId="164">
      <sharedItems containsSemiMixedTypes="0" containsString="0" containsNumber="1" containsInteger="1" minValue="0" maxValue="239104"/>
    </cacheField>
    <cacheField name="PAY_AMT2" numFmtId="164">
      <sharedItems containsSemiMixedTypes="0" containsString="0" containsNumber="1" containsInteger="1" minValue="0" maxValue="285138"/>
    </cacheField>
    <cacheField name="PAY_AMT3" numFmtId="164">
      <sharedItems containsSemiMixedTypes="0" containsString="0" containsNumber="1" containsInteger="1" minValue="0" maxValue="222750"/>
    </cacheField>
    <cacheField name="PAY_AMT4" numFmtId="164">
      <sharedItems containsSemiMixedTypes="0" containsString="0" containsNumber="1" containsInteger="1" minValue="0" maxValue="205000"/>
    </cacheField>
    <cacheField name="PAY_AMT5" numFmtId="164">
      <sharedItems containsSemiMixedTypes="0" containsString="0" containsNumber="1" containsInteger="1" minValue="0" maxValue="332000"/>
    </cacheField>
    <cacheField name="PAY_AMT6" numFmtId="164">
      <sharedItems containsSemiMixedTypes="0" containsString="0" containsNumber="1" containsInteger="1" minValue="0" maxValue="528666"/>
    </cacheField>
    <cacheField name="default payment next month" numFmtId="0">
      <sharedItems containsSemiMixedTypes="0" containsString="0" containsNumber="1" containsInteger="1" minValue="0" maxValue="1"/>
    </cacheField>
    <cacheField name="Defaulter/ Not Defaluter" numFmtId="0">
      <sharedItems count="2">
        <s v="Defaulter"/>
        <s v="Not Defaulter"/>
      </sharedItems>
    </cacheField>
    <cacheField name="PAYMENT GAP" numFmtId="164">
      <sharedItems containsSemiMixedTypes="0" containsString="0" containsNumber="1" containsInteger="1" minValue="-217518" maxValue="506737"/>
    </cacheField>
    <cacheField name="PAYMENT GAP GROUP" numFmtId="164">
      <sharedItems count="4">
        <s v="Low Gap"/>
        <s v="Medium Gap"/>
        <s v="High Gap"/>
        <s v="No Gap / Overpaid"/>
      </sharedItems>
    </cacheField>
  </cacheFields>
  <extLst>
    <ext xmlns:x14="http://schemas.microsoft.com/office/spreadsheetml/2009/9/main" uri="{725AE2AE-9491-48be-B2B4-4EB974FC3084}">
      <x14:pivotCacheDefinition pivotCacheId="1645417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x v="0"/>
    <n v="20000"/>
    <x v="0"/>
    <x v="0"/>
    <x v="0"/>
    <x v="0"/>
    <n v="24"/>
    <x v="0"/>
    <x v="0"/>
    <x v="0"/>
    <x v="0"/>
    <x v="0"/>
    <x v="0"/>
    <x v="0"/>
    <n v="3913"/>
    <n v="3102"/>
    <n v="689"/>
    <n v="0"/>
    <n v="0"/>
    <n v="0"/>
    <n v="0"/>
    <n v="689"/>
    <n v="0"/>
    <n v="0"/>
    <n v="0"/>
    <n v="0"/>
    <n v="1"/>
    <x v="0"/>
    <n v="3913"/>
    <x v="0"/>
  </r>
  <r>
    <x v="1"/>
    <n v="120000"/>
    <x v="1"/>
    <x v="0"/>
    <x v="0"/>
    <x v="1"/>
    <n v="26"/>
    <x v="0"/>
    <x v="1"/>
    <x v="0"/>
    <x v="1"/>
    <x v="1"/>
    <x v="1"/>
    <x v="1"/>
    <n v="2682"/>
    <n v="1725"/>
    <n v="2682"/>
    <n v="3272"/>
    <n v="3455"/>
    <n v="3261"/>
    <n v="0"/>
    <n v="1000"/>
    <n v="1000"/>
    <n v="1000"/>
    <n v="0"/>
    <n v="2000"/>
    <n v="1"/>
    <x v="0"/>
    <n v="2682"/>
    <x v="0"/>
  </r>
  <r>
    <x v="2"/>
    <n v="90000"/>
    <x v="0"/>
    <x v="0"/>
    <x v="0"/>
    <x v="1"/>
    <n v="34"/>
    <x v="1"/>
    <x v="2"/>
    <x v="1"/>
    <x v="1"/>
    <x v="1"/>
    <x v="1"/>
    <x v="2"/>
    <n v="29239"/>
    <n v="14027"/>
    <n v="13559"/>
    <n v="14331"/>
    <n v="14948"/>
    <n v="15549"/>
    <n v="1518"/>
    <n v="1500"/>
    <n v="1000"/>
    <n v="1000"/>
    <n v="1000"/>
    <n v="5000"/>
    <n v="0"/>
    <x v="1"/>
    <n v="27721"/>
    <x v="1"/>
  </r>
  <r>
    <x v="3"/>
    <n v="50000"/>
    <x v="0"/>
    <x v="0"/>
    <x v="0"/>
    <x v="0"/>
    <n v="37"/>
    <x v="1"/>
    <x v="2"/>
    <x v="1"/>
    <x v="1"/>
    <x v="1"/>
    <x v="1"/>
    <x v="2"/>
    <n v="46990"/>
    <n v="48233"/>
    <n v="49291"/>
    <n v="28314"/>
    <n v="28959"/>
    <n v="29547"/>
    <n v="2000"/>
    <n v="2019"/>
    <n v="1200"/>
    <n v="1100"/>
    <n v="1069"/>
    <n v="1000"/>
    <n v="0"/>
    <x v="1"/>
    <n v="44990"/>
    <x v="1"/>
  </r>
  <r>
    <x v="4"/>
    <n v="50000"/>
    <x v="0"/>
    <x v="1"/>
    <x v="0"/>
    <x v="0"/>
    <n v="57"/>
    <x v="2"/>
    <x v="1"/>
    <x v="1"/>
    <x v="0"/>
    <x v="1"/>
    <x v="1"/>
    <x v="2"/>
    <n v="8617"/>
    <n v="5670"/>
    <n v="35835"/>
    <n v="20940"/>
    <n v="19146"/>
    <n v="19131"/>
    <n v="2000"/>
    <n v="36681"/>
    <n v="10000"/>
    <n v="9000"/>
    <n v="689"/>
    <n v="679"/>
    <n v="0"/>
    <x v="1"/>
    <n v="6617"/>
    <x v="0"/>
  </r>
  <r>
    <x v="5"/>
    <n v="50000"/>
    <x v="0"/>
    <x v="1"/>
    <x v="1"/>
    <x v="1"/>
    <n v="37"/>
    <x v="1"/>
    <x v="2"/>
    <x v="1"/>
    <x v="1"/>
    <x v="1"/>
    <x v="1"/>
    <x v="2"/>
    <n v="64400"/>
    <n v="57069"/>
    <n v="57608"/>
    <n v="19394"/>
    <n v="19619"/>
    <n v="20024"/>
    <n v="2500"/>
    <n v="1815"/>
    <n v="657"/>
    <n v="1000"/>
    <n v="1000"/>
    <n v="800"/>
    <n v="0"/>
    <x v="1"/>
    <n v="61900"/>
    <x v="1"/>
  </r>
  <r>
    <x v="6"/>
    <n v="500000"/>
    <x v="2"/>
    <x v="1"/>
    <x v="1"/>
    <x v="1"/>
    <n v="29"/>
    <x v="0"/>
    <x v="2"/>
    <x v="1"/>
    <x v="1"/>
    <x v="1"/>
    <x v="1"/>
    <x v="2"/>
    <n v="367965"/>
    <n v="412023"/>
    <n v="445007"/>
    <n v="542653"/>
    <n v="483003"/>
    <n v="473944"/>
    <n v="55000"/>
    <n v="40000"/>
    <n v="38000"/>
    <n v="20239"/>
    <n v="13750"/>
    <n v="13770"/>
    <n v="0"/>
    <x v="1"/>
    <n v="312965"/>
    <x v="2"/>
  </r>
  <r>
    <x v="7"/>
    <n v="100000"/>
    <x v="0"/>
    <x v="0"/>
    <x v="0"/>
    <x v="1"/>
    <n v="23"/>
    <x v="0"/>
    <x v="2"/>
    <x v="2"/>
    <x v="0"/>
    <x v="1"/>
    <x v="1"/>
    <x v="3"/>
    <n v="11876"/>
    <n v="380"/>
    <n v="601"/>
    <n v="221"/>
    <n v="-159"/>
    <n v="567"/>
    <n v="380"/>
    <n v="601"/>
    <n v="0"/>
    <n v="581"/>
    <n v="1687"/>
    <n v="1542"/>
    <n v="0"/>
    <x v="1"/>
    <n v="11496"/>
    <x v="0"/>
  </r>
  <r>
    <x v="8"/>
    <n v="140000"/>
    <x v="1"/>
    <x v="0"/>
    <x v="2"/>
    <x v="0"/>
    <n v="28"/>
    <x v="0"/>
    <x v="2"/>
    <x v="1"/>
    <x v="2"/>
    <x v="1"/>
    <x v="1"/>
    <x v="2"/>
    <n v="11285"/>
    <n v="14096"/>
    <n v="12108"/>
    <n v="12211"/>
    <n v="11793"/>
    <n v="3719"/>
    <n v="3329"/>
    <n v="0"/>
    <n v="432"/>
    <n v="1000"/>
    <n v="1000"/>
    <n v="1000"/>
    <n v="0"/>
    <x v="1"/>
    <n v="7956"/>
    <x v="0"/>
  </r>
  <r>
    <x v="9"/>
    <n v="20000"/>
    <x v="0"/>
    <x v="1"/>
    <x v="2"/>
    <x v="1"/>
    <n v="35"/>
    <x v="1"/>
    <x v="3"/>
    <x v="3"/>
    <x v="3"/>
    <x v="2"/>
    <x v="2"/>
    <x v="3"/>
    <n v="0"/>
    <n v="0"/>
    <n v="0"/>
    <n v="0"/>
    <n v="13007"/>
    <n v="13912"/>
    <n v="0"/>
    <n v="0"/>
    <n v="0"/>
    <n v="13007"/>
    <n v="1122"/>
    <n v="0"/>
    <n v="0"/>
    <x v="1"/>
    <n v="0"/>
    <x v="3"/>
  </r>
  <r>
    <x v="10"/>
    <n v="200000"/>
    <x v="1"/>
    <x v="0"/>
    <x v="2"/>
    <x v="1"/>
    <n v="34"/>
    <x v="1"/>
    <x v="2"/>
    <x v="1"/>
    <x v="2"/>
    <x v="1"/>
    <x v="1"/>
    <x v="3"/>
    <n v="11073"/>
    <n v="9787"/>
    <n v="5535"/>
    <n v="2513"/>
    <n v="1828"/>
    <n v="3731"/>
    <n v="2306"/>
    <n v="12"/>
    <n v="50"/>
    <n v="300"/>
    <n v="3738"/>
    <n v="66"/>
    <n v="0"/>
    <x v="1"/>
    <n v="8767"/>
    <x v="0"/>
  </r>
  <r>
    <x v="11"/>
    <n v="260000"/>
    <x v="1"/>
    <x v="0"/>
    <x v="1"/>
    <x v="1"/>
    <n v="51"/>
    <x v="2"/>
    <x v="1"/>
    <x v="2"/>
    <x v="0"/>
    <x v="0"/>
    <x v="2"/>
    <x v="1"/>
    <n v="12261"/>
    <n v="21670"/>
    <n v="9966"/>
    <n v="8517"/>
    <n v="22287"/>
    <n v="13668"/>
    <n v="21818"/>
    <n v="9966"/>
    <n v="8583"/>
    <n v="22301"/>
    <n v="0"/>
    <n v="3640"/>
    <n v="0"/>
    <x v="1"/>
    <n v="-9557"/>
    <x v="3"/>
  </r>
  <r>
    <x v="12"/>
    <n v="630000"/>
    <x v="2"/>
    <x v="0"/>
    <x v="0"/>
    <x v="1"/>
    <n v="41"/>
    <x v="3"/>
    <x v="1"/>
    <x v="1"/>
    <x v="0"/>
    <x v="0"/>
    <x v="2"/>
    <x v="3"/>
    <n v="12137"/>
    <n v="6500"/>
    <n v="6500"/>
    <n v="6500"/>
    <n v="6500"/>
    <n v="2870"/>
    <n v="1000"/>
    <n v="6500"/>
    <n v="6500"/>
    <n v="6500"/>
    <n v="2870"/>
    <n v="0"/>
    <n v="0"/>
    <x v="1"/>
    <n v="11137"/>
    <x v="0"/>
  </r>
  <r>
    <x v="13"/>
    <n v="70000"/>
    <x v="0"/>
    <x v="1"/>
    <x v="0"/>
    <x v="1"/>
    <n v="30"/>
    <x v="1"/>
    <x v="4"/>
    <x v="0"/>
    <x v="2"/>
    <x v="1"/>
    <x v="1"/>
    <x v="1"/>
    <n v="65802"/>
    <n v="67369"/>
    <n v="65701"/>
    <n v="66782"/>
    <n v="36137"/>
    <n v="36894"/>
    <n v="3200"/>
    <n v="0"/>
    <n v="3000"/>
    <n v="3000"/>
    <n v="1500"/>
    <n v="0"/>
    <n v="1"/>
    <x v="0"/>
    <n v="62602"/>
    <x v="1"/>
  </r>
  <r>
    <x v="14"/>
    <n v="250000"/>
    <x v="1"/>
    <x v="1"/>
    <x v="1"/>
    <x v="1"/>
    <n v="29"/>
    <x v="0"/>
    <x v="2"/>
    <x v="1"/>
    <x v="1"/>
    <x v="1"/>
    <x v="1"/>
    <x v="2"/>
    <n v="70887"/>
    <n v="67060"/>
    <n v="63561"/>
    <n v="59696"/>
    <n v="56875"/>
    <n v="55512"/>
    <n v="3000"/>
    <n v="3000"/>
    <n v="3000"/>
    <n v="3000"/>
    <n v="3000"/>
    <n v="3000"/>
    <n v="0"/>
    <x v="1"/>
    <n v="67887"/>
    <x v="1"/>
  </r>
  <r>
    <x v="15"/>
    <n v="50000"/>
    <x v="0"/>
    <x v="0"/>
    <x v="2"/>
    <x v="2"/>
    <n v="23"/>
    <x v="0"/>
    <x v="4"/>
    <x v="0"/>
    <x v="1"/>
    <x v="1"/>
    <x v="1"/>
    <x v="2"/>
    <n v="50614"/>
    <n v="29173"/>
    <n v="28116"/>
    <n v="28771"/>
    <n v="29531"/>
    <n v="30211"/>
    <n v="0"/>
    <n v="1500"/>
    <n v="1100"/>
    <n v="1200"/>
    <n v="1300"/>
    <n v="1100"/>
    <n v="0"/>
    <x v="1"/>
    <n v="50614"/>
    <x v="1"/>
  </r>
  <r>
    <x v="16"/>
    <n v="20000"/>
    <x v="0"/>
    <x v="1"/>
    <x v="1"/>
    <x v="1"/>
    <n v="24"/>
    <x v="0"/>
    <x v="2"/>
    <x v="1"/>
    <x v="2"/>
    <x v="3"/>
    <x v="3"/>
    <x v="1"/>
    <n v="15376"/>
    <n v="18010"/>
    <n v="17428"/>
    <n v="18338"/>
    <n v="17905"/>
    <n v="19104"/>
    <n v="3200"/>
    <n v="0"/>
    <n v="1500"/>
    <n v="0"/>
    <n v="1650"/>
    <n v="0"/>
    <n v="1"/>
    <x v="0"/>
    <n v="12176"/>
    <x v="0"/>
  </r>
  <r>
    <x v="17"/>
    <n v="320000"/>
    <x v="2"/>
    <x v="1"/>
    <x v="1"/>
    <x v="0"/>
    <n v="49"/>
    <x v="3"/>
    <x v="2"/>
    <x v="1"/>
    <x v="1"/>
    <x v="0"/>
    <x v="2"/>
    <x v="3"/>
    <n v="253286"/>
    <n v="246536"/>
    <n v="194663"/>
    <n v="70074"/>
    <n v="5856"/>
    <n v="195599"/>
    <n v="10358"/>
    <n v="10000"/>
    <n v="75940"/>
    <n v="20000"/>
    <n v="195599"/>
    <n v="50000"/>
    <n v="0"/>
    <x v="1"/>
    <n v="242928"/>
    <x v="2"/>
  </r>
  <r>
    <x v="18"/>
    <n v="360000"/>
    <x v="2"/>
    <x v="0"/>
    <x v="1"/>
    <x v="0"/>
    <n v="49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9"/>
    <n v="180000"/>
    <x v="1"/>
    <x v="0"/>
    <x v="1"/>
    <x v="1"/>
    <n v="29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20"/>
    <n v="130000"/>
    <x v="1"/>
    <x v="0"/>
    <x v="2"/>
    <x v="1"/>
    <n v="39"/>
    <x v="1"/>
    <x v="2"/>
    <x v="1"/>
    <x v="1"/>
    <x v="1"/>
    <x v="1"/>
    <x v="3"/>
    <n v="38358"/>
    <n v="27688"/>
    <n v="24489"/>
    <n v="20616"/>
    <n v="11802"/>
    <n v="930"/>
    <n v="3000"/>
    <n v="1537"/>
    <n v="1000"/>
    <n v="2000"/>
    <n v="930"/>
    <n v="33764"/>
    <n v="0"/>
    <x v="1"/>
    <n v="35358"/>
    <x v="1"/>
  </r>
  <r>
    <x v="21"/>
    <n v="120000"/>
    <x v="1"/>
    <x v="0"/>
    <x v="0"/>
    <x v="0"/>
    <n v="39"/>
    <x v="1"/>
    <x v="1"/>
    <x v="2"/>
    <x v="0"/>
    <x v="0"/>
    <x v="2"/>
    <x v="3"/>
    <n v="316"/>
    <n v="316"/>
    <n v="316"/>
    <n v="0"/>
    <n v="632"/>
    <n v="316"/>
    <n v="316"/>
    <n v="316"/>
    <n v="0"/>
    <n v="632"/>
    <n v="316"/>
    <n v="0"/>
    <n v="1"/>
    <x v="0"/>
    <n v="0"/>
    <x v="3"/>
  </r>
  <r>
    <x v="22"/>
    <n v="70000"/>
    <x v="0"/>
    <x v="0"/>
    <x v="0"/>
    <x v="1"/>
    <n v="26"/>
    <x v="0"/>
    <x v="0"/>
    <x v="1"/>
    <x v="1"/>
    <x v="3"/>
    <x v="3"/>
    <x v="1"/>
    <n v="41087"/>
    <n v="42445"/>
    <n v="45020"/>
    <n v="44006"/>
    <n v="46905"/>
    <n v="46012"/>
    <n v="2007"/>
    <n v="3582"/>
    <n v="0"/>
    <n v="3601"/>
    <n v="0"/>
    <n v="1820"/>
    <n v="1"/>
    <x v="0"/>
    <n v="39080"/>
    <x v="1"/>
  </r>
  <r>
    <x v="23"/>
    <n v="450000"/>
    <x v="2"/>
    <x v="0"/>
    <x v="1"/>
    <x v="0"/>
    <n v="40"/>
    <x v="3"/>
    <x v="3"/>
    <x v="3"/>
    <x v="3"/>
    <x v="2"/>
    <x v="0"/>
    <x v="0"/>
    <n v="5512"/>
    <n v="19420"/>
    <n v="1473"/>
    <n v="560"/>
    <n v="0"/>
    <n v="0"/>
    <n v="19428"/>
    <n v="1473"/>
    <n v="560"/>
    <n v="0"/>
    <n v="0"/>
    <n v="1128"/>
    <n v="1"/>
    <x v="0"/>
    <n v="-13916"/>
    <x v="3"/>
  </r>
  <r>
    <x v="24"/>
    <n v="90000"/>
    <x v="0"/>
    <x v="1"/>
    <x v="1"/>
    <x v="1"/>
    <n v="23"/>
    <x v="0"/>
    <x v="2"/>
    <x v="1"/>
    <x v="1"/>
    <x v="0"/>
    <x v="1"/>
    <x v="2"/>
    <n v="4744"/>
    <n v="7070"/>
    <n v="0"/>
    <n v="5398"/>
    <n v="6360"/>
    <n v="8292"/>
    <n v="5757"/>
    <n v="0"/>
    <n v="5398"/>
    <n v="1200"/>
    <n v="2045"/>
    <n v="2000"/>
    <n v="0"/>
    <x v="1"/>
    <n v="-1013"/>
    <x v="3"/>
  </r>
  <r>
    <x v="25"/>
    <n v="50000"/>
    <x v="0"/>
    <x v="1"/>
    <x v="2"/>
    <x v="1"/>
    <n v="23"/>
    <x v="0"/>
    <x v="2"/>
    <x v="1"/>
    <x v="1"/>
    <x v="1"/>
    <x v="1"/>
    <x v="2"/>
    <n v="47620"/>
    <n v="41810"/>
    <n v="36023"/>
    <n v="28967"/>
    <n v="29829"/>
    <n v="30046"/>
    <n v="1973"/>
    <n v="1426"/>
    <n v="1001"/>
    <n v="1432"/>
    <n v="1062"/>
    <n v="997"/>
    <n v="0"/>
    <x v="1"/>
    <n v="45647"/>
    <x v="1"/>
  </r>
  <r>
    <x v="26"/>
    <n v="60000"/>
    <x v="0"/>
    <x v="1"/>
    <x v="1"/>
    <x v="1"/>
    <n v="27"/>
    <x v="0"/>
    <x v="4"/>
    <x v="3"/>
    <x v="0"/>
    <x v="0"/>
    <x v="2"/>
    <x v="3"/>
    <n v="-109"/>
    <n v="-425"/>
    <n v="259"/>
    <n v="-57"/>
    <n v="127"/>
    <n v="-189"/>
    <n v="0"/>
    <n v="1000"/>
    <n v="0"/>
    <n v="500"/>
    <n v="0"/>
    <n v="1000"/>
    <n v="1"/>
    <x v="0"/>
    <n v="-109"/>
    <x v="3"/>
  </r>
  <r>
    <x v="27"/>
    <n v="50000"/>
    <x v="0"/>
    <x v="0"/>
    <x v="2"/>
    <x v="1"/>
    <n v="30"/>
    <x v="1"/>
    <x v="2"/>
    <x v="1"/>
    <x v="1"/>
    <x v="1"/>
    <x v="1"/>
    <x v="2"/>
    <n v="22541"/>
    <n v="16138"/>
    <n v="17163"/>
    <n v="17878"/>
    <n v="18931"/>
    <n v="19617"/>
    <n v="1300"/>
    <n v="1300"/>
    <n v="1000"/>
    <n v="1500"/>
    <n v="1000"/>
    <n v="1012"/>
    <n v="0"/>
    <x v="1"/>
    <n v="21241"/>
    <x v="0"/>
  </r>
  <r>
    <x v="28"/>
    <n v="50000"/>
    <x v="0"/>
    <x v="0"/>
    <x v="2"/>
    <x v="0"/>
    <n v="47"/>
    <x v="3"/>
    <x v="1"/>
    <x v="2"/>
    <x v="0"/>
    <x v="0"/>
    <x v="2"/>
    <x v="3"/>
    <n v="650"/>
    <n v="3415"/>
    <n v="3416"/>
    <n v="2040"/>
    <n v="30430"/>
    <n v="257"/>
    <n v="3415"/>
    <n v="3421"/>
    <n v="2044"/>
    <n v="30430"/>
    <n v="257"/>
    <n v="0"/>
    <n v="0"/>
    <x v="1"/>
    <n v="-2765"/>
    <x v="3"/>
  </r>
  <r>
    <x v="29"/>
    <n v="50000"/>
    <x v="0"/>
    <x v="1"/>
    <x v="1"/>
    <x v="1"/>
    <n v="26"/>
    <x v="0"/>
    <x v="2"/>
    <x v="1"/>
    <x v="1"/>
    <x v="1"/>
    <x v="1"/>
    <x v="2"/>
    <n v="15329"/>
    <n v="16575"/>
    <n v="17496"/>
    <n v="17907"/>
    <n v="18375"/>
    <n v="11400"/>
    <n v="1500"/>
    <n v="1500"/>
    <n v="1000"/>
    <n v="1000"/>
    <n v="1600"/>
    <n v="0"/>
    <n v="0"/>
    <x v="1"/>
    <n v="13829"/>
    <x v="0"/>
  </r>
  <r>
    <x v="30"/>
    <n v="230000"/>
    <x v="1"/>
    <x v="0"/>
    <x v="1"/>
    <x v="1"/>
    <n v="27"/>
    <x v="0"/>
    <x v="1"/>
    <x v="2"/>
    <x v="0"/>
    <x v="0"/>
    <x v="2"/>
    <x v="3"/>
    <n v="16646"/>
    <n v="17265"/>
    <n v="13266"/>
    <n v="15339"/>
    <n v="14307"/>
    <n v="36923"/>
    <n v="17270"/>
    <n v="13281"/>
    <n v="15339"/>
    <n v="14307"/>
    <n v="37292"/>
    <n v="0"/>
    <n v="0"/>
    <x v="1"/>
    <n v="-624"/>
    <x v="3"/>
  </r>
  <r>
    <x v="31"/>
    <n v="50000"/>
    <x v="0"/>
    <x v="1"/>
    <x v="0"/>
    <x v="1"/>
    <n v="33"/>
    <x v="1"/>
    <x v="0"/>
    <x v="1"/>
    <x v="1"/>
    <x v="1"/>
    <x v="1"/>
    <x v="2"/>
    <n v="30518"/>
    <n v="29618"/>
    <n v="22102"/>
    <n v="22734"/>
    <n v="23217"/>
    <n v="23680"/>
    <n v="1718"/>
    <n v="1500"/>
    <n v="1000"/>
    <n v="1000"/>
    <n v="1000"/>
    <n v="716"/>
    <n v="1"/>
    <x v="0"/>
    <n v="28800"/>
    <x v="1"/>
  </r>
  <r>
    <x v="32"/>
    <n v="100000"/>
    <x v="0"/>
    <x v="1"/>
    <x v="1"/>
    <x v="1"/>
    <n v="32"/>
    <x v="1"/>
    <x v="2"/>
    <x v="1"/>
    <x v="1"/>
    <x v="1"/>
    <x v="1"/>
    <x v="2"/>
    <n v="93036"/>
    <n v="84071"/>
    <n v="82880"/>
    <n v="80958"/>
    <n v="78703"/>
    <n v="75589"/>
    <n v="3023"/>
    <n v="3511"/>
    <n v="3302"/>
    <n v="3204"/>
    <n v="3200"/>
    <n v="2504"/>
    <n v="0"/>
    <x v="1"/>
    <n v="90013"/>
    <x v="1"/>
  </r>
  <r>
    <x v="33"/>
    <n v="500000"/>
    <x v="2"/>
    <x v="0"/>
    <x v="0"/>
    <x v="0"/>
    <n v="54"/>
    <x v="2"/>
    <x v="3"/>
    <x v="3"/>
    <x v="3"/>
    <x v="2"/>
    <x v="0"/>
    <x v="0"/>
    <n v="10929"/>
    <n v="4152"/>
    <n v="22722"/>
    <n v="7521"/>
    <n v="71439"/>
    <n v="8981"/>
    <n v="4152"/>
    <n v="22827"/>
    <n v="7521"/>
    <n v="71439"/>
    <n v="981"/>
    <n v="51582"/>
    <n v="0"/>
    <x v="1"/>
    <n v="6777"/>
    <x v="0"/>
  </r>
  <r>
    <x v="34"/>
    <n v="500000"/>
    <x v="2"/>
    <x v="1"/>
    <x v="1"/>
    <x v="0"/>
    <n v="58"/>
    <x v="2"/>
    <x v="3"/>
    <x v="3"/>
    <x v="3"/>
    <x v="2"/>
    <x v="0"/>
    <x v="0"/>
    <n v="13709"/>
    <n v="5006"/>
    <n v="31130"/>
    <n v="3180"/>
    <n v="0"/>
    <n v="5293"/>
    <n v="5006"/>
    <n v="31178"/>
    <n v="3180"/>
    <n v="0"/>
    <n v="5293"/>
    <n v="768"/>
    <n v="0"/>
    <x v="1"/>
    <n v="8703"/>
    <x v="0"/>
  </r>
  <r>
    <x v="35"/>
    <n v="160000"/>
    <x v="1"/>
    <x v="1"/>
    <x v="1"/>
    <x v="1"/>
    <n v="30"/>
    <x v="1"/>
    <x v="1"/>
    <x v="2"/>
    <x v="3"/>
    <x v="2"/>
    <x v="0"/>
    <x v="3"/>
    <n v="30265"/>
    <n v="-131"/>
    <n v="-527"/>
    <n v="-923"/>
    <n v="-1488"/>
    <n v="-1884"/>
    <n v="131"/>
    <n v="396"/>
    <n v="396"/>
    <n v="565"/>
    <n v="792"/>
    <n v="0"/>
    <n v="0"/>
    <x v="1"/>
    <n v="30134"/>
    <x v="1"/>
  </r>
  <r>
    <x v="36"/>
    <n v="280000"/>
    <x v="1"/>
    <x v="1"/>
    <x v="0"/>
    <x v="0"/>
    <n v="40"/>
    <x v="3"/>
    <x v="2"/>
    <x v="1"/>
    <x v="1"/>
    <x v="1"/>
    <x v="1"/>
    <x v="2"/>
    <n v="186503"/>
    <n v="181328"/>
    <n v="180422"/>
    <n v="170410"/>
    <n v="173901"/>
    <n v="177413"/>
    <n v="8026"/>
    <n v="8060"/>
    <n v="6300"/>
    <n v="6400"/>
    <n v="6400"/>
    <n v="6737"/>
    <n v="0"/>
    <x v="1"/>
    <n v="178477"/>
    <x v="2"/>
  </r>
  <r>
    <x v="37"/>
    <n v="60000"/>
    <x v="0"/>
    <x v="0"/>
    <x v="0"/>
    <x v="1"/>
    <n v="22"/>
    <x v="0"/>
    <x v="2"/>
    <x v="1"/>
    <x v="1"/>
    <x v="1"/>
    <x v="1"/>
    <x v="3"/>
    <n v="15054"/>
    <n v="9806"/>
    <n v="11068"/>
    <n v="6026"/>
    <n v="-28335"/>
    <n v="18660"/>
    <n v="1500"/>
    <n v="1518"/>
    <n v="2043"/>
    <n v="0"/>
    <n v="47671"/>
    <n v="617"/>
    <n v="0"/>
    <x v="1"/>
    <n v="13554"/>
    <x v="0"/>
  </r>
  <r>
    <x v="38"/>
    <n v="50000"/>
    <x v="0"/>
    <x v="1"/>
    <x v="1"/>
    <x v="1"/>
    <n v="25"/>
    <x v="0"/>
    <x v="4"/>
    <x v="2"/>
    <x v="0"/>
    <x v="2"/>
    <x v="0"/>
    <x v="0"/>
    <n v="0"/>
    <n v="780"/>
    <n v="0"/>
    <n v="0"/>
    <n v="0"/>
    <n v="0"/>
    <n v="780"/>
    <n v="0"/>
    <n v="0"/>
    <n v="0"/>
    <n v="0"/>
    <n v="0"/>
    <n v="1"/>
    <x v="0"/>
    <n v="-780"/>
    <x v="3"/>
  </r>
  <r>
    <x v="39"/>
    <n v="280000"/>
    <x v="1"/>
    <x v="1"/>
    <x v="1"/>
    <x v="1"/>
    <n v="31"/>
    <x v="1"/>
    <x v="1"/>
    <x v="2"/>
    <x v="2"/>
    <x v="0"/>
    <x v="1"/>
    <x v="3"/>
    <n v="498"/>
    <n v="9075"/>
    <n v="4641"/>
    <n v="9976"/>
    <n v="17976"/>
    <n v="9477"/>
    <n v="9075"/>
    <n v="0"/>
    <n v="9976"/>
    <n v="8000"/>
    <n v="9525"/>
    <n v="781"/>
    <n v="0"/>
    <x v="1"/>
    <n v="-8577"/>
    <x v="3"/>
  </r>
  <r>
    <x v="40"/>
    <n v="360000"/>
    <x v="2"/>
    <x v="1"/>
    <x v="1"/>
    <x v="1"/>
    <n v="33"/>
    <x v="1"/>
    <x v="2"/>
    <x v="1"/>
    <x v="1"/>
    <x v="1"/>
    <x v="1"/>
    <x v="2"/>
    <n v="218668"/>
    <n v="221296"/>
    <n v="206895"/>
    <n v="628699"/>
    <n v="195969"/>
    <n v="179224"/>
    <n v="10000"/>
    <n v="7000"/>
    <n v="6000"/>
    <n v="188840"/>
    <n v="28000"/>
    <n v="4000"/>
    <n v="0"/>
    <x v="1"/>
    <n v="208668"/>
    <x v="2"/>
  </r>
  <r>
    <x v="41"/>
    <n v="70000"/>
    <x v="0"/>
    <x v="0"/>
    <x v="1"/>
    <x v="1"/>
    <n v="25"/>
    <x v="0"/>
    <x v="2"/>
    <x v="1"/>
    <x v="1"/>
    <x v="1"/>
    <x v="1"/>
    <x v="2"/>
    <n v="67521"/>
    <n v="66999"/>
    <n v="63949"/>
    <n v="63699"/>
    <n v="64718"/>
    <n v="65970"/>
    <n v="3000"/>
    <n v="4500"/>
    <n v="4042"/>
    <n v="2500"/>
    <n v="2800"/>
    <n v="2500"/>
    <n v="0"/>
    <x v="1"/>
    <n v="64521"/>
    <x v="1"/>
  </r>
  <r>
    <x v="42"/>
    <n v="10000"/>
    <x v="0"/>
    <x v="1"/>
    <x v="0"/>
    <x v="1"/>
    <n v="22"/>
    <x v="0"/>
    <x v="2"/>
    <x v="1"/>
    <x v="1"/>
    <x v="1"/>
    <x v="1"/>
    <x v="2"/>
    <n v="1877"/>
    <n v="3184"/>
    <n v="6003"/>
    <n v="3576"/>
    <n v="3670"/>
    <n v="4451"/>
    <n v="1500"/>
    <n v="2927"/>
    <n v="1000"/>
    <n v="300"/>
    <n v="1000"/>
    <n v="500"/>
    <n v="0"/>
    <x v="1"/>
    <n v="377"/>
    <x v="0"/>
  </r>
  <r>
    <x v="43"/>
    <n v="140000"/>
    <x v="1"/>
    <x v="0"/>
    <x v="0"/>
    <x v="0"/>
    <n v="37"/>
    <x v="1"/>
    <x v="2"/>
    <x v="1"/>
    <x v="1"/>
    <x v="1"/>
    <x v="1"/>
    <x v="2"/>
    <n v="59504"/>
    <n v="61544"/>
    <n v="62925"/>
    <n v="64280"/>
    <n v="67079"/>
    <n v="69802"/>
    <n v="3000"/>
    <n v="3000"/>
    <n v="3000"/>
    <n v="4000"/>
    <n v="4000"/>
    <n v="3000"/>
    <n v="0"/>
    <x v="1"/>
    <n v="56504"/>
    <x v="1"/>
  </r>
  <r>
    <x v="44"/>
    <n v="40000"/>
    <x v="0"/>
    <x v="0"/>
    <x v="1"/>
    <x v="1"/>
    <n v="30"/>
    <x v="1"/>
    <x v="2"/>
    <x v="1"/>
    <x v="1"/>
    <x v="3"/>
    <x v="1"/>
    <x v="2"/>
    <n v="18927"/>
    <n v="21295"/>
    <n v="25921"/>
    <n v="25209"/>
    <n v="26636"/>
    <n v="29197"/>
    <n v="3000"/>
    <n v="5000"/>
    <n v="0"/>
    <n v="2000"/>
    <n v="3000"/>
    <n v="0"/>
    <n v="0"/>
    <x v="1"/>
    <n v="15927"/>
    <x v="0"/>
  </r>
  <r>
    <x v="45"/>
    <n v="210000"/>
    <x v="1"/>
    <x v="1"/>
    <x v="1"/>
    <x v="1"/>
    <n v="29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46"/>
    <n v="20000"/>
    <x v="0"/>
    <x v="0"/>
    <x v="1"/>
    <x v="1"/>
    <n v="22"/>
    <x v="0"/>
    <x v="2"/>
    <x v="1"/>
    <x v="2"/>
    <x v="0"/>
    <x v="1"/>
    <x v="2"/>
    <n v="14028"/>
    <n v="16484"/>
    <n v="15800"/>
    <n v="16341"/>
    <n v="16675"/>
    <n v="0"/>
    <n v="3000"/>
    <n v="0"/>
    <n v="16741"/>
    <n v="334"/>
    <n v="0"/>
    <n v="0"/>
    <n v="1"/>
    <x v="0"/>
    <n v="11028"/>
    <x v="0"/>
  </r>
  <r>
    <x v="47"/>
    <n v="150000"/>
    <x v="1"/>
    <x v="0"/>
    <x v="3"/>
    <x v="1"/>
    <n v="46"/>
    <x v="3"/>
    <x v="2"/>
    <x v="1"/>
    <x v="0"/>
    <x v="1"/>
    <x v="1"/>
    <x v="0"/>
    <n v="4463"/>
    <n v="3034"/>
    <n v="1170"/>
    <n v="1170"/>
    <n v="0"/>
    <n v="0"/>
    <n v="1013"/>
    <n v="1170"/>
    <n v="0"/>
    <n v="0"/>
    <n v="0"/>
    <n v="0"/>
    <n v="1"/>
    <x v="0"/>
    <n v="3450"/>
    <x v="0"/>
  </r>
  <r>
    <x v="48"/>
    <n v="380000"/>
    <x v="2"/>
    <x v="1"/>
    <x v="0"/>
    <x v="1"/>
    <n v="32"/>
    <x v="1"/>
    <x v="1"/>
    <x v="2"/>
    <x v="0"/>
    <x v="0"/>
    <x v="2"/>
    <x v="3"/>
    <n v="22401"/>
    <n v="21540"/>
    <n v="15134"/>
    <n v="32018"/>
    <n v="11849"/>
    <n v="11873"/>
    <n v="21540"/>
    <n v="15138"/>
    <n v="24677"/>
    <n v="11851"/>
    <n v="11875"/>
    <n v="8251"/>
    <n v="0"/>
    <x v="1"/>
    <n v="861"/>
    <x v="0"/>
  </r>
  <r>
    <x v="49"/>
    <n v="20000"/>
    <x v="0"/>
    <x v="1"/>
    <x v="1"/>
    <x v="1"/>
    <n v="24"/>
    <x v="0"/>
    <x v="2"/>
    <x v="1"/>
    <x v="1"/>
    <x v="1"/>
    <x v="1"/>
    <x v="2"/>
    <n v="17447"/>
    <n v="18479"/>
    <n v="19476"/>
    <n v="19865"/>
    <n v="20480"/>
    <n v="20063"/>
    <n v="1318"/>
    <n v="1315"/>
    <n v="704"/>
    <n v="928"/>
    <n v="912"/>
    <n v="1069"/>
    <n v="0"/>
    <x v="1"/>
    <n v="16129"/>
    <x v="0"/>
  </r>
  <r>
    <x v="50"/>
    <n v="70000"/>
    <x v="0"/>
    <x v="1"/>
    <x v="2"/>
    <x v="1"/>
    <n v="42"/>
    <x v="3"/>
    <x v="4"/>
    <x v="0"/>
    <x v="2"/>
    <x v="3"/>
    <x v="3"/>
    <x v="2"/>
    <n v="37042"/>
    <n v="36171"/>
    <n v="38355"/>
    <n v="39423"/>
    <n v="38659"/>
    <n v="39362"/>
    <n v="0"/>
    <n v="3100"/>
    <n v="2000"/>
    <n v="0"/>
    <n v="1500"/>
    <n v="1500"/>
    <n v="1"/>
    <x v="0"/>
    <n v="37042"/>
    <x v="1"/>
  </r>
  <r>
    <x v="51"/>
    <n v="100000"/>
    <x v="0"/>
    <x v="0"/>
    <x v="2"/>
    <x v="2"/>
    <n v="43"/>
    <x v="3"/>
    <x v="2"/>
    <x v="1"/>
    <x v="1"/>
    <x v="1"/>
    <x v="1"/>
    <x v="2"/>
    <n v="61559"/>
    <n v="51163"/>
    <n v="43824"/>
    <n v="39619"/>
    <n v="35762"/>
    <n v="33258"/>
    <n v="2000"/>
    <n v="1606"/>
    <n v="1500"/>
    <n v="2000"/>
    <n v="1500"/>
    <n v="1000"/>
    <n v="0"/>
    <x v="1"/>
    <n v="59559"/>
    <x v="1"/>
  </r>
  <r>
    <x v="52"/>
    <n v="310000"/>
    <x v="2"/>
    <x v="0"/>
    <x v="0"/>
    <x v="0"/>
    <n v="49"/>
    <x v="3"/>
    <x v="3"/>
    <x v="3"/>
    <x v="3"/>
    <x v="2"/>
    <x v="0"/>
    <x v="0"/>
    <n v="13465"/>
    <n v="7867"/>
    <n v="7600"/>
    <n v="11185"/>
    <n v="3544"/>
    <n v="464"/>
    <n v="7875"/>
    <n v="7600"/>
    <n v="11185"/>
    <n v="3544"/>
    <n v="464"/>
    <n v="0"/>
    <n v="0"/>
    <x v="1"/>
    <n v="5590"/>
    <x v="0"/>
  </r>
  <r>
    <x v="53"/>
    <n v="180000"/>
    <x v="1"/>
    <x v="0"/>
    <x v="1"/>
    <x v="1"/>
    <n v="25"/>
    <x v="0"/>
    <x v="4"/>
    <x v="0"/>
    <x v="1"/>
    <x v="1"/>
    <x v="1"/>
    <x v="2"/>
    <n v="41402"/>
    <n v="41742"/>
    <n v="42758"/>
    <n v="43510"/>
    <n v="44420"/>
    <n v="45319"/>
    <n v="1300"/>
    <n v="2010"/>
    <n v="1762"/>
    <n v="1762"/>
    <n v="1790"/>
    <n v="1622"/>
    <n v="0"/>
    <x v="1"/>
    <n v="40102"/>
    <x v="1"/>
  </r>
  <r>
    <x v="54"/>
    <n v="150000"/>
    <x v="1"/>
    <x v="0"/>
    <x v="1"/>
    <x v="1"/>
    <n v="29"/>
    <x v="0"/>
    <x v="0"/>
    <x v="1"/>
    <x v="1"/>
    <x v="1"/>
    <x v="1"/>
    <x v="2"/>
    <n v="46224"/>
    <n v="34993"/>
    <n v="31434"/>
    <n v="26518"/>
    <n v="21042"/>
    <n v="16540"/>
    <n v="1600"/>
    <n v="1718"/>
    <n v="1049"/>
    <n v="1500"/>
    <n v="2000"/>
    <n v="5000"/>
    <n v="0"/>
    <x v="1"/>
    <n v="44624"/>
    <x v="1"/>
  </r>
  <r>
    <x v="55"/>
    <n v="500000"/>
    <x v="2"/>
    <x v="0"/>
    <x v="1"/>
    <x v="0"/>
    <n v="45"/>
    <x v="3"/>
    <x v="3"/>
    <x v="3"/>
    <x v="3"/>
    <x v="2"/>
    <x v="0"/>
    <x v="0"/>
    <n v="1905"/>
    <n v="3640"/>
    <n v="162"/>
    <n v="0"/>
    <n v="151"/>
    <n v="2530"/>
    <n v="3640"/>
    <n v="162"/>
    <n v="0"/>
    <n v="151"/>
    <n v="2530"/>
    <n v="0"/>
    <n v="0"/>
    <x v="1"/>
    <n v="-1735"/>
    <x v="3"/>
  </r>
  <r>
    <x v="56"/>
    <n v="180000"/>
    <x v="1"/>
    <x v="0"/>
    <x v="2"/>
    <x v="0"/>
    <n v="34"/>
    <x v="1"/>
    <x v="2"/>
    <x v="1"/>
    <x v="1"/>
    <x v="0"/>
    <x v="2"/>
    <x v="3"/>
    <n v="16386"/>
    <n v="15793"/>
    <n v="8441"/>
    <n v="7142"/>
    <n v="-679"/>
    <n v="8321"/>
    <n v="8500"/>
    <n v="1500"/>
    <n v="7500"/>
    <n v="679"/>
    <n v="9000"/>
    <n v="2000"/>
    <n v="0"/>
    <x v="1"/>
    <n v="7886"/>
    <x v="0"/>
  </r>
  <r>
    <x v="57"/>
    <n v="180000"/>
    <x v="1"/>
    <x v="0"/>
    <x v="0"/>
    <x v="0"/>
    <n v="34"/>
    <x v="1"/>
    <x v="2"/>
    <x v="1"/>
    <x v="1"/>
    <x v="1"/>
    <x v="1"/>
    <x v="2"/>
    <n v="175886"/>
    <n v="173440"/>
    <n v="172308"/>
    <n v="168608"/>
    <n v="132202"/>
    <n v="129918"/>
    <n v="8083"/>
    <n v="7296"/>
    <n v="5253"/>
    <n v="4814"/>
    <n v="4816"/>
    <n v="3800"/>
    <n v="0"/>
    <x v="1"/>
    <n v="167803"/>
    <x v="2"/>
  </r>
  <r>
    <x v="58"/>
    <n v="200000"/>
    <x v="1"/>
    <x v="0"/>
    <x v="1"/>
    <x v="1"/>
    <n v="34"/>
    <x v="1"/>
    <x v="1"/>
    <x v="4"/>
    <x v="2"/>
    <x v="3"/>
    <x v="3"/>
    <x v="1"/>
    <n v="1587"/>
    <n v="1098"/>
    <n v="782"/>
    <n v="1166"/>
    <n v="700"/>
    <n v="1414"/>
    <n v="0"/>
    <n v="0"/>
    <n v="700"/>
    <n v="0"/>
    <n v="1200"/>
    <n v="0"/>
    <n v="0"/>
    <x v="1"/>
    <n v="1587"/>
    <x v="0"/>
  </r>
  <r>
    <x v="59"/>
    <n v="400000"/>
    <x v="2"/>
    <x v="0"/>
    <x v="0"/>
    <x v="0"/>
    <n v="29"/>
    <x v="0"/>
    <x v="2"/>
    <x v="1"/>
    <x v="1"/>
    <x v="1"/>
    <x v="1"/>
    <x v="2"/>
    <n v="400134"/>
    <n v="398857"/>
    <n v="404205"/>
    <n v="360199"/>
    <n v="356656"/>
    <n v="364089"/>
    <n v="17000"/>
    <n v="15029"/>
    <n v="30000"/>
    <n v="12000"/>
    <n v="12000"/>
    <n v="23000"/>
    <n v="0"/>
    <x v="1"/>
    <n v="383134"/>
    <x v="2"/>
  </r>
  <r>
    <x v="60"/>
    <n v="500000"/>
    <x v="2"/>
    <x v="0"/>
    <x v="2"/>
    <x v="0"/>
    <n v="28"/>
    <x v="0"/>
    <x v="2"/>
    <x v="1"/>
    <x v="1"/>
    <x v="1"/>
    <x v="1"/>
    <x v="2"/>
    <n v="22848"/>
    <n v="23638"/>
    <n v="18878"/>
    <n v="14937"/>
    <n v="13827"/>
    <n v="15571"/>
    <n v="1516"/>
    <n v="1300"/>
    <n v="1000"/>
    <n v="1000"/>
    <n v="2000"/>
    <n v="2000"/>
    <n v="1"/>
    <x v="0"/>
    <n v="21332"/>
    <x v="0"/>
  </r>
  <r>
    <x v="61"/>
    <n v="70000"/>
    <x v="0"/>
    <x v="1"/>
    <x v="0"/>
    <x v="0"/>
    <n v="39"/>
    <x v="1"/>
    <x v="2"/>
    <x v="1"/>
    <x v="1"/>
    <x v="1"/>
    <x v="1"/>
    <x v="3"/>
    <n v="70800"/>
    <n v="72060"/>
    <n v="69938"/>
    <n v="16518"/>
    <n v="14096"/>
    <n v="830"/>
    <n v="4025"/>
    <n v="2095"/>
    <n v="1000"/>
    <n v="2000"/>
    <n v="3000"/>
    <n v="0"/>
    <n v="0"/>
    <x v="1"/>
    <n v="66775"/>
    <x v="1"/>
  </r>
  <r>
    <x v="62"/>
    <n v="50000"/>
    <x v="0"/>
    <x v="1"/>
    <x v="1"/>
    <x v="1"/>
    <n v="29"/>
    <x v="0"/>
    <x v="0"/>
    <x v="0"/>
    <x v="2"/>
    <x v="3"/>
    <x v="3"/>
    <x v="1"/>
    <n v="24987"/>
    <n v="24300"/>
    <n v="26591"/>
    <n v="25865"/>
    <n v="27667"/>
    <n v="28264"/>
    <n v="0"/>
    <n v="2700"/>
    <n v="0"/>
    <n v="2225"/>
    <n v="1200"/>
    <n v="0"/>
    <n v="1"/>
    <x v="0"/>
    <n v="24987"/>
    <x v="0"/>
  </r>
  <r>
    <x v="63"/>
    <n v="50000"/>
    <x v="0"/>
    <x v="0"/>
    <x v="0"/>
    <x v="0"/>
    <n v="46"/>
    <x v="3"/>
    <x v="2"/>
    <x v="1"/>
    <x v="1"/>
    <x v="2"/>
    <x v="0"/>
    <x v="0"/>
    <n v="28718"/>
    <n v="29166"/>
    <n v="0"/>
    <n v="0"/>
    <n v="0"/>
    <n v="0"/>
    <n v="1000"/>
    <n v="0"/>
    <n v="0"/>
    <n v="0"/>
    <n v="0"/>
    <n v="0"/>
    <n v="1"/>
    <x v="0"/>
    <n v="27718"/>
    <x v="1"/>
  </r>
  <r>
    <x v="64"/>
    <n v="130000"/>
    <x v="1"/>
    <x v="0"/>
    <x v="0"/>
    <x v="0"/>
    <n v="51"/>
    <x v="2"/>
    <x v="1"/>
    <x v="2"/>
    <x v="3"/>
    <x v="2"/>
    <x v="2"/>
    <x v="3"/>
    <n v="99"/>
    <n v="0"/>
    <n v="0"/>
    <n v="0"/>
    <n v="2353"/>
    <n v="0"/>
    <n v="0"/>
    <n v="0"/>
    <n v="0"/>
    <n v="2353"/>
    <n v="0"/>
    <n v="0"/>
    <n v="0"/>
    <x v="1"/>
    <n v="99"/>
    <x v="0"/>
  </r>
  <r>
    <x v="65"/>
    <n v="200000"/>
    <x v="1"/>
    <x v="1"/>
    <x v="1"/>
    <x v="0"/>
    <n v="57"/>
    <x v="2"/>
    <x v="3"/>
    <x v="3"/>
    <x v="3"/>
    <x v="0"/>
    <x v="3"/>
    <x v="1"/>
    <n v="152519"/>
    <n v="148751"/>
    <n v="144076"/>
    <n v="8174"/>
    <n v="8198"/>
    <n v="7918"/>
    <n v="0"/>
    <n v="0"/>
    <n v="8222"/>
    <n v="300"/>
    <n v="0"/>
    <n v="1000"/>
    <n v="1"/>
    <x v="0"/>
    <n v="152519"/>
    <x v="2"/>
  </r>
  <r>
    <x v="66"/>
    <n v="10000"/>
    <x v="0"/>
    <x v="1"/>
    <x v="0"/>
    <x v="0"/>
    <n v="56"/>
    <x v="2"/>
    <x v="0"/>
    <x v="0"/>
    <x v="2"/>
    <x v="1"/>
    <x v="1"/>
    <x v="2"/>
    <n v="2097"/>
    <n v="4193"/>
    <n v="3978"/>
    <n v="4062"/>
    <n v="4196"/>
    <n v="4326"/>
    <n v="2300"/>
    <n v="0"/>
    <n v="150"/>
    <n v="200"/>
    <n v="200"/>
    <n v="160"/>
    <n v="1"/>
    <x v="0"/>
    <n v="-203"/>
    <x v="3"/>
  </r>
  <r>
    <x v="67"/>
    <n v="210000"/>
    <x v="1"/>
    <x v="0"/>
    <x v="1"/>
    <x v="1"/>
    <n v="30"/>
    <x v="1"/>
    <x v="0"/>
    <x v="2"/>
    <x v="0"/>
    <x v="0"/>
    <x v="2"/>
    <x v="3"/>
    <n v="300"/>
    <n v="300"/>
    <n v="1159"/>
    <n v="2280"/>
    <n v="300"/>
    <n v="4250"/>
    <n v="300"/>
    <n v="1159"/>
    <n v="2280"/>
    <n v="300"/>
    <n v="4250"/>
    <n v="909"/>
    <n v="0"/>
    <x v="1"/>
    <n v="0"/>
    <x v="3"/>
  </r>
  <r>
    <x v="68"/>
    <n v="130000"/>
    <x v="1"/>
    <x v="0"/>
    <x v="2"/>
    <x v="1"/>
    <n v="29"/>
    <x v="0"/>
    <x v="4"/>
    <x v="3"/>
    <x v="3"/>
    <x v="0"/>
    <x v="3"/>
    <x v="3"/>
    <n v="-190"/>
    <n v="-9850"/>
    <n v="-9850"/>
    <n v="10311"/>
    <n v="10161"/>
    <n v="7319"/>
    <n v="0"/>
    <n v="0"/>
    <n v="20161"/>
    <n v="0"/>
    <n v="7319"/>
    <n v="13899"/>
    <n v="0"/>
    <x v="1"/>
    <n v="-190"/>
    <x v="3"/>
  </r>
  <r>
    <x v="69"/>
    <n v="20000"/>
    <x v="0"/>
    <x v="1"/>
    <x v="3"/>
    <x v="1"/>
    <n v="22"/>
    <x v="0"/>
    <x v="0"/>
    <x v="1"/>
    <x v="1"/>
    <x v="1"/>
    <x v="1"/>
    <x v="2"/>
    <n v="18565"/>
    <n v="17204"/>
    <n v="17285"/>
    <n v="18085"/>
    <n v="11205"/>
    <n v="5982"/>
    <n v="0"/>
    <n v="1200"/>
    <n v="1000"/>
    <n v="500"/>
    <n v="1000"/>
    <n v="0"/>
    <n v="0"/>
    <x v="1"/>
    <n v="18565"/>
    <x v="0"/>
  </r>
  <r>
    <x v="70"/>
    <n v="80000"/>
    <x v="0"/>
    <x v="1"/>
    <x v="1"/>
    <x v="1"/>
    <n v="31"/>
    <x v="1"/>
    <x v="1"/>
    <x v="2"/>
    <x v="0"/>
    <x v="0"/>
    <x v="2"/>
    <x v="3"/>
    <n v="780"/>
    <n v="0"/>
    <n v="390"/>
    <n v="390"/>
    <n v="390"/>
    <n v="390"/>
    <n v="0"/>
    <n v="390"/>
    <n v="390"/>
    <n v="390"/>
    <n v="390"/>
    <n v="390"/>
    <n v="0"/>
    <x v="1"/>
    <n v="780"/>
    <x v="0"/>
  </r>
  <r>
    <x v="71"/>
    <n v="320000"/>
    <x v="2"/>
    <x v="1"/>
    <x v="0"/>
    <x v="1"/>
    <n v="29"/>
    <x v="0"/>
    <x v="0"/>
    <x v="0"/>
    <x v="2"/>
    <x v="3"/>
    <x v="3"/>
    <x v="1"/>
    <n v="58267"/>
    <n v="59246"/>
    <n v="60184"/>
    <n v="58622"/>
    <n v="62307"/>
    <n v="63526"/>
    <n v="2500"/>
    <n v="2500"/>
    <n v="0"/>
    <n v="4800"/>
    <n v="2400"/>
    <n v="1600"/>
    <n v="1"/>
    <x v="0"/>
    <n v="55767"/>
    <x v="1"/>
  </r>
  <r>
    <x v="72"/>
    <n v="200000"/>
    <x v="1"/>
    <x v="0"/>
    <x v="0"/>
    <x v="0"/>
    <n v="32"/>
    <x v="1"/>
    <x v="1"/>
    <x v="2"/>
    <x v="0"/>
    <x v="0"/>
    <x v="3"/>
    <x v="3"/>
    <n v="9076"/>
    <n v="5787"/>
    <n v="-684"/>
    <n v="5247"/>
    <n v="3848"/>
    <n v="3151"/>
    <n v="5818"/>
    <n v="15"/>
    <n v="9102"/>
    <n v="17"/>
    <n v="3165"/>
    <n v="1395"/>
    <n v="0"/>
    <x v="1"/>
    <n v="3258"/>
    <x v="0"/>
  </r>
  <r>
    <x v="73"/>
    <n v="290000"/>
    <x v="1"/>
    <x v="0"/>
    <x v="1"/>
    <x v="1"/>
    <n v="37"/>
    <x v="1"/>
    <x v="4"/>
    <x v="3"/>
    <x v="0"/>
    <x v="0"/>
    <x v="2"/>
    <x v="3"/>
    <n v="0"/>
    <n v="0"/>
    <n v="3155"/>
    <n v="0"/>
    <n v="2359"/>
    <n v="0"/>
    <n v="0"/>
    <n v="3155"/>
    <n v="0"/>
    <n v="2359"/>
    <n v="0"/>
    <n v="0"/>
    <n v="0"/>
    <x v="1"/>
    <n v="0"/>
    <x v="3"/>
  </r>
  <r>
    <x v="74"/>
    <n v="340000"/>
    <x v="2"/>
    <x v="1"/>
    <x v="1"/>
    <x v="1"/>
    <n v="32"/>
    <x v="1"/>
    <x v="1"/>
    <x v="2"/>
    <x v="0"/>
    <x v="0"/>
    <x v="2"/>
    <x v="3"/>
    <n v="3048"/>
    <n v="5550"/>
    <n v="23337"/>
    <n v="4291"/>
    <n v="80153"/>
    <n v="25820"/>
    <n v="5713"/>
    <n v="23453"/>
    <n v="4314"/>
    <n v="80552"/>
    <n v="25949"/>
    <n v="2016"/>
    <n v="0"/>
    <x v="1"/>
    <n v="-2665"/>
    <x v="3"/>
  </r>
  <r>
    <x v="75"/>
    <n v="20000"/>
    <x v="0"/>
    <x v="1"/>
    <x v="0"/>
    <x v="1"/>
    <n v="24"/>
    <x v="0"/>
    <x v="2"/>
    <x v="1"/>
    <x v="2"/>
    <x v="1"/>
    <x v="1"/>
    <x v="2"/>
    <n v="14619"/>
    <n v="17216"/>
    <n v="16642"/>
    <n v="16976"/>
    <n v="17332"/>
    <n v="18543"/>
    <n v="2850"/>
    <n v="0"/>
    <n v="610"/>
    <n v="630"/>
    <n v="1500"/>
    <n v="0"/>
    <n v="0"/>
    <x v="1"/>
    <n v="11769"/>
    <x v="0"/>
  </r>
  <r>
    <x v="76"/>
    <n v="50000"/>
    <x v="0"/>
    <x v="1"/>
    <x v="2"/>
    <x v="1"/>
    <n v="25"/>
    <x v="0"/>
    <x v="1"/>
    <x v="1"/>
    <x v="1"/>
    <x v="1"/>
    <x v="1"/>
    <x v="2"/>
    <n v="42838"/>
    <n v="37225"/>
    <n v="36087"/>
    <n v="9636"/>
    <n v="9590"/>
    <n v="10030"/>
    <n v="1759"/>
    <n v="1779"/>
    <n v="320"/>
    <n v="500"/>
    <n v="1000"/>
    <n v="1000"/>
    <n v="0"/>
    <x v="1"/>
    <n v="41079"/>
    <x v="1"/>
  </r>
  <r>
    <x v="77"/>
    <n v="300000"/>
    <x v="1"/>
    <x v="0"/>
    <x v="1"/>
    <x v="0"/>
    <n v="45"/>
    <x v="3"/>
    <x v="1"/>
    <x v="2"/>
    <x v="0"/>
    <x v="0"/>
    <x v="2"/>
    <x v="3"/>
    <n v="291"/>
    <n v="291"/>
    <n v="291"/>
    <n v="291"/>
    <n v="291"/>
    <n v="291"/>
    <n v="291"/>
    <n v="291"/>
    <n v="291"/>
    <n v="291"/>
    <n v="291"/>
    <n v="291"/>
    <n v="0"/>
    <x v="1"/>
    <n v="0"/>
    <x v="3"/>
  </r>
  <r>
    <x v="78"/>
    <n v="30000"/>
    <x v="0"/>
    <x v="0"/>
    <x v="0"/>
    <x v="1"/>
    <n v="22"/>
    <x v="0"/>
    <x v="2"/>
    <x v="1"/>
    <x v="1"/>
    <x v="1"/>
    <x v="1"/>
    <x v="2"/>
    <n v="28387"/>
    <n v="29612"/>
    <n v="30326"/>
    <n v="28004"/>
    <n v="26446"/>
    <n v="6411"/>
    <n v="1686"/>
    <n v="1400"/>
    <n v="560"/>
    <n v="3000"/>
    <n v="1765"/>
    <n v="0"/>
    <n v="1"/>
    <x v="0"/>
    <n v="26701"/>
    <x v="1"/>
  </r>
  <r>
    <x v="79"/>
    <n v="240000"/>
    <x v="1"/>
    <x v="0"/>
    <x v="0"/>
    <x v="1"/>
    <n v="44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80"/>
    <n v="470000"/>
    <x v="2"/>
    <x v="0"/>
    <x v="2"/>
    <x v="2"/>
    <n v="33"/>
    <x v="1"/>
    <x v="2"/>
    <x v="1"/>
    <x v="1"/>
    <x v="1"/>
    <x v="1"/>
    <x v="2"/>
    <n v="165254"/>
    <n v="157784"/>
    <n v="162702"/>
    <n v="69923"/>
    <n v="29271"/>
    <n v="29889"/>
    <n v="6400"/>
    <n v="7566"/>
    <n v="3000"/>
    <n v="960"/>
    <n v="1000"/>
    <n v="3000"/>
    <n v="0"/>
    <x v="1"/>
    <n v="158854"/>
    <x v="2"/>
  </r>
  <r>
    <x v="81"/>
    <n v="360000"/>
    <x v="2"/>
    <x v="0"/>
    <x v="1"/>
    <x v="1"/>
    <n v="26"/>
    <x v="0"/>
    <x v="2"/>
    <x v="1"/>
    <x v="1"/>
    <x v="1"/>
    <x v="1"/>
    <x v="3"/>
    <n v="23411"/>
    <n v="27796"/>
    <n v="30400"/>
    <n v="33100"/>
    <n v="180000"/>
    <n v="196"/>
    <n v="4796"/>
    <n v="3400"/>
    <n v="3100"/>
    <n v="146900"/>
    <n v="196"/>
    <n v="2963"/>
    <n v="0"/>
    <x v="1"/>
    <n v="18615"/>
    <x v="0"/>
  </r>
  <r>
    <x v="82"/>
    <n v="60000"/>
    <x v="0"/>
    <x v="1"/>
    <x v="2"/>
    <x v="1"/>
    <n v="30"/>
    <x v="1"/>
    <x v="2"/>
    <x v="1"/>
    <x v="1"/>
    <x v="1"/>
    <x v="1"/>
    <x v="2"/>
    <n v="26324"/>
    <n v="27471"/>
    <n v="28108"/>
    <n v="21993"/>
    <n v="19899"/>
    <n v="19771"/>
    <n v="1576"/>
    <n v="1213"/>
    <n v="648"/>
    <n v="768"/>
    <n v="1140"/>
    <n v="0"/>
    <n v="1"/>
    <x v="0"/>
    <n v="24748"/>
    <x v="0"/>
  </r>
  <r>
    <x v="83"/>
    <n v="400000"/>
    <x v="2"/>
    <x v="0"/>
    <x v="0"/>
    <x v="0"/>
    <n v="44"/>
    <x v="3"/>
    <x v="2"/>
    <x v="1"/>
    <x v="2"/>
    <x v="1"/>
    <x v="1"/>
    <x v="2"/>
    <n v="131595"/>
    <n v="139060"/>
    <n v="126819"/>
    <n v="104430"/>
    <n v="104990"/>
    <n v="94058"/>
    <n v="10700"/>
    <n v="3"/>
    <n v="3050"/>
    <n v="3000"/>
    <n v="3200"/>
    <n v="2800"/>
    <n v="0"/>
    <x v="1"/>
    <n v="120895"/>
    <x v="2"/>
  </r>
  <r>
    <x v="84"/>
    <n v="50000"/>
    <x v="0"/>
    <x v="0"/>
    <x v="2"/>
    <x v="1"/>
    <n v="49"/>
    <x v="3"/>
    <x v="2"/>
    <x v="1"/>
    <x v="1"/>
    <x v="1"/>
    <x v="1"/>
    <x v="2"/>
    <n v="48909"/>
    <n v="47863"/>
    <n v="21489"/>
    <n v="20414"/>
    <n v="19342"/>
    <n v="19482"/>
    <n v="1676"/>
    <n v="1302"/>
    <n v="700"/>
    <n v="699"/>
    <n v="849"/>
    <n v="826"/>
    <n v="0"/>
    <x v="1"/>
    <n v="47233"/>
    <x v="1"/>
  </r>
  <r>
    <x v="85"/>
    <n v="160000"/>
    <x v="1"/>
    <x v="1"/>
    <x v="0"/>
    <x v="1"/>
    <n v="33"/>
    <x v="1"/>
    <x v="2"/>
    <x v="1"/>
    <x v="1"/>
    <x v="1"/>
    <x v="1"/>
    <x v="2"/>
    <n v="130028"/>
    <n v="107808"/>
    <n v="71934"/>
    <n v="118418"/>
    <n v="118407"/>
    <n v="120418"/>
    <n v="4400"/>
    <n v="3547"/>
    <n v="80000"/>
    <n v="4500"/>
    <n v="4800"/>
    <n v="4500"/>
    <n v="0"/>
    <x v="1"/>
    <n v="125628"/>
    <x v="2"/>
  </r>
  <r>
    <x v="86"/>
    <n v="360000"/>
    <x v="2"/>
    <x v="0"/>
    <x v="1"/>
    <x v="0"/>
    <n v="45"/>
    <x v="3"/>
    <x v="1"/>
    <x v="2"/>
    <x v="2"/>
    <x v="1"/>
    <x v="2"/>
    <x v="3"/>
    <n v="390"/>
    <n v="1170"/>
    <n v="780"/>
    <n v="390"/>
    <n v="390"/>
    <n v="390"/>
    <n v="1170"/>
    <n v="0"/>
    <n v="0"/>
    <n v="390"/>
    <n v="390"/>
    <n v="390"/>
    <n v="1"/>
    <x v="0"/>
    <n v="-780"/>
    <x v="3"/>
  </r>
  <r>
    <x v="87"/>
    <n v="160000"/>
    <x v="1"/>
    <x v="0"/>
    <x v="0"/>
    <x v="1"/>
    <n v="32"/>
    <x v="1"/>
    <x v="2"/>
    <x v="1"/>
    <x v="1"/>
    <x v="1"/>
    <x v="1"/>
    <x v="3"/>
    <n v="3826"/>
    <n v="4751"/>
    <n v="6604"/>
    <n v="8604"/>
    <n v="7072"/>
    <n v="766"/>
    <n v="1147"/>
    <n v="2000"/>
    <n v="2000"/>
    <n v="0"/>
    <n v="766"/>
    <n v="2303"/>
    <n v="0"/>
    <x v="1"/>
    <n v="2679"/>
    <x v="0"/>
  </r>
  <r>
    <x v="88"/>
    <n v="130000"/>
    <x v="1"/>
    <x v="0"/>
    <x v="1"/>
    <x v="0"/>
    <n v="35"/>
    <x v="1"/>
    <x v="2"/>
    <x v="1"/>
    <x v="1"/>
    <x v="0"/>
    <x v="2"/>
    <x v="3"/>
    <n v="81313"/>
    <n v="117866"/>
    <n v="17740"/>
    <n v="1330"/>
    <n v="7095"/>
    <n v="1190"/>
    <n v="40000"/>
    <n v="5000"/>
    <n v="1330"/>
    <n v="7095"/>
    <n v="1190"/>
    <n v="2090"/>
    <n v="0"/>
    <x v="1"/>
    <n v="41313"/>
    <x v="1"/>
  </r>
  <r>
    <x v="89"/>
    <n v="20000"/>
    <x v="0"/>
    <x v="1"/>
    <x v="2"/>
    <x v="1"/>
    <n v="44"/>
    <x v="3"/>
    <x v="0"/>
    <x v="0"/>
    <x v="1"/>
    <x v="1"/>
    <x v="1"/>
    <x v="1"/>
    <n v="8583"/>
    <n v="8303"/>
    <n v="9651"/>
    <n v="10488"/>
    <n v="12314"/>
    <n v="11970"/>
    <n v="0"/>
    <n v="1651"/>
    <n v="1000"/>
    <n v="2000"/>
    <n v="0"/>
    <n v="1500"/>
    <n v="0"/>
    <x v="1"/>
    <n v="8583"/>
    <x v="0"/>
  </r>
  <r>
    <x v="90"/>
    <n v="200000"/>
    <x v="1"/>
    <x v="1"/>
    <x v="1"/>
    <x v="0"/>
    <n v="53"/>
    <x v="2"/>
    <x v="0"/>
    <x v="0"/>
    <x v="2"/>
    <x v="3"/>
    <x v="3"/>
    <x v="1"/>
    <n v="138180"/>
    <n v="140774"/>
    <n v="142460"/>
    <n v="144098"/>
    <n v="147124"/>
    <n v="149531"/>
    <n v="6300"/>
    <n v="5500"/>
    <n v="5500"/>
    <n v="5500"/>
    <n v="5000"/>
    <n v="5000"/>
    <n v="1"/>
    <x v="0"/>
    <n v="131880"/>
    <x v="2"/>
  </r>
  <r>
    <x v="91"/>
    <n v="280000"/>
    <x v="1"/>
    <x v="0"/>
    <x v="1"/>
    <x v="1"/>
    <n v="39"/>
    <x v="1"/>
    <x v="1"/>
    <x v="2"/>
    <x v="0"/>
    <x v="1"/>
    <x v="1"/>
    <x v="0"/>
    <n v="7524"/>
    <n v="0"/>
    <n v="3968"/>
    <n v="3868"/>
    <n v="0"/>
    <n v="0"/>
    <n v="0"/>
    <n v="3968"/>
    <n v="0"/>
    <n v="0"/>
    <n v="0"/>
    <n v="0"/>
    <n v="0"/>
    <x v="1"/>
    <n v="7524"/>
    <x v="0"/>
  </r>
  <r>
    <x v="92"/>
    <n v="100000"/>
    <x v="0"/>
    <x v="0"/>
    <x v="1"/>
    <x v="1"/>
    <n v="27"/>
    <x v="0"/>
    <x v="3"/>
    <x v="3"/>
    <x v="3"/>
    <x v="2"/>
    <x v="0"/>
    <x v="0"/>
    <n v="-2000"/>
    <n v="5555"/>
    <n v="0"/>
    <n v="0"/>
    <n v="0"/>
    <n v="0"/>
    <n v="7555"/>
    <n v="0"/>
    <n v="0"/>
    <n v="0"/>
    <n v="0"/>
    <n v="0"/>
    <n v="0"/>
    <x v="1"/>
    <n v="-9555"/>
    <x v="3"/>
  </r>
  <r>
    <x v="93"/>
    <n v="160000"/>
    <x v="1"/>
    <x v="0"/>
    <x v="0"/>
    <x v="0"/>
    <n v="37"/>
    <x v="1"/>
    <x v="1"/>
    <x v="2"/>
    <x v="0"/>
    <x v="0"/>
    <x v="2"/>
    <x v="0"/>
    <n v="880"/>
    <n v="1602"/>
    <n v="840"/>
    <n v="840"/>
    <n v="0"/>
    <n v="0"/>
    <n v="1602"/>
    <n v="840"/>
    <n v="840"/>
    <n v="0"/>
    <n v="0"/>
    <n v="7736"/>
    <n v="0"/>
    <x v="1"/>
    <n v="-722"/>
    <x v="3"/>
  </r>
  <r>
    <x v="94"/>
    <n v="60000"/>
    <x v="0"/>
    <x v="0"/>
    <x v="0"/>
    <x v="1"/>
    <n v="23"/>
    <x v="0"/>
    <x v="2"/>
    <x v="1"/>
    <x v="1"/>
    <x v="1"/>
    <x v="1"/>
    <x v="2"/>
    <n v="45648"/>
    <n v="46850"/>
    <n v="47214"/>
    <n v="19595"/>
    <n v="19209"/>
    <n v="19323"/>
    <n v="1937"/>
    <n v="1301"/>
    <n v="682"/>
    <n v="690"/>
    <n v="816"/>
    <n v="835"/>
    <n v="0"/>
    <x v="1"/>
    <n v="43711"/>
    <x v="1"/>
  </r>
  <r>
    <x v="95"/>
    <n v="90000"/>
    <x v="0"/>
    <x v="1"/>
    <x v="0"/>
    <x v="1"/>
    <n v="35"/>
    <x v="1"/>
    <x v="2"/>
    <x v="1"/>
    <x v="1"/>
    <x v="1"/>
    <x v="1"/>
    <x v="2"/>
    <n v="83725"/>
    <n v="85996"/>
    <n v="87653"/>
    <n v="35565"/>
    <n v="30942"/>
    <n v="30835"/>
    <n v="3621"/>
    <n v="3597"/>
    <n v="1179"/>
    <n v="1112"/>
    <n v="1104"/>
    <n v="1143"/>
    <n v="0"/>
    <x v="1"/>
    <n v="80104"/>
    <x v="1"/>
  </r>
  <r>
    <x v="96"/>
    <n v="360000"/>
    <x v="2"/>
    <x v="1"/>
    <x v="1"/>
    <x v="0"/>
    <n v="43"/>
    <x v="3"/>
    <x v="1"/>
    <x v="2"/>
    <x v="0"/>
    <x v="0"/>
    <x v="2"/>
    <x v="2"/>
    <n v="3967"/>
    <n v="8322"/>
    <n v="3394"/>
    <n v="6451"/>
    <n v="26370"/>
    <n v="9956"/>
    <n v="8339"/>
    <n v="3394"/>
    <n v="12902"/>
    <n v="27000"/>
    <n v="0"/>
    <n v="68978"/>
    <n v="0"/>
    <x v="1"/>
    <n v="-4372"/>
    <x v="3"/>
  </r>
  <r>
    <x v="97"/>
    <n v="150000"/>
    <x v="1"/>
    <x v="1"/>
    <x v="1"/>
    <x v="1"/>
    <n v="27"/>
    <x v="0"/>
    <x v="2"/>
    <x v="1"/>
    <x v="1"/>
    <x v="1"/>
    <x v="1"/>
    <x v="2"/>
    <n v="86009"/>
    <n v="86108"/>
    <n v="89006"/>
    <n v="89775"/>
    <n v="87725"/>
    <n v="40788"/>
    <n v="4031"/>
    <n v="10006"/>
    <n v="3266"/>
    <n v="4040"/>
    <n v="1698"/>
    <n v="800"/>
    <n v="0"/>
    <x v="1"/>
    <n v="81978"/>
    <x v="1"/>
  </r>
  <r>
    <x v="98"/>
    <n v="50000"/>
    <x v="0"/>
    <x v="0"/>
    <x v="2"/>
    <x v="0"/>
    <n v="22"/>
    <x v="0"/>
    <x v="2"/>
    <x v="1"/>
    <x v="1"/>
    <x v="1"/>
    <x v="1"/>
    <x v="2"/>
    <n v="18722"/>
    <n v="18160"/>
    <n v="16997"/>
    <n v="13150"/>
    <n v="8866"/>
    <n v="7899"/>
    <n v="1411"/>
    <n v="1194"/>
    <n v="379"/>
    <n v="281"/>
    <n v="321"/>
    <n v="197"/>
    <n v="0"/>
    <x v="1"/>
    <n v="17311"/>
    <x v="0"/>
  </r>
  <r>
    <x v="99"/>
    <n v="20000"/>
    <x v="0"/>
    <x v="1"/>
    <x v="0"/>
    <x v="0"/>
    <n v="38"/>
    <x v="1"/>
    <x v="2"/>
    <x v="1"/>
    <x v="1"/>
    <x v="1"/>
    <x v="1"/>
    <x v="3"/>
    <n v="17973"/>
    <n v="19367"/>
    <n v="19559"/>
    <n v="18240"/>
    <n v="17928"/>
    <n v="150"/>
    <n v="1699"/>
    <n v="1460"/>
    <n v="626"/>
    <n v="1750"/>
    <n v="150"/>
    <n v="0"/>
    <n v="1"/>
    <x v="0"/>
    <n v="16274"/>
    <x v="0"/>
  </r>
  <r>
    <x v="100"/>
    <n v="140000"/>
    <x v="1"/>
    <x v="1"/>
    <x v="1"/>
    <x v="1"/>
    <n v="32"/>
    <x v="1"/>
    <x v="3"/>
    <x v="3"/>
    <x v="3"/>
    <x v="2"/>
    <x v="0"/>
    <x v="0"/>
    <n v="672"/>
    <n v="10212"/>
    <n v="850"/>
    <n v="415"/>
    <n v="100"/>
    <n v="1430"/>
    <n v="10212"/>
    <n v="850"/>
    <n v="415"/>
    <n v="100"/>
    <n v="1430"/>
    <n v="0"/>
    <n v="0"/>
    <x v="1"/>
    <n v="-9540"/>
    <x v="3"/>
  </r>
  <r>
    <x v="101"/>
    <n v="380000"/>
    <x v="2"/>
    <x v="0"/>
    <x v="1"/>
    <x v="1"/>
    <n v="30"/>
    <x v="1"/>
    <x v="3"/>
    <x v="3"/>
    <x v="0"/>
    <x v="1"/>
    <x v="1"/>
    <x v="2"/>
    <n v="-81"/>
    <n v="-303"/>
    <n v="32475"/>
    <n v="32891"/>
    <n v="33564"/>
    <n v="34056"/>
    <n v="223"/>
    <n v="33178"/>
    <n v="1171"/>
    <n v="1197"/>
    <n v="1250"/>
    <n v="5000"/>
    <n v="0"/>
    <x v="1"/>
    <n v="-304"/>
    <x v="3"/>
  </r>
  <r>
    <x v="102"/>
    <n v="480000"/>
    <x v="2"/>
    <x v="1"/>
    <x v="1"/>
    <x v="0"/>
    <n v="63"/>
    <x v="2"/>
    <x v="2"/>
    <x v="1"/>
    <x v="1"/>
    <x v="3"/>
    <x v="3"/>
    <x v="2"/>
    <n v="422069"/>
    <n v="431342"/>
    <n v="479432"/>
    <n v="487066"/>
    <n v="471145"/>
    <n v="469961"/>
    <n v="16078"/>
    <n v="55693"/>
    <n v="17000"/>
    <n v="0"/>
    <n v="18000"/>
    <n v="24200"/>
    <n v="0"/>
    <x v="1"/>
    <n v="405991"/>
    <x v="2"/>
  </r>
  <r>
    <x v="103"/>
    <n v="50000"/>
    <x v="0"/>
    <x v="0"/>
    <x v="2"/>
    <x v="1"/>
    <n v="22"/>
    <x v="0"/>
    <x v="2"/>
    <x v="1"/>
    <x v="1"/>
    <x v="1"/>
    <x v="1"/>
    <x v="2"/>
    <n v="44698"/>
    <n v="42254"/>
    <n v="38347"/>
    <n v="32496"/>
    <n v="23477"/>
    <n v="24094"/>
    <n v="1767"/>
    <n v="1362"/>
    <n v="1002"/>
    <n v="840"/>
    <n v="995"/>
    <n v="904"/>
    <n v="1"/>
    <x v="0"/>
    <n v="42931"/>
    <x v="1"/>
  </r>
  <r>
    <x v="104"/>
    <n v="60000"/>
    <x v="0"/>
    <x v="0"/>
    <x v="0"/>
    <x v="1"/>
    <n v="26"/>
    <x v="0"/>
    <x v="0"/>
    <x v="0"/>
    <x v="2"/>
    <x v="3"/>
    <x v="3"/>
    <x v="2"/>
    <n v="56685"/>
    <n v="55208"/>
    <n v="59175"/>
    <n v="60218"/>
    <n v="55447"/>
    <n v="55305"/>
    <n v="0"/>
    <n v="5000"/>
    <n v="2511"/>
    <n v="6"/>
    <n v="3000"/>
    <n v="3000"/>
    <n v="0"/>
    <x v="1"/>
    <n v="56685"/>
    <x v="1"/>
  </r>
  <r>
    <x v="105"/>
    <n v="70000"/>
    <x v="0"/>
    <x v="0"/>
    <x v="0"/>
    <x v="1"/>
    <n v="24"/>
    <x v="0"/>
    <x v="1"/>
    <x v="2"/>
    <x v="3"/>
    <x v="2"/>
    <x v="0"/>
    <x v="3"/>
    <n v="5580"/>
    <n v="0"/>
    <n v="0"/>
    <n v="0"/>
    <n v="0"/>
    <n v="26529"/>
    <n v="0"/>
    <n v="0"/>
    <n v="0"/>
    <n v="0"/>
    <n v="26529"/>
    <n v="2000"/>
    <n v="0"/>
    <x v="1"/>
    <n v="5580"/>
    <x v="0"/>
  </r>
  <r>
    <x v="106"/>
    <n v="80000"/>
    <x v="0"/>
    <x v="0"/>
    <x v="0"/>
    <x v="0"/>
    <n v="36"/>
    <x v="1"/>
    <x v="1"/>
    <x v="2"/>
    <x v="0"/>
    <x v="0"/>
    <x v="2"/>
    <x v="3"/>
    <n v="6108"/>
    <n v="2861"/>
    <n v="3277"/>
    <n v="3319"/>
    <n v="1150"/>
    <n v="1150"/>
    <n v="2861"/>
    <n v="3279"/>
    <n v="3319"/>
    <n v="1150"/>
    <n v="1150"/>
    <n v="1035"/>
    <n v="0"/>
    <x v="1"/>
    <n v="3247"/>
    <x v="0"/>
  </r>
  <r>
    <x v="107"/>
    <n v="350000"/>
    <x v="2"/>
    <x v="1"/>
    <x v="1"/>
    <x v="1"/>
    <n v="52"/>
    <x v="2"/>
    <x v="1"/>
    <x v="2"/>
    <x v="0"/>
    <x v="0"/>
    <x v="2"/>
    <x v="3"/>
    <n v="713"/>
    <n v="2272"/>
    <n v="722"/>
    <n v="867"/>
    <n v="1150"/>
    <n v="5263"/>
    <n v="2272"/>
    <n v="722"/>
    <n v="867"/>
    <n v="1150"/>
    <n v="5263"/>
    <n v="5011"/>
    <n v="0"/>
    <x v="1"/>
    <n v="-1559"/>
    <x v="3"/>
  </r>
  <r>
    <x v="108"/>
    <n v="130000"/>
    <x v="1"/>
    <x v="1"/>
    <x v="0"/>
    <x v="1"/>
    <n v="38"/>
    <x v="1"/>
    <x v="2"/>
    <x v="1"/>
    <x v="1"/>
    <x v="0"/>
    <x v="2"/>
    <x v="3"/>
    <n v="171438"/>
    <n v="178382"/>
    <n v="39940"/>
    <n v="120483"/>
    <n v="44127"/>
    <n v="126568"/>
    <n v="10908"/>
    <n v="0"/>
    <n v="133657"/>
    <n v="4566"/>
    <n v="133841"/>
    <n v="4796"/>
    <n v="0"/>
    <x v="1"/>
    <n v="160530"/>
    <x v="2"/>
  </r>
  <r>
    <x v="109"/>
    <n v="360000"/>
    <x v="2"/>
    <x v="1"/>
    <x v="0"/>
    <x v="0"/>
    <n v="35"/>
    <x v="1"/>
    <x v="4"/>
    <x v="3"/>
    <x v="3"/>
    <x v="2"/>
    <x v="0"/>
    <x v="0"/>
    <n v="-103"/>
    <n v="-103"/>
    <n v="-103"/>
    <n v="-103"/>
    <n v="-103"/>
    <n v="-103"/>
    <n v="0"/>
    <n v="0"/>
    <n v="0"/>
    <n v="0"/>
    <n v="0"/>
    <n v="0"/>
    <n v="0"/>
    <x v="1"/>
    <n v="-103"/>
    <x v="3"/>
  </r>
  <r>
    <x v="110"/>
    <n v="330000"/>
    <x v="2"/>
    <x v="0"/>
    <x v="1"/>
    <x v="0"/>
    <n v="31"/>
    <x v="1"/>
    <x v="2"/>
    <x v="1"/>
    <x v="2"/>
    <x v="1"/>
    <x v="1"/>
    <x v="2"/>
    <n v="105879"/>
    <n v="108431"/>
    <n v="105594"/>
    <n v="105896"/>
    <n v="106491"/>
    <n v="107289"/>
    <n v="9260"/>
    <n v="0"/>
    <n v="3593"/>
    <n v="4100"/>
    <n v="15794"/>
    <n v="0"/>
    <n v="0"/>
    <x v="1"/>
    <n v="96619"/>
    <x v="1"/>
  </r>
  <r>
    <x v="111"/>
    <n v="50000"/>
    <x v="0"/>
    <x v="1"/>
    <x v="2"/>
    <x v="0"/>
    <n v="47"/>
    <x v="3"/>
    <x v="2"/>
    <x v="1"/>
    <x v="2"/>
    <x v="1"/>
    <x v="1"/>
    <x v="2"/>
    <n v="13244"/>
    <n v="14722"/>
    <n v="15181"/>
    <n v="15928"/>
    <n v="16671"/>
    <n v="17393"/>
    <n v="2000"/>
    <n v="1000"/>
    <n v="1000"/>
    <n v="1000"/>
    <n v="1000"/>
    <n v="1000"/>
    <n v="0"/>
    <x v="1"/>
    <n v="11244"/>
    <x v="0"/>
  </r>
  <r>
    <x v="112"/>
    <n v="280000"/>
    <x v="1"/>
    <x v="1"/>
    <x v="0"/>
    <x v="0"/>
    <n v="41"/>
    <x v="3"/>
    <x v="0"/>
    <x v="0"/>
    <x v="2"/>
    <x v="3"/>
    <x v="3"/>
    <x v="4"/>
    <n v="135673"/>
    <n v="138532"/>
    <n v="134813"/>
    <n v="144401"/>
    <n v="152174"/>
    <n v="149415"/>
    <n v="6500"/>
    <n v="0"/>
    <n v="14254"/>
    <n v="14850"/>
    <n v="0"/>
    <n v="5000"/>
    <n v="0"/>
    <x v="1"/>
    <n v="129173"/>
    <x v="2"/>
  </r>
  <r>
    <x v="113"/>
    <n v="100000"/>
    <x v="0"/>
    <x v="0"/>
    <x v="1"/>
    <x v="1"/>
    <n v="24"/>
    <x v="0"/>
    <x v="2"/>
    <x v="1"/>
    <x v="1"/>
    <x v="1"/>
    <x v="1"/>
    <x v="2"/>
    <n v="52128"/>
    <n v="52692"/>
    <n v="54477"/>
    <n v="56076"/>
    <n v="60100"/>
    <n v="59713"/>
    <n v="2000"/>
    <n v="2677"/>
    <n v="3076"/>
    <n v="5080"/>
    <n v="3000"/>
    <n v="2033"/>
    <n v="0"/>
    <x v="1"/>
    <n v="50128"/>
    <x v="1"/>
  </r>
  <r>
    <x v="114"/>
    <n v="50000"/>
    <x v="0"/>
    <x v="1"/>
    <x v="0"/>
    <x v="1"/>
    <n v="41"/>
    <x v="3"/>
    <x v="2"/>
    <x v="1"/>
    <x v="1"/>
    <x v="1"/>
    <x v="1"/>
    <x v="2"/>
    <n v="19015"/>
    <n v="19294"/>
    <n v="20259"/>
    <n v="20274"/>
    <n v="20311"/>
    <n v="19957"/>
    <n v="1340"/>
    <n v="1305"/>
    <n v="700"/>
    <n v="718"/>
    <n v="724"/>
    <n v="684"/>
    <n v="0"/>
    <x v="1"/>
    <n v="17675"/>
    <x v="0"/>
  </r>
  <r>
    <x v="115"/>
    <n v="30000"/>
    <x v="0"/>
    <x v="1"/>
    <x v="1"/>
    <x v="1"/>
    <n v="24"/>
    <x v="0"/>
    <x v="1"/>
    <x v="0"/>
    <x v="1"/>
    <x v="1"/>
    <x v="4"/>
    <x v="1"/>
    <n v="18199"/>
    <n v="17618"/>
    <n v="18631"/>
    <n v="21319"/>
    <n v="20692"/>
    <n v="21201"/>
    <n v="0"/>
    <n v="1312"/>
    <n v="3000"/>
    <n v="0"/>
    <n v="1000"/>
    <n v="1000"/>
    <n v="1"/>
    <x v="0"/>
    <n v="18199"/>
    <x v="0"/>
  </r>
  <r>
    <x v="116"/>
    <n v="240000"/>
    <x v="1"/>
    <x v="1"/>
    <x v="1"/>
    <x v="1"/>
    <n v="28"/>
    <x v="0"/>
    <x v="1"/>
    <x v="2"/>
    <x v="0"/>
    <x v="0"/>
    <x v="2"/>
    <x v="3"/>
    <n v="326"/>
    <n v="326"/>
    <n v="326"/>
    <n v="5676"/>
    <n v="476"/>
    <n v="326"/>
    <n v="326"/>
    <n v="326"/>
    <n v="5676"/>
    <n v="476"/>
    <n v="326"/>
    <n v="526"/>
    <n v="0"/>
    <x v="1"/>
    <n v="0"/>
    <x v="3"/>
  </r>
  <r>
    <x v="117"/>
    <n v="80000"/>
    <x v="0"/>
    <x v="1"/>
    <x v="0"/>
    <x v="1"/>
    <n v="26"/>
    <x v="0"/>
    <x v="0"/>
    <x v="1"/>
    <x v="1"/>
    <x v="1"/>
    <x v="1"/>
    <x v="2"/>
    <n v="14029"/>
    <n v="15493"/>
    <n v="16630"/>
    <n v="17055"/>
    <n v="17629"/>
    <n v="18186"/>
    <n v="2000"/>
    <n v="1700"/>
    <n v="1000"/>
    <n v="1000"/>
    <n v="1000"/>
    <n v="1000"/>
    <n v="1"/>
    <x v="0"/>
    <n v="12029"/>
    <x v="0"/>
  </r>
  <r>
    <x v="118"/>
    <n v="400000"/>
    <x v="2"/>
    <x v="1"/>
    <x v="0"/>
    <x v="0"/>
    <n v="34"/>
    <x v="1"/>
    <x v="1"/>
    <x v="2"/>
    <x v="0"/>
    <x v="0"/>
    <x v="2"/>
    <x v="3"/>
    <n v="19660"/>
    <n v="9666"/>
    <n v="11867"/>
    <n v="7839"/>
    <n v="14837"/>
    <n v="7959"/>
    <n v="9677"/>
    <n v="11867"/>
    <n v="7839"/>
    <n v="14837"/>
    <n v="7959"/>
    <n v="5712"/>
    <n v="0"/>
    <x v="1"/>
    <n v="9983"/>
    <x v="0"/>
  </r>
  <r>
    <x v="119"/>
    <n v="240000"/>
    <x v="1"/>
    <x v="0"/>
    <x v="0"/>
    <x v="1"/>
    <n v="38"/>
    <x v="1"/>
    <x v="2"/>
    <x v="1"/>
    <x v="1"/>
    <x v="1"/>
    <x v="2"/>
    <x v="3"/>
    <n v="50254"/>
    <n v="51445"/>
    <n v="53015"/>
    <n v="52479"/>
    <n v="1307"/>
    <n v="1203"/>
    <n v="2000"/>
    <n v="3000"/>
    <n v="3000"/>
    <n v="1307"/>
    <n v="1203"/>
    <n v="563"/>
    <n v="0"/>
    <x v="1"/>
    <n v="48254"/>
    <x v="1"/>
  </r>
  <r>
    <x v="120"/>
    <n v="50000"/>
    <x v="0"/>
    <x v="1"/>
    <x v="2"/>
    <x v="1"/>
    <n v="37"/>
    <x v="1"/>
    <x v="0"/>
    <x v="0"/>
    <x v="2"/>
    <x v="4"/>
    <x v="3"/>
    <x v="1"/>
    <n v="46004"/>
    <n v="45976"/>
    <n v="48953"/>
    <n v="48851"/>
    <n v="49318"/>
    <n v="51143"/>
    <n v="1000"/>
    <n v="4035"/>
    <n v="1000"/>
    <n v="1400"/>
    <n v="2800"/>
    <n v="0"/>
    <n v="1"/>
    <x v="0"/>
    <n v="45004"/>
    <x v="1"/>
  </r>
  <r>
    <x v="121"/>
    <n v="450000"/>
    <x v="2"/>
    <x v="1"/>
    <x v="1"/>
    <x v="0"/>
    <n v="40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22"/>
    <n v="110000"/>
    <x v="1"/>
    <x v="0"/>
    <x v="1"/>
    <x v="0"/>
    <n v="48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23"/>
    <n v="310000"/>
    <x v="2"/>
    <x v="0"/>
    <x v="0"/>
    <x v="0"/>
    <n v="35"/>
    <x v="1"/>
    <x v="0"/>
    <x v="1"/>
    <x v="1"/>
    <x v="1"/>
    <x v="1"/>
    <x v="2"/>
    <n v="304991"/>
    <n v="311243"/>
    <n v="306314"/>
    <n v="258610"/>
    <n v="246491"/>
    <n v="198889"/>
    <n v="13019"/>
    <n v="11128"/>
    <n v="8407"/>
    <n v="8599"/>
    <n v="6833"/>
    <n v="5987"/>
    <n v="1"/>
    <x v="0"/>
    <n v="291972"/>
    <x v="2"/>
  </r>
  <r>
    <x v="124"/>
    <n v="20000"/>
    <x v="0"/>
    <x v="1"/>
    <x v="1"/>
    <x v="1"/>
    <n v="27"/>
    <x v="0"/>
    <x v="2"/>
    <x v="1"/>
    <x v="1"/>
    <x v="1"/>
    <x v="1"/>
    <x v="2"/>
    <n v="19115"/>
    <n v="18962"/>
    <n v="19298"/>
    <n v="19378"/>
    <n v="19717"/>
    <n v="15630"/>
    <n v="1404"/>
    <n v="1130"/>
    <n v="600"/>
    <n v="861"/>
    <n v="313"/>
    <n v="0"/>
    <n v="0"/>
    <x v="1"/>
    <n v="17711"/>
    <x v="0"/>
  </r>
  <r>
    <x v="125"/>
    <n v="20000"/>
    <x v="0"/>
    <x v="1"/>
    <x v="0"/>
    <x v="1"/>
    <n v="23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26"/>
    <n v="200000"/>
    <x v="1"/>
    <x v="1"/>
    <x v="2"/>
    <x v="1"/>
    <n v="52"/>
    <x v="2"/>
    <x v="2"/>
    <x v="1"/>
    <x v="1"/>
    <x v="1"/>
    <x v="1"/>
    <x v="2"/>
    <n v="110151"/>
    <n v="99530"/>
    <n v="98951"/>
    <n v="100914"/>
    <n v="103146"/>
    <n v="104993"/>
    <n v="3568"/>
    <n v="3585"/>
    <n v="3602"/>
    <n v="3848"/>
    <n v="3669"/>
    <n v="3784"/>
    <n v="0"/>
    <x v="1"/>
    <n v="106583"/>
    <x v="2"/>
  </r>
  <r>
    <x v="127"/>
    <n v="180000"/>
    <x v="1"/>
    <x v="1"/>
    <x v="1"/>
    <x v="0"/>
    <n v="36"/>
    <x v="1"/>
    <x v="2"/>
    <x v="1"/>
    <x v="1"/>
    <x v="1"/>
    <x v="1"/>
    <x v="2"/>
    <n v="163736"/>
    <n v="116422"/>
    <n v="99278"/>
    <n v="95766"/>
    <n v="97753"/>
    <n v="95927"/>
    <n v="4655"/>
    <n v="2690"/>
    <n v="2067"/>
    <n v="2142"/>
    <n v="2217"/>
    <n v="1000"/>
    <n v="1"/>
    <x v="0"/>
    <n v="159081"/>
    <x v="2"/>
  </r>
  <r>
    <x v="128"/>
    <n v="50000"/>
    <x v="0"/>
    <x v="1"/>
    <x v="0"/>
    <x v="0"/>
    <n v="51"/>
    <x v="2"/>
    <x v="2"/>
    <x v="1"/>
    <x v="1"/>
    <x v="1"/>
    <x v="1"/>
    <x v="2"/>
    <n v="3347"/>
    <n v="3899"/>
    <n v="4503"/>
    <n v="5347"/>
    <n v="6375"/>
    <n v="7077"/>
    <n v="1000"/>
    <n v="1066"/>
    <n v="1300"/>
    <n v="1500"/>
    <n v="1200"/>
    <n v="134"/>
    <n v="1"/>
    <x v="0"/>
    <n v="2347"/>
    <x v="0"/>
  </r>
  <r>
    <x v="129"/>
    <n v="60000"/>
    <x v="0"/>
    <x v="1"/>
    <x v="2"/>
    <x v="0"/>
    <n v="55"/>
    <x v="2"/>
    <x v="5"/>
    <x v="0"/>
    <x v="2"/>
    <x v="1"/>
    <x v="1"/>
    <x v="2"/>
    <n v="60521"/>
    <n v="61450"/>
    <n v="57244"/>
    <n v="28853"/>
    <n v="29510"/>
    <n v="26547"/>
    <n v="2504"/>
    <n v="7"/>
    <n v="1200"/>
    <n v="1200"/>
    <n v="1100"/>
    <n v="1500"/>
    <n v="0"/>
    <x v="1"/>
    <n v="58017"/>
    <x v="1"/>
  </r>
  <r>
    <x v="130"/>
    <n v="30000"/>
    <x v="0"/>
    <x v="0"/>
    <x v="1"/>
    <x v="1"/>
    <n v="23"/>
    <x v="0"/>
    <x v="4"/>
    <x v="3"/>
    <x v="3"/>
    <x v="2"/>
    <x v="2"/>
    <x v="3"/>
    <n v="4000"/>
    <n v="5645"/>
    <n v="3508"/>
    <n v="-27"/>
    <n v="13744"/>
    <n v="5906"/>
    <n v="5645"/>
    <n v="3508"/>
    <n v="27"/>
    <n v="13771"/>
    <n v="5911"/>
    <n v="3024"/>
    <n v="0"/>
    <x v="1"/>
    <n v="-1645"/>
    <x v="3"/>
  </r>
  <r>
    <x v="131"/>
    <n v="240000"/>
    <x v="1"/>
    <x v="1"/>
    <x v="1"/>
    <x v="1"/>
    <n v="41"/>
    <x v="3"/>
    <x v="4"/>
    <x v="2"/>
    <x v="0"/>
    <x v="1"/>
    <x v="1"/>
    <x v="3"/>
    <n v="95"/>
    <n v="2622"/>
    <n v="3301"/>
    <n v="3164"/>
    <n v="360"/>
    <n v="1737"/>
    <n v="2622"/>
    <n v="3301"/>
    <n v="0"/>
    <n v="360"/>
    <n v="1737"/>
    <n v="924"/>
    <n v="0"/>
    <x v="1"/>
    <n v="-2527"/>
    <x v="3"/>
  </r>
  <r>
    <x v="132"/>
    <n v="420000"/>
    <x v="2"/>
    <x v="1"/>
    <x v="0"/>
    <x v="0"/>
    <n v="34"/>
    <x v="1"/>
    <x v="2"/>
    <x v="1"/>
    <x v="1"/>
    <x v="1"/>
    <x v="1"/>
    <x v="2"/>
    <n v="253454"/>
    <n v="247743"/>
    <n v="229049"/>
    <n v="220951"/>
    <n v="210606"/>
    <n v="188108"/>
    <n v="9744"/>
    <n v="9553"/>
    <n v="7603"/>
    <n v="7830"/>
    <n v="7253"/>
    <n v="11326"/>
    <n v="0"/>
    <x v="1"/>
    <n v="243710"/>
    <x v="2"/>
  </r>
  <r>
    <x v="133"/>
    <n v="330000"/>
    <x v="2"/>
    <x v="1"/>
    <x v="2"/>
    <x v="0"/>
    <n v="46"/>
    <x v="3"/>
    <x v="2"/>
    <x v="1"/>
    <x v="1"/>
    <x v="1"/>
    <x v="1"/>
    <x v="2"/>
    <n v="227389"/>
    <n v="228719"/>
    <n v="229644"/>
    <n v="227587"/>
    <n v="227775"/>
    <n v="228203"/>
    <n v="8210"/>
    <n v="8095"/>
    <n v="8025"/>
    <n v="8175"/>
    <n v="8391"/>
    <n v="8200"/>
    <n v="0"/>
    <x v="1"/>
    <n v="219179"/>
    <x v="2"/>
  </r>
  <r>
    <x v="134"/>
    <n v="30000"/>
    <x v="0"/>
    <x v="0"/>
    <x v="0"/>
    <x v="1"/>
    <n v="22"/>
    <x v="0"/>
    <x v="2"/>
    <x v="1"/>
    <x v="1"/>
    <x v="1"/>
    <x v="1"/>
    <x v="2"/>
    <n v="28452"/>
    <n v="26145"/>
    <n v="26712"/>
    <n v="25350"/>
    <n v="17603"/>
    <n v="-780"/>
    <n v="2000"/>
    <n v="1400"/>
    <n v="0"/>
    <n v="500"/>
    <n v="0"/>
    <n v="1560"/>
    <n v="0"/>
    <x v="1"/>
    <n v="26452"/>
    <x v="1"/>
  </r>
  <r>
    <x v="135"/>
    <n v="240000"/>
    <x v="1"/>
    <x v="1"/>
    <x v="0"/>
    <x v="0"/>
    <n v="34"/>
    <x v="1"/>
    <x v="2"/>
    <x v="1"/>
    <x v="1"/>
    <x v="3"/>
    <x v="3"/>
    <x v="1"/>
    <n v="10674"/>
    <n v="12035"/>
    <n v="13681"/>
    <n v="13269"/>
    <n v="14158"/>
    <n v="13891"/>
    <n v="1500"/>
    <n v="1800"/>
    <n v="0"/>
    <n v="1000"/>
    <n v="0"/>
    <n v="327"/>
    <n v="0"/>
    <x v="1"/>
    <n v="9174"/>
    <x v="0"/>
  </r>
  <r>
    <x v="136"/>
    <n v="150000"/>
    <x v="1"/>
    <x v="1"/>
    <x v="1"/>
    <x v="1"/>
    <n v="27"/>
    <x v="0"/>
    <x v="2"/>
    <x v="1"/>
    <x v="1"/>
    <x v="1"/>
    <x v="1"/>
    <x v="2"/>
    <n v="17444"/>
    <n v="19342"/>
    <n v="22000"/>
    <n v="24614"/>
    <n v="27200"/>
    <n v="30229"/>
    <n v="2500"/>
    <n v="3000"/>
    <n v="3000"/>
    <n v="3000"/>
    <n v="3500"/>
    <n v="5000"/>
    <n v="0"/>
    <x v="1"/>
    <n v="14944"/>
    <x v="0"/>
  </r>
  <r>
    <x v="137"/>
    <n v="210000"/>
    <x v="1"/>
    <x v="0"/>
    <x v="0"/>
    <x v="0"/>
    <n v="33"/>
    <x v="1"/>
    <x v="2"/>
    <x v="1"/>
    <x v="1"/>
    <x v="1"/>
    <x v="1"/>
    <x v="2"/>
    <n v="7166"/>
    <n v="7997"/>
    <n v="8792"/>
    <n v="9189"/>
    <n v="4404"/>
    <n v="5708"/>
    <n v="1500"/>
    <n v="1500"/>
    <n v="1000"/>
    <n v="500"/>
    <n v="2000"/>
    <n v="546"/>
    <n v="0"/>
    <x v="1"/>
    <n v="5666"/>
    <x v="0"/>
  </r>
  <r>
    <x v="138"/>
    <n v="50000"/>
    <x v="0"/>
    <x v="0"/>
    <x v="2"/>
    <x v="0"/>
    <n v="51"/>
    <x v="2"/>
    <x v="1"/>
    <x v="2"/>
    <x v="0"/>
    <x v="0"/>
    <x v="0"/>
    <x v="0"/>
    <n v="752"/>
    <n v="300"/>
    <n v="5880"/>
    <n v="0"/>
    <n v="0"/>
    <n v="0"/>
    <n v="300"/>
    <n v="5880"/>
    <n v="0"/>
    <n v="0"/>
    <n v="0"/>
    <n v="0"/>
    <n v="1"/>
    <x v="0"/>
    <n v="452"/>
    <x v="0"/>
  </r>
  <r>
    <x v="139"/>
    <n v="50000"/>
    <x v="0"/>
    <x v="1"/>
    <x v="1"/>
    <x v="1"/>
    <n v="24"/>
    <x v="0"/>
    <x v="2"/>
    <x v="1"/>
    <x v="1"/>
    <x v="1"/>
    <x v="1"/>
    <x v="2"/>
    <n v="50801"/>
    <n v="50143"/>
    <n v="49586"/>
    <n v="19430"/>
    <n v="19375"/>
    <n v="18995"/>
    <n v="2360"/>
    <n v="1700"/>
    <n v="1000"/>
    <n v="900"/>
    <n v="870"/>
    <n v="2130"/>
    <n v="0"/>
    <x v="1"/>
    <n v="48441"/>
    <x v="1"/>
  </r>
  <r>
    <x v="140"/>
    <n v="240000"/>
    <x v="1"/>
    <x v="1"/>
    <x v="1"/>
    <x v="1"/>
    <n v="47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41"/>
    <n v="180000"/>
    <x v="1"/>
    <x v="1"/>
    <x v="0"/>
    <x v="1"/>
    <n v="28"/>
    <x v="0"/>
    <x v="1"/>
    <x v="2"/>
    <x v="0"/>
    <x v="0"/>
    <x v="2"/>
    <x v="3"/>
    <n v="1832"/>
    <n v="0"/>
    <n v="832"/>
    <n v="332"/>
    <n v="416"/>
    <n v="416"/>
    <n v="0"/>
    <n v="416"/>
    <n v="332"/>
    <n v="500"/>
    <n v="3500"/>
    <n v="832"/>
    <n v="0"/>
    <x v="1"/>
    <n v="1832"/>
    <x v="0"/>
  </r>
  <r>
    <x v="142"/>
    <n v="50000"/>
    <x v="0"/>
    <x v="1"/>
    <x v="0"/>
    <x v="1"/>
    <n v="23"/>
    <x v="0"/>
    <x v="4"/>
    <x v="0"/>
    <x v="2"/>
    <x v="3"/>
    <x v="1"/>
    <x v="2"/>
    <n v="10131"/>
    <n v="10833"/>
    <n v="20583"/>
    <n v="19996"/>
    <n v="19879"/>
    <n v="18065"/>
    <n v="1000"/>
    <n v="10000"/>
    <n v="400"/>
    <n v="700"/>
    <n v="800"/>
    <n v="600"/>
    <n v="0"/>
    <x v="1"/>
    <n v="9131"/>
    <x v="0"/>
  </r>
  <r>
    <x v="143"/>
    <n v="170000"/>
    <x v="1"/>
    <x v="1"/>
    <x v="0"/>
    <x v="1"/>
    <n v="29"/>
    <x v="0"/>
    <x v="3"/>
    <x v="3"/>
    <x v="3"/>
    <x v="2"/>
    <x v="0"/>
    <x v="0"/>
    <n v="12159"/>
    <n v="10000"/>
    <n v="10000"/>
    <n v="10000"/>
    <n v="9983"/>
    <n v="15846"/>
    <n v="10000"/>
    <n v="10000"/>
    <n v="10000"/>
    <n v="9983"/>
    <n v="15863"/>
    <n v="10000"/>
    <n v="0"/>
    <x v="1"/>
    <n v="2159"/>
    <x v="0"/>
  </r>
  <r>
    <x v="144"/>
    <n v="20000"/>
    <x v="0"/>
    <x v="1"/>
    <x v="1"/>
    <x v="1"/>
    <n v="29"/>
    <x v="0"/>
    <x v="1"/>
    <x v="2"/>
    <x v="0"/>
    <x v="0"/>
    <x v="1"/>
    <x v="3"/>
    <n v="1199"/>
    <n v="15586"/>
    <n v="344"/>
    <n v="2340"/>
    <n v="6702"/>
    <n v="339"/>
    <n v="15586"/>
    <n v="344"/>
    <n v="2340"/>
    <n v="4702"/>
    <n v="339"/>
    <n v="330"/>
    <n v="0"/>
    <x v="1"/>
    <n v="-14387"/>
    <x v="3"/>
  </r>
  <r>
    <x v="145"/>
    <n v="50000"/>
    <x v="0"/>
    <x v="1"/>
    <x v="1"/>
    <x v="1"/>
    <n v="28"/>
    <x v="0"/>
    <x v="2"/>
    <x v="1"/>
    <x v="1"/>
    <x v="1"/>
    <x v="1"/>
    <x v="4"/>
    <n v="4999"/>
    <n v="5913"/>
    <n v="7315"/>
    <n v="9195"/>
    <n v="10624"/>
    <n v="10138"/>
    <n v="1000"/>
    <n v="1500"/>
    <n v="2000"/>
    <n v="1583"/>
    <n v="1100"/>
    <n v="0"/>
    <n v="0"/>
    <x v="1"/>
    <n v="3999"/>
    <x v="0"/>
  </r>
  <r>
    <x v="146"/>
    <n v="170000"/>
    <x v="1"/>
    <x v="0"/>
    <x v="0"/>
    <x v="1"/>
    <n v="27"/>
    <x v="0"/>
    <x v="2"/>
    <x v="1"/>
    <x v="1"/>
    <x v="1"/>
    <x v="1"/>
    <x v="2"/>
    <n v="19269"/>
    <n v="20313"/>
    <n v="20852"/>
    <n v="17560"/>
    <n v="17918"/>
    <n v="9100"/>
    <n v="1661"/>
    <n v="1200"/>
    <n v="351"/>
    <n v="358"/>
    <n v="182"/>
    <n v="0"/>
    <n v="1"/>
    <x v="0"/>
    <n v="17608"/>
    <x v="0"/>
  </r>
  <r>
    <x v="147"/>
    <n v="200000"/>
    <x v="1"/>
    <x v="1"/>
    <x v="1"/>
    <x v="1"/>
    <n v="34"/>
    <x v="1"/>
    <x v="4"/>
    <x v="0"/>
    <x v="1"/>
    <x v="1"/>
    <x v="1"/>
    <x v="2"/>
    <n v="197236"/>
    <n v="176192"/>
    <n v="93069"/>
    <n v="135668"/>
    <n v="132233"/>
    <n v="59875"/>
    <n v="8000"/>
    <n v="5000"/>
    <n v="55500"/>
    <n v="5000"/>
    <n v="5000"/>
    <n v="8500"/>
    <n v="0"/>
    <x v="1"/>
    <n v="189236"/>
    <x v="2"/>
  </r>
  <r>
    <x v="148"/>
    <n v="80000"/>
    <x v="0"/>
    <x v="0"/>
    <x v="0"/>
    <x v="0"/>
    <n v="23"/>
    <x v="0"/>
    <x v="4"/>
    <x v="0"/>
    <x v="4"/>
    <x v="3"/>
    <x v="1"/>
    <x v="2"/>
    <n v="9168"/>
    <n v="10522"/>
    <n v="10205"/>
    <n v="9898"/>
    <n v="10123"/>
    <n v="12034"/>
    <n v="1650"/>
    <n v="0"/>
    <n v="0"/>
    <n v="379"/>
    <n v="2091"/>
    <n v="1"/>
    <n v="0"/>
    <x v="1"/>
    <n v="7518"/>
    <x v="0"/>
  </r>
  <r>
    <x v="149"/>
    <n v="260000"/>
    <x v="1"/>
    <x v="0"/>
    <x v="1"/>
    <x v="0"/>
    <n v="60"/>
    <x v="2"/>
    <x v="4"/>
    <x v="3"/>
    <x v="0"/>
    <x v="0"/>
    <x v="2"/>
    <x v="3"/>
    <n v="-1100"/>
    <n v="-1100"/>
    <n v="21400"/>
    <n v="0"/>
    <n v="969"/>
    <n v="869"/>
    <n v="0"/>
    <n v="22500"/>
    <n v="0"/>
    <n v="969"/>
    <n v="1000"/>
    <n v="0"/>
    <n v="0"/>
    <x v="1"/>
    <n v="-1100"/>
    <x v="3"/>
  </r>
  <r>
    <x v="150"/>
    <n v="140000"/>
    <x v="1"/>
    <x v="1"/>
    <x v="0"/>
    <x v="0"/>
    <n v="32"/>
    <x v="1"/>
    <x v="2"/>
    <x v="1"/>
    <x v="1"/>
    <x v="1"/>
    <x v="3"/>
    <x v="2"/>
    <n v="86627"/>
    <n v="78142"/>
    <n v="68336"/>
    <n v="64648"/>
    <n v="58319"/>
    <n v="55251"/>
    <n v="3455"/>
    <n v="3110"/>
    <n v="5000"/>
    <n v="0"/>
    <n v="2100"/>
    <n v="2602"/>
    <n v="0"/>
    <x v="1"/>
    <n v="83172"/>
    <x v="1"/>
  </r>
  <r>
    <x v="151"/>
    <n v="80000"/>
    <x v="0"/>
    <x v="1"/>
    <x v="1"/>
    <x v="1"/>
    <n v="25"/>
    <x v="0"/>
    <x v="2"/>
    <x v="1"/>
    <x v="1"/>
    <x v="1"/>
    <x v="1"/>
    <x v="2"/>
    <n v="42444"/>
    <n v="55744"/>
    <n v="43476"/>
    <n v="41087"/>
    <n v="41951"/>
    <n v="31826"/>
    <n v="30000"/>
    <n v="3000"/>
    <n v="6000"/>
    <n v="8000"/>
    <n v="2000"/>
    <n v="14000"/>
    <n v="0"/>
    <x v="1"/>
    <n v="12444"/>
    <x v="0"/>
  </r>
  <r>
    <x v="152"/>
    <n v="350000"/>
    <x v="2"/>
    <x v="1"/>
    <x v="1"/>
    <x v="1"/>
    <n v="41"/>
    <x v="3"/>
    <x v="4"/>
    <x v="2"/>
    <x v="0"/>
    <x v="0"/>
    <x v="2"/>
    <x v="0"/>
    <n v="208"/>
    <n v="2906"/>
    <n v="1000"/>
    <n v="630"/>
    <n v="0"/>
    <n v="0"/>
    <n v="2906"/>
    <n v="1000"/>
    <n v="630"/>
    <n v="0"/>
    <n v="0"/>
    <n v="0"/>
    <n v="0"/>
    <x v="1"/>
    <n v="-2698"/>
    <x v="3"/>
  </r>
  <r>
    <x v="153"/>
    <n v="280000"/>
    <x v="1"/>
    <x v="0"/>
    <x v="0"/>
    <x v="0"/>
    <n v="56"/>
    <x v="2"/>
    <x v="2"/>
    <x v="1"/>
    <x v="1"/>
    <x v="1"/>
    <x v="1"/>
    <x v="2"/>
    <n v="208775"/>
    <n v="182350"/>
    <n v="132257"/>
    <n v="101783"/>
    <n v="177145"/>
    <n v="169311"/>
    <n v="8042"/>
    <n v="6700"/>
    <n v="5137"/>
    <n v="100000"/>
    <n v="7000"/>
    <n v="6321"/>
    <n v="0"/>
    <x v="1"/>
    <n v="200733"/>
    <x v="2"/>
  </r>
  <r>
    <x v="154"/>
    <n v="30000"/>
    <x v="0"/>
    <x v="0"/>
    <x v="2"/>
    <x v="1"/>
    <n v="26"/>
    <x v="0"/>
    <x v="2"/>
    <x v="1"/>
    <x v="1"/>
    <x v="1"/>
    <x v="1"/>
    <x v="2"/>
    <n v="9014"/>
    <n v="10406"/>
    <n v="11427"/>
    <n v="11935"/>
    <n v="13084"/>
    <n v="14206"/>
    <n v="1700"/>
    <n v="1500"/>
    <n v="1000"/>
    <n v="1500"/>
    <n v="1500"/>
    <n v="1500"/>
    <n v="0"/>
    <x v="1"/>
    <n v="7314"/>
    <x v="0"/>
  </r>
  <r>
    <x v="155"/>
    <n v="140000"/>
    <x v="1"/>
    <x v="1"/>
    <x v="1"/>
    <x v="0"/>
    <n v="34"/>
    <x v="1"/>
    <x v="2"/>
    <x v="1"/>
    <x v="1"/>
    <x v="1"/>
    <x v="1"/>
    <x v="2"/>
    <n v="23944"/>
    <n v="28049"/>
    <n v="32073"/>
    <n v="43129"/>
    <n v="47086"/>
    <n v="48699"/>
    <n v="5000"/>
    <n v="5000"/>
    <n v="11885"/>
    <n v="5000"/>
    <n v="3000"/>
    <n v="5504"/>
    <n v="0"/>
    <x v="1"/>
    <n v="18944"/>
    <x v="0"/>
  </r>
  <r>
    <x v="156"/>
    <n v="200000"/>
    <x v="1"/>
    <x v="0"/>
    <x v="1"/>
    <x v="1"/>
    <n v="37"/>
    <x v="1"/>
    <x v="2"/>
    <x v="1"/>
    <x v="1"/>
    <x v="1"/>
    <x v="1"/>
    <x v="2"/>
    <n v="105420"/>
    <n v="102870"/>
    <n v="89643"/>
    <n v="90938"/>
    <n v="92505"/>
    <n v="94031"/>
    <n v="4000"/>
    <n v="3250"/>
    <n v="3250"/>
    <n v="3500"/>
    <n v="3560"/>
    <n v="5000"/>
    <n v="0"/>
    <x v="1"/>
    <n v="101420"/>
    <x v="2"/>
  </r>
  <r>
    <x v="157"/>
    <n v="200000"/>
    <x v="1"/>
    <x v="0"/>
    <x v="2"/>
    <x v="1"/>
    <n v="30"/>
    <x v="1"/>
    <x v="2"/>
    <x v="1"/>
    <x v="1"/>
    <x v="1"/>
    <x v="1"/>
    <x v="2"/>
    <n v="196031"/>
    <n v="196143"/>
    <n v="189524"/>
    <n v="167163"/>
    <n v="146975"/>
    <n v="122324"/>
    <n v="7300"/>
    <n v="7108"/>
    <n v="7680"/>
    <n v="6200"/>
    <n v="5000"/>
    <n v="4500"/>
    <n v="0"/>
    <x v="1"/>
    <n v="188731"/>
    <x v="2"/>
  </r>
  <r>
    <x v="158"/>
    <n v="210000"/>
    <x v="1"/>
    <x v="1"/>
    <x v="2"/>
    <x v="0"/>
    <n v="45"/>
    <x v="3"/>
    <x v="0"/>
    <x v="4"/>
    <x v="5"/>
    <x v="5"/>
    <x v="5"/>
    <x v="5"/>
    <n v="115785"/>
    <n v="122904"/>
    <n v="129847"/>
    <n v="137277"/>
    <n v="145533"/>
    <n v="154105"/>
    <n v="10478"/>
    <n v="10478"/>
    <n v="11078"/>
    <n v="11078"/>
    <n v="11678"/>
    <n v="10478"/>
    <n v="1"/>
    <x v="0"/>
    <n v="105307"/>
    <x v="2"/>
  </r>
  <r>
    <x v="159"/>
    <n v="50000"/>
    <x v="0"/>
    <x v="1"/>
    <x v="2"/>
    <x v="0"/>
    <n v="57"/>
    <x v="2"/>
    <x v="5"/>
    <x v="0"/>
    <x v="1"/>
    <x v="1"/>
    <x v="1"/>
    <x v="2"/>
    <n v="12854"/>
    <n v="12362"/>
    <n v="13447"/>
    <n v="13427"/>
    <n v="13711"/>
    <n v="14083"/>
    <n v="0"/>
    <n v="1600"/>
    <n v="500"/>
    <n v="500"/>
    <n v="600"/>
    <n v="600"/>
    <n v="0"/>
    <x v="1"/>
    <n v="12854"/>
    <x v="0"/>
  </r>
  <r>
    <x v="160"/>
    <n v="30000"/>
    <x v="0"/>
    <x v="1"/>
    <x v="1"/>
    <x v="1"/>
    <n v="41"/>
    <x v="3"/>
    <x v="0"/>
    <x v="0"/>
    <x v="2"/>
    <x v="3"/>
    <x v="3"/>
    <x v="2"/>
    <n v="24357"/>
    <n v="27453"/>
    <n v="26718"/>
    <n v="28168"/>
    <n v="27579"/>
    <n v="28321"/>
    <n v="3500"/>
    <n v="0"/>
    <n v="2200"/>
    <n v="0"/>
    <n v="1200"/>
    <n v="1250"/>
    <n v="0"/>
    <x v="1"/>
    <n v="20857"/>
    <x v="0"/>
  </r>
  <r>
    <x v="161"/>
    <n v="50000"/>
    <x v="0"/>
    <x v="1"/>
    <x v="0"/>
    <x v="1"/>
    <n v="27"/>
    <x v="0"/>
    <x v="0"/>
    <x v="2"/>
    <x v="0"/>
    <x v="0"/>
    <x v="2"/>
    <x v="1"/>
    <n v="390"/>
    <n v="390"/>
    <n v="780"/>
    <n v="216"/>
    <n v="1080"/>
    <n v="540"/>
    <n v="390"/>
    <n v="780"/>
    <n v="216"/>
    <n v="864"/>
    <n v="0"/>
    <n v="390"/>
    <n v="0"/>
    <x v="1"/>
    <n v="0"/>
    <x v="3"/>
  </r>
  <r>
    <x v="162"/>
    <n v="290000"/>
    <x v="1"/>
    <x v="1"/>
    <x v="2"/>
    <x v="0"/>
    <n v="47"/>
    <x v="3"/>
    <x v="1"/>
    <x v="2"/>
    <x v="0"/>
    <x v="0"/>
    <x v="1"/>
    <x v="3"/>
    <n v="1234"/>
    <n v="396"/>
    <n v="396"/>
    <n v="792"/>
    <n v="396"/>
    <n v="423"/>
    <n v="396"/>
    <n v="396"/>
    <n v="792"/>
    <n v="0"/>
    <n v="423"/>
    <n v="369"/>
    <n v="0"/>
    <x v="1"/>
    <n v="838"/>
    <x v="0"/>
  </r>
  <r>
    <x v="163"/>
    <n v="250000"/>
    <x v="1"/>
    <x v="0"/>
    <x v="1"/>
    <x v="0"/>
    <n v="34"/>
    <x v="1"/>
    <x v="2"/>
    <x v="1"/>
    <x v="2"/>
    <x v="1"/>
    <x v="1"/>
    <x v="2"/>
    <n v="141223"/>
    <n v="156858"/>
    <n v="151841"/>
    <n v="152803"/>
    <n v="155997"/>
    <n v="160220"/>
    <n v="17994"/>
    <n v="0"/>
    <n v="5469"/>
    <n v="5656"/>
    <n v="6811"/>
    <n v="3920"/>
    <n v="0"/>
    <x v="1"/>
    <n v="123229"/>
    <x v="2"/>
  </r>
  <r>
    <x v="164"/>
    <n v="60000"/>
    <x v="0"/>
    <x v="0"/>
    <x v="0"/>
    <x v="0"/>
    <n v="46"/>
    <x v="3"/>
    <x v="2"/>
    <x v="1"/>
    <x v="1"/>
    <x v="1"/>
    <x v="1"/>
    <x v="2"/>
    <n v="21148"/>
    <n v="23803"/>
    <n v="24908"/>
    <n v="26034"/>
    <n v="26655"/>
    <n v="27756"/>
    <n v="3000"/>
    <n v="1500"/>
    <n v="1500"/>
    <n v="1000"/>
    <n v="1500"/>
    <n v="1500"/>
    <n v="0"/>
    <x v="1"/>
    <n v="18148"/>
    <x v="0"/>
  </r>
  <r>
    <x v="165"/>
    <n v="110000"/>
    <x v="1"/>
    <x v="0"/>
    <x v="1"/>
    <x v="1"/>
    <n v="27"/>
    <x v="0"/>
    <x v="2"/>
    <x v="1"/>
    <x v="1"/>
    <x v="1"/>
    <x v="1"/>
    <x v="2"/>
    <n v="101640"/>
    <n v="104795"/>
    <n v="104855"/>
    <n v="74737"/>
    <n v="76058"/>
    <n v="77254"/>
    <n v="5500"/>
    <n v="3900"/>
    <n v="3000"/>
    <n v="2900"/>
    <n v="3000"/>
    <n v="2800"/>
    <n v="0"/>
    <x v="1"/>
    <n v="96140"/>
    <x v="1"/>
  </r>
  <r>
    <x v="166"/>
    <n v="370000"/>
    <x v="2"/>
    <x v="1"/>
    <x v="1"/>
    <x v="1"/>
    <n v="50"/>
    <x v="2"/>
    <x v="3"/>
    <x v="3"/>
    <x v="3"/>
    <x v="2"/>
    <x v="0"/>
    <x v="0"/>
    <n v="6093"/>
    <n v="15130"/>
    <n v="8204"/>
    <n v="15398"/>
    <n v="4792"/>
    <n v="13453"/>
    <n v="15383"/>
    <n v="8204"/>
    <n v="15413"/>
    <n v="4792"/>
    <n v="13453"/>
    <n v="4699"/>
    <n v="0"/>
    <x v="1"/>
    <n v="-9290"/>
    <x v="3"/>
  </r>
  <r>
    <x v="167"/>
    <n v="100000"/>
    <x v="0"/>
    <x v="1"/>
    <x v="0"/>
    <x v="0"/>
    <n v="27"/>
    <x v="0"/>
    <x v="1"/>
    <x v="0"/>
    <x v="2"/>
    <x v="1"/>
    <x v="1"/>
    <x v="2"/>
    <n v="102349"/>
    <n v="96847"/>
    <n v="58824"/>
    <n v="29336"/>
    <n v="22979"/>
    <n v="-246"/>
    <n v="3166"/>
    <n v="0"/>
    <n v="1330"/>
    <n v="1398"/>
    <n v="12"/>
    <n v="50000"/>
    <n v="0"/>
    <x v="1"/>
    <n v="99183"/>
    <x v="1"/>
  </r>
  <r>
    <x v="168"/>
    <n v="90000"/>
    <x v="0"/>
    <x v="0"/>
    <x v="0"/>
    <x v="0"/>
    <n v="35"/>
    <x v="1"/>
    <x v="2"/>
    <x v="1"/>
    <x v="1"/>
    <x v="1"/>
    <x v="1"/>
    <x v="1"/>
    <n v="72112"/>
    <n v="73854"/>
    <n v="75526"/>
    <n v="77317"/>
    <n v="85852"/>
    <n v="88290"/>
    <n v="3500"/>
    <n v="3500"/>
    <n v="3652"/>
    <n v="10000"/>
    <n v="4000"/>
    <n v="0"/>
    <n v="0"/>
    <x v="1"/>
    <n v="68612"/>
    <x v="1"/>
  </r>
  <r>
    <x v="169"/>
    <n v="50000"/>
    <x v="0"/>
    <x v="0"/>
    <x v="0"/>
    <x v="1"/>
    <n v="22"/>
    <x v="0"/>
    <x v="2"/>
    <x v="1"/>
    <x v="1"/>
    <x v="1"/>
    <x v="1"/>
    <x v="2"/>
    <n v="28040"/>
    <n v="29092"/>
    <n v="29366"/>
    <n v="27737"/>
    <n v="28318"/>
    <n v="28806"/>
    <n v="1510"/>
    <n v="1442"/>
    <n v="982"/>
    <n v="1017"/>
    <n v="1277"/>
    <n v="567"/>
    <n v="0"/>
    <x v="1"/>
    <n v="26530"/>
    <x v="1"/>
  </r>
  <r>
    <x v="170"/>
    <n v="270000"/>
    <x v="1"/>
    <x v="1"/>
    <x v="0"/>
    <x v="1"/>
    <n v="37"/>
    <x v="1"/>
    <x v="2"/>
    <x v="1"/>
    <x v="1"/>
    <x v="1"/>
    <x v="1"/>
    <x v="2"/>
    <n v="37695"/>
    <n v="33397"/>
    <n v="30534"/>
    <n v="27598"/>
    <n v="26344"/>
    <n v="24641"/>
    <n v="5000"/>
    <n v="2000"/>
    <n v="3000"/>
    <n v="4000"/>
    <n v="3000"/>
    <n v="2000"/>
    <n v="0"/>
    <x v="1"/>
    <n v="32695"/>
    <x v="1"/>
  </r>
  <r>
    <x v="171"/>
    <n v="300000"/>
    <x v="1"/>
    <x v="0"/>
    <x v="1"/>
    <x v="1"/>
    <n v="30"/>
    <x v="1"/>
    <x v="1"/>
    <x v="2"/>
    <x v="0"/>
    <x v="0"/>
    <x v="2"/>
    <x v="3"/>
    <n v="688"/>
    <n v="3280"/>
    <n v="0"/>
    <n v="4340"/>
    <n v="2672"/>
    <n v="800"/>
    <n v="3288"/>
    <n v="0"/>
    <n v="4340"/>
    <n v="2672"/>
    <n v="800"/>
    <n v="746"/>
    <n v="0"/>
    <x v="1"/>
    <n v="-2600"/>
    <x v="3"/>
  </r>
  <r>
    <x v="172"/>
    <n v="50000"/>
    <x v="0"/>
    <x v="0"/>
    <x v="0"/>
    <x v="1"/>
    <n v="22"/>
    <x v="0"/>
    <x v="1"/>
    <x v="1"/>
    <x v="1"/>
    <x v="1"/>
    <x v="1"/>
    <x v="2"/>
    <n v="8567"/>
    <n v="15273"/>
    <n v="11650"/>
    <n v="7457"/>
    <n v="3115"/>
    <n v="7725"/>
    <n v="15000"/>
    <n v="1000"/>
    <n v="149"/>
    <n v="0"/>
    <n v="5000"/>
    <n v="10000"/>
    <n v="0"/>
    <x v="1"/>
    <n v="-6433"/>
    <x v="3"/>
  </r>
  <r>
    <x v="173"/>
    <n v="50000"/>
    <x v="0"/>
    <x v="0"/>
    <x v="1"/>
    <x v="1"/>
    <n v="24"/>
    <x v="0"/>
    <x v="4"/>
    <x v="3"/>
    <x v="3"/>
    <x v="2"/>
    <x v="0"/>
    <x v="0"/>
    <n v="-709"/>
    <n v="-709"/>
    <n v="-709"/>
    <n v="-2898"/>
    <n v="-3272"/>
    <n v="-3272"/>
    <n v="0"/>
    <n v="0"/>
    <n v="0"/>
    <n v="0"/>
    <n v="0"/>
    <n v="0"/>
    <n v="1"/>
    <x v="0"/>
    <n v="-709"/>
    <x v="3"/>
  </r>
  <r>
    <x v="174"/>
    <n v="360000"/>
    <x v="2"/>
    <x v="1"/>
    <x v="1"/>
    <x v="1"/>
    <n v="29"/>
    <x v="0"/>
    <x v="4"/>
    <x v="3"/>
    <x v="0"/>
    <x v="0"/>
    <x v="0"/>
    <x v="0"/>
    <n v="0"/>
    <n v="0"/>
    <n v="77"/>
    <n v="0"/>
    <n v="0"/>
    <n v="0"/>
    <n v="0"/>
    <n v="77"/>
    <n v="0"/>
    <n v="0"/>
    <n v="0"/>
    <n v="0"/>
    <n v="0"/>
    <x v="1"/>
    <n v="0"/>
    <x v="3"/>
  </r>
  <r>
    <x v="175"/>
    <n v="130000"/>
    <x v="1"/>
    <x v="1"/>
    <x v="2"/>
    <x v="0"/>
    <n v="56"/>
    <x v="2"/>
    <x v="4"/>
    <x v="0"/>
    <x v="2"/>
    <x v="3"/>
    <x v="3"/>
    <x v="4"/>
    <n v="64617"/>
    <n v="65978"/>
    <n v="67282"/>
    <n v="68557"/>
    <n v="72796"/>
    <n v="71345"/>
    <n v="3000"/>
    <n v="3000"/>
    <n v="3000"/>
    <n v="5500"/>
    <n v="0"/>
    <n v="0"/>
    <n v="1"/>
    <x v="0"/>
    <n v="61617"/>
    <x v="1"/>
  </r>
  <r>
    <x v="176"/>
    <n v="80000"/>
    <x v="0"/>
    <x v="1"/>
    <x v="1"/>
    <x v="1"/>
    <n v="30"/>
    <x v="1"/>
    <x v="3"/>
    <x v="2"/>
    <x v="1"/>
    <x v="1"/>
    <x v="1"/>
    <x v="2"/>
    <n v="6187"/>
    <n v="100"/>
    <n v="600"/>
    <n v="1438"/>
    <n v="1919"/>
    <n v="5380"/>
    <n v="504"/>
    <n v="500"/>
    <n v="1000"/>
    <n v="500"/>
    <n v="3500"/>
    <n v="0"/>
    <n v="0"/>
    <x v="1"/>
    <n v="5683"/>
    <x v="0"/>
  </r>
  <r>
    <x v="177"/>
    <n v="50000"/>
    <x v="0"/>
    <x v="1"/>
    <x v="0"/>
    <x v="1"/>
    <n v="30"/>
    <x v="1"/>
    <x v="4"/>
    <x v="0"/>
    <x v="1"/>
    <x v="1"/>
    <x v="1"/>
    <x v="1"/>
    <n v="48860"/>
    <n v="47801"/>
    <n v="48363"/>
    <n v="30221"/>
    <n v="22877"/>
    <n v="22361"/>
    <n v="0"/>
    <n v="1500"/>
    <n v="1000"/>
    <n v="2000"/>
    <n v="0"/>
    <n v="2000"/>
    <n v="0"/>
    <x v="1"/>
    <n v="48860"/>
    <x v="1"/>
  </r>
  <r>
    <x v="178"/>
    <n v="20000"/>
    <x v="0"/>
    <x v="0"/>
    <x v="0"/>
    <x v="1"/>
    <n v="22"/>
    <x v="0"/>
    <x v="2"/>
    <x v="1"/>
    <x v="1"/>
    <x v="1"/>
    <x v="1"/>
    <x v="2"/>
    <n v="16001"/>
    <n v="12622"/>
    <n v="13221"/>
    <n v="13130"/>
    <n v="14034"/>
    <n v="14906"/>
    <n v="1212"/>
    <n v="1201"/>
    <n v="500"/>
    <n v="1500"/>
    <n v="1500"/>
    <n v="1000"/>
    <n v="0"/>
    <x v="1"/>
    <n v="14789"/>
    <x v="0"/>
  </r>
  <r>
    <x v="179"/>
    <n v="80000"/>
    <x v="0"/>
    <x v="0"/>
    <x v="0"/>
    <x v="0"/>
    <n v="29"/>
    <x v="0"/>
    <x v="2"/>
    <x v="1"/>
    <x v="2"/>
    <x v="1"/>
    <x v="1"/>
    <x v="2"/>
    <n v="77883"/>
    <n v="81811"/>
    <n v="80250"/>
    <n v="61467"/>
    <n v="10662"/>
    <n v="11486"/>
    <n v="5800"/>
    <n v="1000"/>
    <n v="600"/>
    <n v="400"/>
    <n v="1000"/>
    <n v="0"/>
    <n v="0"/>
    <x v="1"/>
    <n v="72083"/>
    <x v="1"/>
  </r>
  <r>
    <x v="180"/>
    <n v="240000"/>
    <x v="1"/>
    <x v="1"/>
    <x v="1"/>
    <x v="1"/>
    <n v="37"/>
    <x v="1"/>
    <x v="1"/>
    <x v="2"/>
    <x v="2"/>
    <x v="1"/>
    <x v="1"/>
    <x v="3"/>
    <n v="12212"/>
    <n v="26578"/>
    <n v="25331"/>
    <n v="26605"/>
    <n v="26279"/>
    <n v="1256"/>
    <n v="15000"/>
    <n v="0"/>
    <n v="2000"/>
    <n v="0"/>
    <n v="1256"/>
    <n v="65935"/>
    <n v="0"/>
    <x v="1"/>
    <n v="-2788"/>
    <x v="3"/>
  </r>
  <r>
    <x v="181"/>
    <n v="80000"/>
    <x v="0"/>
    <x v="0"/>
    <x v="2"/>
    <x v="1"/>
    <n v="35"/>
    <x v="1"/>
    <x v="2"/>
    <x v="2"/>
    <x v="1"/>
    <x v="1"/>
    <x v="1"/>
    <x v="2"/>
    <n v="49608"/>
    <n v="12412"/>
    <n v="14873"/>
    <n v="17364"/>
    <n v="17770"/>
    <n v="17460"/>
    <n v="12500"/>
    <n v="6500"/>
    <n v="3000"/>
    <n v="2000"/>
    <n v="3000"/>
    <n v="2000"/>
    <n v="0"/>
    <x v="1"/>
    <n v="37108"/>
    <x v="1"/>
  </r>
  <r>
    <x v="182"/>
    <n v="500000"/>
    <x v="2"/>
    <x v="0"/>
    <x v="1"/>
    <x v="0"/>
    <n v="47"/>
    <x v="3"/>
    <x v="2"/>
    <x v="1"/>
    <x v="1"/>
    <x v="1"/>
    <x v="1"/>
    <x v="2"/>
    <n v="56422"/>
    <n v="110616"/>
    <n v="110340"/>
    <n v="122967"/>
    <n v="108834"/>
    <n v="70064"/>
    <n v="70010"/>
    <n v="30357"/>
    <n v="30000"/>
    <n v="20000"/>
    <n v="52183"/>
    <n v="20000"/>
    <n v="0"/>
    <x v="1"/>
    <n v="-13588"/>
    <x v="3"/>
  </r>
  <r>
    <x v="183"/>
    <n v="60000"/>
    <x v="0"/>
    <x v="0"/>
    <x v="0"/>
    <x v="0"/>
    <n v="24"/>
    <x v="0"/>
    <x v="2"/>
    <x v="1"/>
    <x v="1"/>
    <x v="1"/>
    <x v="1"/>
    <x v="2"/>
    <n v="58024"/>
    <n v="57891"/>
    <n v="48839"/>
    <n v="18971"/>
    <n v="19323"/>
    <n v="19395"/>
    <n v="2500"/>
    <n v="1600"/>
    <n v="3000"/>
    <n v="1000"/>
    <n v="737"/>
    <n v="2000"/>
    <n v="1"/>
    <x v="0"/>
    <n v="55524"/>
    <x v="1"/>
  </r>
  <r>
    <x v="184"/>
    <n v="20000"/>
    <x v="0"/>
    <x v="1"/>
    <x v="0"/>
    <x v="1"/>
    <n v="25"/>
    <x v="0"/>
    <x v="2"/>
    <x v="1"/>
    <x v="1"/>
    <x v="1"/>
    <x v="1"/>
    <x v="3"/>
    <n v="10642"/>
    <n v="11677"/>
    <n v="13070"/>
    <n v="12280"/>
    <n v="1615"/>
    <n v="1620"/>
    <n v="1200"/>
    <n v="1593"/>
    <n v="601"/>
    <n v="135"/>
    <n v="1824"/>
    <n v="0"/>
    <n v="0"/>
    <x v="1"/>
    <n v="9442"/>
    <x v="0"/>
  </r>
  <r>
    <x v="185"/>
    <n v="100000"/>
    <x v="0"/>
    <x v="0"/>
    <x v="0"/>
    <x v="0"/>
    <n v="38"/>
    <x v="1"/>
    <x v="4"/>
    <x v="0"/>
    <x v="1"/>
    <x v="1"/>
    <x v="3"/>
    <x v="2"/>
    <n v="14483"/>
    <n v="13961"/>
    <n v="15323"/>
    <n v="16268"/>
    <n v="15868"/>
    <n v="16448"/>
    <n v="0"/>
    <n v="1600"/>
    <n v="1500"/>
    <n v="0"/>
    <n v="1000"/>
    <n v="1500"/>
    <n v="1"/>
    <x v="0"/>
    <n v="14483"/>
    <x v="0"/>
  </r>
  <r>
    <x v="186"/>
    <n v="360000"/>
    <x v="2"/>
    <x v="0"/>
    <x v="1"/>
    <x v="1"/>
    <n v="32"/>
    <x v="1"/>
    <x v="4"/>
    <x v="2"/>
    <x v="0"/>
    <x v="0"/>
    <x v="2"/>
    <x v="3"/>
    <n v="2616"/>
    <n v="57077"/>
    <n v="5287"/>
    <n v="68445"/>
    <n v="13881"/>
    <n v="16240"/>
    <n v="57087"/>
    <n v="5295"/>
    <n v="68454"/>
    <n v="13889"/>
    <n v="16250"/>
    <n v="38313"/>
    <n v="0"/>
    <x v="1"/>
    <n v="-54471"/>
    <x v="3"/>
  </r>
  <r>
    <x v="187"/>
    <n v="200000"/>
    <x v="1"/>
    <x v="0"/>
    <x v="2"/>
    <x v="1"/>
    <n v="47"/>
    <x v="3"/>
    <x v="0"/>
    <x v="0"/>
    <x v="2"/>
    <x v="3"/>
    <x v="3"/>
    <x v="1"/>
    <n v="199436"/>
    <n v="202947"/>
    <n v="193936"/>
    <n v="196186"/>
    <n v="200162"/>
    <n v="189915"/>
    <n v="8214"/>
    <n v="7000"/>
    <n v="6800"/>
    <n v="7134"/>
    <n v="0"/>
    <n v="6836"/>
    <n v="1"/>
    <x v="0"/>
    <n v="191222"/>
    <x v="2"/>
  </r>
  <r>
    <x v="188"/>
    <n v="130000"/>
    <x v="1"/>
    <x v="0"/>
    <x v="0"/>
    <x v="0"/>
    <n v="34"/>
    <x v="1"/>
    <x v="4"/>
    <x v="2"/>
    <x v="1"/>
    <x v="1"/>
    <x v="1"/>
    <x v="2"/>
    <n v="0"/>
    <n v="5396"/>
    <n v="10270"/>
    <n v="13576"/>
    <n v="13864"/>
    <n v="14636"/>
    <n v="5396"/>
    <n v="5000"/>
    <n v="3500"/>
    <n v="501"/>
    <n v="1000"/>
    <n v="2000"/>
    <n v="0"/>
    <x v="1"/>
    <n v="-5396"/>
    <x v="3"/>
  </r>
  <r>
    <x v="189"/>
    <n v="20000"/>
    <x v="0"/>
    <x v="0"/>
    <x v="0"/>
    <x v="1"/>
    <n v="31"/>
    <x v="1"/>
    <x v="4"/>
    <x v="5"/>
    <x v="5"/>
    <x v="5"/>
    <x v="4"/>
    <x v="1"/>
    <n v="21703"/>
    <n v="21087"/>
    <n v="21461"/>
    <n v="20835"/>
    <n v="20219"/>
    <n v="20487"/>
    <n v="0"/>
    <n v="1000"/>
    <n v="0"/>
    <n v="0"/>
    <n v="760"/>
    <n v="0"/>
    <n v="0"/>
    <x v="1"/>
    <n v="21703"/>
    <x v="0"/>
  </r>
  <r>
    <x v="190"/>
    <n v="310000"/>
    <x v="2"/>
    <x v="1"/>
    <x v="1"/>
    <x v="1"/>
    <n v="32"/>
    <x v="1"/>
    <x v="2"/>
    <x v="1"/>
    <x v="1"/>
    <x v="1"/>
    <x v="1"/>
    <x v="2"/>
    <n v="59901"/>
    <n v="62147"/>
    <n v="62102"/>
    <n v="65875"/>
    <n v="60387"/>
    <n v="43328"/>
    <n v="10020"/>
    <n v="6031"/>
    <n v="10057"/>
    <n v="5028"/>
    <n v="5060"/>
    <n v="4223"/>
    <n v="0"/>
    <x v="1"/>
    <n v="49881"/>
    <x v="1"/>
  </r>
  <r>
    <x v="191"/>
    <n v="60000"/>
    <x v="0"/>
    <x v="0"/>
    <x v="1"/>
    <x v="1"/>
    <n v="27"/>
    <x v="0"/>
    <x v="0"/>
    <x v="1"/>
    <x v="1"/>
    <x v="1"/>
    <x v="3"/>
    <x v="2"/>
    <n v="19625"/>
    <n v="20347"/>
    <n v="21669"/>
    <n v="23005"/>
    <n v="22499"/>
    <n v="22873"/>
    <n v="1342"/>
    <n v="1664"/>
    <n v="2000"/>
    <n v="0"/>
    <n v="900"/>
    <n v="846"/>
    <n v="1"/>
    <x v="0"/>
    <n v="18283"/>
    <x v="0"/>
  </r>
  <r>
    <x v="192"/>
    <n v="180000"/>
    <x v="1"/>
    <x v="0"/>
    <x v="1"/>
    <x v="1"/>
    <n v="29"/>
    <x v="0"/>
    <x v="1"/>
    <x v="2"/>
    <x v="0"/>
    <x v="2"/>
    <x v="2"/>
    <x v="2"/>
    <n v="11386"/>
    <n v="199"/>
    <n v="0"/>
    <n v="0"/>
    <n v="17227"/>
    <n v="17042"/>
    <n v="199"/>
    <n v="0"/>
    <n v="0"/>
    <n v="17227"/>
    <n v="341"/>
    <n v="5114"/>
    <n v="0"/>
    <x v="1"/>
    <n v="11187"/>
    <x v="0"/>
  </r>
  <r>
    <x v="193"/>
    <n v="180000"/>
    <x v="1"/>
    <x v="0"/>
    <x v="1"/>
    <x v="1"/>
    <n v="24"/>
    <x v="0"/>
    <x v="1"/>
    <x v="2"/>
    <x v="2"/>
    <x v="1"/>
    <x v="1"/>
    <x v="0"/>
    <n v="14670"/>
    <n v="22087"/>
    <n v="21282"/>
    <n v="10200"/>
    <n v="0"/>
    <n v="0"/>
    <n v="37867"/>
    <n v="0"/>
    <n v="200"/>
    <n v="0"/>
    <n v="0"/>
    <n v="0"/>
    <n v="0"/>
    <x v="1"/>
    <n v="-23197"/>
    <x v="3"/>
  </r>
  <r>
    <x v="194"/>
    <n v="50000"/>
    <x v="0"/>
    <x v="1"/>
    <x v="0"/>
    <x v="0"/>
    <n v="36"/>
    <x v="1"/>
    <x v="2"/>
    <x v="1"/>
    <x v="1"/>
    <x v="1"/>
    <x v="2"/>
    <x v="3"/>
    <n v="47790"/>
    <n v="18114"/>
    <n v="18250"/>
    <n v="-14"/>
    <n v="72"/>
    <n v="658"/>
    <n v="2000"/>
    <n v="1000"/>
    <n v="2000"/>
    <n v="500"/>
    <n v="1000"/>
    <n v="20011"/>
    <n v="0"/>
    <x v="1"/>
    <n v="45790"/>
    <x v="1"/>
  </r>
  <r>
    <x v="195"/>
    <n v="50000"/>
    <x v="0"/>
    <x v="0"/>
    <x v="1"/>
    <x v="1"/>
    <n v="24"/>
    <x v="0"/>
    <x v="4"/>
    <x v="0"/>
    <x v="2"/>
    <x v="3"/>
    <x v="3"/>
    <x v="1"/>
    <n v="36166"/>
    <n v="37188"/>
    <n v="37680"/>
    <n v="38462"/>
    <n v="39228"/>
    <n v="40035"/>
    <n v="1900"/>
    <n v="1400"/>
    <n v="1700"/>
    <n v="1532"/>
    <n v="1600"/>
    <n v="0"/>
    <n v="1"/>
    <x v="0"/>
    <n v="34266"/>
    <x v="1"/>
  </r>
  <r>
    <x v="196"/>
    <n v="150000"/>
    <x v="1"/>
    <x v="0"/>
    <x v="0"/>
    <x v="0"/>
    <n v="34"/>
    <x v="1"/>
    <x v="3"/>
    <x v="3"/>
    <x v="3"/>
    <x v="2"/>
    <x v="0"/>
    <x v="0"/>
    <n v="0"/>
    <n v="0"/>
    <n v="0"/>
    <n v="116"/>
    <n v="0"/>
    <n v="1500"/>
    <n v="0"/>
    <n v="0"/>
    <n v="116"/>
    <n v="0"/>
    <n v="1500"/>
    <n v="0"/>
    <n v="0"/>
    <x v="1"/>
    <n v="0"/>
    <x v="3"/>
  </r>
  <r>
    <x v="197"/>
    <n v="20000"/>
    <x v="0"/>
    <x v="0"/>
    <x v="1"/>
    <x v="1"/>
    <n v="22"/>
    <x v="0"/>
    <x v="2"/>
    <x v="1"/>
    <x v="1"/>
    <x v="1"/>
    <x v="2"/>
    <x v="2"/>
    <n v="18553"/>
    <n v="19446"/>
    <n v="19065"/>
    <n v="8332"/>
    <n v="18868"/>
    <n v="19247"/>
    <n v="1500"/>
    <n v="1032"/>
    <n v="541"/>
    <n v="20000"/>
    <n v="693"/>
    <n v="1000"/>
    <n v="0"/>
    <x v="1"/>
    <n v="17053"/>
    <x v="0"/>
  </r>
  <r>
    <x v="198"/>
    <n v="500000"/>
    <x v="2"/>
    <x v="0"/>
    <x v="1"/>
    <x v="0"/>
    <n v="34"/>
    <x v="1"/>
    <x v="3"/>
    <x v="3"/>
    <x v="3"/>
    <x v="0"/>
    <x v="2"/>
    <x v="3"/>
    <n v="412"/>
    <n v="138"/>
    <n v="2299"/>
    <n v="1251"/>
    <n v="1206"/>
    <n v="1151"/>
    <n v="138"/>
    <n v="2299"/>
    <n v="1251"/>
    <n v="1206"/>
    <n v="1151"/>
    <n v="15816"/>
    <n v="0"/>
    <x v="1"/>
    <n v="274"/>
    <x v="0"/>
  </r>
  <r>
    <x v="199"/>
    <n v="30000"/>
    <x v="0"/>
    <x v="0"/>
    <x v="2"/>
    <x v="1"/>
    <n v="22"/>
    <x v="0"/>
    <x v="4"/>
    <x v="0"/>
    <x v="2"/>
    <x v="1"/>
    <x v="1"/>
    <x v="2"/>
    <n v="29010"/>
    <n v="29256"/>
    <n v="28122"/>
    <n v="29836"/>
    <n v="1630"/>
    <n v="0"/>
    <n v="1000"/>
    <n v="85"/>
    <n v="1714"/>
    <n v="104"/>
    <n v="0"/>
    <n v="0"/>
    <n v="1"/>
    <x v="0"/>
    <n v="28010"/>
    <x v="1"/>
  </r>
  <r>
    <x v="200"/>
    <n v="180000"/>
    <x v="1"/>
    <x v="0"/>
    <x v="1"/>
    <x v="0"/>
    <n v="38"/>
    <x v="1"/>
    <x v="3"/>
    <x v="3"/>
    <x v="3"/>
    <x v="2"/>
    <x v="0"/>
    <x v="0"/>
    <n v="750"/>
    <n v="0"/>
    <n v="0"/>
    <n v="0"/>
    <n v="0"/>
    <n v="0"/>
    <n v="0"/>
    <n v="0"/>
    <n v="0"/>
    <n v="0"/>
    <n v="0"/>
    <n v="0"/>
    <n v="0"/>
    <x v="1"/>
    <n v="750"/>
    <x v="0"/>
  </r>
  <r>
    <x v="201"/>
    <n v="140000"/>
    <x v="1"/>
    <x v="1"/>
    <x v="1"/>
    <x v="1"/>
    <n v="31"/>
    <x v="1"/>
    <x v="2"/>
    <x v="1"/>
    <x v="2"/>
    <x v="1"/>
    <x v="1"/>
    <x v="1"/>
    <n v="27123"/>
    <n v="27299"/>
    <n v="17985"/>
    <n v="20225"/>
    <n v="27407"/>
    <n v="10833"/>
    <n v="25000"/>
    <n v="0"/>
    <n v="3000"/>
    <n v="7800"/>
    <n v="0"/>
    <n v="2500"/>
    <n v="0"/>
    <x v="1"/>
    <n v="2123"/>
    <x v="0"/>
  </r>
  <r>
    <x v="202"/>
    <n v="140000"/>
    <x v="1"/>
    <x v="0"/>
    <x v="1"/>
    <x v="1"/>
    <n v="26"/>
    <x v="0"/>
    <x v="1"/>
    <x v="1"/>
    <x v="0"/>
    <x v="0"/>
    <x v="2"/>
    <x v="3"/>
    <n v="13424"/>
    <n v="18000"/>
    <n v="13001"/>
    <n v="5818"/>
    <n v="13506"/>
    <n v="487"/>
    <n v="10000"/>
    <n v="13001"/>
    <n v="5841"/>
    <n v="13506"/>
    <n v="487"/>
    <n v="7004"/>
    <n v="0"/>
    <x v="1"/>
    <n v="3424"/>
    <x v="0"/>
  </r>
  <r>
    <x v="203"/>
    <n v="120000"/>
    <x v="1"/>
    <x v="1"/>
    <x v="0"/>
    <x v="1"/>
    <n v="26"/>
    <x v="0"/>
    <x v="2"/>
    <x v="1"/>
    <x v="1"/>
    <x v="1"/>
    <x v="1"/>
    <x v="2"/>
    <n v="107314"/>
    <n v="110578"/>
    <n v="113736"/>
    <n v="116000"/>
    <n v="119131"/>
    <n v="122135"/>
    <n v="5000"/>
    <n v="5000"/>
    <n v="4152"/>
    <n v="5000"/>
    <n v="5000"/>
    <n v="5000"/>
    <n v="0"/>
    <x v="1"/>
    <n v="102314"/>
    <x v="2"/>
  </r>
  <r>
    <x v="204"/>
    <n v="360000"/>
    <x v="2"/>
    <x v="0"/>
    <x v="0"/>
    <x v="0"/>
    <n v="48"/>
    <x v="3"/>
    <x v="2"/>
    <x v="1"/>
    <x v="1"/>
    <x v="1"/>
    <x v="1"/>
    <x v="2"/>
    <n v="226430"/>
    <n v="231878"/>
    <n v="234192"/>
    <n v="190211"/>
    <n v="173557"/>
    <n v="146511"/>
    <n v="9100"/>
    <n v="7300"/>
    <n v="5800"/>
    <n v="5600"/>
    <n v="5600"/>
    <n v="4100"/>
    <n v="0"/>
    <x v="1"/>
    <n v="217330"/>
    <x v="2"/>
  </r>
  <r>
    <x v="205"/>
    <n v="20000"/>
    <x v="0"/>
    <x v="1"/>
    <x v="2"/>
    <x v="0"/>
    <n v="43"/>
    <x v="3"/>
    <x v="1"/>
    <x v="2"/>
    <x v="1"/>
    <x v="1"/>
    <x v="1"/>
    <x v="2"/>
    <n v="227"/>
    <n v="20351"/>
    <n v="20237"/>
    <n v="19339"/>
    <n v="19450"/>
    <n v="19337"/>
    <n v="22359"/>
    <n v="1305"/>
    <n v="1258"/>
    <n v="1459"/>
    <n v="3457"/>
    <n v="1700"/>
    <n v="0"/>
    <x v="1"/>
    <n v="-22132"/>
    <x v="3"/>
  </r>
  <r>
    <x v="206"/>
    <n v="100000"/>
    <x v="0"/>
    <x v="1"/>
    <x v="1"/>
    <x v="0"/>
    <n v="47"/>
    <x v="3"/>
    <x v="1"/>
    <x v="2"/>
    <x v="0"/>
    <x v="0"/>
    <x v="2"/>
    <x v="3"/>
    <n v="390"/>
    <n v="1473"/>
    <n v="390"/>
    <n v="390"/>
    <n v="390"/>
    <n v="0"/>
    <n v="1473"/>
    <n v="390"/>
    <n v="390"/>
    <n v="390"/>
    <n v="0"/>
    <n v="2380"/>
    <n v="0"/>
    <x v="1"/>
    <n v="-1083"/>
    <x v="3"/>
  </r>
  <r>
    <x v="207"/>
    <n v="210000"/>
    <x v="1"/>
    <x v="0"/>
    <x v="0"/>
    <x v="0"/>
    <n v="41"/>
    <x v="3"/>
    <x v="1"/>
    <x v="2"/>
    <x v="0"/>
    <x v="0"/>
    <x v="2"/>
    <x v="3"/>
    <n v="3088"/>
    <n v="1586"/>
    <n v="343"/>
    <n v="3763"/>
    <n v="877"/>
    <n v="0"/>
    <n v="1586"/>
    <n v="343"/>
    <n v="3763"/>
    <n v="877"/>
    <n v="0"/>
    <n v="419"/>
    <n v="1"/>
    <x v="0"/>
    <n v="1502"/>
    <x v="0"/>
  </r>
  <r>
    <x v="208"/>
    <n v="80000"/>
    <x v="0"/>
    <x v="0"/>
    <x v="0"/>
    <x v="1"/>
    <n v="24"/>
    <x v="0"/>
    <x v="2"/>
    <x v="1"/>
    <x v="1"/>
    <x v="1"/>
    <x v="1"/>
    <x v="2"/>
    <n v="81625"/>
    <n v="81554"/>
    <n v="79599"/>
    <n v="49552"/>
    <n v="49509"/>
    <n v="49568"/>
    <n v="3200"/>
    <n v="3000"/>
    <n v="2038"/>
    <n v="2000"/>
    <n v="1800"/>
    <n v="1800"/>
    <n v="1"/>
    <x v="0"/>
    <n v="78425"/>
    <x v="1"/>
  </r>
  <r>
    <x v="209"/>
    <n v="330000"/>
    <x v="2"/>
    <x v="0"/>
    <x v="1"/>
    <x v="0"/>
    <n v="50"/>
    <x v="2"/>
    <x v="1"/>
    <x v="2"/>
    <x v="0"/>
    <x v="0"/>
    <x v="0"/>
    <x v="0"/>
    <n v="8872"/>
    <n v="4337"/>
    <n v="2854"/>
    <n v="1690"/>
    <n v="0"/>
    <n v="1709"/>
    <n v="4345"/>
    <n v="2854"/>
    <n v="1702"/>
    <n v="0"/>
    <n v="1709"/>
    <n v="258"/>
    <n v="0"/>
    <x v="1"/>
    <n v="4527"/>
    <x v="0"/>
  </r>
  <r>
    <x v="210"/>
    <n v="220000"/>
    <x v="1"/>
    <x v="1"/>
    <x v="1"/>
    <x v="1"/>
    <n v="24"/>
    <x v="0"/>
    <x v="2"/>
    <x v="1"/>
    <x v="1"/>
    <x v="0"/>
    <x v="2"/>
    <x v="3"/>
    <n v="105607"/>
    <n v="108917"/>
    <n v="111520"/>
    <n v="8303"/>
    <n v="0"/>
    <n v="85632"/>
    <n v="5000"/>
    <n v="5050"/>
    <n v="8303"/>
    <n v="0"/>
    <n v="85632"/>
    <n v="0"/>
    <n v="0"/>
    <x v="1"/>
    <n v="100607"/>
    <x v="2"/>
  </r>
  <r>
    <x v="211"/>
    <n v="210000"/>
    <x v="1"/>
    <x v="0"/>
    <x v="1"/>
    <x v="0"/>
    <n v="38"/>
    <x v="1"/>
    <x v="4"/>
    <x v="3"/>
    <x v="0"/>
    <x v="1"/>
    <x v="2"/>
    <x v="3"/>
    <n v="0"/>
    <n v="0"/>
    <n v="250"/>
    <n v="123"/>
    <n v="789"/>
    <n v="1222"/>
    <n v="0"/>
    <n v="250"/>
    <n v="0"/>
    <n v="789"/>
    <n v="1222"/>
    <n v="9616"/>
    <n v="1"/>
    <x v="0"/>
    <n v="0"/>
    <x v="3"/>
  </r>
  <r>
    <x v="212"/>
    <n v="40000"/>
    <x v="0"/>
    <x v="0"/>
    <x v="2"/>
    <x v="0"/>
    <n v="43"/>
    <x v="3"/>
    <x v="2"/>
    <x v="1"/>
    <x v="1"/>
    <x v="1"/>
    <x v="1"/>
    <x v="2"/>
    <n v="38257"/>
    <n v="38901"/>
    <n v="38103"/>
    <n v="36207"/>
    <n v="33138"/>
    <n v="31339"/>
    <n v="1700"/>
    <n v="1504"/>
    <n v="1200"/>
    <n v="1500"/>
    <n v="1500"/>
    <n v="1000"/>
    <n v="0"/>
    <x v="1"/>
    <n v="36557"/>
    <x v="1"/>
  </r>
  <r>
    <x v="213"/>
    <n v="30000"/>
    <x v="0"/>
    <x v="1"/>
    <x v="0"/>
    <x v="1"/>
    <n v="39"/>
    <x v="1"/>
    <x v="2"/>
    <x v="1"/>
    <x v="1"/>
    <x v="3"/>
    <x v="1"/>
    <x v="2"/>
    <n v="28347"/>
    <n v="28108"/>
    <n v="18388"/>
    <n v="12992"/>
    <n v="7736"/>
    <n v="8032"/>
    <n v="3036"/>
    <n v="2309"/>
    <n v="0"/>
    <n v="1000"/>
    <n v="2000"/>
    <n v="148"/>
    <n v="0"/>
    <x v="1"/>
    <n v="25311"/>
    <x v="1"/>
  </r>
  <r>
    <x v="214"/>
    <n v="470000"/>
    <x v="2"/>
    <x v="1"/>
    <x v="0"/>
    <x v="1"/>
    <n v="27"/>
    <x v="0"/>
    <x v="0"/>
    <x v="0"/>
    <x v="2"/>
    <x v="3"/>
    <x v="1"/>
    <x v="2"/>
    <n v="296573"/>
    <n v="303320"/>
    <n v="307843"/>
    <n v="479978"/>
    <n v="305145"/>
    <n v="309959"/>
    <n v="13000"/>
    <n v="11001"/>
    <n v="0"/>
    <n v="10484"/>
    <n v="10838"/>
    <n v="10367"/>
    <n v="0"/>
    <x v="1"/>
    <n v="283573"/>
    <x v="2"/>
  </r>
  <r>
    <x v="215"/>
    <n v="30000"/>
    <x v="0"/>
    <x v="1"/>
    <x v="2"/>
    <x v="0"/>
    <n v="42"/>
    <x v="3"/>
    <x v="1"/>
    <x v="2"/>
    <x v="0"/>
    <x v="0"/>
    <x v="2"/>
    <x v="1"/>
    <n v="390"/>
    <n v="390"/>
    <n v="390"/>
    <n v="240"/>
    <n v="1320"/>
    <n v="780"/>
    <n v="390"/>
    <n v="390"/>
    <n v="240"/>
    <n v="1470"/>
    <n v="0"/>
    <n v="0"/>
    <n v="0"/>
    <x v="1"/>
    <n v="0"/>
    <x v="3"/>
  </r>
  <r>
    <x v="216"/>
    <n v="240000"/>
    <x v="1"/>
    <x v="0"/>
    <x v="0"/>
    <x v="0"/>
    <n v="36"/>
    <x v="1"/>
    <x v="4"/>
    <x v="3"/>
    <x v="3"/>
    <x v="2"/>
    <x v="0"/>
    <x v="0"/>
    <n v="-946"/>
    <n v="-946"/>
    <n v="-946"/>
    <n v="-946"/>
    <n v="-946"/>
    <n v="-946"/>
    <n v="0"/>
    <n v="0"/>
    <n v="0"/>
    <n v="0"/>
    <n v="0"/>
    <n v="0"/>
    <n v="1"/>
    <x v="0"/>
    <n v="-946"/>
    <x v="3"/>
  </r>
  <r>
    <x v="217"/>
    <n v="80000"/>
    <x v="0"/>
    <x v="1"/>
    <x v="0"/>
    <x v="1"/>
    <n v="36"/>
    <x v="1"/>
    <x v="0"/>
    <x v="1"/>
    <x v="1"/>
    <x v="1"/>
    <x v="1"/>
    <x v="2"/>
    <n v="79278"/>
    <n v="78501"/>
    <n v="78534"/>
    <n v="80016"/>
    <n v="76235"/>
    <n v="78245"/>
    <n v="3100"/>
    <n v="3500"/>
    <n v="3400"/>
    <n v="3000"/>
    <n v="3500"/>
    <n v="3000"/>
    <n v="0"/>
    <x v="1"/>
    <n v="76178"/>
    <x v="1"/>
  </r>
  <r>
    <x v="218"/>
    <n v="110000"/>
    <x v="1"/>
    <x v="0"/>
    <x v="2"/>
    <x v="3"/>
    <n v="31"/>
    <x v="1"/>
    <x v="2"/>
    <x v="1"/>
    <x v="1"/>
    <x v="1"/>
    <x v="1"/>
    <x v="2"/>
    <n v="89989"/>
    <n v="84229"/>
    <n v="79288"/>
    <n v="73315"/>
    <n v="63818"/>
    <n v="63208"/>
    <n v="4000"/>
    <n v="5000"/>
    <n v="3000"/>
    <n v="3000"/>
    <n v="3000"/>
    <n v="8954"/>
    <n v="0"/>
    <x v="1"/>
    <n v="85989"/>
    <x v="1"/>
  </r>
  <r>
    <x v="219"/>
    <n v="310000"/>
    <x v="2"/>
    <x v="0"/>
    <x v="1"/>
    <x v="1"/>
    <n v="38"/>
    <x v="1"/>
    <x v="1"/>
    <x v="2"/>
    <x v="0"/>
    <x v="0"/>
    <x v="0"/>
    <x v="0"/>
    <n v="1424"/>
    <n v="4542"/>
    <n v="126"/>
    <n v="0"/>
    <n v="0"/>
    <n v="0"/>
    <n v="4542"/>
    <n v="126"/>
    <n v="0"/>
    <n v="0"/>
    <n v="0"/>
    <n v="0"/>
    <n v="0"/>
    <x v="1"/>
    <n v="-3118"/>
    <x v="3"/>
  </r>
  <r>
    <x v="220"/>
    <n v="360000"/>
    <x v="2"/>
    <x v="0"/>
    <x v="1"/>
    <x v="0"/>
    <n v="40"/>
    <x v="3"/>
    <x v="0"/>
    <x v="0"/>
    <x v="2"/>
    <x v="1"/>
    <x v="1"/>
    <x v="2"/>
    <n v="105167"/>
    <n v="115468"/>
    <n v="112157"/>
    <n v="114690"/>
    <n v="117845"/>
    <n v="120238"/>
    <n v="12000"/>
    <n v="0"/>
    <n v="5900"/>
    <n v="5000"/>
    <n v="4500"/>
    <n v="4700"/>
    <n v="1"/>
    <x v="0"/>
    <n v="93167"/>
    <x v="1"/>
  </r>
  <r>
    <x v="221"/>
    <n v="330000"/>
    <x v="2"/>
    <x v="0"/>
    <x v="2"/>
    <x v="1"/>
    <n v="45"/>
    <x v="3"/>
    <x v="2"/>
    <x v="1"/>
    <x v="1"/>
    <x v="1"/>
    <x v="1"/>
    <x v="2"/>
    <n v="335196"/>
    <n v="334954"/>
    <n v="335527"/>
    <n v="333860"/>
    <n v="335760"/>
    <n v="330121"/>
    <n v="12388"/>
    <n v="12378"/>
    <n v="12116"/>
    <n v="12450"/>
    <n v="12213"/>
    <n v="11678"/>
    <n v="0"/>
    <x v="1"/>
    <n v="322808"/>
    <x v="2"/>
  </r>
  <r>
    <x v="222"/>
    <n v="300000"/>
    <x v="1"/>
    <x v="0"/>
    <x v="0"/>
    <x v="1"/>
    <n v="35"/>
    <x v="1"/>
    <x v="2"/>
    <x v="1"/>
    <x v="1"/>
    <x v="1"/>
    <x v="1"/>
    <x v="2"/>
    <n v="291619"/>
    <n v="297268"/>
    <n v="205629"/>
    <n v="215827"/>
    <n v="208464"/>
    <n v="212508"/>
    <n v="12019"/>
    <n v="9006"/>
    <n v="17000"/>
    <n v="12000"/>
    <n v="9557"/>
    <n v="15000"/>
    <n v="0"/>
    <x v="1"/>
    <n v="279600"/>
    <x v="2"/>
  </r>
  <r>
    <x v="223"/>
    <n v="320000"/>
    <x v="2"/>
    <x v="0"/>
    <x v="0"/>
    <x v="1"/>
    <n v="33"/>
    <x v="1"/>
    <x v="2"/>
    <x v="1"/>
    <x v="1"/>
    <x v="1"/>
    <x v="1"/>
    <x v="2"/>
    <n v="91653"/>
    <n v="94037"/>
    <n v="108597"/>
    <n v="65913"/>
    <n v="43805"/>
    <n v="33263"/>
    <n v="10042"/>
    <n v="18832"/>
    <n v="2117"/>
    <n v="2076"/>
    <n v="5045"/>
    <n v="3754"/>
    <n v="0"/>
    <x v="1"/>
    <n v="81611"/>
    <x v="1"/>
  </r>
  <r>
    <x v="224"/>
    <n v="50000"/>
    <x v="0"/>
    <x v="0"/>
    <x v="2"/>
    <x v="1"/>
    <n v="37"/>
    <x v="1"/>
    <x v="4"/>
    <x v="4"/>
    <x v="2"/>
    <x v="1"/>
    <x v="1"/>
    <x v="2"/>
    <n v="52626"/>
    <n v="51537"/>
    <n v="49205"/>
    <n v="30394"/>
    <n v="30249"/>
    <n v="29957"/>
    <n v="0"/>
    <n v="24"/>
    <n v="1500"/>
    <n v="1000"/>
    <n v="1201"/>
    <n v="30592"/>
    <n v="1"/>
    <x v="0"/>
    <n v="52626"/>
    <x v="1"/>
  </r>
  <r>
    <x v="225"/>
    <n v="170000"/>
    <x v="1"/>
    <x v="0"/>
    <x v="1"/>
    <x v="1"/>
    <n v="28"/>
    <x v="0"/>
    <x v="2"/>
    <x v="1"/>
    <x v="1"/>
    <x v="1"/>
    <x v="1"/>
    <x v="2"/>
    <n v="130370"/>
    <n v="131199"/>
    <n v="128900"/>
    <n v="125514"/>
    <n v="127280"/>
    <n v="128839"/>
    <n v="6530"/>
    <n v="4860"/>
    <n v="22500"/>
    <n v="4820"/>
    <n v="4877"/>
    <n v="4962"/>
    <n v="0"/>
    <x v="1"/>
    <n v="123840"/>
    <x v="2"/>
  </r>
  <r>
    <x v="226"/>
    <n v="350000"/>
    <x v="2"/>
    <x v="1"/>
    <x v="2"/>
    <x v="0"/>
    <n v="44"/>
    <x v="3"/>
    <x v="1"/>
    <x v="2"/>
    <x v="0"/>
    <x v="0"/>
    <x v="2"/>
    <x v="0"/>
    <n v="3265"/>
    <n v="2686"/>
    <n v="1864"/>
    <n v="569"/>
    <n v="0"/>
    <n v="0"/>
    <n v="2686"/>
    <n v="1864"/>
    <n v="569"/>
    <n v="0"/>
    <n v="0"/>
    <n v="0"/>
    <n v="0"/>
    <x v="1"/>
    <n v="579"/>
    <x v="0"/>
  </r>
  <r>
    <x v="227"/>
    <n v="20000"/>
    <x v="0"/>
    <x v="1"/>
    <x v="0"/>
    <x v="0"/>
    <n v="37"/>
    <x v="1"/>
    <x v="2"/>
    <x v="1"/>
    <x v="1"/>
    <x v="1"/>
    <x v="1"/>
    <x v="2"/>
    <n v="16455"/>
    <n v="16511"/>
    <n v="18902"/>
    <n v="18768"/>
    <n v="18650"/>
    <n v="19175"/>
    <n v="1609"/>
    <n v="3000"/>
    <n v="663"/>
    <n v="676"/>
    <n v="834"/>
    <n v="782"/>
    <n v="0"/>
    <x v="1"/>
    <n v="14846"/>
    <x v="0"/>
  </r>
  <r>
    <x v="228"/>
    <n v="50000"/>
    <x v="0"/>
    <x v="1"/>
    <x v="0"/>
    <x v="1"/>
    <n v="23"/>
    <x v="0"/>
    <x v="0"/>
    <x v="1"/>
    <x v="1"/>
    <x v="1"/>
    <x v="1"/>
    <x v="2"/>
    <n v="49758"/>
    <n v="48456"/>
    <n v="44116"/>
    <n v="21247"/>
    <n v="20066"/>
    <n v="18858"/>
    <n v="2401"/>
    <n v="2254"/>
    <n v="2004"/>
    <n v="704"/>
    <n v="707"/>
    <n v="1004"/>
    <n v="1"/>
    <x v="0"/>
    <n v="47357"/>
    <x v="1"/>
  </r>
  <r>
    <x v="229"/>
    <n v="20000"/>
    <x v="0"/>
    <x v="0"/>
    <x v="2"/>
    <x v="1"/>
    <n v="24"/>
    <x v="0"/>
    <x v="4"/>
    <x v="0"/>
    <x v="1"/>
    <x v="1"/>
    <x v="1"/>
    <x v="2"/>
    <n v="19154"/>
    <n v="18165"/>
    <n v="17233"/>
    <n v="7630"/>
    <n v="1730"/>
    <n v="0"/>
    <n v="0"/>
    <n v="1333"/>
    <n v="500"/>
    <n v="100"/>
    <n v="0"/>
    <n v="3200"/>
    <n v="0"/>
    <x v="1"/>
    <n v="19154"/>
    <x v="0"/>
  </r>
  <r>
    <x v="230"/>
    <n v="50000"/>
    <x v="0"/>
    <x v="0"/>
    <x v="1"/>
    <x v="1"/>
    <n v="24"/>
    <x v="0"/>
    <x v="2"/>
    <x v="1"/>
    <x v="1"/>
    <x v="1"/>
    <x v="1"/>
    <x v="2"/>
    <n v="35084"/>
    <n v="35796"/>
    <n v="30937"/>
    <n v="19420"/>
    <n v="10385"/>
    <n v="1308"/>
    <n v="2090"/>
    <n v="2002"/>
    <n v="1002"/>
    <n v="238"/>
    <n v="1011"/>
    <n v="389"/>
    <n v="0"/>
    <x v="1"/>
    <n v="32994"/>
    <x v="1"/>
  </r>
  <r>
    <x v="231"/>
    <n v="20000"/>
    <x v="0"/>
    <x v="1"/>
    <x v="0"/>
    <x v="1"/>
    <n v="23"/>
    <x v="0"/>
    <x v="4"/>
    <x v="0"/>
    <x v="1"/>
    <x v="1"/>
    <x v="3"/>
    <x v="2"/>
    <n v="20235"/>
    <n v="17132"/>
    <n v="16856"/>
    <n v="16875"/>
    <n v="13454"/>
    <n v="10104"/>
    <n v="0"/>
    <n v="1200"/>
    <n v="1000"/>
    <n v="0"/>
    <n v="1000"/>
    <n v="10000"/>
    <n v="1"/>
    <x v="0"/>
    <n v="20235"/>
    <x v="0"/>
  </r>
  <r>
    <x v="232"/>
    <n v="50000"/>
    <x v="0"/>
    <x v="1"/>
    <x v="0"/>
    <x v="0"/>
    <n v="26"/>
    <x v="0"/>
    <x v="2"/>
    <x v="1"/>
    <x v="3"/>
    <x v="0"/>
    <x v="2"/>
    <x v="2"/>
    <n v="102800"/>
    <n v="0"/>
    <n v="0"/>
    <n v="2624"/>
    <n v="45567"/>
    <n v="46557"/>
    <n v="0"/>
    <n v="0"/>
    <n v="2624"/>
    <n v="45567"/>
    <n v="1747"/>
    <n v="2000"/>
    <n v="0"/>
    <x v="1"/>
    <n v="102800"/>
    <x v="2"/>
  </r>
  <r>
    <x v="233"/>
    <n v="190000"/>
    <x v="1"/>
    <x v="1"/>
    <x v="0"/>
    <x v="1"/>
    <n v="34"/>
    <x v="1"/>
    <x v="0"/>
    <x v="1"/>
    <x v="1"/>
    <x v="1"/>
    <x v="3"/>
    <x v="1"/>
    <n v="129801"/>
    <n v="131383"/>
    <n v="134379"/>
    <n v="142323"/>
    <n v="140120"/>
    <n v="150052"/>
    <n v="5000"/>
    <n v="5000"/>
    <n v="10000"/>
    <n v="0"/>
    <n v="12118"/>
    <n v="2769"/>
    <n v="1"/>
    <x v="0"/>
    <n v="124801"/>
    <x v="2"/>
  </r>
  <r>
    <x v="234"/>
    <n v="60000"/>
    <x v="0"/>
    <x v="0"/>
    <x v="0"/>
    <x v="0"/>
    <n v="33"/>
    <x v="1"/>
    <x v="2"/>
    <x v="1"/>
    <x v="1"/>
    <x v="1"/>
    <x v="1"/>
    <x v="2"/>
    <n v="58203"/>
    <n v="36367"/>
    <n v="20934"/>
    <n v="20694"/>
    <n v="20175"/>
    <n v="19421"/>
    <n v="1506"/>
    <n v="1298"/>
    <n v="1000"/>
    <n v="721"/>
    <n v="811"/>
    <n v="599"/>
    <n v="0"/>
    <x v="1"/>
    <n v="56697"/>
    <x v="1"/>
  </r>
  <r>
    <x v="235"/>
    <n v="80000"/>
    <x v="0"/>
    <x v="1"/>
    <x v="1"/>
    <x v="1"/>
    <n v="35"/>
    <x v="1"/>
    <x v="1"/>
    <x v="2"/>
    <x v="0"/>
    <x v="0"/>
    <x v="2"/>
    <x v="3"/>
    <n v="7988"/>
    <n v="3977"/>
    <n v="6848"/>
    <n v="1719"/>
    <n v="1378"/>
    <n v="19942"/>
    <n v="3983"/>
    <n v="6853"/>
    <n v="1719"/>
    <n v="1378"/>
    <n v="19942"/>
    <n v="2418"/>
    <n v="0"/>
    <x v="1"/>
    <n v="4005"/>
    <x v="0"/>
  </r>
  <r>
    <x v="236"/>
    <n v="150000"/>
    <x v="1"/>
    <x v="0"/>
    <x v="0"/>
    <x v="1"/>
    <n v="27"/>
    <x v="0"/>
    <x v="2"/>
    <x v="1"/>
    <x v="1"/>
    <x v="1"/>
    <x v="1"/>
    <x v="2"/>
    <n v="127402"/>
    <n v="110050"/>
    <n v="51547"/>
    <n v="44384"/>
    <n v="36900"/>
    <n v="29497"/>
    <n v="4500"/>
    <n v="1745"/>
    <n v="1566"/>
    <n v="1208"/>
    <n v="1077"/>
    <n v="2529"/>
    <n v="0"/>
    <x v="1"/>
    <n v="122902"/>
    <x v="2"/>
  </r>
  <r>
    <x v="237"/>
    <n v="210000"/>
    <x v="1"/>
    <x v="0"/>
    <x v="1"/>
    <x v="1"/>
    <n v="31"/>
    <x v="1"/>
    <x v="3"/>
    <x v="3"/>
    <x v="3"/>
    <x v="2"/>
    <x v="2"/>
    <x v="3"/>
    <n v="1440"/>
    <n v="0"/>
    <n v="7422"/>
    <n v="893"/>
    <n v="6082"/>
    <n v="2293"/>
    <n v="0"/>
    <n v="7422"/>
    <n v="893"/>
    <n v="6082"/>
    <n v="2293"/>
    <n v="3299"/>
    <n v="0"/>
    <x v="1"/>
    <n v="1440"/>
    <x v="0"/>
  </r>
  <r>
    <x v="238"/>
    <n v="240000"/>
    <x v="1"/>
    <x v="0"/>
    <x v="2"/>
    <x v="0"/>
    <n v="50"/>
    <x v="2"/>
    <x v="2"/>
    <x v="1"/>
    <x v="1"/>
    <x v="1"/>
    <x v="1"/>
    <x v="2"/>
    <n v="234205"/>
    <n v="231669"/>
    <n v="214642"/>
    <n v="207642"/>
    <n v="210375"/>
    <n v="214694"/>
    <n v="10116"/>
    <n v="9150"/>
    <n v="8008"/>
    <n v="8000"/>
    <n v="8009"/>
    <n v="7714"/>
    <n v="1"/>
    <x v="0"/>
    <n v="224089"/>
    <x v="2"/>
  </r>
  <r>
    <x v="239"/>
    <n v="140000"/>
    <x v="1"/>
    <x v="0"/>
    <x v="0"/>
    <x v="2"/>
    <n v="41"/>
    <x v="3"/>
    <x v="2"/>
    <x v="1"/>
    <x v="1"/>
    <x v="1"/>
    <x v="1"/>
    <x v="2"/>
    <n v="19346"/>
    <n v="21708"/>
    <n v="22940"/>
    <n v="19068"/>
    <n v="16409"/>
    <n v="16383"/>
    <n v="3000"/>
    <n v="2000"/>
    <n v="2198"/>
    <n v="1000"/>
    <n v="3000"/>
    <n v="2399"/>
    <n v="1"/>
    <x v="0"/>
    <n v="16346"/>
    <x v="0"/>
  </r>
  <r>
    <x v="240"/>
    <n v="60000"/>
    <x v="0"/>
    <x v="0"/>
    <x v="1"/>
    <x v="1"/>
    <n v="28"/>
    <x v="0"/>
    <x v="4"/>
    <x v="0"/>
    <x v="2"/>
    <x v="2"/>
    <x v="0"/>
    <x v="3"/>
    <n v="21501"/>
    <n v="20650"/>
    <n v="0"/>
    <n v="0"/>
    <n v="0"/>
    <n v="2285"/>
    <n v="0"/>
    <n v="0"/>
    <n v="0"/>
    <n v="0"/>
    <n v="2285"/>
    <n v="0"/>
    <n v="0"/>
    <x v="1"/>
    <n v="21501"/>
    <x v="0"/>
  </r>
  <r>
    <x v="241"/>
    <n v="50000"/>
    <x v="0"/>
    <x v="1"/>
    <x v="1"/>
    <x v="1"/>
    <n v="39"/>
    <x v="1"/>
    <x v="2"/>
    <x v="1"/>
    <x v="1"/>
    <x v="1"/>
    <x v="1"/>
    <x v="2"/>
    <n v="47174"/>
    <n v="47974"/>
    <n v="48630"/>
    <n v="50803"/>
    <n v="30789"/>
    <n v="15874"/>
    <n v="1800"/>
    <n v="2000"/>
    <n v="3000"/>
    <n v="2000"/>
    <n v="2000"/>
    <n v="2000"/>
    <n v="0"/>
    <x v="1"/>
    <n v="45374"/>
    <x v="1"/>
  </r>
  <r>
    <x v="242"/>
    <n v="50000"/>
    <x v="0"/>
    <x v="0"/>
    <x v="0"/>
    <x v="1"/>
    <n v="27"/>
    <x v="0"/>
    <x v="2"/>
    <x v="1"/>
    <x v="1"/>
    <x v="1"/>
    <x v="1"/>
    <x v="2"/>
    <n v="26655"/>
    <n v="27724"/>
    <n v="28676"/>
    <n v="27990"/>
    <n v="28790"/>
    <n v="29399"/>
    <n v="1800"/>
    <n v="1750"/>
    <n v="900"/>
    <n v="1200"/>
    <n v="1200"/>
    <n v="1100"/>
    <n v="0"/>
    <x v="1"/>
    <n v="24855"/>
    <x v="0"/>
  </r>
  <r>
    <x v="243"/>
    <n v="180000"/>
    <x v="1"/>
    <x v="0"/>
    <x v="1"/>
    <x v="1"/>
    <n v="32"/>
    <x v="1"/>
    <x v="1"/>
    <x v="2"/>
    <x v="2"/>
    <x v="3"/>
    <x v="2"/>
    <x v="3"/>
    <n v="3139"/>
    <n v="5853"/>
    <n v="2821"/>
    <n v="0"/>
    <n v="2821"/>
    <n v="0"/>
    <n v="2821"/>
    <n v="0"/>
    <n v="0"/>
    <n v="2821"/>
    <n v="0"/>
    <n v="176"/>
    <n v="0"/>
    <x v="1"/>
    <n v="318"/>
    <x v="0"/>
  </r>
  <r>
    <x v="244"/>
    <n v="30000"/>
    <x v="0"/>
    <x v="0"/>
    <x v="1"/>
    <x v="1"/>
    <n v="40"/>
    <x v="3"/>
    <x v="1"/>
    <x v="2"/>
    <x v="2"/>
    <x v="3"/>
    <x v="3"/>
    <x v="1"/>
    <n v="142"/>
    <n v="215"/>
    <n v="139"/>
    <n v="19"/>
    <n v="19"/>
    <n v="79"/>
    <n v="355"/>
    <n v="120"/>
    <n v="0"/>
    <n v="0"/>
    <n v="60"/>
    <n v="60"/>
    <n v="0"/>
    <x v="1"/>
    <n v="-213"/>
    <x v="3"/>
  </r>
  <r>
    <x v="245"/>
    <n v="20000"/>
    <x v="0"/>
    <x v="0"/>
    <x v="0"/>
    <x v="1"/>
    <n v="40"/>
    <x v="3"/>
    <x v="2"/>
    <x v="1"/>
    <x v="1"/>
    <x v="1"/>
    <x v="1"/>
    <x v="0"/>
    <n v="19816"/>
    <n v="20396"/>
    <n v="20102"/>
    <n v="19575"/>
    <n v="0"/>
    <n v="0"/>
    <n v="1601"/>
    <n v="2203"/>
    <n v="2114"/>
    <n v="0"/>
    <n v="0"/>
    <n v="0"/>
    <n v="0"/>
    <x v="1"/>
    <n v="18215"/>
    <x v="0"/>
  </r>
  <r>
    <x v="246"/>
    <n v="250000"/>
    <x v="1"/>
    <x v="0"/>
    <x v="0"/>
    <x v="0"/>
    <n v="75"/>
    <x v="2"/>
    <x v="2"/>
    <x v="2"/>
    <x v="0"/>
    <x v="0"/>
    <x v="2"/>
    <x v="3"/>
    <n v="52874"/>
    <n v="1631"/>
    <n v="1536"/>
    <n v="1010"/>
    <n v="5572"/>
    <n v="794"/>
    <n v="1631"/>
    <n v="1536"/>
    <n v="1010"/>
    <n v="5572"/>
    <n v="794"/>
    <n v="1184"/>
    <n v="0"/>
    <x v="1"/>
    <n v="51243"/>
    <x v="1"/>
  </r>
  <r>
    <x v="247"/>
    <n v="100000"/>
    <x v="0"/>
    <x v="0"/>
    <x v="0"/>
    <x v="1"/>
    <n v="27"/>
    <x v="0"/>
    <x v="2"/>
    <x v="1"/>
    <x v="1"/>
    <x v="1"/>
    <x v="1"/>
    <x v="2"/>
    <n v="37767"/>
    <n v="34457"/>
    <n v="30036"/>
    <n v="30337"/>
    <n v="30997"/>
    <n v="32904"/>
    <n v="1788"/>
    <n v="1799"/>
    <n v="1100"/>
    <n v="1150"/>
    <n v="2423"/>
    <n v="0"/>
    <n v="0"/>
    <x v="1"/>
    <n v="35979"/>
    <x v="1"/>
  </r>
  <r>
    <x v="248"/>
    <n v="330000"/>
    <x v="2"/>
    <x v="1"/>
    <x v="1"/>
    <x v="1"/>
    <n v="25"/>
    <x v="0"/>
    <x v="2"/>
    <x v="1"/>
    <x v="1"/>
    <x v="1"/>
    <x v="3"/>
    <x v="2"/>
    <n v="46140"/>
    <n v="45781"/>
    <n v="48139"/>
    <n v="51137"/>
    <n v="39450"/>
    <n v="25358"/>
    <n v="2504"/>
    <n v="4007"/>
    <n v="5056"/>
    <n v="74"/>
    <n v="1023"/>
    <n v="2566"/>
    <n v="0"/>
    <x v="1"/>
    <n v="43636"/>
    <x v="1"/>
  </r>
  <r>
    <x v="249"/>
    <n v="50000"/>
    <x v="0"/>
    <x v="1"/>
    <x v="2"/>
    <x v="0"/>
    <n v="46"/>
    <x v="3"/>
    <x v="2"/>
    <x v="1"/>
    <x v="1"/>
    <x v="1"/>
    <x v="1"/>
    <x v="2"/>
    <n v="35713"/>
    <n v="15392"/>
    <n v="16099"/>
    <n v="16418"/>
    <n v="16765"/>
    <n v="17484"/>
    <n v="1561"/>
    <n v="1268"/>
    <n v="587"/>
    <n v="611"/>
    <n v="1000"/>
    <n v="2000"/>
    <n v="0"/>
    <x v="1"/>
    <n v="34152"/>
    <x v="1"/>
  </r>
  <r>
    <x v="250"/>
    <n v="50000"/>
    <x v="0"/>
    <x v="0"/>
    <x v="0"/>
    <x v="1"/>
    <n v="26"/>
    <x v="0"/>
    <x v="4"/>
    <x v="0"/>
    <x v="2"/>
    <x v="1"/>
    <x v="1"/>
    <x v="2"/>
    <n v="50867"/>
    <n v="51486"/>
    <n v="48869"/>
    <n v="30115"/>
    <n v="29527"/>
    <n v="29998"/>
    <n v="1710"/>
    <n v="136"/>
    <n v="1206"/>
    <n v="2002"/>
    <n v="2005"/>
    <n v="3003"/>
    <n v="0"/>
    <x v="1"/>
    <n v="49157"/>
    <x v="1"/>
  </r>
  <r>
    <x v="251"/>
    <n v="30000"/>
    <x v="0"/>
    <x v="1"/>
    <x v="0"/>
    <x v="1"/>
    <n v="28"/>
    <x v="0"/>
    <x v="2"/>
    <x v="1"/>
    <x v="1"/>
    <x v="1"/>
    <x v="1"/>
    <x v="2"/>
    <n v="29242"/>
    <n v="29507"/>
    <n v="29155"/>
    <n v="25255"/>
    <n v="22001"/>
    <n v="0"/>
    <n v="5006"/>
    <n v="1244"/>
    <n v="851"/>
    <n v="955"/>
    <n v="0"/>
    <n v="0"/>
    <n v="0"/>
    <x v="1"/>
    <n v="24236"/>
    <x v="0"/>
  </r>
  <r>
    <x v="252"/>
    <n v="140000"/>
    <x v="1"/>
    <x v="0"/>
    <x v="0"/>
    <x v="1"/>
    <n v="26"/>
    <x v="0"/>
    <x v="2"/>
    <x v="1"/>
    <x v="1"/>
    <x v="1"/>
    <x v="1"/>
    <x v="2"/>
    <n v="101551"/>
    <n v="105246"/>
    <n v="104781"/>
    <n v="105334"/>
    <n v="107699"/>
    <n v="106828"/>
    <n v="5366"/>
    <n v="5087"/>
    <n v="3605"/>
    <n v="3894"/>
    <n v="3785"/>
    <n v="3304"/>
    <n v="1"/>
    <x v="0"/>
    <n v="96185"/>
    <x v="1"/>
  </r>
  <r>
    <x v="253"/>
    <n v="160000"/>
    <x v="1"/>
    <x v="0"/>
    <x v="1"/>
    <x v="1"/>
    <n v="28"/>
    <x v="0"/>
    <x v="2"/>
    <x v="1"/>
    <x v="1"/>
    <x v="1"/>
    <x v="2"/>
    <x v="2"/>
    <n v="70243"/>
    <n v="47779"/>
    <n v="28052"/>
    <n v="7222"/>
    <n v="99669"/>
    <n v="84426"/>
    <n v="7042"/>
    <n v="2000"/>
    <n v="1000"/>
    <n v="99669"/>
    <n v="12600"/>
    <n v="10000"/>
    <n v="0"/>
    <x v="1"/>
    <n v="63201"/>
    <x v="1"/>
  </r>
  <r>
    <x v="254"/>
    <n v="400000"/>
    <x v="2"/>
    <x v="0"/>
    <x v="0"/>
    <x v="1"/>
    <n v="29"/>
    <x v="0"/>
    <x v="1"/>
    <x v="1"/>
    <x v="0"/>
    <x v="0"/>
    <x v="2"/>
    <x v="3"/>
    <n v="19532"/>
    <n v="3719"/>
    <n v="1453"/>
    <n v="4944"/>
    <n v="1896"/>
    <n v="2486"/>
    <n v="3127"/>
    <n v="1469"/>
    <n v="4968"/>
    <n v="1905"/>
    <n v="2494"/>
    <n v="862"/>
    <n v="0"/>
    <x v="1"/>
    <n v="16405"/>
    <x v="0"/>
  </r>
  <r>
    <x v="255"/>
    <n v="50000"/>
    <x v="0"/>
    <x v="1"/>
    <x v="0"/>
    <x v="0"/>
    <n v="25"/>
    <x v="0"/>
    <x v="2"/>
    <x v="1"/>
    <x v="1"/>
    <x v="1"/>
    <x v="1"/>
    <x v="2"/>
    <n v="27699"/>
    <n v="28513"/>
    <n v="29341"/>
    <n v="29928"/>
    <n v="29533"/>
    <n v="28538"/>
    <n v="1565"/>
    <n v="1393"/>
    <n v="980"/>
    <n v="994"/>
    <n v="1024"/>
    <n v="886"/>
    <n v="0"/>
    <x v="1"/>
    <n v="26134"/>
    <x v="1"/>
  </r>
  <r>
    <x v="256"/>
    <n v="140000"/>
    <x v="1"/>
    <x v="0"/>
    <x v="0"/>
    <x v="0"/>
    <n v="48"/>
    <x v="3"/>
    <x v="2"/>
    <x v="2"/>
    <x v="0"/>
    <x v="0"/>
    <x v="2"/>
    <x v="3"/>
    <n v="1154"/>
    <n v="1233"/>
    <n v="862"/>
    <n v="1355"/>
    <n v="1130"/>
    <n v="21361"/>
    <n v="1233"/>
    <n v="1075"/>
    <n v="1355"/>
    <n v="1130"/>
    <n v="21361"/>
    <n v="1347"/>
    <n v="0"/>
    <x v="1"/>
    <n v="-79"/>
    <x v="3"/>
  </r>
  <r>
    <x v="257"/>
    <n v="160000"/>
    <x v="1"/>
    <x v="0"/>
    <x v="0"/>
    <x v="0"/>
    <n v="33"/>
    <x v="1"/>
    <x v="1"/>
    <x v="2"/>
    <x v="0"/>
    <x v="0"/>
    <x v="1"/>
    <x v="3"/>
    <n v="8015"/>
    <n v="2453"/>
    <n v="9624"/>
    <n v="52572"/>
    <n v="7333"/>
    <n v="2210"/>
    <n v="2453"/>
    <n v="9880"/>
    <n v="52572"/>
    <n v="1546"/>
    <n v="2210"/>
    <n v="0"/>
    <n v="0"/>
    <x v="1"/>
    <n v="5562"/>
    <x v="0"/>
  </r>
  <r>
    <x v="258"/>
    <n v="100000"/>
    <x v="0"/>
    <x v="0"/>
    <x v="2"/>
    <x v="0"/>
    <n v="43"/>
    <x v="3"/>
    <x v="2"/>
    <x v="1"/>
    <x v="3"/>
    <x v="2"/>
    <x v="0"/>
    <x v="0"/>
    <n v="62170"/>
    <n v="0"/>
    <n v="0"/>
    <n v="0"/>
    <n v="0"/>
    <n v="0"/>
    <n v="0"/>
    <n v="0"/>
    <n v="0"/>
    <n v="0"/>
    <n v="0"/>
    <n v="0"/>
    <n v="0"/>
    <x v="1"/>
    <n v="62170"/>
    <x v="1"/>
  </r>
  <r>
    <x v="259"/>
    <n v="220000"/>
    <x v="1"/>
    <x v="1"/>
    <x v="1"/>
    <x v="0"/>
    <n v="48"/>
    <x v="3"/>
    <x v="0"/>
    <x v="1"/>
    <x v="1"/>
    <x v="1"/>
    <x v="1"/>
    <x v="2"/>
    <n v="210380"/>
    <n v="213522"/>
    <n v="201852"/>
    <n v="169115"/>
    <n v="172169"/>
    <n v="162402"/>
    <n v="10000"/>
    <n v="9020"/>
    <n v="6000"/>
    <n v="5500"/>
    <n v="6000"/>
    <n v="5500"/>
    <n v="1"/>
    <x v="0"/>
    <n v="200380"/>
    <x v="2"/>
  </r>
  <r>
    <x v="260"/>
    <n v="510000"/>
    <x v="2"/>
    <x v="0"/>
    <x v="1"/>
    <x v="1"/>
    <n v="29"/>
    <x v="0"/>
    <x v="2"/>
    <x v="1"/>
    <x v="1"/>
    <x v="1"/>
    <x v="1"/>
    <x v="2"/>
    <n v="78331"/>
    <n v="99414"/>
    <n v="107686"/>
    <n v="103776"/>
    <n v="87265"/>
    <n v="36739"/>
    <n v="40010"/>
    <n v="20094"/>
    <n v="5000"/>
    <n v="5001"/>
    <n v="25365"/>
    <n v="65000"/>
    <n v="0"/>
    <x v="1"/>
    <n v="38321"/>
    <x v="1"/>
  </r>
  <r>
    <x v="261"/>
    <n v="50000"/>
    <x v="0"/>
    <x v="1"/>
    <x v="0"/>
    <x v="1"/>
    <n v="29"/>
    <x v="0"/>
    <x v="2"/>
    <x v="1"/>
    <x v="1"/>
    <x v="1"/>
    <x v="1"/>
    <x v="2"/>
    <n v="49276"/>
    <n v="35100"/>
    <n v="32563"/>
    <n v="27823"/>
    <n v="29130"/>
    <n v="28309"/>
    <n v="1602"/>
    <n v="1400"/>
    <n v="3000"/>
    <n v="3130"/>
    <n v="1062"/>
    <n v="6318"/>
    <n v="0"/>
    <x v="1"/>
    <n v="47674"/>
    <x v="1"/>
  </r>
  <r>
    <x v="262"/>
    <n v="160000"/>
    <x v="1"/>
    <x v="0"/>
    <x v="1"/>
    <x v="0"/>
    <n v="38"/>
    <x v="1"/>
    <x v="1"/>
    <x v="2"/>
    <x v="0"/>
    <x v="0"/>
    <x v="3"/>
    <x v="3"/>
    <n v="4473"/>
    <n v="4664"/>
    <n v="5969"/>
    <n v="18941"/>
    <n v="16578"/>
    <n v="12652"/>
    <n v="4664"/>
    <n v="5969"/>
    <n v="18941"/>
    <n v="0"/>
    <n v="12652"/>
    <n v="1916"/>
    <n v="0"/>
    <x v="1"/>
    <n v="-191"/>
    <x v="3"/>
  </r>
  <r>
    <x v="263"/>
    <n v="230000"/>
    <x v="1"/>
    <x v="0"/>
    <x v="1"/>
    <x v="1"/>
    <n v="37"/>
    <x v="1"/>
    <x v="3"/>
    <x v="3"/>
    <x v="3"/>
    <x v="2"/>
    <x v="0"/>
    <x v="0"/>
    <n v="2283"/>
    <n v="50815"/>
    <n v="0"/>
    <n v="0"/>
    <n v="299"/>
    <n v="338"/>
    <n v="51315"/>
    <n v="0"/>
    <n v="0"/>
    <n v="299"/>
    <n v="338"/>
    <n v="0"/>
    <n v="0"/>
    <x v="1"/>
    <n v="-49032"/>
    <x v="3"/>
  </r>
  <r>
    <x v="264"/>
    <n v="80000"/>
    <x v="0"/>
    <x v="0"/>
    <x v="1"/>
    <x v="1"/>
    <n v="37"/>
    <x v="1"/>
    <x v="1"/>
    <x v="2"/>
    <x v="0"/>
    <x v="0"/>
    <x v="2"/>
    <x v="3"/>
    <n v="10115"/>
    <n v="249"/>
    <n v="5986"/>
    <n v="188"/>
    <n v="1644"/>
    <n v="16872"/>
    <n v="258"/>
    <n v="5995"/>
    <n v="188"/>
    <n v="1644"/>
    <n v="16872"/>
    <n v="4000"/>
    <n v="0"/>
    <x v="1"/>
    <n v="9857"/>
    <x v="0"/>
  </r>
  <r>
    <x v="265"/>
    <n v="150000"/>
    <x v="1"/>
    <x v="0"/>
    <x v="0"/>
    <x v="0"/>
    <n v="25"/>
    <x v="0"/>
    <x v="1"/>
    <x v="2"/>
    <x v="3"/>
    <x v="0"/>
    <x v="2"/>
    <x v="3"/>
    <n v="6156"/>
    <n v="0"/>
    <n v="0"/>
    <n v="316"/>
    <n v="316"/>
    <n v="316"/>
    <n v="0"/>
    <n v="0"/>
    <n v="316"/>
    <n v="316"/>
    <n v="316"/>
    <n v="316"/>
    <n v="0"/>
    <x v="1"/>
    <n v="6156"/>
    <x v="0"/>
  </r>
  <r>
    <x v="266"/>
    <n v="10000"/>
    <x v="0"/>
    <x v="1"/>
    <x v="2"/>
    <x v="1"/>
    <n v="23"/>
    <x v="0"/>
    <x v="2"/>
    <x v="1"/>
    <x v="1"/>
    <x v="1"/>
    <x v="1"/>
    <x v="1"/>
    <n v="6974"/>
    <n v="7838"/>
    <n v="9002"/>
    <n v="9182"/>
    <n v="9729"/>
    <n v="9411"/>
    <n v="1134"/>
    <n v="1298"/>
    <n v="478"/>
    <n v="847"/>
    <n v="0"/>
    <n v="175"/>
    <n v="0"/>
    <x v="1"/>
    <n v="5840"/>
    <x v="0"/>
  </r>
  <r>
    <x v="267"/>
    <n v="130000"/>
    <x v="1"/>
    <x v="0"/>
    <x v="2"/>
    <x v="1"/>
    <n v="49"/>
    <x v="3"/>
    <x v="2"/>
    <x v="1"/>
    <x v="1"/>
    <x v="1"/>
    <x v="1"/>
    <x v="2"/>
    <n v="89003"/>
    <n v="91362"/>
    <n v="72197"/>
    <n v="49654"/>
    <n v="28065"/>
    <n v="27500"/>
    <n v="4100"/>
    <n v="3095"/>
    <n v="1630"/>
    <n v="561"/>
    <n v="600"/>
    <n v="0"/>
    <n v="1"/>
    <x v="0"/>
    <n v="84903"/>
    <x v="1"/>
  </r>
  <r>
    <x v="268"/>
    <n v="40000"/>
    <x v="0"/>
    <x v="0"/>
    <x v="1"/>
    <x v="1"/>
    <n v="48"/>
    <x v="3"/>
    <x v="2"/>
    <x v="1"/>
    <x v="1"/>
    <x v="1"/>
    <x v="1"/>
    <x v="2"/>
    <n v="34871"/>
    <n v="34449"/>
    <n v="33634"/>
    <n v="34586"/>
    <n v="34762"/>
    <n v="35673"/>
    <n v="1600"/>
    <n v="1600"/>
    <n v="1500"/>
    <n v="1500"/>
    <n v="1500"/>
    <n v="1500"/>
    <n v="0"/>
    <x v="1"/>
    <n v="33271"/>
    <x v="1"/>
  </r>
  <r>
    <x v="269"/>
    <n v="50000"/>
    <x v="0"/>
    <x v="1"/>
    <x v="0"/>
    <x v="1"/>
    <n v="27"/>
    <x v="0"/>
    <x v="5"/>
    <x v="0"/>
    <x v="2"/>
    <x v="1"/>
    <x v="1"/>
    <x v="3"/>
    <n v="13694"/>
    <n v="14880"/>
    <n v="14242"/>
    <n v="13968"/>
    <n v="14319"/>
    <n v="2614"/>
    <n v="1700"/>
    <n v="0"/>
    <n v="426"/>
    <n v="501"/>
    <n v="2614"/>
    <n v="1390"/>
    <n v="1"/>
    <x v="0"/>
    <n v="11994"/>
    <x v="0"/>
  </r>
  <r>
    <x v="270"/>
    <n v="100000"/>
    <x v="0"/>
    <x v="1"/>
    <x v="2"/>
    <x v="1"/>
    <n v="32"/>
    <x v="1"/>
    <x v="2"/>
    <x v="1"/>
    <x v="1"/>
    <x v="1"/>
    <x v="1"/>
    <x v="2"/>
    <n v="70003"/>
    <n v="31545"/>
    <n v="20974"/>
    <n v="19713"/>
    <n v="19848"/>
    <n v="18126"/>
    <n v="2035"/>
    <n v="2004"/>
    <n v="616"/>
    <n v="2007"/>
    <n v="1009"/>
    <n v="2015"/>
    <n v="0"/>
    <x v="1"/>
    <n v="67968"/>
    <x v="1"/>
  </r>
  <r>
    <x v="271"/>
    <n v="120000"/>
    <x v="1"/>
    <x v="1"/>
    <x v="1"/>
    <x v="0"/>
    <n v="34"/>
    <x v="1"/>
    <x v="1"/>
    <x v="0"/>
    <x v="0"/>
    <x v="1"/>
    <x v="1"/>
    <x v="2"/>
    <n v="1082"/>
    <n v="632"/>
    <n v="1350"/>
    <n v="900"/>
    <n v="450"/>
    <n v="0"/>
    <n v="0"/>
    <n v="1350"/>
    <n v="0"/>
    <n v="0"/>
    <n v="0"/>
    <n v="450"/>
    <n v="0"/>
    <x v="1"/>
    <n v="1082"/>
    <x v="0"/>
  </r>
  <r>
    <x v="272"/>
    <n v="260000"/>
    <x v="1"/>
    <x v="0"/>
    <x v="1"/>
    <x v="1"/>
    <n v="58"/>
    <x v="2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273"/>
    <n v="200000"/>
    <x v="1"/>
    <x v="0"/>
    <x v="0"/>
    <x v="1"/>
    <n v="33"/>
    <x v="1"/>
    <x v="2"/>
    <x v="1"/>
    <x v="1"/>
    <x v="1"/>
    <x v="1"/>
    <x v="2"/>
    <n v="11253"/>
    <n v="12852"/>
    <n v="14024"/>
    <n v="14512"/>
    <n v="16325"/>
    <n v="11905"/>
    <n v="2000"/>
    <n v="1322"/>
    <n v="2000"/>
    <n v="2000"/>
    <n v="1200"/>
    <n v="3000"/>
    <n v="0"/>
    <x v="1"/>
    <n v="9253"/>
    <x v="0"/>
  </r>
  <r>
    <x v="274"/>
    <n v="360000"/>
    <x v="2"/>
    <x v="0"/>
    <x v="0"/>
    <x v="1"/>
    <n v="28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275"/>
    <n v="70000"/>
    <x v="0"/>
    <x v="0"/>
    <x v="0"/>
    <x v="1"/>
    <n v="36"/>
    <x v="1"/>
    <x v="2"/>
    <x v="1"/>
    <x v="1"/>
    <x v="1"/>
    <x v="1"/>
    <x v="2"/>
    <n v="68699"/>
    <n v="69120"/>
    <n v="68376"/>
    <n v="30163"/>
    <n v="14310"/>
    <n v="15085"/>
    <n v="4483"/>
    <n v="12496"/>
    <n v="3268"/>
    <n v="3000"/>
    <n v="3000"/>
    <n v="2000"/>
    <n v="0"/>
    <x v="1"/>
    <n v="64216"/>
    <x v="1"/>
  </r>
  <r>
    <x v="276"/>
    <n v="460000"/>
    <x v="2"/>
    <x v="1"/>
    <x v="1"/>
    <x v="0"/>
    <n v="40"/>
    <x v="3"/>
    <x v="0"/>
    <x v="2"/>
    <x v="0"/>
    <x v="0"/>
    <x v="2"/>
    <x v="3"/>
    <n v="171"/>
    <n v="2715"/>
    <n v="-13"/>
    <n v="2641"/>
    <n v="-10"/>
    <n v="22535"/>
    <n v="2728"/>
    <n v="0"/>
    <n v="2654"/>
    <n v="0"/>
    <n v="22545"/>
    <n v="0"/>
    <n v="1"/>
    <x v="0"/>
    <n v="-2557"/>
    <x v="3"/>
  </r>
  <r>
    <x v="277"/>
    <n v="50000"/>
    <x v="0"/>
    <x v="0"/>
    <x v="1"/>
    <x v="1"/>
    <n v="26"/>
    <x v="0"/>
    <x v="1"/>
    <x v="2"/>
    <x v="0"/>
    <x v="0"/>
    <x v="2"/>
    <x v="3"/>
    <n v="1156"/>
    <n v="316"/>
    <n v="316"/>
    <n v="316"/>
    <n v="316"/>
    <n v="316"/>
    <n v="316"/>
    <n v="316"/>
    <n v="316"/>
    <n v="316"/>
    <n v="316"/>
    <n v="316"/>
    <n v="0"/>
    <x v="1"/>
    <n v="840"/>
    <x v="0"/>
  </r>
  <r>
    <x v="278"/>
    <n v="50000"/>
    <x v="0"/>
    <x v="1"/>
    <x v="2"/>
    <x v="0"/>
    <n v="33"/>
    <x v="1"/>
    <x v="2"/>
    <x v="1"/>
    <x v="1"/>
    <x v="1"/>
    <x v="1"/>
    <x v="2"/>
    <n v="50859"/>
    <n v="50462"/>
    <n v="50654"/>
    <n v="20046"/>
    <n v="20067"/>
    <n v="19703"/>
    <n v="2007"/>
    <n v="2199"/>
    <n v="691"/>
    <n v="707"/>
    <n v="703"/>
    <n v="697"/>
    <n v="0"/>
    <x v="1"/>
    <n v="48852"/>
    <x v="1"/>
  </r>
  <r>
    <x v="279"/>
    <n v="250000"/>
    <x v="1"/>
    <x v="0"/>
    <x v="0"/>
    <x v="0"/>
    <n v="31"/>
    <x v="1"/>
    <x v="2"/>
    <x v="1"/>
    <x v="1"/>
    <x v="1"/>
    <x v="1"/>
    <x v="2"/>
    <n v="103109"/>
    <n v="102594"/>
    <n v="97109"/>
    <n v="99029"/>
    <n v="100871"/>
    <n v="101299"/>
    <n v="4000"/>
    <n v="4500"/>
    <n v="5000"/>
    <n v="4000"/>
    <n v="5000"/>
    <n v="4400"/>
    <n v="0"/>
    <x v="1"/>
    <n v="99109"/>
    <x v="1"/>
  </r>
  <r>
    <x v="280"/>
    <n v="30000"/>
    <x v="0"/>
    <x v="0"/>
    <x v="1"/>
    <x v="1"/>
    <n v="27"/>
    <x v="0"/>
    <x v="2"/>
    <x v="1"/>
    <x v="0"/>
    <x v="1"/>
    <x v="1"/>
    <x v="0"/>
    <n v="1512"/>
    <n v="2458"/>
    <n v="664"/>
    <n v="1814"/>
    <n v="0"/>
    <n v="0"/>
    <n v="1000"/>
    <n v="664"/>
    <n v="1500"/>
    <n v="0"/>
    <n v="0"/>
    <n v="0"/>
    <n v="0"/>
    <x v="1"/>
    <n v="512"/>
    <x v="0"/>
  </r>
  <r>
    <x v="281"/>
    <n v="270000"/>
    <x v="1"/>
    <x v="1"/>
    <x v="0"/>
    <x v="0"/>
    <n v="44"/>
    <x v="3"/>
    <x v="2"/>
    <x v="1"/>
    <x v="1"/>
    <x v="1"/>
    <x v="2"/>
    <x v="3"/>
    <n v="127543"/>
    <n v="109189"/>
    <n v="92630"/>
    <n v="69669"/>
    <n v="44149"/>
    <n v="43414"/>
    <n v="10063"/>
    <n v="5162"/>
    <n v="10150"/>
    <n v="44299"/>
    <n v="43509"/>
    <n v="31031"/>
    <n v="0"/>
    <x v="1"/>
    <n v="117480"/>
    <x v="2"/>
  </r>
  <r>
    <x v="282"/>
    <n v="180000"/>
    <x v="1"/>
    <x v="0"/>
    <x v="2"/>
    <x v="1"/>
    <n v="30"/>
    <x v="1"/>
    <x v="2"/>
    <x v="1"/>
    <x v="1"/>
    <x v="1"/>
    <x v="1"/>
    <x v="2"/>
    <n v="163935"/>
    <n v="153152"/>
    <n v="147032"/>
    <n v="122196"/>
    <n v="103692"/>
    <n v="70204"/>
    <n v="7722"/>
    <n v="6091"/>
    <n v="3563"/>
    <n v="3605"/>
    <n v="3000"/>
    <n v="3211"/>
    <n v="0"/>
    <x v="1"/>
    <n v="156213"/>
    <x v="2"/>
  </r>
  <r>
    <x v="283"/>
    <n v="100000"/>
    <x v="0"/>
    <x v="0"/>
    <x v="1"/>
    <x v="1"/>
    <n v="28"/>
    <x v="0"/>
    <x v="2"/>
    <x v="1"/>
    <x v="1"/>
    <x v="1"/>
    <x v="1"/>
    <x v="2"/>
    <n v="53494"/>
    <n v="52656"/>
    <n v="52600"/>
    <n v="52336"/>
    <n v="55831"/>
    <n v="56265"/>
    <n v="4173"/>
    <n v="3000"/>
    <n v="2025"/>
    <n v="5000"/>
    <n v="3000"/>
    <n v="3000"/>
    <n v="0"/>
    <x v="1"/>
    <n v="49321"/>
    <x v="1"/>
  </r>
  <r>
    <x v="284"/>
    <n v="230000"/>
    <x v="1"/>
    <x v="0"/>
    <x v="2"/>
    <x v="0"/>
    <n v="32"/>
    <x v="1"/>
    <x v="2"/>
    <x v="1"/>
    <x v="1"/>
    <x v="1"/>
    <x v="1"/>
    <x v="2"/>
    <n v="195126"/>
    <n v="88743"/>
    <n v="92195"/>
    <n v="94814"/>
    <n v="98182"/>
    <n v="98457"/>
    <n v="5000"/>
    <n v="5000"/>
    <n v="5000"/>
    <n v="5000"/>
    <n v="4000"/>
    <n v="5000"/>
    <n v="0"/>
    <x v="1"/>
    <n v="190126"/>
    <x v="2"/>
  </r>
  <r>
    <x v="285"/>
    <n v="210000"/>
    <x v="1"/>
    <x v="0"/>
    <x v="1"/>
    <x v="0"/>
    <n v="46"/>
    <x v="3"/>
    <x v="1"/>
    <x v="2"/>
    <x v="0"/>
    <x v="0"/>
    <x v="2"/>
    <x v="3"/>
    <n v="110346"/>
    <n v="41986"/>
    <n v="21874"/>
    <n v="20076"/>
    <n v="16171"/>
    <n v="586"/>
    <n v="41986"/>
    <n v="21874"/>
    <n v="20076"/>
    <n v="16171"/>
    <n v="586"/>
    <n v="19777"/>
    <n v="0"/>
    <x v="1"/>
    <n v="68360"/>
    <x v="1"/>
  </r>
  <r>
    <x v="286"/>
    <n v="210000"/>
    <x v="1"/>
    <x v="1"/>
    <x v="1"/>
    <x v="1"/>
    <n v="38"/>
    <x v="1"/>
    <x v="0"/>
    <x v="1"/>
    <x v="1"/>
    <x v="1"/>
    <x v="1"/>
    <x v="2"/>
    <n v="60502"/>
    <n v="62804"/>
    <n v="62769"/>
    <n v="62683"/>
    <n v="63663"/>
    <n v="46549"/>
    <n v="3276"/>
    <n v="2026"/>
    <n v="2000"/>
    <n v="2000"/>
    <n v="2000"/>
    <n v="2502"/>
    <n v="0"/>
    <x v="1"/>
    <n v="57226"/>
    <x v="1"/>
  </r>
  <r>
    <x v="287"/>
    <n v="440000"/>
    <x v="2"/>
    <x v="0"/>
    <x v="0"/>
    <x v="0"/>
    <n v="46"/>
    <x v="3"/>
    <x v="2"/>
    <x v="1"/>
    <x v="1"/>
    <x v="1"/>
    <x v="1"/>
    <x v="2"/>
    <n v="180641"/>
    <n v="181557"/>
    <n v="149944"/>
    <n v="113135"/>
    <n v="105280"/>
    <n v="97622"/>
    <n v="8610"/>
    <n v="6907"/>
    <n v="3727"/>
    <n v="3800"/>
    <n v="4001"/>
    <n v="2701"/>
    <n v="0"/>
    <x v="1"/>
    <n v="172031"/>
    <x v="2"/>
  </r>
  <r>
    <x v="288"/>
    <n v="100000"/>
    <x v="0"/>
    <x v="0"/>
    <x v="0"/>
    <x v="1"/>
    <n v="25"/>
    <x v="0"/>
    <x v="0"/>
    <x v="1"/>
    <x v="1"/>
    <x v="1"/>
    <x v="1"/>
    <x v="2"/>
    <n v="70896"/>
    <n v="71678"/>
    <n v="70125"/>
    <n v="69856"/>
    <n v="69718"/>
    <n v="51365"/>
    <n v="3472"/>
    <n v="2092"/>
    <n v="2000"/>
    <n v="2127"/>
    <n v="1960"/>
    <n v="1559"/>
    <n v="1"/>
    <x v="0"/>
    <n v="67424"/>
    <x v="1"/>
  </r>
  <r>
    <x v="289"/>
    <n v="240000"/>
    <x v="1"/>
    <x v="0"/>
    <x v="0"/>
    <x v="0"/>
    <n v="46"/>
    <x v="3"/>
    <x v="2"/>
    <x v="1"/>
    <x v="1"/>
    <x v="1"/>
    <x v="1"/>
    <x v="2"/>
    <n v="8751"/>
    <n v="9900"/>
    <n v="10605"/>
    <n v="10765"/>
    <n v="11765"/>
    <n v="4311"/>
    <n v="1295"/>
    <n v="1000"/>
    <n v="1000"/>
    <n v="1000"/>
    <n v="1000"/>
    <n v="1000"/>
    <n v="0"/>
    <x v="1"/>
    <n v="7456"/>
    <x v="0"/>
  </r>
  <r>
    <x v="290"/>
    <n v="280000"/>
    <x v="1"/>
    <x v="1"/>
    <x v="1"/>
    <x v="1"/>
    <n v="33"/>
    <x v="1"/>
    <x v="1"/>
    <x v="2"/>
    <x v="0"/>
    <x v="0"/>
    <x v="2"/>
    <x v="3"/>
    <n v="898"/>
    <n v="898"/>
    <n v="325"/>
    <n v="898"/>
    <n v="325"/>
    <n v="-339603"/>
    <n v="898"/>
    <n v="325"/>
    <n v="898"/>
    <n v="325"/>
    <n v="0"/>
    <n v="345293"/>
    <n v="1"/>
    <x v="0"/>
    <n v="0"/>
    <x v="3"/>
  </r>
  <r>
    <x v="291"/>
    <n v="50000"/>
    <x v="0"/>
    <x v="0"/>
    <x v="0"/>
    <x v="1"/>
    <n v="22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292"/>
    <n v="30000"/>
    <x v="0"/>
    <x v="1"/>
    <x v="0"/>
    <x v="0"/>
    <n v="43"/>
    <x v="3"/>
    <x v="5"/>
    <x v="0"/>
    <x v="2"/>
    <x v="3"/>
    <x v="3"/>
    <x v="1"/>
    <n v="1700"/>
    <n v="2610"/>
    <n v="1914"/>
    <n v="2182"/>
    <n v="2000"/>
    <n v="2566"/>
    <n v="1100"/>
    <n v="0"/>
    <n v="300"/>
    <n v="0"/>
    <n v="600"/>
    <n v="0"/>
    <n v="0"/>
    <x v="1"/>
    <n v="600"/>
    <x v="0"/>
  </r>
  <r>
    <x v="293"/>
    <n v="10000"/>
    <x v="0"/>
    <x v="1"/>
    <x v="0"/>
    <x v="1"/>
    <n v="27"/>
    <x v="0"/>
    <x v="2"/>
    <x v="1"/>
    <x v="2"/>
    <x v="1"/>
    <x v="1"/>
    <x v="2"/>
    <n v="7015"/>
    <n v="10227"/>
    <n v="9560"/>
    <n v="9901"/>
    <n v="9963"/>
    <n v="10182"/>
    <n v="3507"/>
    <n v="0"/>
    <n v="500"/>
    <n v="370"/>
    <n v="393"/>
    <n v="700"/>
    <n v="1"/>
    <x v="0"/>
    <n v="3508"/>
    <x v="0"/>
  </r>
  <r>
    <x v="294"/>
    <n v="130000"/>
    <x v="1"/>
    <x v="1"/>
    <x v="1"/>
    <x v="1"/>
    <n v="29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1500"/>
    <n v="0"/>
    <x v="1"/>
    <n v="0"/>
    <x v="3"/>
  </r>
  <r>
    <x v="295"/>
    <n v="200000"/>
    <x v="1"/>
    <x v="1"/>
    <x v="1"/>
    <x v="1"/>
    <n v="31"/>
    <x v="1"/>
    <x v="2"/>
    <x v="1"/>
    <x v="1"/>
    <x v="1"/>
    <x v="1"/>
    <x v="2"/>
    <n v="194353"/>
    <n v="197344"/>
    <n v="186292"/>
    <n v="133345"/>
    <n v="133634"/>
    <n v="133990"/>
    <n v="9000"/>
    <n v="7465"/>
    <n v="4715"/>
    <n v="4804"/>
    <n v="5141"/>
    <n v="5300"/>
    <n v="0"/>
    <x v="1"/>
    <n v="185353"/>
    <x v="2"/>
  </r>
  <r>
    <x v="296"/>
    <n v="120000"/>
    <x v="1"/>
    <x v="0"/>
    <x v="0"/>
    <x v="0"/>
    <n v="29"/>
    <x v="0"/>
    <x v="1"/>
    <x v="2"/>
    <x v="0"/>
    <x v="0"/>
    <x v="2"/>
    <x v="3"/>
    <n v="1686"/>
    <n v="657"/>
    <n v="2179"/>
    <n v="1423"/>
    <n v="0"/>
    <n v="1820"/>
    <n v="657"/>
    <n v="2319"/>
    <n v="1423"/>
    <n v="0"/>
    <n v="1820"/>
    <n v="2496"/>
    <n v="0"/>
    <x v="1"/>
    <n v="1029"/>
    <x v="0"/>
  </r>
  <r>
    <x v="297"/>
    <n v="210000"/>
    <x v="1"/>
    <x v="0"/>
    <x v="0"/>
    <x v="0"/>
    <n v="36"/>
    <x v="1"/>
    <x v="2"/>
    <x v="1"/>
    <x v="1"/>
    <x v="1"/>
    <x v="1"/>
    <x v="2"/>
    <n v="143225"/>
    <n v="142996"/>
    <n v="144415"/>
    <n v="148190"/>
    <n v="147993"/>
    <n v="131629"/>
    <n v="6483"/>
    <n v="5082"/>
    <n v="6000"/>
    <n v="5900"/>
    <n v="4544"/>
    <n v="4700"/>
    <n v="0"/>
    <x v="1"/>
    <n v="136742"/>
    <x v="2"/>
  </r>
  <r>
    <x v="298"/>
    <n v="280000"/>
    <x v="1"/>
    <x v="0"/>
    <x v="1"/>
    <x v="0"/>
    <n v="36"/>
    <x v="1"/>
    <x v="2"/>
    <x v="1"/>
    <x v="1"/>
    <x v="1"/>
    <x v="1"/>
    <x v="2"/>
    <n v="58983"/>
    <n v="60788"/>
    <n v="63225"/>
    <n v="29701"/>
    <n v="30172"/>
    <n v="30771"/>
    <n v="2755"/>
    <n v="3463"/>
    <n v="1300"/>
    <n v="1100"/>
    <n v="1100"/>
    <n v="2000"/>
    <n v="0"/>
    <x v="1"/>
    <n v="56228"/>
    <x v="1"/>
  </r>
  <r>
    <x v="299"/>
    <n v="300000"/>
    <x v="1"/>
    <x v="1"/>
    <x v="1"/>
    <x v="1"/>
    <n v="34"/>
    <x v="1"/>
    <x v="4"/>
    <x v="3"/>
    <x v="0"/>
    <x v="1"/>
    <x v="2"/>
    <x v="3"/>
    <n v="0"/>
    <n v="0"/>
    <n v="13001"/>
    <n v="12601"/>
    <n v="19595"/>
    <n v="203"/>
    <n v="0"/>
    <n v="13001"/>
    <n v="0"/>
    <n v="19595"/>
    <n v="203"/>
    <n v="0"/>
    <n v="1"/>
    <x v="0"/>
    <n v="0"/>
    <x v="3"/>
  </r>
  <r>
    <x v="300"/>
    <n v="100000"/>
    <x v="0"/>
    <x v="1"/>
    <x v="0"/>
    <x v="1"/>
    <n v="37"/>
    <x v="1"/>
    <x v="2"/>
    <x v="1"/>
    <x v="1"/>
    <x v="1"/>
    <x v="1"/>
    <x v="2"/>
    <n v="99209"/>
    <n v="98222"/>
    <n v="67185"/>
    <n v="66926"/>
    <n v="66796"/>
    <n v="64513"/>
    <n v="3490"/>
    <n v="2332"/>
    <n v="2314"/>
    <n v="2365"/>
    <n v="2497"/>
    <n v="2305"/>
    <n v="0"/>
    <x v="1"/>
    <n v="95719"/>
    <x v="1"/>
  </r>
  <r>
    <x v="301"/>
    <n v="440000"/>
    <x v="2"/>
    <x v="0"/>
    <x v="1"/>
    <x v="1"/>
    <n v="36"/>
    <x v="1"/>
    <x v="3"/>
    <x v="3"/>
    <x v="3"/>
    <x v="2"/>
    <x v="0"/>
    <x v="0"/>
    <n v="0"/>
    <n v="0"/>
    <n v="0"/>
    <n v="0"/>
    <n v="0"/>
    <n v="0"/>
    <n v="0"/>
    <n v="0"/>
    <n v="0"/>
    <n v="0"/>
    <n v="162000"/>
    <n v="0"/>
    <n v="0"/>
    <x v="1"/>
    <n v="0"/>
    <x v="3"/>
  </r>
  <r>
    <x v="302"/>
    <n v="50000"/>
    <x v="0"/>
    <x v="0"/>
    <x v="2"/>
    <x v="0"/>
    <n v="40"/>
    <x v="3"/>
    <x v="2"/>
    <x v="1"/>
    <x v="1"/>
    <x v="1"/>
    <x v="1"/>
    <x v="2"/>
    <n v="49941"/>
    <n v="51213"/>
    <n v="12104"/>
    <n v="12898"/>
    <n v="13687"/>
    <n v="14458"/>
    <n v="2400"/>
    <n v="1206"/>
    <n v="1000"/>
    <n v="1000"/>
    <n v="1000"/>
    <n v="1000"/>
    <n v="0"/>
    <x v="1"/>
    <n v="47541"/>
    <x v="1"/>
  </r>
  <r>
    <x v="303"/>
    <n v="20000"/>
    <x v="0"/>
    <x v="0"/>
    <x v="1"/>
    <x v="1"/>
    <n v="25"/>
    <x v="0"/>
    <x v="2"/>
    <x v="1"/>
    <x v="2"/>
    <x v="1"/>
    <x v="1"/>
    <x v="2"/>
    <n v="11968"/>
    <n v="14564"/>
    <n v="27820"/>
    <n v="15824"/>
    <n v="15761"/>
    <n v="12510"/>
    <n v="2800"/>
    <n v="0"/>
    <n v="4000"/>
    <n v="1700"/>
    <n v="1000"/>
    <n v="2000"/>
    <n v="1"/>
    <x v="0"/>
    <n v="9168"/>
    <x v="0"/>
  </r>
  <r>
    <x v="304"/>
    <n v="200000"/>
    <x v="1"/>
    <x v="0"/>
    <x v="1"/>
    <x v="1"/>
    <n v="27"/>
    <x v="0"/>
    <x v="1"/>
    <x v="2"/>
    <x v="0"/>
    <x v="1"/>
    <x v="1"/>
    <x v="2"/>
    <n v="871"/>
    <n v="665"/>
    <n v="960"/>
    <n v="4242"/>
    <n v="4084"/>
    <n v="7414"/>
    <n v="665"/>
    <n v="960"/>
    <n v="3908"/>
    <n v="1014"/>
    <n v="3500"/>
    <n v="2880"/>
    <n v="0"/>
    <x v="1"/>
    <n v="206"/>
    <x v="0"/>
  </r>
  <r>
    <x v="305"/>
    <n v="110000"/>
    <x v="1"/>
    <x v="0"/>
    <x v="0"/>
    <x v="1"/>
    <n v="26"/>
    <x v="0"/>
    <x v="3"/>
    <x v="3"/>
    <x v="3"/>
    <x v="2"/>
    <x v="0"/>
    <x v="0"/>
    <n v="432"/>
    <n v="3220"/>
    <n v="5704"/>
    <n v="1256"/>
    <n v="1848"/>
    <n v="400"/>
    <n v="3220"/>
    <n v="5904"/>
    <n v="0"/>
    <n v="3000"/>
    <n v="0"/>
    <n v="0"/>
    <n v="0"/>
    <x v="1"/>
    <n v="-2788"/>
    <x v="3"/>
  </r>
  <r>
    <x v="306"/>
    <n v="500000"/>
    <x v="2"/>
    <x v="0"/>
    <x v="0"/>
    <x v="0"/>
    <n v="36"/>
    <x v="1"/>
    <x v="1"/>
    <x v="2"/>
    <x v="0"/>
    <x v="0"/>
    <x v="2"/>
    <x v="3"/>
    <n v="10483"/>
    <n v="23956"/>
    <n v="0"/>
    <n v="8500"/>
    <n v="4590"/>
    <n v="0"/>
    <n v="23962"/>
    <n v="0"/>
    <n v="8500"/>
    <n v="4590"/>
    <n v="0"/>
    <n v="0"/>
    <n v="0"/>
    <x v="1"/>
    <n v="-13479"/>
    <x v="3"/>
  </r>
  <r>
    <x v="307"/>
    <n v="300000"/>
    <x v="1"/>
    <x v="0"/>
    <x v="0"/>
    <x v="0"/>
    <n v="27"/>
    <x v="0"/>
    <x v="4"/>
    <x v="2"/>
    <x v="0"/>
    <x v="2"/>
    <x v="0"/>
    <x v="0"/>
    <n v="0"/>
    <n v="5215"/>
    <n v="0"/>
    <n v="0"/>
    <n v="0"/>
    <n v="0"/>
    <n v="5215"/>
    <n v="0"/>
    <n v="0"/>
    <n v="0"/>
    <n v="0"/>
    <n v="0"/>
    <n v="0"/>
    <x v="1"/>
    <n v="-5215"/>
    <x v="3"/>
  </r>
  <r>
    <x v="308"/>
    <n v="30000"/>
    <x v="0"/>
    <x v="1"/>
    <x v="2"/>
    <x v="0"/>
    <n v="55"/>
    <x v="2"/>
    <x v="0"/>
    <x v="0"/>
    <x v="2"/>
    <x v="4"/>
    <x v="4"/>
    <x v="6"/>
    <n v="9720"/>
    <n v="10613"/>
    <n v="11339"/>
    <n v="12841"/>
    <n v="13836"/>
    <n v="14514"/>
    <n v="1200"/>
    <n v="1200"/>
    <n v="2000"/>
    <n v="1500"/>
    <n v="1500"/>
    <n v="1500"/>
    <n v="1"/>
    <x v="0"/>
    <n v="8520"/>
    <x v="0"/>
  </r>
  <r>
    <x v="309"/>
    <n v="60000"/>
    <x v="0"/>
    <x v="0"/>
    <x v="1"/>
    <x v="1"/>
    <n v="27"/>
    <x v="0"/>
    <x v="1"/>
    <x v="2"/>
    <x v="0"/>
    <x v="0"/>
    <x v="2"/>
    <x v="3"/>
    <n v="20847"/>
    <n v="13801"/>
    <n v="14366"/>
    <n v="4889"/>
    <n v="273"/>
    <n v="11736"/>
    <n v="13809"/>
    <n v="14583"/>
    <n v="4889"/>
    <n v="273"/>
    <n v="13557"/>
    <n v="0"/>
    <n v="0"/>
    <x v="1"/>
    <n v="7038"/>
    <x v="0"/>
  </r>
  <r>
    <x v="310"/>
    <n v="400000"/>
    <x v="2"/>
    <x v="0"/>
    <x v="0"/>
    <x v="0"/>
    <n v="38"/>
    <x v="1"/>
    <x v="1"/>
    <x v="1"/>
    <x v="0"/>
    <x v="0"/>
    <x v="1"/>
    <x v="3"/>
    <n v="3697"/>
    <n v="3600"/>
    <n v="1354"/>
    <n v="5322"/>
    <n v="5103"/>
    <n v="2077"/>
    <n v="1000"/>
    <n v="1354"/>
    <n v="5322"/>
    <n v="6"/>
    <n v="2386"/>
    <n v="9085"/>
    <n v="0"/>
    <x v="1"/>
    <n v="2697"/>
    <x v="0"/>
  </r>
  <r>
    <x v="311"/>
    <n v="180000"/>
    <x v="1"/>
    <x v="0"/>
    <x v="0"/>
    <x v="0"/>
    <n v="34"/>
    <x v="1"/>
    <x v="2"/>
    <x v="1"/>
    <x v="1"/>
    <x v="1"/>
    <x v="1"/>
    <x v="2"/>
    <n v="143301"/>
    <n v="146333"/>
    <n v="147042"/>
    <n v="127814"/>
    <n v="130331"/>
    <n v="132845"/>
    <n v="7000"/>
    <n v="5000"/>
    <n v="5000"/>
    <n v="4900"/>
    <n v="5000"/>
    <n v="5100"/>
    <n v="0"/>
    <x v="1"/>
    <n v="136301"/>
    <x v="2"/>
  </r>
  <r>
    <x v="312"/>
    <n v="20000"/>
    <x v="0"/>
    <x v="1"/>
    <x v="1"/>
    <x v="1"/>
    <n v="40"/>
    <x v="3"/>
    <x v="2"/>
    <x v="1"/>
    <x v="1"/>
    <x v="3"/>
    <x v="1"/>
    <x v="2"/>
    <n v="10934"/>
    <n v="13738"/>
    <n v="16567"/>
    <n v="10411"/>
    <n v="13057"/>
    <n v="14340"/>
    <n v="3000"/>
    <n v="3100"/>
    <n v="0"/>
    <n v="3000"/>
    <n v="1500"/>
    <n v="0"/>
    <n v="0"/>
    <x v="1"/>
    <n v="7934"/>
    <x v="0"/>
  </r>
  <r>
    <x v="313"/>
    <n v="200000"/>
    <x v="1"/>
    <x v="0"/>
    <x v="2"/>
    <x v="0"/>
    <n v="49"/>
    <x v="3"/>
    <x v="1"/>
    <x v="0"/>
    <x v="2"/>
    <x v="3"/>
    <x v="1"/>
    <x v="2"/>
    <n v="52439"/>
    <n v="51040"/>
    <n v="56205"/>
    <n v="54723"/>
    <n v="58657"/>
    <n v="59983"/>
    <n v="0"/>
    <n v="6000"/>
    <n v="0"/>
    <n v="5000"/>
    <n v="2286"/>
    <n v="3000"/>
    <n v="1"/>
    <x v="0"/>
    <n v="52439"/>
    <x v="1"/>
  </r>
  <r>
    <x v="314"/>
    <n v="100000"/>
    <x v="0"/>
    <x v="1"/>
    <x v="1"/>
    <x v="1"/>
    <n v="27"/>
    <x v="0"/>
    <x v="2"/>
    <x v="1"/>
    <x v="1"/>
    <x v="1"/>
    <x v="1"/>
    <x v="2"/>
    <n v="55734"/>
    <n v="52557"/>
    <n v="33415"/>
    <n v="28776"/>
    <n v="17580"/>
    <n v="6441"/>
    <n v="1631"/>
    <n v="1286"/>
    <n v="200"/>
    <n v="645"/>
    <n v="909"/>
    <n v="200"/>
    <n v="0"/>
    <x v="1"/>
    <n v="54103"/>
    <x v="1"/>
  </r>
  <r>
    <x v="315"/>
    <n v="60000"/>
    <x v="0"/>
    <x v="1"/>
    <x v="0"/>
    <x v="1"/>
    <n v="23"/>
    <x v="0"/>
    <x v="2"/>
    <x v="1"/>
    <x v="1"/>
    <x v="1"/>
    <x v="1"/>
    <x v="2"/>
    <n v="49507"/>
    <n v="33282"/>
    <n v="34312"/>
    <n v="17277"/>
    <n v="17808"/>
    <n v="19346"/>
    <n v="1970"/>
    <n v="2000"/>
    <n v="618"/>
    <n v="809"/>
    <n v="2000"/>
    <n v="616"/>
    <n v="1"/>
    <x v="0"/>
    <n v="47537"/>
    <x v="1"/>
  </r>
  <r>
    <x v="316"/>
    <n v="110000"/>
    <x v="1"/>
    <x v="0"/>
    <x v="0"/>
    <x v="1"/>
    <n v="36"/>
    <x v="1"/>
    <x v="2"/>
    <x v="1"/>
    <x v="1"/>
    <x v="1"/>
    <x v="1"/>
    <x v="2"/>
    <n v="47819"/>
    <n v="48947"/>
    <n v="50330"/>
    <n v="50894"/>
    <n v="52175"/>
    <n v="53652"/>
    <n v="2200"/>
    <n v="2500"/>
    <n v="2000"/>
    <n v="2100"/>
    <n v="2500"/>
    <n v="2200"/>
    <n v="0"/>
    <x v="1"/>
    <n v="45619"/>
    <x v="1"/>
  </r>
  <r>
    <x v="317"/>
    <n v="260000"/>
    <x v="1"/>
    <x v="0"/>
    <x v="2"/>
    <x v="0"/>
    <n v="53"/>
    <x v="2"/>
    <x v="4"/>
    <x v="2"/>
    <x v="0"/>
    <x v="2"/>
    <x v="0"/>
    <x v="3"/>
    <n v="0"/>
    <n v="165"/>
    <n v="526"/>
    <n v="452"/>
    <n v="397"/>
    <n v="485"/>
    <n v="165"/>
    <n v="526"/>
    <n v="452"/>
    <n v="397"/>
    <n v="485"/>
    <n v="459"/>
    <n v="0"/>
    <x v="1"/>
    <n v="-165"/>
    <x v="3"/>
  </r>
  <r>
    <x v="318"/>
    <n v="50000"/>
    <x v="0"/>
    <x v="0"/>
    <x v="2"/>
    <x v="0"/>
    <n v="46"/>
    <x v="3"/>
    <x v="5"/>
    <x v="0"/>
    <x v="2"/>
    <x v="1"/>
    <x v="1"/>
    <x v="2"/>
    <n v="48522"/>
    <n v="50955"/>
    <n v="29516"/>
    <n v="29742"/>
    <n v="29898"/>
    <n v="24883"/>
    <n v="3754"/>
    <n v="1"/>
    <n v="1070"/>
    <n v="1030"/>
    <n v="863"/>
    <n v="654"/>
    <n v="0"/>
    <x v="1"/>
    <n v="44768"/>
    <x v="1"/>
  </r>
  <r>
    <x v="319"/>
    <n v="180000"/>
    <x v="1"/>
    <x v="1"/>
    <x v="0"/>
    <x v="1"/>
    <n v="29"/>
    <x v="0"/>
    <x v="4"/>
    <x v="3"/>
    <x v="3"/>
    <x v="2"/>
    <x v="0"/>
    <x v="0"/>
    <n v="-2"/>
    <n v="-2"/>
    <n v="-2"/>
    <n v="-2"/>
    <n v="-2"/>
    <n v="-2"/>
    <n v="0"/>
    <n v="0"/>
    <n v="0"/>
    <n v="0"/>
    <n v="0"/>
    <n v="0"/>
    <n v="0"/>
    <x v="1"/>
    <n v="-2"/>
    <x v="3"/>
  </r>
  <r>
    <x v="320"/>
    <n v="110000"/>
    <x v="1"/>
    <x v="1"/>
    <x v="0"/>
    <x v="1"/>
    <n v="29"/>
    <x v="0"/>
    <x v="4"/>
    <x v="0"/>
    <x v="2"/>
    <x v="1"/>
    <x v="1"/>
    <x v="2"/>
    <n v="58362"/>
    <n v="56598"/>
    <n v="51908"/>
    <n v="48647"/>
    <n v="47862"/>
    <n v="47969"/>
    <n v="2500"/>
    <n v="0"/>
    <n v="2000"/>
    <n v="2000"/>
    <n v="1854"/>
    <n v="2000"/>
    <n v="1"/>
    <x v="0"/>
    <n v="55862"/>
    <x v="1"/>
  </r>
  <r>
    <x v="321"/>
    <n v="340000"/>
    <x v="2"/>
    <x v="0"/>
    <x v="1"/>
    <x v="1"/>
    <n v="27"/>
    <x v="0"/>
    <x v="2"/>
    <x v="1"/>
    <x v="1"/>
    <x v="1"/>
    <x v="1"/>
    <x v="2"/>
    <n v="172180"/>
    <n v="180140"/>
    <n v="166281"/>
    <n v="155628"/>
    <n v="145645"/>
    <n v="103263"/>
    <n v="21105"/>
    <n v="5461"/>
    <n v="5000"/>
    <n v="5849"/>
    <n v="2732"/>
    <n v="50000"/>
    <n v="0"/>
    <x v="1"/>
    <n v="151075"/>
    <x v="2"/>
  </r>
  <r>
    <x v="322"/>
    <n v="50000"/>
    <x v="0"/>
    <x v="1"/>
    <x v="0"/>
    <x v="1"/>
    <n v="24"/>
    <x v="0"/>
    <x v="1"/>
    <x v="1"/>
    <x v="1"/>
    <x v="1"/>
    <x v="1"/>
    <x v="2"/>
    <n v="1399"/>
    <n v="2441"/>
    <n v="3865"/>
    <n v="7476"/>
    <n v="8384"/>
    <n v="8085"/>
    <n v="1070"/>
    <n v="1500"/>
    <n v="3666"/>
    <n v="2477"/>
    <n v="1306"/>
    <n v="1000"/>
    <n v="0"/>
    <x v="1"/>
    <n v="329"/>
    <x v="0"/>
  </r>
  <r>
    <x v="323"/>
    <n v="230000"/>
    <x v="1"/>
    <x v="0"/>
    <x v="0"/>
    <x v="0"/>
    <n v="28"/>
    <x v="0"/>
    <x v="2"/>
    <x v="1"/>
    <x v="1"/>
    <x v="2"/>
    <x v="2"/>
    <x v="3"/>
    <n v="26361"/>
    <n v="18826"/>
    <n v="1100"/>
    <n v="2100"/>
    <n v="767"/>
    <n v="6173"/>
    <n v="1710"/>
    <n v="1100"/>
    <n v="1000"/>
    <n v="767"/>
    <n v="6173"/>
    <n v="1000"/>
    <n v="1"/>
    <x v="0"/>
    <n v="24651"/>
    <x v="0"/>
  </r>
  <r>
    <x v="324"/>
    <n v="360000"/>
    <x v="2"/>
    <x v="0"/>
    <x v="0"/>
    <x v="1"/>
    <n v="32"/>
    <x v="1"/>
    <x v="2"/>
    <x v="1"/>
    <x v="1"/>
    <x v="1"/>
    <x v="1"/>
    <x v="2"/>
    <n v="93029"/>
    <n v="94054"/>
    <n v="91834"/>
    <n v="95631"/>
    <n v="100123"/>
    <n v="100738"/>
    <n v="10000"/>
    <n v="7000"/>
    <n v="10000"/>
    <n v="10000"/>
    <n v="10000"/>
    <n v="10000"/>
    <n v="0"/>
    <x v="1"/>
    <n v="83029"/>
    <x v="1"/>
  </r>
  <r>
    <x v="325"/>
    <n v="210000"/>
    <x v="1"/>
    <x v="1"/>
    <x v="0"/>
    <x v="1"/>
    <n v="43"/>
    <x v="3"/>
    <x v="4"/>
    <x v="3"/>
    <x v="0"/>
    <x v="1"/>
    <x v="1"/>
    <x v="2"/>
    <n v="0"/>
    <n v="0"/>
    <n v="38013"/>
    <n v="40555"/>
    <n v="45075"/>
    <n v="37056"/>
    <n v="0"/>
    <n v="38013"/>
    <n v="3000"/>
    <n v="5000"/>
    <n v="3000"/>
    <n v="3000"/>
    <n v="0"/>
    <x v="1"/>
    <n v="0"/>
    <x v="3"/>
  </r>
  <r>
    <x v="326"/>
    <n v="220000"/>
    <x v="1"/>
    <x v="0"/>
    <x v="0"/>
    <x v="0"/>
    <n v="41"/>
    <x v="3"/>
    <x v="1"/>
    <x v="0"/>
    <x v="2"/>
    <x v="0"/>
    <x v="3"/>
    <x v="3"/>
    <n v="650"/>
    <n v="650"/>
    <n v="325"/>
    <n v="950"/>
    <n v="475"/>
    <n v="325"/>
    <n v="325"/>
    <n v="0"/>
    <n v="950"/>
    <n v="0"/>
    <n v="325"/>
    <n v="325"/>
    <n v="1"/>
    <x v="0"/>
    <n v="325"/>
    <x v="0"/>
  </r>
  <r>
    <x v="327"/>
    <n v="60000"/>
    <x v="0"/>
    <x v="0"/>
    <x v="0"/>
    <x v="0"/>
    <n v="34"/>
    <x v="1"/>
    <x v="0"/>
    <x v="0"/>
    <x v="2"/>
    <x v="3"/>
    <x v="3"/>
    <x v="2"/>
    <n v="24898"/>
    <n v="27976"/>
    <n v="27233"/>
    <n v="30184"/>
    <n v="29566"/>
    <n v="30225"/>
    <n v="3800"/>
    <n v="0"/>
    <n v="3720"/>
    <n v="0"/>
    <n v="1300"/>
    <n v="1291"/>
    <n v="1"/>
    <x v="0"/>
    <n v="21098"/>
    <x v="0"/>
  </r>
  <r>
    <x v="328"/>
    <n v="340000"/>
    <x v="2"/>
    <x v="1"/>
    <x v="0"/>
    <x v="0"/>
    <n v="55"/>
    <x v="2"/>
    <x v="3"/>
    <x v="2"/>
    <x v="0"/>
    <x v="2"/>
    <x v="0"/>
    <x v="0"/>
    <n v="50396"/>
    <n v="44665"/>
    <n v="8300"/>
    <n v="2190"/>
    <n v="24599"/>
    <n v="7416"/>
    <n v="44665"/>
    <n v="8321"/>
    <n v="2190"/>
    <n v="24599"/>
    <n v="7416"/>
    <n v="77195"/>
    <n v="0"/>
    <x v="1"/>
    <n v="5731"/>
    <x v="0"/>
  </r>
  <r>
    <x v="329"/>
    <n v="150000"/>
    <x v="1"/>
    <x v="1"/>
    <x v="1"/>
    <x v="0"/>
    <n v="40"/>
    <x v="3"/>
    <x v="0"/>
    <x v="0"/>
    <x v="2"/>
    <x v="3"/>
    <x v="3"/>
    <x v="1"/>
    <n v="99855"/>
    <n v="102586"/>
    <n v="100064"/>
    <n v="104975"/>
    <n v="107147"/>
    <n v="109428"/>
    <n v="5200"/>
    <n v="0"/>
    <n v="8100"/>
    <n v="4000"/>
    <n v="4200"/>
    <n v="4200"/>
    <n v="0"/>
    <x v="1"/>
    <n v="94655"/>
    <x v="1"/>
  </r>
  <r>
    <x v="330"/>
    <n v="200000"/>
    <x v="1"/>
    <x v="0"/>
    <x v="0"/>
    <x v="0"/>
    <n v="37"/>
    <x v="1"/>
    <x v="4"/>
    <x v="2"/>
    <x v="2"/>
    <x v="0"/>
    <x v="2"/>
    <x v="3"/>
    <n v="-179"/>
    <n v="505"/>
    <n v="189"/>
    <n v="6773"/>
    <n v="23209"/>
    <n v="16893"/>
    <n v="1000"/>
    <n v="0"/>
    <n v="6900"/>
    <n v="24000"/>
    <n v="17000"/>
    <n v="2500"/>
    <n v="1"/>
    <x v="0"/>
    <n v="-1179"/>
    <x v="3"/>
  </r>
  <r>
    <x v="331"/>
    <n v="130000"/>
    <x v="1"/>
    <x v="0"/>
    <x v="0"/>
    <x v="1"/>
    <n v="40"/>
    <x v="3"/>
    <x v="2"/>
    <x v="1"/>
    <x v="2"/>
    <x v="1"/>
    <x v="1"/>
    <x v="2"/>
    <n v="9559"/>
    <n v="12394"/>
    <n v="11883"/>
    <n v="9826"/>
    <n v="10167"/>
    <n v="12685"/>
    <n v="3000"/>
    <n v="0"/>
    <n v="500"/>
    <n v="500"/>
    <n v="2700"/>
    <n v="500"/>
    <n v="1"/>
    <x v="0"/>
    <n v="6559"/>
    <x v="0"/>
  </r>
  <r>
    <x v="332"/>
    <n v="60000"/>
    <x v="0"/>
    <x v="0"/>
    <x v="1"/>
    <x v="1"/>
    <n v="28"/>
    <x v="0"/>
    <x v="4"/>
    <x v="0"/>
    <x v="1"/>
    <x v="1"/>
    <x v="1"/>
    <x v="2"/>
    <n v="10540"/>
    <n v="10232"/>
    <n v="11237"/>
    <n v="11427"/>
    <n v="20973"/>
    <n v="31857"/>
    <n v="0"/>
    <n v="1483"/>
    <n v="673"/>
    <n v="10000"/>
    <n v="11540"/>
    <n v="7000"/>
    <n v="0"/>
    <x v="1"/>
    <n v="10540"/>
    <x v="0"/>
  </r>
  <r>
    <x v="333"/>
    <n v="400000"/>
    <x v="2"/>
    <x v="0"/>
    <x v="0"/>
    <x v="0"/>
    <n v="43"/>
    <x v="3"/>
    <x v="4"/>
    <x v="3"/>
    <x v="3"/>
    <x v="2"/>
    <x v="2"/>
    <x v="3"/>
    <n v="0"/>
    <n v="0"/>
    <n v="0"/>
    <n v="0"/>
    <n v="1600"/>
    <n v="78388"/>
    <n v="0"/>
    <n v="0"/>
    <n v="0"/>
    <n v="1600"/>
    <n v="78388"/>
    <n v="0"/>
    <n v="0"/>
    <x v="1"/>
    <n v="0"/>
    <x v="3"/>
  </r>
  <r>
    <x v="334"/>
    <n v="20000"/>
    <x v="0"/>
    <x v="1"/>
    <x v="1"/>
    <x v="1"/>
    <n v="27"/>
    <x v="0"/>
    <x v="2"/>
    <x v="1"/>
    <x v="1"/>
    <x v="1"/>
    <x v="1"/>
    <x v="2"/>
    <n v="20571"/>
    <n v="19089"/>
    <n v="19658"/>
    <n v="19453"/>
    <n v="19108"/>
    <n v="18868"/>
    <n v="1323"/>
    <n v="1600"/>
    <n v="830"/>
    <n v="700"/>
    <n v="674"/>
    <n v="376"/>
    <n v="0"/>
    <x v="1"/>
    <n v="19248"/>
    <x v="0"/>
  </r>
  <r>
    <x v="335"/>
    <n v="190000"/>
    <x v="1"/>
    <x v="0"/>
    <x v="1"/>
    <x v="1"/>
    <n v="28"/>
    <x v="0"/>
    <x v="2"/>
    <x v="1"/>
    <x v="1"/>
    <x v="1"/>
    <x v="1"/>
    <x v="2"/>
    <n v="143464"/>
    <n v="146943"/>
    <n v="151905"/>
    <n v="153538"/>
    <n v="156664"/>
    <n v="160361"/>
    <n v="5795"/>
    <n v="7408"/>
    <n v="5645"/>
    <n v="5753"/>
    <n v="6370"/>
    <n v="5865"/>
    <n v="0"/>
    <x v="1"/>
    <n v="137669"/>
    <x v="2"/>
  </r>
  <r>
    <x v="336"/>
    <n v="260000"/>
    <x v="1"/>
    <x v="0"/>
    <x v="1"/>
    <x v="1"/>
    <n v="30"/>
    <x v="1"/>
    <x v="2"/>
    <x v="1"/>
    <x v="1"/>
    <x v="1"/>
    <x v="1"/>
    <x v="2"/>
    <n v="156882"/>
    <n v="160246"/>
    <n v="159988"/>
    <n v="158114"/>
    <n v="158762"/>
    <n v="159108"/>
    <n v="10000"/>
    <n v="8000"/>
    <n v="6000"/>
    <n v="7000"/>
    <n v="7000"/>
    <n v="6000"/>
    <n v="0"/>
    <x v="1"/>
    <n v="146882"/>
    <x v="2"/>
  </r>
  <r>
    <x v="337"/>
    <n v="140000"/>
    <x v="1"/>
    <x v="0"/>
    <x v="0"/>
    <x v="1"/>
    <n v="31"/>
    <x v="1"/>
    <x v="3"/>
    <x v="3"/>
    <x v="3"/>
    <x v="2"/>
    <x v="0"/>
    <x v="0"/>
    <n v="390"/>
    <n v="0"/>
    <n v="0"/>
    <n v="0"/>
    <n v="0"/>
    <n v="0"/>
    <n v="0"/>
    <n v="0"/>
    <n v="0"/>
    <n v="0"/>
    <n v="0"/>
    <n v="0"/>
    <n v="0"/>
    <x v="1"/>
    <n v="390"/>
    <x v="0"/>
  </r>
  <r>
    <x v="338"/>
    <n v="50000"/>
    <x v="0"/>
    <x v="0"/>
    <x v="0"/>
    <x v="0"/>
    <n v="31"/>
    <x v="1"/>
    <x v="2"/>
    <x v="1"/>
    <x v="1"/>
    <x v="1"/>
    <x v="1"/>
    <x v="2"/>
    <n v="46512"/>
    <n v="47716"/>
    <n v="49675"/>
    <n v="30929"/>
    <n v="30078"/>
    <n v="29170"/>
    <n v="1974"/>
    <n v="4406"/>
    <n v="1061"/>
    <n v="1073"/>
    <n v="1046"/>
    <n v="1047"/>
    <n v="1"/>
    <x v="0"/>
    <n v="44538"/>
    <x v="1"/>
  </r>
  <r>
    <x v="339"/>
    <n v="120000"/>
    <x v="1"/>
    <x v="0"/>
    <x v="1"/>
    <x v="1"/>
    <n v="34"/>
    <x v="1"/>
    <x v="1"/>
    <x v="2"/>
    <x v="1"/>
    <x v="0"/>
    <x v="2"/>
    <x v="3"/>
    <n v="882"/>
    <n v="6531"/>
    <n v="6313"/>
    <n v="1100"/>
    <n v="1330"/>
    <n v="830"/>
    <n v="6900"/>
    <n v="5037"/>
    <n v="1100"/>
    <n v="1330"/>
    <n v="3800"/>
    <n v="2037"/>
    <n v="0"/>
    <x v="1"/>
    <n v="-6018"/>
    <x v="3"/>
  </r>
  <r>
    <x v="340"/>
    <n v="240000"/>
    <x v="1"/>
    <x v="0"/>
    <x v="0"/>
    <x v="1"/>
    <n v="30"/>
    <x v="1"/>
    <x v="3"/>
    <x v="3"/>
    <x v="3"/>
    <x v="2"/>
    <x v="0"/>
    <x v="0"/>
    <n v="92"/>
    <n v="92"/>
    <n v="92"/>
    <n v="0"/>
    <n v="92"/>
    <n v="0"/>
    <n v="92"/>
    <n v="92"/>
    <n v="0"/>
    <n v="92"/>
    <n v="0"/>
    <n v="1883"/>
    <n v="0"/>
    <x v="1"/>
    <n v="0"/>
    <x v="3"/>
  </r>
  <r>
    <x v="341"/>
    <n v="50000"/>
    <x v="0"/>
    <x v="1"/>
    <x v="0"/>
    <x v="1"/>
    <n v="36"/>
    <x v="1"/>
    <x v="2"/>
    <x v="1"/>
    <x v="1"/>
    <x v="1"/>
    <x v="2"/>
    <x v="2"/>
    <n v="5916"/>
    <n v="6172"/>
    <n v="4123"/>
    <n v="680"/>
    <n v="978"/>
    <n v="978"/>
    <n v="1212"/>
    <n v="1200"/>
    <n v="0"/>
    <n v="978"/>
    <n v="0"/>
    <n v="0"/>
    <n v="0"/>
    <x v="1"/>
    <n v="4704"/>
    <x v="0"/>
  </r>
  <r>
    <x v="342"/>
    <n v="200000"/>
    <x v="1"/>
    <x v="0"/>
    <x v="1"/>
    <x v="1"/>
    <n v="29"/>
    <x v="0"/>
    <x v="1"/>
    <x v="0"/>
    <x v="0"/>
    <x v="0"/>
    <x v="2"/>
    <x v="1"/>
    <n v="2393"/>
    <n v="183"/>
    <n v="4847"/>
    <n v="20183"/>
    <n v="24815"/>
    <n v="24248"/>
    <n v="0"/>
    <n v="4872"/>
    <n v="20183"/>
    <n v="5000"/>
    <n v="0"/>
    <n v="1000"/>
    <n v="0"/>
    <x v="1"/>
    <n v="2393"/>
    <x v="0"/>
  </r>
  <r>
    <x v="343"/>
    <n v="180000"/>
    <x v="1"/>
    <x v="1"/>
    <x v="1"/>
    <x v="0"/>
    <n v="39"/>
    <x v="1"/>
    <x v="2"/>
    <x v="1"/>
    <x v="0"/>
    <x v="1"/>
    <x v="1"/>
    <x v="3"/>
    <n v="274731"/>
    <n v="281713"/>
    <n v="242063"/>
    <n v="122295"/>
    <n v="-1005"/>
    <n v="1005"/>
    <n v="11000"/>
    <n v="145000"/>
    <n v="26000"/>
    <n v="0"/>
    <n v="101005"/>
    <n v="1898"/>
    <n v="0"/>
    <x v="1"/>
    <n v="263731"/>
    <x v="2"/>
  </r>
  <r>
    <x v="344"/>
    <n v="180000"/>
    <x v="1"/>
    <x v="0"/>
    <x v="1"/>
    <x v="1"/>
    <n v="26"/>
    <x v="0"/>
    <x v="2"/>
    <x v="1"/>
    <x v="1"/>
    <x v="1"/>
    <x v="1"/>
    <x v="2"/>
    <n v="145403"/>
    <n v="138232"/>
    <n v="130553"/>
    <n v="105894"/>
    <n v="108248"/>
    <n v="106517"/>
    <n v="5440"/>
    <n v="5051"/>
    <n v="3835"/>
    <n v="4106"/>
    <n v="4250"/>
    <n v="4028"/>
    <n v="0"/>
    <x v="1"/>
    <n v="139963"/>
    <x v="2"/>
  </r>
  <r>
    <x v="345"/>
    <n v="160000"/>
    <x v="1"/>
    <x v="0"/>
    <x v="1"/>
    <x v="1"/>
    <n v="29"/>
    <x v="0"/>
    <x v="1"/>
    <x v="2"/>
    <x v="3"/>
    <x v="0"/>
    <x v="1"/>
    <x v="2"/>
    <n v="3097"/>
    <n v="-707"/>
    <n v="-2697"/>
    <n v="2303"/>
    <n v="6182"/>
    <n v="1654"/>
    <n v="0"/>
    <n v="0"/>
    <n v="5000"/>
    <n v="5000"/>
    <n v="1500"/>
    <n v="13000"/>
    <n v="0"/>
    <x v="1"/>
    <n v="3097"/>
    <x v="0"/>
  </r>
  <r>
    <x v="346"/>
    <n v="100000"/>
    <x v="0"/>
    <x v="0"/>
    <x v="0"/>
    <x v="1"/>
    <n v="26"/>
    <x v="0"/>
    <x v="1"/>
    <x v="2"/>
    <x v="0"/>
    <x v="1"/>
    <x v="1"/>
    <x v="2"/>
    <n v="1370"/>
    <n v="4192"/>
    <n v="4159"/>
    <n v="3542"/>
    <n v="1980"/>
    <n v="3980"/>
    <n v="4210"/>
    <n v="4159"/>
    <n v="1000"/>
    <n v="1080"/>
    <n v="2000"/>
    <n v="1525"/>
    <n v="0"/>
    <x v="1"/>
    <n v="-2840"/>
    <x v="3"/>
  </r>
  <r>
    <x v="347"/>
    <n v="50000"/>
    <x v="0"/>
    <x v="0"/>
    <x v="0"/>
    <x v="1"/>
    <n v="29"/>
    <x v="0"/>
    <x v="2"/>
    <x v="1"/>
    <x v="1"/>
    <x v="1"/>
    <x v="1"/>
    <x v="2"/>
    <n v="47081"/>
    <n v="49316"/>
    <n v="50409"/>
    <n v="45545"/>
    <n v="39963"/>
    <n v="41145"/>
    <n v="3000"/>
    <n v="2000"/>
    <n v="2000"/>
    <n v="2000"/>
    <n v="2000"/>
    <n v="2000"/>
    <n v="1"/>
    <x v="0"/>
    <n v="44081"/>
    <x v="1"/>
  </r>
  <r>
    <x v="348"/>
    <n v="140000"/>
    <x v="1"/>
    <x v="0"/>
    <x v="0"/>
    <x v="1"/>
    <n v="31"/>
    <x v="1"/>
    <x v="2"/>
    <x v="1"/>
    <x v="1"/>
    <x v="1"/>
    <x v="1"/>
    <x v="2"/>
    <n v="138119"/>
    <n v="137950"/>
    <n v="140254"/>
    <n v="139679"/>
    <n v="141748"/>
    <n v="142174"/>
    <n v="6600"/>
    <n v="6500"/>
    <n v="5100"/>
    <n v="5300"/>
    <n v="6000"/>
    <n v="5000"/>
    <n v="0"/>
    <x v="1"/>
    <n v="131519"/>
    <x v="2"/>
  </r>
  <r>
    <x v="349"/>
    <n v="30000"/>
    <x v="0"/>
    <x v="0"/>
    <x v="0"/>
    <x v="1"/>
    <n v="26"/>
    <x v="0"/>
    <x v="2"/>
    <x v="1"/>
    <x v="1"/>
    <x v="1"/>
    <x v="1"/>
    <x v="2"/>
    <n v="17893"/>
    <n v="19012"/>
    <n v="20123"/>
    <n v="20222"/>
    <n v="20796"/>
    <n v="19844"/>
    <n v="1411"/>
    <n v="1522"/>
    <n v="621"/>
    <n v="795"/>
    <n v="715"/>
    <n v="1000"/>
    <n v="1"/>
    <x v="0"/>
    <n v="16482"/>
    <x v="0"/>
  </r>
  <r>
    <x v="350"/>
    <n v="90000"/>
    <x v="0"/>
    <x v="1"/>
    <x v="1"/>
    <x v="1"/>
    <n v="26"/>
    <x v="0"/>
    <x v="2"/>
    <x v="1"/>
    <x v="0"/>
    <x v="1"/>
    <x v="1"/>
    <x v="3"/>
    <n v="39128"/>
    <n v="20473"/>
    <n v="1940"/>
    <n v="1940"/>
    <n v="0"/>
    <n v="23101"/>
    <n v="1541"/>
    <n v="4200"/>
    <n v="0"/>
    <n v="0"/>
    <n v="23101"/>
    <n v="3000"/>
    <n v="0"/>
    <x v="1"/>
    <n v="37587"/>
    <x v="1"/>
  </r>
  <r>
    <x v="351"/>
    <n v="200000"/>
    <x v="1"/>
    <x v="1"/>
    <x v="1"/>
    <x v="0"/>
    <n v="36"/>
    <x v="1"/>
    <x v="4"/>
    <x v="3"/>
    <x v="0"/>
    <x v="0"/>
    <x v="0"/>
    <x v="3"/>
    <n v="-14386"/>
    <n v="-13543"/>
    <n v="3432"/>
    <n v="-3684"/>
    <n v="0"/>
    <n v="1386"/>
    <n v="10118"/>
    <n v="47015"/>
    <n v="0"/>
    <n v="4000"/>
    <n v="100000"/>
    <n v="10000"/>
    <n v="0"/>
    <x v="1"/>
    <n v="-24504"/>
    <x v="3"/>
  </r>
  <r>
    <x v="352"/>
    <n v="380000"/>
    <x v="2"/>
    <x v="1"/>
    <x v="1"/>
    <x v="1"/>
    <n v="30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353"/>
    <n v="80000"/>
    <x v="0"/>
    <x v="0"/>
    <x v="0"/>
    <x v="1"/>
    <n v="43"/>
    <x v="3"/>
    <x v="2"/>
    <x v="1"/>
    <x v="1"/>
    <x v="1"/>
    <x v="1"/>
    <x v="2"/>
    <n v="77057"/>
    <n v="78102"/>
    <n v="58501"/>
    <n v="51042"/>
    <n v="19036"/>
    <n v="19414"/>
    <n v="3177"/>
    <n v="2600"/>
    <n v="3000"/>
    <n v="1691"/>
    <n v="695"/>
    <n v="882"/>
    <n v="0"/>
    <x v="1"/>
    <n v="73880"/>
    <x v="1"/>
  </r>
  <r>
    <x v="354"/>
    <n v="50000"/>
    <x v="0"/>
    <x v="1"/>
    <x v="2"/>
    <x v="0"/>
    <n v="58"/>
    <x v="2"/>
    <x v="0"/>
    <x v="0"/>
    <x v="2"/>
    <x v="1"/>
    <x v="1"/>
    <x v="1"/>
    <n v="15899"/>
    <n v="18720"/>
    <n v="18122"/>
    <n v="18530"/>
    <n v="19089"/>
    <n v="18856"/>
    <n v="3400"/>
    <n v="0"/>
    <n v="1000"/>
    <n v="1001"/>
    <n v="634"/>
    <n v="638"/>
    <n v="0"/>
    <x v="1"/>
    <n v="12499"/>
    <x v="0"/>
  </r>
  <r>
    <x v="355"/>
    <n v="180000"/>
    <x v="1"/>
    <x v="1"/>
    <x v="0"/>
    <x v="0"/>
    <n v="45"/>
    <x v="3"/>
    <x v="1"/>
    <x v="1"/>
    <x v="1"/>
    <x v="1"/>
    <x v="1"/>
    <x v="2"/>
    <n v="27679"/>
    <n v="28422"/>
    <n v="29650"/>
    <n v="29981"/>
    <n v="30419"/>
    <n v="31127"/>
    <n v="1481"/>
    <n v="2000"/>
    <n v="1100"/>
    <n v="1200"/>
    <n v="1500"/>
    <n v="1500"/>
    <n v="1"/>
    <x v="0"/>
    <n v="26198"/>
    <x v="1"/>
  </r>
  <r>
    <x v="356"/>
    <n v="240000"/>
    <x v="1"/>
    <x v="0"/>
    <x v="0"/>
    <x v="1"/>
    <n v="26"/>
    <x v="0"/>
    <x v="2"/>
    <x v="1"/>
    <x v="1"/>
    <x v="1"/>
    <x v="1"/>
    <x v="2"/>
    <n v="141315"/>
    <n v="128940"/>
    <n v="124226"/>
    <n v="113133"/>
    <n v="113966"/>
    <n v="103360"/>
    <n v="6349"/>
    <n v="5834"/>
    <n v="3870"/>
    <n v="4000"/>
    <n v="3825"/>
    <n v="3520"/>
    <n v="0"/>
    <x v="1"/>
    <n v="134966"/>
    <x v="2"/>
  </r>
  <r>
    <x v="357"/>
    <n v="380000"/>
    <x v="2"/>
    <x v="1"/>
    <x v="0"/>
    <x v="1"/>
    <n v="34"/>
    <x v="1"/>
    <x v="2"/>
    <x v="1"/>
    <x v="1"/>
    <x v="1"/>
    <x v="1"/>
    <x v="2"/>
    <n v="194314"/>
    <n v="179206"/>
    <n v="193992"/>
    <n v="174675"/>
    <n v="171253"/>
    <n v="169121"/>
    <n v="9010"/>
    <n v="35000"/>
    <n v="5000"/>
    <n v="6000"/>
    <n v="5000"/>
    <n v="4400"/>
    <n v="0"/>
    <x v="1"/>
    <n v="185304"/>
    <x v="2"/>
  </r>
  <r>
    <x v="358"/>
    <n v="110000"/>
    <x v="1"/>
    <x v="0"/>
    <x v="3"/>
    <x v="1"/>
    <n v="24"/>
    <x v="0"/>
    <x v="2"/>
    <x v="1"/>
    <x v="1"/>
    <x v="1"/>
    <x v="1"/>
    <x v="2"/>
    <n v="83755"/>
    <n v="77431"/>
    <n v="79044"/>
    <n v="80631"/>
    <n v="82333"/>
    <n v="84462"/>
    <n v="3000"/>
    <n v="2900"/>
    <n v="2900"/>
    <n v="3000"/>
    <n v="3500"/>
    <n v="4000"/>
    <n v="0"/>
    <x v="1"/>
    <n v="80755"/>
    <x v="1"/>
  </r>
  <r>
    <x v="359"/>
    <n v="260000"/>
    <x v="1"/>
    <x v="1"/>
    <x v="1"/>
    <x v="0"/>
    <n v="34"/>
    <x v="1"/>
    <x v="1"/>
    <x v="2"/>
    <x v="0"/>
    <x v="0"/>
    <x v="2"/>
    <x v="3"/>
    <n v="49657"/>
    <n v="291"/>
    <n v="51058"/>
    <n v="2351"/>
    <n v="34039"/>
    <n v="291"/>
    <n v="291"/>
    <n v="51058"/>
    <n v="35696"/>
    <n v="34039"/>
    <n v="291"/>
    <n v="291"/>
    <n v="0"/>
    <x v="1"/>
    <n v="49366"/>
    <x v="1"/>
  </r>
  <r>
    <x v="360"/>
    <n v="500000"/>
    <x v="2"/>
    <x v="0"/>
    <x v="0"/>
    <x v="1"/>
    <n v="23"/>
    <x v="0"/>
    <x v="6"/>
    <x v="4"/>
    <x v="2"/>
    <x v="1"/>
    <x v="1"/>
    <x v="2"/>
    <n v="507726"/>
    <n v="509229"/>
    <n v="499936"/>
    <n v="505507"/>
    <n v="484612"/>
    <n v="419643"/>
    <n v="10000"/>
    <n v="0"/>
    <n v="14000"/>
    <n v="16500"/>
    <n v="16000"/>
    <n v="19000"/>
    <n v="1"/>
    <x v="0"/>
    <n v="497726"/>
    <x v="2"/>
  </r>
  <r>
    <x v="361"/>
    <n v="320000"/>
    <x v="2"/>
    <x v="0"/>
    <x v="0"/>
    <x v="1"/>
    <n v="30"/>
    <x v="1"/>
    <x v="2"/>
    <x v="1"/>
    <x v="1"/>
    <x v="1"/>
    <x v="1"/>
    <x v="2"/>
    <n v="71305"/>
    <n v="71151"/>
    <n v="72029"/>
    <n v="72849"/>
    <n v="74374"/>
    <n v="74610"/>
    <n v="2589"/>
    <n v="2568"/>
    <n v="2570"/>
    <n v="2661"/>
    <n v="2781"/>
    <n v="2500"/>
    <n v="0"/>
    <x v="1"/>
    <n v="68716"/>
    <x v="1"/>
  </r>
  <r>
    <x v="362"/>
    <n v="50000"/>
    <x v="0"/>
    <x v="1"/>
    <x v="0"/>
    <x v="1"/>
    <n v="32"/>
    <x v="1"/>
    <x v="6"/>
    <x v="4"/>
    <x v="2"/>
    <x v="1"/>
    <x v="1"/>
    <x v="2"/>
    <n v="45734"/>
    <n v="44741"/>
    <n v="43562"/>
    <n v="44039"/>
    <n v="45008"/>
    <n v="25775"/>
    <n v="0"/>
    <n v="0"/>
    <n v="1262"/>
    <n v="1358"/>
    <n v="1275"/>
    <n v="1590"/>
    <n v="0"/>
    <x v="1"/>
    <n v="45734"/>
    <x v="1"/>
  </r>
  <r>
    <x v="363"/>
    <n v="110000"/>
    <x v="1"/>
    <x v="1"/>
    <x v="1"/>
    <x v="0"/>
    <n v="40"/>
    <x v="3"/>
    <x v="4"/>
    <x v="3"/>
    <x v="0"/>
    <x v="1"/>
    <x v="2"/>
    <x v="3"/>
    <n v="0"/>
    <n v="0"/>
    <n v="2066"/>
    <n v="2000"/>
    <n v="216"/>
    <n v="216"/>
    <n v="0"/>
    <n v="2066"/>
    <n v="0"/>
    <n v="216"/>
    <n v="216"/>
    <n v="66"/>
    <n v="1"/>
    <x v="0"/>
    <n v="0"/>
    <x v="3"/>
  </r>
  <r>
    <x v="364"/>
    <n v="230000"/>
    <x v="1"/>
    <x v="0"/>
    <x v="1"/>
    <x v="1"/>
    <n v="35"/>
    <x v="1"/>
    <x v="3"/>
    <x v="3"/>
    <x v="3"/>
    <x v="2"/>
    <x v="0"/>
    <x v="0"/>
    <n v="761"/>
    <n v="300"/>
    <n v="399"/>
    <n v="665"/>
    <n v="576"/>
    <n v="613"/>
    <n v="300"/>
    <n v="399"/>
    <n v="665"/>
    <n v="576"/>
    <n v="613"/>
    <n v="520"/>
    <n v="0"/>
    <x v="1"/>
    <n v="461"/>
    <x v="0"/>
  </r>
  <r>
    <x v="365"/>
    <n v="330000"/>
    <x v="2"/>
    <x v="0"/>
    <x v="0"/>
    <x v="0"/>
    <n v="56"/>
    <x v="2"/>
    <x v="4"/>
    <x v="2"/>
    <x v="0"/>
    <x v="2"/>
    <x v="2"/>
    <x v="3"/>
    <n v="-9"/>
    <n v="1520"/>
    <n v="1488"/>
    <n v="0"/>
    <n v="3965"/>
    <n v="8676"/>
    <n v="1529"/>
    <n v="1507"/>
    <n v="0"/>
    <n v="3965"/>
    <n v="8676"/>
    <n v="384"/>
    <n v="0"/>
    <x v="1"/>
    <n v="-1538"/>
    <x v="3"/>
  </r>
  <r>
    <x v="366"/>
    <n v="50000"/>
    <x v="0"/>
    <x v="0"/>
    <x v="0"/>
    <x v="0"/>
    <n v="61"/>
    <x v="2"/>
    <x v="2"/>
    <x v="1"/>
    <x v="1"/>
    <x v="1"/>
    <x v="1"/>
    <x v="2"/>
    <n v="47166"/>
    <n v="49396"/>
    <n v="50476"/>
    <n v="23319"/>
    <n v="23171"/>
    <n v="24774"/>
    <n v="3000"/>
    <n v="2237"/>
    <n v="975"/>
    <n v="1000"/>
    <n v="2000"/>
    <n v="1039"/>
    <n v="0"/>
    <x v="1"/>
    <n v="44166"/>
    <x v="1"/>
  </r>
  <r>
    <x v="367"/>
    <n v="10000"/>
    <x v="0"/>
    <x v="1"/>
    <x v="0"/>
    <x v="1"/>
    <n v="24"/>
    <x v="0"/>
    <x v="1"/>
    <x v="0"/>
    <x v="2"/>
    <x v="3"/>
    <x v="1"/>
    <x v="2"/>
    <n v="2887"/>
    <n v="1923"/>
    <n v="2989"/>
    <n v="2813"/>
    <n v="2008"/>
    <n v="2132"/>
    <n v="0"/>
    <n v="1500"/>
    <n v="0"/>
    <n v="0"/>
    <n v="150"/>
    <n v="0"/>
    <n v="0"/>
    <x v="1"/>
    <n v="2887"/>
    <x v="0"/>
  </r>
  <r>
    <x v="368"/>
    <n v="300000"/>
    <x v="1"/>
    <x v="1"/>
    <x v="1"/>
    <x v="0"/>
    <n v="40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369"/>
    <n v="20000"/>
    <x v="0"/>
    <x v="0"/>
    <x v="0"/>
    <x v="0"/>
    <n v="32"/>
    <x v="1"/>
    <x v="5"/>
    <x v="0"/>
    <x v="1"/>
    <x v="1"/>
    <x v="1"/>
    <x v="2"/>
    <n v="20631"/>
    <n v="20010"/>
    <n v="19703"/>
    <n v="11084"/>
    <n v="10918"/>
    <n v="10985"/>
    <n v="0"/>
    <n v="1168"/>
    <n v="384"/>
    <n v="390"/>
    <n v="632"/>
    <n v="616"/>
    <n v="1"/>
    <x v="0"/>
    <n v="20631"/>
    <x v="0"/>
  </r>
  <r>
    <x v="370"/>
    <n v="180000"/>
    <x v="1"/>
    <x v="1"/>
    <x v="0"/>
    <x v="0"/>
    <n v="36"/>
    <x v="1"/>
    <x v="0"/>
    <x v="0"/>
    <x v="3"/>
    <x v="2"/>
    <x v="0"/>
    <x v="0"/>
    <n v="83538"/>
    <n v="0"/>
    <n v="0"/>
    <n v="0"/>
    <n v="0"/>
    <n v="0"/>
    <n v="0"/>
    <n v="0"/>
    <n v="0"/>
    <n v="0"/>
    <n v="0"/>
    <n v="0"/>
    <n v="1"/>
    <x v="0"/>
    <n v="83538"/>
    <x v="1"/>
  </r>
  <r>
    <x v="371"/>
    <n v="160000"/>
    <x v="1"/>
    <x v="1"/>
    <x v="1"/>
    <x v="1"/>
    <n v="30"/>
    <x v="1"/>
    <x v="1"/>
    <x v="2"/>
    <x v="0"/>
    <x v="0"/>
    <x v="2"/>
    <x v="3"/>
    <n v="99"/>
    <n v="2977"/>
    <n v="15086"/>
    <n v="8578"/>
    <n v="13028"/>
    <n v="21712"/>
    <n v="2977"/>
    <n v="15086"/>
    <n v="9123"/>
    <n v="13028"/>
    <n v="29712"/>
    <n v="50000"/>
    <n v="0"/>
    <x v="1"/>
    <n v="-2878"/>
    <x v="3"/>
  </r>
  <r>
    <x v="372"/>
    <n v="90000"/>
    <x v="0"/>
    <x v="0"/>
    <x v="1"/>
    <x v="1"/>
    <n v="34"/>
    <x v="1"/>
    <x v="2"/>
    <x v="1"/>
    <x v="1"/>
    <x v="3"/>
    <x v="3"/>
    <x v="1"/>
    <n v="34302"/>
    <n v="35089"/>
    <n v="43449"/>
    <n v="42451"/>
    <n v="49718"/>
    <n v="48767"/>
    <n v="1640"/>
    <n v="9000"/>
    <n v="0"/>
    <n v="8000"/>
    <n v="0"/>
    <n v="2000"/>
    <n v="0"/>
    <x v="1"/>
    <n v="32662"/>
    <x v="1"/>
  </r>
  <r>
    <x v="373"/>
    <n v="30000"/>
    <x v="0"/>
    <x v="1"/>
    <x v="2"/>
    <x v="2"/>
    <n v="54"/>
    <x v="2"/>
    <x v="2"/>
    <x v="1"/>
    <x v="1"/>
    <x v="1"/>
    <x v="1"/>
    <x v="2"/>
    <n v="22987"/>
    <n v="22298"/>
    <n v="22352"/>
    <n v="23221"/>
    <n v="24339"/>
    <n v="25943"/>
    <n v="2500"/>
    <n v="2000"/>
    <n v="1500"/>
    <n v="4000"/>
    <n v="2000"/>
    <n v="0"/>
    <n v="0"/>
    <x v="1"/>
    <n v="20487"/>
    <x v="0"/>
  </r>
  <r>
    <x v="374"/>
    <n v="180000"/>
    <x v="1"/>
    <x v="1"/>
    <x v="1"/>
    <x v="0"/>
    <n v="46"/>
    <x v="3"/>
    <x v="2"/>
    <x v="1"/>
    <x v="1"/>
    <x v="1"/>
    <x v="1"/>
    <x v="2"/>
    <n v="173267"/>
    <n v="174590"/>
    <n v="175233"/>
    <n v="106288"/>
    <n v="28089"/>
    <n v="178719"/>
    <n v="8100"/>
    <n v="5299"/>
    <n v="3305"/>
    <n v="5040"/>
    <n v="160719"/>
    <n v="7000"/>
    <n v="0"/>
    <x v="1"/>
    <n v="165167"/>
    <x v="2"/>
  </r>
  <r>
    <x v="375"/>
    <n v="30000"/>
    <x v="0"/>
    <x v="1"/>
    <x v="2"/>
    <x v="0"/>
    <n v="58"/>
    <x v="2"/>
    <x v="2"/>
    <x v="1"/>
    <x v="1"/>
    <x v="1"/>
    <x v="1"/>
    <x v="2"/>
    <n v="19143"/>
    <n v="20168"/>
    <n v="21229"/>
    <n v="21495"/>
    <n v="21800"/>
    <n v="22437"/>
    <n v="1640"/>
    <n v="1700"/>
    <n v="915"/>
    <n v="800"/>
    <n v="1000"/>
    <n v="1961"/>
    <n v="0"/>
    <x v="1"/>
    <n v="17503"/>
    <x v="0"/>
  </r>
  <r>
    <x v="376"/>
    <n v="30000"/>
    <x v="0"/>
    <x v="1"/>
    <x v="0"/>
    <x v="0"/>
    <n v="43"/>
    <x v="3"/>
    <x v="4"/>
    <x v="0"/>
    <x v="1"/>
    <x v="1"/>
    <x v="1"/>
    <x v="1"/>
    <n v="20518"/>
    <n v="19901"/>
    <n v="20905"/>
    <n v="21509"/>
    <n v="25183"/>
    <n v="24242"/>
    <n v="0"/>
    <n v="1342"/>
    <n v="946"/>
    <n v="4200"/>
    <n v="0"/>
    <n v="1000"/>
    <n v="0"/>
    <x v="1"/>
    <n v="20518"/>
    <x v="0"/>
  </r>
  <r>
    <x v="377"/>
    <n v="140000"/>
    <x v="1"/>
    <x v="0"/>
    <x v="1"/>
    <x v="1"/>
    <n v="28"/>
    <x v="0"/>
    <x v="1"/>
    <x v="1"/>
    <x v="1"/>
    <x v="0"/>
    <x v="2"/>
    <x v="3"/>
    <n v="10833"/>
    <n v="14446"/>
    <n v="7609"/>
    <n v="4991"/>
    <n v="3400"/>
    <n v="3745"/>
    <n v="14000"/>
    <n v="3855"/>
    <n v="4991"/>
    <n v="3600"/>
    <n v="5500"/>
    <n v="4000"/>
    <n v="0"/>
    <x v="1"/>
    <n v="-3167"/>
    <x v="3"/>
  </r>
  <r>
    <x v="378"/>
    <n v="210000"/>
    <x v="1"/>
    <x v="1"/>
    <x v="1"/>
    <x v="1"/>
    <n v="30"/>
    <x v="1"/>
    <x v="2"/>
    <x v="1"/>
    <x v="1"/>
    <x v="1"/>
    <x v="1"/>
    <x v="2"/>
    <n v="69937"/>
    <n v="71906"/>
    <n v="43308"/>
    <n v="44584"/>
    <n v="47842"/>
    <n v="49888"/>
    <n v="3500"/>
    <n v="3000"/>
    <n v="2000"/>
    <n v="4000"/>
    <n v="3000"/>
    <n v="10000"/>
    <n v="0"/>
    <x v="1"/>
    <n v="66437"/>
    <x v="1"/>
  </r>
  <r>
    <x v="379"/>
    <n v="50000"/>
    <x v="0"/>
    <x v="1"/>
    <x v="0"/>
    <x v="1"/>
    <n v="31"/>
    <x v="1"/>
    <x v="2"/>
    <x v="1"/>
    <x v="1"/>
    <x v="1"/>
    <x v="1"/>
    <x v="2"/>
    <n v="20526"/>
    <n v="15129"/>
    <n v="15093"/>
    <n v="9577"/>
    <n v="11139"/>
    <n v="12487"/>
    <n v="2000"/>
    <n v="3000"/>
    <n v="327"/>
    <n v="3000"/>
    <n v="3000"/>
    <n v="5000"/>
    <n v="1"/>
    <x v="0"/>
    <n v="18526"/>
    <x v="0"/>
  </r>
  <r>
    <x v="380"/>
    <n v="130000"/>
    <x v="1"/>
    <x v="0"/>
    <x v="0"/>
    <x v="1"/>
    <n v="29"/>
    <x v="0"/>
    <x v="2"/>
    <x v="1"/>
    <x v="1"/>
    <x v="1"/>
    <x v="1"/>
    <x v="2"/>
    <n v="89055"/>
    <n v="90780"/>
    <n v="70947"/>
    <n v="72367"/>
    <n v="73875"/>
    <n v="75355"/>
    <n v="4200"/>
    <n v="2575"/>
    <n v="2600"/>
    <n v="2674"/>
    <n v="2701"/>
    <n v="5750"/>
    <n v="0"/>
    <x v="1"/>
    <n v="84855"/>
    <x v="1"/>
  </r>
  <r>
    <x v="381"/>
    <n v="50000"/>
    <x v="0"/>
    <x v="0"/>
    <x v="0"/>
    <x v="0"/>
    <n v="37"/>
    <x v="1"/>
    <x v="0"/>
    <x v="0"/>
    <x v="2"/>
    <x v="1"/>
    <x v="1"/>
    <x v="2"/>
    <n v="1894"/>
    <n v="3200"/>
    <n v="3381"/>
    <n v="3559"/>
    <n v="1948"/>
    <n v="2415"/>
    <n v="1500"/>
    <n v="400"/>
    <n v="200"/>
    <n v="500"/>
    <n v="500"/>
    <n v="400"/>
    <n v="1"/>
    <x v="0"/>
    <n v="394"/>
    <x v="0"/>
  </r>
  <r>
    <x v="382"/>
    <n v="140000"/>
    <x v="1"/>
    <x v="1"/>
    <x v="2"/>
    <x v="0"/>
    <n v="36"/>
    <x v="1"/>
    <x v="2"/>
    <x v="1"/>
    <x v="1"/>
    <x v="1"/>
    <x v="1"/>
    <x v="2"/>
    <n v="100594"/>
    <n v="78372"/>
    <n v="91502"/>
    <n v="90859"/>
    <n v="88616"/>
    <n v="88450"/>
    <n v="3000"/>
    <n v="30000"/>
    <n v="4000"/>
    <n v="4000"/>
    <n v="3400"/>
    <n v="3300"/>
    <n v="0"/>
    <x v="1"/>
    <n v="97594"/>
    <x v="1"/>
  </r>
  <r>
    <x v="383"/>
    <n v="170000"/>
    <x v="1"/>
    <x v="0"/>
    <x v="0"/>
    <x v="1"/>
    <n v="28"/>
    <x v="0"/>
    <x v="1"/>
    <x v="1"/>
    <x v="1"/>
    <x v="3"/>
    <x v="1"/>
    <x v="2"/>
    <n v="2948"/>
    <n v="3848"/>
    <n v="5646"/>
    <n v="5464"/>
    <n v="5577"/>
    <n v="5889"/>
    <n v="1105"/>
    <n v="1903"/>
    <n v="0"/>
    <n v="296"/>
    <n v="500"/>
    <n v="95"/>
    <n v="1"/>
    <x v="0"/>
    <n v="1843"/>
    <x v="0"/>
  </r>
  <r>
    <x v="384"/>
    <n v="80000"/>
    <x v="0"/>
    <x v="1"/>
    <x v="0"/>
    <x v="1"/>
    <n v="25"/>
    <x v="0"/>
    <x v="2"/>
    <x v="1"/>
    <x v="1"/>
    <x v="1"/>
    <x v="1"/>
    <x v="0"/>
    <n v="22619"/>
    <n v="31429"/>
    <n v="27923"/>
    <n v="25280"/>
    <n v="0"/>
    <n v="0"/>
    <n v="10010"/>
    <n v="1209"/>
    <n v="579"/>
    <n v="0"/>
    <n v="0"/>
    <n v="6305"/>
    <n v="0"/>
    <x v="1"/>
    <n v="12609"/>
    <x v="0"/>
  </r>
  <r>
    <x v="385"/>
    <n v="410000"/>
    <x v="2"/>
    <x v="0"/>
    <x v="3"/>
    <x v="0"/>
    <n v="42"/>
    <x v="3"/>
    <x v="2"/>
    <x v="1"/>
    <x v="1"/>
    <x v="1"/>
    <x v="1"/>
    <x v="2"/>
    <n v="338106"/>
    <n v="342904"/>
    <n v="344464"/>
    <n v="240865"/>
    <n v="234939"/>
    <n v="240176"/>
    <n v="15000"/>
    <n v="14000"/>
    <n v="9000"/>
    <n v="8500"/>
    <n v="9000"/>
    <n v="8300"/>
    <n v="0"/>
    <x v="1"/>
    <n v="323106"/>
    <x v="2"/>
  </r>
  <r>
    <x v="386"/>
    <n v="80000"/>
    <x v="0"/>
    <x v="0"/>
    <x v="1"/>
    <x v="1"/>
    <n v="29"/>
    <x v="0"/>
    <x v="4"/>
    <x v="2"/>
    <x v="0"/>
    <x v="2"/>
    <x v="0"/>
    <x v="0"/>
    <n v="0"/>
    <n v="80000"/>
    <n v="0"/>
    <n v="0"/>
    <n v="0"/>
    <n v="0"/>
    <n v="80000"/>
    <n v="0"/>
    <n v="0"/>
    <n v="0"/>
    <n v="0"/>
    <n v="0"/>
    <n v="0"/>
    <x v="1"/>
    <n v="-80000"/>
    <x v="3"/>
  </r>
  <r>
    <x v="387"/>
    <n v="80000"/>
    <x v="0"/>
    <x v="1"/>
    <x v="2"/>
    <x v="0"/>
    <n v="73"/>
    <x v="2"/>
    <x v="1"/>
    <x v="1"/>
    <x v="1"/>
    <x v="3"/>
    <x v="3"/>
    <x v="1"/>
    <n v="63144"/>
    <n v="65631"/>
    <n v="68875"/>
    <n v="70646"/>
    <n v="72870"/>
    <n v="75018"/>
    <n v="3500"/>
    <n v="4330"/>
    <n v="3500"/>
    <n v="3500"/>
    <n v="3500"/>
    <n v="5100"/>
    <n v="1"/>
    <x v="0"/>
    <n v="59644"/>
    <x v="1"/>
  </r>
  <r>
    <x v="388"/>
    <n v="150000"/>
    <x v="1"/>
    <x v="1"/>
    <x v="0"/>
    <x v="0"/>
    <n v="43"/>
    <x v="3"/>
    <x v="2"/>
    <x v="1"/>
    <x v="1"/>
    <x v="1"/>
    <x v="1"/>
    <x v="2"/>
    <n v="153249"/>
    <n v="154049"/>
    <n v="156523"/>
    <n v="159653"/>
    <n v="162866"/>
    <n v="157759"/>
    <n v="7900"/>
    <n v="6500"/>
    <n v="5700"/>
    <n v="5700"/>
    <n v="5700"/>
    <n v="5334"/>
    <n v="0"/>
    <x v="1"/>
    <n v="145349"/>
    <x v="2"/>
  </r>
  <r>
    <x v="389"/>
    <n v="260000"/>
    <x v="1"/>
    <x v="1"/>
    <x v="1"/>
    <x v="0"/>
    <n v="30"/>
    <x v="1"/>
    <x v="1"/>
    <x v="2"/>
    <x v="0"/>
    <x v="1"/>
    <x v="1"/>
    <x v="3"/>
    <n v="1131"/>
    <n v="291"/>
    <n v="582"/>
    <n v="291"/>
    <n v="0"/>
    <n v="291"/>
    <n v="291"/>
    <n v="582"/>
    <n v="0"/>
    <n v="0"/>
    <n v="130291"/>
    <n v="651"/>
    <n v="1"/>
    <x v="0"/>
    <n v="840"/>
    <x v="0"/>
  </r>
  <r>
    <x v="390"/>
    <n v="350000"/>
    <x v="2"/>
    <x v="1"/>
    <x v="1"/>
    <x v="0"/>
    <n v="38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391"/>
    <n v="280000"/>
    <x v="1"/>
    <x v="0"/>
    <x v="0"/>
    <x v="0"/>
    <n v="39"/>
    <x v="1"/>
    <x v="4"/>
    <x v="2"/>
    <x v="1"/>
    <x v="1"/>
    <x v="1"/>
    <x v="2"/>
    <n v="-1312"/>
    <n v="35918"/>
    <n v="37297"/>
    <n v="37154"/>
    <n v="32581"/>
    <n v="33316"/>
    <n v="38621"/>
    <n v="2000"/>
    <n v="1130"/>
    <n v="922"/>
    <n v="1011"/>
    <n v="5000"/>
    <n v="1"/>
    <x v="0"/>
    <n v="-39933"/>
    <x v="3"/>
  </r>
  <r>
    <x v="392"/>
    <n v="310000"/>
    <x v="2"/>
    <x v="1"/>
    <x v="0"/>
    <x v="0"/>
    <n v="44"/>
    <x v="3"/>
    <x v="2"/>
    <x v="1"/>
    <x v="1"/>
    <x v="1"/>
    <x v="1"/>
    <x v="2"/>
    <n v="103797"/>
    <n v="91989"/>
    <n v="87720"/>
    <n v="76218"/>
    <n v="72090"/>
    <n v="71620"/>
    <n v="4400"/>
    <n v="4013"/>
    <n v="3011"/>
    <n v="3000"/>
    <n v="3001"/>
    <n v="2653"/>
    <n v="0"/>
    <x v="1"/>
    <n v="99397"/>
    <x v="1"/>
  </r>
  <r>
    <x v="393"/>
    <n v="140000"/>
    <x v="1"/>
    <x v="0"/>
    <x v="0"/>
    <x v="1"/>
    <n v="29"/>
    <x v="0"/>
    <x v="2"/>
    <x v="1"/>
    <x v="1"/>
    <x v="1"/>
    <x v="1"/>
    <x v="2"/>
    <n v="20110"/>
    <n v="17102"/>
    <n v="18862"/>
    <n v="19996"/>
    <n v="21214"/>
    <n v="21085"/>
    <n v="3000"/>
    <n v="3000"/>
    <n v="3000"/>
    <n v="3500"/>
    <n v="2000"/>
    <n v="2000"/>
    <n v="0"/>
    <x v="1"/>
    <n v="17110"/>
    <x v="0"/>
  </r>
  <r>
    <x v="394"/>
    <n v="360000"/>
    <x v="2"/>
    <x v="1"/>
    <x v="1"/>
    <x v="0"/>
    <n v="51"/>
    <x v="2"/>
    <x v="1"/>
    <x v="2"/>
    <x v="0"/>
    <x v="2"/>
    <x v="0"/>
    <x v="0"/>
    <n v="38000"/>
    <n v="25000"/>
    <n v="0"/>
    <n v="0"/>
    <n v="0"/>
    <n v="0"/>
    <n v="25000"/>
    <n v="0"/>
    <n v="0"/>
    <n v="0"/>
    <n v="0"/>
    <n v="0"/>
    <n v="0"/>
    <x v="1"/>
    <n v="13000"/>
    <x v="0"/>
  </r>
  <r>
    <x v="395"/>
    <n v="140000"/>
    <x v="1"/>
    <x v="0"/>
    <x v="1"/>
    <x v="1"/>
    <n v="27"/>
    <x v="0"/>
    <x v="2"/>
    <x v="1"/>
    <x v="1"/>
    <x v="1"/>
    <x v="1"/>
    <x v="2"/>
    <n v="142428"/>
    <n v="144105"/>
    <n v="143952"/>
    <n v="142590"/>
    <n v="142650"/>
    <n v="142620"/>
    <n v="10000"/>
    <n v="10000"/>
    <n v="6000"/>
    <n v="6000"/>
    <n v="6000"/>
    <n v="5600"/>
    <n v="0"/>
    <x v="1"/>
    <n v="132428"/>
    <x v="2"/>
  </r>
  <r>
    <x v="396"/>
    <n v="100000"/>
    <x v="0"/>
    <x v="1"/>
    <x v="1"/>
    <x v="1"/>
    <n v="38"/>
    <x v="1"/>
    <x v="2"/>
    <x v="1"/>
    <x v="1"/>
    <x v="1"/>
    <x v="1"/>
    <x v="2"/>
    <n v="40810"/>
    <n v="42653"/>
    <n v="42351"/>
    <n v="43011"/>
    <n v="43011"/>
    <n v="28947"/>
    <n v="2502"/>
    <n v="1200"/>
    <n v="860"/>
    <n v="0"/>
    <n v="579"/>
    <n v="0"/>
    <n v="0"/>
    <x v="1"/>
    <n v="38308"/>
    <x v="1"/>
  </r>
  <r>
    <x v="397"/>
    <n v="50000"/>
    <x v="0"/>
    <x v="0"/>
    <x v="0"/>
    <x v="1"/>
    <n v="22"/>
    <x v="0"/>
    <x v="3"/>
    <x v="3"/>
    <x v="3"/>
    <x v="2"/>
    <x v="0"/>
    <x v="0"/>
    <n v="0"/>
    <n v="0"/>
    <n v="0"/>
    <n v="848"/>
    <n v="0"/>
    <n v="632"/>
    <n v="0"/>
    <n v="0"/>
    <n v="848"/>
    <n v="0"/>
    <n v="632"/>
    <n v="0"/>
    <n v="0"/>
    <x v="1"/>
    <n v="0"/>
    <x v="3"/>
  </r>
  <r>
    <x v="398"/>
    <n v="210000"/>
    <x v="1"/>
    <x v="0"/>
    <x v="0"/>
    <x v="0"/>
    <n v="30"/>
    <x v="1"/>
    <x v="2"/>
    <x v="1"/>
    <x v="1"/>
    <x v="1"/>
    <x v="1"/>
    <x v="2"/>
    <n v="104701"/>
    <n v="106134"/>
    <n v="108423"/>
    <n v="91143"/>
    <n v="82733"/>
    <n v="74125"/>
    <n v="4002"/>
    <n v="5000"/>
    <n v="3500"/>
    <n v="3000"/>
    <n v="2700"/>
    <n v="5000"/>
    <n v="0"/>
    <x v="1"/>
    <n v="100699"/>
    <x v="2"/>
  </r>
  <r>
    <x v="399"/>
    <n v="120000"/>
    <x v="1"/>
    <x v="0"/>
    <x v="0"/>
    <x v="1"/>
    <n v="25"/>
    <x v="0"/>
    <x v="0"/>
    <x v="0"/>
    <x v="2"/>
    <x v="3"/>
    <x v="3"/>
    <x v="1"/>
    <n v="120298"/>
    <n v="120822"/>
    <n v="109887"/>
    <n v="116313"/>
    <n v="119311"/>
    <n v="117167"/>
    <n v="4007"/>
    <n v="0"/>
    <n v="8272"/>
    <n v="5000"/>
    <n v="0"/>
    <n v="4400"/>
    <n v="0"/>
    <x v="1"/>
    <n v="116291"/>
    <x v="2"/>
  </r>
  <r>
    <x v="400"/>
    <n v="240000"/>
    <x v="1"/>
    <x v="1"/>
    <x v="1"/>
    <x v="1"/>
    <n v="29"/>
    <x v="0"/>
    <x v="2"/>
    <x v="1"/>
    <x v="1"/>
    <x v="1"/>
    <x v="1"/>
    <x v="3"/>
    <n v="156362"/>
    <n v="132280"/>
    <n v="99174"/>
    <n v="65372"/>
    <n v="28797"/>
    <n v="184922"/>
    <n v="5233"/>
    <n v="3289"/>
    <n v="2072"/>
    <n v="3018"/>
    <n v="184922"/>
    <n v="6100"/>
    <n v="0"/>
    <x v="1"/>
    <n v="151129"/>
    <x v="2"/>
  </r>
  <r>
    <x v="401"/>
    <n v="60000"/>
    <x v="0"/>
    <x v="0"/>
    <x v="2"/>
    <x v="2"/>
    <n v="42"/>
    <x v="3"/>
    <x v="2"/>
    <x v="1"/>
    <x v="1"/>
    <x v="1"/>
    <x v="1"/>
    <x v="2"/>
    <n v="41322"/>
    <n v="29091"/>
    <n v="28097"/>
    <n v="28665"/>
    <n v="28768"/>
    <n v="29064"/>
    <n v="1488"/>
    <n v="1394"/>
    <n v="962"/>
    <n v="1500"/>
    <n v="2541"/>
    <n v="2000"/>
    <n v="0"/>
    <x v="1"/>
    <n v="39834"/>
    <x v="1"/>
  </r>
  <r>
    <x v="402"/>
    <n v="150000"/>
    <x v="1"/>
    <x v="1"/>
    <x v="1"/>
    <x v="1"/>
    <n v="41"/>
    <x v="3"/>
    <x v="1"/>
    <x v="2"/>
    <x v="0"/>
    <x v="0"/>
    <x v="2"/>
    <x v="1"/>
    <n v="1464"/>
    <n v="2084"/>
    <n v="384"/>
    <n v="0"/>
    <n v="2344"/>
    <n v="822"/>
    <n v="2091"/>
    <n v="384"/>
    <n v="0"/>
    <n v="2344"/>
    <n v="0"/>
    <n v="472"/>
    <n v="1"/>
    <x v="0"/>
    <n v="-627"/>
    <x v="3"/>
  </r>
  <r>
    <x v="403"/>
    <n v="30000"/>
    <x v="0"/>
    <x v="1"/>
    <x v="0"/>
    <x v="0"/>
    <n v="48"/>
    <x v="3"/>
    <x v="2"/>
    <x v="1"/>
    <x v="1"/>
    <x v="1"/>
    <x v="1"/>
    <x v="2"/>
    <n v="27879"/>
    <n v="28870"/>
    <n v="27806"/>
    <n v="25142"/>
    <n v="25667"/>
    <n v="26179"/>
    <n v="1774"/>
    <n v="1710"/>
    <n v="1046"/>
    <n v="1079"/>
    <n v="1089"/>
    <n v="2244"/>
    <n v="0"/>
    <x v="1"/>
    <n v="26105"/>
    <x v="1"/>
  </r>
  <r>
    <x v="404"/>
    <n v="160000"/>
    <x v="1"/>
    <x v="0"/>
    <x v="1"/>
    <x v="1"/>
    <n v="29"/>
    <x v="0"/>
    <x v="0"/>
    <x v="0"/>
    <x v="2"/>
    <x v="3"/>
    <x v="3"/>
    <x v="1"/>
    <n v="160432"/>
    <n v="163916"/>
    <n v="159676"/>
    <n v="166893"/>
    <n v="170098"/>
    <n v="153800"/>
    <n v="7500"/>
    <n v="0"/>
    <n v="11558"/>
    <n v="5800"/>
    <n v="0"/>
    <n v="5654"/>
    <n v="1"/>
    <x v="0"/>
    <n v="152932"/>
    <x v="2"/>
  </r>
  <r>
    <x v="405"/>
    <n v="200000"/>
    <x v="1"/>
    <x v="1"/>
    <x v="1"/>
    <x v="0"/>
    <n v="52"/>
    <x v="2"/>
    <x v="3"/>
    <x v="3"/>
    <x v="3"/>
    <x v="2"/>
    <x v="0"/>
    <x v="0"/>
    <n v="3858"/>
    <n v="2690"/>
    <n v="3410"/>
    <n v="0"/>
    <n v="0"/>
    <n v="82150"/>
    <n v="2690"/>
    <n v="3487"/>
    <n v="0"/>
    <n v="0"/>
    <n v="85900"/>
    <n v="396"/>
    <n v="0"/>
    <x v="1"/>
    <n v="1168"/>
    <x v="0"/>
  </r>
  <r>
    <x v="406"/>
    <n v="120000"/>
    <x v="1"/>
    <x v="0"/>
    <x v="0"/>
    <x v="0"/>
    <n v="25"/>
    <x v="0"/>
    <x v="2"/>
    <x v="1"/>
    <x v="1"/>
    <x v="2"/>
    <x v="0"/>
    <x v="0"/>
    <n v="26476"/>
    <n v="21393"/>
    <n v="0"/>
    <n v="0"/>
    <n v="0"/>
    <n v="0"/>
    <n v="6000"/>
    <n v="0"/>
    <n v="0"/>
    <n v="0"/>
    <n v="0"/>
    <n v="0"/>
    <n v="0"/>
    <x v="1"/>
    <n v="20476"/>
    <x v="0"/>
  </r>
  <r>
    <x v="407"/>
    <n v="500000"/>
    <x v="2"/>
    <x v="1"/>
    <x v="1"/>
    <x v="0"/>
    <n v="37"/>
    <x v="1"/>
    <x v="4"/>
    <x v="0"/>
    <x v="1"/>
    <x v="1"/>
    <x v="1"/>
    <x v="2"/>
    <n v="507062"/>
    <n v="491956"/>
    <n v="430637"/>
    <n v="376657"/>
    <n v="356636"/>
    <n v="303510"/>
    <n v="325"/>
    <n v="15296"/>
    <n v="12137"/>
    <n v="12312"/>
    <n v="14113"/>
    <n v="10526"/>
    <n v="0"/>
    <x v="1"/>
    <n v="506737"/>
    <x v="2"/>
  </r>
  <r>
    <x v="408"/>
    <n v="320000"/>
    <x v="2"/>
    <x v="0"/>
    <x v="1"/>
    <x v="1"/>
    <n v="27"/>
    <x v="0"/>
    <x v="2"/>
    <x v="1"/>
    <x v="1"/>
    <x v="1"/>
    <x v="1"/>
    <x v="2"/>
    <n v="55607"/>
    <n v="62893"/>
    <n v="59001"/>
    <n v="61565"/>
    <n v="59508"/>
    <n v="66541"/>
    <n v="11404"/>
    <n v="8232"/>
    <n v="10450"/>
    <n v="9697"/>
    <n v="16477"/>
    <n v="11341"/>
    <n v="0"/>
    <x v="1"/>
    <n v="44203"/>
    <x v="1"/>
  </r>
  <r>
    <x v="409"/>
    <n v="280000"/>
    <x v="1"/>
    <x v="1"/>
    <x v="1"/>
    <x v="1"/>
    <n v="31"/>
    <x v="1"/>
    <x v="2"/>
    <x v="1"/>
    <x v="1"/>
    <x v="1"/>
    <x v="1"/>
    <x v="2"/>
    <n v="168382"/>
    <n v="175646"/>
    <n v="180650"/>
    <n v="182672"/>
    <n v="168399"/>
    <n v="167983"/>
    <n v="10000"/>
    <n v="8000"/>
    <n v="6371"/>
    <n v="6217"/>
    <n v="5947"/>
    <n v="6288"/>
    <n v="0"/>
    <x v="1"/>
    <n v="158382"/>
    <x v="2"/>
  </r>
  <r>
    <x v="410"/>
    <n v="60000"/>
    <x v="0"/>
    <x v="0"/>
    <x v="1"/>
    <x v="1"/>
    <n v="23"/>
    <x v="0"/>
    <x v="4"/>
    <x v="0"/>
    <x v="2"/>
    <x v="3"/>
    <x v="3"/>
    <x v="1"/>
    <n v="29332"/>
    <n v="28577"/>
    <n v="30805"/>
    <n v="31601"/>
    <n v="32349"/>
    <n v="32965"/>
    <n v="0"/>
    <n v="2709"/>
    <n v="1600"/>
    <n v="1400"/>
    <n v="1300"/>
    <n v="1200"/>
    <n v="1"/>
    <x v="0"/>
    <n v="29332"/>
    <x v="1"/>
  </r>
  <r>
    <x v="411"/>
    <n v="200000"/>
    <x v="1"/>
    <x v="0"/>
    <x v="1"/>
    <x v="0"/>
    <n v="38"/>
    <x v="1"/>
    <x v="1"/>
    <x v="2"/>
    <x v="3"/>
    <x v="0"/>
    <x v="2"/>
    <x v="0"/>
    <n v="190"/>
    <n v="0"/>
    <n v="0"/>
    <n v="367"/>
    <n v="-150"/>
    <n v="-150"/>
    <n v="0"/>
    <n v="0"/>
    <n v="367"/>
    <n v="150"/>
    <n v="0"/>
    <n v="0"/>
    <n v="0"/>
    <x v="1"/>
    <n v="190"/>
    <x v="0"/>
  </r>
  <r>
    <x v="412"/>
    <n v="230000"/>
    <x v="1"/>
    <x v="0"/>
    <x v="1"/>
    <x v="0"/>
    <n v="32"/>
    <x v="1"/>
    <x v="4"/>
    <x v="3"/>
    <x v="0"/>
    <x v="0"/>
    <x v="2"/>
    <x v="3"/>
    <n v="0"/>
    <n v="0"/>
    <n v="2809"/>
    <n v="4595"/>
    <n v="792"/>
    <n v="3404"/>
    <n v="0"/>
    <n v="2809"/>
    <n v="4606"/>
    <n v="792"/>
    <n v="3404"/>
    <n v="0"/>
    <n v="0"/>
    <x v="1"/>
    <n v="0"/>
    <x v="3"/>
  </r>
  <r>
    <x v="413"/>
    <n v="230000"/>
    <x v="1"/>
    <x v="0"/>
    <x v="0"/>
    <x v="1"/>
    <n v="27"/>
    <x v="0"/>
    <x v="4"/>
    <x v="0"/>
    <x v="1"/>
    <x v="1"/>
    <x v="1"/>
    <x v="2"/>
    <n v="13668"/>
    <n v="12647"/>
    <n v="13135"/>
    <n v="10596"/>
    <n v="9218"/>
    <n v="5068"/>
    <n v="0"/>
    <n v="1064"/>
    <n v="423"/>
    <n v="313"/>
    <n v="1000"/>
    <n v="4641"/>
    <n v="1"/>
    <x v="0"/>
    <n v="13668"/>
    <x v="0"/>
  </r>
  <r>
    <x v="414"/>
    <n v="480000"/>
    <x v="2"/>
    <x v="0"/>
    <x v="2"/>
    <x v="0"/>
    <n v="41"/>
    <x v="3"/>
    <x v="3"/>
    <x v="3"/>
    <x v="3"/>
    <x v="2"/>
    <x v="0"/>
    <x v="0"/>
    <n v="14867"/>
    <n v="26665"/>
    <n v="199960"/>
    <n v="9033"/>
    <n v="19371"/>
    <n v="22593"/>
    <n v="26734"/>
    <n v="199982"/>
    <n v="9033"/>
    <n v="19371"/>
    <n v="22593"/>
    <n v="2000"/>
    <n v="0"/>
    <x v="1"/>
    <n v="-11867"/>
    <x v="3"/>
  </r>
  <r>
    <x v="415"/>
    <n v="50000"/>
    <x v="0"/>
    <x v="0"/>
    <x v="2"/>
    <x v="0"/>
    <n v="35"/>
    <x v="1"/>
    <x v="1"/>
    <x v="2"/>
    <x v="0"/>
    <x v="2"/>
    <x v="0"/>
    <x v="0"/>
    <n v="22500"/>
    <n v="5000"/>
    <n v="0"/>
    <n v="0"/>
    <n v="0"/>
    <n v="0"/>
    <n v="5000"/>
    <n v="0"/>
    <n v="0"/>
    <n v="0"/>
    <n v="0"/>
    <n v="640"/>
    <n v="0"/>
    <x v="1"/>
    <n v="17500"/>
    <x v="0"/>
  </r>
  <r>
    <x v="416"/>
    <n v="200000"/>
    <x v="1"/>
    <x v="0"/>
    <x v="1"/>
    <x v="1"/>
    <n v="31"/>
    <x v="1"/>
    <x v="3"/>
    <x v="3"/>
    <x v="3"/>
    <x v="2"/>
    <x v="0"/>
    <x v="0"/>
    <n v="7184"/>
    <n v="14845"/>
    <n v="1097"/>
    <n v="0"/>
    <n v="0"/>
    <n v="160"/>
    <n v="17507"/>
    <n v="1102"/>
    <n v="0"/>
    <n v="0"/>
    <n v="160"/>
    <n v="1103"/>
    <n v="0"/>
    <x v="1"/>
    <n v="-10323"/>
    <x v="3"/>
  </r>
  <r>
    <x v="417"/>
    <n v="50000"/>
    <x v="0"/>
    <x v="0"/>
    <x v="1"/>
    <x v="1"/>
    <n v="30"/>
    <x v="1"/>
    <x v="2"/>
    <x v="1"/>
    <x v="1"/>
    <x v="1"/>
    <x v="1"/>
    <x v="1"/>
    <n v="14811"/>
    <n v="16262"/>
    <n v="17286"/>
    <n v="17895"/>
    <n v="19450"/>
    <n v="18990"/>
    <n v="2000"/>
    <n v="1600"/>
    <n v="1200"/>
    <n v="2000"/>
    <n v="0"/>
    <n v="1000"/>
    <n v="0"/>
    <x v="1"/>
    <n v="12811"/>
    <x v="0"/>
  </r>
  <r>
    <x v="418"/>
    <n v="50000"/>
    <x v="0"/>
    <x v="1"/>
    <x v="0"/>
    <x v="0"/>
    <n v="48"/>
    <x v="3"/>
    <x v="2"/>
    <x v="1"/>
    <x v="1"/>
    <x v="1"/>
    <x v="1"/>
    <x v="2"/>
    <n v="44338"/>
    <n v="43048"/>
    <n v="35639"/>
    <n v="18753"/>
    <n v="19091"/>
    <n v="19548"/>
    <n v="3629"/>
    <n v="3332"/>
    <n v="2000"/>
    <n v="2000"/>
    <n v="2000"/>
    <n v="2500"/>
    <n v="0"/>
    <x v="1"/>
    <n v="40709"/>
    <x v="1"/>
  </r>
  <r>
    <x v="419"/>
    <n v="260000"/>
    <x v="1"/>
    <x v="0"/>
    <x v="1"/>
    <x v="1"/>
    <n v="36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420"/>
    <n v="30000"/>
    <x v="0"/>
    <x v="1"/>
    <x v="1"/>
    <x v="1"/>
    <n v="24"/>
    <x v="0"/>
    <x v="0"/>
    <x v="1"/>
    <x v="1"/>
    <x v="1"/>
    <x v="1"/>
    <x v="1"/>
    <n v="25265"/>
    <n v="26354"/>
    <n v="27710"/>
    <n v="27959"/>
    <n v="30002"/>
    <n v="29371"/>
    <n v="1500"/>
    <n v="1800"/>
    <n v="1007"/>
    <n v="2500"/>
    <n v="0"/>
    <n v="1800"/>
    <n v="0"/>
    <x v="1"/>
    <n v="23765"/>
    <x v="0"/>
  </r>
  <r>
    <x v="421"/>
    <n v="440000"/>
    <x v="2"/>
    <x v="0"/>
    <x v="1"/>
    <x v="1"/>
    <n v="29"/>
    <x v="0"/>
    <x v="2"/>
    <x v="1"/>
    <x v="1"/>
    <x v="1"/>
    <x v="1"/>
    <x v="2"/>
    <n v="169661"/>
    <n v="167199"/>
    <n v="158520"/>
    <n v="156977"/>
    <n v="157963"/>
    <n v="151936"/>
    <n v="8071"/>
    <n v="9021"/>
    <n v="7013"/>
    <n v="6013"/>
    <n v="6028"/>
    <n v="6010"/>
    <n v="0"/>
    <x v="1"/>
    <n v="161590"/>
    <x v="2"/>
  </r>
  <r>
    <x v="422"/>
    <n v="230000"/>
    <x v="1"/>
    <x v="0"/>
    <x v="0"/>
    <x v="1"/>
    <n v="38"/>
    <x v="1"/>
    <x v="1"/>
    <x v="2"/>
    <x v="0"/>
    <x v="0"/>
    <x v="2"/>
    <x v="3"/>
    <n v="10237"/>
    <n v="2795"/>
    <n v="1350"/>
    <n v="371"/>
    <n v="2980"/>
    <n v="0"/>
    <n v="2795"/>
    <n v="1350"/>
    <n v="371"/>
    <n v="2980"/>
    <n v="0"/>
    <n v="2213"/>
    <n v="0"/>
    <x v="1"/>
    <n v="7442"/>
    <x v="0"/>
  </r>
  <r>
    <x v="423"/>
    <n v="200000"/>
    <x v="1"/>
    <x v="1"/>
    <x v="0"/>
    <x v="0"/>
    <n v="38"/>
    <x v="1"/>
    <x v="0"/>
    <x v="0"/>
    <x v="2"/>
    <x v="1"/>
    <x v="1"/>
    <x v="2"/>
    <n v="104978"/>
    <n v="105924"/>
    <n v="102663"/>
    <n v="97090"/>
    <n v="98045"/>
    <n v="105253"/>
    <n v="4500"/>
    <n v="0"/>
    <n v="3500"/>
    <n v="3500"/>
    <n v="9000"/>
    <n v="0"/>
    <n v="1"/>
    <x v="0"/>
    <n v="100478"/>
    <x v="2"/>
  </r>
  <r>
    <x v="424"/>
    <n v="490000"/>
    <x v="2"/>
    <x v="0"/>
    <x v="0"/>
    <x v="0"/>
    <n v="30"/>
    <x v="1"/>
    <x v="2"/>
    <x v="1"/>
    <x v="1"/>
    <x v="1"/>
    <x v="1"/>
    <x v="2"/>
    <n v="192586"/>
    <n v="197967"/>
    <n v="201666"/>
    <n v="205798"/>
    <n v="196698"/>
    <n v="190306"/>
    <n v="10000"/>
    <n v="7143"/>
    <n v="7306"/>
    <n v="6303"/>
    <n v="6429"/>
    <n v="6000"/>
    <n v="0"/>
    <x v="1"/>
    <n v="182586"/>
    <x v="2"/>
  </r>
  <r>
    <x v="425"/>
    <n v="80000"/>
    <x v="0"/>
    <x v="0"/>
    <x v="0"/>
    <x v="0"/>
    <n v="32"/>
    <x v="1"/>
    <x v="1"/>
    <x v="2"/>
    <x v="3"/>
    <x v="2"/>
    <x v="0"/>
    <x v="0"/>
    <n v="11262"/>
    <n v="0"/>
    <n v="0"/>
    <n v="0"/>
    <n v="0"/>
    <n v="0"/>
    <n v="0"/>
    <n v="0"/>
    <n v="0"/>
    <n v="0"/>
    <n v="0"/>
    <n v="0"/>
    <n v="0"/>
    <x v="1"/>
    <n v="11262"/>
    <x v="0"/>
  </r>
  <r>
    <x v="426"/>
    <n v="20000"/>
    <x v="0"/>
    <x v="0"/>
    <x v="2"/>
    <x v="1"/>
    <n v="49"/>
    <x v="3"/>
    <x v="0"/>
    <x v="0"/>
    <x v="2"/>
    <x v="3"/>
    <x v="1"/>
    <x v="2"/>
    <n v="9551"/>
    <n v="12081"/>
    <n v="13087"/>
    <n v="12583"/>
    <n v="15327"/>
    <n v="16414"/>
    <n v="3000"/>
    <n v="1500"/>
    <n v="0"/>
    <n v="3123"/>
    <n v="1500"/>
    <n v="1000"/>
    <n v="1"/>
    <x v="0"/>
    <n v="6551"/>
    <x v="0"/>
  </r>
  <r>
    <x v="427"/>
    <n v="170000"/>
    <x v="1"/>
    <x v="0"/>
    <x v="1"/>
    <x v="1"/>
    <n v="31"/>
    <x v="1"/>
    <x v="1"/>
    <x v="2"/>
    <x v="0"/>
    <x v="0"/>
    <x v="1"/>
    <x v="3"/>
    <n v="199"/>
    <n v="199"/>
    <n v="199"/>
    <n v="398"/>
    <n v="199"/>
    <n v="199"/>
    <n v="199"/>
    <n v="199"/>
    <n v="398"/>
    <n v="0"/>
    <n v="199"/>
    <n v="398"/>
    <n v="1"/>
    <x v="0"/>
    <n v="0"/>
    <x v="3"/>
  </r>
  <r>
    <x v="428"/>
    <n v="70000"/>
    <x v="0"/>
    <x v="1"/>
    <x v="1"/>
    <x v="1"/>
    <n v="27"/>
    <x v="0"/>
    <x v="2"/>
    <x v="1"/>
    <x v="1"/>
    <x v="1"/>
    <x v="1"/>
    <x v="2"/>
    <n v="70119"/>
    <n v="68536"/>
    <n v="66601"/>
    <n v="29401"/>
    <n v="28949"/>
    <n v="29795"/>
    <n v="3600"/>
    <n v="1646"/>
    <n v="600"/>
    <n v="28468"/>
    <n v="1327"/>
    <n v="1000"/>
    <n v="0"/>
    <x v="1"/>
    <n v="66519"/>
    <x v="1"/>
  </r>
  <r>
    <x v="429"/>
    <n v="210000"/>
    <x v="1"/>
    <x v="0"/>
    <x v="0"/>
    <x v="1"/>
    <n v="33"/>
    <x v="1"/>
    <x v="2"/>
    <x v="1"/>
    <x v="1"/>
    <x v="1"/>
    <x v="1"/>
    <x v="2"/>
    <n v="212601"/>
    <n v="177946"/>
    <n v="119362"/>
    <n v="117766"/>
    <n v="68791"/>
    <n v="66167"/>
    <n v="6000"/>
    <n v="4500"/>
    <n v="5000"/>
    <n v="3000"/>
    <n v="3000"/>
    <n v="3000"/>
    <n v="0"/>
    <x v="1"/>
    <n v="206601"/>
    <x v="2"/>
  </r>
  <r>
    <x v="430"/>
    <n v="90000"/>
    <x v="0"/>
    <x v="0"/>
    <x v="0"/>
    <x v="1"/>
    <n v="25"/>
    <x v="0"/>
    <x v="2"/>
    <x v="1"/>
    <x v="1"/>
    <x v="1"/>
    <x v="1"/>
    <x v="2"/>
    <n v="91894"/>
    <n v="71732"/>
    <n v="73241"/>
    <n v="74424"/>
    <n v="76070"/>
    <n v="77648"/>
    <n v="3200"/>
    <n v="3300"/>
    <n v="3000"/>
    <n v="3001"/>
    <n v="3000"/>
    <n v="3100"/>
    <n v="0"/>
    <x v="1"/>
    <n v="88694"/>
    <x v="1"/>
  </r>
  <r>
    <x v="431"/>
    <n v="390000"/>
    <x v="2"/>
    <x v="0"/>
    <x v="1"/>
    <x v="1"/>
    <n v="27"/>
    <x v="0"/>
    <x v="2"/>
    <x v="1"/>
    <x v="1"/>
    <x v="1"/>
    <x v="1"/>
    <x v="2"/>
    <n v="304867"/>
    <n v="299998"/>
    <n v="300426"/>
    <n v="292869"/>
    <n v="292885"/>
    <n v="281826"/>
    <n v="13007"/>
    <n v="10612"/>
    <n v="10041"/>
    <n v="11000"/>
    <n v="10512"/>
    <n v="7000"/>
    <n v="1"/>
    <x v="0"/>
    <n v="291860"/>
    <x v="2"/>
  </r>
  <r>
    <x v="432"/>
    <n v="110000"/>
    <x v="1"/>
    <x v="0"/>
    <x v="1"/>
    <x v="1"/>
    <n v="29"/>
    <x v="0"/>
    <x v="2"/>
    <x v="1"/>
    <x v="1"/>
    <x v="1"/>
    <x v="1"/>
    <x v="2"/>
    <n v="48123"/>
    <n v="49537"/>
    <n v="50422"/>
    <n v="50990"/>
    <n v="52014"/>
    <n v="53206"/>
    <n v="2500"/>
    <n v="2500"/>
    <n v="2000"/>
    <n v="2000"/>
    <n v="2057"/>
    <n v="2500"/>
    <n v="0"/>
    <x v="1"/>
    <n v="45623"/>
    <x v="1"/>
  </r>
  <r>
    <x v="433"/>
    <n v="580000"/>
    <x v="2"/>
    <x v="0"/>
    <x v="1"/>
    <x v="0"/>
    <n v="36"/>
    <x v="1"/>
    <x v="2"/>
    <x v="1"/>
    <x v="1"/>
    <x v="1"/>
    <x v="1"/>
    <x v="2"/>
    <n v="159760"/>
    <n v="162189"/>
    <n v="166127"/>
    <n v="169365"/>
    <n v="168755"/>
    <n v="167964"/>
    <n v="6422"/>
    <n v="6565"/>
    <n v="5951"/>
    <n v="6006"/>
    <n v="5894"/>
    <n v="5946"/>
    <n v="0"/>
    <x v="1"/>
    <n v="153338"/>
    <x v="2"/>
  </r>
  <r>
    <x v="434"/>
    <n v="360000"/>
    <x v="2"/>
    <x v="1"/>
    <x v="2"/>
    <x v="0"/>
    <n v="55"/>
    <x v="2"/>
    <x v="2"/>
    <x v="1"/>
    <x v="0"/>
    <x v="0"/>
    <x v="2"/>
    <x v="0"/>
    <n v="9210"/>
    <n v="8485"/>
    <n v="17231"/>
    <n v="1770"/>
    <n v="0"/>
    <n v="0"/>
    <n v="6015"/>
    <n v="17454"/>
    <n v="1775"/>
    <n v="0"/>
    <n v="0"/>
    <n v="0"/>
    <n v="0"/>
    <x v="1"/>
    <n v="3195"/>
    <x v="0"/>
  </r>
  <r>
    <x v="435"/>
    <n v="270000"/>
    <x v="1"/>
    <x v="0"/>
    <x v="0"/>
    <x v="0"/>
    <n v="32"/>
    <x v="1"/>
    <x v="4"/>
    <x v="0"/>
    <x v="2"/>
    <x v="3"/>
    <x v="3"/>
    <x v="1"/>
    <n v="234752"/>
    <n v="233036"/>
    <n v="229286"/>
    <n v="217644"/>
    <n v="223690"/>
    <n v="221413"/>
    <n v="10000"/>
    <n v="8000"/>
    <n v="0"/>
    <n v="16000"/>
    <n v="8000"/>
    <n v="0"/>
    <n v="1"/>
    <x v="0"/>
    <n v="224752"/>
    <x v="2"/>
  </r>
  <r>
    <x v="436"/>
    <n v="60000"/>
    <x v="0"/>
    <x v="0"/>
    <x v="1"/>
    <x v="1"/>
    <n v="27"/>
    <x v="0"/>
    <x v="1"/>
    <x v="2"/>
    <x v="3"/>
    <x v="0"/>
    <x v="3"/>
    <x v="3"/>
    <n v="14072"/>
    <n v="0"/>
    <n v="0"/>
    <n v="300"/>
    <n v="150"/>
    <n v="150"/>
    <n v="0"/>
    <n v="0"/>
    <n v="300"/>
    <n v="0"/>
    <n v="150"/>
    <n v="200"/>
    <n v="0"/>
    <x v="1"/>
    <n v="14072"/>
    <x v="0"/>
  </r>
  <r>
    <x v="437"/>
    <n v="110000"/>
    <x v="1"/>
    <x v="1"/>
    <x v="2"/>
    <x v="0"/>
    <n v="37"/>
    <x v="1"/>
    <x v="2"/>
    <x v="1"/>
    <x v="1"/>
    <x v="1"/>
    <x v="1"/>
    <x v="2"/>
    <n v="61807"/>
    <n v="62499"/>
    <n v="62162"/>
    <n v="60605"/>
    <n v="60272"/>
    <n v="60145"/>
    <n v="2300"/>
    <n v="2200"/>
    <n v="2300"/>
    <n v="2200"/>
    <n v="2300"/>
    <n v="2300"/>
    <n v="0"/>
    <x v="1"/>
    <n v="59507"/>
    <x v="1"/>
  </r>
  <r>
    <x v="438"/>
    <n v="50000"/>
    <x v="0"/>
    <x v="0"/>
    <x v="1"/>
    <x v="0"/>
    <n v="25"/>
    <x v="0"/>
    <x v="2"/>
    <x v="1"/>
    <x v="1"/>
    <x v="1"/>
    <x v="1"/>
    <x v="2"/>
    <n v="51044"/>
    <n v="50231"/>
    <n v="46677"/>
    <n v="44982"/>
    <n v="21399"/>
    <n v="20859"/>
    <n v="2500"/>
    <n v="3008"/>
    <n v="1000"/>
    <n v="761"/>
    <n v="800"/>
    <n v="704"/>
    <n v="0"/>
    <x v="1"/>
    <n v="48544"/>
    <x v="1"/>
  </r>
  <r>
    <x v="439"/>
    <n v="80000"/>
    <x v="0"/>
    <x v="0"/>
    <x v="1"/>
    <x v="1"/>
    <n v="23"/>
    <x v="0"/>
    <x v="2"/>
    <x v="1"/>
    <x v="1"/>
    <x v="1"/>
    <x v="1"/>
    <x v="2"/>
    <n v="77024"/>
    <n v="73281"/>
    <n v="57806"/>
    <n v="37642"/>
    <n v="46235"/>
    <n v="47110"/>
    <n v="3212"/>
    <n v="1600"/>
    <n v="956"/>
    <n v="40000"/>
    <n v="1800"/>
    <n v="1700"/>
    <n v="1"/>
    <x v="0"/>
    <n v="73812"/>
    <x v="1"/>
  </r>
  <r>
    <x v="440"/>
    <n v="50000"/>
    <x v="0"/>
    <x v="1"/>
    <x v="0"/>
    <x v="1"/>
    <n v="23"/>
    <x v="0"/>
    <x v="1"/>
    <x v="2"/>
    <x v="0"/>
    <x v="0"/>
    <x v="1"/>
    <x v="2"/>
    <n v="350"/>
    <n v="350"/>
    <n v="400"/>
    <n v="1695"/>
    <n v="12645"/>
    <n v="12584"/>
    <n v="350"/>
    <n v="400"/>
    <n v="1695"/>
    <n v="11300"/>
    <n v="485"/>
    <n v="2400"/>
    <n v="0"/>
    <x v="1"/>
    <n v="0"/>
    <x v="3"/>
  </r>
  <r>
    <x v="441"/>
    <n v="100000"/>
    <x v="0"/>
    <x v="1"/>
    <x v="1"/>
    <x v="1"/>
    <n v="32"/>
    <x v="1"/>
    <x v="2"/>
    <x v="1"/>
    <x v="1"/>
    <x v="1"/>
    <x v="3"/>
    <x v="1"/>
    <n v="83831"/>
    <n v="85586"/>
    <n v="87289"/>
    <n v="91451"/>
    <n v="93381"/>
    <n v="89522"/>
    <n v="4000"/>
    <n v="4037"/>
    <n v="6500"/>
    <n v="3500"/>
    <n v="0"/>
    <n v="3200"/>
    <n v="0"/>
    <x v="1"/>
    <n v="79831"/>
    <x v="1"/>
  </r>
  <r>
    <x v="442"/>
    <n v="30000"/>
    <x v="0"/>
    <x v="0"/>
    <x v="1"/>
    <x v="1"/>
    <n v="26"/>
    <x v="0"/>
    <x v="4"/>
    <x v="3"/>
    <x v="0"/>
    <x v="0"/>
    <x v="2"/>
    <x v="3"/>
    <n v="0"/>
    <n v="0"/>
    <n v="945"/>
    <n v="0"/>
    <n v="197"/>
    <n v="2995"/>
    <n v="0"/>
    <n v="945"/>
    <n v="0"/>
    <n v="197"/>
    <n v="2995"/>
    <n v="0"/>
    <n v="0"/>
    <x v="1"/>
    <n v="0"/>
    <x v="3"/>
  </r>
  <r>
    <x v="443"/>
    <n v="200000"/>
    <x v="1"/>
    <x v="0"/>
    <x v="1"/>
    <x v="1"/>
    <n v="27"/>
    <x v="0"/>
    <x v="2"/>
    <x v="1"/>
    <x v="1"/>
    <x v="1"/>
    <x v="1"/>
    <x v="2"/>
    <n v="122923"/>
    <n v="124653"/>
    <n v="126355"/>
    <n v="114881"/>
    <n v="117213"/>
    <n v="124793"/>
    <n v="5704"/>
    <n v="5930"/>
    <n v="4000"/>
    <n v="4003"/>
    <n v="10033"/>
    <n v="4400"/>
    <n v="0"/>
    <x v="1"/>
    <n v="117219"/>
    <x v="2"/>
  </r>
  <r>
    <x v="444"/>
    <n v="240000"/>
    <x v="1"/>
    <x v="1"/>
    <x v="1"/>
    <x v="1"/>
    <n v="44"/>
    <x v="3"/>
    <x v="2"/>
    <x v="1"/>
    <x v="1"/>
    <x v="1"/>
    <x v="1"/>
    <x v="2"/>
    <n v="246135"/>
    <n v="231443"/>
    <n v="234557"/>
    <n v="200643"/>
    <n v="194410"/>
    <n v="198857"/>
    <n v="12026"/>
    <n v="9010"/>
    <n v="7400"/>
    <n v="8000"/>
    <n v="8000"/>
    <n v="7000"/>
    <n v="1"/>
    <x v="0"/>
    <n v="234109"/>
    <x v="2"/>
  </r>
  <r>
    <x v="445"/>
    <n v="220000"/>
    <x v="1"/>
    <x v="1"/>
    <x v="0"/>
    <x v="1"/>
    <n v="34"/>
    <x v="1"/>
    <x v="2"/>
    <x v="1"/>
    <x v="1"/>
    <x v="1"/>
    <x v="1"/>
    <x v="2"/>
    <n v="37304"/>
    <n v="33304"/>
    <n v="29254"/>
    <n v="24875"/>
    <n v="20329"/>
    <n v="15602"/>
    <n v="1600"/>
    <n v="1500"/>
    <n v="1100"/>
    <n v="1000"/>
    <n v="600"/>
    <n v="500"/>
    <n v="0"/>
    <x v="1"/>
    <n v="35704"/>
    <x v="1"/>
  </r>
  <r>
    <x v="446"/>
    <n v="160000"/>
    <x v="1"/>
    <x v="0"/>
    <x v="1"/>
    <x v="1"/>
    <n v="28"/>
    <x v="0"/>
    <x v="2"/>
    <x v="1"/>
    <x v="1"/>
    <x v="1"/>
    <x v="1"/>
    <x v="2"/>
    <n v="146433"/>
    <n v="107604"/>
    <n v="89902"/>
    <n v="90983"/>
    <n v="82255"/>
    <n v="83988"/>
    <n v="4500"/>
    <n v="4400"/>
    <n v="3000"/>
    <n v="2400"/>
    <n v="2500"/>
    <n v="2500"/>
    <n v="0"/>
    <x v="1"/>
    <n v="141933"/>
    <x v="2"/>
  </r>
  <r>
    <x v="447"/>
    <n v="180000"/>
    <x v="1"/>
    <x v="0"/>
    <x v="1"/>
    <x v="0"/>
    <n v="53"/>
    <x v="2"/>
    <x v="1"/>
    <x v="2"/>
    <x v="0"/>
    <x v="1"/>
    <x v="1"/>
    <x v="3"/>
    <n v="46122"/>
    <n v="1260"/>
    <n v="29366"/>
    <n v="5400"/>
    <n v="0"/>
    <n v="1599"/>
    <n v="1260"/>
    <n v="29366"/>
    <n v="54"/>
    <n v="0"/>
    <n v="1599"/>
    <n v="0"/>
    <n v="0"/>
    <x v="1"/>
    <n v="44862"/>
    <x v="1"/>
  </r>
  <r>
    <x v="448"/>
    <n v="200000"/>
    <x v="1"/>
    <x v="1"/>
    <x v="3"/>
    <x v="0"/>
    <n v="42"/>
    <x v="3"/>
    <x v="2"/>
    <x v="1"/>
    <x v="1"/>
    <x v="1"/>
    <x v="1"/>
    <x v="2"/>
    <n v="38564"/>
    <n v="38246"/>
    <n v="32253"/>
    <n v="30384"/>
    <n v="30900"/>
    <n v="0"/>
    <n v="5000"/>
    <n v="1485"/>
    <n v="1956"/>
    <n v="1500"/>
    <n v="0"/>
    <n v="2102"/>
    <n v="0"/>
    <x v="1"/>
    <n v="33564"/>
    <x v="1"/>
  </r>
  <r>
    <x v="449"/>
    <n v="140000"/>
    <x v="1"/>
    <x v="0"/>
    <x v="2"/>
    <x v="0"/>
    <n v="30"/>
    <x v="1"/>
    <x v="2"/>
    <x v="1"/>
    <x v="1"/>
    <x v="3"/>
    <x v="1"/>
    <x v="2"/>
    <n v="96304"/>
    <n v="98007"/>
    <n v="82227"/>
    <n v="65000"/>
    <n v="60848"/>
    <n v="58880"/>
    <n v="4505"/>
    <n v="12906"/>
    <n v="0"/>
    <n v="2210"/>
    <n v="2300"/>
    <n v="5200"/>
    <n v="0"/>
    <x v="1"/>
    <n v="91799"/>
    <x v="1"/>
  </r>
  <r>
    <x v="450"/>
    <n v="380000"/>
    <x v="2"/>
    <x v="1"/>
    <x v="1"/>
    <x v="0"/>
    <n v="51"/>
    <x v="2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451"/>
    <n v="600000"/>
    <x v="2"/>
    <x v="1"/>
    <x v="1"/>
    <x v="0"/>
    <n v="53"/>
    <x v="2"/>
    <x v="0"/>
    <x v="0"/>
    <x v="1"/>
    <x v="1"/>
    <x v="1"/>
    <x v="2"/>
    <n v="467150"/>
    <n v="458862"/>
    <n v="469703"/>
    <n v="447130"/>
    <n v="440982"/>
    <n v="434715"/>
    <n v="0"/>
    <n v="18000"/>
    <n v="16000"/>
    <n v="16000"/>
    <n v="21000"/>
    <n v="20000"/>
    <n v="1"/>
    <x v="0"/>
    <n v="467150"/>
    <x v="2"/>
  </r>
  <r>
    <x v="452"/>
    <n v="260000"/>
    <x v="1"/>
    <x v="1"/>
    <x v="0"/>
    <x v="1"/>
    <n v="37"/>
    <x v="1"/>
    <x v="2"/>
    <x v="1"/>
    <x v="1"/>
    <x v="0"/>
    <x v="1"/>
    <x v="2"/>
    <n v="255691"/>
    <n v="262736"/>
    <n v="36638"/>
    <n v="122388"/>
    <n v="127402"/>
    <n v="131074"/>
    <n v="14000"/>
    <n v="5022"/>
    <n v="130000"/>
    <n v="7000"/>
    <n v="6000"/>
    <n v="6000"/>
    <n v="0"/>
    <x v="1"/>
    <n v="241691"/>
    <x v="2"/>
  </r>
  <r>
    <x v="453"/>
    <n v="200000"/>
    <x v="1"/>
    <x v="0"/>
    <x v="1"/>
    <x v="1"/>
    <n v="26"/>
    <x v="0"/>
    <x v="2"/>
    <x v="1"/>
    <x v="3"/>
    <x v="2"/>
    <x v="0"/>
    <x v="0"/>
    <n v="156786"/>
    <n v="179"/>
    <n v="1443"/>
    <n v="1443"/>
    <n v="1443"/>
    <n v="871"/>
    <n v="179"/>
    <n v="1443"/>
    <n v="1443"/>
    <n v="1443"/>
    <n v="871"/>
    <n v="2015"/>
    <n v="0"/>
    <x v="1"/>
    <n v="156607"/>
    <x v="2"/>
  </r>
  <r>
    <x v="454"/>
    <n v="80000"/>
    <x v="0"/>
    <x v="1"/>
    <x v="0"/>
    <x v="1"/>
    <n v="42"/>
    <x v="3"/>
    <x v="2"/>
    <x v="1"/>
    <x v="1"/>
    <x v="1"/>
    <x v="1"/>
    <x v="2"/>
    <n v="78129"/>
    <n v="28202"/>
    <n v="78553"/>
    <n v="49340"/>
    <n v="48919"/>
    <n v="48443"/>
    <n v="2500"/>
    <n v="51432"/>
    <n v="1800"/>
    <n v="1800"/>
    <n v="1800"/>
    <n v="1700"/>
    <n v="0"/>
    <x v="1"/>
    <n v="75629"/>
    <x v="1"/>
  </r>
  <r>
    <x v="455"/>
    <n v="40000"/>
    <x v="0"/>
    <x v="1"/>
    <x v="0"/>
    <x v="1"/>
    <n v="39"/>
    <x v="1"/>
    <x v="2"/>
    <x v="1"/>
    <x v="1"/>
    <x v="1"/>
    <x v="1"/>
    <x v="3"/>
    <n v="40034"/>
    <n v="36549"/>
    <n v="17431"/>
    <n v="15031"/>
    <n v="10600"/>
    <n v="5315"/>
    <n v="2027"/>
    <n v="1207"/>
    <n v="301"/>
    <n v="212"/>
    <n v="5315"/>
    <n v="4987"/>
    <n v="0"/>
    <x v="1"/>
    <n v="38007"/>
    <x v="1"/>
  </r>
  <r>
    <x v="456"/>
    <n v="130000"/>
    <x v="1"/>
    <x v="1"/>
    <x v="2"/>
    <x v="1"/>
    <n v="39"/>
    <x v="1"/>
    <x v="4"/>
    <x v="0"/>
    <x v="2"/>
    <x v="3"/>
    <x v="3"/>
    <x v="1"/>
    <n v="71034"/>
    <n v="69329"/>
    <n v="74175"/>
    <n v="72383"/>
    <n v="77217"/>
    <n v="75820"/>
    <n v="0"/>
    <n v="6000"/>
    <n v="0"/>
    <n v="6000"/>
    <n v="0"/>
    <n v="6000"/>
    <n v="0"/>
    <x v="1"/>
    <n v="71034"/>
    <x v="1"/>
  </r>
  <r>
    <x v="457"/>
    <n v="50000"/>
    <x v="0"/>
    <x v="1"/>
    <x v="1"/>
    <x v="1"/>
    <n v="32"/>
    <x v="1"/>
    <x v="1"/>
    <x v="1"/>
    <x v="1"/>
    <x v="1"/>
    <x v="1"/>
    <x v="0"/>
    <n v="23974"/>
    <n v="24131"/>
    <n v="25326"/>
    <n v="25775"/>
    <n v="0"/>
    <n v="0"/>
    <n v="1800"/>
    <n v="1900"/>
    <n v="1300"/>
    <n v="0"/>
    <n v="0"/>
    <n v="0"/>
    <n v="0"/>
    <x v="1"/>
    <n v="22174"/>
    <x v="0"/>
  </r>
  <r>
    <x v="458"/>
    <n v="230000"/>
    <x v="1"/>
    <x v="0"/>
    <x v="0"/>
    <x v="0"/>
    <n v="41"/>
    <x v="3"/>
    <x v="1"/>
    <x v="2"/>
    <x v="0"/>
    <x v="0"/>
    <x v="2"/>
    <x v="3"/>
    <n v="819"/>
    <n v="18163"/>
    <n v="5473"/>
    <n v="8162"/>
    <n v="6985"/>
    <n v="9130"/>
    <n v="18163"/>
    <n v="5654"/>
    <n v="12887"/>
    <n v="6985"/>
    <n v="9130"/>
    <n v="6554"/>
    <n v="0"/>
    <x v="1"/>
    <n v="-17344"/>
    <x v="3"/>
  </r>
  <r>
    <x v="459"/>
    <n v="70000"/>
    <x v="0"/>
    <x v="1"/>
    <x v="0"/>
    <x v="0"/>
    <n v="48"/>
    <x v="3"/>
    <x v="2"/>
    <x v="1"/>
    <x v="1"/>
    <x v="1"/>
    <x v="1"/>
    <x v="3"/>
    <n v="50927"/>
    <n v="39883"/>
    <n v="32017"/>
    <n v="17630"/>
    <n v="9730"/>
    <n v="6400"/>
    <n v="2100"/>
    <n v="1217"/>
    <n v="500"/>
    <n v="0"/>
    <n v="6400"/>
    <n v="4590"/>
    <n v="1"/>
    <x v="0"/>
    <n v="48827"/>
    <x v="1"/>
  </r>
  <r>
    <x v="460"/>
    <n v="180000"/>
    <x v="1"/>
    <x v="0"/>
    <x v="0"/>
    <x v="0"/>
    <n v="38"/>
    <x v="1"/>
    <x v="2"/>
    <x v="1"/>
    <x v="1"/>
    <x v="1"/>
    <x v="1"/>
    <x v="2"/>
    <n v="152510"/>
    <n v="151651"/>
    <n v="159019"/>
    <n v="123022"/>
    <n v="126075"/>
    <n v="126219"/>
    <n v="5657"/>
    <n v="10372"/>
    <n v="5000"/>
    <n v="5000"/>
    <n v="5000"/>
    <n v="5000"/>
    <n v="0"/>
    <x v="1"/>
    <n v="146853"/>
    <x v="2"/>
  </r>
  <r>
    <x v="461"/>
    <n v="80000"/>
    <x v="0"/>
    <x v="0"/>
    <x v="0"/>
    <x v="0"/>
    <n v="36"/>
    <x v="1"/>
    <x v="1"/>
    <x v="2"/>
    <x v="0"/>
    <x v="0"/>
    <x v="2"/>
    <x v="3"/>
    <n v="1689"/>
    <n v="8638"/>
    <n v="5702"/>
    <n v="2980"/>
    <n v="1260"/>
    <n v="7868"/>
    <n v="8638"/>
    <n v="5723"/>
    <n v="2980"/>
    <n v="1260"/>
    <n v="7868"/>
    <n v="2198"/>
    <n v="0"/>
    <x v="1"/>
    <n v="-6949"/>
    <x v="3"/>
  </r>
  <r>
    <x v="462"/>
    <n v="290000"/>
    <x v="1"/>
    <x v="0"/>
    <x v="0"/>
    <x v="1"/>
    <n v="26"/>
    <x v="0"/>
    <x v="2"/>
    <x v="1"/>
    <x v="1"/>
    <x v="0"/>
    <x v="2"/>
    <x v="2"/>
    <n v="20807"/>
    <n v="99860"/>
    <n v="100000"/>
    <n v="3015"/>
    <n v="23473"/>
    <n v="1448"/>
    <n v="80000"/>
    <n v="3000"/>
    <n v="3015"/>
    <n v="23473"/>
    <n v="1148"/>
    <n v="4900"/>
    <n v="0"/>
    <x v="1"/>
    <n v="-59193"/>
    <x v="3"/>
  </r>
  <r>
    <x v="463"/>
    <n v="230000"/>
    <x v="1"/>
    <x v="0"/>
    <x v="1"/>
    <x v="1"/>
    <n v="28"/>
    <x v="0"/>
    <x v="2"/>
    <x v="1"/>
    <x v="1"/>
    <x v="1"/>
    <x v="1"/>
    <x v="2"/>
    <n v="30141"/>
    <n v="131255"/>
    <n v="110503"/>
    <n v="99283"/>
    <n v="97599"/>
    <n v="96116"/>
    <n v="120093"/>
    <n v="8034"/>
    <n v="3013"/>
    <n v="4010"/>
    <n v="5882"/>
    <n v="3000"/>
    <n v="0"/>
    <x v="1"/>
    <n v="-89952"/>
    <x v="3"/>
  </r>
  <r>
    <x v="464"/>
    <n v="170000"/>
    <x v="1"/>
    <x v="0"/>
    <x v="2"/>
    <x v="2"/>
    <n v="56"/>
    <x v="2"/>
    <x v="4"/>
    <x v="3"/>
    <x v="0"/>
    <x v="0"/>
    <x v="0"/>
    <x v="3"/>
    <n v="0"/>
    <n v="0"/>
    <n v="1991"/>
    <n v="0"/>
    <n v="0"/>
    <n v="150"/>
    <n v="0"/>
    <n v="1991"/>
    <n v="0"/>
    <n v="0"/>
    <n v="150"/>
    <n v="614"/>
    <n v="0"/>
    <x v="1"/>
    <n v="0"/>
    <x v="3"/>
  </r>
  <r>
    <x v="465"/>
    <n v="230000"/>
    <x v="1"/>
    <x v="1"/>
    <x v="1"/>
    <x v="0"/>
    <n v="59"/>
    <x v="2"/>
    <x v="1"/>
    <x v="1"/>
    <x v="1"/>
    <x v="1"/>
    <x v="1"/>
    <x v="2"/>
    <n v="208459"/>
    <n v="206331"/>
    <n v="203813"/>
    <n v="201331"/>
    <n v="198999"/>
    <n v="191671"/>
    <n v="7536"/>
    <n v="7277"/>
    <n v="7100"/>
    <n v="7120"/>
    <n v="6844"/>
    <n v="6945"/>
    <n v="1"/>
    <x v="0"/>
    <n v="200923"/>
    <x v="2"/>
  </r>
  <r>
    <x v="466"/>
    <n v="220000"/>
    <x v="1"/>
    <x v="1"/>
    <x v="1"/>
    <x v="1"/>
    <n v="38"/>
    <x v="1"/>
    <x v="2"/>
    <x v="1"/>
    <x v="1"/>
    <x v="1"/>
    <x v="1"/>
    <x v="2"/>
    <n v="212795"/>
    <n v="211043"/>
    <n v="212759"/>
    <n v="218541"/>
    <n v="167743"/>
    <n v="165300"/>
    <n v="8909"/>
    <n v="7500"/>
    <n v="9000"/>
    <n v="6729"/>
    <n v="6000"/>
    <n v="7009"/>
    <n v="1"/>
    <x v="0"/>
    <n v="203886"/>
    <x v="2"/>
  </r>
  <r>
    <x v="467"/>
    <n v="230000"/>
    <x v="1"/>
    <x v="1"/>
    <x v="0"/>
    <x v="1"/>
    <n v="32"/>
    <x v="1"/>
    <x v="2"/>
    <x v="1"/>
    <x v="1"/>
    <x v="1"/>
    <x v="1"/>
    <x v="2"/>
    <n v="28114"/>
    <n v="28006"/>
    <n v="25000"/>
    <n v="22046"/>
    <n v="19860"/>
    <n v="19831"/>
    <n v="1610"/>
    <n v="1224"/>
    <n v="655"/>
    <n v="627"/>
    <n v="620"/>
    <n v="500"/>
    <n v="0"/>
    <x v="1"/>
    <n v="26504"/>
    <x v="1"/>
  </r>
  <r>
    <x v="468"/>
    <n v="500000"/>
    <x v="2"/>
    <x v="1"/>
    <x v="0"/>
    <x v="0"/>
    <n v="38"/>
    <x v="1"/>
    <x v="2"/>
    <x v="1"/>
    <x v="1"/>
    <x v="0"/>
    <x v="1"/>
    <x v="2"/>
    <n v="59372"/>
    <n v="49677"/>
    <n v="49515"/>
    <n v="42568"/>
    <n v="48268"/>
    <n v="51481"/>
    <n v="10026"/>
    <n v="7241"/>
    <n v="50091"/>
    <n v="25000"/>
    <n v="5078"/>
    <n v="2132"/>
    <n v="0"/>
    <x v="1"/>
    <n v="49346"/>
    <x v="1"/>
  </r>
  <r>
    <x v="469"/>
    <n v="90000"/>
    <x v="0"/>
    <x v="0"/>
    <x v="1"/>
    <x v="0"/>
    <n v="41"/>
    <x v="3"/>
    <x v="1"/>
    <x v="2"/>
    <x v="0"/>
    <x v="0"/>
    <x v="2"/>
    <x v="3"/>
    <n v="6160"/>
    <n v="3274"/>
    <n v="6190"/>
    <n v="307"/>
    <n v="2870"/>
    <n v="670"/>
    <n v="3276"/>
    <n v="6246"/>
    <n v="307"/>
    <n v="2870"/>
    <n v="670"/>
    <n v="1362"/>
    <n v="0"/>
    <x v="1"/>
    <n v="2884"/>
    <x v="0"/>
  </r>
  <r>
    <x v="470"/>
    <n v="390000"/>
    <x v="2"/>
    <x v="0"/>
    <x v="2"/>
    <x v="1"/>
    <n v="35"/>
    <x v="1"/>
    <x v="2"/>
    <x v="1"/>
    <x v="1"/>
    <x v="1"/>
    <x v="1"/>
    <x v="2"/>
    <n v="355215"/>
    <n v="363325"/>
    <n v="373181"/>
    <n v="252195"/>
    <n v="257496"/>
    <n v="263018"/>
    <n v="13802"/>
    <n v="16525"/>
    <n v="8893"/>
    <n v="9229"/>
    <n v="10000"/>
    <n v="9435"/>
    <n v="1"/>
    <x v="0"/>
    <n v="341413"/>
    <x v="2"/>
  </r>
  <r>
    <x v="471"/>
    <n v="400000"/>
    <x v="2"/>
    <x v="0"/>
    <x v="0"/>
    <x v="1"/>
    <n v="41"/>
    <x v="3"/>
    <x v="2"/>
    <x v="1"/>
    <x v="1"/>
    <x v="1"/>
    <x v="1"/>
    <x v="2"/>
    <n v="366193"/>
    <n v="372700"/>
    <n v="375948"/>
    <n v="195991"/>
    <n v="152127"/>
    <n v="155182"/>
    <n v="14020"/>
    <n v="13595"/>
    <n v="6243"/>
    <n v="6007"/>
    <n v="6061"/>
    <n v="6012"/>
    <n v="0"/>
    <x v="1"/>
    <n v="352173"/>
    <x v="2"/>
  </r>
  <r>
    <x v="472"/>
    <n v="180000"/>
    <x v="1"/>
    <x v="1"/>
    <x v="0"/>
    <x v="0"/>
    <n v="34"/>
    <x v="1"/>
    <x v="1"/>
    <x v="2"/>
    <x v="0"/>
    <x v="0"/>
    <x v="2"/>
    <x v="3"/>
    <n v="2927"/>
    <n v="2790"/>
    <n v="1140"/>
    <n v="2144"/>
    <n v="1180"/>
    <n v="1382"/>
    <n v="2790"/>
    <n v="1140"/>
    <n v="2144"/>
    <n v="1180"/>
    <n v="1382"/>
    <n v="2440"/>
    <n v="0"/>
    <x v="1"/>
    <n v="137"/>
    <x v="0"/>
  </r>
  <r>
    <x v="473"/>
    <n v="60000"/>
    <x v="0"/>
    <x v="1"/>
    <x v="2"/>
    <x v="0"/>
    <n v="38"/>
    <x v="1"/>
    <x v="4"/>
    <x v="0"/>
    <x v="2"/>
    <x v="1"/>
    <x v="1"/>
    <x v="1"/>
    <n v="29295"/>
    <n v="30321"/>
    <n v="31018"/>
    <n v="32193"/>
    <n v="34213"/>
    <n v="35002"/>
    <n v="1800"/>
    <n v="1500"/>
    <n v="2000"/>
    <n v="2700"/>
    <n v="1500"/>
    <n v="0"/>
    <n v="0"/>
    <x v="1"/>
    <n v="27495"/>
    <x v="1"/>
  </r>
  <r>
    <x v="474"/>
    <n v="120000"/>
    <x v="1"/>
    <x v="0"/>
    <x v="0"/>
    <x v="0"/>
    <n v="32"/>
    <x v="1"/>
    <x v="1"/>
    <x v="2"/>
    <x v="0"/>
    <x v="0"/>
    <x v="2"/>
    <x v="3"/>
    <n v="4158"/>
    <n v="2682"/>
    <n v="0"/>
    <n v="6440"/>
    <n v="0"/>
    <n v="5930"/>
    <n v="2682"/>
    <n v="0"/>
    <n v="6440"/>
    <n v="0"/>
    <n v="5930"/>
    <n v="5120"/>
    <n v="0"/>
    <x v="1"/>
    <n v="1476"/>
    <x v="0"/>
  </r>
  <r>
    <x v="475"/>
    <n v="60000"/>
    <x v="0"/>
    <x v="0"/>
    <x v="0"/>
    <x v="1"/>
    <n v="29"/>
    <x v="0"/>
    <x v="2"/>
    <x v="1"/>
    <x v="1"/>
    <x v="1"/>
    <x v="1"/>
    <x v="2"/>
    <n v="27199"/>
    <n v="28358"/>
    <n v="28937"/>
    <n v="29614"/>
    <n v="30391"/>
    <n v="23159"/>
    <n v="1900"/>
    <n v="1400"/>
    <n v="1000"/>
    <n v="1100"/>
    <n v="1000"/>
    <n v="420"/>
    <n v="0"/>
    <x v="1"/>
    <n v="25299"/>
    <x v="1"/>
  </r>
  <r>
    <x v="476"/>
    <n v="50000"/>
    <x v="0"/>
    <x v="1"/>
    <x v="1"/>
    <x v="1"/>
    <n v="44"/>
    <x v="3"/>
    <x v="2"/>
    <x v="1"/>
    <x v="1"/>
    <x v="1"/>
    <x v="1"/>
    <x v="2"/>
    <n v="50893"/>
    <n v="28527"/>
    <n v="29241"/>
    <n v="28513"/>
    <n v="29106"/>
    <n v="29638"/>
    <n v="1800"/>
    <n v="1500"/>
    <n v="1200"/>
    <n v="1203"/>
    <n v="1166"/>
    <n v="1000"/>
    <n v="0"/>
    <x v="1"/>
    <n v="49093"/>
    <x v="1"/>
  </r>
  <r>
    <x v="477"/>
    <n v="70000"/>
    <x v="0"/>
    <x v="0"/>
    <x v="0"/>
    <x v="0"/>
    <n v="37"/>
    <x v="1"/>
    <x v="2"/>
    <x v="1"/>
    <x v="1"/>
    <x v="3"/>
    <x v="1"/>
    <x v="2"/>
    <n v="66759"/>
    <n v="68200"/>
    <n v="72972"/>
    <n v="71248"/>
    <n v="50610"/>
    <n v="50809"/>
    <n v="2518"/>
    <n v="5950"/>
    <n v="0"/>
    <n v="1782"/>
    <n v="1985"/>
    <n v="2700"/>
    <n v="0"/>
    <x v="1"/>
    <n v="64241"/>
    <x v="1"/>
  </r>
  <r>
    <x v="478"/>
    <n v="500000"/>
    <x v="2"/>
    <x v="0"/>
    <x v="1"/>
    <x v="0"/>
    <n v="38"/>
    <x v="1"/>
    <x v="1"/>
    <x v="0"/>
    <x v="0"/>
    <x v="0"/>
    <x v="2"/>
    <x v="2"/>
    <n v="600"/>
    <n v="300"/>
    <n v="501"/>
    <n v="300"/>
    <n v="600"/>
    <n v="450"/>
    <n v="0"/>
    <n v="501"/>
    <n v="300"/>
    <n v="600"/>
    <n v="300"/>
    <n v="600"/>
    <n v="0"/>
    <x v="1"/>
    <n v="600"/>
    <x v="0"/>
  </r>
  <r>
    <x v="479"/>
    <n v="200000"/>
    <x v="1"/>
    <x v="1"/>
    <x v="1"/>
    <x v="1"/>
    <n v="31"/>
    <x v="1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480"/>
    <n v="250000"/>
    <x v="1"/>
    <x v="0"/>
    <x v="0"/>
    <x v="0"/>
    <n v="40"/>
    <x v="3"/>
    <x v="2"/>
    <x v="1"/>
    <x v="1"/>
    <x v="1"/>
    <x v="2"/>
    <x v="1"/>
    <n v="44930"/>
    <n v="137101"/>
    <n v="90801"/>
    <n v="0"/>
    <n v="1069"/>
    <n v="919"/>
    <n v="120041"/>
    <n v="4435"/>
    <n v="0"/>
    <n v="1069"/>
    <n v="0"/>
    <n v="67619"/>
    <n v="0"/>
    <x v="1"/>
    <n v="-75111"/>
    <x v="3"/>
  </r>
  <r>
    <x v="481"/>
    <n v="140000"/>
    <x v="1"/>
    <x v="1"/>
    <x v="0"/>
    <x v="1"/>
    <n v="26"/>
    <x v="0"/>
    <x v="2"/>
    <x v="1"/>
    <x v="2"/>
    <x v="3"/>
    <x v="3"/>
    <x v="1"/>
    <n v="131367"/>
    <n v="146193"/>
    <n v="140202"/>
    <n v="144035"/>
    <n v="140419"/>
    <n v="130271"/>
    <n v="17000"/>
    <n v="0"/>
    <n v="11400"/>
    <n v="550"/>
    <n v="5300"/>
    <n v="5400"/>
    <n v="1"/>
    <x v="0"/>
    <n v="114367"/>
    <x v="2"/>
  </r>
  <r>
    <x v="482"/>
    <n v="70000"/>
    <x v="0"/>
    <x v="0"/>
    <x v="0"/>
    <x v="1"/>
    <n v="28"/>
    <x v="0"/>
    <x v="2"/>
    <x v="1"/>
    <x v="1"/>
    <x v="1"/>
    <x v="2"/>
    <x v="1"/>
    <n v="41264"/>
    <n v="41799"/>
    <n v="37887"/>
    <n v="37876"/>
    <n v="6736"/>
    <n v="4162"/>
    <n v="2112"/>
    <n v="1200"/>
    <n v="758"/>
    <n v="6736"/>
    <n v="0"/>
    <n v="0"/>
    <n v="0"/>
    <x v="1"/>
    <n v="39152"/>
    <x v="1"/>
  </r>
  <r>
    <x v="483"/>
    <n v="90000"/>
    <x v="0"/>
    <x v="1"/>
    <x v="2"/>
    <x v="0"/>
    <n v="48"/>
    <x v="3"/>
    <x v="4"/>
    <x v="0"/>
    <x v="2"/>
    <x v="3"/>
    <x v="3"/>
    <x v="1"/>
    <n v="77604"/>
    <n v="73317"/>
    <n v="71334"/>
    <n v="67009"/>
    <n v="63228"/>
    <n v="59378"/>
    <n v="1700"/>
    <n v="4000"/>
    <n v="1600"/>
    <n v="1600"/>
    <n v="1500"/>
    <n v="4086"/>
    <n v="0"/>
    <x v="1"/>
    <n v="75904"/>
    <x v="1"/>
  </r>
  <r>
    <x v="484"/>
    <n v="100000"/>
    <x v="0"/>
    <x v="0"/>
    <x v="0"/>
    <x v="0"/>
    <n v="43"/>
    <x v="3"/>
    <x v="1"/>
    <x v="2"/>
    <x v="0"/>
    <x v="0"/>
    <x v="2"/>
    <x v="3"/>
    <n v="2491"/>
    <n v="1709"/>
    <n v="574"/>
    <n v="556"/>
    <n v="2306"/>
    <n v="2562"/>
    <n v="1709"/>
    <n v="574"/>
    <n v="556"/>
    <n v="2306"/>
    <n v="2562"/>
    <n v="2111"/>
    <n v="0"/>
    <x v="1"/>
    <n v="782"/>
    <x v="0"/>
  </r>
  <r>
    <x v="485"/>
    <n v="190000"/>
    <x v="1"/>
    <x v="1"/>
    <x v="0"/>
    <x v="0"/>
    <n v="31"/>
    <x v="1"/>
    <x v="2"/>
    <x v="1"/>
    <x v="1"/>
    <x v="1"/>
    <x v="1"/>
    <x v="2"/>
    <n v="177554"/>
    <n v="180633"/>
    <n v="172914"/>
    <n v="130139"/>
    <n v="115494"/>
    <n v="117465"/>
    <n v="7600"/>
    <n v="6303"/>
    <n v="4137"/>
    <n v="3502"/>
    <n v="4027"/>
    <n v="3517"/>
    <n v="0"/>
    <x v="1"/>
    <n v="169954"/>
    <x v="2"/>
  </r>
  <r>
    <x v="486"/>
    <n v="230000"/>
    <x v="1"/>
    <x v="0"/>
    <x v="1"/>
    <x v="0"/>
    <n v="42"/>
    <x v="3"/>
    <x v="1"/>
    <x v="2"/>
    <x v="0"/>
    <x v="0"/>
    <x v="2"/>
    <x v="3"/>
    <n v="6865"/>
    <n v="15111"/>
    <n v="13165"/>
    <n v="0"/>
    <n v="10500"/>
    <n v="6992"/>
    <n v="15111"/>
    <n v="13165"/>
    <n v="0"/>
    <n v="10500"/>
    <n v="6992"/>
    <n v="0"/>
    <n v="0"/>
    <x v="1"/>
    <n v="-8246"/>
    <x v="3"/>
  </r>
  <r>
    <x v="487"/>
    <n v="320000"/>
    <x v="2"/>
    <x v="1"/>
    <x v="0"/>
    <x v="0"/>
    <n v="39"/>
    <x v="1"/>
    <x v="2"/>
    <x v="1"/>
    <x v="1"/>
    <x v="1"/>
    <x v="1"/>
    <x v="2"/>
    <n v="93768"/>
    <n v="91523"/>
    <n v="91579"/>
    <n v="91193"/>
    <n v="92837"/>
    <n v="95323"/>
    <n v="3317"/>
    <n v="3506"/>
    <n v="4218"/>
    <n v="5000"/>
    <n v="6080"/>
    <n v="938"/>
    <n v="0"/>
    <x v="1"/>
    <n v="90451"/>
    <x v="1"/>
  </r>
  <r>
    <x v="488"/>
    <n v="220000"/>
    <x v="1"/>
    <x v="0"/>
    <x v="0"/>
    <x v="0"/>
    <n v="36"/>
    <x v="1"/>
    <x v="1"/>
    <x v="2"/>
    <x v="0"/>
    <x v="1"/>
    <x v="2"/>
    <x v="3"/>
    <n v="396"/>
    <n v="1648"/>
    <n v="792"/>
    <n v="396"/>
    <n v="396"/>
    <n v="396"/>
    <n v="1648"/>
    <n v="792"/>
    <n v="0"/>
    <n v="396"/>
    <n v="396"/>
    <n v="792"/>
    <n v="1"/>
    <x v="0"/>
    <n v="-1252"/>
    <x v="3"/>
  </r>
  <r>
    <x v="489"/>
    <n v="260000"/>
    <x v="1"/>
    <x v="0"/>
    <x v="1"/>
    <x v="0"/>
    <n v="34"/>
    <x v="1"/>
    <x v="1"/>
    <x v="2"/>
    <x v="0"/>
    <x v="0"/>
    <x v="2"/>
    <x v="3"/>
    <n v="16426"/>
    <n v="6088"/>
    <n v="4663"/>
    <n v="3885"/>
    <n v="4414"/>
    <n v="2514"/>
    <n v="6277"/>
    <n v="4663"/>
    <n v="4140"/>
    <n v="4414"/>
    <n v="2646"/>
    <n v="7725"/>
    <n v="0"/>
    <x v="1"/>
    <n v="10149"/>
    <x v="0"/>
  </r>
  <r>
    <x v="490"/>
    <n v="90000"/>
    <x v="0"/>
    <x v="0"/>
    <x v="0"/>
    <x v="1"/>
    <n v="32"/>
    <x v="1"/>
    <x v="3"/>
    <x v="3"/>
    <x v="3"/>
    <x v="2"/>
    <x v="0"/>
    <x v="0"/>
    <n v="573"/>
    <n v="0"/>
    <n v="0"/>
    <n v="0"/>
    <n v="0"/>
    <n v="0"/>
    <n v="157"/>
    <n v="0"/>
    <n v="0"/>
    <n v="0"/>
    <n v="0"/>
    <n v="0"/>
    <n v="0"/>
    <x v="1"/>
    <n v="416"/>
    <x v="0"/>
  </r>
  <r>
    <x v="491"/>
    <n v="30000"/>
    <x v="0"/>
    <x v="0"/>
    <x v="0"/>
    <x v="0"/>
    <n v="43"/>
    <x v="3"/>
    <x v="0"/>
    <x v="0"/>
    <x v="2"/>
    <x v="3"/>
    <x v="3"/>
    <x v="2"/>
    <n v="28703"/>
    <n v="26622"/>
    <n v="24022"/>
    <n v="24368"/>
    <n v="20859"/>
    <n v="19633"/>
    <n v="1300"/>
    <n v="2"/>
    <n v="1608"/>
    <n v="0"/>
    <n v="900"/>
    <n v="800"/>
    <n v="0"/>
    <x v="1"/>
    <n v="27403"/>
    <x v="1"/>
  </r>
  <r>
    <x v="492"/>
    <n v="260000"/>
    <x v="1"/>
    <x v="1"/>
    <x v="0"/>
    <x v="1"/>
    <n v="30"/>
    <x v="1"/>
    <x v="2"/>
    <x v="1"/>
    <x v="1"/>
    <x v="3"/>
    <x v="1"/>
    <x v="2"/>
    <n v="98560"/>
    <n v="100980"/>
    <n v="222102"/>
    <n v="108724"/>
    <n v="68500"/>
    <n v="69174"/>
    <n v="4000"/>
    <n v="11900"/>
    <n v="207"/>
    <n v="2003"/>
    <n v="2003"/>
    <n v="2003"/>
    <n v="0"/>
    <x v="1"/>
    <n v="94560"/>
    <x v="1"/>
  </r>
  <r>
    <x v="493"/>
    <n v="170000"/>
    <x v="1"/>
    <x v="0"/>
    <x v="0"/>
    <x v="1"/>
    <n v="28"/>
    <x v="0"/>
    <x v="2"/>
    <x v="1"/>
    <x v="0"/>
    <x v="0"/>
    <x v="0"/>
    <x v="0"/>
    <n v="28304"/>
    <n v="17616"/>
    <n v="308"/>
    <n v="0"/>
    <n v="0"/>
    <n v="0"/>
    <n v="4000"/>
    <n v="308"/>
    <n v="0"/>
    <n v="0"/>
    <n v="0"/>
    <n v="0"/>
    <n v="0"/>
    <x v="1"/>
    <n v="24304"/>
    <x v="0"/>
  </r>
  <r>
    <x v="494"/>
    <n v="80000"/>
    <x v="0"/>
    <x v="0"/>
    <x v="1"/>
    <x v="0"/>
    <n v="28"/>
    <x v="0"/>
    <x v="2"/>
    <x v="1"/>
    <x v="1"/>
    <x v="1"/>
    <x v="1"/>
    <x v="2"/>
    <n v="8574"/>
    <n v="9434"/>
    <n v="10038"/>
    <n v="10040"/>
    <n v="10400"/>
    <n v="10490"/>
    <n v="1203"/>
    <n v="1047"/>
    <n v="248"/>
    <n v="408"/>
    <n v="294"/>
    <n v="276"/>
    <n v="1"/>
    <x v="0"/>
    <n v="7371"/>
    <x v="0"/>
  </r>
  <r>
    <x v="495"/>
    <n v="50000"/>
    <x v="0"/>
    <x v="1"/>
    <x v="1"/>
    <x v="0"/>
    <n v="41"/>
    <x v="3"/>
    <x v="1"/>
    <x v="2"/>
    <x v="0"/>
    <x v="0"/>
    <x v="2"/>
    <x v="3"/>
    <n v="508"/>
    <n v="672"/>
    <n v="226"/>
    <n v="390"/>
    <n v="220"/>
    <n v="320"/>
    <n v="1000"/>
    <n v="390"/>
    <n v="1000"/>
    <n v="220"/>
    <n v="640"/>
    <n v="1000"/>
    <n v="0"/>
    <x v="1"/>
    <n v="-492"/>
    <x v="3"/>
  </r>
  <r>
    <x v="496"/>
    <n v="200000"/>
    <x v="1"/>
    <x v="0"/>
    <x v="2"/>
    <x v="1"/>
    <n v="47"/>
    <x v="3"/>
    <x v="2"/>
    <x v="1"/>
    <x v="1"/>
    <x v="1"/>
    <x v="1"/>
    <x v="2"/>
    <n v="203183"/>
    <n v="202961"/>
    <n v="194449"/>
    <n v="196814"/>
    <n v="200526"/>
    <n v="198717"/>
    <n v="7521"/>
    <n v="7000"/>
    <n v="7000"/>
    <n v="7128"/>
    <n v="8000"/>
    <n v="7100"/>
    <n v="0"/>
    <x v="1"/>
    <n v="195662"/>
    <x v="2"/>
  </r>
  <r>
    <x v="497"/>
    <n v="20000"/>
    <x v="0"/>
    <x v="1"/>
    <x v="0"/>
    <x v="1"/>
    <n v="23"/>
    <x v="0"/>
    <x v="2"/>
    <x v="1"/>
    <x v="2"/>
    <x v="1"/>
    <x v="1"/>
    <x v="2"/>
    <n v="16440"/>
    <n v="20417"/>
    <n v="18333"/>
    <n v="18848"/>
    <n v="30190"/>
    <n v="19664"/>
    <n v="7403"/>
    <n v="0"/>
    <n v="820"/>
    <n v="1025"/>
    <n v="1113"/>
    <n v="104"/>
    <n v="0"/>
    <x v="1"/>
    <n v="9037"/>
    <x v="0"/>
  </r>
  <r>
    <x v="498"/>
    <n v="250000"/>
    <x v="1"/>
    <x v="0"/>
    <x v="1"/>
    <x v="0"/>
    <n v="49"/>
    <x v="3"/>
    <x v="1"/>
    <x v="2"/>
    <x v="3"/>
    <x v="0"/>
    <x v="2"/>
    <x v="3"/>
    <n v="66"/>
    <n v="0"/>
    <n v="0"/>
    <n v="120"/>
    <n v="-6"/>
    <n v="1639"/>
    <n v="0"/>
    <n v="0"/>
    <n v="120"/>
    <n v="6"/>
    <n v="1645"/>
    <n v="0"/>
    <n v="0"/>
    <x v="1"/>
    <n v="66"/>
    <x v="0"/>
  </r>
  <r>
    <x v="499"/>
    <n v="20000"/>
    <x v="0"/>
    <x v="1"/>
    <x v="1"/>
    <x v="0"/>
    <n v="38"/>
    <x v="1"/>
    <x v="2"/>
    <x v="1"/>
    <x v="1"/>
    <x v="3"/>
    <x v="3"/>
    <x v="2"/>
    <n v="15912"/>
    <n v="17272"/>
    <n v="20565"/>
    <n v="20705"/>
    <n v="20255"/>
    <n v="19933"/>
    <n v="1623"/>
    <n v="3916"/>
    <n v="750"/>
    <n v="0"/>
    <n v="800"/>
    <n v="850"/>
    <n v="0"/>
    <x v="1"/>
    <n v="14289"/>
    <x v="0"/>
  </r>
  <r>
    <x v="500"/>
    <n v="30000"/>
    <x v="0"/>
    <x v="0"/>
    <x v="0"/>
    <x v="0"/>
    <n v="38"/>
    <x v="1"/>
    <x v="2"/>
    <x v="1"/>
    <x v="1"/>
    <x v="1"/>
    <x v="3"/>
    <x v="1"/>
    <n v="20344"/>
    <n v="21705"/>
    <n v="22537"/>
    <n v="24161"/>
    <n v="25128"/>
    <n v="24576"/>
    <n v="2000"/>
    <n v="1500"/>
    <n v="2000"/>
    <n v="1500"/>
    <n v="0"/>
    <n v="1200"/>
    <n v="0"/>
    <x v="1"/>
    <n v="18344"/>
    <x v="0"/>
  </r>
  <r>
    <x v="501"/>
    <n v="90000"/>
    <x v="0"/>
    <x v="0"/>
    <x v="0"/>
    <x v="0"/>
    <n v="35"/>
    <x v="1"/>
    <x v="4"/>
    <x v="0"/>
    <x v="2"/>
    <x v="3"/>
    <x v="3"/>
    <x v="1"/>
    <n v="23132"/>
    <n v="22474"/>
    <n v="28067"/>
    <n v="27320"/>
    <n v="31199"/>
    <n v="30548"/>
    <n v="0"/>
    <n v="6000"/>
    <n v="0"/>
    <n v="4500"/>
    <n v="0"/>
    <n v="2000"/>
    <n v="0"/>
    <x v="1"/>
    <n v="23132"/>
    <x v="0"/>
  </r>
  <r>
    <x v="502"/>
    <n v="230000"/>
    <x v="1"/>
    <x v="0"/>
    <x v="3"/>
    <x v="1"/>
    <n v="46"/>
    <x v="3"/>
    <x v="2"/>
    <x v="1"/>
    <x v="1"/>
    <x v="1"/>
    <x v="1"/>
    <x v="2"/>
    <n v="221590"/>
    <n v="227397"/>
    <n v="230302"/>
    <n v="186635"/>
    <n v="189896"/>
    <n v="193351"/>
    <n v="10000"/>
    <n v="9000"/>
    <n v="8000"/>
    <n v="8000"/>
    <n v="7500"/>
    <n v="7000"/>
    <n v="0"/>
    <x v="1"/>
    <n v="211590"/>
    <x v="2"/>
  </r>
  <r>
    <x v="503"/>
    <n v="130000"/>
    <x v="1"/>
    <x v="0"/>
    <x v="1"/>
    <x v="0"/>
    <n v="33"/>
    <x v="1"/>
    <x v="2"/>
    <x v="1"/>
    <x v="1"/>
    <x v="1"/>
    <x v="1"/>
    <x v="2"/>
    <n v="19161"/>
    <n v="20544"/>
    <n v="22704"/>
    <n v="22304"/>
    <n v="22304"/>
    <n v="0"/>
    <n v="2000"/>
    <n v="3000"/>
    <n v="0"/>
    <n v="0"/>
    <n v="0"/>
    <n v="0"/>
    <n v="1"/>
    <x v="0"/>
    <n v="17161"/>
    <x v="0"/>
  </r>
  <r>
    <x v="504"/>
    <n v="30000"/>
    <x v="0"/>
    <x v="1"/>
    <x v="3"/>
    <x v="0"/>
    <n v="53"/>
    <x v="2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505"/>
    <n v="160000"/>
    <x v="1"/>
    <x v="1"/>
    <x v="1"/>
    <x v="1"/>
    <n v="35"/>
    <x v="1"/>
    <x v="1"/>
    <x v="2"/>
    <x v="0"/>
    <x v="0"/>
    <x v="2"/>
    <x v="3"/>
    <n v="396"/>
    <n v="396"/>
    <n v="396"/>
    <n v="0"/>
    <n v="792"/>
    <n v="1220"/>
    <n v="396"/>
    <n v="396"/>
    <n v="0"/>
    <n v="793"/>
    <n v="1220"/>
    <n v="0"/>
    <n v="0"/>
    <x v="1"/>
    <n v="0"/>
    <x v="3"/>
  </r>
  <r>
    <x v="506"/>
    <n v="500000"/>
    <x v="2"/>
    <x v="0"/>
    <x v="0"/>
    <x v="1"/>
    <n v="43"/>
    <x v="3"/>
    <x v="1"/>
    <x v="2"/>
    <x v="0"/>
    <x v="1"/>
    <x v="1"/>
    <x v="3"/>
    <n v="3959"/>
    <n v="0"/>
    <n v="285138"/>
    <n v="249445"/>
    <n v="222831"/>
    <n v="200"/>
    <n v="0"/>
    <n v="285138"/>
    <n v="4989"/>
    <n v="100"/>
    <n v="200"/>
    <n v="528666"/>
    <n v="0"/>
    <x v="1"/>
    <n v="3959"/>
    <x v="0"/>
  </r>
  <r>
    <x v="507"/>
    <n v="180000"/>
    <x v="1"/>
    <x v="0"/>
    <x v="0"/>
    <x v="1"/>
    <n v="28"/>
    <x v="0"/>
    <x v="2"/>
    <x v="1"/>
    <x v="1"/>
    <x v="1"/>
    <x v="1"/>
    <x v="1"/>
    <n v="42238"/>
    <n v="38741"/>
    <n v="36696"/>
    <n v="35813"/>
    <n v="37893"/>
    <n v="34661"/>
    <n v="2500"/>
    <n v="2000"/>
    <n v="1128"/>
    <n v="2500"/>
    <n v="0"/>
    <n v="2000"/>
    <n v="0"/>
    <x v="1"/>
    <n v="39738"/>
    <x v="1"/>
  </r>
  <r>
    <x v="508"/>
    <n v="80000"/>
    <x v="0"/>
    <x v="0"/>
    <x v="0"/>
    <x v="0"/>
    <n v="30"/>
    <x v="1"/>
    <x v="2"/>
    <x v="1"/>
    <x v="1"/>
    <x v="1"/>
    <x v="1"/>
    <x v="1"/>
    <n v="21507"/>
    <n v="13207"/>
    <n v="13997"/>
    <n v="10914"/>
    <n v="10685"/>
    <n v="5515"/>
    <n v="1700"/>
    <n v="1400"/>
    <n v="200"/>
    <n v="1000"/>
    <n v="0"/>
    <n v="500"/>
    <n v="0"/>
    <x v="1"/>
    <n v="19807"/>
    <x v="0"/>
  </r>
  <r>
    <x v="509"/>
    <n v="120000"/>
    <x v="1"/>
    <x v="1"/>
    <x v="1"/>
    <x v="1"/>
    <n v="26"/>
    <x v="0"/>
    <x v="1"/>
    <x v="2"/>
    <x v="3"/>
    <x v="0"/>
    <x v="2"/>
    <x v="0"/>
    <n v="884"/>
    <n v="0"/>
    <n v="0"/>
    <n v="10446"/>
    <n v="0"/>
    <n v="0"/>
    <n v="0"/>
    <n v="0"/>
    <n v="10446"/>
    <n v="0"/>
    <n v="0"/>
    <n v="0"/>
    <n v="0"/>
    <x v="1"/>
    <n v="884"/>
    <x v="0"/>
  </r>
  <r>
    <x v="510"/>
    <n v="130000"/>
    <x v="1"/>
    <x v="1"/>
    <x v="0"/>
    <x v="0"/>
    <n v="31"/>
    <x v="1"/>
    <x v="1"/>
    <x v="2"/>
    <x v="0"/>
    <x v="0"/>
    <x v="2"/>
    <x v="1"/>
    <n v="1261"/>
    <n v="1261"/>
    <n v="1261"/>
    <n v="1411"/>
    <n v="930"/>
    <n v="390"/>
    <n v="1261"/>
    <n v="1261"/>
    <n v="1411"/>
    <n v="930"/>
    <n v="0"/>
    <n v="780"/>
    <n v="0"/>
    <x v="1"/>
    <n v="0"/>
    <x v="3"/>
  </r>
  <r>
    <x v="511"/>
    <n v="120000"/>
    <x v="1"/>
    <x v="0"/>
    <x v="0"/>
    <x v="1"/>
    <n v="35"/>
    <x v="1"/>
    <x v="1"/>
    <x v="2"/>
    <x v="0"/>
    <x v="0"/>
    <x v="2"/>
    <x v="3"/>
    <n v="240"/>
    <n v="240"/>
    <n v="240"/>
    <n v="240"/>
    <n v="240"/>
    <n v="240"/>
    <n v="240"/>
    <n v="240"/>
    <n v="240"/>
    <n v="240"/>
    <n v="240"/>
    <n v="240"/>
    <n v="1"/>
    <x v="0"/>
    <n v="0"/>
    <x v="3"/>
  </r>
  <r>
    <x v="512"/>
    <n v="360000"/>
    <x v="2"/>
    <x v="1"/>
    <x v="1"/>
    <x v="1"/>
    <n v="28"/>
    <x v="0"/>
    <x v="1"/>
    <x v="2"/>
    <x v="0"/>
    <x v="0"/>
    <x v="2"/>
    <x v="3"/>
    <n v="20223"/>
    <n v="52962"/>
    <n v="3978"/>
    <n v="1743"/>
    <n v="2828"/>
    <n v="50537"/>
    <n v="53228"/>
    <n v="3997"/>
    <n v="1750"/>
    <n v="2853"/>
    <n v="51041"/>
    <n v="3219"/>
    <n v="0"/>
    <x v="1"/>
    <n v="-33005"/>
    <x v="3"/>
  </r>
  <r>
    <x v="513"/>
    <n v="50000"/>
    <x v="0"/>
    <x v="1"/>
    <x v="0"/>
    <x v="1"/>
    <n v="23"/>
    <x v="0"/>
    <x v="0"/>
    <x v="0"/>
    <x v="2"/>
    <x v="3"/>
    <x v="3"/>
    <x v="1"/>
    <n v="29509"/>
    <n v="30741"/>
    <n v="31438"/>
    <n v="31924"/>
    <n v="32566"/>
    <n v="33081"/>
    <n v="2000"/>
    <n v="1500"/>
    <n v="1300"/>
    <n v="1300"/>
    <n v="1200"/>
    <n v="1500"/>
    <n v="1"/>
    <x v="0"/>
    <n v="27509"/>
    <x v="1"/>
  </r>
  <r>
    <x v="514"/>
    <n v="20000"/>
    <x v="0"/>
    <x v="0"/>
    <x v="0"/>
    <x v="1"/>
    <n v="23"/>
    <x v="0"/>
    <x v="2"/>
    <x v="1"/>
    <x v="2"/>
    <x v="1"/>
    <x v="1"/>
    <x v="2"/>
    <n v="18355"/>
    <n v="20259"/>
    <n v="19534"/>
    <n v="16467"/>
    <n v="15746"/>
    <n v="13246"/>
    <n v="2900"/>
    <n v="10"/>
    <n v="577"/>
    <n v="430"/>
    <n v="1017"/>
    <n v="4"/>
    <n v="0"/>
    <x v="1"/>
    <n v="15455"/>
    <x v="0"/>
  </r>
  <r>
    <x v="515"/>
    <n v="100000"/>
    <x v="0"/>
    <x v="1"/>
    <x v="2"/>
    <x v="0"/>
    <n v="56"/>
    <x v="2"/>
    <x v="2"/>
    <x v="1"/>
    <x v="0"/>
    <x v="1"/>
    <x v="1"/>
    <x v="2"/>
    <n v="94265"/>
    <n v="53376"/>
    <n v="85787"/>
    <n v="78762"/>
    <n v="79529"/>
    <n v="80335"/>
    <n v="2385"/>
    <n v="88678"/>
    <n v="2169"/>
    <n v="2634"/>
    <n v="3132"/>
    <n v="732"/>
    <n v="0"/>
    <x v="1"/>
    <n v="91880"/>
    <x v="1"/>
  </r>
  <r>
    <x v="516"/>
    <n v="70000"/>
    <x v="0"/>
    <x v="1"/>
    <x v="2"/>
    <x v="0"/>
    <n v="32"/>
    <x v="1"/>
    <x v="2"/>
    <x v="1"/>
    <x v="1"/>
    <x v="1"/>
    <x v="1"/>
    <x v="2"/>
    <n v="68739"/>
    <n v="67629"/>
    <n v="69188"/>
    <n v="68392"/>
    <n v="69884"/>
    <n v="71284"/>
    <n v="3060"/>
    <n v="3300"/>
    <n v="2610"/>
    <n v="2750"/>
    <n v="2750"/>
    <n v="5500"/>
    <n v="0"/>
    <x v="1"/>
    <n v="65679"/>
    <x v="1"/>
  </r>
  <r>
    <x v="517"/>
    <n v="50000"/>
    <x v="0"/>
    <x v="1"/>
    <x v="0"/>
    <x v="0"/>
    <n v="47"/>
    <x v="3"/>
    <x v="2"/>
    <x v="1"/>
    <x v="1"/>
    <x v="1"/>
    <x v="1"/>
    <x v="2"/>
    <n v="13917"/>
    <n v="16695"/>
    <n v="21320"/>
    <n v="18614"/>
    <n v="19003"/>
    <n v="19439"/>
    <n v="3000"/>
    <n v="5000"/>
    <n v="2000"/>
    <n v="618"/>
    <n v="679"/>
    <n v="500"/>
    <n v="0"/>
    <x v="1"/>
    <n v="10917"/>
    <x v="0"/>
  </r>
  <r>
    <x v="518"/>
    <n v="10000"/>
    <x v="0"/>
    <x v="0"/>
    <x v="0"/>
    <x v="1"/>
    <n v="22"/>
    <x v="0"/>
    <x v="4"/>
    <x v="0"/>
    <x v="1"/>
    <x v="1"/>
    <x v="1"/>
    <x v="2"/>
    <n v="10250"/>
    <n v="8558"/>
    <n v="10525"/>
    <n v="10050"/>
    <n v="9903"/>
    <n v="9984"/>
    <n v="0"/>
    <n v="2126"/>
    <n v="390"/>
    <n v="328"/>
    <n v="476"/>
    <n v="1287"/>
    <n v="0"/>
    <x v="1"/>
    <n v="10250"/>
    <x v="0"/>
  </r>
  <r>
    <x v="519"/>
    <n v="290000"/>
    <x v="1"/>
    <x v="0"/>
    <x v="1"/>
    <x v="0"/>
    <n v="34"/>
    <x v="1"/>
    <x v="2"/>
    <x v="1"/>
    <x v="1"/>
    <x v="1"/>
    <x v="1"/>
    <x v="2"/>
    <n v="93844"/>
    <n v="97708"/>
    <n v="103066"/>
    <n v="104864"/>
    <n v="110151"/>
    <n v="115297"/>
    <n v="6000"/>
    <n v="7000"/>
    <n v="5000"/>
    <n v="7000"/>
    <n v="7000"/>
    <n v="7000"/>
    <n v="0"/>
    <x v="1"/>
    <n v="87844"/>
    <x v="1"/>
  </r>
  <r>
    <x v="520"/>
    <n v="30000"/>
    <x v="0"/>
    <x v="0"/>
    <x v="1"/>
    <x v="0"/>
    <n v="31"/>
    <x v="1"/>
    <x v="2"/>
    <x v="1"/>
    <x v="1"/>
    <x v="1"/>
    <x v="1"/>
    <x v="2"/>
    <n v="16496"/>
    <n v="17522"/>
    <n v="18531"/>
    <n v="18744"/>
    <n v="19291"/>
    <n v="19818"/>
    <n v="1597"/>
    <n v="1606"/>
    <n v="819"/>
    <n v="1000"/>
    <n v="1000"/>
    <n v="1623"/>
    <n v="0"/>
    <x v="1"/>
    <n v="14899"/>
    <x v="0"/>
  </r>
  <r>
    <x v="521"/>
    <n v="410000"/>
    <x v="2"/>
    <x v="0"/>
    <x v="0"/>
    <x v="1"/>
    <n v="27"/>
    <x v="0"/>
    <x v="4"/>
    <x v="2"/>
    <x v="1"/>
    <x v="1"/>
    <x v="1"/>
    <x v="2"/>
    <n v="-58"/>
    <n v="32991"/>
    <n v="36465"/>
    <n v="44310"/>
    <n v="62408"/>
    <n v="61420"/>
    <n v="33049"/>
    <n v="16000"/>
    <n v="8700"/>
    <n v="18775"/>
    <n v="15000"/>
    <n v="5350"/>
    <n v="0"/>
    <x v="1"/>
    <n v="-33107"/>
    <x v="3"/>
  </r>
  <r>
    <x v="522"/>
    <n v="360000"/>
    <x v="2"/>
    <x v="1"/>
    <x v="1"/>
    <x v="1"/>
    <n v="28"/>
    <x v="0"/>
    <x v="1"/>
    <x v="2"/>
    <x v="0"/>
    <x v="1"/>
    <x v="1"/>
    <x v="3"/>
    <n v="1210"/>
    <n v="820"/>
    <n v="64644"/>
    <n v="125984"/>
    <n v="106584"/>
    <n v="125557"/>
    <n v="390"/>
    <n v="75720"/>
    <n v="62520"/>
    <n v="17000"/>
    <n v="132200"/>
    <n v="167000"/>
    <n v="1"/>
    <x v="0"/>
    <n v="820"/>
    <x v="0"/>
  </r>
  <r>
    <x v="523"/>
    <n v="140000"/>
    <x v="1"/>
    <x v="0"/>
    <x v="0"/>
    <x v="0"/>
    <n v="42"/>
    <x v="3"/>
    <x v="2"/>
    <x v="1"/>
    <x v="1"/>
    <x v="1"/>
    <x v="1"/>
    <x v="2"/>
    <n v="111496"/>
    <n v="112133"/>
    <n v="69529"/>
    <n v="70804"/>
    <n v="70781"/>
    <n v="66735"/>
    <n v="6022"/>
    <n v="3021"/>
    <n v="5012"/>
    <n v="5112"/>
    <n v="3000"/>
    <n v="5000"/>
    <n v="1"/>
    <x v="0"/>
    <n v="105474"/>
    <x v="2"/>
  </r>
  <r>
    <x v="524"/>
    <n v="210000"/>
    <x v="1"/>
    <x v="0"/>
    <x v="1"/>
    <x v="1"/>
    <n v="32"/>
    <x v="1"/>
    <x v="2"/>
    <x v="1"/>
    <x v="1"/>
    <x v="1"/>
    <x v="1"/>
    <x v="2"/>
    <n v="67374"/>
    <n v="69489"/>
    <n v="70937"/>
    <n v="71761"/>
    <n v="73505"/>
    <n v="74827"/>
    <n v="3200"/>
    <n v="3200"/>
    <n v="2600"/>
    <n v="2900"/>
    <n v="2700"/>
    <n v="3000"/>
    <n v="0"/>
    <x v="1"/>
    <n v="64174"/>
    <x v="1"/>
  </r>
  <r>
    <x v="525"/>
    <n v="220000"/>
    <x v="1"/>
    <x v="0"/>
    <x v="0"/>
    <x v="1"/>
    <n v="27"/>
    <x v="0"/>
    <x v="1"/>
    <x v="2"/>
    <x v="0"/>
    <x v="0"/>
    <x v="2"/>
    <x v="3"/>
    <n v="1692"/>
    <n v="13250"/>
    <n v="433"/>
    <n v="1831"/>
    <n v="0"/>
    <n v="2891"/>
    <n v="13250"/>
    <n v="433"/>
    <n v="1831"/>
    <n v="0"/>
    <n v="2891"/>
    <n v="153504"/>
    <n v="0"/>
    <x v="1"/>
    <n v="-11558"/>
    <x v="3"/>
  </r>
  <r>
    <x v="526"/>
    <n v="20000"/>
    <x v="0"/>
    <x v="1"/>
    <x v="0"/>
    <x v="1"/>
    <n v="27"/>
    <x v="0"/>
    <x v="4"/>
    <x v="0"/>
    <x v="1"/>
    <x v="1"/>
    <x v="1"/>
    <x v="1"/>
    <n v="18649"/>
    <n v="18066"/>
    <n v="19040"/>
    <n v="19446"/>
    <n v="20759"/>
    <n v="20241"/>
    <n v="0"/>
    <n v="1594"/>
    <n v="1000"/>
    <n v="1606"/>
    <n v="0"/>
    <n v="300"/>
    <n v="0"/>
    <x v="1"/>
    <n v="18649"/>
    <x v="0"/>
  </r>
  <r>
    <x v="527"/>
    <n v="620000"/>
    <x v="2"/>
    <x v="0"/>
    <x v="0"/>
    <x v="0"/>
    <n v="45"/>
    <x v="3"/>
    <x v="0"/>
    <x v="0"/>
    <x v="1"/>
    <x v="1"/>
    <x v="1"/>
    <x v="2"/>
    <n v="160837"/>
    <n v="156839"/>
    <n v="160440"/>
    <n v="163781"/>
    <n v="167159"/>
    <n v="170894"/>
    <n v="0"/>
    <n v="6200"/>
    <n v="6000"/>
    <n v="6000"/>
    <n v="6500"/>
    <n v="6000"/>
    <n v="1"/>
    <x v="0"/>
    <n v="160837"/>
    <x v="2"/>
  </r>
  <r>
    <x v="528"/>
    <n v="360000"/>
    <x v="2"/>
    <x v="1"/>
    <x v="1"/>
    <x v="1"/>
    <n v="26"/>
    <x v="0"/>
    <x v="4"/>
    <x v="3"/>
    <x v="3"/>
    <x v="2"/>
    <x v="2"/>
    <x v="3"/>
    <n v="-8"/>
    <n v="-8"/>
    <n v="-8"/>
    <n v="-8"/>
    <n v="1677"/>
    <n v="2600"/>
    <n v="0"/>
    <n v="0"/>
    <n v="0"/>
    <n v="1685"/>
    <n v="2613"/>
    <n v="0"/>
    <n v="0"/>
    <x v="1"/>
    <n v="-8"/>
    <x v="3"/>
  </r>
  <r>
    <x v="529"/>
    <n v="20000"/>
    <x v="0"/>
    <x v="0"/>
    <x v="0"/>
    <x v="1"/>
    <n v="21"/>
    <x v="0"/>
    <x v="1"/>
    <x v="2"/>
    <x v="2"/>
    <x v="3"/>
    <x v="2"/>
    <x v="3"/>
    <n v="18763"/>
    <n v="14410"/>
    <n v="13771"/>
    <n v="362"/>
    <n v="5308"/>
    <n v="0"/>
    <n v="14410"/>
    <n v="0"/>
    <n v="28"/>
    <n v="22073"/>
    <n v="0"/>
    <n v="0"/>
    <n v="0"/>
    <x v="1"/>
    <n v="4353"/>
    <x v="0"/>
  </r>
  <r>
    <x v="530"/>
    <n v="50000"/>
    <x v="0"/>
    <x v="1"/>
    <x v="0"/>
    <x v="1"/>
    <n v="23"/>
    <x v="0"/>
    <x v="2"/>
    <x v="1"/>
    <x v="1"/>
    <x v="1"/>
    <x v="1"/>
    <x v="2"/>
    <n v="34549"/>
    <n v="18552"/>
    <n v="19334"/>
    <n v="18165"/>
    <n v="19322"/>
    <n v="19575"/>
    <n v="2836"/>
    <n v="1200"/>
    <n v="13000"/>
    <n v="1500"/>
    <n v="9000"/>
    <n v="1000"/>
    <n v="0"/>
    <x v="1"/>
    <n v="31713"/>
    <x v="1"/>
  </r>
  <r>
    <x v="531"/>
    <n v="50000"/>
    <x v="0"/>
    <x v="1"/>
    <x v="0"/>
    <x v="2"/>
    <n v="30"/>
    <x v="1"/>
    <x v="2"/>
    <x v="1"/>
    <x v="1"/>
    <x v="1"/>
    <x v="1"/>
    <x v="2"/>
    <n v="97538"/>
    <n v="49187"/>
    <n v="17518"/>
    <n v="17710"/>
    <n v="18079"/>
    <n v="18302"/>
    <n v="2454"/>
    <n v="1588"/>
    <n v="780"/>
    <n v="803"/>
    <n v="673"/>
    <n v="637"/>
    <n v="0"/>
    <x v="1"/>
    <n v="95084"/>
    <x v="1"/>
  </r>
  <r>
    <x v="532"/>
    <n v="10000"/>
    <x v="0"/>
    <x v="1"/>
    <x v="0"/>
    <x v="1"/>
    <n v="46"/>
    <x v="3"/>
    <x v="2"/>
    <x v="1"/>
    <x v="2"/>
    <x v="3"/>
    <x v="3"/>
    <x v="2"/>
    <n v="4073"/>
    <n v="6394"/>
    <n v="6143"/>
    <n v="6908"/>
    <n v="6652"/>
    <n v="6785"/>
    <n v="2400"/>
    <n v="0"/>
    <n v="871"/>
    <n v="0"/>
    <n v="244"/>
    <n v="251"/>
    <n v="1"/>
    <x v="0"/>
    <n v="1673"/>
    <x v="0"/>
  </r>
  <r>
    <x v="533"/>
    <n v="100000"/>
    <x v="0"/>
    <x v="0"/>
    <x v="2"/>
    <x v="0"/>
    <n v="50"/>
    <x v="2"/>
    <x v="0"/>
    <x v="1"/>
    <x v="1"/>
    <x v="4"/>
    <x v="4"/>
    <x v="1"/>
    <n v="53849"/>
    <n v="55030"/>
    <n v="61574"/>
    <n v="62470"/>
    <n v="61198"/>
    <n v="62524"/>
    <n v="2050"/>
    <n v="7500"/>
    <n v="2500"/>
    <n v="0"/>
    <n v="2500"/>
    <n v="2500"/>
    <n v="1"/>
    <x v="0"/>
    <n v="51799"/>
    <x v="1"/>
  </r>
  <r>
    <x v="534"/>
    <n v="50000"/>
    <x v="0"/>
    <x v="1"/>
    <x v="1"/>
    <x v="1"/>
    <n v="26"/>
    <x v="0"/>
    <x v="3"/>
    <x v="3"/>
    <x v="3"/>
    <x v="2"/>
    <x v="0"/>
    <x v="0"/>
    <n v="2411"/>
    <n v="3059"/>
    <n v="2333"/>
    <n v="1800"/>
    <n v="1620"/>
    <n v="0"/>
    <n v="3068"/>
    <n v="2440"/>
    <n v="1807"/>
    <n v="2204"/>
    <n v="0"/>
    <n v="0"/>
    <n v="0"/>
    <x v="1"/>
    <n v="-657"/>
    <x v="3"/>
  </r>
  <r>
    <x v="535"/>
    <n v="60000"/>
    <x v="0"/>
    <x v="1"/>
    <x v="0"/>
    <x v="1"/>
    <n v="25"/>
    <x v="0"/>
    <x v="1"/>
    <x v="2"/>
    <x v="1"/>
    <x v="0"/>
    <x v="2"/>
    <x v="2"/>
    <n v="480"/>
    <n v="1675"/>
    <n v="3630"/>
    <n v="578"/>
    <n v="4825"/>
    <n v="6200"/>
    <n v="1675"/>
    <n v="2500"/>
    <n v="578"/>
    <n v="4825"/>
    <n v="2000"/>
    <n v="2435"/>
    <n v="0"/>
    <x v="1"/>
    <n v="-1195"/>
    <x v="3"/>
  </r>
  <r>
    <x v="536"/>
    <n v="440000"/>
    <x v="2"/>
    <x v="0"/>
    <x v="1"/>
    <x v="1"/>
    <n v="35"/>
    <x v="1"/>
    <x v="2"/>
    <x v="1"/>
    <x v="1"/>
    <x v="1"/>
    <x v="1"/>
    <x v="2"/>
    <n v="330759"/>
    <n v="337794"/>
    <n v="274075"/>
    <n v="252584"/>
    <n v="216547"/>
    <n v="179221"/>
    <n v="13100"/>
    <n v="11000"/>
    <n v="10000"/>
    <n v="9000"/>
    <n v="7100"/>
    <n v="5500"/>
    <n v="0"/>
    <x v="1"/>
    <n v="317659"/>
    <x v="2"/>
  </r>
  <r>
    <x v="537"/>
    <n v="120000"/>
    <x v="1"/>
    <x v="1"/>
    <x v="0"/>
    <x v="0"/>
    <n v="44"/>
    <x v="3"/>
    <x v="2"/>
    <x v="1"/>
    <x v="1"/>
    <x v="1"/>
    <x v="1"/>
    <x v="2"/>
    <n v="92007"/>
    <n v="87939"/>
    <n v="82094"/>
    <n v="59105"/>
    <n v="53442"/>
    <n v="46775"/>
    <n v="5417"/>
    <n v="2847"/>
    <n v="2066"/>
    <n v="1919"/>
    <n v="2200"/>
    <n v="0"/>
    <n v="0"/>
    <x v="1"/>
    <n v="86590"/>
    <x v="1"/>
  </r>
  <r>
    <x v="538"/>
    <n v="50000"/>
    <x v="0"/>
    <x v="0"/>
    <x v="1"/>
    <x v="1"/>
    <n v="52"/>
    <x v="2"/>
    <x v="2"/>
    <x v="1"/>
    <x v="1"/>
    <x v="2"/>
    <x v="2"/>
    <x v="3"/>
    <n v="3257"/>
    <n v="4166"/>
    <n v="0"/>
    <n v="0"/>
    <n v="318"/>
    <n v="0"/>
    <n v="1000"/>
    <n v="0"/>
    <n v="0"/>
    <n v="318"/>
    <n v="0"/>
    <n v="0"/>
    <n v="0"/>
    <x v="1"/>
    <n v="2257"/>
    <x v="0"/>
  </r>
  <r>
    <x v="539"/>
    <n v="110000"/>
    <x v="1"/>
    <x v="0"/>
    <x v="0"/>
    <x v="0"/>
    <n v="40"/>
    <x v="3"/>
    <x v="4"/>
    <x v="0"/>
    <x v="2"/>
    <x v="3"/>
    <x v="3"/>
    <x v="1"/>
    <n v="92638"/>
    <n v="90905"/>
    <n v="95768"/>
    <n v="97004"/>
    <n v="99005"/>
    <n v="101213"/>
    <n v="600"/>
    <n v="7300"/>
    <n v="3700"/>
    <n v="3700"/>
    <n v="4000"/>
    <n v="3800"/>
    <n v="0"/>
    <x v="1"/>
    <n v="92038"/>
    <x v="1"/>
  </r>
  <r>
    <x v="540"/>
    <n v="200000"/>
    <x v="1"/>
    <x v="0"/>
    <x v="1"/>
    <x v="1"/>
    <n v="38"/>
    <x v="1"/>
    <x v="1"/>
    <x v="2"/>
    <x v="3"/>
    <x v="2"/>
    <x v="2"/>
    <x v="3"/>
    <n v="399"/>
    <n v="0"/>
    <n v="0"/>
    <n v="0"/>
    <n v="218"/>
    <n v="270"/>
    <n v="0"/>
    <n v="0"/>
    <n v="0"/>
    <n v="218"/>
    <n v="270"/>
    <n v="317"/>
    <n v="0"/>
    <x v="1"/>
    <n v="399"/>
    <x v="0"/>
  </r>
  <r>
    <x v="541"/>
    <n v="150000"/>
    <x v="1"/>
    <x v="0"/>
    <x v="1"/>
    <x v="1"/>
    <n v="28"/>
    <x v="0"/>
    <x v="4"/>
    <x v="3"/>
    <x v="3"/>
    <x v="2"/>
    <x v="0"/>
    <x v="3"/>
    <n v="0"/>
    <n v="0"/>
    <n v="0"/>
    <n v="0"/>
    <n v="0"/>
    <n v="318"/>
    <n v="0"/>
    <n v="0"/>
    <n v="0"/>
    <n v="0"/>
    <n v="318"/>
    <n v="0"/>
    <n v="0"/>
    <x v="1"/>
    <n v="0"/>
    <x v="3"/>
  </r>
  <r>
    <x v="542"/>
    <n v="30000"/>
    <x v="0"/>
    <x v="0"/>
    <x v="0"/>
    <x v="0"/>
    <n v="36"/>
    <x v="1"/>
    <x v="0"/>
    <x v="4"/>
    <x v="2"/>
    <x v="3"/>
    <x v="1"/>
    <x v="2"/>
    <n v="28778"/>
    <n v="28039"/>
    <n v="28286"/>
    <n v="27533"/>
    <n v="28189"/>
    <n v="28805"/>
    <n v="0"/>
    <n v="1000"/>
    <n v="0"/>
    <n v="1100"/>
    <n v="1100"/>
    <n v="1500"/>
    <n v="1"/>
    <x v="0"/>
    <n v="28778"/>
    <x v="1"/>
  </r>
  <r>
    <x v="543"/>
    <n v="100000"/>
    <x v="0"/>
    <x v="0"/>
    <x v="1"/>
    <x v="1"/>
    <n v="24"/>
    <x v="0"/>
    <x v="2"/>
    <x v="1"/>
    <x v="1"/>
    <x v="1"/>
    <x v="2"/>
    <x v="3"/>
    <n v="30092"/>
    <n v="30486"/>
    <n v="30178"/>
    <n v="29735"/>
    <n v="14718"/>
    <n v="29427"/>
    <n v="1553"/>
    <n v="5000"/>
    <n v="87"/>
    <n v="14761"/>
    <n v="29514"/>
    <n v="330"/>
    <n v="0"/>
    <x v="1"/>
    <n v="28539"/>
    <x v="1"/>
  </r>
  <r>
    <x v="544"/>
    <n v="360000"/>
    <x v="2"/>
    <x v="0"/>
    <x v="1"/>
    <x v="0"/>
    <n v="34"/>
    <x v="1"/>
    <x v="1"/>
    <x v="1"/>
    <x v="1"/>
    <x v="0"/>
    <x v="1"/>
    <x v="3"/>
    <n v="12339"/>
    <n v="10138"/>
    <n v="23912"/>
    <n v="9785"/>
    <n v="166"/>
    <n v="2142"/>
    <n v="10000"/>
    <n v="13912"/>
    <n v="9785"/>
    <n v="0"/>
    <n v="2142"/>
    <n v="4230"/>
    <n v="0"/>
    <x v="1"/>
    <n v="2339"/>
    <x v="0"/>
  </r>
  <r>
    <x v="545"/>
    <n v="390000"/>
    <x v="2"/>
    <x v="0"/>
    <x v="1"/>
    <x v="1"/>
    <n v="31"/>
    <x v="1"/>
    <x v="2"/>
    <x v="1"/>
    <x v="1"/>
    <x v="1"/>
    <x v="1"/>
    <x v="2"/>
    <n v="50620"/>
    <n v="43220"/>
    <n v="44237"/>
    <n v="46495"/>
    <n v="47751"/>
    <n v="51941"/>
    <n v="5000"/>
    <n v="3000"/>
    <n v="3000"/>
    <n v="2000"/>
    <n v="5000"/>
    <n v="5000"/>
    <n v="0"/>
    <x v="1"/>
    <n v="45620"/>
    <x v="1"/>
  </r>
  <r>
    <x v="546"/>
    <n v="220000"/>
    <x v="1"/>
    <x v="0"/>
    <x v="1"/>
    <x v="0"/>
    <n v="41"/>
    <x v="3"/>
    <x v="4"/>
    <x v="3"/>
    <x v="3"/>
    <x v="2"/>
    <x v="0"/>
    <x v="0"/>
    <n v="-65"/>
    <n v="-65"/>
    <n v="-65"/>
    <n v="-65"/>
    <n v="-65"/>
    <n v="-200"/>
    <n v="0"/>
    <n v="0"/>
    <n v="0"/>
    <n v="0"/>
    <n v="0"/>
    <n v="0"/>
    <n v="1"/>
    <x v="0"/>
    <n v="-65"/>
    <x v="3"/>
  </r>
  <r>
    <x v="547"/>
    <n v="160000"/>
    <x v="1"/>
    <x v="0"/>
    <x v="0"/>
    <x v="1"/>
    <n v="25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548"/>
    <n v="230000"/>
    <x v="1"/>
    <x v="0"/>
    <x v="1"/>
    <x v="1"/>
    <n v="28"/>
    <x v="0"/>
    <x v="1"/>
    <x v="2"/>
    <x v="1"/>
    <x v="1"/>
    <x v="1"/>
    <x v="2"/>
    <n v="2403"/>
    <n v="7357"/>
    <n v="9752"/>
    <n v="12608"/>
    <n v="10797"/>
    <n v="20539"/>
    <n v="7357"/>
    <n v="2566"/>
    <n v="3000"/>
    <n v="1000"/>
    <n v="10000"/>
    <n v="2000"/>
    <n v="0"/>
    <x v="1"/>
    <n v="-4954"/>
    <x v="3"/>
  </r>
  <r>
    <x v="549"/>
    <n v="120000"/>
    <x v="1"/>
    <x v="1"/>
    <x v="1"/>
    <x v="1"/>
    <n v="27"/>
    <x v="0"/>
    <x v="2"/>
    <x v="1"/>
    <x v="1"/>
    <x v="1"/>
    <x v="1"/>
    <x v="2"/>
    <n v="52437"/>
    <n v="50473"/>
    <n v="45087"/>
    <n v="35424"/>
    <n v="31760"/>
    <n v="31214"/>
    <n v="5024"/>
    <n v="5000"/>
    <n v="5000"/>
    <n v="4000"/>
    <n v="5000"/>
    <n v="3500"/>
    <n v="0"/>
    <x v="1"/>
    <n v="47413"/>
    <x v="1"/>
  </r>
  <r>
    <x v="550"/>
    <n v="100000"/>
    <x v="0"/>
    <x v="1"/>
    <x v="2"/>
    <x v="0"/>
    <n v="52"/>
    <x v="2"/>
    <x v="2"/>
    <x v="1"/>
    <x v="2"/>
    <x v="3"/>
    <x v="3"/>
    <x v="2"/>
    <n v="4657"/>
    <n v="6068"/>
    <n v="6418"/>
    <n v="6781"/>
    <n v="6144"/>
    <n v="7638"/>
    <n v="1500"/>
    <n v="1000"/>
    <n v="1000"/>
    <n v="0"/>
    <n v="2000"/>
    <n v="2000"/>
    <n v="1"/>
    <x v="0"/>
    <n v="3157"/>
    <x v="0"/>
  </r>
  <r>
    <x v="551"/>
    <n v="190000"/>
    <x v="1"/>
    <x v="0"/>
    <x v="1"/>
    <x v="1"/>
    <n v="41"/>
    <x v="3"/>
    <x v="1"/>
    <x v="2"/>
    <x v="0"/>
    <x v="0"/>
    <x v="2"/>
    <x v="3"/>
    <n v="28204"/>
    <n v="0"/>
    <n v="16500"/>
    <n v="0"/>
    <n v="26854"/>
    <n v="554"/>
    <n v="0"/>
    <n v="16500"/>
    <n v="0"/>
    <n v="26854"/>
    <n v="500"/>
    <n v="0"/>
    <n v="1"/>
    <x v="0"/>
    <n v="28204"/>
    <x v="1"/>
  </r>
  <r>
    <x v="552"/>
    <n v="50000"/>
    <x v="0"/>
    <x v="1"/>
    <x v="1"/>
    <x v="0"/>
    <n v="56"/>
    <x v="2"/>
    <x v="2"/>
    <x v="1"/>
    <x v="1"/>
    <x v="1"/>
    <x v="1"/>
    <x v="2"/>
    <n v="50715"/>
    <n v="51073"/>
    <n v="28185"/>
    <n v="28842"/>
    <n v="30399"/>
    <n v="29977"/>
    <n v="2500"/>
    <n v="1500"/>
    <n v="1100"/>
    <n v="2000"/>
    <n v="1500"/>
    <n v="1017"/>
    <n v="1"/>
    <x v="0"/>
    <n v="48215"/>
    <x v="1"/>
  </r>
  <r>
    <x v="553"/>
    <n v="240000"/>
    <x v="1"/>
    <x v="0"/>
    <x v="1"/>
    <x v="0"/>
    <n v="42"/>
    <x v="3"/>
    <x v="4"/>
    <x v="2"/>
    <x v="0"/>
    <x v="2"/>
    <x v="0"/>
    <x v="0"/>
    <n v="0"/>
    <n v="6370"/>
    <n v="0"/>
    <n v="0"/>
    <n v="0"/>
    <n v="0"/>
    <n v="6370"/>
    <n v="0"/>
    <n v="0"/>
    <n v="0"/>
    <n v="0"/>
    <n v="0"/>
    <n v="0"/>
    <x v="1"/>
    <n v="-6370"/>
    <x v="3"/>
  </r>
  <r>
    <x v="554"/>
    <n v="40000"/>
    <x v="0"/>
    <x v="0"/>
    <x v="0"/>
    <x v="1"/>
    <n v="24"/>
    <x v="0"/>
    <x v="3"/>
    <x v="3"/>
    <x v="3"/>
    <x v="2"/>
    <x v="0"/>
    <x v="0"/>
    <n v="35285"/>
    <n v="36714"/>
    <n v="37356"/>
    <n v="38184"/>
    <n v="38724"/>
    <n v="37255"/>
    <n v="2000"/>
    <n v="1600"/>
    <n v="1401"/>
    <n v="1607"/>
    <n v="1800"/>
    <n v="1751"/>
    <n v="0"/>
    <x v="1"/>
    <n v="33285"/>
    <x v="1"/>
  </r>
  <r>
    <x v="555"/>
    <n v="630000"/>
    <x v="2"/>
    <x v="0"/>
    <x v="0"/>
    <x v="0"/>
    <n v="47"/>
    <x v="3"/>
    <x v="2"/>
    <x v="1"/>
    <x v="1"/>
    <x v="0"/>
    <x v="2"/>
    <x v="0"/>
    <n v="37850"/>
    <n v="68187"/>
    <n v="1207"/>
    <n v="2632"/>
    <n v="8654"/>
    <n v="0"/>
    <n v="38187"/>
    <n v="1207"/>
    <n v="2632"/>
    <n v="8654"/>
    <n v="0"/>
    <n v="4981"/>
    <n v="0"/>
    <x v="1"/>
    <n v="-337"/>
    <x v="3"/>
  </r>
  <r>
    <x v="556"/>
    <n v="160000"/>
    <x v="1"/>
    <x v="0"/>
    <x v="1"/>
    <x v="0"/>
    <n v="33"/>
    <x v="1"/>
    <x v="3"/>
    <x v="3"/>
    <x v="3"/>
    <x v="2"/>
    <x v="0"/>
    <x v="0"/>
    <n v="5233"/>
    <n v="5393"/>
    <n v="1824"/>
    <n v="350"/>
    <n v="150"/>
    <n v="199"/>
    <n v="5401"/>
    <n v="1829"/>
    <n v="350"/>
    <n v="150"/>
    <n v="199"/>
    <n v="1145"/>
    <n v="0"/>
    <x v="1"/>
    <n v="-168"/>
    <x v="3"/>
  </r>
  <r>
    <x v="557"/>
    <n v="110000"/>
    <x v="1"/>
    <x v="0"/>
    <x v="0"/>
    <x v="1"/>
    <n v="32"/>
    <x v="1"/>
    <x v="2"/>
    <x v="1"/>
    <x v="2"/>
    <x v="3"/>
    <x v="3"/>
    <x v="1"/>
    <n v="65299"/>
    <n v="74565"/>
    <n v="78516"/>
    <n v="79829"/>
    <n v="81603"/>
    <n v="83206"/>
    <n v="11000"/>
    <n v="5800"/>
    <n v="3200"/>
    <n v="3200"/>
    <n v="3100"/>
    <n v="3000"/>
    <n v="0"/>
    <x v="1"/>
    <n v="54299"/>
    <x v="1"/>
  </r>
  <r>
    <x v="558"/>
    <n v="20000"/>
    <x v="0"/>
    <x v="1"/>
    <x v="0"/>
    <x v="1"/>
    <n v="29"/>
    <x v="0"/>
    <x v="2"/>
    <x v="1"/>
    <x v="1"/>
    <x v="2"/>
    <x v="0"/>
    <x v="0"/>
    <n v="17208"/>
    <n v="18419"/>
    <n v="0"/>
    <n v="0"/>
    <n v="0"/>
    <n v="0"/>
    <n v="2055"/>
    <n v="0"/>
    <n v="0"/>
    <n v="0"/>
    <n v="0"/>
    <n v="0"/>
    <n v="0"/>
    <x v="1"/>
    <n v="15153"/>
    <x v="0"/>
  </r>
  <r>
    <x v="559"/>
    <n v="210000"/>
    <x v="1"/>
    <x v="0"/>
    <x v="2"/>
    <x v="0"/>
    <n v="53"/>
    <x v="2"/>
    <x v="2"/>
    <x v="1"/>
    <x v="1"/>
    <x v="1"/>
    <x v="1"/>
    <x v="2"/>
    <n v="57192"/>
    <n v="58472"/>
    <n v="59658"/>
    <n v="60466"/>
    <n v="61593"/>
    <n v="65163"/>
    <n v="2800"/>
    <n v="2753"/>
    <n v="2400"/>
    <n v="2255"/>
    <n v="4767"/>
    <n v="0"/>
    <n v="0"/>
    <x v="1"/>
    <n v="54392"/>
    <x v="1"/>
  </r>
  <r>
    <x v="560"/>
    <n v="270000"/>
    <x v="1"/>
    <x v="1"/>
    <x v="1"/>
    <x v="1"/>
    <n v="34"/>
    <x v="1"/>
    <x v="1"/>
    <x v="2"/>
    <x v="1"/>
    <x v="0"/>
    <x v="2"/>
    <x v="3"/>
    <n v="5780"/>
    <n v="12006"/>
    <n v="15736"/>
    <n v="6621"/>
    <n v="2457"/>
    <n v="14923"/>
    <n v="12006"/>
    <n v="5736"/>
    <n v="6621"/>
    <n v="2457"/>
    <n v="14923"/>
    <n v="1712"/>
    <n v="0"/>
    <x v="1"/>
    <n v="-6226"/>
    <x v="3"/>
  </r>
  <r>
    <x v="561"/>
    <n v="360000"/>
    <x v="2"/>
    <x v="0"/>
    <x v="0"/>
    <x v="1"/>
    <n v="52"/>
    <x v="2"/>
    <x v="3"/>
    <x v="3"/>
    <x v="3"/>
    <x v="2"/>
    <x v="0"/>
    <x v="0"/>
    <n v="640"/>
    <n v="2113"/>
    <n v="-6"/>
    <n v="999"/>
    <n v="944"/>
    <n v="-3"/>
    <n v="2231"/>
    <n v="0"/>
    <n v="1005"/>
    <n v="948"/>
    <n v="0"/>
    <n v="789"/>
    <n v="0"/>
    <x v="1"/>
    <n v="-1591"/>
    <x v="3"/>
  </r>
  <r>
    <x v="562"/>
    <n v="60000"/>
    <x v="0"/>
    <x v="0"/>
    <x v="0"/>
    <x v="0"/>
    <n v="42"/>
    <x v="3"/>
    <x v="1"/>
    <x v="2"/>
    <x v="0"/>
    <x v="0"/>
    <x v="2"/>
    <x v="3"/>
    <n v="631"/>
    <n v="2790"/>
    <n v="1758"/>
    <n v="416"/>
    <n v="416"/>
    <n v="3640"/>
    <n v="2790"/>
    <n v="1758"/>
    <n v="416"/>
    <n v="416"/>
    <n v="3640"/>
    <n v="730"/>
    <n v="0"/>
    <x v="1"/>
    <n v="-2159"/>
    <x v="3"/>
  </r>
  <r>
    <x v="563"/>
    <n v="360000"/>
    <x v="2"/>
    <x v="1"/>
    <x v="0"/>
    <x v="1"/>
    <n v="38"/>
    <x v="1"/>
    <x v="1"/>
    <x v="1"/>
    <x v="1"/>
    <x v="1"/>
    <x v="1"/>
    <x v="2"/>
    <n v="108351"/>
    <n v="111201"/>
    <n v="63146"/>
    <n v="63723"/>
    <n v="65108"/>
    <n v="66078"/>
    <n v="8005"/>
    <n v="8004"/>
    <n v="5000"/>
    <n v="5000"/>
    <n v="5000"/>
    <n v="105700"/>
    <n v="0"/>
    <x v="1"/>
    <n v="100346"/>
    <x v="2"/>
  </r>
  <r>
    <x v="564"/>
    <n v="390000"/>
    <x v="2"/>
    <x v="0"/>
    <x v="1"/>
    <x v="1"/>
    <n v="45"/>
    <x v="3"/>
    <x v="0"/>
    <x v="0"/>
    <x v="2"/>
    <x v="0"/>
    <x v="3"/>
    <x v="1"/>
    <n v="834"/>
    <n v="155"/>
    <n v="-1690"/>
    <n v="4240"/>
    <n v="3346"/>
    <n v="2698"/>
    <n v="1"/>
    <n v="1693"/>
    <n v="6940"/>
    <n v="7"/>
    <n v="1230"/>
    <n v="3"/>
    <n v="0"/>
    <x v="1"/>
    <n v="833"/>
    <x v="0"/>
  </r>
  <r>
    <x v="565"/>
    <n v="250000"/>
    <x v="1"/>
    <x v="0"/>
    <x v="2"/>
    <x v="1"/>
    <n v="35"/>
    <x v="1"/>
    <x v="3"/>
    <x v="3"/>
    <x v="3"/>
    <x v="2"/>
    <x v="0"/>
    <x v="0"/>
    <n v="7244"/>
    <n v="8472"/>
    <n v="1738"/>
    <n v="6706"/>
    <n v="2391"/>
    <n v="11082"/>
    <n v="8514"/>
    <n v="1751"/>
    <n v="6739"/>
    <n v="2403"/>
    <n v="11137"/>
    <n v="13407"/>
    <n v="0"/>
    <x v="1"/>
    <n v="-1270"/>
    <x v="3"/>
  </r>
  <r>
    <x v="566"/>
    <n v="90000"/>
    <x v="0"/>
    <x v="0"/>
    <x v="1"/>
    <x v="1"/>
    <n v="24"/>
    <x v="0"/>
    <x v="2"/>
    <x v="1"/>
    <x v="1"/>
    <x v="1"/>
    <x v="1"/>
    <x v="2"/>
    <n v="13141"/>
    <n v="14526"/>
    <n v="15482"/>
    <n v="18219"/>
    <n v="22737"/>
    <n v="23387"/>
    <n v="1600"/>
    <n v="1500"/>
    <n v="3000"/>
    <n v="5000"/>
    <n v="1020"/>
    <n v="764"/>
    <n v="1"/>
    <x v="0"/>
    <n v="11541"/>
    <x v="0"/>
  </r>
  <r>
    <x v="567"/>
    <n v="360000"/>
    <x v="2"/>
    <x v="1"/>
    <x v="1"/>
    <x v="1"/>
    <n v="28"/>
    <x v="0"/>
    <x v="1"/>
    <x v="2"/>
    <x v="0"/>
    <x v="0"/>
    <x v="2"/>
    <x v="3"/>
    <n v="7071"/>
    <n v="401"/>
    <n v="3545"/>
    <n v="10540"/>
    <n v="10132"/>
    <n v="6220"/>
    <n v="1510"/>
    <n v="3575"/>
    <n v="10573"/>
    <n v="10155"/>
    <n v="6240"/>
    <n v="16071"/>
    <n v="0"/>
    <x v="1"/>
    <n v="5561"/>
    <x v="0"/>
  </r>
  <r>
    <x v="568"/>
    <n v="50000"/>
    <x v="0"/>
    <x v="1"/>
    <x v="2"/>
    <x v="1"/>
    <n v="26"/>
    <x v="0"/>
    <x v="2"/>
    <x v="1"/>
    <x v="1"/>
    <x v="1"/>
    <x v="1"/>
    <x v="2"/>
    <n v="35429"/>
    <n v="30626"/>
    <n v="30241"/>
    <n v="20284"/>
    <n v="19166"/>
    <n v="19567"/>
    <n v="1537"/>
    <n v="1947"/>
    <n v="800"/>
    <n v="1000"/>
    <n v="718"/>
    <n v="683"/>
    <n v="0"/>
    <x v="1"/>
    <n v="33892"/>
    <x v="1"/>
  </r>
  <r>
    <x v="569"/>
    <n v="270000"/>
    <x v="1"/>
    <x v="0"/>
    <x v="1"/>
    <x v="0"/>
    <n v="40"/>
    <x v="3"/>
    <x v="2"/>
    <x v="1"/>
    <x v="1"/>
    <x v="2"/>
    <x v="0"/>
    <x v="0"/>
    <n v="18751"/>
    <n v="5706"/>
    <n v="0"/>
    <n v="0"/>
    <n v="0"/>
    <n v="0"/>
    <n v="1000"/>
    <n v="0"/>
    <n v="0"/>
    <n v="0"/>
    <n v="0"/>
    <n v="0"/>
    <n v="0"/>
    <x v="1"/>
    <n v="17751"/>
    <x v="0"/>
  </r>
  <r>
    <x v="570"/>
    <n v="200000"/>
    <x v="1"/>
    <x v="0"/>
    <x v="1"/>
    <x v="1"/>
    <n v="29"/>
    <x v="0"/>
    <x v="4"/>
    <x v="2"/>
    <x v="0"/>
    <x v="0"/>
    <x v="2"/>
    <x v="3"/>
    <n v="55788"/>
    <n v="8360"/>
    <n v="4897"/>
    <n v="5065"/>
    <n v="19468"/>
    <n v="0"/>
    <n v="8394"/>
    <n v="4927"/>
    <n v="5089"/>
    <n v="19561"/>
    <n v="0"/>
    <n v="125"/>
    <n v="0"/>
    <x v="1"/>
    <n v="47394"/>
    <x v="1"/>
  </r>
  <r>
    <x v="571"/>
    <n v="50000"/>
    <x v="0"/>
    <x v="0"/>
    <x v="0"/>
    <x v="1"/>
    <n v="23"/>
    <x v="0"/>
    <x v="2"/>
    <x v="1"/>
    <x v="1"/>
    <x v="1"/>
    <x v="1"/>
    <x v="2"/>
    <n v="49809"/>
    <n v="50364"/>
    <n v="38429"/>
    <n v="18815"/>
    <n v="18305"/>
    <n v="19013"/>
    <n v="2040"/>
    <n v="2766"/>
    <n v="1690"/>
    <n v="1000"/>
    <n v="1000"/>
    <n v="1000"/>
    <n v="0"/>
    <x v="1"/>
    <n v="47769"/>
    <x v="1"/>
  </r>
  <r>
    <x v="572"/>
    <n v="350000"/>
    <x v="2"/>
    <x v="1"/>
    <x v="1"/>
    <x v="1"/>
    <n v="33"/>
    <x v="1"/>
    <x v="1"/>
    <x v="2"/>
    <x v="0"/>
    <x v="2"/>
    <x v="0"/>
    <x v="3"/>
    <n v="10900"/>
    <n v="10478"/>
    <n v="-22"/>
    <n v="-22"/>
    <n v="-22"/>
    <n v="4532"/>
    <n v="10530"/>
    <n v="0"/>
    <n v="0"/>
    <n v="0"/>
    <n v="4554"/>
    <n v="0"/>
    <n v="0"/>
    <x v="1"/>
    <n v="370"/>
    <x v="0"/>
  </r>
  <r>
    <x v="573"/>
    <n v="160000"/>
    <x v="1"/>
    <x v="0"/>
    <x v="0"/>
    <x v="1"/>
    <n v="60"/>
    <x v="2"/>
    <x v="3"/>
    <x v="2"/>
    <x v="0"/>
    <x v="1"/>
    <x v="2"/>
    <x v="3"/>
    <n v="3128"/>
    <n v="5156"/>
    <n v="1089"/>
    <n v="489"/>
    <n v="3177"/>
    <n v="1009"/>
    <n v="5156"/>
    <n v="1089"/>
    <n v="0"/>
    <n v="3177"/>
    <n v="1009"/>
    <n v="0"/>
    <n v="1"/>
    <x v="0"/>
    <n v="-2028"/>
    <x v="3"/>
  </r>
  <r>
    <x v="574"/>
    <n v="80000"/>
    <x v="0"/>
    <x v="0"/>
    <x v="2"/>
    <x v="0"/>
    <n v="49"/>
    <x v="3"/>
    <x v="1"/>
    <x v="2"/>
    <x v="0"/>
    <x v="0"/>
    <x v="2"/>
    <x v="3"/>
    <n v="3367"/>
    <n v="4641"/>
    <n v="2290"/>
    <n v="1459"/>
    <n v="6764"/>
    <n v="7601"/>
    <n v="4641"/>
    <n v="2290"/>
    <n v="1459"/>
    <n v="6764"/>
    <n v="7601"/>
    <n v="7990"/>
    <n v="0"/>
    <x v="1"/>
    <n v="-1274"/>
    <x v="3"/>
  </r>
  <r>
    <x v="575"/>
    <n v="290000"/>
    <x v="1"/>
    <x v="1"/>
    <x v="1"/>
    <x v="0"/>
    <n v="53"/>
    <x v="2"/>
    <x v="0"/>
    <x v="1"/>
    <x v="1"/>
    <x v="1"/>
    <x v="1"/>
    <x v="2"/>
    <n v="279610"/>
    <n v="282024"/>
    <n v="282508"/>
    <n v="284660"/>
    <n v="255892"/>
    <n v="238266"/>
    <n v="13000"/>
    <n v="10200"/>
    <n v="10265"/>
    <n v="8803"/>
    <n v="8300"/>
    <n v="8546"/>
    <n v="1"/>
    <x v="0"/>
    <n v="266610"/>
    <x v="2"/>
  </r>
  <r>
    <x v="576"/>
    <n v="270000"/>
    <x v="1"/>
    <x v="0"/>
    <x v="1"/>
    <x v="1"/>
    <n v="28"/>
    <x v="0"/>
    <x v="1"/>
    <x v="2"/>
    <x v="0"/>
    <x v="1"/>
    <x v="1"/>
    <x v="2"/>
    <n v="475"/>
    <n v="475"/>
    <n v="5691"/>
    <n v="37526"/>
    <n v="50565"/>
    <n v="48888"/>
    <n v="475"/>
    <n v="5691"/>
    <n v="34000"/>
    <n v="14000"/>
    <n v="8000"/>
    <n v="15000"/>
    <n v="0"/>
    <x v="1"/>
    <n v="0"/>
    <x v="3"/>
  </r>
  <r>
    <x v="577"/>
    <n v="80000"/>
    <x v="0"/>
    <x v="1"/>
    <x v="1"/>
    <x v="1"/>
    <n v="31"/>
    <x v="1"/>
    <x v="1"/>
    <x v="2"/>
    <x v="0"/>
    <x v="0"/>
    <x v="3"/>
    <x v="3"/>
    <n v="5994"/>
    <n v="32223"/>
    <n v="8308"/>
    <n v="4082"/>
    <n v="538"/>
    <n v="4085"/>
    <n v="13647"/>
    <n v="8314"/>
    <n v="4082"/>
    <n v="0"/>
    <n v="4085"/>
    <n v="0"/>
    <n v="0"/>
    <x v="1"/>
    <n v="-7653"/>
    <x v="3"/>
  </r>
  <r>
    <x v="578"/>
    <n v="50000"/>
    <x v="0"/>
    <x v="1"/>
    <x v="0"/>
    <x v="1"/>
    <n v="36"/>
    <x v="1"/>
    <x v="2"/>
    <x v="1"/>
    <x v="1"/>
    <x v="1"/>
    <x v="1"/>
    <x v="2"/>
    <n v="5197"/>
    <n v="6015"/>
    <n v="6615"/>
    <n v="7131"/>
    <n v="6987"/>
    <n v="6980"/>
    <n v="1300"/>
    <n v="1100"/>
    <n v="1000"/>
    <n v="500"/>
    <n v="500"/>
    <n v="1000"/>
    <n v="0"/>
    <x v="1"/>
    <n v="3897"/>
    <x v="0"/>
  </r>
  <r>
    <x v="579"/>
    <n v="30000"/>
    <x v="0"/>
    <x v="1"/>
    <x v="0"/>
    <x v="0"/>
    <n v="35"/>
    <x v="1"/>
    <x v="3"/>
    <x v="2"/>
    <x v="0"/>
    <x v="0"/>
    <x v="2"/>
    <x v="0"/>
    <n v="7797"/>
    <n v="2687"/>
    <n v="8762"/>
    <n v="3377"/>
    <n v="2000"/>
    <n v="0"/>
    <n v="2687"/>
    <n v="8765"/>
    <n v="3390"/>
    <n v="2040"/>
    <n v="0"/>
    <n v="0"/>
    <n v="0"/>
    <x v="1"/>
    <n v="5110"/>
    <x v="0"/>
  </r>
  <r>
    <x v="580"/>
    <n v="30000"/>
    <x v="0"/>
    <x v="1"/>
    <x v="0"/>
    <x v="1"/>
    <n v="28"/>
    <x v="0"/>
    <x v="4"/>
    <x v="2"/>
    <x v="0"/>
    <x v="2"/>
    <x v="0"/>
    <x v="0"/>
    <n v="0"/>
    <n v="780"/>
    <n v="0"/>
    <n v="0"/>
    <n v="0"/>
    <n v="0"/>
    <n v="780"/>
    <n v="0"/>
    <n v="0"/>
    <n v="0"/>
    <n v="0"/>
    <n v="0"/>
    <n v="1"/>
    <x v="0"/>
    <n v="-780"/>
    <x v="3"/>
  </r>
  <r>
    <x v="581"/>
    <n v="90000"/>
    <x v="0"/>
    <x v="1"/>
    <x v="0"/>
    <x v="1"/>
    <n v="33"/>
    <x v="1"/>
    <x v="1"/>
    <x v="1"/>
    <x v="1"/>
    <x v="1"/>
    <x v="1"/>
    <x v="2"/>
    <n v="35785"/>
    <n v="29155"/>
    <n v="27485"/>
    <n v="29266"/>
    <n v="35598"/>
    <n v="38449"/>
    <n v="15155"/>
    <n v="5485"/>
    <n v="5263"/>
    <n v="8598"/>
    <n v="5449"/>
    <n v="6537"/>
    <n v="0"/>
    <x v="1"/>
    <n v="20630"/>
    <x v="0"/>
  </r>
  <r>
    <x v="582"/>
    <n v="160000"/>
    <x v="1"/>
    <x v="1"/>
    <x v="1"/>
    <x v="1"/>
    <n v="26"/>
    <x v="0"/>
    <x v="1"/>
    <x v="2"/>
    <x v="0"/>
    <x v="0"/>
    <x v="2"/>
    <x v="3"/>
    <n v="1433"/>
    <n v="3746"/>
    <n v="30258"/>
    <n v="1036"/>
    <n v="21572"/>
    <n v="9528"/>
    <n v="3757"/>
    <n v="30348"/>
    <n v="1044"/>
    <n v="21636"/>
    <n v="9556"/>
    <n v="6066"/>
    <n v="0"/>
    <x v="1"/>
    <n v="-2324"/>
    <x v="3"/>
  </r>
  <r>
    <x v="583"/>
    <n v="80000"/>
    <x v="0"/>
    <x v="0"/>
    <x v="2"/>
    <x v="1"/>
    <n v="53"/>
    <x v="2"/>
    <x v="2"/>
    <x v="1"/>
    <x v="1"/>
    <x v="1"/>
    <x v="1"/>
    <x v="2"/>
    <n v="77766"/>
    <n v="77954"/>
    <n v="78512"/>
    <n v="60452"/>
    <n v="61556"/>
    <n v="54022"/>
    <n v="4000"/>
    <n v="2374"/>
    <n v="2007"/>
    <n v="2500"/>
    <n v="3000"/>
    <n v="2000"/>
    <n v="0"/>
    <x v="1"/>
    <n v="73766"/>
    <x v="1"/>
  </r>
  <r>
    <x v="584"/>
    <n v="50000"/>
    <x v="0"/>
    <x v="1"/>
    <x v="0"/>
    <x v="1"/>
    <n v="42"/>
    <x v="3"/>
    <x v="2"/>
    <x v="1"/>
    <x v="1"/>
    <x v="1"/>
    <x v="1"/>
    <x v="2"/>
    <n v="50300"/>
    <n v="50898"/>
    <n v="49111"/>
    <n v="48943"/>
    <n v="45775"/>
    <n v="0"/>
    <n v="2200"/>
    <n v="1600"/>
    <n v="1700"/>
    <n v="1700"/>
    <n v="0"/>
    <n v="0"/>
    <n v="0"/>
    <x v="1"/>
    <n v="48100"/>
    <x v="1"/>
  </r>
  <r>
    <x v="585"/>
    <n v="20000"/>
    <x v="0"/>
    <x v="0"/>
    <x v="1"/>
    <x v="1"/>
    <n v="25"/>
    <x v="0"/>
    <x v="2"/>
    <x v="1"/>
    <x v="1"/>
    <x v="1"/>
    <x v="1"/>
    <x v="1"/>
    <n v="14603"/>
    <n v="15661"/>
    <n v="16394"/>
    <n v="16723"/>
    <n v="18056"/>
    <n v="17618"/>
    <n v="1600"/>
    <n v="1300"/>
    <n v="600"/>
    <n v="1600"/>
    <n v="0"/>
    <n v="800"/>
    <n v="0"/>
    <x v="1"/>
    <n v="13003"/>
    <x v="0"/>
  </r>
  <r>
    <x v="586"/>
    <n v="220000"/>
    <x v="1"/>
    <x v="1"/>
    <x v="1"/>
    <x v="0"/>
    <n v="43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587"/>
    <n v="210000"/>
    <x v="1"/>
    <x v="1"/>
    <x v="2"/>
    <x v="1"/>
    <n v="25"/>
    <x v="0"/>
    <x v="1"/>
    <x v="2"/>
    <x v="2"/>
    <x v="0"/>
    <x v="2"/>
    <x v="3"/>
    <n v="8817"/>
    <n v="23634"/>
    <n v="21776"/>
    <n v="9631"/>
    <n v="1561"/>
    <n v="1990"/>
    <n v="23776"/>
    <n v="0"/>
    <n v="9631"/>
    <n v="1561"/>
    <n v="1990"/>
    <n v="7967"/>
    <n v="1"/>
    <x v="0"/>
    <n v="-14959"/>
    <x v="3"/>
  </r>
  <r>
    <x v="588"/>
    <n v="130000"/>
    <x v="1"/>
    <x v="0"/>
    <x v="0"/>
    <x v="1"/>
    <n v="29"/>
    <x v="0"/>
    <x v="2"/>
    <x v="1"/>
    <x v="1"/>
    <x v="1"/>
    <x v="1"/>
    <x v="2"/>
    <n v="131575"/>
    <n v="130931"/>
    <n v="132969"/>
    <n v="45584"/>
    <n v="46516"/>
    <n v="47455"/>
    <n v="6700"/>
    <n v="6000"/>
    <n v="1291"/>
    <n v="1319"/>
    <n v="1336"/>
    <n v="1365"/>
    <n v="0"/>
    <x v="1"/>
    <n v="124875"/>
    <x v="2"/>
  </r>
  <r>
    <x v="589"/>
    <n v="260000"/>
    <x v="1"/>
    <x v="0"/>
    <x v="0"/>
    <x v="0"/>
    <n v="31"/>
    <x v="1"/>
    <x v="1"/>
    <x v="2"/>
    <x v="1"/>
    <x v="1"/>
    <x v="2"/>
    <x v="3"/>
    <n v="5841"/>
    <n v="23194"/>
    <n v="62361"/>
    <n v="67057"/>
    <n v="17024"/>
    <n v="18659"/>
    <n v="23194"/>
    <n v="50000"/>
    <n v="11500"/>
    <n v="17024"/>
    <n v="18659"/>
    <n v="38923"/>
    <n v="0"/>
    <x v="1"/>
    <n v="-17353"/>
    <x v="3"/>
  </r>
  <r>
    <x v="590"/>
    <n v="230000"/>
    <x v="1"/>
    <x v="0"/>
    <x v="1"/>
    <x v="0"/>
    <n v="30"/>
    <x v="1"/>
    <x v="2"/>
    <x v="1"/>
    <x v="1"/>
    <x v="0"/>
    <x v="1"/>
    <x v="2"/>
    <n v="30341"/>
    <n v="25981"/>
    <n v="24092"/>
    <n v="65840"/>
    <n v="56538"/>
    <n v="51522"/>
    <n v="5000"/>
    <n v="5000"/>
    <n v="65840"/>
    <n v="2000"/>
    <n v="2000"/>
    <n v="10000"/>
    <n v="0"/>
    <x v="1"/>
    <n v="25341"/>
    <x v="1"/>
  </r>
  <r>
    <x v="591"/>
    <n v="160000"/>
    <x v="1"/>
    <x v="1"/>
    <x v="1"/>
    <x v="1"/>
    <n v="34"/>
    <x v="1"/>
    <x v="2"/>
    <x v="1"/>
    <x v="1"/>
    <x v="1"/>
    <x v="1"/>
    <x v="2"/>
    <n v="83255"/>
    <n v="83912"/>
    <n v="85161"/>
    <n v="85715"/>
    <n v="86773"/>
    <n v="87526"/>
    <n v="4000"/>
    <n v="3924"/>
    <n v="3200"/>
    <n v="3300"/>
    <n v="3425"/>
    <n v="3013"/>
    <n v="0"/>
    <x v="1"/>
    <n v="79255"/>
    <x v="1"/>
  </r>
  <r>
    <x v="592"/>
    <n v="50000"/>
    <x v="0"/>
    <x v="1"/>
    <x v="1"/>
    <x v="0"/>
    <n v="35"/>
    <x v="1"/>
    <x v="2"/>
    <x v="1"/>
    <x v="1"/>
    <x v="1"/>
    <x v="1"/>
    <x v="2"/>
    <n v="34976"/>
    <n v="6018"/>
    <n v="13930"/>
    <n v="7106"/>
    <n v="6020"/>
    <n v="9011"/>
    <n v="1127"/>
    <n v="1074"/>
    <n v="215"/>
    <n v="249"/>
    <n v="4383"/>
    <n v="172"/>
    <n v="0"/>
    <x v="1"/>
    <n v="33849"/>
    <x v="1"/>
  </r>
  <r>
    <x v="593"/>
    <n v="80000"/>
    <x v="0"/>
    <x v="1"/>
    <x v="0"/>
    <x v="0"/>
    <n v="32"/>
    <x v="1"/>
    <x v="2"/>
    <x v="1"/>
    <x v="1"/>
    <x v="1"/>
    <x v="1"/>
    <x v="2"/>
    <n v="48747"/>
    <n v="45955"/>
    <n v="44989"/>
    <n v="41358"/>
    <n v="42379"/>
    <n v="38052"/>
    <n v="2145"/>
    <n v="1844"/>
    <n v="2009"/>
    <n v="5017"/>
    <n v="2000"/>
    <n v="5002"/>
    <n v="0"/>
    <x v="1"/>
    <n v="46602"/>
    <x v="1"/>
  </r>
  <r>
    <x v="594"/>
    <n v="110000"/>
    <x v="1"/>
    <x v="1"/>
    <x v="2"/>
    <x v="1"/>
    <n v="46"/>
    <x v="3"/>
    <x v="2"/>
    <x v="1"/>
    <x v="1"/>
    <x v="1"/>
    <x v="1"/>
    <x v="2"/>
    <n v="56700"/>
    <n v="57875"/>
    <n v="59044"/>
    <n v="59756"/>
    <n v="61004"/>
    <n v="62213"/>
    <n v="2681"/>
    <n v="2724"/>
    <n v="2287"/>
    <n v="2362"/>
    <n v="2374"/>
    <n v="2454"/>
    <n v="0"/>
    <x v="1"/>
    <n v="54019"/>
    <x v="1"/>
  </r>
  <r>
    <x v="595"/>
    <n v="200000"/>
    <x v="1"/>
    <x v="1"/>
    <x v="1"/>
    <x v="0"/>
    <n v="43"/>
    <x v="3"/>
    <x v="2"/>
    <x v="1"/>
    <x v="1"/>
    <x v="1"/>
    <x v="1"/>
    <x v="2"/>
    <n v="144678"/>
    <n v="140804"/>
    <n v="136437"/>
    <n v="135253"/>
    <n v="134629"/>
    <n v="134309"/>
    <n v="5090"/>
    <n v="5014"/>
    <n v="5009"/>
    <n v="4844"/>
    <n v="5002"/>
    <n v="4902"/>
    <n v="0"/>
    <x v="1"/>
    <n v="139588"/>
    <x v="2"/>
  </r>
  <r>
    <x v="596"/>
    <n v="360000"/>
    <x v="2"/>
    <x v="1"/>
    <x v="0"/>
    <x v="1"/>
    <n v="29"/>
    <x v="0"/>
    <x v="2"/>
    <x v="1"/>
    <x v="1"/>
    <x v="1"/>
    <x v="1"/>
    <x v="2"/>
    <n v="268112"/>
    <n v="263368"/>
    <n v="259969"/>
    <n v="255832"/>
    <n v="245462"/>
    <n v="250244"/>
    <n v="9429"/>
    <n v="8738"/>
    <n v="7017"/>
    <n v="7154"/>
    <n v="7073"/>
    <n v="7300"/>
    <n v="0"/>
    <x v="1"/>
    <n v="258683"/>
    <x v="2"/>
  </r>
  <r>
    <x v="597"/>
    <n v="210000"/>
    <x v="1"/>
    <x v="0"/>
    <x v="2"/>
    <x v="1"/>
    <n v="31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598"/>
    <n v="80000"/>
    <x v="0"/>
    <x v="0"/>
    <x v="0"/>
    <x v="1"/>
    <n v="24"/>
    <x v="0"/>
    <x v="0"/>
    <x v="1"/>
    <x v="1"/>
    <x v="1"/>
    <x v="1"/>
    <x v="2"/>
    <n v="79243"/>
    <n v="75254"/>
    <n v="58683"/>
    <n v="58886"/>
    <n v="60035"/>
    <n v="57264"/>
    <n v="3249"/>
    <n v="3000"/>
    <n v="5000"/>
    <n v="2500"/>
    <n v="2300"/>
    <n v="2200"/>
    <n v="0"/>
    <x v="1"/>
    <n v="75994"/>
    <x v="1"/>
  </r>
  <r>
    <x v="599"/>
    <n v="300000"/>
    <x v="1"/>
    <x v="0"/>
    <x v="0"/>
    <x v="0"/>
    <n v="36"/>
    <x v="1"/>
    <x v="1"/>
    <x v="2"/>
    <x v="2"/>
    <x v="1"/>
    <x v="2"/>
    <x v="3"/>
    <n v="-475"/>
    <n v="5191"/>
    <n v="4606"/>
    <n v="2303"/>
    <n v="2768"/>
    <n v="65373"/>
    <n v="10000"/>
    <n v="0"/>
    <n v="0"/>
    <n v="2768"/>
    <n v="65373"/>
    <n v="10780"/>
    <n v="1"/>
    <x v="0"/>
    <n v="-10475"/>
    <x v="3"/>
  </r>
  <r>
    <x v="600"/>
    <n v="310000"/>
    <x v="2"/>
    <x v="0"/>
    <x v="0"/>
    <x v="0"/>
    <n v="43"/>
    <x v="3"/>
    <x v="2"/>
    <x v="1"/>
    <x v="1"/>
    <x v="1"/>
    <x v="1"/>
    <x v="2"/>
    <n v="23396"/>
    <n v="24182"/>
    <n v="25135"/>
    <n v="25095"/>
    <n v="25356"/>
    <n v="25514"/>
    <n v="1426"/>
    <n v="1379"/>
    <n v="867"/>
    <n v="898"/>
    <n v="933"/>
    <n v="807"/>
    <n v="0"/>
    <x v="1"/>
    <n v="21970"/>
    <x v="0"/>
  </r>
  <r>
    <x v="601"/>
    <n v="30000"/>
    <x v="0"/>
    <x v="1"/>
    <x v="2"/>
    <x v="0"/>
    <n v="59"/>
    <x v="2"/>
    <x v="1"/>
    <x v="2"/>
    <x v="0"/>
    <x v="0"/>
    <x v="2"/>
    <x v="3"/>
    <n v="390"/>
    <n v="390"/>
    <n v="390"/>
    <n v="390"/>
    <n v="390"/>
    <n v="1320"/>
    <n v="390"/>
    <n v="390"/>
    <n v="390"/>
    <n v="390"/>
    <n v="1320"/>
    <n v="0"/>
    <n v="1"/>
    <x v="0"/>
    <n v="0"/>
    <x v="3"/>
  </r>
  <r>
    <x v="602"/>
    <n v="170000"/>
    <x v="1"/>
    <x v="1"/>
    <x v="1"/>
    <x v="0"/>
    <n v="53"/>
    <x v="2"/>
    <x v="2"/>
    <x v="1"/>
    <x v="1"/>
    <x v="1"/>
    <x v="1"/>
    <x v="2"/>
    <n v="17862"/>
    <n v="17927"/>
    <n v="18800"/>
    <n v="17647"/>
    <n v="18015"/>
    <n v="12930"/>
    <n v="1323"/>
    <n v="1196"/>
    <n v="544"/>
    <n v="563"/>
    <n v="629"/>
    <n v="361"/>
    <n v="0"/>
    <x v="1"/>
    <n v="16539"/>
    <x v="0"/>
  </r>
  <r>
    <x v="603"/>
    <n v="140000"/>
    <x v="1"/>
    <x v="0"/>
    <x v="0"/>
    <x v="1"/>
    <n v="28"/>
    <x v="0"/>
    <x v="0"/>
    <x v="0"/>
    <x v="2"/>
    <x v="1"/>
    <x v="1"/>
    <x v="1"/>
    <n v="26450"/>
    <n v="28823"/>
    <n v="28171"/>
    <n v="28740"/>
    <n v="30454"/>
    <n v="29930"/>
    <n v="3007"/>
    <n v="0"/>
    <n v="924"/>
    <n v="2070"/>
    <n v="0"/>
    <n v="3000"/>
    <n v="0"/>
    <x v="1"/>
    <n v="23443"/>
    <x v="0"/>
  </r>
  <r>
    <x v="604"/>
    <n v="180000"/>
    <x v="1"/>
    <x v="0"/>
    <x v="0"/>
    <x v="1"/>
    <n v="31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1576"/>
    <n v="0"/>
    <x v="1"/>
    <n v="0"/>
    <x v="3"/>
  </r>
  <r>
    <x v="605"/>
    <n v="50000"/>
    <x v="0"/>
    <x v="1"/>
    <x v="1"/>
    <x v="1"/>
    <n v="34"/>
    <x v="1"/>
    <x v="4"/>
    <x v="0"/>
    <x v="2"/>
    <x v="3"/>
    <x v="3"/>
    <x v="1"/>
    <n v="22746"/>
    <n v="22099"/>
    <n v="24121"/>
    <n v="23437"/>
    <n v="25101"/>
    <n v="24549"/>
    <n v="0"/>
    <n v="2700"/>
    <n v="0"/>
    <n v="2200"/>
    <n v="0"/>
    <n v="1030"/>
    <n v="0"/>
    <x v="1"/>
    <n v="22746"/>
    <x v="0"/>
  </r>
  <r>
    <x v="606"/>
    <n v="50000"/>
    <x v="0"/>
    <x v="0"/>
    <x v="0"/>
    <x v="0"/>
    <n v="36"/>
    <x v="1"/>
    <x v="2"/>
    <x v="1"/>
    <x v="1"/>
    <x v="1"/>
    <x v="1"/>
    <x v="0"/>
    <n v="9214"/>
    <n v="10359"/>
    <n v="7350"/>
    <n v="7500"/>
    <n v="0"/>
    <n v="0"/>
    <n v="1351"/>
    <n v="1500"/>
    <n v="150"/>
    <n v="0"/>
    <n v="0"/>
    <n v="0"/>
    <n v="0"/>
    <x v="1"/>
    <n v="7863"/>
    <x v="0"/>
  </r>
  <r>
    <x v="607"/>
    <n v="110000"/>
    <x v="1"/>
    <x v="0"/>
    <x v="1"/>
    <x v="1"/>
    <n v="24"/>
    <x v="0"/>
    <x v="2"/>
    <x v="1"/>
    <x v="1"/>
    <x v="1"/>
    <x v="3"/>
    <x v="2"/>
    <n v="40882"/>
    <n v="35428"/>
    <n v="39680"/>
    <n v="44097"/>
    <n v="42543"/>
    <n v="33189"/>
    <n v="2000"/>
    <n v="5000"/>
    <n v="5000"/>
    <n v="0"/>
    <n v="2000"/>
    <n v="3000"/>
    <n v="0"/>
    <x v="1"/>
    <n v="38882"/>
    <x v="1"/>
  </r>
  <r>
    <x v="608"/>
    <n v="450000"/>
    <x v="2"/>
    <x v="0"/>
    <x v="2"/>
    <x v="0"/>
    <n v="36"/>
    <x v="1"/>
    <x v="3"/>
    <x v="3"/>
    <x v="3"/>
    <x v="2"/>
    <x v="0"/>
    <x v="0"/>
    <n v="3996"/>
    <n v="9120"/>
    <n v="8528"/>
    <n v="0"/>
    <n v="6368"/>
    <n v="3000"/>
    <n v="9120"/>
    <n v="8528"/>
    <n v="0"/>
    <n v="6368"/>
    <n v="3000"/>
    <n v="3238"/>
    <n v="0"/>
    <x v="1"/>
    <n v="-5124"/>
    <x v="3"/>
  </r>
  <r>
    <x v="609"/>
    <n v="200000"/>
    <x v="1"/>
    <x v="0"/>
    <x v="0"/>
    <x v="0"/>
    <n v="34"/>
    <x v="1"/>
    <x v="1"/>
    <x v="2"/>
    <x v="0"/>
    <x v="0"/>
    <x v="2"/>
    <x v="3"/>
    <n v="390"/>
    <n v="390"/>
    <n v="390"/>
    <n v="561"/>
    <n v="390"/>
    <n v="390"/>
    <n v="390"/>
    <n v="390"/>
    <n v="561"/>
    <n v="390"/>
    <n v="390"/>
    <n v="390"/>
    <n v="0"/>
    <x v="1"/>
    <n v="0"/>
    <x v="3"/>
  </r>
  <r>
    <x v="610"/>
    <n v="220000"/>
    <x v="1"/>
    <x v="1"/>
    <x v="1"/>
    <x v="1"/>
    <n v="43"/>
    <x v="3"/>
    <x v="2"/>
    <x v="1"/>
    <x v="0"/>
    <x v="0"/>
    <x v="2"/>
    <x v="3"/>
    <n v="44177"/>
    <n v="25736"/>
    <n v="19292"/>
    <n v="18900"/>
    <n v="13580"/>
    <n v="33150"/>
    <n v="1006"/>
    <n v="32906"/>
    <n v="18900"/>
    <n v="13580"/>
    <n v="33150"/>
    <n v="0"/>
    <n v="0"/>
    <x v="1"/>
    <n v="43171"/>
    <x v="1"/>
  </r>
  <r>
    <x v="611"/>
    <n v="360000"/>
    <x v="2"/>
    <x v="0"/>
    <x v="1"/>
    <x v="1"/>
    <n v="29"/>
    <x v="0"/>
    <x v="2"/>
    <x v="1"/>
    <x v="3"/>
    <x v="2"/>
    <x v="0"/>
    <x v="3"/>
    <n v="3280"/>
    <n v="0"/>
    <n v="0"/>
    <n v="0"/>
    <n v="0"/>
    <n v="2650"/>
    <n v="0"/>
    <n v="0"/>
    <n v="0"/>
    <n v="0"/>
    <n v="2650"/>
    <n v="0"/>
    <n v="1"/>
    <x v="0"/>
    <n v="3280"/>
    <x v="0"/>
  </r>
  <r>
    <x v="612"/>
    <n v="50000"/>
    <x v="0"/>
    <x v="1"/>
    <x v="0"/>
    <x v="0"/>
    <n v="37"/>
    <x v="1"/>
    <x v="2"/>
    <x v="1"/>
    <x v="1"/>
    <x v="1"/>
    <x v="1"/>
    <x v="2"/>
    <n v="48226"/>
    <n v="48727"/>
    <n v="46228"/>
    <n v="46755"/>
    <n v="43686"/>
    <n v="44573"/>
    <n v="2000"/>
    <n v="1684"/>
    <n v="1601"/>
    <n v="2000"/>
    <n v="2000"/>
    <n v="2000"/>
    <n v="0"/>
    <x v="1"/>
    <n v="46226"/>
    <x v="1"/>
  </r>
  <r>
    <x v="613"/>
    <n v="40000"/>
    <x v="0"/>
    <x v="1"/>
    <x v="0"/>
    <x v="1"/>
    <n v="23"/>
    <x v="0"/>
    <x v="0"/>
    <x v="0"/>
    <x v="1"/>
    <x v="1"/>
    <x v="1"/>
    <x v="2"/>
    <n v="36650"/>
    <n v="29541"/>
    <n v="26190"/>
    <n v="26710"/>
    <n v="27274"/>
    <n v="29551"/>
    <n v="0"/>
    <n v="1435"/>
    <n v="955"/>
    <n v="993"/>
    <n v="2734"/>
    <n v="0"/>
    <n v="0"/>
    <x v="1"/>
    <n v="36650"/>
    <x v="1"/>
  </r>
  <r>
    <x v="614"/>
    <n v="190000"/>
    <x v="1"/>
    <x v="0"/>
    <x v="0"/>
    <x v="0"/>
    <n v="37"/>
    <x v="1"/>
    <x v="4"/>
    <x v="0"/>
    <x v="2"/>
    <x v="3"/>
    <x v="3"/>
    <x v="1"/>
    <n v="115049"/>
    <n v="117856"/>
    <n v="119570"/>
    <n v="116284"/>
    <n v="123528"/>
    <n v="125478"/>
    <n v="6000"/>
    <n v="5000"/>
    <n v="0"/>
    <n v="9000"/>
    <n v="4000"/>
    <n v="5000"/>
    <n v="0"/>
    <x v="1"/>
    <n v="109049"/>
    <x v="2"/>
  </r>
  <r>
    <x v="615"/>
    <n v="150000"/>
    <x v="1"/>
    <x v="1"/>
    <x v="1"/>
    <x v="1"/>
    <n v="33"/>
    <x v="1"/>
    <x v="2"/>
    <x v="1"/>
    <x v="1"/>
    <x v="1"/>
    <x v="1"/>
    <x v="2"/>
    <n v="21724"/>
    <n v="23168"/>
    <n v="23320"/>
    <n v="24085"/>
    <n v="24149"/>
    <n v="3323"/>
    <n v="2100"/>
    <n v="1200"/>
    <n v="965"/>
    <n v="64"/>
    <n v="509"/>
    <n v="8399"/>
    <n v="0"/>
    <x v="1"/>
    <n v="19624"/>
    <x v="0"/>
  </r>
  <r>
    <x v="616"/>
    <n v="200000"/>
    <x v="1"/>
    <x v="0"/>
    <x v="1"/>
    <x v="0"/>
    <n v="37"/>
    <x v="1"/>
    <x v="4"/>
    <x v="3"/>
    <x v="3"/>
    <x v="2"/>
    <x v="2"/>
    <x v="3"/>
    <n v="0"/>
    <n v="0"/>
    <n v="0"/>
    <n v="0"/>
    <n v="595"/>
    <n v="0"/>
    <n v="0"/>
    <n v="0"/>
    <n v="0"/>
    <n v="595"/>
    <n v="0"/>
    <n v="2370"/>
    <n v="0"/>
    <x v="1"/>
    <n v="0"/>
    <x v="3"/>
  </r>
  <r>
    <x v="617"/>
    <n v="270000"/>
    <x v="1"/>
    <x v="0"/>
    <x v="0"/>
    <x v="0"/>
    <n v="56"/>
    <x v="2"/>
    <x v="2"/>
    <x v="1"/>
    <x v="1"/>
    <x v="1"/>
    <x v="1"/>
    <x v="2"/>
    <n v="137807"/>
    <n v="123769"/>
    <n v="104377"/>
    <n v="106651"/>
    <n v="109294"/>
    <n v="101151"/>
    <n v="5000"/>
    <n v="5000"/>
    <n v="3953"/>
    <n v="4500"/>
    <n v="4000"/>
    <n v="3900"/>
    <n v="0"/>
    <x v="1"/>
    <n v="132807"/>
    <x v="2"/>
  </r>
  <r>
    <x v="618"/>
    <n v="60000"/>
    <x v="0"/>
    <x v="1"/>
    <x v="1"/>
    <x v="1"/>
    <n v="25"/>
    <x v="0"/>
    <x v="2"/>
    <x v="1"/>
    <x v="1"/>
    <x v="1"/>
    <x v="1"/>
    <x v="2"/>
    <n v="58839"/>
    <n v="53235"/>
    <n v="38533"/>
    <n v="39639"/>
    <n v="39619"/>
    <n v="39140"/>
    <n v="2018"/>
    <n v="1900"/>
    <n v="2000"/>
    <n v="1500"/>
    <n v="1900"/>
    <n v="2000"/>
    <n v="0"/>
    <x v="1"/>
    <n v="56821"/>
    <x v="1"/>
  </r>
  <r>
    <x v="619"/>
    <n v="200000"/>
    <x v="1"/>
    <x v="0"/>
    <x v="0"/>
    <x v="0"/>
    <n v="39"/>
    <x v="1"/>
    <x v="2"/>
    <x v="1"/>
    <x v="1"/>
    <x v="1"/>
    <x v="1"/>
    <x v="2"/>
    <n v="80833"/>
    <n v="79100"/>
    <n v="70764"/>
    <n v="71629"/>
    <n v="70805"/>
    <n v="70718"/>
    <n v="3315"/>
    <n v="3088"/>
    <n v="2572"/>
    <n v="2559"/>
    <n v="2526"/>
    <n v="2620"/>
    <n v="0"/>
    <x v="1"/>
    <n v="77518"/>
    <x v="1"/>
  </r>
  <r>
    <x v="620"/>
    <n v="150000"/>
    <x v="1"/>
    <x v="0"/>
    <x v="0"/>
    <x v="0"/>
    <n v="39"/>
    <x v="1"/>
    <x v="2"/>
    <x v="1"/>
    <x v="1"/>
    <x v="1"/>
    <x v="1"/>
    <x v="2"/>
    <n v="36146"/>
    <n v="36184"/>
    <n v="37511"/>
    <n v="33080"/>
    <n v="30223"/>
    <n v="31561"/>
    <n v="3000"/>
    <n v="3000"/>
    <n v="3000"/>
    <n v="2500"/>
    <n v="2000"/>
    <n v="2000"/>
    <n v="0"/>
    <x v="1"/>
    <n v="33146"/>
    <x v="1"/>
  </r>
  <r>
    <x v="621"/>
    <n v="180000"/>
    <x v="1"/>
    <x v="0"/>
    <x v="0"/>
    <x v="1"/>
    <n v="28"/>
    <x v="0"/>
    <x v="1"/>
    <x v="2"/>
    <x v="0"/>
    <x v="0"/>
    <x v="2"/>
    <x v="3"/>
    <n v="340"/>
    <n v="-120"/>
    <n v="420"/>
    <n v="460"/>
    <n v="460"/>
    <n v="610"/>
    <n v="0"/>
    <n v="1000"/>
    <n v="500"/>
    <n v="460"/>
    <n v="610"/>
    <n v="460"/>
    <n v="0"/>
    <x v="1"/>
    <n v="340"/>
    <x v="0"/>
  </r>
  <r>
    <x v="622"/>
    <n v="90000"/>
    <x v="0"/>
    <x v="0"/>
    <x v="1"/>
    <x v="1"/>
    <n v="27"/>
    <x v="0"/>
    <x v="2"/>
    <x v="1"/>
    <x v="3"/>
    <x v="2"/>
    <x v="0"/>
    <x v="0"/>
    <n v="7624"/>
    <n v="0"/>
    <n v="0"/>
    <n v="0"/>
    <n v="0"/>
    <n v="0"/>
    <n v="0"/>
    <n v="0"/>
    <n v="0"/>
    <n v="0"/>
    <n v="0"/>
    <n v="0"/>
    <n v="0"/>
    <x v="1"/>
    <n v="7624"/>
    <x v="0"/>
  </r>
  <r>
    <x v="623"/>
    <n v="360000"/>
    <x v="2"/>
    <x v="0"/>
    <x v="0"/>
    <x v="0"/>
    <n v="37"/>
    <x v="1"/>
    <x v="4"/>
    <x v="3"/>
    <x v="3"/>
    <x v="2"/>
    <x v="2"/>
    <x v="3"/>
    <n v="0"/>
    <n v="0"/>
    <n v="0"/>
    <n v="0"/>
    <n v="166"/>
    <n v="541"/>
    <n v="0"/>
    <n v="0"/>
    <n v="0"/>
    <n v="166"/>
    <n v="543"/>
    <n v="4268"/>
    <n v="0"/>
    <x v="1"/>
    <n v="0"/>
    <x v="3"/>
  </r>
  <r>
    <x v="624"/>
    <n v="90000"/>
    <x v="0"/>
    <x v="0"/>
    <x v="1"/>
    <x v="1"/>
    <n v="24"/>
    <x v="0"/>
    <x v="1"/>
    <x v="2"/>
    <x v="3"/>
    <x v="2"/>
    <x v="0"/>
    <x v="0"/>
    <n v="491"/>
    <n v="0"/>
    <n v="0"/>
    <n v="0"/>
    <n v="0"/>
    <n v="0"/>
    <n v="0"/>
    <n v="0"/>
    <n v="0"/>
    <n v="0"/>
    <n v="0"/>
    <n v="0"/>
    <n v="0"/>
    <x v="1"/>
    <n v="491"/>
    <x v="0"/>
  </r>
  <r>
    <x v="625"/>
    <n v="20000"/>
    <x v="0"/>
    <x v="0"/>
    <x v="0"/>
    <x v="1"/>
    <n v="24"/>
    <x v="0"/>
    <x v="2"/>
    <x v="1"/>
    <x v="1"/>
    <x v="1"/>
    <x v="3"/>
    <x v="2"/>
    <n v="13168"/>
    <n v="13888"/>
    <n v="14900"/>
    <n v="15916"/>
    <n v="15519"/>
    <n v="15829"/>
    <n v="1237"/>
    <n v="1249"/>
    <n v="1265"/>
    <n v="0"/>
    <n v="568"/>
    <n v="1327"/>
    <n v="0"/>
    <x v="1"/>
    <n v="11931"/>
    <x v="0"/>
  </r>
  <r>
    <x v="626"/>
    <n v="70000"/>
    <x v="0"/>
    <x v="1"/>
    <x v="1"/>
    <x v="0"/>
    <n v="46"/>
    <x v="3"/>
    <x v="2"/>
    <x v="1"/>
    <x v="1"/>
    <x v="1"/>
    <x v="1"/>
    <x v="2"/>
    <n v="60040"/>
    <n v="55274"/>
    <n v="51766"/>
    <n v="51757"/>
    <n v="50013"/>
    <n v="49946"/>
    <n v="2600"/>
    <n v="1800"/>
    <n v="2000"/>
    <n v="3140"/>
    <n v="2000"/>
    <n v="1800"/>
    <n v="0"/>
    <x v="1"/>
    <n v="57440"/>
    <x v="1"/>
  </r>
  <r>
    <x v="627"/>
    <n v="230000"/>
    <x v="1"/>
    <x v="1"/>
    <x v="1"/>
    <x v="0"/>
    <n v="39"/>
    <x v="1"/>
    <x v="1"/>
    <x v="2"/>
    <x v="0"/>
    <x v="0"/>
    <x v="2"/>
    <x v="3"/>
    <n v="660"/>
    <n v="660"/>
    <n v="660"/>
    <n v="660"/>
    <n v="660"/>
    <n v="660"/>
    <n v="660"/>
    <n v="660"/>
    <n v="660"/>
    <n v="660"/>
    <n v="660"/>
    <n v="660"/>
    <n v="0"/>
    <x v="1"/>
    <n v="0"/>
    <x v="3"/>
  </r>
  <r>
    <x v="628"/>
    <n v="30000"/>
    <x v="0"/>
    <x v="1"/>
    <x v="2"/>
    <x v="0"/>
    <n v="48"/>
    <x v="3"/>
    <x v="2"/>
    <x v="1"/>
    <x v="1"/>
    <x v="1"/>
    <x v="1"/>
    <x v="2"/>
    <n v="29434"/>
    <n v="28960"/>
    <n v="29022"/>
    <n v="29201"/>
    <n v="29553"/>
    <n v="29693"/>
    <n v="1465"/>
    <n v="2000"/>
    <n v="1033"/>
    <n v="1200"/>
    <n v="1055"/>
    <n v="530"/>
    <n v="0"/>
    <x v="1"/>
    <n v="27969"/>
    <x v="1"/>
  </r>
  <r>
    <x v="629"/>
    <n v="200000"/>
    <x v="1"/>
    <x v="0"/>
    <x v="2"/>
    <x v="2"/>
    <n v="45"/>
    <x v="3"/>
    <x v="1"/>
    <x v="2"/>
    <x v="0"/>
    <x v="0"/>
    <x v="2"/>
    <x v="3"/>
    <n v="4430"/>
    <n v="7182"/>
    <n v="3855"/>
    <n v="3411"/>
    <n v="6788"/>
    <n v="9921"/>
    <n v="7193"/>
    <n v="3855"/>
    <n v="3411"/>
    <n v="6788"/>
    <n v="9921"/>
    <n v="5016"/>
    <n v="0"/>
    <x v="1"/>
    <n v="-2763"/>
    <x v="3"/>
  </r>
  <r>
    <x v="630"/>
    <n v="100000"/>
    <x v="0"/>
    <x v="1"/>
    <x v="2"/>
    <x v="1"/>
    <n v="49"/>
    <x v="3"/>
    <x v="1"/>
    <x v="2"/>
    <x v="3"/>
    <x v="2"/>
    <x v="0"/>
    <x v="0"/>
    <n v="1440"/>
    <n v="0"/>
    <n v="0"/>
    <n v="0"/>
    <n v="0"/>
    <n v="0"/>
    <n v="0"/>
    <n v="0"/>
    <n v="0"/>
    <n v="0"/>
    <n v="0"/>
    <n v="0"/>
    <n v="0"/>
    <x v="1"/>
    <n v="1440"/>
    <x v="0"/>
  </r>
  <r>
    <x v="631"/>
    <n v="50000"/>
    <x v="0"/>
    <x v="0"/>
    <x v="0"/>
    <x v="1"/>
    <n v="23"/>
    <x v="0"/>
    <x v="2"/>
    <x v="1"/>
    <x v="1"/>
    <x v="1"/>
    <x v="1"/>
    <x v="1"/>
    <n v="26795"/>
    <n v="28056"/>
    <n v="29284"/>
    <n v="30487"/>
    <n v="33831"/>
    <n v="33138"/>
    <n v="2000"/>
    <n v="2000"/>
    <n v="2000"/>
    <n v="4000"/>
    <n v="0"/>
    <n v="2000"/>
    <n v="0"/>
    <x v="1"/>
    <n v="24795"/>
    <x v="0"/>
  </r>
  <r>
    <x v="632"/>
    <n v="20000"/>
    <x v="0"/>
    <x v="0"/>
    <x v="2"/>
    <x v="0"/>
    <n v="25"/>
    <x v="0"/>
    <x v="2"/>
    <x v="1"/>
    <x v="1"/>
    <x v="1"/>
    <x v="1"/>
    <x v="0"/>
    <n v="16591"/>
    <n v="16442"/>
    <n v="6401"/>
    <n v="4300"/>
    <n v="1304"/>
    <n v="0"/>
    <n v="1155"/>
    <n v="1000"/>
    <n v="0"/>
    <n v="1304"/>
    <n v="0"/>
    <n v="0"/>
    <n v="0"/>
    <x v="1"/>
    <n v="15436"/>
    <x v="0"/>
  </r>
  <r>
    <x v="633"/>
    <n v="210000"/>
    <x v="1"/>
    <x v="0"/>
    <x v="0"/>
    <x v="0"/>
    <n v="47"/>
    <x v="3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634"/>
    <n v="110000"/>
    <x v="1"/>
    <x v="1"/>
    <x v="2"/>
    <x v="0"/>
    <n v="56"/>
    <x v="2"/>
    <x v="2"/>
    <x v="1"/>
    <x v="1"/>
    <x v="1"/>
    <x v="1"/>
    <x v="2"/>
    <n v="46486"/>
    <n v="35758"/>
    <n v="34323"/>
    <n v="30452"/>
    <n v="22628"/>
    <n v="23468"/>
    <n v="4086"/>
    <n v="1428"/>
    <n v="1318"/>
    <n v="2171"/>
    <n v="3198"/>
    <n v="4976"/>
    <n v="0"/>
    <x v="1"/>
    <n v="42400"/>
    <x v="1"/>
  </r>
  <r>
    <x v="635"/>
    <n v="20000"/>
    <x v="0"/>
    <x v="0"/>
    <x v="2"/>
    <x v="0"/>
    <n v="44"/>
    <x v="3"/>
    <x v="1"/>
    <x v="2"/>
    <x v="0"/>
    <x v="0"/>
    <x v="2"/>
    <x v="0"/>
    <n v="550"/>
    <n v="228"/>
    <n v="0"/>
    <n v="228"/>
    <n v="0"/>
    <n v="0"/>
    <n v="228"/>
    <n v="0"/>
    <n v="228"/>
    <n v="0"/>
    <n v="0"/>
    <n v="0"/>
    <n v="0"/>
    <x v="1"/>
    <n v="322"/>
    <x v="0"/>
  </r>
  <r>
    <x v="636"/>
    <n v="50000"/>
    <x v="0"/>
    <x v="0"/>
    <x v="2"/>
    <x v="0"/>
    <n v="49"/>
    <x v="3"/>
    <x v="2"/>
    <x v="1"/>
    <x v="1"/>
    <x v="1"/>
    <x v="1"/>
    <x v="2"/>
    <n v="5630"/>
    <n v="6629"/>
    <n v="5918"/>
    <n v="6918"/>
    <n v="6941"/>
    <n v="4756"/>
    <n v="1107"/>
    <n v="1000"/>
    <n v="1000"/>
    <n v="1500"/>
    <n v="2150"/>
    <n v="0"/>
    <n v="0"/>
    <x v="1"/>
    <n v="4523"/>
    <x v="0"/>
  </r>
  <r>
    <x v="637"/>
    <n v="50000"/>
    <x v="0"/>
    <x v="1"/>
    <x v="0"/>
    <x v="0"/>
    <n v="41"/>
    <x v="3"/>
    <x v="2"/>
    <x v="1"/>
    <x v="1"/>
    <x v="1"/>
    <x v="1"/>
    <x v="2"/>
    <n v="21986"/>
    <n v="21520"/>
    <n v="20979"/>
    <n v="19894"/>
    <n v="18811"/>
    <n v="18805"/>
    <n v="1362"/>
    <n v="1294"/>
    <n v="682"/>
    <n v="680"/>
    <n v="694"/>
    <n v="618"/>
    <n v="0"/>
    <x v="1"/>
    <n v="20624"/>
    <x v="0"/>
  </r>
  <r>
    <x v="638"/>
    <n v="400000"/>
    <x v="2"/>
    <x v="0"/>
    <x v="1"/>
    <x v="1"/>
    <n v="40"/>
    <x v="3"/>
    <x v="1"/>
    <x v="2"/>
    <x v="0"/>
    <x v="0"/>
    <x v="2"/>
    <x v="2"/>
    <n v="60125"/>
    <n v="1981"/>
    <n v="4521"/>
    <n v="20472"/>
    <n v="76933"/>
    <n v="173599"/>
    <n v="1981"/>
    <n v="4521"/>
    <n v="20500"/>
    <n v="77000"/>
    <n v="100000"/>
    <n v="7700"/>
    <n v="0"/>
    <x v="1"/>
    <n v="58144"/>
    <x v="1"/>
  </r>
  <r>
    <x v="639"/>
    <n v="170000"/>
    <x v="1"/>
    <x v="1"/>
    <x v="0"/>
    <x v="1"/>
    <n v="31"/>
    <x v="1"/>
    <x v="2"/>
    <x v="1"/>
    <x v="1"/>
    <x v="1"/>
    <x v="1"/>
    <x v="2"/>
    <n v="56364"/>
    <n v="58132"/>
    <n v="59171"/>
    <n v="55888"/>
    <n v="53672"/>
    <n v="51461"/>
    <n v="3000"/>
    <n v="3000"/>
    <n v="2000"/>
    <n v="3000"/>
    <n v="3000"/>
    <n v="3000"/>
    <n v="0"/>
    <x v="1"/>
    <n v="53364"/>
    <x v="1"/>
  </r>
  <r>
    <x v="640"/>
    <n v="280000"/>
    <x v="1"/>
    <x v="1"/>
    <x v="0"/>
    <x v="0"/>
    <n v="42"/>
    <x v="3"/>
    <x v="2"/>
    <x v="1"/>
    <x v="1"/>
    <x v="1"/>
    <x v="1"/>
    <x v="2"/>
    <n v="148363"/>
    <n v="148432"/>
    <n v="151310"/>
    <n v="141937"/>
    <n v="144990"/>
    <n v="147911"/>
    <n v="6900"/>
    <n v="6867"/>
    <n v="5500"/>
    <n v="5500"/>
    <n v="5500"/>
    <n v="5600"/>
    <n v="0"/>
    <x v="1"/>
    <n v="141463"/>
    <x v="2"/>
  </r>
  <r>
    <x v="641"/>
    <n v="130000"/>
    <x v="1"/>
    <x v="0"/>
    <x v="2"/>
    <x v="0"/>
    <n v="28"/>
    <x v="0"/>
    <x v="2"/>
    <x v="1"/>
    <x v="1"/>
    <x v="1"/>
    <x v="0"/>
    <x v="0"/>
    <n v="100143"/>
    <n v="50456"/>
    <n v="50000"/>
    <n v="0"/>
    <n v="0"/>
    <n v="0"/>
    <n v="2500"/>
    <n v="1000"/>
    <n v="0"/>
    <n v="0"/>
    <n v="0"/>
    <n v="0"/>
    <n v="0"/>
    <x v="1"/>
    <n v="97643"/>
    <x v="1"/>
  </r>
  <r>
    <x v="642"/>
    <n v="210000"/>
    <x v="1"/>
    <x v="0"/>
    <x v="0"/>
    <x v="1"/>
    <n v="32"/>
    <x v="1"/>
    <x v="2"/>
    <x v="1"/>
    <x v="1"/>
    <x v="1"/>
    <x v="1"/>
    <x v="2"/>
    <n v="46255"/>
    <n v="50486"/>
    <n v="54019"/>
    <n v="58091"/>
    <n v="61630"/>
    <n v="65576"/>
    <n v="5000"/>
    <n v="5000"/>
    <n v="5000"/>
    <n v="4500"/>
    <n v="5000"/>
    <n v="5000"/>
    <n v="0"/>
    <x v="1"/>
    <n v="41255"/>
    <x v="1"/>
  </r>
  <r>
    <x v="643"/>
    <n v="370000"/>
    <x v="2"/>
    <x v="1"/>
    <x v="0"/>
    <x v="1"/>
    <n v="28"/>
    <x v="0"/>
    <x v="2"/>
    <x v="1"/>
    <x v="1"/>
    <x v="1"/>
    <x v="1"/>
    <x v="2"/>
    <n v="276436"/>
    <n v="239025"/>
    <n v="149128"/>
    <n v="48907"/>
    <n v="53025"/>
    <n v="51434"/>
    <n v="20000"/>
    <n v="13000"/>
    <n v="5000"/>
    <n v="10000"/>
    <n v="4000"/>
    <n v="6000"/>
    <n v="0"/>
    <x v="1"/>
    <n v="256436"/>
    <x v="2"/>
  </r>
  <r>
    <x v="644"/>
    <n v="30000"/>
    <x v="0"/>
    <x v="0"/>
    <x v="0"/>
    <x v="0"/>
    <n v="31"/>
    <x v="1"/>
    <x v="2"/>
    <x v="1"/>
    <x v="2"/>
    <x v="1"/>
    <x v="1"/>
    <x v="2"/>
    <n v="29493"/>
    <n v="19433"/>
    <n v="18782"/>
    <n v="19006"/>
    <n v="19637"/>
    <n v="21251"/>
    <n v="3200"/>
    <n v="0"/>
    <n v="742"/>
    <n v="1000"/>
    <n v="2000"/>
    <n v="0"/>
    <n v="0"/>
    <x v="1"/>
    <n v="26293"/>
    <x v="1"/>
  </r>
  <r>
    <x v="645"/>
    <n v="150000"/>
    <x v="1"/>
    <x v="1"/>
    <x v="2"/>
    <x v="1"/>
    <n v="39"/>
    <x v="1"/>
    <x v="4"/>
    <x v="2"/>
    <x v="0"/>
    <x v="2"/>
    <x v="0"/>
    <x v="0"/>
    <n v="214450"/>
    <n v="147280"/>
    <n v="150000"/>
    <n v="0"/>
    <n v="-5000"/>
    <n v="0"/>
    <n v="5180"/>
    <n v="5000"/>
    <n v="0"/>
    <n v="0"/>
    <n v="5000"/>
    <n v="0"/>
    <n v="0"/>
    <x v="1"/>
    <n v="209270"/>
    <x v="2"/>
  </r>
  <r>
    <x v="646"/>
    <n v="60000"/>
    <x v="0"/>
    <x v="1"/>
    <x v="2"/>
    <x v="0"/>
    <n v="31"/>
    <x v="1"/>
    <x v="0"/>
    <x v="1"/>
    <x v="1"/>
    <x v="2"/>
    <x v="0"/>
    <x v="0"/>
    <n v="35369"/>
    <n v="35320"/>
    <n v="0"/>
    <n v="0"/>
    <n v="0"/>
    <n v="0"/>
    <n v="1027"/>
    <n v="0"/>
    <n v="0"/>
    <n v="0"/>
    <n v="0"/>
    <n v="0"/>
    <n v="1"/>
    <x v="0"/>
    <n v="34342"/>
    <x v="1"/>
  </r>
  <r>
    <x v="647"/>
    <n v="80000"/>
    <x v="0"/>
    <x v="0"/>
    <x v="0"/>
    <x v="1"/>
    <n v="24"/>
    <x v="0"/>
    <x v="2"/>
    <x v="1"/>
    <x v="1"/>
    <x v="1"/>
    <x v="1"/>
    <x v="2"/>
    <n v="77615"/>
    <n v="77303"/>
    <n v="66396"/>
    <n v="55639"/>
    <n v="56873"/>
    <n v="58390"/>
    <n v="3100"/>
    <n v="2586"/>
    <n v="2000"/>
    <n v="2500"/>
    <n v="3000"/>
    <n v="2500"/>
    <n v="0"/>
    <x v="1"/>
    <n v="74515"/>
    <x v="1"/>
  </r>
  <r>
    <x v="648"/>
    <n v="280000"/>
    <x v="1"/>
    <x v="0"/>
    <x v="0"/>
    <x v="0"/>
    <n v="44"/>
    <x v="3"/>
    <x v="0"/>
    <x v="0"/>
    <x v="2"/>
    <x v="3"/>
    <x v="3"/>
    <x v="1"/>
    <n v="186149"/>
    <n v="181779"/>
    <n v="192189"/>
    <n v="195517"/>
    <n v="199250"/>
    <n v="195874"/>
    <n v="0"/>
    <n v="15000"/>
    <n v="8000"/>
    <n v="7000"/>
    <n v="0"/>
    <n v="15000"/>
    <n v="1"/>
    <x v="0"/>
    <n v="186149"/>
    <x v="2"/>
  </r>
  <r>
    <x v="649"/>
    <n v="20000"/>
    <x v="0"/>
    <x v="0"/>
    <x v="0"/>
    <x v="1"/>
    <n v="46"/>
    <x v="3"/>
    <x v="7"/>
    <x v="6"/>
    <x v="6"/>
    <x v="6"/>
    <x v="6"/>
    <x v="4"/>
    <n v="21075"/>
    <n v="20795"/>
    <n v="20206"/>
    <n v="19617"/>
    <n v="18737"/>
    <n v="18148"/>
    <n v="0"/>
    <n v="0"/>
    <n v="0"/>
    <n v="0"/>
    <n v="0"/>
    <n v="0"/>
    <n v="0"/>
    <x v="1"/>
    <n v="21075"/>
    <x v="0"/>
  </r>
  <r>
    <x v="650"/>
    <n v="270000"/>
    <x v="1"/>
    <x v="1"/>
    <x v="1"/>
    <x v="1"/>
    <n v="32"/>
    <x v="1"/>
    <x v="3"/>
    <x v="3"/>
    <x v="3"/>
    <x v="2"/>
    <x v="0"/>
    <x v="0"/>
    <n v="0"/>
    <n v="0"/>
    <n v="1100"/>
    <n v="300"/>
    <n v="-200"/>
    <n v="-200"/>
    <n v="0"/>
    <n v="1100"/>
    <n v="300"/>
    <n v="0"/>
    <n v="0"/>
    <n v="0"/>
    <n v="0"/>
    <x v="1"/>
    <n v="0"/>
    <x v="3"/>
  </r>
  <r>
    <x v="651"/>
    <n v="240000"/>
    <x v="1"/>
    <x v="0"/>
    <x v="0"/>
    <x v="1"/>
    <n v="26"/>
    <x v="0"/>
    <x v="2"/>
    <x v="1"/>
    <x v="0"/>
    <x v="0"/>
    <x v="2"/>
    <x v="3"/>
    <n v="14348"/>
    <n v="7500"/>
    <n v="7816"/>
    <n v="7500"/>
    <n v="7500"/>
    <n v="14497"/>
    <n v="1000"/>
    <n v="7816"/>
    <n v="7500"/>
    <n v="7500"/>
    <n v="14497"/>
    <n v="500"/>
    <n v="0"/>
    <x v="1"/>
    <n v="13348"/>
    <x v="0"/>
  </r>
  <r>
    <x v="652"/>
    <n v="20000"/>
    <x v="0"/>
    <x v="0"/>
    <x v="1"/>
    <x v="1"/>
    <n v="22"/>
    <x v="0"/>
    <x v="2"/>
    <x v="1"/>
    <x v="1"/>
    <x v="1"/>
    <x v="1"/>
    <x v="2"/>
    <n v="20137"/>
    <n v="20179"/>
    <n v="18067"/>
    <n v="18666"/>
    <n v="19115"/>
    <n v="19547"/>
    <n v="1300"/>
    <n v="1301"/>
    <n v="900"/>
    <n v="900"/>
    <n v="900"/>
    <n v="1600"/>
    <n v="0"/>
    <x v="1"/>
    <n v="18837"/>
    <x v="0"/>
  </r>
  <r>
    <x v="653"/>
    <n v="450000"/>
    <x v="2"/>
    <x v="0"/>
    <x v="1"/>
    <x v="0"/>
    <n v="42"/>
    <x v="3"/>
    <x v="4"/>
    <x v="3"/>
    <x v="3"/>
    <x v="0"/>
    <x v="2"/>
    <x v="0"/>
    <n v="-200"/>
    <n v="-200"/>
    <n v="0"/>
    <n v="42000"/>
    <n v="0"/>
    <n v="0"/>
    <n v="0"/>
    <n v="200"/>
    <n v="42000"/>
    <n v="0"/>
    <n v="0"/>
    <n v="0"/>
    <n v="1"/>
    <x v="0"/>
    <n v="-200"/>
    <x v="3"/>
  </r>
  <r>
    <x v="654"/>
    <n v="10000"/>
    <x v="0"/>
    <x v="1"/>
    <x v="0"/>
    <x v="1"/>
    <n v="33"/>
    <x v="1"/>
    <x v="2"/>
    <x v="1"/>
    <x v="1"/>
    <x v="1"/>
    <x v="1"/>
    <x v="2"/>
    <n v="8177"/>
    <n v="9131"/>
    <n v="9669"/>
    <n v="7624"/>
    <n v="8049"/>
    <n v="6857"/>
    <n v="2500"/>
    <n v="1145"/>
    <n v="1000"/>
    <n v="1000"/>
    <n v="1000"/>
    <n v="1500"/>
    <n v="0"/>
    <x v="1"/>
    <n v="5677"/>
    <x v="0"/>
  </r>
  <r>
    <x v="655"/>
    <n v="280000"/>
    <x v="1"/>
    <x v="1"/>
    <x v="0"/>
    <x v="0"/>
    <n v="39"/>
    <x v="1"/>
    <x v="3"/>
    <x v="3"/>
    <x v="3"/>
    <x v="2"/>
    <x v="0"/>
    <x v="0"/>
    <n v="2082"/>
    <n v="3557"/>
    <n v="5623"/>
    <n v="5400"/>
    <n v="3866"/>
    <n v="3526"/>
    <n v="3597"/>
    <n v="5672"/>
    <n v="5427"/>
    <n v="3885"/>
    <n v="3543"/>
    <n v="3519"/>
    <n v="1"/>
    <x v="0"/>
    <n v="-1515"/>
    <x v="3"/>
  </r>
  <r>
    <x v="656"/>
    <n v="290000"/>
    <x v="1"/>
    <x v="0"/>
    <x v="2"/>
    <x v="1"/>
    <n v="27"/>
    <x v="0"/>
    <x v="2"/>
    <x v="1"/>
    <x v="1"/>
    <x v="1"/>
    <x v="2"/>
    <x v="3"/>
    <n v="13820"/>
    <n v="15614"/>
    <n v="16293"/>
    <n v="7760"/>
    <n v="2000"/>
    <n v="0"/>
    <n v="2000"/>
    <n v="1300"/>
    <n v="0"/>
    <n v="2000"/>
    <n v="1000"/>
    <n v="0"/>
    <n v="0"/>
    <x v="1"/>
    <n v="11820"/>
    <x v="0"/>
  </r>
  <r>
    <x v="657"/>
    <n v="190000"/>
    <x v="1"/>
    <x v="0"/>
    <x v="1"/>
    <x v="1"/>
    <n v="28"/>
    <x v="0"/>
    <x v="2"/>
    <x v="1"/>
    <x v="1"/>
    <x v="1"/>
    <x v="1"/>
    <x v="2"/>
    <n v="46923"/>
    <n v="48666"/>
    <n v="49347"/>
    <n v="50386"/>
    <n v="43883"/>
    <n v="34412"/>
    <n v="2500"/>
    <n v="2000"/>
    <n v="3000"/>
    <n v="2000"/>
    <n v="2000"/>
    <n v="2000"/>
    <n v="1"/>
    <x v="0"/>
    <n v="44423"/>
    <x v="1"/>
  </r>
  <r>
    <x v="658"/>
    <n v="80000"/>
    <x v="0"/>
    <x v="0"/>
    <x v="1"/>
    <x v="1"/>
    <n v="23"/>
    <x v="0"/>
    <x v="2"/>
    <x v="1"/>
    <x v="1"/>
    <x v="1"/>
    <x v="1"/>
    <x v="3"/>
    <n v="53261"/>
    <n v="38091"/>
    <n v="19744"/>
    <n v="14556"/>
    <n v="0"/>
    <n v="1460"/>
    <n v="4500"/>
    <n v="2011"/>
    <n v="3105"/>
    <n v="0"/>
    <n v="1460"/>
    <n v="0"/>
    <n v="0"/>
    <x v="1"/>
    <n v="48761"/>
    <x v="1"/>
  </r>
  <r>
    <x v="659"/>
    <n v="280000"/>
    <x v="1"/>
    <x v="0"/>
    <x v="0"/>
    <x v="1"/>
    <n v="28"/>
    <x v="0"/>
    <x v="1"/>
    <x v="0"/>
    <x v="0"/>
    <x v="0"/>
    <x v="1"/>
    <x v="3"/>
    <n v="427"/>
    <n v="298"/>
    <n v="1179"/>
    <n v="1714"/>
    <n v="2875"/>
    <n v="1047"/>
    <n v="0"/>
    <n v="1179"/>
    <n v="1714"/>
    <n v="1290"/>
    <n v="1047"/>
    <n v="1000"/>
    <n v="0"/>
    <x v="1"/>
    <n v="427"/>
    <x v="0"/>
  </r>
  <r>
    <x v="660"/>
    <n v="160000"/>
    <x v="1"/>
    <x v="0"/>
    <x v="1"/>
    <x v="0"/>
    <n v="33"/>
    <x v="1"/>
    <x v="3"/>
    <x v="3"/>
    <x v="3"/>
    <x v="2"/>
    <x v="0"/>
    <x v="0"/>
    <n v="14150"/>
    <n v="8106"/>
    <n v="12431"/>
    <n v="12145"/>
    <n v="13391"/>
    <n v="7957"/>
    <n v="8106"/>
    <n v="12431"/>
    <n v="12145"/>
    <n v="13391"/>
    <n v="7957"/>
    <n v="1905"/>
    <n v="0"/>
    <x v="1"/>
    <n v="6044"/>
    <x v="0"/>
  </r>
  <r>
    <x v="661"/>
    <n v="90000"/>
    <x v="0"/>
    <x v="1"/>
    <x v="0"/>
    <x v="0"/>
    <n v="40"/>
    <x v="3"/>
    <x v="2"/>
    <x v="1"/>
    <x v="1"/>
    <x v="0"/>
    <x v="2"/>
    <x v="3"/>
    <n v="42856"/>
    <n v="44925"/>
    <n v="0"/>
    <n v="787"/>
    <n v="1457"/>
    <n v="0"/>
    <n v="3114"/>
    <n v="0"/>
    <n v="787"/>
    <n v="1457"/>
    <n v="0"/>
    <n v="0"/>
    <n v="1"/>
    <x v="0"/>
    <n v="39742"/>
    <x v="1"/>
  </r>
  <r>
    <x v="662"/>
    <n v="140000"/>
    <x v="1"/>
    <x v="0"/>
    <x v="1"/>
    <x v="1"/>
    <n v="37"/>
    <x v="1"/>
    <x v="1"/>
    <x v="2"/>
    <x v="0"/>
    <x v="2"/>
    <x v="0"/>
    <x v="3"/>
    <n v="1034"/>
    <n v="40000"/>
    <n v="0"/>
    <n v="0"/>
    <n v="0"/>
    <n v="510"/>
    <n v="40000"/>
    <n v="0"/>
    <n v="0"/>
    <n v="0"/>
    <n v="510"/>
    <n v="0"/>
    <n v="0"/>
    <x v="1"/>
    <n v="-38966"/>
    <x v="3"/>
  </r>
  <r>
    <x v="663"/>
    <n v="50000"/>
    <x v="0"/>
    <x v="1"/>
    <x v="1"/>
    <x v="1"/>
    <n v="22"/>
    <x v="0"/>
    <x v="2"/>
    <x v="1"/>
    <x v="1"/>
    <x v="1"/>
    <x v="1"/>
    <x v="3"/>
    <n v="5137"/>
    <n v="5960"/>
    <n v="6270"/>
    <n v="6000"/>
    <n v="5810"/>
    <n v="390"/>
    <n v="1300"/>
    <n v="1000"/>
    <n v="120"/>
    <n v="200"/>
    <n v="390"/>
    <n v="1170"/>
    <n v="0"/>
    <x v="1"/>
    <n v="3837"/>
    <x v="0"/>
  </r>
  <r>
    <x v="664"/>
    <n v="40000"/>
    <x v="0"/>
    <x v="0"/>
    <x v="0"/>
    <x v="0"/>
    <n v="32"/>
    <x v="1"/>
    <x v="2"/>
    <x v="1"/>
    <x v="1"/>
    <x v="3"/>
    <x v="3"/>
    <x v="1"/>
    <n v="24114"/>
    <n v="25417"/>
    <n v="28777"/>
    <n v="29107"/>
    <n v="29693"/>
    <n v="30456"/>
    <n v="2000"/>
    <n v="4110"/>
    <n v="1100"/>
    <n v="1200"/>
    <n v="1400"/>
    <n v="0"/>
    <n v="0"/>
    <x v="1"/>
    <n v="22114"/>
    <x v="0"/>
  </r>
  <r>
    <x v="665"/>
    <n v="130000"/>
    <x v="1"/>
    <x v="0"/>
    <x v="2"/>
    <x v="0"/>
    <n v="43"/>
    <x v="3"/>
    <x v="2"/>
    <x v="1"/>
    <x v="1"/>
    <x v="1"/>
    <x v="1"/>
    <x v="2"/>
    <n v="130067"/>
    <n v="129385"/>
    <n v="96775"/>
    <n v="98071"/>
    <n v="97743"/>
    <n v="100124"/>
    <n v="5540"/>
    <n v="4403"/>
    <n v="3814"/>
    <n v="3562"/>
    <n v="4021"/>
    <n v="3681"/>
    <n v="0"/>
    <x v="1"/>
    <n v="124527"/>
    <x v="2"/>
  </r>
  <r>
    <x v="666"/>
    <n v="70000"/>
    <x v="0"/>
    <x v="0"/>
    <x v="2"/>
    <x v="0"/>
    <n v="27"/>
    <x v="0"/>
    <x v="2"/>
    <x v="1"/>
    <x v="1"/>
    <x v="1"/>
    <x v="1"/>
    <x v="1"/>
    <n v="61611"/>
    <n v="62711"/>
    <n v="63695"/>
    <n v="63926"/>
    <n v="67361"/>
    <n v="59480"/>
    <n v="3011"/>
    <n v="3095"/>
    <n v="2000"/>
    <n v="4600"/>
    <n v="0"/>
    <n v="2258"/>
    <n v="0"/>
    <x v="1"/>
    <n v="58600"/>
    <x v="1"/>
  </r>
  <r>
    <x v="667"/>
    <n v="30000"/>
    <x v="0"/>
    <x v="0"/>
    <x v="0"/>
    <x v="0"/>
    <n v="35"/>
    <x v="1"/>
    <x v="2"/>
    <x v="1"/>
    <x v="1"/>
    <x v="1"/>
    <x v="1"/>
    <x v="2"/>
    <n v="25078"/>
    <n v="25538"/>
    <n v="25880"/>
    <n v="25873"/>
    <n v="26157"/>
    <n v="26918"/>
    <n v="1500"/>
    <n v="1387"/>
    <n v="893"/>
    <n v="1000"/>
    <n v="1501"/>
    <n v="2000"/>
    <n v="0"/>
    <x v="1"/>
    <n v="23578"/>
    <x v="0"/>
  </r>
  <r>
    <x v="668"/>
    <n v="100000"/>
    <x v="0"/>
    <x v="0"/>
    <x v="2"/>
    <x v="0"/>
    <n v="35"/>
    <x v="1"/>
    <x v="4"/>
    <x v="0"/>
    <x v="2"/>
    <x v="3"/>
    <x v="3"/>
    <x v="1"/>
    <n v="97002"/>
    <n v="102698"/>
    <n v="97997"/>
    <n v="103384"/>
    <n v="97266"/>
    <n v="101492"/>
    <n v="8200"/>
    <n v="0"/>
    <n v="8000"/>
    <n v="0"/>
    <n v="8600"/>
    <n v="0"/>
    <n v="0"/>
    <x v="1"/>
    <n v="88802"/>
    <x v="1"/>
  </r>
  <r>
    <x v="669"/>
    <n v="20000"/>
    <x v="0"/>
    <x v="0"/>
    <x v="1"/>
    <x v="0"/>
    <n v="30"/>
    <x v="1"/>
    <x v="0"/>
    <x v="0"/>
    <x v="2"/>
    <x v="1"/>
    <x v="1"/>
    <x v="2"/>
    <n v="5766"/>
    <n v="7511"/>
    <n v="7678"/>
    <n v="7318"/>
    <n v="7458"/>
    <n v="7598"/>
    <n v="2000"/>
    <n v="500"/>
    <n v="0"/>
    <n v="500"/>
    <n v="500"/>
    <n v="0"/>
    <n v="1"/>
    <x v="0"/>
    <n v="3766"/>
    <x v="0"/>
  </r>
  <r>
    <x v="670"/>
    <n v="30000"/>
    <x v="0"/>
    <x v="0"/>
    <x v="0"/>
    <x v="1"/>
    <n v="34"/>
    <x v="1"/>
    <x v="0"/>
    <x v="2"/>
    <x v="2"/>
    <x v="3"/>
    <x v="3"/>
    <x v="1"/>
    <n v="99568"/>
    <n v="32326"/>
    <n v="31840"/>
    <n v="37075"/>
    <n v="37662"/>
    <n v="36904"/>
    <n v="33000"/>
    <n v="33000"/>
    <n v="5810"/>
    <n v="1325"/>
    <n v="0"/>
    <n v="3095"/>
    <n v="0"/>
    <x v="1"/>
    <n v="66568"/>
    <x v="1"/>
  </r>
  <r>
    <x v="671"/>
    <n v="20000"/>
    <x v="0"/>
    <x v="1"/>
    <x v="0"/>
    <x v="0"/>
    <n v="34"/>
    <x v="1"/>
    <x v="2"/>
    <x v="1"/>
    <x v="1"/>
    <x v="1"/>
    <x v="1"/>
    <x v="2"/>
    <n v="12857"/>
    <n v="14183"/>
    <n v="14890"/>
    <n v="15642"/>
    <n v="16387"/>
    <n v="17113"/>
    <n v="1541"/>
    <n v="1248"/>
    <n v="1000"/>
    <n v="1000"/>
    <n v="1000"/>
    <n v="1000"/>
    <n v="1"/>
    <x v="0"/>
    <n v="11316"/>
    <x v="0"/>
  </r>
  <r>
    <x v="672"/>
    <n v="100000"/>
    <x v="0"/>
    <x v="0"/>
    <x v="1"/>
    <x v="1"/>
    <n v="28"/>
    <x v="0"/>
    <x v="0"/>
    <x v="1"/>
    <x v="1"/>
    <x v="1"/>
    <x v="1"/>
    <x v="2"/>
    <n v="96193"/>
    <n v="82342"/>
    <n v="81967"/>
    <n v="82177"/>
    <n v="78840"/>
    <n v="79261"/>
    <n v="3600"/>
    <n v="3800"/>
    <n v="3000"/>
    <n v="3000"/>
    <n v="3023"/>
    <n v="3000"/>
    <n v="1"/>
    <x v="0"/>
    <n v="92593"/>
    <x v="1"/>
  </r>
  <r>
    <x v="673"/>
    <n v="30000"/>
    <x v="0"/>
    <x v="1"/>
    <x v="0"/>
    <x v="1"/>
    <n v="25"/>
    <x v="0"/>
    <x v="0"/>
    <x v="0"/>
    <x v="7"/>
    <x v="7"/>
    <x v="7"/>
    <x v="5"/>
    <n v="2400"/>
    <n v="2400"/>
    <n v="2400"/>
    <n v="2400"/>
    <n v="2400"/>
    <n v="1800"/>
    <n v="0"/>
    <n v="0"/>
    <n v="0"/>
    <n v="0"/>
    <n v="0"/>
    <n v="0"/>
    <n v="1"/>
    <x v="0"/>
    <n v="2400"/>
    <x v="0"/>
  </r>
  <r>
    <x v="674"/>
    <n v="320000"/>
    <x v="2"/>
    <x v="0"/>
    <x v="1"/>
    <x v="0"/>
    <n v="41"/>
    <x v="3"/>
    <x v="2"/>
    <x v="1"/>
    <x v="1"/>
    <x v="1"/>
    <x v="1"/>
    <x v="2"/>
    <n v="97797"/>
    <n v="99672"/>
    <n v="101953"/>
    <n v="102284"/>
    <n v="104090"/>
    <n v="105859"/>
    <n v="4520"/>
    <n v="5050"/>
    <n v="3590"/>
    <n v="3700"/>
    <n v="3750"/>
    <n v="3510"/>
    <n v="0"/>
    <x v="1"/>
    <n v="93277"/>
    <x v="1"/>
  </r>
  <r>
    <x v="675"/>
    <n v="90000"/>
    <x v="0"/>
    <x v="1"/>
    <x v="2"/>
    <x v="1"/>
    <n v="42"/>
    <x v="3"/>
    <x v="0"/>
    <x v="0"/>
    <x v="2"/>
    <x v="3"/>
    <x v="3"/>
    <x v="1"/>
    <n v="64762"/>
    <n v="63164"/>
    <n v="32789"/>
    <n v="31641"/>
    <n v="29240"/>
    <n v="28306"/>
    <n v="0"/>
    <n v="2900"/>
    <n v="0"/>
    <n v="2500"/>
    <n v="0"/>
    <n v="1300"/>
    <n v="1"/>
    <x v="0"/>
    <n v="64762"/>
    <x v="1"/>
  </r>
  <r>
    <x v="676"/>
    <n v="190000"/>
    <x v="1"/>
    <x v="1"/>
    <x v="0"/>
    <x v="1"/>
    <n v="40"/>
    <x v="3"/>
    <x v="0"/>
    <x v="0"/>
    <x v="2"/>
    <x v="3"/>
    <x v="3"/>
    <x v="1"/>
    <n v="145613"/>
    <n v="156765"/>
    <n v="159386"/>
    <n v="161870"/>
    <n v="165725"/>
    <n v="169928"/>
    <n v="15000"/>
    <n v="6600"/>
    <n v="6500"/>
    <n v="6500"/>
    <n v="7000"/>
    <n v="7000"/>
    <n v="1"/>
    <x v="0"/>
    <n v="130613"/>
    <x v="2"/>
  </r>
  <r>
    <x v="677"/>
    <n v="200000"/>
    <x v="1"/>
    <x v="1"/>
    <x v="1"/>
    <x v="1"/>
    <n v="28"/>
    <x v="0"/>
    <x v="2"/>
    <x v="1"/>
    <x v="1"/>
    <x v="1"/>
    <x v="1"/>
    <x v="2"/>
    <n v="71989"/>
    <n v="122129"/>
    <n v="147936"/>
    <n v="149573"/>
    <n v="152574"/>
    <n v="156323"/>
    <n v="52129"/>
    <n v="30000"/>
    <n v="6000"/>
    <n v="6000"/>
    <n v="7000"/>
    <n v="10000"/>
    <n v="0"/>
    <x v="1"/>
    <n v="19860"/>
    <x v="0"/>
  </r>
  <r>
    <x v="678"/>
    <n v="300000"/>
    <x v="1"/>
    <x v="0"/>
    <x v="0"/>
    <x v="1"/>
    <n v="31"/>
    <x v="1"/>
    <x v="1"/>
    <x v="2"/>
    <x v="0"/>
    <x v="0"/>
    <x v="1"/>
    <x v="3"/>
    <n v="3345"/>
    <n v="1083"/>
    <n v="4339"/>
    <n v="7423"/>
    <n v="4059"/>
    <n v="2508"/>
    <n v="1087"/>
    <n v="4355"/>
    <n v="7423"/>
    <n v="0"/>
    <n v="2508"/>
    <n v="4141"/>
    <n v="0"/>
    <x v="1"/>
    <n v="2258"/>
    <x v="0"/>
  </r>
  <r>
    <x v="679"/>
    <n v="30000"/>
    <x v="0"/>
    <x v="0"/>
    <x v="1"/>
    <x v="1"/>
    <n v="56"/>
    <x v="2"/>
    <x v="1"/>
    <x v="1"/>
    <x v="1"/>
    <x v="2"/>
    <x v="0"/>
    <x v="0"/>
    <n v="29033"/>
    <n v="17013"/>
    <n v="7024"/>
    <n v="7024"/>
    <n v="7024"/>
    <n v="7024"/>
    <n v="1283"/>
    <n v="7024"/>
    <n v="7024"/>
    <n v="7024"/>
    <n v="7024"/>
    <n v="7024"/>
    <n v="0"/>
    <x v="1"/>
    <n v="27750"/>
    <x v="1"/>
  </r>
  <r>
    <x v="680"/>
    <n v="110000"/>
    <x v="1"/>
    <x v="0"/>
    <x v="0"/>
    <x v="2"/>
    <n v="45"/>
    <x v="3"/>
    <x v="2"/>
    <x v="1"/>
    <x v="1"/>
    <x v="1"/>
    <x v="1"/>
    <x v="2"/>
    <n v="26650"/>
    <n v="20787"/>
    <n v="20566"/>
    <n v="21158"/>
    <n v="22141"/>
    <n v="22158"/>
    <n v="1532"/>
    <n v="2000"/>
    <n v="783"/>
    <n v="3000"/>
    <n v="2000"/>
    <n v="2000"/>
    <n v="0"/>
    <x v="1"/>
    <n v="25118"/>
    <x v="1"/>
  </r>
  <r>
    <x v="681"/>
    <n v="230000"/>
    <x v="1"/>
    <x v="0"/>
    <x v="1"/>
    <x v="1"/>
    <n v="29"/>
    <x v="0"/>
    <x v="3"/>
    <x v="3"/>
    <x v="3"/>
    <x v="2"/>
    <x v="0"/>
    <x v="0"/>
    <n v="0"/>
    <n v="0"/>
    <n v="1024"/>
    <n v="0"/>
    <n v="0"/>
    <n v="0"/>
    <n v="0"/>
    <n v="1024"/>
    <n v="0"/>
    <n v="0"/>
    <n v="0"/>
    <n v="0"/>
    <n v="0"/>
    <x v="1"/>
    <n v="0"/>
    <x v="3"/>
  </r>
  <r>
    <x v="682"/>
    <n v="230000"/>
    <x v="1"/>
    <x v="0"/>
    <x v="1"/>
    <x v="0"/>
    <n v="35"/>
    <x v="1"/>
    <x v="2"/>
    <x v="1"/>
    <x v="1"/>
    <x v="1"/>
    <x v="0"/>
    <x v="0"/>
    <n v="4259"/>
    <n v="5432"/>
    <n v="6182"/>
    <n v="0"/>
    <n v="0"/>
    <n v="0"/>
    <n v="1250"/>
    <n v="1000"/>
    <n v="0"/>
    <n v="0"/>
    <n v="0"/>
    <n v="0"/>
    <n v="0"/>
    <x v="1"/>
    <n v="3009"/>
    <x v="0"/>
  </r>
  <r>
    <x v="683"/>
    <n v="310000"/>
    <x v="2"/>
    <x v="0"/>
    <x v="0"/>
    <x v="1"/>
    <n v="28"/>
    <x v="0"/>
    <x v="2"/>
    <x v="1"/>
    <x v="1"/>
    <x v="1"/>
    <x v="1"/>
    <x v="2"/>
    <n v="106468"/>
    <n v="108955"/>
    <n v="112374"/>
    <n v="54762"/>
    <n v="58189"/>
    <n v="57170"/>
    <n v="8000"/>
    <n v="6000"/>
    <n v="5000"/>
    <n v="5000"/>
    <n v="4000"/>
    <n v="5000"/>
    <n v="0"/>
    <x v="1"/>
    <n v="98468"/>
    <x v="1"/>
  </r>
  <r>
    <x v="684"/>
    <n v="320000"/>
    <x v="2"/>
    <x v="1"/>
    <x v="1"/>
    <x v="0"/>
    <n v="40"/>
    <x v="3"/>
    <x v="2"/>
    <x v="1"/>
    <x v="1"/>
    <x v="1"/>
    <x v="1"/>
    <x v="2"/>
    <n v="247276"/>
    <n v="241167"/>
    <n v="238196"/>
    <n v="231580"/>
    <n v="229683"/>
    <n v="235837"/>
    <n v="10000"/>
    <n v="10000"/>
    <n v="10000"/>
    <n v="19000"/>
    <n v="13000"/>
    <n v="8000"/>
    <n v="0"/>
    <x v="1"/>
    <n v="237276"/>
    <x v="2"/>
  </r>
  <r>
    <x v="685"/>
    <n v="360000"/>
    <x v="2"/>
    <x v="1"/>
    <x v="1"/>
    <x v="0"/>
    <n v="47"/>
    <x v="3"/>
    <x v="1"/>
    <x v="2"/>
    <x v="0"/>
    <x v="1"/>
    <x v="2"/>
    <x v="3"/>
    <n v="1548"/>
    <n v="-32"/>
    <n v="177639"/>
    <n v="174397"/>
    <n v="4852"/>
    <n v="4125"/>
    <n v="0"/>
    <n v="177671"/>
    <n v="3508"/>
    <n v="4876"/>
    <n v="4188"/>
    <n v="10007"/>
    <n v="0"/>
    <x v="1"/>
    <n v="1548"/>
    <x v="0"/>
  </r>
  <r>
    <x v="686"/>
    <n v="20000"/>
    <x v="0"/>
    <x v="0"/>
    <x v="2"/>
    <x v="0"/>
    <n v="41"/>
    <x v="3"/>
    <x v="1"/>
    <x v="2"/>
    <x v="0"/>
    <x v="1"/>
    <x v="1"/>
    <x v="2"/>
    <n v="780"/>
    <n v="0"/>
    <n v="732"/>
    <n v="642"/>
    <n v="1252"/>
    <n v="643"/>
    <n v="0"/>
    <n v="732"/>
    <n v="300"/>
    <n v="1000"/>
    <n v="500"/>
    <n v="1000"/>
    <n v="1"/>
    <x v="0"/>
    <n v="780"/>
    <x v="0"/>
  </r>
  <r>
    <x v="687"/>
    <n v="170000"/>
    <x v="1"/>
    <x v="0"/>
    <x v="0"/>
    <x v="1"/>
    <n v="27"/>
    <x v="0"/>
    <x v="2"/>
    <x v="1"/>
    <x v="1"/>
    <x v="1"/>
    <x v="1"/>
    <x v="2"/>
    <n v="162671"/>
    <n v="166202"/>
    <n v="161973"/>
    <n v="167201"/>
    <n v="161327"/>
    <n v="171863"/>
    <n v="7500"/>
    <n v="6000"/>
    <n v="10000"/>
    <n v="7000"/>
    <n v="16000"/>
    <n v="6200"/>
    <n v="0"/>
    <x v="1"/>
    <n v="155171"/>
    <x v="2"/>
  </r>
  <r>
    <x v="688"/>
    <n v="140000"/>
    <x v="1"/>
    <x v="1"/>
    <x v="1"/>
    <x v="0"/>
    <n v="40"/>
    <x v="3"/>
    <x v="2"/>
    <x v="1"/>
    <x v="1"/>
    <x v="1"/>
    <x v="1"/>
    <x v="2"/>
    <n v="123049"/>
    <n v="125616"/>
    <n v="129695"/>
    <n v="130735"/>
    <n v="133467"/>
    <n v="136287"/>
    <n v="4310"/>
    <n v="5913"/>
    <n v="4426"/>
    <n v="4580"/>
    <n v="4770"/>
    <n v="4767"/>
    <n v="0"/>
    <x v="1"/>
    <n v="118739"/>
    <x v="2"/>
  </r>
  <r>
    <x v="689"/>
    <n v="80000"/>
    <x v="0"/>
    <x v="1"/>
    <x v="0"/>
    <x v="1"/>
    <n v="32"/>
    <x v="1"/>
    <x v="2"/>
    <x v="1"/>
    <x v="1"/>
    <x v="1"/>
    <x v="1"/>
    <x v="2"/>
    <n v="51372"/>
    <n v="51872"/>
    <n v="47593"/>
    <n v="43882"/>
    <n v="42256"/>
    <n v="42527"/>
    <n v="1853"/>
    <n v="1700"/>
    <n v="1522"/>
    <n v="1548"/>
    <n v="1488"/>
    <n v="1500"/>
    <n v="0"/>
    <x v="1"/>
    <n v="49519"/>
    <x v="1"/>
  </r>
  <r>
    <x v="690"/>
    <n v="150000"/>
    <x v="1"/>
    <x v="1"/>
    <x v="0"/>
    <x v="1"/>
    <n v="35"/>
    <x v="1"/>
    <x v="2"/>
    <x v="1"/>
    <x v="1"/>
    <x v="0"/>
    <x v="2"/>
    <x v="3"/>
    <n v="60015"/>
    <n v="72227"/>
    <n v="51364"/>
    <n v="54340"/>
    <n v="0"/>
    <n v="2129"/>
    <n v="20000"/>
    <n v="30000"/>
    <n v="54340"/>
    <n v="0"/>
    <n v="2129"/>
    <n v="0"/>
    <n v="0"/>
    <x v="1"/>
    <n v="40015"/>
    <x v="1"/>
  </r>
  <r>
    <x v="691"/>
    <n v="170000"/>
    <x v="1"/>
    <x v="1"/>
    <x v="0"/>
    <x v="1"/>
    <n v="27"/>
    <x v="0"/>
    <x v="1"/>
    <x v="0"/>
    <x v="2"/>
    <x v="2"/>
    <x v="0"/>
    <x v="0"/>
    <n v="1170"/>
    <n v="780"/>
    <n v="0"/>
    <n v="0"/>
    <n v="0"/>
    <n v="0"/>
    <n v="0"/>
    <n v="0"/>
    <n v="0"/>
    <n v="0"/>
    <n v="0"/>
    <n v="0"/>
    <n v="0"/>
    <x v="1"/>
    <n v="1170"/>
    <x v="0"/>
  </r>
  <r>
    <x v="692"/>
    <n v="200000"/>
    <x v="1"/>
    <x v="0"/>
    <x v="0"/>
    <x v="0"/>
    <n v="29"/>
    <x v="0"/>
    <x v="0"/>
    <x v="1"/>
    <x v="1"/>
    <x v="1"/>
    <x v="1"/>
    <x v="2"/>
    <n v="159398"/>
    <n v="156955"/>
    <n v="132144"/>
    <n v="119136"/>
    <n v="122211"/>
    <n v="125021"/>
    <n v="6163"/>
    <n v="4530"/>
    <n v="4500"/>
    <n v="5000"/>
    <n v="5000"/>
    <n v="5000"/>
    <n v="1"/>
    <x v="0"/>
    <n v="153235"/>
    <x v="2"/>
  </r>
  <r>
    <x v="693"/>
    <n v="70000"/>
    <x v="0"/>
    <x v="1"/>
    <x v="1"/>
    <x v="1"/>
    <n v="30"/>
    <x v="1"/>
    <x v="2"/>
    <x v="1"/>
    <x v="2"/>
    <x v="1"/>
    <x v="1"/>
    <x v="1"/>
    <n v="55664"/>
    <n v="59529"/>
    <n v="57571"/>
    <n v="57871"/>
    <n v="60872"/>
    <n v="59329"/>
    <n v="5800"/>
    <n v="0"/>
    <n v="2250"/>
    <n v="4500"/>
    <n v="0"/>
    <n v="2500"/>
    <n v="0"/>
    <x v="1"/>
    <n v="49864"/>
    <x v="1"/>
  </r>
  <r>
    <x v="694"/>
    <n v="320000"/>
    <x v="2"/>
    <x v="1"/>
    <x v="0"/>
    <x v="0"/>
    <n v="37"/>
    <x v="1"/>
    <x v="3"/>
    <x v="3"/>
    <x v="3"/>
    <x v="2"/>
    <x v="0"/>
    <x v="0"/>
    <n v="43528"/>
    <n v="498"/>
    <n v="429"/>
    <n v="14257"/>
    <n v="5417"/>
    <n v="2967"/>
    <n v="500"/>
    <n v="431"/>
    <n v="14328"/>
    <n v="5439"/>
    <n v="2980"/>
    <n v="5028"/>
    <n v="0"/>
    <x v="1"/>
    <n v="43028"/>
    <x v="1"/>
  </r>
  <r>
    <x v="695"/>
    <n v="150000"/>
    <x v="1"/>
    <x v="0"/>
    <x v="1"/>
    <x v="1"/>
    <n v="29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696"/>
    <n v="50000"/>
    <x v="0"/>
    <x v="0"/>
    <x v="1"/>
    <x v="0"/>
    <n v="34"/>
    <x v="1"/>
    <x v="2"/>
    <x v="1"/>
    <x v="1"/>
    <x v="0"/>
    <x v="1"/>
    <x v="2"/>
    <n v="27966"/>
    <n v="28539"/>
    <n v="11597"/>
    <n v="6611"/>
    <n v="7349"/>
    <n v="7570"/>
    <n v="1267"/>
    <n v="1553"/>
    <n v="7511"/>
    <n v="1000"/>
    <n v="343"/>
    <n v="1000"/>
    <n v="0"/>
    <x v="1"/>
    <n v="26699"/>
    <x v="1"/>
  </r>
  <r>
    <x v="697"/>
    <n v="90000"/>
    <x v="0"/>
    <x v="0"/>
    <x v="0"/>
    <x v="1"/>
    <n v="34"/>
    <x v="1"/>
    <x v="1"/>
    <x v="0"/>
    <x v="2"/>
    <x v="2"/>
    <x v="0"/>
    <x v="0"/>
    <n v="8792"/>
    <n v="7500"/>
    <n v="0"/>
    <n v="0"/>
    <n v="0"/>
    <n v="0"/>
    <n v="0"/>
    <n v="0"/>
    <n v="0"/>
    <n v="0"/>
    <n v="0"/>
    <n v="0"/>
    <n v="0"/>
    <x v="1"/>
    <n v="8792"/>
    <x v="0"/>
  </r>
  <r>
    <x v="698"/>
    <n v="280000"/>
    <x v="1"/>
    <x v="1"/>
    <x v="1"/>
    <x v="0"/>
    <n v="41"/>
    <x v="3"/>
    <x v="3"/>
    <x v="3"/>
    <x v="3"/>
    <x v="2"/>
    <x v="2"/>
    <x v="2"/>
    <n v="28026"/>
    <n v="41302"/>
    <n v="51500"/>
    <n v="35752"/>
    <n v="3955"/>
    <n v="13969"/>
    <n v="41346"/>
    <n v="52110"/>
    <n v="35752"/>
    <n v="3955"/>
    <n v="13939"/>
    <n v="4437"/>
    <n v="0"/>
    <x v="1"/>
    <n v="-13320"/>
    <x v="3"/>
  </r>
  <r>
    <x v="699"/>
    <n v="300000"/>
    <x v="1"/>
    <x v="0"/>
    <x v="1"/>
    <x v="1"/>
    <n v="31"/>
    <x v="1"/>
    <x v="2"/>
    <x v="1"/>
    <x v="1"/>
    <x v="1"/>
    <x v="3"/>
    <x v="3"/>
    <n v="43610"/>
    <n v="43280"/>
    <n v="36156"/>
    <n v="30305"/>
    <n v="30155"/>
    <n v="561"/>
    <n v="1655"/>
    <n v="1797"/>
    <n v="750"/>
    <n v="0"/>
    <n v="561"/>
    <n v="500"/>
    <n v="0"/>
    <x v="1"/>
    <n v="41955"/>
    <x v="1"/>
  </r>
  <r>
    <x v="700"/>
    <n v="400000"/>
    <x v="2"/>
    <x v="0"/>
    <x v="0"/>
    <x v="1"/>
    <n v="40"/>
    <x v="3"/>
    <x v="3"/>
    <x v="3"/>
    <x v="3"/>
    <x v="2"/>
    <x v="2"/>
    <x v="3"/>
    <n v="0"/>
    <n v="8235"/>
    <n v="0"/>
    <n v="0"/>
    <n v="1524"/>
    <n v="0"/>
    <n v="8235"/>
    <n v="0"/>
    <n v="0"/>
    <n v="1524"/>
    <n v="0"/>
    <n v="385"/>
    <n v="0"/>
    <x v="1"/>
    <n v="-8235"/>
    <x v="3"/>
  </r>
  <r>
    <x v="701"/>
    <n v="200000"/>
    <x v="1"/>
    <x v="0"/>
    <x v="1"/>
    <x v="0"/>
    <n v="27"/>
    <x v="0"/>
    <x v="1"/>
    <x v="2"/>
    <x v="0"/>
    <x v="0"/>
    <x v="2"/>
    <x v="3"/>
    <n v="5780"/>
    <n v="105"/>
    <n v="105"/>
    <n v="0"/>
    <n v="7384"/>
    <n v="8588"/>
    <n v="105"/>
    <n v="105"/>
    <n v="0"/>
    <n v="7384"/>
    <n v="8588"/>
    <n v="1304"/>
    <n v="0"/>
    <x v="1"/>
    <n v="5675"/>
    <x v="0"/>
  </r>
  <r>
    <x v="702"/>
    <n v="10000"/>
    <x v="0"/>
    <x v="0"/>
    <x v="2"/>
    <x v="1"/>
    <n v="22"/>
    <x v="0"/>
    <x v="2"/>
    <x v="1"/>
    <x v="1"/>
    <x v="1"/>
    <x v="0"/>
    <x v="0"/>
    <n v="8109"/>
    <n v="9778"/>
    <n v="8259"/>
    <n v="0"/>
    <n v="0"/>
    <n v="0"/>
    <n v="2000"/>
    <n v="1036"/>
    <n v="0"/>
    <n v="0"/>
    <n v="0"/>
    <n v="0"/>
    <n v="1"/>
    <x v="0"/>
    <n v="6109"/>
    <x v="0"/>
  </r>
  <r>
    <x v="703"/>
    <n v="50000"/>
    <x v="0"/>
    <x v="0"/>
    <x v="0"/>
    <x v="2"/>
    <n v="30"/>
    <x v="1"/>
    <x v="4"/>
    <x v="4"/>
    <x v="2"/>
    <x v="1"/>
    <x v="1"/>
    <x v="2"/>
    <n v="52515"/>
    <n v="51424"/>
    <n v="49967"/>
    <n v="20036"/>
    <n v="20076"/>
    <n v="37615"/>
    <n v="0"/>
    <n v="0"/>
    <n v="2000"/>
    <n v="1000"/>
    <n v="1000"/>
    <n v="1600"/>
    <n v="1"/>
    <x v="0"/>
    <n v="52515"/>
    <x v="1"/>
  </r>
  <r>
    <x v="704"/>
    <n v="30000"/>
    <x v="0"/>
    <x v="0"/>
    <x v="0"/>
    <x v="2"/>
    <n v="22"/>
    <x v="0"/>
    <x v="4"/>
    <x v="0"/>
    <x v="5"/>
    <x v="4"/>
    <x v="3"/>
    <x v="1"/>
    <n v="22582"/>
    <n v="26518"/>
    <n v="25814"/>
    <n v="25110"/>
    <n v="24569"/>
    <n v="26357"/>
    <n v="4600"/>
    <n v="0"/>
    <n v="0"/>
    <n v="0"/>
    <n v="2200"/>
    <n v="2500"/>
    <n v="0"/>
    <x v="1"/>
    <n v="17982"/>
    <x v="0"/>
  </r>
  <r>
    <x v="705"/>
    <n v="50000"/>
    <x v="0"/>
    <x v="1"/>
    <x v="1"/>
    <x v="1"/>
    <n v="26"/>
    <x v="0"/>
    <x v="1"/>
    <x v="1"/>
    <x v="1"/>
    <x v="1"/>
    <x v="1"/>
    <x v="2"/>
    <n v="15448"/>
    <n v="16392"/>
    <n v="18096"/>
    <n v="18425"/>
    <n v="18619"/>
    <n v="19060"/>
    <n v="1500"/>
    <n v="2000"/>
    <n v="1500"/>
    <n v="1200"/>
    <n v="900"/>
    <n v="1000"/>
    <n v="1"/>
    <x v="0"/>
    <n v="13948"/>
    <x v="0"/>
  </r>
  <r>
    <x v="706"/>
    <n v="50000"/>
    <x v="0"/>
    <x v="1"/>
    <x v="0"/>
    <x v="0"/>
    <n v="38"/>
    <x v="1"/>
    <x v="4"/>
    <x v="0"/>
    <x v="1"/>
    <x v="1"/>
    <x v="1"/>
    <x v="2"/>
    <n v="58102"/>
    <n v="59011"/>
    <n v="56272"/>
    <n v="53663"/>
    <n v="51507"/>
    <n v="50616"/>
    <n v="2500"/>
    <n v="2500"/>
    <n v="2000"/>
    <n v="2000"/>
    <n v="3200"/>
    <n v="2000"/>
    <n v="0"/>
    <x v="1"/>
    <n v="55602"/>
    <x v="1"/>
  </r>
  <r>
    <x v="707"/>
    <n v="30000"/>
    <x v="0"/>
    <x v="0"/>
    <x v="2"/>
    <x v="0"/>
    <n v="46"/>
    <x v="3"/>
    <x v="4"/>
    <x v="0"/>
    <x v="2"/>
    <x v="3"/>
    <x v="3"/>
    <x v="1"/>
    <n v="12289"/>
    <n v="11806"/>
    <n v="13268"/>
    <n v="12758"/>
    <n v="13549"/>
    <n v="14673"/>
    <n v="0"/>
    <n v="1970"/>
    <n v="0"/>
    <n v="1000"/>
    <n v="1500"/>
    <n v="0"/>
    <n v="0"/>
    <x v="1"/>
    <n v="12289"/>
    <x v="0"/>
  </r>
  <r>
    <x v="708"/>
    <n v="20000"/>
    <x v="0"/>
    <x v="1"/>
    <x v="0"/>
    <x v="1"/>
    <n v="24"/>
    <x v="0"/>
    <x v="2"/>
    <x v="1"/>
    <x v="0"/>
    <x v="3"/>
    <x v="1"/>
    <x v="2"/>
    <n v="10476"/>
    <n v="7279"/>
    <n v="688"/>
    <n v="688"/>
    <n v="688"/>
    <n v="1320"/>
    <n v="1000"/>
    <n v="688"/>
    <n v="0"/>
    <n v="0"/>
    <n v="650"/>
    <n v="0"/>
    <n v="0"/>
    <x v="1"/>
    <n v="9476"/>
    <x v="0"/>
  </r>
  <r>
    <x v="709"/>
    <n v="20000"/>
    <x v="0"/>
    <x v="1"/>
    <x v="0"/>
    <x v="1"/>
    <n v="49"/>
    <x v="3"/>
    <x v="2"/>
    <x v="1"/>
    <x v="1"/>
    <x v="1"/>
    <x v="1"/>
    <x v="2"/>
    <n v="16326"/>
    <n v="17497"/>
    <n v="18456"/>
    <n v="18424"/>
    <n v="18800"/>
    <n v="10000"/>
    <n v="1441"/>
    <n v="1400"/>
    <n v="368"/>
    <n v="376"/>
    <n v="200"/>
    <n v="0"/>
    <n v="0"/>
    <x v="1"/>
    <n v="14885"/>
    <x v="0"/>
  </r>
  <r>
    <x v="710"/>
    <n v="50000"/>
    <x v="0"/>
    <x v="1"/>
    <x v="1"/>
    <x v="2"/>
    <n v="49"/>
    <x v="3"/>
    <x v="2"/>
    <x v="1"/>
    <x v="1"/>
    <x v="1"/>
    <x v="1"/>
    <x v="2"/>
    <n v="17681"/>
    <n v="18249"/>
    <n v="18054"/>
    <n v="18569"/>
    <n v="19152"/>
    <n v="18088"/>
    <n v="1611"/>
    <n v="2000"/>
    <n v="780"/>
    <n v="1000"/>
    <n v="1000"/>
    <n v="2000"/>
    <n v="0"/>
    <x v="1"/>
    <n v="16070"/>
    <x v="0"/>
  </r>
  <r>
    <x v="711"/>
    <n v="30000"/>
    <x v="0"/>
    <x v="0"/>
    <x v="0"/>
    <x v="0"/>
    <n v="42"/>
    <x v="3"/>
    <x v="2"/>
    <x v="1"/>
    <x v="1"/>
    <x v="1"/>
    <x v="1"/>
    <x v="2"/>
    <n v="47912"/>
    <n v="25023"/>
    <n v="25768"/>
    <n v="26410"/>
    <n v="27960"/>
    <n v="46254"/>
    <n v="1755"/>
    <n v="1500"/>
    <n v="1000"/>
    <n v="1909"/>
    <n v="1000"/>
    <n v="2000"/>
    <n v="0"/>
    <x v="1"/>
    <n v="46157"/>
    <x v="1"/>
  </r>
  <r>
    <x v="712"/>
    <n v="360000"/>
    <x v="2"/>
    <x v="0"/>
    <x v="1"/>
    <x v="0"/>
    <n v="30"/>
    <x v="1"/>
    <x v="4"/>
    <x v="0"/>
    <x v="0"/>
    <x v="1"/>
    <x v="2"/>
    <x v="3"/>
    <n v="18886"/>
    <n v="14249"/>
    <n v="3821"/>
    <n v="2404"/>
    <n v="319"/>
    <n v="0"/>
    <n v="0"/>
    <n v="3828"/>
    <n v="2000"/>
    <n v="319"/>
    <n v="0"/>
    <n v="0"/>
    <n v="0"/>
    <x v="1"/>
    <n v="18886"/>
    <x v="0"/>
  </r>
  <r>
    <x v="713"/>
    <n v="170000"/>
    <x v="1"/>
    <x v="1"/>
    <x v="0"/>
    <x v="0"/>
    <n v="42"/>
    <x v="3"/>
    <x v="4"/>
    <x v="2"/>
    <x v="0"/>
    <x v="2"/>
    <x v="0"/>
    <x v="3"/>
    <n v="0"/>
    <n v="1690"/>
    <n v="0"/>
    <n v="0"/>
    <n v="0"/>
    <n v="4750"/>
    <n v="1690"/>
    <n v="0"/>
    <n v="0"/>
    <n v="0"/>
    <n v="4750"/>
    <n v="0"/>
    <n v="0"/>
    <x v="1"/>
    <n v="-1690"/>
    <x v="3"/>
  </r>
  <r>
    <x v="714"/>
    <n v="400000"/>
    <x v="2"/>
    <x v="0"/>
    <x v="1"/>
    <x v="1"/>
    <n v="31"/>
    <x v="1"/>
    <x v="3"/>
    <x v="3"/>
    <x v="3"/>
    <x v="2"/>
    <x v="0"/>
    <x v="0"/>
    <n v="203"/>
    <n v="767"/>
    <n v="664"/>
    <n v="1250"/>
    <n v="-10"/>
    <n v="2174"/>
    <n v="770"/>
    <n v="667"/>
    <n v="1256"/>
    <n v="0"/>
    <n v="2184"/>
    <n v="0"/>
    <n v="0"/>
    <x v="1"/>
    <n v="-567"/>
    <x v="3"/>
  </r>
  <r>
    <x v="715"/>
    <n v="50000"/>
    <x v="0"/>
    <x v="0"/>
    <x v="0"/>
    <x v="0"/>
    <n v="49"/>
    <x v="3"/>
    <x v="2"/>
    <x v="1"/>
    <x v="1"/>
    <x v="1"/>
    <x v="1"/>
    <x v="2"/>
    <n v="34962"/>
    <n v="32275"/>
    <n v="31253"/>
    <n v="32014"/>
    <n v="33573"/>
    <n v="29645"/>
    <n v="1613"/>
    <n v="2000"/>
    <n v="1500"/>
    <n v="2000"/>
    <n v="1645"/>
    <n v="1064"/>
    <n v="0"/>
    <x v="1"/>
    <n v="33349"/>
    <x v="1"/>
  </r>
  <r>
    <x v="716"/>
    <n v="160000"/>
    <x v="1"/>
    <x v="0"/>
    <x v="0"/>
    <x v="1"/>
    <n v="27"/>
    <x v="0"/>
    <x v="2"/>
    <x v="1"/>
    <x v="1"/>
    <x v="1"/>
    <x v="1"/>
    <x v="2"/>
    <n v="80964"/>
    <n v="80337"/>
    <n v="82182"/>
    <n v="82586"/>
    <n v="85145"/>
    <n v="87049"/>
    <n v="4000"/>
    <n v="4000"/>
    <n v="3500"/>
    <n v="4000"/>
    <n v="4000"/>
    <n v="2500"/>
    <n v="0"/>
    <x v="1"/>
    <n v="76964"/>
    <x v="1"/>
  </r>
  <r>
    <x v="717"/>
    <n v="70000"/>
    <x v="0"/>
    <x v="0"/>
    <x v="0"/>
    <x v="0"/>
    <n v="33"/>
    <x v="1"/>
    <x v="2"/>
    <x v="1"/>
    <x v="1"/>
    <x v="1"/>
    <x v="1"/>
    <x v="2"/>
    <n v="69418"/>
    <n v="68943"/>
    <n v="38783"/>
    <n v="3758"/>
    <n v="1261"/>
    <n v="0"/>
    <n v="2382"/>
    <n v="2025"/>
    <n v="1000"/>
    <n v="25"/>
    <n v="0"/>
    <n v="1651"/>
    <n v="1"/>
    <x v="0"/>
    <n v="67036"/>
    <x v="1"/>
  </r>
  <r>
    <x v="718"/>
    <n v="150000"/>
    <x v="1"/>
    <x v="0"/>
    <x v="1"/>
    <x v="0"/>
    <n v="35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719"/>
    <n v="80000"/>
    <x v="0"/>
    <x v="0"/>
    <x v="0"/>
    <x v="1"/>
    <n v="48"/>
    <x v="3"/>
    <x v="2"/>
    <x v="1"/>
    <x v="1"/>
    <x v="1"/>
    <x v="1"/>
    <x v="2"/>
    <n v="45174"/>
    <n v="41885"/>
    <n v="42832"/>
    <n v="23799"/>
    <n v="11723"/>
    <n v="27236"/>
    <n v="3000"/>
    <n v="3413"/>
    <n v="2000"/>
    <n v="5000"/>
    <n v="17236"/>
    <n v="2000"/>
    <n v="0"/>
    <x v="1"/>
    <n v="42174"/>
    <x v="1"/>
  </r>
  <r>
    <x v="720"/>
    <n v="30000"/>
    <x v="0"/>
    <x v="0"/>
    <x v="0"/>
    <x v="1"/>
    <n v="22"/>
    <x v="0"/>
    <x v="2"/>
    <x v="1"/>
    <x v="2"/>
    <x v="1"/>
    <x v="1"/>
    <x v="2"/>
    <n v="23892"/>
    <n v="28459"/>
    <n v="25499"/>
    <n v="25778"/>
    <n v="28708"/>
    <n v="30520"/>
    <n v="5300"/>
    <n v="0"/>
    <n v="1000"/>
    <n v="3352"/>
    <n v="2300"/>
    <n v="0"/>
    <n v="0"/>
    <x v="1"/>
    <n v="18592"/>
    <x v="0"/>
  </r>
  <r>
    <x v="721"/>
    <n v="10000"/>
    <x v="0"/>
    <x v="1"/>
    <x v="0"/>
    <x v="1"/>
    <n v="22"/>
    <x v="0"/>
    <x v="2"/>
    <x v="1"/>
    <x v="1"/>
    <x v="1"/>
    <x v="1"/>
    <x v="2"/>
    <n v="7960"/>
    <n v="9649"/>
    <n v="8518"/>
    <n v="8628"/>
    <n v="9293"/>
    <n v="5033"/>
    <n v="2000"/>
    <n v="1000"/>
    <n v="500"/>
    <n v="1500"/>
    <n v="0"/>
    <n v="2500"/>
    <n v="1"/>
    <x v="0"/>
    <n v="5960"/>
    <x v="0"/>
  </r>
  <r>
    <x v="722"/>
    <n v="180000"/>
    <x v="1"/>
    <x v="0"/>
    <x v="1"/>
    <x v="1"/>
    <n v="27"/>
    <x v="0"/>
    <x v="4"/>
    <x v="2"/>
    <x v="0"/>
    <x v="0"/>
    <x v="2"/>
    <x v="3"/>
    <n v="0"/>
    <n v="3338"/>
    <n v="3333"/>
    <n v="3333"/>
    <n v="3333"/>
    <n v="3333"/>
    <n v="3338"/>
    <n v="3333"/>
    <n v="3333"/>
    <n v="3333"/>
    <n v="3333"/>
    <n v="3333"/>
    <n v="0"/>
    <x v="1"/>
    <n v="-3338"/>
    <x v="3"/>
  </r>
  <r>
    <x v="723"/>
    <n v="320000"/>
    <x v="2"/>
    <x v="1"/>
    <x v="1"/>
    <x v="0"/>
    <n v="47"/>
    <x v="3"/>
    <x v="1"/>
    <x v="2"/>
    <x v="0"/>
    <x v="0"/>
    <x v="2"/>
    <x v="3"/>
    <n v="9192"/>
    <n v="13920"/>
    <n v="4022"/>
    <n v="316"/>
    <n v="8420"/>
    <n v="316"/>
    <n v="13942"/>
    <n v="4022"/>
    <n v="316"/>
    <n v="8420"/>
    <n v="316"/>
    <n v="516"/>
    <n v="0"/>
    <x v="1"/>
    <n v="-4750"/>
    <x v="3"/>
  </r>
  <r>
    <x v="724"/>
    <n v="80000"/>
    <x v="0"/>
    <x v="0"/>
    <x v="0"/>
    <x v="1"/>
    <n v="34"/>
    <x v="1"/>
    <x v="2"/>
    <x v="1"/>
    <x v="1"/>
    <x v="3"/>
    <x v="3"/>
    <x v="1"/>
    <n v="25935"/>
    <n v="27210"/>
    <n v="28783"/>
    <n v="30003"/>
    <n v="29385"/>
    <n v="31401"/>
    <n v="2000"/>
    <n v="2338"/>
    <n v="2000"/>
    <n v="0"/>
    <n v="2500"/>
    <n v="0"/>
    <n v="0"/>
    <x v="1"/>
    <n v="23935"/>
    <x v="0"/>
  </r>
  <r>
    <x v="725"/>
    <n v="10000"/>
    <x v="0"/>
    <x v="1"/>
    <x v="0"/>
    <x v="0"/>
    <n v="45"/>
    <x v="3"/>
    <x v="2"/>
    <x v="1"/>
    <x v="1"/>
    <x v="3"/>
    <x v="1"/>
    <x v="2"/>
    <n v="7139"/>
    <n v="8416"/>
    <n v="9815"/>
    <n v="9508"/>
    <n v="9754"/>
    <n v="10192"/>
    <n v="1400"/>
    <n v="1700"/>
    <n v="0"/>
    <n v="400"/>
    <n v="600"/>
    <n v="200"/>
    <n v="1"/>
    <x v="0"/>
    <n v="5739"/>
    <x v="0"/>
  </r>
  <r>
    <x v="726"/>
    <n v="360000"/>
    <x v="2"/>
    <x v="0"/>
    <x v="0"/>
    <x v="1"/>
    <n v="39"/>
    <x v="1"/>
    <x v="1"/>
    <x v="2"/>
    <x v="0"/>
    <x v="1"/>
    <x v="2"/>
    <x v="3"/>
    <n v="12865"/>
    <n v="4462"/>
    <n v="19560"/>
    <n v="8894"/>
    <n v="5329"/>
    <n v="998"/>
    <n v="4484"/>
    <n v="19623"/>
    <n v="222"/>
    <n v="5355"/>
    <n v="998"/>
    <n v="9004"/>
    <n v="0"/>
    <x v="1"/>
    <n v="8381"/>
    <x v="0"/>
  </r>
  <r>
    <x v="727"/>
    <n v="450000"/>
    <x v="2"/>
    <x v="1"/>
    <x v="0"/>
    <x v="1"/>
    <n v="33"/>
    <x v="1"/>
    <x v="3"/>
    <x v="3"/>
    <x v="3"/>
    <x v="2"/>
    <x v="0"/>
    <x v="0"/>
    <n v="-14"/>
    <n v="2568"/>
    <n v="-387"/>
    <n v="-387"/>
    <n v="-387"/>
    <n v="113"/>
    <n v="2582"/>
    <n v="0"/>
    <n v="0"/>
    <n v="0"/>
    <n v="500"/>
    <n v="2515"/>
    <n v="0"/>
    <x v="1"/>
    <n v="-2596"/>
    <x v="3"/>
  </r>
  <r>
    <x v="728"/>
    <n v="330000"/>
    <x v="2"/>
    <x v="0"/>
    <x v="0"/>
    <x v="1"/>
    <n v="29"/>
    <x v="0"/>
    <x v="2"/>
    <x v="1"/>
    <x v="1"/>
    <x v="1"/>
    <x v="2"/>
    <x v="3"/>
    <n v="49549"/>
    <n v="133957"/>
    <n v="128212"/>
    <n v="79407"/>
    <n v="8875"/>
    <n v="49880"/>
    <n v="90000"/>
    <n v="3000"/>
    <n v="5000"/>
    <n v="8875"/>
    <n v="49880"/>
    <n v="519"/>
    <n v="0"/>
    <x v="1"/>
    <n v="-40451"/>
    <x v="3"/>
  </r>
  <r>
    <x v="729"/>
    <n v="60000"/>
    <x v="0"/>
    <x v="1"/>
    <x v="1"/>
    <x v="1"/>
    <n v="29"/>
    <x v="0"/>
    <x v="1"/>
    <x v="0"/>
    <x v="0"/>
    <x v="0"/>
    <x v="3"/>
    <x v="1"/>
    <n v="546"/>
    <n v="255"/>
    <n v="464"/>
    <n v="1173"/>
    <n v="732"/>
    <n v="1023"/>
    <n v="0"/>
    <n v="500"/>
    <n v="1000"/>
    <n v="0"/>
    <n v="582"/>
    <n v="0"/>
    <n v="1"/>
    <x v="0"/>
    <n v="546"/>
    <x v="0"/>
  </r>
  <r>
    <x v="730"/>
    <n v="50000"/>
    <x v="0"/>
    <x v="0"/>
    <x v="2"/>
    <x v="1"/>
    <n v="26"/>
    <x v="0"/>
    <x v="2"/>
    <x v="1"/>
    <x v="1"/>
    <x v="1"/>
    <x v="1"/>
    <x v="2"/>
    <n v="9935"/>
    <n v="11029"/>
    <n v="12795"/>
    <n v="9983"/>
    <n v="10884"/>
    <n v="7666"/>
    <n v="1234"/>
    <n v="2000"/>
    <n v="297"/>
    <n v="1000"/>
    <n v="307"/>
    <n v="361"/>
    <n v="0"/>
    <x v="1"/>
    <n v="8701"/>
    <x v="0"/>
  </r>
  <r>
    <x v="731"/>
    <n v="200000"/>
    <x v="1"/>
    <x v="1"/>
    <x v="0"/>
    <x v="0"/>
    <n v="38"/>
    <x v="1"/>
    <x v="2"/>
    <x v="1"/>
    <x v="1"/>
    <x v="1"/>
    <x v="1"/>
    <x v="2"/>
    <n v="152856"/>
    <n v="156104"/>
    <n v="158279"/>
    <n v="161934"/>
    <n v="165447"/>
    <n v="168802"/>
    <n v="6000"/>
    <n v="5000"/>
    <n v="5000"/>
    <n v="5000"/>
    <n v="4917"/>
    <n v="10000"/>
    <n v="0"/>
    <x v="1"/>
    <n v="146856"/>
    <x v="2"/>
  </r>
  <r>
    <x v="732"/>
    <n v="120000"/>
    <x v="1"/>
    <x v="1"/>
    <x v="1"/>
    <x v="1"/>
    <n v="34"/>
    <x v="1"/>
    <x v="4"/>
    <x v="0"/>
    <x v="0"/>
    <x v="0"/>
    <x v="0"/>
    <x v="0"/>
    <n v="1278"/>
    <n v="639"/>
    <n v="621"/>
    <n v="-18"/>
    <n v="-18"/>
    <n v="-18"/>
    <n v="0"/>
    <n v="621"/>
    <n v="0"/>
    <n v="0"/>
    <n v="0"/>
    <n v="0"/>
    <n v="0"/>
    <x v="1"/>
    <n v="1278"/>
    <x v="0"/>
  </r>
  <r>
    <x v="733"/>
    <n v="160000"/>
    <x v="1"/>
    <x v="0"/>
    <x v="1"/>
    <x v="0"/>
    <n v="37"/>
    <x v="1"/>
    <x v="1"/>
    <x v="2"/>
    <x v="0"/>
    <x v="0"/>
    <x v="2"/>
    <x v="3"/>
    <n v="316"/>
    <n v="316"/>
    <n v="0"/>
    <n v="316"/>
    <n v="632"/>
    <n v="0"/>
    <n v="316"/>
    <n v="0"/>
    <n v="316"/>
    <n v="632"/>
    <n v="0"/>
    <n v="316"/>
    <n v="0"/>
    <x v="1"/>
    <n v="0"/>
    <x v="3"/>
  </r>
  <r>
    <x v="734"/>
    <n v="110000"/>
    <x v="1"/>
    <x v="1"/>
    <x v="0"/>
    <x v="0"/>
    <n v="57"/>
    <x v="2"/>
    <x v="2"/>
    <x v="1"/>
    <x v="1"/>
    <x v="1"/>
    <x v="1"/>
    <x v="2"/>
    <n v="46132"/>
    <n v="41050"/>
    <n v="40091"/>
    <n v="40659"/>
    <n v="38529"/>
    <n v="30900"/>
    <n v="2306"/>
    <n v="2111"/>
    <n v="3009"/>
    <n v="1725"/>
    <n v="1500"/>
    <n v="0"/>
    <n v="0"/>
    <x v="1"/>
    <n v="43826"/>
    <x v="1"/>
  </r>
  <r>
    <x v="735"/>
    <n v="70000"/>
    <x v="0"/>
    <x v="0"/>
    <x v="2"/>
    <x v="0"/>
    <n v="50"/>
    <x v="2"/>
    <x v="3"/>
    <x v="3"/>
    <x v="0"/>
    <x v="1"/>
    <x v="1"/>
    <x v="2"/>
    <n v="27345"/>
    <n v="-1041"/>
    <n v="17571"/>
    <n v="17920"/>
    <n v="18296"/>
    <n v="18659"/>
    <n v="1041"/>
    <n v="18862"/>
    <n v="640"/>
    <n v="663"/>
    <n v="666"/>
    <n v="690"/>
    <n v="0"/>
    <x v="1"/>
    <n v="26304"/>
    <x v="1"/>
  </r>
  <r>
    <x v="736"/>
    <n v="150000"/>
    <x v="1"/>
    <x v="0"/>
    <x v="2"/>
    <x v="1"/>
    <n v="28"/>
    <x v="0"/>
    <x v="2"/>
    <x v="1"/>
    <x v="1"/>
    <x v="1"/>
    <x v="1"/>
    <x v="2"/>
    <n v="101593"/>
    <n v="101886"/>
    <n v="101441"/>
    <n v="100829"/>
    <n v="101913"/>
    <n v="96704"/>
    <n v="4000"/>
    <n v="4032"/>
    <n v="3410"/>
    <n v="4000"/>
    <n v="3665"/>
    <n v="3050"/>
    <n v="0"/>
    <x v="1"/>
    <n v="97593"/>
    <x v="1"/>
  </r>
  <r>
    <x v="737"/>
    <n v="610000"/>
    <x v="2"/>
    <x v="0"/>
    <x v="1"/>
    <x v="1"/>
    <n v="31"/>
    <x v="1"/>
    <x v="2"/>
    <x v="1"/>
    <x v="1"/>
    <x v="1"/>
    <x v="1"/>
    <x v="2"/>
    <n v="142764"/>
    <n v="126606"/>
    <n v="67887"/>
    <n v="58397"/>
    <n v="105301"/>
    <n v="105965"/>
    <n v="6540"/>
    <n v="2100"/>
    <n v="2150"/>
    <n v="50000"/>
    <n v="4700"/>
    <n v="2000"/>
    <n v="0"/>
    <x v="1"/>
    <n v="136224"/>
    <x v="2"/>
  </r>
  <r>
    <x v="738"/>
    <n v="110000"/>
    <x v="1"/>
    <x v="0"/>
    <x v="1"/>
    <x v="1"/>
    <n v="25"/>
    <x v="0"/>
    <x v="2"/>
    <x v="1"/>
    <x v="1"/>
    <x v="1"/>
    <x v="1"/>
    <x v="2"/>
    <n v="92849"/>
    <n v="94766"/>
    <n v="93894"/>
    <n v="85723"/>
    <n v="86443"/>
    <n v="84011"/>
    <n v="4346"/>
    <n v="4075"/>
    <n v="3144"/>
    <n v="3238"/>
    <n v="3167"/>
    <n v="3202"/>
    <n v="0"/>
    <x v="1"/>
    <n v="88503"/>
    <x v="1"/>
  </r>
  <r>
    <x v="739"/>
    <n v="80000"/>
    <x v="0"/>
    <x v="0"/>
    <x v="0"/>
    <x v="1"/>
    <n v="25"/>
    <x v="0"/>
    <x v="0"/>
    <x v="1"/>
    <x v="1"/>
    <x v="3"/>
    <x v="1"/>
    <x v="2"/>
    <n v="17330"/>
    <n v="19258"/>
    <n v="23416"/>
    <n v="22768"/>
    <n v="23243"/>
    <n v="23718"/>
    <n v="3000"/>
    <n v="4790"/>
    <n v="0"/>
    <n v="816"/>
    <n v="833"/>
    <n v="2000"/>
    <n v="1"/>
    <x v="0"/>
    <n v="14330"/>
    <x v="0"/>
  </r>
  <r>
    <x v="740"/>
    <n v="170000"/>
    <x v="1"/>
    <x v="0"/>
    <x v="0"/>
    <x v="0"/>
    <n v="33"/>
    <x v="1"/>
    <x v="2"/>
    <x v="1"/>
    <x v="1"/>
    <x v="1"/>
    <x v="1"/>
    <x v="2"/>
    <n v="109863"/>
    <n v="79574"/>
    <n v="78440"/>
    <n v="80141"/>
    <n v="81862"/>
    <n v="84237"/>
    <n v="4380"/>
    <n v="3000"/>
    <n v="3000"/>
    <n v="3000"/>
    <n v="4000"/>
    <n v="4500"/>
    <n v="0"/>
    <x v="1"/>
    <n v="105483"/>
    <x v="2"/>
  </r>
  <r>
    <x v="741"/>
    <n v="110000"/>
    <x v="1"/>
    <x v="0"/>
    <x v="1"/>
    <x v="1"/>
    <n v="30"/>
    <x v="1"/>
    <x v="1"/>
    <x v="2"/>
    <x v="0"/>
    <x v="0"/>
    <x v="0"/>
    <x v="0"/>
    <n v="1064"/>
    <n v="2001"/>
    <n v="3796"/>
    <n v="0"/>
    <n v="0"/>
    <n v="0"/>
    <n v="2007"/>
    <n v="3796"/>
    <n v="0"/>
    <n v="0"/>
    <n v="0"/>
    <n v="0"/>
    <n v="0"/>
    <x v="1"/>
    <n v="-943"/>
    <x v="3"/>
  </r>
  <r>
    <x v="742"/>
    <n v="140000"/>
    <x v="1"/>
    <x v="0"/>
    <x v="1"/>
    <x v="0"/>
    <n v="51"/>
    <x v="2"/>
    <x v="2"/>
    <x v="1"/>
    <x v="1"/>
    <x v="1"/>
    <x v="1"/>
    <x v="2"/>
    <n v="56764"/>
    <n v="57950"/>
    <n v="57668"/>
    <n v="55024"/>
    <n v="55883"/>
    <n v="55744"/>
    <n v="2115"/>
    <n v="2004"/>
    <n v="1941"/>
    <n v="2073"/>
    <n v="1909"/>
    <n v="2132"/>
    <n v="0"/>
    <x v="1"/>
    <n v="54649"/>
    <x v="1"/>
  </r>
  <r>
    <x v="743"/>
    <n v="70000"/>
    <x v="0"/>
    <x v="1"/>
    <x v="1"/>
    <x v="1"/>
    <n v="51"/>
    <x v="2"/>
    <x v="2"/>
    <x v="1"/>
    <x v="1"/>
    <x v="3"/>
    <x v="1"/>
    <x v="2"/>
    <n v="43048"/>
    <n v="43257"/>
    <n v="44115"/>
    <n v="41112"/>
    <n v="39922"/>
    <n v="40150"/>
    <n v="3000"/>
    <n v="4000"/>
    <n v="0"/>
    <n v="1500"/>
    <n v="3000"/>
    <n v="5000"/>
    <n v="0"/>
    <x v="1"/>
    <n v="40048"/>
    <x v="1"/>
  </r>
  <r>
    <x v="744"/>
    <n v="260000"/>
    <x v="1"/>
    <x v="0"/>
    <x v="0"/>
    <x v="0"/>
    <n v="46"/>
    <x v="3"/>
    <x v="3"/>
    <x v="3"/>
    <x v="3"/>
    <x v="2"/>
    <x v="0"/>
    <x v="0"/>
    <n v="29484"/>
    <n v="28592"/>
    <n v="16869"/>
    <n v="12713"/>
    <n v="10420"/>
    <n v="12532"/>
    <n v="10000"/>
    <n v="3000"/>
    <n v="12713"/>
    <n v="10420"/>
    <n v="12532"/>
    <n v="12151"/>
    <n v="0"/>
    <x v="1"/>
    <n v="19484"/>
    <x v="0"/>
  </r>
  <r>
    <x v="745"/>
    <n v="170000"/>
    <x v="1"/>
    <x v="1"/>
    <x v="2"/>
    <x v="1"/>
    <n v="38"/>
    <x v="1"/>
    <x v="2"/>
    <x v="1"/>
    <x v="1"/>
    <x v="1"/>
    <x v="1"/>
    <x v="2"/>
    <n v="21310"/>
    <n v="22957"/>
    <n v="24266"/>
    <n v="25556"/>
    <n v="29949"/>
    <n v="34434"/>
    <n v="2000"/>
    <n v="2000"/>
    <n v="2000"/>
    <n v="5000"/>
    <n v="5000"/>
    <n v="5000"/>
    <n v="0"/>
    <x v="1"/>
    <n v="19310"/>
    <x v="0"/>
  </r>
  <r>
    <x v="746"/>
    <n v="50000"/>
    <x v="0"/>
    <x v="0"/>
    <x v="0"/>
    <x v="0"/>
    <n v="34"/>
    <x v="1"/>
    <x v="2"/>
    <x v="1"/>
    <x v="1"/>
    <x v="1"/>
    <x v="1"/>
    <x v="2"/>
    <n v="10821"/>
    <n v="11877"/>
    <n v="13656"/>
    <n v="14949"/>
    <n v="16567"/>
    <n v="16826"/>
    <n v="1221"/>
    <n v="2000"/>
    <n v="1500"/>
    <n v="2000"/>
    <n v="2000"/>
    <n v="4000"/>
    <n v="0"/>
    <x v="1"/>
    <n v="9600"/>
    <x v="0"/>
  </r>
  <r>
    <x v="747"/>
    <n v="300000"/>
    <x v="1"/>
    <x v="0"/>
    <x v="2"/>
    <x v="0"/>
    <n v="34"/>
    <x v="1"/>
    <x v="2"/>
    <x v="1"/>
    <x v="1"/>
    <x v="1"/>
    <x v="1"/>
    <x v="2"/>
    <n v="280823"/>
    <n v="275303"/>
    <n v="271952"/>
    <n v="193403"/>
    <n v="187562"/>
    <n v="191069"/>
    <n v="11000"/>
    <n v="12000"/>
    <n v="7200"/>
    <n v="6500"/>
    <n v="6173"/>
    <n v="5500"/>
    <n v="1"/>
    <x v="0"/>
    <n v="269823"/>
    <x v="2"/>
  </r>
  <r>
    <x v="748"/>
    <n v="150000"/>
    <x v="1"/>
    <x v="0"/>
    <x v="1"/>
    <x v="1"/>
    <n v="31"/>
    <x v="1"/>
    <x v="0"/>
    <x v="2"/>
    <x v="0"/>
    <x v="0"/>
    <x v="2"/>
    <x v="3"/>
    <n v="390"/>
    <n v="390"/>
    <n v="390"/>
    <n v="4825"/>
    <n v="5202"/>
    <n v="780"/>
    <n v="390"/>
    <n v="390"/>
    <n v="4825"/>
    <n v="5202"/>
    <n v="780"/>
    <n v="0"/>
    <n v="1"/>
    <x v="0"/>
    <n v="0"/>
    <x v="3"/>
  </r>
  <r>
    <x v="749"/>
    <n v="50000"/>
    <x v="0"/>
    <x v="0"/>
    <x v="0"/>
    <x v="1"/>
    <n v="25"/>
    <x v="0"/>
    <x v="7"/>
    <x v="6"/>
    <x v="6"/>
    <x v="6"/>
    <x v="6"/>
    <x v="4"/>
    <n v="37647"/>
    <n v="37102"/>
    <n v="36238"/>
    <n v="36374"/>
    <n v="35229"/>
    <n v="34365"/>
    <n v="0"/>
    <n v="0"/>
    <n v="1000"/>
    <n v="0"/>
    <n v="0"/>
    <n v="3000"/>
    <n v="1"/>
    <x v="0"/>
    <n v="37647"/>
    <x v="1"/>
  </r>
  <r>
    <x v="750"/>
    <n v="50000"/>
    <x v="0"/>
    <x v="0"/>
    <x v="0"/>
    <x v="0"/>
    <n v="26"/>
    <x v="0"/>
    <x v="4"/>
    <x v="3"/>
    <x v="0"/>
    <x v="1"/>
    <x v="1"/>
    <x v="2"/>
    <n v="0"/>
    <n v="0"/>
    <n v="1756"/>
    <n v="2719"/>
    <n v="4049"/>
    <n v="5176"/>
    <n v="0"/>
    <n v="1756"/>
    <n v="1000"/>
    <n v="1537"/>
    <n v="1200"/>
    <n v="2000"/>
    <n v="0"/>
    <x v="1"/>
    <n v="0"/>
    <x v="3"/>
  </r>
  <r>
    <x v="751"/>
    <n v="90000"/>
    <x v="0"/>
    <x v="0"/>
    <x v="1"/>
    <x v="1"/>
    <n v="25"/>
    <x v="0"/>
    <x v="0"/>
    <x v="1"/>
    <x v="1"/>
    <x v="1"/>
    <x v="1"/>
    <x v="3"/>
    <n v="84710"/>
    <n v="87334"/>
    <n v="87862"/>
    <n v="18889"/>
    <n v="-783"/>
    <n v="73568"/>
    <n v="4000"/>
    <n v="3258"/>
    <n v="1000"/>
    <n v="0"/>
    <n v="77500"/>
    <n v="0"/>
    <n v="0"/>
    <x v="1"/>
    <n v="80710"/>
    <x v="1"/>
  </r>
  <r>
    <x v="752"/>
    <n v="50000"/>
    <x v="0"/>
    <x v="1"/>
    <x v="0"/>
    <x v="1"/>
    <n v="26"/>
    <x v="0"/>
    <x v="2"/>
    <x v="1"/>
    <x v="1"/>
    <x v="1"/>
    <x v="1"/>
    <x v="2"/>
    <n v="48036"/>
    <n v="46787"/>
    <n v="42011"/>
    <n v="19147"/>
    <n v="2845"/>
    <n v="20041"/>
    <n v="2100"/>
    <n v="1227"/>
    <n v="383"/>
    <n v="2000"/>
    <n v="20000"/>
    <n v="649"/>
    <n v="1"/>
    <x v="0"/>
    <n v="45936"/>
    <x v="1"/>
  </r>
  <r>
    <x v="753"/>
    <n v="500000"/>
    <x v="2"/>
    <x v="0"/>
    <x v="0"/>
    <x v="1"/>
    <n v="43"/>
    <x v="3"/>
    <x v="1"/>
    <x v="1"/>
    <x v="1"/>
    <x v="1"/>
    <x v="1"/>
    <x v="2"/>
    <n v="43346"/>
    <n v="43976"/>
    <n v="39032"/>
    <n v="29092"/>
    <n v="22725"/>
    <n v="11590"/>
    <n v="4006"/>
    <n v="2383"/>
    <n v="1126"/>
    <n v="782"/>
    <n v="596"/>
    <n v="1572"/>
    <n v="0"/>
    <x v="1"/>
    <n v="39340"/>
    <x v="1"/>
  </r>
  <r>
    <x v="754"/>
    <n v="470000"/>
    <x v="2"/>
    <x v="0"/>
    <x v="0"/>
    <x v="0"/>
    <n v="36"/>
    <x v="1"/>
    <x v="1"/>
    <x v="1"/>
    <x v="1"/>
    <x v="0"/>
    <x v="2"/>
    <x v="3"/>
    <n v="873"/>
    <n v="1593"/>
    <n v="1518"/>
    <n v="285"/>
    <n v="688"/>
    <n v="2100"/>
    <n v="1005"/>
    <n v="1000"/>
    <n v="285"/>
    <n v="688"/>
    <n v="2100"/>
    <n v="1014"/>
    <n v="0"/>
    <x v="1"/>
    <n v="-132"/>
    <x v="3"/>
  </r>
  <r>
    <x v="755"/>
    <n v="230000"/>
    <x v="1"/>
    <x v="1"/>
    <x v="0"/>
    <x v="1"/>
    <n v="58"/>
    <x v="2"/>
    <x v="2"/>
    <x v="1"/>
    <x v="1"/>
    <x v="1"/>
    <x v="1"/>
    <x v="2"/>
    <n v="110163"/>
    <n v="112499"/>
    <n v="114837"/>
    <n v="116400"/>
    <n v="45643"/>
    <n v="51083"/>
    <n v="5600"/>
    <n v="5700"/>
    <n v="5000"/>
    <n v="1855"/>
    <n v="6400"/>
    <n v="0"/>
    <n v="0"/>
    <x v="1"/>
    <n v="104563"/>
    <x v="2"/>
  </r>
  <r>
    <x v="756"/>
    <n v="140000"/>
    <x v="1"/>
    <x v="0"/>
    <x v="0"/>
    <x v="1"/>
    <n v="26"/>
    <x v="0"/>
    <x v="2"/>
    <x v="1"/>
    <x v="0"/>
    <x v="0"/>
    <x v="1"/>
    <x v="2"/>
    <n v="4113"/>
    <n v="6030"/>
    <n v="16025"/>
    <n v="24616"/>
    <n v="19458"/>
    <n v="20047"/>
    <n v="2000"/>
    <n v="16025"/>
    <n v="24616"/>
    <n v="1000"/>
    <n v="1000"/>
    <n v="1000"/>
    <n v="0"/>
    <x v="1"/>
    <n v="2113"/>
    <x v="0"/>
  </r>
  <r>
    <x v="757"/>
    <n v="230000"/>
    <x v="1"/>
    <x v="0"/>
    <x v="0"/>
    <x v="0"/>
    <n v="30"/>
    <x v="1"/>
    <x v="0"/>
    <x v="1"/>
    <x v="0"/>
    <x v="0"/>
    <x v="2"/>
    <x v="3"/>
    <n v="9636"/>
    <n v="10152"/>
    <n v="1817"/>
    <n v="-828"/>
    <n v="6153"/>
    <n v="12663"/>
    <n v="1222"/>
    <n v="1837"/>
    <n v="0"/>
    <n v="7863"/>
    <n v="12675"/>
    <n v="2959"/>
    <n v="1"/>
    <x v="0"/>
    <n v="8414"/>
    <x v="0"/>
  </r>
  <r>
    <x v="758"/>
    <n v="420000"/>
    <x v="2"/>
    <x v="0"/>
    <x v="0"/>
    <x v="1"/>
    <n v="31"/>
    <x v="1"/>
    <x v="2"/>
    <x v="1"/>
    <x v="1"/>
    <x v="1"/>
    <x v="2"/>
    <x v="3"/>
    <n v="25103"/>
    <n v="21330"/>
    <n v="16024"/>
    <n v="9603"/>
    <n v="2131"/>
    <n v="64507"/>
    <n v="1509"/>
    <n v="1067"/>
    <n v="3061"/>
    <n v="2210"/>
    <n v="64524"/>
    <n v="2324"/>
    <n v="0"/>
    <x v="1"/>
    <n v="23594"/>
    <x v="0"/>
  </r>
  <r>
    <x v="759"/>
    <n v="30000"/>
    <x v="0"/>
    <x v="0"/>
    <x v="0"/>
    <x v="1"/>
    <n v="24"/>
    <x v="0"/>
    <x v="2"/>
    <x v="1"/>
    <x v="1"/>
    <x v="1"/>
    <x v="1"/>
    <x v="2"/>
    <n v="31319"/>
    <n v="31181"/>
    <n v="31540"/>
    <n v="31016"/>
    <n v="30531"/>
    <n v="30528"/>
    <n v="1564"/>
    <n v="1800"/>
    <n v="1100"/>
    <n v="1500"/>
    <n v="1500"/>
    <n v="3000"/>
    <n v="0"/>
    <x v="1"/>
    <n v="29755"/>
    <x v="1"/>
  </r>
  <r>
    <x v="760"/>
    <n v="50000"/>
    <x v="0"/>
    <x v="0"/>
    <x v="0"/>
    <x v="1"/>
    <n v="52"/>
    <x v="2"/>
    <x v="4"/>
    <x v="0"/>
    <x v="1"/>
    <x v="1"/>
    <x v="1"/>
    <x v="1"/>
    <n v="43343"/>
    <n v="43360"/>
    <n v="23417"/>
    <n v="21969"/>
    <n v="21179"/>
    <n v="18711"/>
    <n v="1300"/>
    <n v="1400"/>
    <n v="920"/>
    <n v="1700"/>
    <n v="0"/>
    <n v="900"/>
    <n v="1"/>
    <x v="0"/>
    <n v="42043"/>
    <x v="1"/>
  </r>
  <r>
    <x v="761"/>
    <n v="140000"/>
    <x v="1"/>
    <x v="0"/>
    <x v="0"/>
    <x v="1"/>
    <n v="24"/>
    <x v="0"/>
    <x v="1"/>
    <x v="2"/>
    <x v="3"/>
    <x v="0"/>
    <x v="2"/>
    <x v="0"/>
    <n v="197"/>
    <n v="0"/>
    <n v="0"/>
    <n v="233"/>
    <n v="0"/>
    <n v="0"/>
    <n v="0"/>
    <n v="0"/>
    <n v="233"/>
    <n v="0"/>
    <n v="0"/>
    <n v="0"/>
    <n v="0"/>
    <x v="1"/>
    <n v="197"/>
    <x v="0"/>
  </r>
  <r>
    <x v="762"/>
    <n v="260000"/>
    <x v="1"/>
    <x v="0"/>
    <x v="0"/>
    <x v="0"/>
    <n v="35"/>
    <x v="1"/>
    <x v="1"/>
    <x v="2"/>
    <x v="0"/>
    <x v="0"/>
    <x v="2"/>
    <x v="2"/>
    <n v="7967"/>
    <n v="67650"/>
    <n v="6000"/>
    <n v="0"/>
    <n v="88348"/>
    <n v="85962"/>
    <n v="67650"/>
    <n v="6000"/>
    <n v="0"/>
    <n v="88348"/>
    <n v="5000"/>
    <n v="25000"/>
    <n v="0"/>
    <x v="1"/>
    <n v="-59683"/>
    <x v="3"/>
  </r>
  <r>
    <x v="763"/>
    <n v="90000"/>
    <x v="0"/>
    <x v="0"/>
    <x v="2"/>
    <x v="1"/>
    <n v="29"/>
    <x v="0"/>
    <x v="1"/>
    <x v="0"/>
    <x v="0"/>
    <x v="0"/>
    <x v="2"/>
    <x v="0"/>
    <n v="19450"/>
    <n v="3123"/>
    <n v="2121"/>
    <n v="3113"/>
    <n v="0"/>
    <n v="0"/>
    <n v="0"/>
    <n v="3509"/>
    <n v="3113"/>
    <n v="0"/>
    <n v="0"/>
    <n v="0"/>
    <n v="0"/>
    <x v="1"/>
    <n v="19450"/>
    <x v="0"/>
  </r>
  <r>
    <x v="764"/>
    <n v="240000"/>
    <x v="1"/>
    <x v="0"/>
    <x v="0"/>
    <x v="0"/>
    <n v="33"/>
    <x v="1"/>
    <x v="2"/>
    <x v="1"/>
    <x v="1"/>
    <x v="1"/>
    <x v="1"/>
    <x v="2"/>
    <n v="240878"/>
    <n v="233838"/>
    <n v="238067"/>
    <n v="242579"/>
    <n v="238245"/>
    <n v="233710"/>
    <n v="10000"/>
    <n v="11000"/>
    <n v="10000"/>
    <n v="10000"/>
    <n v="10000"/>
    <n v="8000"/>
    <n v="0"/>
    <x v="1"/>
    <n v="230878"/>
    <x v="2"/>
  </r>
  <r>
    <x v="765"/>
    <n v="510000"/>
    <x v="2"/>
    <x v="0"/>
    <x v="1"/>
    <x v="1"/>
    <n v="35"/>
    <x v="1"/>
    <x v="1"/>
    <x v="1"/>
    <x v="1"/>
    <x v="1"/>
    <x v="1"/>
    <x v="3"/>
    <n v="2115"/>
    <n v="2116"/>
    <n v="5560"/>
    <n v="4535"/>
    <n v="3488"/>
    <n v="1116"/>
    <n v="1117"/>
    <n v="4560"/>
    <n v="91"/>
    <n v="69"/>
    <n v="1116"/>
    <n v="2115"/>
    <n v="0"/>
    <x v="1"/>
    <n v="998"/>
    <x v="0"/>
  </r>
  <r>
    <x v="766"/>
    <n v="110000"/>
    <x v="1"/>
    <x v="0"/>
    <x v="0"/>
    <x v="0"/>
    <n v="35"/>
    <x v="1"/>
    <x v="2"/>
    <x v="1"/>
    <x v="1"/>
    <x v="1"/>
    <x v="1"/>
    <x v="2"/>
    <n v="81665"/>
    <n v="46070"/>
    <n v="34419"/>
    <n v="36829"/>
    <n v="38080"/>
    <n v="40434"/>
    <n v="2460"/>
    <n v="2000"/>
    <n v="3000"/>
    <n v="2000"/>
    <n v="3000"/>
    <n v="5000"/>
    <n v="0"/>
    <x v="1"/>
    <n v="79205"/>
    <x v="1"/>
  </r>
  <r>
    <x v="767"/>
    <n v="210000"/>
    <x v="1"/>
    <x v="0"/>
    <x v="1"/>
    <x v="1"/>
    <n v="28"/>
    <x v="0"/>
    <x v="1"/>
    <x v="2"/>
    <x v="0"/>
    <x v="1"/>
    <x v="1"/>
    <x v="2"/>
    <n v="11442"/>
    <n v="3738"/>
    <n v="7526"/>
    <n v="10217"/>
    <n v="11737"/>
    <n v="8114"/>
    <n v="3738"/>
    <n v="7526"/>
    <n v="5000"/>
    <n v="5000"/>
    <n v="162"/>
    <n v="27760"/>
    <n v="0"/>
    <x v="1"/>
    <n v="7704"/>
    <x v="0"/>
  </r>
  <r>
    <x v="768"/>
    <n v="220000"/>
    <x v="1"/>
    <x v="1"/>
    <x v="0"/>
    <x v="0"/>
    <n v="40"/>
    <x v="3"/>
    <x v="1"/>
    <x v="2"/>
    <x v="3"/>
    <x v="2"/>
    <x v="0"/>
    <x v="0"/>
    <n v="158"/>
    <n v="0"/>
    <n v="0"/>
    <n v="0"/>
    <n v="0"/>
    <n v="612"/>
    <n v="0"/>
    <n v="0"/>
    <n v="0"/>
    <n v="0"/>
    <n v="612"/>
    <n v="1863"/>
    <n v="0"/>
    <x v="1"/>
    <n v="158"/>
    <x v="0"/>
  </r>
  <r>
    <x v="769"/>
    <n v="200000"/>
    <x v="1"/>
    <x v="0"/>
    <x v="1"/>
    <x v="0"/>
    <n v="35"/>
    <x v="1"/>
    <x v="3"/>
    <x v="3"/>
    <x v="3"/>
    <x v="2"/>
    <x v="0"/>
    <x v="0"/>
    <n v="2257"/>
    <n v="4261"/>
    <n v="1265"/>
    <n v="2473"/>
    <n v="0"/>
    <n v="0"/>
    <n v="4266"/>
    <n v="1667"/>
    <n v="2473"/>
    <n v="0"/>
    <n v="0"/>
    <n v="0"/>
    <n v="0"/>
    <x v="1"/>
    <n v="-2009"/>
    <x v="3"/>
  </r>
  <r>
    <x v="770"/>
    <n v="360000"/>
    <x v="2"/>
    <x v="0"/>
    <x v="0"/>
    <x v="1"/>
    <n v="53"/>
    <x v="2"/>
    <x v="1"/>
    <x v="2"/>
    <x v="0"/>
    <x v="0"/>
    <x v="2"/>
    <x v="3"/>
    <n v="10733"/>
    <n v="15206"/>
    <n v="15000"/>
    <n v="9744"/>
    <n v="11114"/>
    <n v="8123"/>
    <n v="15206"/>
    <n v="15032"/>
    <n v="9769"/>
    <n v="11114"/>
    <n v="8123"/>
    <n v="8736"/>
    <n v="0"/>
    <x v="1"/>
    <n v="-4473"/>
    <x v="3"/>
  </r>
  <r>
    <x v="771"/>
    <n v="260000"/>
    <x v="1"/>
    <x v="1"/>
    <x v="1"/>
    <x v="1"/>
    <n v="44"/>
    <x v="3"/>
    <x v="1"/>
    <x v="2"/>
    <x v="0"/>
    <x v="0"/>
    <x v="2"/>
    <x v="3"/>
    <n v="316"/>
    <n v="316"/>
    <n v="316"/>
    <n v="316"/>
    <n v="316"/>
    <n v="466"/>
    <n v="316"/>
    <n v="316"/>
    <n v="316"/>
    <n v="316"/>
    <n v="466"/>
    <n v="316"/>
    <n v="0"/>
    <x v="1"/>
    <n v="0"/>
    <x v="3"/>
  </r>
  <r>
    <x v="772"/>
    <n v="20000"/>
    <x v="0"/>
    <x v="1"/>
    <x v="0"/>
    <x v="0"/>
    <n v="33"/>
    <x v="1"/>
    <x v="2"/>
    <x v="1"/>
    <x v="1"/>
    <x v="1"/>
    <x v="1"/>
    <x v="2"/>
    <n v="11026"/>
    <n v="9535"/>
    <n v="10510"/>
    <n v="10472"/>
    <n v="10140"/>
    <n v="10101"/>
    <n v="1174"/>
    <n v="1149"/>
    <n v="501"/>
    <n v="356"/>
    <n v="507"/>
    <n v="458"/>
    <n v="0"/>
    <x v="1"/>
    <n v="9852"/>
    <x v="0"/>
  </r>
  <r>
    <x v="773"/>
    <n v="120000"/>
    <x v="1"/>
    <x v="0"/>
    <x v="0"/>
    <x v="0"/>
    <n v="32"/>
    <x v="1"/>
    <x v="2"/>
    <x v="1"/>
    <x v="1"/>
    <x v="1"/>
    <x v="1"/>
    <x v="2"/>
    <n v="113869"/>
    <n v="116110"/>
    <n v="111978"/>
    <n v="112822"/>
    <n v="114969"/>
    <n v="117949"/>
    <n v="5498"/>
    <n v="5500"/>
    <n v="4000"/>
    <n v="4300"/>
    <n v="5012"/>
    <n v="4003"/>
    <n v="0"/>
    <x v="1"/>
    <n v="108371"/>
    <x v="2"/>
  </r>
  <r>
    <x v="774"/>
    <n v="50000"/>
    <x v="0"/>
    <x v="0"/>
    <x v="1"/>
    <x v="1"/>
    <n v="33"/>
    <x v="1"/>
    <x v="1"/>
    <x v="0"/>
    <x v="0"/>
    <x v="0"/>
    <x v="2"/>
    <x v="0"/>
    <n v="7363"/>
    <n v="5180"/>
    <n v="31902"/>
    <n v="11044"/>
    <n v="0"/>
    <n v="0"/>
    <n v="39"/>
    <n v="32013"/>
    <n v="11079"/>
    <n v="0"/>
    <n v="0"/>
    <n v="0"/>
    <n v="0"/>
    <x v="1"/>
    <n v="7324"/>
    <x v="0"/>
  </r>
  <r>
    <x v="775"/>
    <n v="60000"/>
    <x v="0"/>
    <x v="0"/>
    <x v="1"/>
    <x v="1"/>
    <n v="26"/>
    <x v="0"/>
    <x v="4"/>
    <x v="0"/>
    <x v="1"/>
    <x v="1"/>
    <x v="1"/>
    <x v="2"/>
    <n v="29649"/>
    <n v="21657"/>
    <n v="28736"/>
    <n v="42733"/>
    <n v="46404"/>
    <n v="37993"/>
    <n v="0"/>
    <n v="8000"/>
    <n v="15000"/>
    <n v="9000"/>
    <n v="10000"/>
    <n v="0"/>
    <n v="0"/>
    <x v="1"/>
    <n v="29649"/>
    <x v="1"/>
  </r>
  <r>
    <x v="776"/>
    <n v="200000"/>
    <x v="1"/>
    <x v="1"/>
    <x v="1"/>
    <x v="1"/>
    <n v="26"/>
    <x v="0"/>
    <x v="3"/>
    <x v="3"/>
    <x v="3"/>
    <x v="2"/>
    <x v="2"/>
    <x v="3"/>
    <n v="12716"/>
    <n v="16164"/>
    <n v="1954"/>
    <n v="5297"/>
    <n v="1483"/>
    <n v="3393"/>
    <n v="16244"/>
    <n v="1963"/>
    <n v="3359"/>
    <n v="4849"/>
    <n v="3410"/>
    <n v="2994"/>
    <n v="0"/>
    <x v="1"/>
    <n v="-3528"/>
    <x v="3"/>
  </r>
  <r>
    <x v="777"/>
    <n v="20000"/>
    <x v="0"/>
    <x v="1"/>
    <x v="0"/>
    <x v="1"/>
    <n v="26"/>
    <x v="0"/>
    <x v="1"/>
    <x v="2"/>
    <x v="0"/>
    <x v="0"/>
    <x v="0"/>
    <x v="3"/>
    <n v="1438"/>
    <n v="1261"/>
    <n v="451"/>
    <n v="-810"/>
    <n v="-420"/>
    <n v="1320"/>
    <n v="1261"/>
    <n v="451"/>
    <n v="0"/>
    <n v="780"/>
    <n v="2130"/>
    <n v="0"/>
    <n v="0"/>
    <x v="1"/>
    <n v="177"/>
    <x v="0"/>
  </r>
  <r>
    <x v="778"/>
    <n v="50000"/>
    <x v="0"/>
    <x v="0"/>
    <x v="1"/>
    <x v="0"/>
    <n v="32"/>
    <x v="1"/>
    <x v="0"/>
    <x v="1"/>
    <x v="1"/>
    <x v="0"/>
    <x v="1"/>
    <x v="3"/>
    <n v="47858"/>
    <n v="49223"/>
    <n v="42589"/>
    <n v="639"/>
    <n v="4639"/>
    <n v="2312"/>
    <n v="2500"/>
    <n v="3000"/>
    <n v="7000"/>
    <n v="4000"/>
    <n v="2413"/>
    <n v="2000"/>
    <n v="1"/>
    <x v="0"/>
    <n v="45358"/>
    <x v="1"/>
  </r>
  <r>
    <x v="779"/>
    <n v="50000"/>
    <x v="0"/>
    <x v="0"/>
    <x v="0"/>
    <x v="1"/>
    <n v="31"/>
    <x v="1"/>
    <x v="4"/>
    <x v="3"/>
    <x v="0"/>
    <x v="0"/>
    <x v="2"/>
    <x v="1"/>
    <n v="0"/>
    <n v="0"/>
    <n v="190"/>
    <n v="0"/>
    <n v="36059"/>
    <n v="32851"/>
    <n v="0"/>
    <n v="190"/>
    <n v="0"/>
    <n v="36059"/>
    <n v="0"/>
    <n v="2420"/>
    <n v="0"/>
    <x v="1"/>
    <n v="0"/>
    <x v="3"/>
  </r>
  <r>
    <x v="780"/>
    <n v="230000"/>
    <x v="1"/>
    <x v="1"/>
    <x v="1"/>
    <x v="1"/>
    <n v="29"/>
    <x v="0"/>
    <x v="2"/>
    <x v="1"/>
    <x v="2"/>
    <x v="3"/>
    <x v="3"/>
    <x v="2"/>
    <n v="40732"/>
    <n v="44563"/>
    <n v="42804"/>
    <n v="44020"/>
    <n v="41278"/>
    <n v="34672"/>
    <n v="5000"/>
    <n v="0"/>
    <n v="3000"/>
    <n v="0"/>
    <n v="3000"/>
    <n v="3000"/>
    <n v="0"/>
    <x v="1"/>
    <n v="35732"/>
    <x v="1"/>
  </r>
  <r>
    <x v="781"/>
    <n v="50000"/>
    <x v="0"/>
    <x v="1"/>
    <x v="0"/>
    <x v="0"/>
    <n v="27"/>
    <x v="0"/>
    <x v="1"/>
    <x v="2"/>
    <x v="2"/>
    <x v="0"/>
    <x v="2"/>
    <x v="3"/>
    <n v="819"/>
    <n v="3003"/>
    <n v="1677"/>
    <n v="1177"/>
    <n v="1313"/>
    <n v="1085"/>
    <n v="2184"/>
    <n v="5"/>
    <n v="1180"/>
    <n v="1316"/>
    <n v="1088"/>
    <n v="0"/>
    <n v="0"/>
    <x v="1"/>
    <n v="-1365"/>
    <x v="3"/>
  </r>
  <r>
    <x v="782"/>
    <n v="100000"/>
    <x v="0"/>
    <x v="0"/>
    <x v="1"/>
    <x v="1"/>
    <n v="28"/>
    <x v="0"/>
    <x v="0"/>
    <x v="0"/>
    <x v="2"/>
    <x v="3"/>
    <x v="3"/>
    <x v="1"/>
    <n v="79580"/>
    <n v="81493"/>
    <n v="82759"/>
    <n v="83609"/>
    <n v="85325"/>
    <n v="87096"/>
    <n v="3790"/>
    <n v="3200"/>
    <n v="3100"/>
    <n v="3200"/>
    <n v="3332"/>
    <n v="3280"/>
    <n v="1"/>
    <x v="0"/>
    <n v="75790"/>
    <x v="1"/>
  </r>
  <r>
    <x v="783"/>
    <n v="210000"/>
    <x v="1"/>
    <x v="0"/>
    <x v="1"/>
    <x v="0"/>
    <n v="42"/>
    <x v="3"/>
    <x v="4"/>
    <x v="3"/>
    <x v="0"/>
    <x v="0"/>
    <x v="0"/>
    <x v="0"/>
    <n v="0"/>
    <n v="0"/>
    <n v="2490"/>
    <n v="0"/>
    <n v="0"/>
    <n v="0"/>
    <n v="0"/>
    <n v="2490"/>
    <n v="0"/>
    <n v="0"/>
    <n v="0"/>
    <n v="0"/>
    <n v="1"/>
    <x v="0"/>
    <n v="0"/>
    <x v="3"/>
  </r>
  <r>
    <x v="784"/>
    <n v="230000"/>
    <x v="1"/>
    <x v="0"/>
    <x v="0"/>
    <x v="0"/>
    <n v="32"/>
    <x v="1"/>
    <x v="2"/>
    <x v="1"/>
    <x v="1"/>
    <x v="1"/>
    <x v="3"/>
    <x v="2"/>
    <n v="87764"/>
    <n v="73526"/>
    <n v="72376"/>
    <n v="76870"/>
    <n v="75211"/>
    <n v="76645"/>
    <n v="2630"/>
    <n v="2614"/>
    <n v="6000"/>
    <n v="0"/>
    <n v="3000"/>
    <n v="2800"/>
    <n v="1"/>
    <x v="0"/>
    <n v="85134"/>
    <x v="1"/>
  </r>
  <r>
    <x v="785"/>
    <n v="500000"/>
    <x v="2"/>
    <x v="0"/>
    <x v="1"/>
    <x v="1"/>
    <n v="26"/>
    <x v="0"/>
    <x v="4"/>
    <x v="3"/>
    <x v="3"/>
    <x v="2"/>
    <x v="0"/>
    <x v="0"/>
    <n v="31421"/>
    <n v="22150"/>
    <n v="0"/>
    <n v="0"/>
    <n v="0"/>
    <n v="0"/>
    <n v="22157"/>
    <n v="0"/>
    <n v="0"/>
    <n v="0"/>
    <n v="0"/>
    <n v="0"/>
    <n v="0"/>
    <x v="1"/>
    <n v="9264"/>
    <x v="0"/>
  </r>
  <r>
    <x v="786"/>
    <n v="370000"/>
    <x v="2"/>
    <x v="0"/>
    <x v="1"/>
    <x v="1"/>
    <n v="38"/>
    <x v="1"/>
    <x v="1"/>
    <x v="2"/>
    <x v="0"/>
    <x v="0"/>
    <x v="2"/>
    <x v="3"/>
    <n v="929"/>
    <n v="328"/>
    <n v="0"/>
    <n v="1539"/>
    <n v="1815"/>
    <n v="0"/>
    <n v="328"/>
    <n v="0"/>
    <n v="1539"/>
    <n v="1815"/>
    <n v="0"/>
    <n v="0"/>
    <n v="0"/>
    <x v="1"/>
    <n v="601"/>
    <x v="0"/>
  </r>
  <r>
    <x v="787"/>
    <n v="230000"/>
    <x v="1"/>
    <x v="0"/>
    <x v="1"/>
    <x v="0"/>
    <n v="35"/>
    <x v="1"/>
    <x v="1"/>
    <x v="2"/>
    <x v="0"/>
    <x v="0"/>
    <x v="1"/>
    <x v="2"/>
    <n v="2648"/>
    <n v="191"/>
    <n v="1947"/>
    <n v="11674"/>
    <n v="16160"/>
    <n v="32519"/>
    <n v="200"/>
    <n v="1950"/>
    <n v="11692"/>
    <n v="10000"/>
    <n v="20000"/>
    <n v="6000"/>
    <n v="0"/>
    <x v="1"/>
    <n v="2448"/>
    <x v="0"/>
  </r>
  <r>
    <x v="788"/>
    <n v="80000"/>
    <x v="0"/>
    <x v="1"/>
    <x v="0"/>
    <x v="1"/>
    <n v="29"/>
    <x v="0"/>
    <x v="2"/>
    <x v="1"/>
    <x v="1"/>
    <x v="1"/>
    <x v="1"/>
    <x v="2"/>
    <n v="11894"/>
    <n v="12287"/>
    <n v="12407"/>
    <n v="14360"/>
    <n v="14657"/>
    <n v="4129"/>
    <n v="1284"/>
    <n v="1047"/>
    <n v="2000"/>
    <n v="359"/>
    <n v="175"/>
    <n v="1000"/>
    <n v="0"/>
    <x v="1"/>
    <n v="10610"/>
    <x v="0"/>
  </r>
  <r>
    <x v="789"/>
    <n v="60000"/>
    <x v="0"/>
    <x v="0"/>
    <x v="0"/>
    <x v="1"/>
    <n v="29"/>
    <x v="0"/>
    <x v="1"/>
    <x v="1"/>
    <x v="1"/>
    <x v="1"/>
    <x v="0"/>
    <x v="0"/>
    <n v="55064"/>
    <n v="57833"/>
    <n v="9479"/>
    <n v="0"/>
    <n v="0"/>
    <n v="0"/>
    <n v="5000"/>
    <n v="1033"/>
    <n v="0"/>
    <n v="0"/>
    <n v="0"/>
    <n v="0"/>
    <n v="0"/>
    <x v="1"/>
    <n v="50064"/>
    <x v="1"/>
  </r>
  <r>
    <x v="790"/>
    <n v="30000"/>
    <x v="0"/>
    <x v="0"/>
    <x v="0"/>
    <x v="1"/>
    <n v="51"/>
    <x v="2"/>
    <x v="4"/>
    <x v="0"/>
    <x v="2"/>
    <x v="1"/>
    <x v="1"/>
    <x v="2"/>
    <n v="25382"/>
    <n v="26480"/>
    <n v="25761"/>
    <n v="25964"/>
    <n v="26507"/>
    <n v="27249"/>
    <n v="1800"/>
    <n v="0"/>
    <n v="928"/>
    <n v="960"/>
    <n v="1181"/>
    <n v="967"/>
    <n v="0"/>
    <x v="1"/>
    <n v="23582"/>
    <x v="0"/>
  </r>
  <r>
    <x v="791"/>
    <n v="70000"/>
    <x v="0"/>
    <x v="1"/>
    <x v="1"/>
    <x v="1"/>
    <n v="27"/>
    <x v="0"/>
    <x v="4"/>
    <x v="2"/>
    <x v="0"/>
    <x v="0"/>
    <x v="0"/>
    <x v="3"/>
    <n v="-54"/>
    <n v="273"/>
    <n v="19"/>
    <n v="-254"/>
    <n v="-527"/>
    <n v="1096"/>
    <n v="600"/>
    <n v="19"/>
    <n v="0"/>
    <n v="0"/>
    <n v="1896"/>
    <n v="0"/>
    <n v="0"/>
    <x v="1"/>
    <n v="-654"/>
    <x v="3"/>
  </r>
  <r>
    <x v="792"/>
    <n v="410000"/>
    <x v="2"/>
    <x v="1"/>
    <x v="1"/>
    <x v="1"/>
    <n v="32"/>
    <x v="1"/>
    <x v="1"/>
    <x v="2"/>
    <x v="0"/>
    <x v="2"/>
    <x v="0"/>
    <x v="0"/>
    <n v="5335"/>
    <n v="5369"/>
    <n v="-281"/>
    <n v="-281"/>
    <n v="-281"/>
    <n v="-281"/>
    <n v="5400"/>
    <n v="0"/>
    <n v="0"/>
    <n v="0"/>
    <n v="0"/>
    <n v="0"/>
    <n v="0"/>
    <x v="1"/>
    <n v="-65"/>
    <x v="3"/>
  </r>
  <r>
    <x v="793"/>
    <n v="280000"/>
    <x v="1"/>
    <x v="0"/>
    <x v="2"/>
    <x v="0"/>
    <n v="40"/>
    <x v="3"/>
    <x v="4"/>
    <x v="3"/>
    <x v="3"/>
    <x v="2"/>
    <x v="0"/>
    <x v="0"/>
    <n v="-288"/>
    <n v="-288"/>
    <n v="-288"/>
    <n v="-288"/>
    <n v="-288"/>
    <n v="2124"/>
    <n v="0"/>
    <n v="0"/>
    <n v="0"/>
    <n v="0"/>
    <n v="2412"/>
    <n v="0"/>
    <n v="0"/>
    <x v="1"/>
    <n v="-288"/>
    <x v="3"/>
  </r>
  <r>
    <x v="794"/>
    <n v="50000"/>
    <x v="0"/>
    <x v="0"/>
    <x v="1"/>
    <x v="0"/>
    <n v="34"/>
    <x v="1"/>
    <x v="2"/>
    <x v="1"/>
    <x v="1"/>
    <x v="1"/>
    <x v="1"/>
    <x v="2"/>
    <n v="46750"/>
    <n v="48317"/>
    <n v="48282"/>
    <n v="18299"/>
    <n v="19323"/>
    <n v="20329"/>
    <n v="2320"/>
    <n v="1282"/>
    <n v="3299"/>
    <n v="1323"/>
    <n v="1329"/>
    <n v="1114"/>
    <n v="0"/>
    <x v="1"/>
    <n v="44430"/>
    <x v="1"/>
  </r>
  <r>
    <x v="795"/>
    <n v="100000"/>
    <x v="0"/>
    <x v="0"/>
    <x v="0"/>
    <x v="0"/>
    <n v="30"/>
    <x v="1"/>
    <x v="2"/>
    <x v="1"/>
    <x v="1"/>
    <x v="1"/>
    <x v="1"/>
    <x v="2"/>
    <n v="97062"/>
    <n v="74352"/>
    <n v="75004"/>
    <n v="76705"/>
    <n v="78168"/>
    <n v="80347"/>
    <n v="2800"/>
    <n v="2700"/>
    <n v="5400"/>
    <n v="3500"/>
    <n v="3500"/>
    <n v="3200"/>
    <n v="0"/>
    <x v="1"/>
    <n v="94262"/>
    <x v="1"/>
  </r>
  <r>
    <x v="796"/>
    <n v="230000"/>
    <x v="1"/>
    <x v="0"/>
    <x v="1"/>
    <x v="1"/>
    <n v="29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797"/>
    <n v="50000"/>
    <x v="0"/>
    <x v="0"/>
    <x v="1"/>
    <x v="1"/>
    <n v="22"/>
    <x v="0"/>
    <x v="2"/>
    <x v="1"/>
    <x v="1"/>
    <x v="0"/>
    <x v="2"/>
    <x v="0"/>
    <n v="13801"/>
    <n v="9549"/>
    <n v="5385"/>
    <n v="7781"/>
    <n v="0"/>
    <n v="0"/>
    <n v="1372"/>
    <n v="1275"/>
    <n v="7900"/>
    <n v="0"/>
    <n v="0"/>
    <n v="0"/>
    <n v="0"/>
    <x v="1"/>
    <n v="12429"/>
    <x v="0"/>
  </r>
  <r>
    <x v="798"/>
    <n v="100000"/>
    <x v="0"/>
    <x v="0"/>
    <x v="1"/>
    <x v="1"/>
    <n v="48"/>
    <x v="3"/>
    <x v="0"/>
    <x v="0"/>
    <x v="2"/>
    <x v="3"/>
    <x v="3"/>
    <x v="2"/>
    <n v="15355"/>
    <n v="17949"/>
    <n v="18158"/>
    <n v="18365"/>
    <n v="17932"/>
    <n v="18147"/>
    <n v="3164"/>
    <n v="800"/>
    <n v="800"/>
    <n v="0"/>
    <n v="662"/>
    <n v="3000"/>
    <n v="0"/>
    <x v="1"/>
    <n v="12191"/>
    <x v="0"/>
  </r>
  <r>
    <x v="799"/>
    <n v="210000"/>
    <x v="1"/>
    <x v="0"/>
    <x v="0"/>
    <x v="0"/>
    <n v="35"/>
    <x v="1"/>
    <x v="2"/>
    <x v="1"/>
    <x v="1"/>
    <x v="1"/>
    <x v="1"/>
    <x v="2"/>
    <n v="37148"/>
    <n v="35754"/>
    <n v="34232"/>
    <n v="32331"/>
    <n v="30337"/>
    <n v="28012"/>
    <n v="2000"/>
    <n v="2000"/>
    <n v="2444"/>
    <n v="1342"/>
    <n v="1038"/>
    <n v="2000"/>
    <n v="0"/>
    <x v="1"/>
    <n v="35148"/>
    <x v="1"/>
  </r>
  <r>
    <x v="800"/>
    <n v="400000"/>
    <x v="2"/>
    <x v="1"/>
    <x v="1"/>
    <x v="1"/>
    <n v="37"/>
    <x v="1"/>
    <x v="1"/>
    <x v="2"/>
    <x v="0"/>
    <x v="0"/>
    <x v="0"/>
    <x v="3"/>
    <n v="385"/>
    <n v="12695"/>
    <n v="1290"/>
    <n v="0"/>
    <n v="0"/>
    <n v="3058"/>
    <n v="13032"/>
    <n v="1290"/>
    <n v="0"/>
    <n v="0"/>
    <n v="3058"/>
    <n v="3768"/>
    <n v="0"/>
    <x v="1"/>
    <n v="-12647"/>
    <x v="3"/>
  </r>
  <r>
    <x v="801"/>
    <n v="20000"/>
    <x v="0"/>
    <x v="1"/>
    <x v="0"/>
    <x v="1"/>
    <n v="25"/>
    <x v="0"/>
    <x v="6"/>
    <x v="4"/>
    <x v="2"/>
    <x v="1"/>
    <x v="1"/>
    <x v="2"/>
    <n v="20610"/>
    <n v="20005"/>
    <n v="19331"/>
    <n v="19333"/>
    <n v="17363"/>
    <n v="16314"/>
    <n v="0"/>
    <n v="0"/>
    <n v="500"/>
    <n v="715"/>
    <n v="326"/>
    <n v="0"/>
    <n v="1"/>
    <x v="0"/>
    <n v="20610"/>
    <x v="0"/>
  </r>
  <r>
    <x v="802"/>
    <n v="50000"/>
    <x v="0"/>
    <x v="0"/>
    <x v="2"/>
    <x v="0"/>
    <n v="44"/>
    <x v="3"/>
    <x v="1"/>
    <x v="2"/>
    <x v="0"/>
    <x v="0"/>
    <x v="1"/>
    <x v="2"/>
    <n v="2000"/>
    <n v="780"/>
    <n v="0"/>
    <n v="7472"/>
    <n v="10174"/>
    <n v="11104"/>
    <n v="780"/>
    <n v="0"/>
    <n v="7472"/>
    <n v="3000"/>
    <n v="1104"/>
    <n v="1000"/>
    <n v="0"/>
    <x v="1"/>
    <n v="1220"/>
    <x v="0"/>
  </r>
  <r>
    <x v="803"/>
    <n v="230000"/>
    <x v="1"/>
    <x v="0"/>
    <x v="1"/>
    <x v="1"/>
    <n v="28"/>
    <x v="0"/>
    <x v="1"/>
    <x v="2"/>
    <x v="0"/>
    <x v="2"/>
    <x v="0"/>
    <x v="0"/>
    <n v="6666"/>
    <n v="6666"/>
    <n v="0"/>
    <n v="0"/>
    <n v="0"/>
    <n v="0"/>
    <n v="6666"/>
    <n v="0"/>
    <n v="0"/>
    <n v="0"/>
    <n v="0"/>
    <n v="0"/>
    <n v="0"/>
    <x v="1"/>
    <n v="0"/>
    <x v="3"/>
  </r>
  <r>
    <x v="804"/>
    <n v="220000"/>
    <x v="1"/>
    <x v="1"/>
    <x v="0"/>
    <x v="1"/>
    <n v="29"/>
    <x v="0"/>
    <x v="2"/>
    <x v="1"/>
    <x v="1"/>
    <x v="2"/>
    <x v="0"/>
    <x v="0"/>
    <n v="31037"/>
    <n v="6244"/>
    <n v="0"/>
    <n v="0"/>
    <n v="0"/>
    <n v="0"/>
    <n v="3050"/>
    <n v="0"/>
    <n v="0"/>
    <n v="0"/>
    <n v="0"/>
    <n v="0"/>
    <n v="0"/>
    <x v="1"/>
    <n v="27987"/>
    <x v="1"/>
  </r>
  <r>
    <x v="805"/>
    <n v="300000"/>
    <x v="1"/>
    <x v="0"/>
    <x v="1"/>
    <x v="0"/>
    <n v="36"/>
    <x v="1"/>
    <x v="2"/>
    <x v="1"/>
    <x v="1"/>
    <x v="1"/>
    <x v="0"/>
    <x v="3"/>
    <n v="25239"/>
    <n v="25001"/>
    <n v="20800"/>
    <n v="0"/>
    <n v="0"/>
    <n v="65755"/>
    <n v="1713"/>
    <n v="1000"/>
    <n v="0"/>
    <n v="0"/>
    <n v="65755"/>
    <n v="3000"/>
    <n v="0"/>
    <x v="1"/>
    <n v="23526"/>
    <x v="0"/>
  </r>
  <r>
    <x v="806"/>
    <n v="80000"/>
    <x v="0"/>
    <x v="0"/>
    <x v="0"/>
    <x v="1"/>
    <n v="23"/>
    <x v="0"/>
    <x v="4"/>
    <x v="2"/>
    <x v="2"/>
    <x v="0"/>
    <x v="2"/>
    <x v="3"/>
    <n v="998"/>
    <n v="6858"/>
    <n v="1879"/>
    <n v="1145"/>
    <n v="7328"/>
    <n v="3703"/>
    <n v="6861"/>
    <n v="11"/>
    <n v="1146"/>
    <n v="7329"/>
    <n v="3704"/>
    <n v="426"/>
    <n v="0"/>
    <x v="1"/>
    <n v="-5863"/>
    <x v="3"/>
  </r>
  <r>
    <x v="807"/>
    <n v="20000"/>
    <x v="0"/>
    <x v="0"/>
    <x v="2"/>
    <x v="1"/>
    <n v="36"/>
    <x v="1"/>
    <x v="2"/>
    <x v="1"/>
    <x v="2"/>
    <x v="3"/>
    <x v="3"/>
    <x v="1"/>
    <n v="16754"/>
    <n v="18873"/>
    <n v="19862"/>
    <n v="19245"/>
    <n v="20532"/>
    <n v="19953"/>
    <n v="2400"/>
    <n v="1600"/>
    <n v="0"/>
    <n v="1600"/>
    <n v="209"/>
    <n v="0"/>
    <n v="1"/>
    <x v="0"/>
    <n v="14354"/>
    <x v="0"/>
  </r>
  <r>
    <x v="808"/>
    <n v="190000"/>
    <x v="1"/>
    <x v="0"/>
    <x v="1"/>
    <x v="1"/>
    <n v="26"/>
    <x v="0"/>
    <x v="2"/>
    <x v="1"/>
    <x v="1"/>
    <x v="1"/>
    <x v="1"/>
    <x v="1"/>
    <n v="31061"/>
    <n v="32129"/>
    <n v="33142"/>
    <n v="33726"/>
    <n v="35758"/>
    <n v="35171"/>
    <n v="1750"/>
    <n v="1720"/>
    <n v="1300"/>
    <n v="2600"/>
    <n v="0"/>
    <n v="1400"/>
    <n v="0"/>
    <x v="1"/>
    <n v="29311"/>
    <x v="1"/>
  </r>
  <r>
    <x v="809"/>
    <n v="160000"/>
    <x v="1"/>
    <x v="0"/>
    <x v="0"/>
    <x v="3"/>
    <n v="37"/>
    <x v="1"/>
    <x v="2"/>
    <x v="1"/>
    <x v="1"/>
    <x v="1"/>
    <x v="1"/>
    <x v="2"/>
    <n v="2694"/>
    <n v="38433"/>
    <n v="38870"/>
    <n v="28574"/>
    <n v="27268"/>
    <n v="28021"/>
    <n v="35888"/>
    <n v="1325"/>
    <n v="891"/>
    <n v="1000"/>
    <n v="1098"/>
    <n v="426"/>
    <n v="0"/>
    <x v="1"/>
    <n v="-33194"/>
    <x v="3"/>
  </r>
  <r>
    <x v="810"/>
    <n v="120000"/>
    <x v="1"/>
    <x v="0"/>
    <x v="1"/>
    <x v="2"/>
    <n v="44"/>
    <x v="3"/>
    <x v="2"/>
    <x v="1"/>
    <x v="2"/>
    <x v="1"/>
    <x v="1"/>
    <x v="2"/>
    <n v="70096"/>
    <n v="76446"/>
    <n v="73732"/>
    <n v="12329"/>
    <n v="12329"/>
    <n v="0"/>
    <n v="8100"/>
    <n v="0"/>
    <n v="247"/>
    <n v="0"/>
    <n v="0"/>
    <n v="0"/>
    <n v="0"/>
    <x v="1"/>
    <n v="61996"/>
    <x v="1"/>
  </r>
  <r>
    <x v="811"/>
    <n v="700000"/>
    <x v="2"/>
    <x v="0"/>
    <x v="1"/>
    <x v="0"/>
    <n v="39"/>
    <x v="1"/>
    <x v="2"/>
    <x v="1"/>
    <x v="1"/>
    <x v="1"/>
    <x v="0"/>
    <x v="3"/>
    <n v="99259"/>
    <n v="102345"/>
    <n v="109636"/>
    <n v="326"/>
    <n v="2016"/>
    <n v="61707"/>
    <n v="5000"/>
    <n v="10000"/>
    <n v="326"/>
    <n v="2016"/>
    <n v="61707"/>
    <n v="17785"/>
    <n v="0"/>
    <x v="1"/>
    <n v="94259"/>
    <x v="1"/>
  </r>
  <r>
    <x v="812"/>
    <n v="140000"/>
    <x v="1"/>
    <x v="0"/>
    <x v="1"/>
    <x v="1"/>
    <n v="24"/>
    <x v="0"/>
    <x v="4"/>
    <x v="3"/>
    <x v="3"/>
    <x v="2"/>
    <x v="2"/>
    <x v="3"/>
    <n v="0"/>
    <n v="0"/>
    <n v="0"/>
    <n v="0"/>
    <n v="1086"/>
    <n v="0"/>
    <n v="0"/>
    <n v="0"/>
    <n v="0"/>
    <n v="1086"/>
    <n v="0"/>
    <n v="0"/>
    <n v="0"/>
    <x v="1"/>
    <n v="0"/>
    <x v="3"/>
  </r>
  <r>
    <x v="813"/>
    <n v="300000"/>
    <x v="1"/>
    <x v="0"/>
    <x v="2"/>
    <x v="0"/>
    <n v="29"/>
    <x v="0"/>
    <x v="1"/>
    <x v="1"/>
    <x v="1"/>
    <x v="1"/>
    <x v="1"/>
    <x v="3"/>
    <n v="24921"/>
    <n v="21333"/>
    <n v="16212"/>
    <n v="11304"/>
    <n v="11396"/>
    <n v="6138"/>
    <n v="2000"/>
    <n v="3000"/>
    <n v="0"/>
    <n v="5000"/>
    <n v="6202"/>
    <n v="0"/>
    <n v="0"/>
    <x v="1"/>
    <n v="22921"/>
    <x v="0"/>
  </r>
  <r>
    <x v="814"/>
    <n v="120000"/>
    <x v="1"/>
    <x v="1"/>
    <x v="2"/>
    <x v="0"/>
    <n v="33"/>
    <x v="1"/>
    <x v="4"/>
    <x v="0"/>
    <x v="2"/>
    <x v="3"/>
    <x v="3"/>
    <x v="1"/>
    <n v="66055"/>
    <n v="67405"/>
    <n v="68405"/>
    <n v="69387"/>
    <n v="70727"/>
    <n v="72215"/>
    <n v="3000"/>
    <n v="2700"/>
    <n v="2700"/>
    <n v="2600"/>
    <n v="2800"/>
    <n v="0"/>
    <n v="1"/>
    <x v="0"/>
    <n v="63055"/>
    <x v="1"/>
  </r>
  <r>
    <x v="815"/>
    <n v="280000"/>
    <x v="1"/>
    <x v="0"/>
    <x v="0"/>
    <x v="0"/>
    <n v="39"/>
    <x v="1"/>
    <x v="2"/>
    <x v="1"/>
    <x v="2"/>
    <x v="1"/>
    <x v="1"/>
    <x v="2"/>
    <n v="213738"/>
    <n v="228963"/>
    <n v="223810"/>
    <n v="158542"/>
    <n v="162244"/>
    <n v="108143"/>
    <n v="20300"/>
    <n v="0"/>
    <n v="5600"/>
    <n v="6300"/>
    <n v="4000"/>
    <n v="4000"/>
    <n v="0"/>
    <x v="1"/>
    <n v="193438"/>
    <x v="2"/>
  </r>
  <r>
    <x v="816"/>
    <n v="70000"/>
    <x v="0"/>
    <x v="1"/>
    <x v="2"/>
    <x v="0"/>
    <n v="51"/>
    <x v="2"/>
    <x v="0"/>
    <x v="0"/>
    <x v="1"/>
    <x v="1"/>
    <x v="1"/>
    <x v="2"/>
    <n v="54968"/>
    <n v="51384"/>
    <n v="49734"/>
    <n v="50361"/>
    <n v="49185"/>
    <n v="47245"/>
    <n v="0"/>
    <n v="2100"/>
    <n v="1950"/>
    <n v="1900"/>
    <n v="2219"/>
    <n v="2100"/>
    <n v="1"/>
    <x v="0"/>
    <n v="54968"/>
    <x v="1"/>
  </r>
  <r>
    <x v="817"/>
    <n v="20000"/>
    <x v="0"/>
    <x v="0"/>
    <x v="2"/>
    <x v="1"/>
    <n v="24"/>
    <x v="0"/>
    <x v="1"/>
    <x v="2"/>
    <x v="0"/>
    <x v="0"/>
    <x v="2"/>
    <x v="1"/>
    <n v="4101"/>
    <n v="507"/>
    <n v="3042"/>
    <n v="0"/>
    <n v="8402"/>
    <n v="6204"/>
    <n v="507"/>
    <n v="3042"/>
    <n v="0"/>
    <n v="8402"/>
    <n v="0"/>
    <n v="4739"/>
    <n v="0"/>
    <x v="1"/>
    <n v="3594"/>
    <x v="0"/>
  </r>
  <r>
    <x v="818"/>
    <n v="150000"/>
    <x v="1"/>
    <x v="0"/>
    <x v="0"/>
    <x v="0"/>
    <n v="45"/>
    <x v="3"/>
    <x v="1"/>
    <x v="2"/>
    <x v="0"/>
    <x v="0"/>
    <x v="2"/>
    <x v="3"/>
    <n v="2605"/>
    <n v="2605"/>
    <n v="4590"/>
    <n v="2605"/>
    <n v="2605"/>
    <n v="3795"/>
    <n v="2605"/>
    <n v="4590"/>
    <n v="2605"/>
    <n v="2605"/>
    <n v="3795"/>
    <n v="10675"/>
    <n v="0"/>
    <x v="1"/>
    <n v="0"/>
    <x v="3"/>
  </r>
  <r>
    <x v="819"/>
    <n v="60000"/>
    <x v="0"/>
    <x v="1"/>
    <x v="1"/>
    <x v="1"/>
    <n v="30"/>
    <x v="1"/>
    <x v="2"/>
    <x v="2"/>
    <x v="1"/>
    <x v="1"/>
    <x v="1"/>
    <x v="2"/>
    <n v="15380"/>
    <n v="4116"/>
    <n v="19453"/>
    <n v="17912"/>
    <n v="18480"/>
    <n v="18848"/>
    <n v="4147"/>
    <n v="19435"/>
    <n v="1000"/>
    <n v="1000"/>
    <n v="1000"/>
    <n v="1000"/>
    <n v="0"/>
    <x v="1"/>
    <n v="11233"/>
    <x v="0"/>
  </r>
  <r>
    <x v="820"/>
    <n v="200000"/>
    <x v="1"/>
    <x v="0"/>
    <x v="2"/>
    <x v="3"/>
    <n v="51"/>
    <x v="2"/>
    <x v="1"/>
    <x v="2"/>
    <x v="0"/>
    <x v="0"/>
    <x v="1"/>
    <x v="3"/>
    <n v="780"/>
    <n v="0"/>
    <n v="390"/>
    <n v="780"/>
    <n v="390"/>
    <n v="390"/>
    <n v="0"/>
    <n v="390"/>
    <n v="780"/>
    <n v="0"/>
    <n v="390"/>
    <n v="390"/>
    <n v="0"/>
    <x v="1"/>
    <n v="780"/>
    <x v="0"/>
  </r>
  <r>
    <x v="821"/>
    <n v="50000"/>
    <x v="0"/>
    <x v="0"/>
    <x v="0"/>
    <x v="1"/>
    <n v="24"/>
    <x v="0"/>
    <x v="4"/>
    <x v="0"/>
    <x v="1"/>
    <x v="1"/>
    <x v="1"/>
    <x v="2"/>
    <n v="48861"/>
    <n v="48082"/>
    <n v="48614"/>
    <n v="26667"/>
    <n v="26036"/>
    <n v="26850"/>
    <n v="2000"/>
    <n v="2233"/>
    <n v="1083"/>
    <n v="1100"/>
    <n v="1400"/>
    <n v="3000"/>
    <n v="1"/>
    <x v="0"/>
    <n v="46861"/>
    <x v="1"/>
  </r>
  <r>
    <x v="822"/>
    <n v="150000"/>
    <x v="1"/>
    <x v="1"/>
    <x v="0"/>
    <x v="0"/>
    <n v="50"/>
    <x v="2"/>
    <x v="1"/>
    <x v="1"/>
    <x v="1"/>
    <x v="3"/>
    <x v="1"/>
    <x v="2"/>
    <n v="55336"/>
    <n v="58255"/>
    <n v="36260"/>
    <n v="35037"/>
    <n v="34631"/>
    <n v="63156"/>
    <n v="5085"/>
    <n v="4000"/>
    <n v="0"/>
    <n v="2000"/>
    <n v="30000"/>
    <n v="5000"/>
    <n v="0"/>
    <x v="1"/>
    <n v="50251"/>
    <x v="1"/>
  </r>
  <r>
    <x v="823"/>
    <n v="20000"/>
    <x v="0"/>
    <x v="0"/>
    <x v="1"/>
    <x v="1"/>
    <n v="22"/>
    <x v="0"/>
    <x v="2"/>
    <x v="1"/>
    <x v="1"/>
    <x v="1"/>
    <x v="1"/>
    <x v="2"/>
    <n v="20243"/>
    <n v="20400"/>
    <n v="19583"/>
    <n v="19983"/>
    <n v="20196"/>
    <n v="19705"/>
    <n v="1410"/>
    <n v="1200"/>
    <n v="534"/>
    <n v="700"/>
    <n v="1000"/>
    <n v="0"/>
    <n v="0"/>
    <x v="1"/>
    <n v="18833"/>
    <x v="0"/>
  </r>
  <r>
    <x v="824"/>
    <n v="40000"/>
    <x v="0"/>
    <x v="1"/>
    <x v="1"/>
    <x v="1"/>
    <n v="27"/>
    <x v="0"/>
    <x v="2"/>
    <x v="1"/>
    <x v="1"/>
    <x v="1"/>
    <x v="1"/>
    <x v="2"/>
    <n v="11058"/>
    <n v="11471"/>
    <n v="11776"/>
    <n v="12660"/>
    <n v="12660"/>
    <n v="12413"/>
    <n v="2000"/>
    <n v="1500"/>
    <n v="2330"/>
    <n v="2300"/>
    <n v="1000"/>
    <n v="2078"/>
    <n v="1"/>
    <x v="0"/>
    <n v="9058"/>
    <x v="0"/>
  </r>
  <r>
    <x v="825"/>
    <n v="170000"/>
    <x v="1"/>
    <x v="0"/>
    <x v="0"/>
    <x v="1"/>
    <n v="33"/>
    <x v="1"/>
    <x v="4"/>
    <x v="2"/>
    <x v="0"/>
    <x v="0"/>
    <x v="0"/>
    <x v="0"/>
    <n v="0"/>
    <n v="7042"/>
    <n v="2986"/>
    <n v="0"/>
    <n v="0"/>
    <n v="0"/>
    <n v="7042"/>
    <n v="2986"/>
    <n v="0"/>
    <n v="0"/>
    <n v="0"/>
    <n v="0"/>
    <n v="0"/>
    <x v="1"/>
    <n v="-7042"/>
    <x v="3"/>
  </r>
  <r>
    <x v="826"/>
    <n v="50000"/>
    <x v="0"/>
    <x v="0"/>
    <x v="0"/>
    <x v="0"/>
    <n v="24"/>
    <x v="0"/>
    <x v="4"/>
    <x v="0"/>
    <x v="1"/>
    <x v="1"/>
    <x v="1"/>
    <x v="1"/>
    <n v="27087"/>
    <n v="26372"/>
    <n v="26992"/>
    <n v="27693"/>
    <n v="29237"/>
    <n v="28607"/>
    <n v="0"/>
    <n v="1400"/>
    <n v="1100"/>
    <n v="2100"/>
    <n v="0"/>
    <n v="1000"/>
    <n v="0"/>
    <x v="1"/>
    <n v="27087"/>
    <x v="1"/>
  </r>
  <r>
    <x v="827"/>
    <n v="10000"/>
    <x v="0"/>
    <x v="1"/>
    <x v="0"/>
    <x v="1"/>
    <n v="37"/>
    <x v="1"/>
    <x v="2"/>
    <x v="1"/>
    <x v="1"/>
    <x v="1"/>
    <x v="3"/>
    <x v="1"/>
    <n v="8755"/>
    <n v="8158"/>
    <n v="7540"/>
    <n v="8164"/>
    <n v="6963"/>
    <n v="5923"/>
    <n v="1167"/>
    <n v="1022"/>
    <n v="1036"/>
    <n v="0"/>
    <n v="2700"/>
    <n v="0"/>
    <n v="0"/>
    <x v="1"/>
    <n v="7588"/>
    <x v="0"/>
  </r>
  <r>
    <x v="828"/>
    <n v="200000"/>
    <x v="1"/>
    <x v="0"/>
    <x v="0"/>
    <x v="0"/>
    <n v="58"/>
    <x v="2"/>
    <x v="1"/>
    <x v="2"/>
    <x v="0"/>
    <x v="0"/>
    <x v="0"/>
    <x v="3"/>
    <n v="3035"/>
    <n v="199602"/>
    <n v="720"/>
    <n v="0"/>
    <n v="0"/>
    <n v="1500"/>
    <n v="199646"/>
    <n v="720"/>
    <n v="0"/>
    <n v="0"/>
    <n v="1500"/>
    <n v="185652"/>
    <n v="0"/>
    <x v="1"/>
    <n v="-196611"/>
    <x v="3"/>
  </r>
  <r>
    <x v="829"/>
    <n v="50000"/>
    <x v="0"/>
    <x v="0"/>
    <x v="0"/>
    <x v="0"/>
    <n v="48"/>
    <x v="3"/>
    <x v="2"/>
    <x v="2"/>
    <x v="0"/>
    <x v="1"/>
    <x v="1"/>
    <x v="2"/>
    <n v="20944"/>
    <n v="4696"/>
    <n v="47225"/>
    <n v="16483"/>
    <n v="9343"/>
    <n v="9693"/>
    <n v="2360"/>
    <n v="49325"/>
    <n v="3001"/>
    <n v="1882"/>
    <n v="500"/>
    <n v="503"/>
    <n v="0"/>
    <x v="1"/>
    <n v="18584"/>
    <x v="0"/>
  </r>
  <r>
    <x v="830"/>
    <n v="320000"/>
    <x v="2"/>
    <x v="1"/>
    <x v="1"/>
    <x v="1"/>
    <n v="28"/>
    <x v="0"/>
    <x v="1"/>
    <x v="1"/>
    <x v="1"/>
    <x v="0"/>
    <x v="1"/>
    <x v="2"/>
    <n v="2007"/>
    <n v="3477"/>
    <n v="3037"/>
    <n v="1633"/>
    <n v="3633"/>
    <n v="0"/>
    <n v="2000"/>
    <n v="1000"/>
    <n v="1633"/>
    <n v="2000"/>
    <n v="0"/>
    <n v="3000"/>
    <n v="0"/>
    <x v="1"/>
    <n v="7"/>
    <x v="0"/>
  </r>
  <r>
    <x v="831"/>
    <n v="20000"/>
    <x v="0"/>
    <x v="0"/>
    <x v="2"/>
    <x v="0"/>
    <n v="24"/>
    <x v="0"/>
    <x v="7"/>
    <x v="6"/>
    <x v="6"/>
    <x v="6"/>
    <x v="6"/>
    <x v="4"/>
    <n v="24310"/>
    <n v="23987"/>
    <n v="23353"/>
    <n v="22719"/>
    <n v="21796"/>
    <n v="21162"/>
    <n v="0"/>
    <n v="0"/>
    <n v="0"/>
    <n v="0"/>
    <n v="0"/>
    <n v="0"/>
    <n v="0"/>
    <x v="1"/>
    <n v="24310"/>
    <x v="0"/>
  </r>
  <r>
    <x v="832"/>
    <n v="470000"/>
    <x v="2"/>
    <x v="0"/>
    <x v="0"/>
    <x v="0"/>
    <n v="27"/>
    <x v="0"/>
    <x v="2"/>
    <x v="1"/>
    <x v="1"/>
    <x v="1"/>
    <x v="2"/>
    <x v="2"/>
    <n v="152478"/>
    <n v="62084"/>
    <n v="54551"/>
    <n v="14363"/>
    <n v="97440"/>
    <n v="90717"/>
    <n v="3001"/>
    <n v="4005"/>
    <n v="2021"/>
    <n v="97441"/>
    <n v="5001"/>
    <n v="5001"/>
    <n v="1"/>
    <x v="0"/>
    <n v="149477"/>
    <x v="2"/>
  </r>
  <r>
    <x v="833"/>
    <n v="230000"/>
    <x v="1"/>
    <x v="0"/>
    <x v="2"/>
    <x v="1"/>
    <n v="30"/>
    <x v="1"/>
    <x v="1"/>
    <x v="2"/>
    <x v="0"/>
    <x v="1"/>
    <x v="1"/>
    <x v="2"/>
    <n v="550"/>
    <n v="0"/>
    <n v="13013"/>
    <n v="14265"/>
    <n v="13659"/>
    <n v="0"/>
    <n v="0"/>
    <n v="13013"/>
    <n v="1252"/>
    <n v="3659"/>
    <n v="0"/>
    <n v="0"/>
    <n v="0"/>
    <x v="1"/>
    <n v="550"/>
    <x v="0"/>
  </r>
  <r>
    <x v="834"/>
    <n v="20000"/>
    <x v="0"/>
    <x v="0"/>
    <x v="1"/>
    <x v="1"/>
    <n v="23"/>
    <x v="0"/>
    <x v="2"/>
    <x v="1"/>
    <x v="1"/>
    <x v="1"/>
    <x v="1"/>
    <x v="0"/>
    <n v="17246"/>
    <n v="16988"/>
    <n v="15973"/>
    <n v="18773"/>
    <n v="0"/>
    <n v="0"/>
    <n v="2000"/>
    <n v="2000"/>
    <n v="3000"/>
    <n v="0"/>
    <n v="0"/>
    <n v="0"/>
    <n v="0"/>
    <x v="1"/>
    <n v="15246"/>
    <x v="0"/>
  </r>
  <r>
    <x v="835"/>
    <n v="30000"/>
    <x v="0"/>
    <x v="0"/>
    <x v="2"/>
    <x v="1"/>
    <n v="53"/>
    <x v="2"/>
    <x v="1"/>
    <x v="2"/>
    <x v="0"/>
    <x v="0"/>
    <x v="2"/>
    <x v="3"/>
    <n v="1598"/>
    <n v="2487"/>
    <n v="0"/>
    <n v="4810"/>
    <n v="2796"/>
    <n v="3245"/>
    <n v="2487"/>
    <n v="0"/>
    <n v="4810"/>
    <n v="2796"/>
    <n v="3245"/>
    <n v="7305"/>
    <n v="1"/>
    <x v="0"/>
    <n v="-889"/>
    <x v="3"/>
  </r>
  <r>
    <x v="836"/>
    <n v="80000"/>
    <x v="0"/>
    <x v="0"/>
    <x v="0"/>
    <x v="1"/>
    <n v="23"/>
    <x v="0"/>
    <x v="0"/>
    <x v="0"/>
    <x v="2"/>
    <x v="3"/>
    <x v="3"/>
    <x v="1"/>
    <n v="22895"/>
    <n v="23837"/>
    <n v="24253"/>
    <n v="24562"/>
    <n v="25126"/>
    <n v="25476"/>
    <n v="1600"/>
    <n v="1100"/>
    <n v="1000"/>
    <n v="1100"/>
    <n v="906"/>
    <n v="0"/>
    <n v="0"/>
    <x v="1"/>
    <n v="21295"/>
    <x v="0"/>
  </r>
  <r>
    <x v="837"/>
    <n v="110000"/>
    <x v="1"/>
    <x v="0"/>
    <x v="0"/>
    <x v="0"/>
    <n v="55"/>
    <x v="2"/>
    <x v="2"/>
    <x v="1"/>
    <x v="1"/>
    <x v="1"/>
    <x v="1"/>
    <x v="2"/>
    <n v="15069"/>
    <n v="16123"/>
    <n v="16850"/>
    <n v="17568"/>
    <n v="18133"/>
    <n v="18828"/>
    <n v="1600"/>
    <n v="1300"/>
    <n v="1000"/>
    <n v="1000"/>
    <n v="1000"/>
    <n v="1000"/>
    <n v="0"/>
    <x v="1"/>
    <n v="13469"/>
    <x v="0"/>
  </r>
  <r>
    <x v="838"/>
    <n v="420000"/>
    <x v="2"/>
    <x v="1"/>
    <x v="0"/>
    <x v="0"/>
    <n v="34"/>
    <x v="1"/>
    <x v="2"/>
    <x v="1"/>
    <x v="1"/>
    <x v="1"/>
    <x v="1"/>
    <x v="2"/>
    <n v="88948"/>
    <n v="79783"/>
    <n v="80575"/>
    <n v="92982"/>
    <n v="98502"/>
    <n v="103200"/>
    <n v="30000"/>
    <n v="10575"/>
    <n v="15000"/>
    <n v="10000"/>
    <n v="10000"/>
    <n v="20000"/>
    <n v="0"/>
    <x v="1"/>
    <n v="58948"/>
    <x v="1"/>
  </r>
  <r>
    <x v="839"/>
    <n v="500000"/>
    <x v="2"/>
    <x v="1"/>
    <x v="1"/>
    <x v="0"/>
    <n v="43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840"/>
    <n v="80000"/>
    <x v="0"/>
    <x v="0"/>
    <x v="0"/>
    <x v="1"/>
    <n v="22"/>
    <x v="0"/>
    <x v="4"/>
    <x v="0"/>
    <x v="1"/>
    <x v="1"/>
    <x v="1"/>
    <x v="2"/>
    <n v="79318"/>
    <n v="79459"/>
    <n v="79788"/>
    <n v="29069"/>
    <n v="26551"/>
    <n v="27109"/>
    <n v="2000"/>
    <n v="2201"/>
    <n v="2000"/>
    <n v="1000"/>
    <n v="1000"/>
    <n v="2000"/>
    <n v="0"/>
    <x v="1"/>
    <n v="77318"/>
    <x v="1"/>
  </r>
  <r>
    <x v="841"/>
    <n v="350000"/>
    <x v="2"/>
    <x v="0"/>
    <x v="0"/>
    <x v="0"/>
    <n v="31"/>
    <x v="1"/>
    <x v="2"/>
    <x v="1"/>
    <x v="1"/>
    <x v="1"/>
    <x v="1"/>
    <x v="2"/>
    <n v="67648"/>
    <n v="68557"/>
    <n v="63179"/>
    <n v="57987"/>
    <n v="53948"/>
    <n v="39965"/>
    <n v="3039"/>
    <n v="2047"/>
    <n v="1750"/>
    <n v="1703"/>
    <n v="1721"/>
    <n v="784"/>
    <n v="0"/>
    <x v="1"/>
    <n v="64609"/>
    <x v="1"/>
  </r>
  <r>
    <x v="842"/>
    <n v="30000"/>
    <x v="0"/>
    <x v="0"/>
    <x v="0"/>
    <x v="0"/>
    <n v="32"/>
    <x v="1"/>
    <x v="3"/>
    <x v="3"/>
    <x v="3"/>
    <x v="2"/>
    <x v="0"/>
    <x v="0"/>
    <n v="0"/>
    <n v="0"/>
    <n v="0"/>
    <n v="0"/>
    <n v="7463"/>
    <n v="6804"/>
    <n v="0"/>
    <n v="0"/>
    <n v="0"/>
    <n v="7463"/>
    <n v="6804"/>
    <n v="4985"/>
    <n v="0"/>
    <x v="1"/>
    <n v="0"/>
    <x v="3"/>
  </r>
  <r>
    <x v="843"/>
    <n v="110000"/>
    <x v="1"/>
    <x v="0"/>
    <x v="0"/>
    <x v="1"/>
    <n v="33"/>
    <x v="1"/>
    <x v="4"/>
    <x v="3"/>
    <x v="3"/>
    <x v="2"/>
    <x v="0"/>
    <x v="3"/>
    <n v="0"/>
    <n v="0"/>
    <n v="0"/>
    <n v="0"/>
    <n v="0"/>
    <n v="150"/>
    <n v="0"/>
    <n v="0"/>
    <n v="0"/>
    <n v="0"/>
    <n v="300"/>
    <n v="102"/>
    <n v="1"/>
    <x v="0"/>
    <n v="0"/>
    <x v="3"/>
  </r>
  <r>
    <x v="844"/>
    <n v="500000"/>
    <x v="2"/>
    <x v="1"/>
    <x v="2"/>
    <x v="0"/>
    <n v="39"/>
    <x v="1"/>
    <x v="2"/>
    <x v="1"/>
    <x v="1"/>
    <x v="1"/>
    <x v="1"/>
    <x v="2"/>
    <n v="315201"/>
    <n v="332071"/>
    <n v="375070"/>
    <n v="354839"/>
    <n v="369532"/>
    <n v="367399"/>
    <n v="25000"/>
    <n v="50000"/>
    <n v="20000"/>
    <n v="19586"/>
    <n v="14122"/>
    <n v="12022"/>
    <n v="0"/>
    <x v="1"/>
    <n v="290201"/>
    <x v="2"/>
  </r>
  <r>
    <x v="845"/>
    <n v="490000"/>
    <x v="2"/>
    <x v="0"/>
    <x v="1"/>
    <x v="0"/>
    <n v="38"/>
    <x v="1"/>
    <x v="1"/>
    <x v="2"/>
    <x v="0"/>
    <x v="0"/>
    <x v="2"/>
    <x v="2"/>
    <n v="4290"/>
    <n v="4738"/>
    <n v="2803"/>
    <n v="6027"/>
    <n v="10722"/>
    <n v="8452"/>
    <n v="4738"/>
    <n v="2803"/>
    <n v="6027"/>
    <n v="10722"/>
    <n v="6000"/>
    <n v="1139"/>
    <n v="0"/>
    <x v="1"/>
    <n v="-448"/>
    <x v="3"/>
  </r>
  <r>
    <x v="846"/>
    <n v="300000"/>
    <x v="1"/>
    <x v="0"/>
    <x v="0"/>
    <x v="0"/>
    <n v="34"/>
    <x v="1"/>
    <x v="3"/>
    <x v="3"/>
    <x v="3"/>
    <x v="2"/>
    <x v="0"/>
    <x v="0"/>
    <n v="205064"/>
    <n v="-86"/>
    <n v="-86"/>
    <n v="2014"/>
    <n v="-185"/>
    <n v="1815"/>
    <n v="0"/>
    <n v="0"/>
    <n v="2100"/>
    <n v="0"/>
    <n v="2000"/>
    <n v="5000"/>
    <n v="0"/>
    <x v="1"/>
    <n v="205064"/>
    <x v="2"/>
  </r>
  <r>
    <x v="847"/>
    <n v="50000"/>
    <x v="0"/>
    <x v="1"/>
    <x v="0"/>
    <x v="2"/>
    <n v="42"/>
    <x v="3"/>
    <x v="0"/>
    <x v="1"/>
    <x v="1"/>
    <x v="3"/>
    <x v="1"/>
    <x v="2"/>
    <n v="47647"/>
    <n v="50232"/>
    <n v="50510"/>
    <n v="32177"/>
    <n v="29530"/>
    <n v="29789"/>
    <n v="3700"/>
    <n v="3700"/>
    <n v="0"/>
    <n v="1072"/>
    <n v="1500"/>
    <n v="1132"/>
    <n v="1"/>
    <x v="0"/>
    <n v="43947"/>
    <x v="1"/>
  </r>
  <r>
    <x v="848"/>
    <n v="150000"/>
    <x v="1"/>
    <x v="1"/>
    <x v="2"/>
    <x v="0"/>
    <n v="37"/>
    <x v="1"/>
    <x v="6"/>
    <x v="7"/>
    <x v="5"/>
    <x v="4"/>
    <x v="3"/>
    <x v="2"/>
    <n v="151117"/>
    <n v="153787"/>
    <n v="150320"/>
    <n v="147989"/>
    <n v="143355"/>
    <n v="143131"/>
    <n v="6500"/>
    <n v="0"/>
    <n v="512"/>
    <n v="0"/>
    <n v="4388"/>
    <n v="4221"/>
    <n v="1"/>
    <x v="0"/>
    <n v="144617"/>
    <x v="2"/>
  </r>
  <r>
    <x v="849"/>
    <n v="80000"/>
    <x v="0"/>
    <x v="0"/>
    <x v="2"/>
    <x v="0"/>
    <n v="57"/>
    <x v="2"/>
    <x v="1"/>
    <x v="0"/>
    <x v="0"/>
    <x v="1"/>
    <x v="1"/>
    <x v="2"/>
    <n v="726"/>
    <n v="726"/>
    <n v="15400"/>
    <n v="15000"/>
    <n v="15000"/>
    <n v="15000"/>
    <n v="0"/>
    <n v="15400"/>
    <n v="0"/>
    <n v="0"/>
    <n v="0"/>
    <n v="100"/>
    <n v="0"/>
    <x v="1"/>
    <n v="726"/>
    <x v="0"/>
  </r>
  <r>
    <x v="850"/>
    <n v="40000"/>
    <x v="0"/>
    <x v="0"/>
    <x v="0"/>
    <x v="1"/>
    <n v="23"/>
    <x v="0"/>
    <x v="2"/>
    <x v="1"/>
    <x v="1"/>
    <x v="3"/>
    <x v="3"/>
    <x v="5"/>
    <n v="20035"/>
    <n v="21406"/>
    <n v="24735"/>
    <n v="24050"/>
    <n v="43317"/>
    <n v="44059"/>
    <n v="2000"/>
    <n v="4000"/>
    <n v="0"/>
    <n v="20000"/>
    <n v="2000"/>
    <n v="0"/>
    <n v="0"/>
    <x v="1"/>
    <n v="18035"/>
    <x v="0"/>
  </r>
  <r>
    <x v="851"/>
    <n v="30000"/>
    <x v="0"/>
    <x v="1"/>
    <x v="0"/>
    <x v="1"/>
    <n v="32"/>
    <x v="1"/>
    <x v="4"/>
    <x v="0"/>
    <x v="2"/>
    <x v="1"/>
    <x v="1"/>
    <x v="2"/>
    <n v="29095"/>
    <n v="30819"/>
    <n v="29214"/>
    <n v="29478"/>
    <n v="23384"/>
    <n v="22428"/>
    <n v="2500"/>
    <n v="0"/>
    <n v="910"/>
    <n v="1000"/>
    <n v="1000"/>
    <n v="1000"/>
    <n v="0"/>
    <x v="1"/>
    <n v="26595"/>
    <x v="1"/>
  </r>
  <r>
    <x v="852"/>
    <n v="50000"/>
    <x v="0"/>
    <x v="1"/>
    <x v="1"/>
    <x v="0"/>
    <n v="37"/>
    <x v="1"/>
    <x v="2"/>
    <x v="1"/>
    <x v="3"/>
    <x v="2"/>
    <x v="0"/>
    <x v="0"/>
    <n v="30400"/>
    <n v="0"/>
    <n v="0"/>
    <n v="0"/>
    <n v="0"/>
    <n v="0"/>
    <n v="500"/>
    <n v="0"/>
    <n v="0"/>
    <n v="0"/>
    <n v="0"/>
    <n v="0"/>
    <n v="0"/>
    <x v="1"/>
    <n v="29900"/>
    <x v="1"/>
  </r>
  <r>
    <x v="853"/>
    <n v="140000"/>
    <x v="1"/>
    <x v="0"/>
    <x v="0"/>
    <x v="1"/>
    <n v="23"/>
    <x v="0"/>
    <x v="2"/>
    <x v="1"/>
    <x v="1"/>
    <x v="1"/>
    <x v="1"/>
    <x v="2"/>
    <n v="44733"/>
    <n v="44144"/>
    <n v="44739"/>
    <n v="43455"/>
    <n v="43980"/>
    <n v="44614"/>
    <n v="2100"/>
    <n v="2027"/>
    <n v="1800"/>
    <n v="1600"/>
    <n v="1750"/>
    <n v="1700"/>
    <n v="0"/>
    <x v="1"/>
    <n v="42633"/>
    <x v="1"/>
  </r>
  <r>
    <x v="854"/>
    <n v="50000"/>
    <x v="0"/>
    <x v="0"/>
    <x v="2"/>
    <x v="1"/>
    <n v="49"/>
    <x v="3"/>
    <x v="2"/>
    <x v="1"/>
    <x v="1"/>
    <x v="1"/>
    <x v="1"/>
    <x v="2"/>
    <n v="4987"/>
    <n v="6741"/>
    <n v="9366"/>
    <n v="8566"/>
    <n v="10066"/>
    <n v="0"/>
    <n v="2000"/>
    <n v="3000"/>
    <n v="1500"/>
    <n v="1500"/>
    <n v="0"/>
    <n v="0"/>
    <n v="0"/>
    <x v="1"/>
    <n v="2987"/>
    <x v="0"/>
  </r>
  <r>
    <x v="855"/>
    <n v="30000"/>
    <x v="0"/>
    <x v="0"/>
    <x v="0"/>
    <x v="1"/>
    <n v="25"/>
    <x v="0"/>
    <x v="3"/>
    <x v="3"/>
    <x v="3"/>
    <x v="2"/>
    <x v="0"/>
    <x v="0"/>
    <n v="26957"/>
    <n v="26269"/>
    <n v="17036"/>
    <n v="27497"/>
    <n v="16098"/>
    <n v="7300"/>
    <n v="1333"/>
    <n v="2256"/>
    <n v="27497"/>
    <n v="787"/>
    <n v="200"/>
    <n v="0"/>
    <n v="0"/>
    <x v="1"/>
    <n v="25624"/>
    <x v="1"/>
  </r>
  <r>
    <x v="856"/>
    <n v="40000"/>
    <x v="0"/>
    <x v="0"/>
    <x v="1"/>
    <x v="1"/>
    <n v="29"/>
    <x v="0"/>
    <x v="2"/>
    <x v="1"/>
    <x v="2"/>
    <x v="3"/>
    <x v="3"/>
    <x v="1"/>
    <n v="26461"/>
    <n v="29425"/>
    <n v="30145"/>
    <n v="29361"/>
    <n v="33893"/>
    <n v="34487"/>
    <n v="3400"/>
    <n v="1500"/>
    <n v="0"/>
    <n v="5000"/>
    <n v="1300"/>
    <n v="0"/>
    <n v="1"/>
    <x v="0"/>
    <n v="23061"/>
    <x v="0"/>
  </r>
  <r>
    <x v="857"/>
    <n v="100000"/>
    <x v="0"/>
    <x v="0"/>
    <x v="2"/>
    <x v="0"/>
    <n v="43"/>
    <x v="3"/>
    <x v="0"/>
    <x v="0"/>
    <x v="2"/>
    <x v="3"/>
    <x v="3"/>
    <x v="1"/>
    <n v="50485"/>
    <n v="51582"/>
    <n v="52141"/>
    <n v="52691"/>
    <n v="54199"/>
    <n v="53176"/>
    <n v="2200"/>
    <n v="2000"/>
    <n v="2000"/>
    <n v="2500"/>
    <n v="0"/>
    <n v="4500"/>
    <n v="1"/>
    <x v="0"/>
    <n v="48285"/>
    <x v="1"/>
  </r>
  <r>
    <x v="858"/>
    <n v="130000"/>
    <x v="1"/>
    <x v="1"/>
    <x v="0"/>
    <x v="1"/>
    <n v="29"/>
    <x v="0"/>
    <x v="2"/>
    <x v="1"/>
    <x v="1"/>
    <x v="1"/>
    <x v="1"/>
    <x v="2"/>
    <n v="131041"/>
    <n v="133698"/>
    <n v="131990"/>
    <n v="127512"/>
    <n v="128683"/>
    <n v="129669"/>
    <n v="7000"/>
    <n v="5151"/>
    <n v="4464"/>
    <n v="5000"/>
    <n v="4702"/>
    <n v="8000"/>
    <n v="0"/>
    <x v="1"/>
    <n v="124041"/>
    <x v="2"/>
  </r>
  <r>
    <x v="859"/>
    <n v="20000"/>
    <x v="0"/>
    <x v="0"/>
    <x v="0"/>
    <x v="1"/>
    <n v="27"/>
    <x v="0"/>
    <x v="2"/>
    <x v="1"/>
    <x v="1"/>
    <x v="1"/>
    <x v="1"/>
    <x v="2"/>
    <n v="20218"/>
    <n v="19194"/>
    <n v="20112"/>
    <n v="19712"/>
    <n v="19712"/>
    <n v="6321"/>
    <n v="1482"/>
    <n v="1400"/>
    <n v="0"/>
    <n v="0"/>
    <n v="0"/>
    <n v="0"/>
    <n v="0"/>
    <x v="1"/>
    <n v="18736"/>
    <x v="0"/>
  </r>
  <r>
    <x v="860"/>
    <n v="50000"/>
    <x v="0"/>
    <x v="1"/>
    <x v="1"/>
    <x v="1"/>
    <n v="26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861"/>
    <n v="260000"/>
    <x v="1"/>
    <x v="1"/>
    <x v="1"/>
    <x v="0"/>
    <n v="41"/>
    <x v="3"/>
    <x v="3"/>
    <x v="3"/>
    <x v="0"/>
    <x v="1"/>
    <x v="1"/>
    <x v="2"/>
    <n v="1086"/>
    <n v="2853"/>
    <n v="38836"/>
    <n v="45087"/>
    <n v="47201"/>
    <n v="46199"/>
    <n v="3552"/>
    <n v="38836"/>
    <n v="20000"/>
    <n v="15000"/>
    <n v="15000"/>
    <n v="10000"/>
    <n v="0"/>
    <x v="1"/>
    <n v="-2466"/>
    <x v="3"/>
  </r>
  <r>
    <x v="862"/>
    <n v="30000"/>
    <x v="0"/>
    <x v="0"/>
    <x v="2"/>
    <x v="1"/>
    <n v="52"/>
    <x v="2"/>
    <x v="0"/>
    <x v="0"/>
    <x v="7"/>
    <x v="7"/>
    <x v="7"/>
    <x v="7"/>
    <n v="2450"/>
    <n v="2450"/>
    <n v="2450"/>
    <n v="2450"/>
    <n v="2450"/>
    <n v="2450"/>
    <n v="0"/>
    <n v="0"/>
    <n v="0"/>
    <n v="0"/>
    <n v="0"/>
    <n v="0"/>
    <n v="1"/>
    <x v="0"/>
    <n v="2450"/>
    <x v="0"/>
  </r>
  <r>
    <x v="863"/>
    <n v="10000"/>
    <x v="0"/>
    <x v="0"/>
    <x v="0"/>
    <x v="0"/>
    <n v="31"/>
    <x v="1"/>
    <x v="2"/>
    <x v="1"/>
    <x v="1"/>
    <x v="1"/>
    <x v="1"/>
    <x v="2"/>
    <n v="15915"/>
    <n v="9050"/>
    <n v="9901"/>
    <n v="9975"/>
    <n v="9736"/>
    <n v="8703"/>
    <n v="2330"/>
    <n v="2200"/>
    <n v="1000"/>
    <n v="333"/>
    <n v="311"/>
    <n v="322"/>
    <n v="0"/>
    <x v="1"/>
    <n v="13585"/>
    <x v="0"/>
  </r>
  <r>
    <x v="864"/>
    <n v="200000"/>
    <x v="1"/>
    <x v="1"/>
    <x v="1"/>
    <x v="1"/>
    <n v="32"/>
    <x v="1"/>
    <x v="2"/>
    <x v="1"/>
    <x v="1"/>
    <x v="1"/>
    <x v="1"/>
    <x v="2"/>
    <n v="43515"/>
    <n v="44557"/>
    <n v="45574"/>
    <n v="49022"/>
    <n v="47459"/>
    <n v="49666"/>
    <n v="1739"/>
    <n v="1756"/>
    <n v="2662"/>
    <n v="1726"/>
    <n v="3000"/>
    <n v="2500"/>
    <n v="0"/>
    <x v="1"/>
    <n v="41776"/>
    <x v="1"/>
  </r>
  <r>
    <x v="865"/>
    <n v="30000"/>
    <x v="0"/>
    <x v="0"/>
    <x v="0"/>
    <x v="0"/>
    <n v="46"/>
    <x v="3"/>
    <x v="2"/>
    <x v="1"/>
    <x v="1"/>
    <x v="1"/>
    <x v="1"/>
    <x v="2"/>
    <n v="28234"/>
    <n v="28874"/>
    <n v="29437"/>
    <n v="27738"/>
    <n v="27268"/>
    <n v="27409"/>
    <n v="1484"/>
    <n v="1436"/>
    <n v="1120"/>
    <n v="995"/>
    <n v="989"/>
    <n v="800"/>
    <n v="0"/>
    <x v="1"/>
    <n v="26750"/>
    <x v="1"/>
  </r>
  <r>
    <x v="866"/>
    <n v="180000"/>
    <x v="1"/>
    <x v="0"/>
    <x v="0"/>
    <x v="1"/>
    <n v="35"/>
    <x v="1"/>
    <x v="2"/>
    <x v="1"/>
    <x v="1"/>
    <x v="2"/>
    <x v="0"/>
    <x v="0"/>
    <n v="119333"/>
    <n v="123150"/>
    <n v="0"/>
    <n v="0"/>
    <n v="0"/>
    <n v="0"/>
    <n v="6000"/>
    <n v="0"/>
    <n v="0"/>
    <n v="0"/>
    <n v="0"/>
    <n v="0"/>
    <n v="0"/>
    <x v="1"/>
    <n v="113333"/>
    <x v="2"/>
  </r>
  <r>
    <x v="867"/>
    <n v="100000"/>
    <x v="0"/>
    <x v="1"/>
    <x v="1"/>
    <x v="1"/>
    <n v="35"/>
    <x v="1"/>
    <x v="2"/>
    <x v="1"/>
    <x v="3"/>
    <x v="2"/>
    <x v="0"/>
    <x v="0"/>
    <n v="29109"/>
    <n v="0"/>
    <n v="0"/>
    <n v="0"/>
    <n v="0"/>
    <n v="0"/>
    <n v="0"/>
    <n v="0"/>
    <n v="0"/>
    <n v="0"/>
    <n v="0"/>
    <n v="47970"/>
    <n v="0"/>
    <x v="1"/>
    <n v="29109"/>
    <x v="1"/>
  </r>
  <r>
    <x v="868"/>
    <n v="140000"/>
    <x v="1"/>
    <x v="0"/>
    <x v="0"/>
    <x v="0"/>
    <n v="39"/>
    <x v="1"/>
    <x v="2"/>
    <x v="1"/>
    <x v="1"/>
    <x v="1"/>
    <x v="1"/>
    <x v="2"/>
    <n v="105192"/>
    <n v="90337"/>
    <n v="74510"/>
    <n v="73876"/>
    <n v="76180"/>
    <n v="78400"/>
    <n v="3000"/>
    <n v="6000"/>
    <n v="4000"/>
    <n v="4000"/>
    <n v="4000"/>
    <n v="3000"/>
    <n v="0"/>
    <x v="1"/>
    <n v="102192"/>
    <x v="2"/>
  </r>
  <r>
    <x v="869"/>
    <n v="290000"/>
    <x v="1"/>
    <x v="0"/>
    <x v="0"/>
    <x v="1"/>
    <n v="34"/>
    <x v="1"/>
    <x v="2"/>
    <x v="1"/>
    <x v="1"/>
    <x v="1"/>
    <x v="1"/>
    <x v="2"/>
    <n v="310403"/>
    <n v="315048"/>
    <n v="314085"/>
    <n v="317631"/>
    <n v="315820"/>
    <n v="305498"/>
    <n v="12012"/>
    <n v="12012"/>
    <n v="11016"/>
    <n v="11088"/>
    <n v="12031"/>
    <n v="12031"/>
    <n v="0"/>
    <x v="1"/>
    <n v="298391"/>
    <x v="2"/>
  </r>
  <r>
    <x v="870"/>
    <n v="20000"/>
    <x v="0"/>
    <x v="0"/>
    <x v="0"/>
    <x v="2"/>
    <n v="52"/>
    <x v="2"/>
    <x v="2"/>
    <x v="1"/>
    <x v="1"/>
    <x v="1"/>
    <x v="1"/>
    <x v="2"/>
    <n v="14591"/>
    <n v="15616"/>
    <n v="16628"/>
    <n v="16958"/>
    <n v="17314"/>
    <n v="17664"/>
    <n v="1265"/>
    <n v="1277"/>
    <n v="607"/>
    <n v="629"/>
    <n v="638"/>
    <n v="641"/>
    <n v="0"/>
    <x v="1"/>
    <n v="13326"/>
    <x v="0"/>
  </r>
  <r>
    <x v="871"/>
    <n v="80000"/>
    <x v="0"/>
    <x v="0"/>
    <x v="2"/>
    <x v="0"/>
    <n v="40"/>
    <x v="3"/>
    <x v="2"/>
    <x v="1"/>
    <x v="1"/>
    <x v="1"/>
    <x v="1"/>
    <x v="2"/>
    <n v="35660"/>
    <n v="37082"/>
    <n v="38464"/>
    <n v="38922"/>
    <n v="40791"/>
    <n v="43108"/>
    <n v="2000"/>
    <n v="2000"/>
    <n v="1397"/>
    <n v="2500"/>
    <n v="3000"/>
    <n v="1600"/>
    <n v="0"/>
    <x v="1"/>
    <n v="33660"/>
    <x v="1"/>
  </r>
  <r>
    <x v="872"/>
    <n v="500000"/>
    <x v="2"/>
    <x v="0"/>
    <x v="2"/>
    <x v="0"/>
    <n v="38"/>
    <x v="1"/>
    <x v="3"/>
    <x v="3"/>
    <x v="3"/>
    <x v="2"/>
    <x v="0"/>
    <x v="0"/>
    <n v="13655"/>
    <n v="8351"/>
    <n v="2340"/>
    <n v="2340"/>
    <n v="11435"/>
    <n v="189"/>
    <n v="8351"/>
    <n v="2340"/>
    <n v="2340"/>
    <n v="11435"/>
    <n v="189"/>
    <n v="5391"/>
    <n v="0"/>
    <x v="1"/>
    <n v="5304"/>
    <x v="0"/>
  </r>
  <r>
    <x v="873"/>
    <n v="180000"/>
    <x v="1"/>
    <x v="1"/>
    <x v="1"/>
    <x v="0"/>
    <n v="45"/>
    <x v="3"/>
    <x v="1"/>
    <x v="2"/>
    <x v="0"/>
    <x v="0"/>
    <x v="2"/>
    <x v="3"/>
    <n v="4453"/>
    <n v="3310"/>
    <n v="7226"/>
    <n v="5060"/>
    <n v="2832"/>
    <n v="1890"/>
    <n v="3310"/>
    <n v="7228"/>
    <n v="5060"/>
    <n v="2832"/>
    <n v="1890"/>
    <n v="2576"/>
    <n v="0"/>
    <x v="1"/>
    <n v="1143"/>
    <x v="0"/>
  </r>
  <r>
    <x v="874"/>
    <n v="20000"/>
    <x v="0"/>
    <x v="0"/>
    <x v="2"/>
    <x v="0"/>
    <n v="40"/>
    <x v="3"/>
    <x v="1"/>
    <x v="2"/>
    <x v="0"/>
    <x v="0"/>
    <x v="2"/>
    <x v="3"/>
    <n v="2946"/>
    <n v="0"/>
    <n v="390"/>
    <n v="390"/>
    <n v="390"/>
    <n v="390"/>
    <n v="0"/>
    <n v="390"/>
    <n v="390"/>
    <n v="390"/>
    <n v="390"/>
    <n v="780"/>
    <n v="0"/>
    <x v="1"/>
    <n v="2946"/>
    <x v="0"/>
  </r>
  <r>
    <x v="875"/>
    <n v="30000"/>
    <x v="0"/>
    <x v="0"/>
    <x v="0"/>
    <x v="0"/>
    <n v="25"/>
    <x v="0"/>
    <x v="2"/>
    <x v="1"/>
    <x v="1"/>
    <x v="1"/>
    <x v="1"/>
    <x v="1"/>
    <n v="30606"/>
    <n v="29579"/>
    <n v="30291"/>
    <n v="30616"/>
    <n v="30456"/>
    <n v="29818"/>
    <n v="1800"/>
    <n v="1512"/>
    <n v="1259"/>
    <n v="2500"/>
    <n v="0"/>
    <n v="1000"/>
    <n v="0"/>
    <x v="1"/>
    <n v="28806"/>
    <x v="1"/>
  </r>
  <r>
    <x v="876"/>
    <n v="150000"/>
    <x v="1"/>
    <x v="1"/>
    <x v="1"/>
    <x v="1"/>
    <n v="33"/>
    <x v="1"/>
    <x v="2"/>
    <x v="1"/>
    <x v="1"/>
    <x v="1"/>
    <x v="1"/>
    <x v="2"/>
    <n v="45335"/>
    <n v="50262"/>
    <n v="54793"/>
    <n v="59244"/>
    <n v="64096"/>
    <n v="68837"/>
    <n v="6000"/>
    <n v="6000"/>
    <n v="6000"/>
    <n v="6000"/>
    <n v="6001"/>
    <n v="6000"/>
    <n v="0"/>
    <x v="1"/>
    <n v="39335"/>
    <x v="1"/>
  </r>
  <r>
    <x v="877"/>
    <n v="280000"/>
    <x v="1"/>
    <x v="0"/>
    <x v="0"/>
    <x v="1"/>
    <n v="27"/>
    <x v="0"/>
    <x v="1"/>
    <x v="2"/>
    <x v="0"/>
    <x v="0"/>
    <x v="2"/>
    <x v="3"/>
    <n v="5924"/>
    <n v="5174"/>
    <n v="980"/>
    <n v="3058"/>
    <n v="3158"/>
    <n v="9530"/>
    <n v="5174"/>
    <n v="1078"/>
    <n v="3058"/>
    <n v="3158"/>
    <n v="9530"/>
    <n v="0"/>
    <n v="0"/>
    <x v="1"/>
    <n v="750"/>
    <x v="0"/>
  </r>
  <r>
    <x v="878"/>
    <n v="50000"/>
    <x v="0"/>
    <x v="0"/>
    <x v="0"/>
    <x v="0"/>
    <n v="43"/>
    <x v="3"/>
    <x v="2"/>
    <x v="1"/>
    <x v="1"/>
    <x v="0"/>
    <x v="1"/>
    <x v="2"/>
    <n v="23587"/>
    <n v="24580"/>
    <n v="20165"/>
    <n v="10732"/>
    <n v="10566"/>
    <n v="10757"/>
    <n v="1800"/>
    <n v="1775"/>
    <n v="10732"/>
    <n v="384"/>
    <n v="757"/>
    <n v="501"/>
    <n v="0"/>
    <x v="1"/>
    <n v="21787"/>
    <x v="0"/>
  </r>
  <r>
    <x v="879"/>
    <n v="20000"/>
    <x v="0"/>
    <x v="0"/>
    <x v="0"/>
    <x v="0"/>
    <n v="43"/>
    <x v="3"/>
    <x v="0"/>
    <x v="1"/>
    <x v="1"/>
    <x v="1"/>
    <x v="1"/>
    <x v="1"/>
    <n v="15294"/>
    <n v="16340"/>
    <n v="17359"/>
    <n v="17776"/>
    <n v="19293"/>
    <n v="18844"/>
    <n v="1300"/>
    <n v="1300"/>
    <n v="700"/>
    <n v="1800"/>
    <n v="0"/>
    <n v="1000"/>
    <n v="0"/>
    <x v="1"/>
    <n v="13994"/>
    <x v="0"/>
  </r>
  <r>
    <x v="880"/>
    <n v="200000"/>
    <x v="1"/>
    <x v="1"/>
    <x v="1"/>
    <x v="1"/>
    <n v="30"/>
    <x v="1"/>
    <x v="1"/>
    <x v="2"/>
    <x v="0"/>
    <x v="1"/>
    <x v="1"/>
    <x v="2"/>
    <n v="4935"/>
    <n v="-200"/>
    <n v="11463"/>
    <n v="11751"/>
    <n v="11772"/>
    <n v="5318"/>
    <n v="0"/>
    <n v="11663"/>
    <n v="9363"/>
    <n v="3232"/>
    <n v="3000"/>
    <n v="1000"/>
    <n v="0"/>
    <x v="1"/>
    <n v="4935"/>
    <x v="0"/>
  </r>
  <r>
    <x v="881"/>
    <n v="210000"/>
    <x v="1"/>
    <x v="0"/>
    <x v="0"/>
    <x v="0"/>
    <n v="49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882"/>
    <n v="230000"/>
    <x v="1"/>
    <x v="0"/>
    <x v="1"/>
    <x v="1"/>
    <n v="38"/>
    <x v="1"/>
    <x v="2"/>
    <x v="1"/>
    <x v="1"/>
    <x v="1"/>
    <x v="1"/>
    <x v="2"/>
    <n v="224020"/>
    <n v="227311"/>
    <n v="184500"/>
    <n v="128190"/>
    <n v="130883"/>
    <n v="133504"/>
    <n v="8750"/>
    <n v="7470"/>
    <n v="4540"/>
    <n v="4710"/>
    <n v="4750"/>
    <n v="4900"/>
    <n v="0"/>
    <x v="1"/>
    <n v="215270"/>
    <x v="2"/>
  </r>
  <r>
    <x v="883"/>
    <n v="50000"/>
    <x v="0"/>
    <x v="1"/>
    <x v="2"/>
    <x v="1"/>
    <n v="57"/>
    <x v="2"/>
    <x v="2"/>
    <x v="1"/>
    <x v="1"/>
    <x v="1"/>
    <x v="1"/>
    <x v="2"/>
    <n v="47917"/>
    <n v="48455"/>
    <n v="48120"/>
    <n v="28450"/>
    <n v="29046"/>
    <n v="29647"/>
    <n v="1988"/>
    <n v="1989"/>
    <n v="1018"/>
    <n v="1054"/>
    <n v="1084"/>
    <n v="1048"/>
    <n v="0"/>
    <x v="1"/>
    <n v="45929"/>
    <x v="1"/>
  </r>
  <r>
    <x v="884"/>
    <n v="50000"/>
    <x v="0"/>
    <x v="1"/>
    <x v="2"/>
    <x v="1"/>
    <n v="55"/>
    <x v="2"/>
    <x v="2"/>
    <x v="1"/>
    <x v="1"/>
    <x v="1"/>
    <x v="1"/>
    <x v="2"/>
    <n v="51737"/>
    <n v="27121"/>
    <n v="28103"/>
    <n v="28814"/>
    <n v="29261"/>
    <n v="29878"/>
    <n v="2930"/>
    <n v="1447"/>
    <n v="1158"/>
    <n v="1041"/>
    <n v="1082"/>
    <n v="994"/>
    <n v="1"/>
    <x v="0"/>
    <n v="48807"/>
    <x v="1"/>
  </r>
  <r>
    <x v="885"/>
    <n v="70000"/>
    <x v="0"/>
    <x v="0"/>
    <x v="0"/>
    <x v="1"/>
    <n v="23"/>
    <x v="0"/>
    <x v="2"/>
    <x v="1"/>
    <x v="1"/>
    <x v="1"/>
    <x v="1"/>
    <x v="2"/>
    <n v="49605"/>
    <n v="51804"/>
    <n v="53041"/>
    <n v="55150"/>
    <n v="57098"/>
    <n v="59141"/>
    <n v="3000"/>
    <n v="2700"/>
    <n v="3000"/>
    <n v="3000"/>
    <n v="3000"/>
    <n v="4700"/>
    <n v="0"/>
    <x v="1"/>
    <n v="46605"/>
    <x v="1"/>
  </r>
  <r>
    <x v="886"/>
    <n v="310000"/>
    <x v="2"/>
    <x v="1"/>
    <x v="1"/>
    <x v="1"/>
    <n v="30"/>
    <x v="1"/>
    <x v="3"/>
    <x v="3"/>
    <x v="3"/>
    <x v="2"/>
    <x v="0"/>
    <x v="0"/>
    <n v="1544"/>
    <n v="1648"/>
    <n v="1284"/>
    <n v="1088"/>
    <n v="892"/>
    <n v="-304"/>
    <n v="1300"/>
    <n v="1000"/>
    <n v="1000"/>
    <n v="1000"/>
    <n v="304"/>
    <n v="39544"/>
    <n v="0"/>
    <x v="1"/>
    <n v="244"/>
    <x v="0"/>
  </r>
  <r>
    <x v="887"/>
    <n v="180000"/>
    <x v="1"/>
    <x v="0"/>
    <x v="0"/>
    <x v="0"/>
    <n v="30"/>
    <x v="1"/>
    <x v="1"/>
    <x v="2"/>
    <x v="0"/>
    <x v="0"/>
    <x v="2"/>
    <x v="3"/>
    <n v="2488"/>
    <n v="13476"/>
    <n v="3173"/>
    <n v="13202"/>
    <n v="6594"/>
    <n v="2549"/>
    <n v="13476"/>
    <n v="3173"/>
    <n v="13212"/>
    <n v="6594"/>
    <n v="2549"/>
    <n v="1000"/>
    <n v="0"/>
    <x v="1"/>
    <n v="-10988"/>
    <x v="3"/>
  </r>
  <r>
    <x v="888"/>
    <n v="90000"/>
    <x v="0"/>
    <x v="0"/>
    <x v="0"/>
    <x v="1"/>
    <n v="24"/>
    <x v="0"/>
    <x v="2"/>
    <x v="1"/>
    <x v="1"/>
    <x v="1"/>
    <x v="1"/>
    <x v="1"/>
    <n v="24401"/>
    <n v="22771"/>
    <n v="19461"/>
    <n v="16181"/>
    <n v="14669"/>
    <n v="14422"/>
    <n v="1454"/>
    <n v="1384"/>
    <n v="407"/>
    <n v="673"/>
    <n v="0"/>
    <n v="102"/>
    <n v="0"/>
    <x v="1"/>
    <n v="22947"/>
    <x v="0"/>
  </r>
  <r>
    <x v="889"/>
    <n v="390000"/>
    <x v="2"/>
    <x v="1"/>
    <x v="0"/>
    <x v="1"/>
    <n v="28"/>
    <x v="0"/>
    <x v="2"/>
    <x v="1"/>
    <x v="1"/>
    <x v="1"/>
    <x v="1"/>
    <x v="2"/>
    <n v="149445"/>
    <n v="139794"/>
    <n v="133224"/>
    <n v="106127"/>
    <n v="51097"/>
    <n v="38555"/>
    <n v="8046"/>
    <n v="5150"/>
    <n v="5297"/>
    <n v="5084"/>
    <n v="5065"/>
    <n v="5042"/>
    <n v="0"/>
    <x v="1"/>
    <n v="141399"/>
    <x v="2"/>
  </r>
  <r>
    <x v="890"/>
    <n v="150000"/>
    <x v="1"/>
    <x v="0"/>
    <x v="2"/>
    <x v="0"/>
    <n v="34"/>
    <x v="1"/>
    <x v="1"/>
    <x v="2"/>
    <x v="0"/>
    <x v="0"/>
    <x v="2"/>
    <x v="3"/>
    <n v="772"/>
    <n v="337"/>
    <n v="618"/>
    <n v="150"/>
    <n v="150"/>
    <n v="377"/>
    <n v="340"/>
    <n v="618"/>
    <n v="150"/>
    <n v="150"/>
    <n v="227"/>
    <n v="0"/>
    <n v="0"/>
    <x v="1"/>
    <n v="432"/>
    <x v="0"/>
  </r>
  <r>
    <x v="891"/>
    <n v="400000"/>
    <x v="2"/>
    <x v="1"/>
    <x v="0"/>
    <x v="1"/>
    <n v="37"/>
    <x v="1"/>
    <x v="4"/>
    <x v="8"/>
    <x v="8"/>
    <x v="3"/>
    <x v="1"/>
    <x v="2"/>
    <n v="13611"/>
    <n v="15066"/>
    <n v="15882"/>
    <n v="12599"/>
    <n v="18599"/>
    <n v="12284"/>
    <n v="3019"/>
    <n v="5014"/>
    <n v="3"/>
    <n v="7040"/>
    <n v="2006"/>
    <n v="2005"/>
    <n v="0"/>
    <x v="1"/>
    <n v="10592"/>
    <x v="0"/>
  </r>
  <r>
    <x v="892"/>
    <n v="80000"/>
    <x v="0"/>
    <x v="0"/>
    <x v="0"/>
    <x v="0"/>
    <n v="32"/>
    <x v="1"/>
    <x v="2"/>
    <x v="1"/>
    <x v="1"/>
    <x v="1"/>
    <x v="1"/>
    <x v="0"/>
    <n v="28408"/>
    <n v="25695"/>
    <n v="11553"/>
    <n v="2350"/>
    <n v="0"/>
    <n v="0"/>
    <n v="1259"/>
    <n v="1035"/>
    <n v="1600"/>
    <n v="0"/>
    <n v="0"/>
    <n v="0"/>
    <n v="0"/>
    <x v="1"/>
    <n v="27149"/>
    <x v="1"/>
  </r>
  <r>
    <x v="893"/>
    <n v="320000"/>
    <x v="2"/>
    <x v="1"/>
    <x v="1"/>
    <x v="1"/>
    <n v="27"/>
    <x v="0"/>
    <x v="2"/>
    <x v="1"/>
    <x v="1"/>
    <x v="1"/>
    <x v="1"/>
    <x v="2"/>
    <n v="137574"/>
    <n v="199563"/>
    <n v="122093"/>
    <n v="105425"/>
    <n v="100206"/>
    <n v="96073"/>
    <n v="6048"/>
    <n v="6371"/>
    <n v="3043"/>
    <n v="3031"/>
    <n v="3066"/>
    <n v="3031"/>
    <n v="0"/>
    <x v="1"/>
    <n v="131526"/>
    <x v="2"/>
  </r>
  <r>
    <x v="894"/>
    <n v="240000"/>
    <x v="1"/>
    <x v="0"/>
    <x v="0"/>
    <x v="0"/>
    <n v="37"/>
    <x v="1"/>
    <x v="1"/>
    <x v="2"/>
    <x v="3"/>
    <x v="2"/>
    <x v="0"/>
    <x v="0"/>
    <n v="238"/>
    <n v="0"/>
    <n v="0"/>
    <n v="0"/>
    <n v="0"/>
    <n v="0"/>
    <n v="0"/>
    <n v="0"/>
    <n v="0"/>
    <n v="0"/>
    <n v="0"/>
    <n v="0"/>
    <n v="1"/>
    <x v="0"/>
    <n v="238"/>
    <x v="0"/>
  </r>
  <r>
    <x v="895"/>
    <n v="200000"/>
    <x v="1"/>
    <x v="1"/>
    <x v="1"/>
    <x v="1"/>
    <n v="31"/>
    <x v="1"/>
    <x v="3"/>
    <x v="3"/>
    <x v="3"/>
    <x v="2"/>
    <x v="0"/>
    <x v="0"/>
    <n v="100"/>
    <n v="100"/>
    <n v="100"/>
    <n v="100"/>
    <n v="100"/>
    <n v="100"/>
    <n v="100"/>
    <n v="100"/>
    <n v="100"/>
    <n v="100"/>
    <n v="100"/>
    <n v="100"/>
    <n v="0"/>
    <x v="1"/>
    <n v="0"/>
    <x v="3"/>
  </r>
  <r>
    <x v="896"/>
    <n v="110000"/>
    <x v="1"/>
    <x v="1"/>
    <x v="1"/>
    <x v="2"/>
    <n v="55"/>
    <x v="2"/>
    <x v="4"/>
    <x v="0"/>
    <x v="2"/>
    <x v="3"/>
    <x v="4"/>
    <x v="1"/>
    <n v="92610"/>
    <n v="94755"/>
    <n v="92351"/>
    <n v="101140"/>
    <n v="99260"/>
    <n v="101577"/>
    <n v="4500"/>
    <n v="0"/>
    <n v="11300"/>
    <n v="0"/>
    <n v="4100"/>
    <n v="0"/>
    <n v="1"/>
    <x v="0"/>
    <n v="88110"/>
    <x v="1"/>
  </r>
  <r>
    <x v="897"/>
    <n v="170000"/>
    <x v="1"/>
    <x v="0"/>
    <x v="1"/>
    <x v="1"/>
    <n v="28"/>
    <x v="0"/>
    <x v="0"/>
    <x v="0"/>
    <x v="2"/>
    <x v="3"/>
    <x v="3"/>
    <x v="1"/>
    <n v="131864"/>
    <n v="133897"/>
    <n v="129761"/>
    <n v="138604"/>
    <n v="136283"/>
    <n v="145012"/>
    <n v="5600"/>
    <n v="0"/>
    <n v="11000"/>
    <n v="0"/>
    <n v="11000"/>
    <n v="5656"/>
    <n v="1"/>
    <x v="0"/>
    <n v="126264"/>
    <x v="2"/>
  </r>
  <r>
    <x v="898"/>
    <n v="90000"/>
    <x v="0"/>
    <x v="0"/>
    <x v="2"/>
    <x v="2"/>
    <n v="51"/>
    <x v="2"/>
    <x v="2"/>
    <x v="1"/>
    <x v="1"/>
    <x v="1"/>
    <x v="3"/>
    <x v="2"/>
    <n v="11315"/>
    <n v="12340"/>
    <n v="13349"/>
    <n v="14276"/>
    <n v="13904"/>
    <n v="14184"/>
    <n v="1212"/>
    <n v="1221"/>
    <n v="1148"/>
    <n v="0"/>
    <n v="510"/>
    <n v="525"/>
    <n v="1"/>
    <x v="0"/>
    <n v="10103"/>
    <x v="0"/>
  </r>
  <r>
    <x v="899"/>
    <n v="200000"/>
    <x v="1"/>
    <x v="1"/>
    <x v="1"/>
    <x v="0"/>
    <n v="36"/>
    <x v="1"/>
    <x v="1"/>
    <x v="2"/>
    <x v="1"/>
    <x v="0"/>
    <x v="2"/>
    <x v="3"/>
    <n v="3877"/>
    <n v="11496"/>
    <n v="5935"/>
    <n v="295"/>
    <n v="1867"/>
    <n v="0"/>
    <n v="11496"/>
    <n v="1011"/>
    <n v="297"/>
    <n v="2923"/>
    <n v="0"/>
    <n v="0"/>
    <n v="0"/>
    <x v="1"/>
    <n v="-7619"/>
    <x v="3"/>
  </r>
  <r>
    <x v="900"/>
    <n v="360000"/>
    <x v="2"/>
    <x v="1"/>
    <x v="1"/>
    <x v="1"/>
    <n v="30"/>
    <x v="1"/>
    <x v="3"/>
    <x v="2"/>
    <x v="0"/>
    <x v="2"/>
    <x v="0"/>
    <x v="0"/>
    <n v="0"/>
    <n v="2500"/>
    <n v="0"/>
    <n v="0"/>
    <n v="0"/>
    <n v="0"/>
    <n v="2500"/>
    <n v="0"/>
    <n v="0"/>
    <n v="0"/>
    <n v="0"/>
    <n v="0"/>
    <n v="0"/>
    <x v="1"/>
    <n v="-2500"/>
    <x v="3"/>
  </r>
  <r>
    <x v="901"/>
    <n v="140000"/>
    <x v="1"/>
    <x v="0"/>
    <x v="1"/>
    <x v="0"/>
    <n v="36"/>
    <x v="1"/>
    <x v="1"/>
    <x v="2"/>
    <x v="3"/>
    <x v="0"/>
    <x v="1"/>
    <x v="2"/>
    <n v="4036"/>
    <n v="0"/>
    <n v="0"/>
    <n v="2971"/>
    <n v="1607"/>
    <n v="0"/>
    <n v="0"/>
    <n v="0"/>
    <n v="2971"/>
    <n v="0"/>
    <n v="0"/>
    <n v="0"/>
    <n v="0"/>
    <x v="1"/>
    <n v="4036"/>
    <x v="0"/>
  </r>
  <r>
    <x v="902"/>
    <n v="220000"/>
    <x v="1"/>
    <x v="1"/>
    <x v="0"/>
    <x v="1"/>
    <n v="25"/>
    <x v="0"/>
    <x v="2"/>
    <x v="1"/>
    <x v="1"/>
    <x v="1"/>
    <x v="1"/>
    <x v="2"/>
    <n v="168286"/>
    <n v="155893"/>
    <n v="119575"/>
    <n v="51317"/>
    <n v="51926"/>
    <n v="34608"/>
    <n v="10000"/>
    <n v="3900"/>
    <n v="1000"/>
    <n v="1000"/>
    <n v="2000"/>
    <n v="2000"/>
    <n v="0"/>
    <x v="1"/>
    <n v="158286"/>
    <x v="2"/>
  </r>
  <r>
    <x v="903"/>
    <n v="100000"/>
    <x v="0"/>
    <x v="1"/>
    <x v="2"/>
    <x v="0"/>
    <n v="50"/>
    <x v="2"/>
    <x v="2"/>
    <x v="1"/>
    <x v="3"/>
    <x v="2"/>
    <x v="0"/>
    <x v="0"/>
    <n v="154970"/>
    <n v="0"/>
    <n v="0"/>
    <n v="0"/>
    <n v="0"/>
    <n v="0"/>
    <n v="0"/>
    <n v="0"/>
    <n v="0"/>
    <n v="0"/>
    <n v="0"/>
    <n v="0"/>
    <n v="0"/>
    <x v="1"/>
    <n v="154970"/>
    <x v="2"/>
  </r>
  <r>
    <x v="904"/>
    <n v="80000"/>
    <x v="0"/>
    <x v="0"/>
    <x v="0"/>
    <x v="1"/>
    <n v="40"/>
    <x v="3"/>
    <x v="0"/>
    <x v="1"/>
    <x v="1"/>
    <x v="1"/>
    <x v="3"/>
    <x v="1"/>
    <n v="57364"/>
    <n v="58637"/>
    <n v="59863"/>
    <n v="62860"/>
    <n v="63976"/>
    <n v="63293"/>
    <n v="2200"/>
    <n v="2200"/>
    <n v="4000"/>
    <n v="1777"/>
    <n v="0"/>
    <n v="2000"/>
    <n v="0"/>
    <x v="1"/>
    <n v="55164"/>
    <x v="1"/>
  </r>
  <r>
    <x v="905"/>
    <n v="30000"/>
    <x v="0"/>
    <x v="0"/>
    <x v="0"/>
    <x v="1"/>
    <n v="27"/>
    <x v="0"/>
    <x v="1"/>
    <x v="2"/>
    <x v="2"/>
    <x v="1"/>
    <x v="2"/>
    <x v="1"/>
    <n v="27772"/>
    <n v="30461"/>
    <n v="29325"/>
    <n v="21449"/>
    <n v="29709"/>
    <n v="29086"/>
    <n v="3136"/>
    <n v="0"/>
    <n v="0"/>
    <n v="29709"/>
    <n v="0"/>
    <n v="1576"/>
    <n v="0"/>
    <x v="1"/>
    <n v="24636"/>
    <x v="0"/>
  </r>
  <r>
    <x v="906"/>
    <n v="50000"/>
    <x v="0"/>
    <x v="1"/>
    <x v="1"/>
    <x v="1"/>
    <n v="30"/>
    <x v="1"/>
    <x v="0"/>
    <x v="0"/>
    <x v="2"/>
    <x v="0"/>
    <x v="3"/>
    <x v="1"/>
    <n v="4187"/>
    <n v="5152"/>
    <n v="3679"/>
    <n v="596"/>
    <n v="446"/>
    <n v="2699"/>
    <n v="2300"/>
    <n v="0"/>
    <n v="700"/>
    <n v="0"/>
    <n v="2300"/>
    <n v="0"/>
    <n v="1"/>
    <x v="0"/>
    <n v="1887"/>
    <x v="0"/>
  </r>
  <r>
    <x v="907"/>
    <n v="120000"/>
    <x v="1"/>
    <x v="0"/>
    <x v="0"/>
    <x v="1"/>
    <n v="26"/>
    <x v="0"/>
    <x v="2"/>
    <x v="1"/>
    <x v="1"/>
    <x v="1"/>
    <x v="1"/>
    <x v="2"/>
    <n v="22431"/>
    <n v="12399"/>
    <n v="4199"/>
    <n v="3059"/>
    <n v="674"/>
    <n v="0"/>
    <n v="1500"/>
    <n v="1000"/>
    <n v="682"/>
    <n v="0"/>
    <n v="0"/>
    <n v="738"/>
    <n v="0"/>
    <x v="1"/>
    <n v="20931"/>
    <x v="0"/>
  </r>
  <r>
    <x v="908"/>
    <n v="50000"/>
    <x v="0"/>
    <x v="1"/>
    <x v="1"/>
    <x v="1"/>
    <n v="27"/>
    <x v="0"/>
    <x v="2"/>
    <x v="1"/>
    <x v="1"/>
    <x v="1"/>
    <x v="1"/>
    <x v="2"/>
    <n v="7010"/>
    <n v="9876"/>
    <n v="11115"/>
    <n v="12915"/>
    <n v="14415"/>
    <n v="0"/>
    <n v="3000"/>
    <n v="1500"/>
    <n v="2000"/>
    <n v="2000"/>
    <n v="0"/>
    <n v="0"/>
    <n v="0"/>
    <x v="1"/>
    <n v="4010"/>
    <x v="0"/>
  </r>
  <r>
    <x v="909"/>
    <n v="360000"/>
    <x v="2"/>
    <x v="0"/>
    <x v="1"/>
    <x v="1"/>
    <n v="27"/>
    <x v="0"/>
    <x v="2"/>
    <x v="2"/>
    <x v="1"/>
    <x v="0"/>
    <x v="2"/>
    <x v="3"/>
    <n v="79837"/>
    <n v="27456"/>
    <n v="68117"/>
    <n v="39105"/>
    <n v="54456"/>
    <n v="46153"/>
    <n v="27465"/>
    <n v="50154"/>
    <n v="39105"/>
    <n v="54456"/>
    <n v="46153"/>
    <n v="40000"/>
    <n v="0"/>
    <x v="1"/>
    <n v="52372"/>
    <x v="1"/>
  </r>
  <r>
    <x v="910"/>
    <n v="90000"/>
    <x v="0"/>
    <x v="0"/>
    <x v="1"/>
    <x v="1"/>
    <n v="25"/>
    <x v="0"/>
    <x v="0"/>
    <x v="0"/>
    <x v="2"/>
    <x v="3"/>
    <x v="1"/>
    <x v="2"/>
    <n v="86014"/>
    <n v="92898"/>
    <n v="92860"/>
    <n v="88533"/>
    <n v="90942"/>
    <n v="88813"/>
    <n v="8300"/>
    <n v="2400"/>
    <n v="1000"/>
    <n v="4000"/>
    <n v="3600"/>
    <n v="4000"/>
    <n v="0"/>
    <x v="1"/>
    <n v="77714"/>
    <x v="1"/>
  </r>
  <r>
    <x v="911"/>
    <n v="500000"/>
    <x v="2"/>
    <x v="1"/>
    <x v="1"/>
    <x v="1"/>
    <n v="32"/>
    <x v="1"/>
    <x v="1"/>
    <x v="1"/>
    <x v="1"/>
    <x v="1"/>
    <x v="1"/>
    <x v="2"/>
    <n v="386405"/>
    <n v="387910"/>
    <n v="293177"/>
    <n v="274539"/>
    <n v="253443"/>
    <n v="253671"/>
    <n v="25016"/>
    <n v="20018"/>
    <n v="10000"/>
    <n v="79377"/>
    <n v="52778"/>
    <n v="10000"/>
    <n v="0"/>
    <x v="1"/>
    <n v="361389"/>
    <x v="2"/>
  </r>
  <r>
    <x v="912"/>
    <n v="140000"/>
    <x v="1"/>
    <x v="0"/>
    <x v="2"/>
    <x v="0"/>
    <n v="46"/>
    <x v="3"/>
    <x v="2"/>
    <x v="1"/>
    <x v="1"/>
    <x v="1"/>
    <x v="1"/>
    <x v="2"/>
    <n v="68075"/>
    <n v="69972"/>
    <n v="71805"/>
    <n v="73613"/>
    <n v="75426"/>
    <n v="77169"/>
    <n v="3000"/>
    <n v="3000"/>
    <n v="3000"/>
    <n v="3000"/>
    <n v="3000"/>
    <n v="5000"/>
    <n v="0"/>
    <x v="1"/>
    <n v="65075"/>
    <x v="1"/>
  </r>
  <r>
    <x v="913"/>
    <n v="30000"/>
    <x v="0"/>
    <x v="1"/>
    <x v="2"/>
    <x v="0"/>
    <n v="45"/>
    <x v="3"/>
    <x v="2"/>
    <x v="1"/>
    <x v="2"/>
    <x v="1"/>
    <x v="1"/>
    <x v="2"/>
    <n v="17187"/>
    <n v="24045"/>
    <n v="23180"/>
    <n v="22000"/>
    <n v="22000"/>
    <n v="0"/>
    <n v="7900"/>
    <n v="0"/>
    <n v="0"/>
    <n v="0"/>
    <n v="0"/>
    <n v="0"/>
    <n v="0"/>
    <x v="1"/>
    <n v="9287"/>
    <x v="0"/>
  </r>
  <r>
    <x v="914"/>
    <n v="70000"/>
    <x v="0"/>
    <x v="1"/>
    <x v="2"/>
    <x v="0"/>
    <n v="30"/>
    <x v="1"/>
    <x v="2"/>
    <x v="1"/>
    <x v="1"/>
    <x v="1"/>
    <x v="1"/>
    <x v="2"/>
    <n v="19882"/>
    <n v="20611"/>
    <n v="21859"/>
    <n v="22445"/>
    <n v="22935"/>
    <n v="23404"/>
    <n v="1352"/>
    <n v="1600"/>
    <n v="949"/>
    <n v="1000"/>
    <n v="1000"/>
    <n v="1000"/>
    <n v="0"/>
    <x v="1"/>
    <n v="18530"/>
    <x v="0"/>
  </r>
  <r>
    <x v="915"/>
    <n v="200000"/>
    <x v="1"/>
    <x v="1"/>
    <x v="1"/>
    <x v="0"/>
    <n v="39"/>
    <x v="1"/>
    <x v="3"/>
    <x v="3"/>
    <x v="3"/>
    <x v="2"/>
    <x v="0"/>
    <x v="0"/>
    <n v="0"/>
    <n v="0"/>
    <n v="0"/>
    <n v="0"/>
    <n v="0"/>
    <n v="3983"/>
    <n v="0"/>
    <n v="0"/>
    <n v="0"/>
    <n v="0"/>
    <n v="3983"/>
    <n v="0"/>
    <n v="0"/>
    <x v="1"/>
    <n v="0"/>
    <x v="3"/>
  </r>
  <r>
    <x v="916"/>
    <n v="350000"/>
    <x v="2"/>
    <x v="1"/>
    <x v="1"/>
    <x v="0"/>
    <n v="48"/>
    <x v="3"/>
    <x v="2"/>
    <x v="1"/>
    <x v="1"/>
    <x v="1"/>
    <x v="1"/>
    <x v="2"/>
    <n v="54969"/>
    <n v="47978"/>
    <n v="48631"/>
    <n v="48351"/>
    <n v="47939"/>
    <n v="33827"/>
    <n v="2087"/>
    <n v="1989"/>
    <n v="1591"/>
    <n v="1466"/>
    <n v="2000"/>
    <n v="1500"/>
    <n v="0"/>
    <x v="1"/>
    <n v="52882"/>
    <x v="1"/>
  </r>
  <r>
    <x v="917"/>
    <n v="120000"/>
    <x v="1"/>
    <x v="1"/>
    <x v="1"/>
    <x v="1"/>
    <n v="32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918"/>
    <n v="240000"/>
    <x v="1"/>
    <x v="1"/>
    <x v="1"/>
    <x v="1"/>
    <n v="46"/>
    <x v="3"/>
    <x v="2"/>
    <x v="1"/>
    <x v="1"/>
    <x v="1"/>
    <x v="1"/>
    <x v="2"/>
    <n v="471814"/>
    <n v="478380"/>
    <n v="395612"/>
    <n v="386295"/>
    <n v="356206"/>
    <n v="352257"/>
    <n v="16044"/>
    <n v="15087"/>
    <n v="12000"/>
    <n v="15000"/>
    <n v="12000"/>
    <n v="12000"/>
    <n v="0"/>
    <x v="1"/>
    <n v="455770"/>
    <x v="2"/>
  </r>
  <r>
    <x v="919"/>
    <n v="90000"/>
    <x v="0"/>
    <x v="0"/>
    <x v="1"/>
    <x v="1"/>
    <n v="23"/>
    <x v="0"/>
    <x v="2"/>
    <x v="1"/>
    <x v="1"/>
    <x v="1"/>
    <x v="1"/>
    <x v="2"/>
    <n v="22109"/>
    <n v="25011"/>
    <n v="29230"/>
    <n v="32747"/>
    <n v="38217"/>
    <n v="43744"/>
    <n v="6000"/>
    <n v="5000"/>
    <n v="4000"/>
    <n v="6000"/>
    <n v="8000"/>
    <n v="4000"/>
    <n v="0"/>
    <x v="1"/>
    <n v="16109"/>
    <x v="0"/>
  </r>
  <r>
    <x v="920"/>
    <n v="260000"/>
    <x v="1"/>
    <x v="0"/>
    <x v="1"/>
    <x v="1"/>
    <n v="33"/>
    <x v="1"/>
    <x v="4"/>
    <x v="3"/>
    <x v="3"/>
    <x v="2"/>
    <x v="2"/>
    <x v="3"/>
    <n v="0"/>
    <n v="0"/>
    <n v="0"/>
    <n v="0"/>
    <n v="1980"/>
    <n v="2500"/>
    <n v="0"/>
    <n v="0"/>
    <n v="0"/>
    <n v="1980"/>
    <n v="2500"/>
    <n v="0"/>
    <n v="0"/>
    <x v="1"/>
    <n v="0"/>
    <x v="3"/>
  </r>
  <r>
    <x v="921"/>
    <n v="50000"/>
    <x v="0"/>
    <x v="0"/>
    <x v="1"/>
    <x v="1"/>
    <n v="24"/>
    <x v="0"/>
    <x v="2"/>
    <x v="1"/>
    <x v="1"/>
    <x v="3"/>
    <x v="1"/>
    <x v="2"/>
    <n v="27245"/>
    <n v="28300"/>
    <n v="31900"/>
    <n v="31090"/>
    <n v="31837"/>
    <n v="32555"/>
    <n v="1800"/>
    <n v="4400"/>
    <n v="0"/>
    <n v="1400"/>
    <n v="1400"/>
    <n v="1400"/>
    <n v="0"/>
    <x v="1"/>
    <n v="25445"/>
    <x v="1"/>
  </r>
  <r>
    <x v="922"/>
    <n v="110000"/>
    <x v="1"/>
    <x v="1"/>
    <x v="1"/>
    <x v="0"/>
    <n v="40"/>
    <x v="3"/>
    <x v="2"/>
    <x v="1"/>
    <x v="1"/>
    <x v="1"/>
    <x v="1"/>
    <x v="2"/>
    <n v="8481"/>
    <n v="13066"/>
    <n v="17638"/>
    <n v="22204"/>
    <n v="26784"/>
    <n v="31352"/>
    <n v="4980"/>
    <n v="5124"/>
    <n v="5256"/>
    <n v="5416"/>
    <n v="5552"/>
    <n v="5742"/>
    <n v="0"/>
    <x v="1"/>
    <n v="3501"/>
    <x v="0"/>
  </r>
  <r>
    <x v="923"/>
    <n v="20000"/>
    <x v="0"/>
    <x v="0"/>
    <x v="1"/>
    <x v="1"/>
    <n v="24"/>
    <x v="0"/>
    <x v="1"/>
    <x v="2"/>
    <x v="2"/>
    <x v="0"/>
    <x v="1"/>
    <x v="3"/>
    <n v="1371"/>
    <n v="796"/>
    <n v="398"/>
    <n v="796"/>
    <n v="398"/>
    <n v="716"/>
    <n v="796"/>
    <n v="0"/>
    <n v="796"/>
    <n v="0"/>
    <n v="716"/>
    <n v="12111"/>
    <n v="0"/>
    <x v="1"/>
    <n v="575"/>
    <x v="0"/>
  </r>
  <r>
    <x v="924"/>
    <n v="30000"/>
    <x v="0"/>
    <x v="0"/>
    <x v="0"/>
    <x v="1"/>
    <n v="24"/>
    <x v="0"/>
    <x v="2"/>
    <x v="1"/>
    <x v="1"/>
    <x v="1"/>
    <x v="1"/>
    <x v="2"/>
    <n v="27391"/>
    <n v="28412"/>
    <n v="28575"/>
    <n v="28925"/>
    <n v="24159"/>
    <n v="0"/>
    <n v="1767"/>
    <n v="1700"/>
    <n v="1010"/>
    <n v="1141"/>
    <n v="0"/>
    <n v="0"/>
    <n v="0"/>
    <x v="1"/>
    <n v="25624"/>
    <x v="1"/>
  </r>
  <r>
    <x v="925"/>
    <n v="180000"/>
    <x v="1"/>
    <x v="1"/>
    <x v="1"/>
    <x v="1"/>
    <n v="27"/>
    <x v="0"/>
    <x v="3"/>
    <x v="2"/>
    <x v="2"/>
    <x v="3"/>
    <x v="0"/>
    <x v="0"/>
    <n v="11392"/>
    <n v="14688"/>
    <n v="14040"/>
    <n v="13440"/>
    <n v="13440"/>
    <n v="13080"/>
    <n v="3500"/>
    <n v="0"/>
    <n v="0"/>
    <n v="0"/>
    <n v="0"/>
    <n v="0"/>
    <n v="1"/>
    <x v="0"/>
    <n v="7892"/>
    <x v="0"/>
  </r>
  <r>
    <x v="926"/>
    <n v="20000"/>
    <x v="0"/>
    <x v="1"/>
    <x v="0"/>
    <x v="0"/>
    <n v="46"/>
    <x v="3"/>
    <x v="2"/>
    <x v="1"/>
    <x v="1"/>
    <x v="1"/>
    <x v="1"/>
    <x v="2"/>
    <n v="5902"/>
    <n v="6767"/>
    <n v="8145"/>
    <n v="8153"/>
    <n v="8324"/>
    <n v="8490"/>
    <n v="1122"/>
    <n v="1500"/>
    <n v="291"/>
    <n v="302"/>
    <n v="304"/>
    <n v="319"/>
    <n v="0"/>
    <x v="1"/>
    <n v="4780"/>
    <x v="0"/>
  </r>
  <r>
    <x v="927"/>
    <n v="50000"/>
    <x v="0"/>
    <x v="0"/>
    <x v="0"/>
    <x v="1"/>
    <n v="22"/>
    <x v="0"/>
    <x v="2"/>
    <x v="1"/>
    <x v="1"/>
    <x v="1"/>
    <x v="1"/>
    <x v="2"/>
    <n v="50342"/>
    <n v="50482"/>
    <n v="49217"/>
    <n v="40882"/>
    <n v="20258"/>
    <n v="20303"/>
    <n v="1896"/>
    <n v="1656"/>
    <n v="1750"/>
    <n v="717"/>
    <n v="753"/>
    <n v="1000"/>
    <n v="0"/>
    <x v="1"/>
    <n v="48446"/>
    <x v="1"/>
  </r>
  <r>
    <x v="928"/>
    <n v="180000"/>
    <x v="1"/>
    <x v="0"/>
    <x v="1"/>
    <x v="1"/>
    <n v="36"/>
    <x v="1"/>
    <x v="3"/>
    <x v="3"/>
    <x v="3"/>
    <x v="2"/>
    <x v="0"/>
    <x v="0"/>
    <n v="10737"/>
    <n v="21197"/>
    <n v="11936"/>
    <n v="40420"/>
    <n v="9210"/>
    <n v="17795"/>
    <n v="21197"/>
    <n v="11936"/>
    <n v="40420"/>
    <n v="9210"/>
    <n v="17795"/>
    <n v="6915"/>
    <n v="0"/>
    <x v="1"/>
    <n v="-10460"/>
    <x v="3"/>
  </r>
  <r>
    <x v="929"/>
    <n v="200000"/>
    <x v="1"/>
    <x v="1"/>
    <x v="1"/>
    <x v="0"/>
    <n v="34"/>
    <x v="1"/>
    <x v="3"/>
    <x v="3"/>
    <x v="3"/>
    <x v="2"/>
    <x v="0"/>
    <x v="0"/>
    <n v="1242"/>
    <n v="4006"/>
    <n v="941"/>
    <n v="2357"/>
    <n v="2945"/>
    <n v="1143"/>
    <n v="4034"/>
    <n v="945"/>
    <n v="2366"/>
    <n v="2947"/>
    <n v="1143"/>
    <n v="744"/>
    <n v="0"/>
    <x v="1"/>
    <n v="-2792"/>
    <x v="3"/>
  </r>
  <r>
    <x v="930"/>
    <n v="260000"/>
    <x v="1"/>
    <x v="0"/>
    <x v="0"/>
    <x v="1"/>
    <n v="24"/>
    <x v="0"/>
    <x v="2"/>
    <x v="1"/>
    <x v="1"/>
    <x v="1"/>
    <x v="1"/>
    <x v="2"/>
    <n v="68411"/>
    <n v="60386"/>
    <n v="48663"/>
    <n v="50998"/>
    <n v="53835"/>
    <n v="56728"/>
    <n v="2500"/>
    <n v="4000"/>
    <n v="4000"/>
    <n v="3835"/>
    <n v="3805"/>
    <n v="3000"/>
    <n v="0"/>
    <x v="1"/>
    <n v="65911"/>
    <x v="1"/>
  </r>
  <r>
    <x v="931"/>
    <n v="320000"/>
    <x v="2"/>
    <x v="1"/>
    <x v="1"/>
    <x v="0"/>
    <n v="60"/>
    <x v="2"/>
    <x v="1"/>
    <x v="2"/>
    <x v="0"/>
    <x v="0"/>
    <x v="1"/>
    <x v="3"/>
    <n v="9955"/>
    <n v="3465"/>
    <n v="84421"/>
    <n v="886"/>
    <n v="11741"/>
    <n v="4317"/>
    <n v="3465"/>
    <n v="84440"/>
    <n v="886"/>
    <n v="11533"/>
    <n v="4317"/>
    <n v="52466"/>
    <n v="1"/>
    <x v="0"/>
    <n v="6490"/>
    <x v="0"/>
  </r>
  <r>
    <x v="932"/>
    <n v="160000"/>
    <x v="1"/>
    <x v="0"/>
    <x v="0"/>
    <x v="1"/>
    <n v="29"/>
    <x v="0"/>
    <x v="0"/>
    <x v="0"/>
    <x v="0"/>
    <x v="0"/>
    <x v="2"/>
    <x v="3"/>
    <n v="1989"/>
    <n v="-8"/>
    <n v="866"/>
    <n v="0"/>
    <n v="892"/>
    <n v="0"/>
    <n v="0"/>
    <n v="874"/>
    <n v="0"/>
    <n v="892"/>
    <n v="0"/>
    <n v="594"/>
    <n v="1"/>
    <x v="0"/>
    <n v="1989"/>
    <x v="0"/>
  </r>
  <r>
    <x v="933"/>
    <n v="30000"/>
    <x v="0"/>
    <x v="1"/>
    <x v="0"/>
    <x v="1"/>
    <n v="32"/>
    <x v="1"/>
    <x v="0"/>
    <x v="1"/>
    <x v="1"/>
    <x v="3"/>
    <x v="3"/>
    <x v="1"/>
    <n v="7851"/>
    <n v="9065"/>
    <n v="11595"/>
    <n v="11112"/>
    <n v="12923"/>
    <n v="12566"/>
    <n v="1500"/>
    <n v="3000"/>
    <n v="0"/>
    <n v="2000"/>
    <n v="0"/>
    <n v="1000"/>
    <n v="1"/>
    <x v="0"/>
    <n v="6351"/>
    <x v="0"/>
  </r>
  <r>
    <x v="934"/>
    <n v="50000"/>
    <x v="0"/>
    <x v="0"/>
    <x v="0"/>
    <x v="0"/>
    <n v="36"/>
    <x v="1"/>
    <x v="2"/>
    <x v="1"/>
    <x v="1"/>
    <x v="1"/>
    <x v="1"/>
    <x v="2"/>
    <n v="16906"/>
    <n v="17645"/>
    <n v="18478"/>
    <n v="10279"/>
    <n v="10646"/>
    <n v="10776"/>
    <n v="1314"/>
    <n v="1147"/>
    <n v="348"/>
    <n v="512"/>
    <n v="435"/>
    <n v="190"/>
    <n v="0"/>
    <x v="1"/>
    <n v="15592"/>
    <x v="0"/>
  </r>
  <r>
    <x v="935"/>
    <n v="50000"/>
    <x v="0"/>
    <x v="1"/>
    <x v="0"/>
    <x v="1"/>
    <n v="30"/>
    <x v="1"/>
    <x v="2"/>
    <x v="1"/>
    <x v="1"/>
    <x v="1"/>
    <x v="0"/>
    <x v="0"/>
    <n v="21062"/>
    <n v="6495"/>
    <n v="2207"/>
    <n v="0"/>
    <n v="0"/>
    <n v="0"/>
    <n v="2000"/>
    <n v="1000"/>
    <n v="0"/>
    <n v="0"/>
    <n v="0"/>
    <n v="0"/>
    <n v="0"/>
    <x v="1"/>
    <n v="19062"/>
    <x v="0"/>
  </r>
  <r>
    <x v="936"/>
    <n v="90000"/>
    <x v="0"/>
    <x v="0"/>
    <x v="0"/>
    <x v="1"/>
    <n v="29"/>
    <x v="0"/>
    <x v="2"/>
    <x v="1"/>
    <x v="1"/>
    <x v="1"/>
    <x v="1"/>
    <x v="2"/>
    <n v="47585"/>
    <n v="52084"/>
    <n v="53817"/>
    <n v="54818"/>
    <n v="55985"/>
    <n v="57398"/>
    <n v="10000"/>
    <n v="2600"/>
    <n v="2500"/>
    <n v="2200"/>
    <n v="2500"/>
    <n v="3000"/>
    <n v="0"/>
    <x v="1"/>
    <n v="37585"/>
    <x v="1"/>
  </r>
  <r>
    <x v="937"/>
    <n v="240000"/>
    <x v="1"/>
    <x v="1"/>
    <x v="1"/>
    <x v="1"/>
    <n v="34"/>
    <x v="1"/>
    <x v="4"/>
    <x v="0"/>
    <x v="0"/>
    <x v="0"/>
    <x v="1"/>
    <x v="3"/>
    <n v="11874"/>
    <n v="5979"/>
    <n v="6938"/>
    <n v="41858"/>
    <n v="10416"/>
    <n v="1711"/>
    <n v="0"/>
    <n v="6938"/>
    <n v="41877"/>
    <n v="0"/>
    <n v="1711"/>
    <n v="27162"/>
    <n v="0"/>
    <x v="1"/>
    <n v="11874"/>
    <x v="0"/>
  </r>
  <r>
    <x v="938"/>
    <n v="180000"/>
    <x v="1"/>
    <x v="0"/>
    <x v="0"/>
    <x v="0"/>
    <n v="32"/>
    <x v="1"/>
    <x v="4"/>
    <x v="0"/>
    <x v="2"/>
    <x v="3"/>
    <x v="1"/>
    <x v="2"/>
    <n v="15548"/>
    <n v="15009"/>
    <n v="17752"/>
    <n v="17172"/>
    <n v="18732"/>
    <n v="23389"/>
    <n v="0"/>
    <n v="3000"/>
    <n v="0"/>
    <n v="2000"/>
    <n v="5000"/>
    <n v="2000"/>
    <n v="1"/>
    <x v="0"/>
    <n v="15548"/>
    <x v="0"/>
  </r>
  <r>
    <x v="939"/>
    <n v="200000"/>
    <x v="1"/>
    <x v="0"/>
    <x v="0"/>
    <x v="0"/>
    <n v="32"/>
    <x v="1"/>
    <x v="1"/>
    <x v="2"/>
    <x v="0"/>
    <x v="0"/>
    <x v="2"/>
    <x v="3"/>
    <n v="5150"/>
    <n v="10190"/>
    <n v="10190"/>
    <n v="10190"/>
    <n v="10594"/>
    <n v="11193"/>
    <n v="10190"/>
    <n v="10190"/>
    <n v="10190"/>
    <n v="10594"/>
    <n v="11193"/>
    <n v="10190"/>
    <n v="0"/>
    <x v="1"/>
    <n v="-5040"/>
    <x v="3"/>
  </r>
  <r>
    <x v="940"/>
    <n v="50000"/>
    <x v="0"/>
    <x v="0"/>
    <x v="1"/>
    <x v="1"/>
    <n v="25"/>
    <x v="0"/>
    <x v="2"/>
    <x v="1"/>
    <x v="1"/>
    <x v="1"/>
    <x v="1"/>
    <x v="1"/>
    <n v="42543"/>
    <n v="34629"/>
    <n v="27095"/>
    <n v="18538"/>
    <n v="20100"/>
    <n v="19630"/>
    <n v="1900"/>
    <n v="1428"/>
    <n v="600"/>
    <n v="3000"/>
    <n v="0"/>
    <n v="1000"/>
    <n v="0"/>
    <x v="1"/>
    <n v="40643"/>
    <x v="1"/>
  </r>
  <r>
    <x v="941"/>
    <n v="50000"/>
    <x v="0"/>
    <x v="1"/>
    <x v="0"/>
    <x v="0"/>
    <n v="44"/>
    <x v="3"/>
    <x v="1"/>
    <x v="2"/>
    <x v="0"/>
    <x v="0"/>
    <x v="2"/>
    <x v="3"/>
    <n v="1261"/>
    <n v="1261"/>
    <n v="1261"/>
    <n v="1261"/>
    <n v="1261"/>
    <n v="1261"/>
    <n v="1261"/>
    <n v="1261"/>
    <n v="1261"/>
    <n v="1261"/>
    <n v="1261"/>
    <n v="1261"/>
    <n v="0"/>
    <x v="1"/>
    <n v="0"/>
    <x v="3"/>
  </r>
  <r>
    <x v="942"/>
    <n v="330000"/>
    <x v="2"/>
    <x v="0"/>
    <x v="1"/>
    <x v="0"/>
    <n v="37"/>
    <x v="1"/>
    <x v="1"/>
    <x v="2"/>
    <x v="0"/>
    <x v="0"/>
    <x v="1"/>
    <x v="3"/>
    <n v="4785"/>
    <n v="3403"/>
    <n v="0"/>
    <n v="5882"/>
    <n v="5882"/>
    <n v="1013"/>
    <n v="3523"/>
    <n v="0"/>
    <n v="5882"/>
    <n v="0"/>
    <n v="1013"/>
    <n v="0"/>
    <n v="0"/>
    <x v="1"/>
    <n v="1262"/>
    <x v="0"/>
  </r>
  <r>
    <x v="943"/>
    <n v="80000"/>
    <x v="0"/>
    <x v="0"/>
    <x v="0"/>
    <x v="1"/>
    <n v="24"/>
    <x v="0"/>
    <x v="0"/>
    <x v="0"/>
    <x v="9"/>
    <x v="6"/>
    <x v="6"/>
    <x v="4"/>
    <n v="1200"/>
    <n v="1200"/>
    <n v="1200"/>
    <n v="1200"/>
    <n v="600"/>
    <n v="300"/>
    <n v="0"/>
    <n v="0"/>
    <n v="0"/>
    <n v="0"/>
    <n v="0"/>
    <n v="0"/>
    <n v="1"/>
    <x v="0"/>
    <n v="1200"/>
    <x v="0"/>
  </r>
  <r>
    <x v="944"/>
    <n v="50000"/>
    <x v="0"/>
    <x v="0"/>
    <x v="0"/>
    <x v="1"/>
    <n v="23"/>
    <x v="0"/>
    <x v="3"/>
    <x v="3"/>
    <x v="3"/>
    <x v="2"/>
    <x v="0"/>
    <x v="0"/>
    <n v="3779"/>
    <n v="3944"/>
    <n v="2118"/>
    <n v="2259"/>
    <n v="3527"/>
    <n v="1100"/>
    <n v="3955"/>
    <n v="2124"/>
    <n v="2266"/>
    <n v="3638"/>
    <n v="1303"/>
    <n v="0"/>
    <n v="0"/>
    <x v="1"/>
    <n v="-176"/>
    <x v="3"/>
  </r>
  <r>
    <x v="945"/>
    <n v="360000"/>
    <x v="2"/>
    <x v="0"/>
    <x v="1"/>
    <x v="1"/>
    <n v="29"/>
    <x v="0"/>
    <x v="2"/>
    <x v="1"/>
    <x v="0"/>
    <x v="0"/>
    <x v="2"/>
    <x v="3"/>
    <n v="15854"/>
    <n v="8174"/>
    <n v="1004"/>
    <n v="1004"/>
    <n v="646"/>
    <n v="3508"/>
    <n v="1000"/>
    <n v="1004"/>
    <n v="1004"/>
    <n v="646"/>
    <n v="3508"/>
    <n v="0"/>
    <n v="0"/>
    <x v="1"/>
    <n v="14854"/>
    <x v="0"/>
  </r>
  <r>
    <x v="946"/>
    <n v="240000"/>
    <x v="1"/>
    <x v="0"/>
    <x v="0"/>
    <x v="0"/>
    <n v="37"/>
    <x v="1"/>
    <x v="2"/>
    <x v="1"/>
    <x v="1"/>
    <x v="1"/>
    <x v="1"/>
    <x v="2"/>
    <n v="219099"/>
    <n v="217058"/>
    <n v="187841"/>
    <n v="186140"/>
    <n v="191678"/>
    <n v="191816"/>
    <n v="8131"/>
    <n v="8123"/>
    <n v="6700"/>
    <n v="10000"/>
    <n v="7700"/>
    <n v="6000"/>
    <n v="0"/>
    <x v="1"/>
    <n v="210968"/>
    <x v="2"/>
  </r>
  <r>
    <x v="947"/>
    <n v="50000"/>
    <x v="0"/>
    <x v="1"/>
    <x v="0"/>
    <x v="0"/>
    <n v="59"/>
    <x v="2"/>
    <x v="2"/>
    <x v="1"/>
    <x v="1"/>
    <x v="1"/>
    <x v="1"/>
    <x v="2"/>
    <n v="47069"/>
    <n v="48479"/>
    <n v="49520"/>
    <n v="18990"/>
    <n v="19539"/>
    <n v="19791"/>
    <n v="2169"/>
    <n v="2210"/>
    <n v="680"/>
    <n v="855"/>
    <n v="726"/>
    <n v="687"/>
    <n v="0"/>
    <x v="1"/>
    <n v="44900"/>
    <x v="1"/>
  </r>
  <r>
    <x v="948"/>
    <n v="470000"/>
    <x v="2"/>
    <x v="1"/>
    <x v="0"/>
    <x v="1"/>
    <n v="33"/>
    <x v="1"/>
    <x v="2"/>
    <x v="1"/>
    <x v="1"/>
    <x v="1"/>
    <x v="1"/>
    <x v="2"/>
    <n v="190258"/>
    <n v="181207"/>
    <n v="120318"/>
    <n v="129281"/>
    <n v="113437"/>
    <n v="164377"/>
    <n v="40012"/>
    <n v="10020"/>
    <n v="40069"/>
    <n v="25005"/>
    <n v="100000"/>
    <n v="51305"/>
    <n v="0"/>
    <x v="1"/>
    <n v="150246"/>
    <x v="2"/>
  </r>
  <r>
    <x v="949"/>
    <n v="160000"/>
    <x v="1"/>
    <x v="0"/>
    <x v="2"/>
    <x v="0"/>
    <n v="51"/>
    <x v="2"/>
    <x v="1"/>
    <x v="0"/>
    <x v="0"/>
    <x v="0"/>
    <x v="2"/>
    <x v="3"/>
    <n v="2000"/>
    <n v="1000"/>
    <n v="2125"/>
    <n v="2125"/>
    <n v="1000"/>
    <n v="2125"/>
    <n v="0"/>
    <n v="2125"/>
    <n v="2125"/>
    <n v="1000"/>
    <n v="2125"/>
    <n v="23250"/>
    <n v="0"/>
    <x v="1"/>
    <n v="2000"/>
    <x v="0"/>
  </r>
  <r>
    <x v="950"/>
    <n v="30000"/>
    <x v="0"/>
    <x v="1"/>
    <x v="1"/>
    <x v="0"/>
    <n v="27"/>
    <x v="0"/>
    <x v="1"/>
    <x v="1"/>
    <x v="1"/>
    <x v="1"/>
    <x v="1"/>
    <x v="0"/>
    <n v="12897"/>
    <n v="13484"/>
    <n v="6655"/>
    <n v="6618"/>
    <n v="0"/>
    <n v="0"/>
    <n v="2011"/>
    <n v="2211"/>
    <n v="2101"/>
    <n v="148"/>
    <n v="0"/>
    <n v="0"/>
    <n v="1"/>
    <x v="0"/>
    <n v="10886"/>
    <x v="0"/>
  </r>
  <r>
    <x v="951"/>
    <n v="80000"/>
    <x v="0"/>
    <x v="0"/>
    <x v="0"/>
    <x v="0"/>
    <n v="32"/>
    <x v="1"/>
    <x v="2"/>
    <x v="1"/>
    <x v="1"/>
    <x v="1"/>
    <x v="1"/>
    <x v="2"/>
    <n v="81074"/>
    <n v="78262"/>
    <n v="76163"/>
    <n v="76813"/>
    <n v="77511"/>
    <n v="79069"/>
    <n v="3700"/>
    <n v="3400"/>
    <n v="2900"/>
    <n v="2900"/>
    <n v="2841"/>
    <n v="3100"/>
    <n v="0"/>
    <x v="1"/>
    <n v="77374"/>
    <x v="1"/>
  </r>
  <r>
    <x v="952"/>
    <n v="500000"/>
    <x v="2"/>
    <x v="0"/>
    <x v="2"/>
    <x v="1"/>
    <n v="42"/>
    <x v="3"/>
    <x v="3"/>
    <x v="2"/>
    <x v="0"/>
    <x v="1"/>
    <x v="1"/>
    <x v="2"/>
    <n v="10889"/>
    <n v="26146"/>
    <n v="104279"/>
    <n v="103945"/>
    <n v="101945"/>
    <n v="90193"/>
    <n v="29987"/>
    <n v="104279"/>
    <n v="2085"/>
    <n v="1130"/>
    <n v="45551"/>
    <n v="0"/>
    <n v="0"/>
    <x v="1"/>
    <n v="-19098"/>
    <x v="3"/>
  </r>
  <r>
    <x v="953"/>
    <n v="180000"/>
    <x v="1"/>
    <x v="1"/>
    <x v="0"/>
    <x v="1"/>
    <n v="39"/>
    <x v="1"/>
    <x v="1"/>
    <x v="2"/>
    <x v="0"/>
    <x v="0"/>
    <x v="2"/>
    <x v="2"/>
    <n v="3135"/>
    <n v="2822"/>
    <n v="1938"/>
    <n v="5818"/>
    <n v="2628"/>
    <n v="2628"/>
    <n v="2833"/>
    <n v="2015"/>
    <n v="5818"/>
    <n v="2628"/>
    <n v="0"/>
    <n v="0"/>
    <n v="0"/>
    <x v="1"/>
    <n v="302"/>
    <x v="0"/>
  </r>
  <r>
    <x v="954"/>
    <n v="110000"/>
    <x v="1"/>
    <x v="0"/>
    <x v="0"/>
    <x v="0"/>
    <n v="46"/>
    <x v="3"/>
    <x v="1"/>
    <x v="2"/>
    <x v="0"/>
    <x v="0"/>
    <x v="2"/>
    <x v="2"/>
    <n v="2410"/>
    <n v="2151"/>
    <n v="2161"/>
    <n v="1719"/>
    <n v="107591"/>
    <n v="107940"/>
    <n v="2151"/>
    <n v="2161"/>
    <n v="1719"/>
    <n v="107591"/>
    <n v="5000"/>
    <n v="3500"/>
    <n v="0"/>
    <x v="1"/>
    <n v="259"/>
    <x v="0"/>
  </r>
  <r>
    <x v="955"/>
    <n v="160000"/>
    <x v="1"/>
    <x v="1"/>
    <x v="1"/>
    <x v="0"/>
    <n v="41"/>
    <x v="3"/>
    <x v="2"/>
    <x v="2"/>
    <x v="1"/>
    <x v="1"/>
    <x v="3"/>
    <x v="1"/>
    <n v="117126"/>
    <n v="11222"/>
    <n v="15513"/>
    <n v="18087"/>
    <n v="17499"/>
    <n v="19939"/>
    <n v="15315"/>
    <n v="15000"/>
    <n v="3000"/>
    <n v="0"/>
    <n v="3000"/>
    <n v="0"/>
    <n v="0"/>
    <x v="1"/>
    <n v="101811"/>
    <x v="2"/>
  </r>
  <r>
    <x v="956"/>
    <n v="210000"/>
    <x v="1"/>
    <x v="0"/>
    <x v="0"/>
    <x v="1"/>
    <n v="30"/>
    <x v="1"/>
    <x v="2"/>
    <x v="1"/>
    <x v="1"/>
    <x v="1"/>
    <x v="1"/>
    <x v="2"/>
    <n v="21780"/>
    <n v="20974"/>
    <n v="18652"/>
    <n v="13464"/>
    <n v="109722"/>
    <n v="105573"/>
    <n v="1325"/>
    <n v="1074"/>
    <n v="1000"/>
    <n v="99000"/>
    <n v="3745"/>
    <n v="4000"/>
    <n v="0"/>
    <x v="1"/>
    <n v="20455"/>
    <x v="0"/>
  </r>
  <r>
    <x v="957"/>
    <n v="200000"/>
    <x v="1"/>
    <x v="0"/>
    <x v="1"/>
    <x v="0"/>
    <n v="34"/>
    <x v="1"/>
    <x v="1"/>
    <x v="1"/>
    <x v="1"/>
    <x v="0"/>
    <x v="1"/>
    <x v="3"/>
    <n v="6206"/>
    <n v="6723"/>
    <n v="7545"/>
    <n v="362"/>
    <n v="181"/>
    <n v="488"/>
    <n v="1120"/>
    <n v="1024"/>
    <n v="362"/>
    <n v="0"/>
    <n v="488"/>
    <n v="300"/>
    <n v="1"/>
    <x v="0"/>
    <n v="5086"/>
    <x v="0"/>
  </r>
  <r>
    <x v="958"/>
    <n v="350000"/>
    <x v="2"/>
    <x v="1"/>
    <x v="1"/>
    <x v="1"/>
    <n v="35"/>
    <x v="1"/>
    <x v="1"/>
    <x v="2"/>
    <x v="0"/>
    <x v="1"/>
    <x v="1"/>
    <x v="2"/>
    <n v="4439"/>
    <n v="33720"/>
    <n v="14283"/>
    <n v="16426"/>
    <n v="10833"/>
    <n v="2261"/>
    <n v="33891"/>
    <n v="16267"/>
    <n v="4027"/>
    <n v="234"/>
    <n v="1565"/>
    <n v="26346"/>
    <n v="0"/>
    <x v="1"/>
    <n v="-29452"/>
    <x v="3"/>
  </r>
  <r>
    <x v="959"/>
    <n v="250000"/>
    <x v="1"/>
    <x v="1"/>
    <x v="1"/>
    <x v="1"/>
    <n v="41"/>
    <x v="3"/>
    <x v="1"/>
    <x v="2"/>
    <x v="0"/>
    <x v="1"/>
    <x v="2"/>
    <x v="3"/>
    <n v="1338"/>
    <n v="-24"/>
    <n v="8324"/>
    <n v="5872"/>
    <n v="23020"/>
    <n v="2367"/>
    <n v="0"/>
    <n v="8348"/>
    <n v="0"/>
    <n v="23020"/>
    <n v="2367"/>
    <n v="3117"/>
    <n v="1"/>
    <x v="0"/>
    <n v="1338"/>
    <x v="0"/>
  </r>
  <r>
    <x v="960"/>
    <n v="380000"/>
    <x v="2"/>
    <x v="1"/>
    <x v="1"/>
    <x v="1"/>
    <n v="43"/>
    <x v="3"/>
    <x v="4"/>
    <x v="0"/>
    <x v="2"/>
    <x v="2"/>
    <x v="0"/>
    <x v="0"/>
    <n v="8201"/>
    <n v="7882"/>
    <n v="-2"/>
    <n v="-2"/>
    <n v="-2"/>
    <n v="-2"/>
    <n v="39"/>
    <n v="0"/>
    <n v="0"/>
    <n v="0"/>
    <n v="0"/>
    <n v="0"/>
    <n v="1"/>
    <x v="0"/>
    <n v="8162"/>
    <x v="0"/>
  </r>
  <r>
    <x v="961"/>
    <n v="30000"/>
    <x v="0"/>
    <x v="1"/>
    <x v="0"/>
    <x v="1"/>
    <n v="47"/>
    <x v="3"/>
    <x v="1"/>
    <x v="2"/>
    <x v="0"/>
    <x v="0"/>
    <x v="1"/>
    <x v="3"/>
    <n v="396"/>
    <n v="396"/>
    <n v="396"/>
    <n v="792"/>
    <n v="396"/>
    <n v="772"/>
    <n v="396"/>
    <n v="396"/>
    <n v="792"/>
    <n v="0"/>
    <n v="772"/>
    <n v="0"/>
    <n v="0"/>
    <x v="1"/>
    <n v="0"/>
    <x v="3"/>
  </r>
  <r>
    <x v="962"/>
    <n v="200000"/>
    <x v="1"/>
    <x v="1"/>
    <x v="0"/>
    <x v="1"/>
    <n v="31"/>
    <x v="1"/>
    <x v="2"/>
    <x v="1"/>
    <x v="1"/>
    <x v="1"/>
    <x v="1"/>
    <x v="2"/>
    <n v="33781"/>
    <n v="35879"/>
    <n v="26043"/>
    <n v="27497"/>
    <n v="29082"/>
    <n v="31647"/>
    <n v="3000"/>
    <n v="2000"/>
    <n v="2000"/>
    <n v="2000"/>
    <n v="3000"/>
    <n v="4000"/>
    <n v="0"/>
    <x v="1"/>
    <n v="30781"/>
    <x v="1"/>
  </r>
  <r>
    <x v="963"/>
    <n v="30000"/>
    <x v="0"/>
    <x v="1"/>
    <x v="0"/>
    <x v="1"/>
    <n v="30"/>
    <x v="1"/>
    <x v="1"/>
    <x v="1"/>
    <x v="1"/>
    <x v="1"/>
    <x v="1"/>
    <x v="2"/>
    <n v="27826"/>
    <n v="28672"/>
    <n v="29622"/>
    <n v="30271"/>
    <n v="24536"/>
    <n v="22913"/>
    <n v="1600"/>
    <n v="1500"/>
    <n v="1000"/>
    <n v="1000"/>
    <n v="1000"/>
    <n v="1000"/>
    <n v="0"/>
    <x v="1"/>
    <n v="26226"/>
    <x v="1"/>
  </r>
  <r>
    <x v="964"/>
    <n v="50000"/>
    <x v="0"/>
    <x v="1"/>
    <x v="0"/>
    <x v="1"/>
    <n v="24"/>
    <x v="0"/>
    <x v="2"/>
    <x v="1"/>
    <x v="0"/>
    <x v="0"/>
    <x v="1"/>
    <x v="2"/>
    <n v="14937"/>
    <n v="12171"/>
    <n v="3847"/>
    <n v="11117"/>
    <n v="6479"/>
    <n v="6187"/>
    <n v="3027"/>
    <n v="3858"/>
    <n v="11139"/>
    <n v="3009"/>
    <n v="3016"/>
    <n v="3008"/>
    <n v="0"/>
    <x v="1"/>
    <n v="11910"/>
    <x v="0"/>
  </r>
  <r>
    <x v="965"/>
    <n v="500000"/>
    <x v="2"/>
    <x v="1"/>
    <x v="1"/>
    <x v="0"/>
    <n v="36"/>
    <x v="1"/>
    <x v="2"/>
    <x v="1"/>
    <x v="1"/>
    <x v="1"/>
    <x v="1"/>
    <x v="2"/>
    <n v="294827"/>
    <n v="292920"/>
    <n v="291760"/>
    <n v="288024"/>
    <n v="274632"/>
    <n v="266669"/>
    <n v="20007"/>
    <n v="20026"/>
    <n v="20020"/>
    <n v="10017"/>
    <n v="15024"/>
    <n v="10002"/>
    <n v="0"/>
    <x v="1"/>
    <n v="274820"/>
    <x v="2"/>
  </r>
  <r>
    <x v="966"/>
    <n v="30000"/>
    <x v="0"/>
    <x v="1"/>
    <x v="1"/>
    <x v="1"/>
    <n v="28"/>
    <x v="0"/>
    <x v="4"/>
    <x v="3"/>
    <x v="0"/>
    <x v="0"/>
    <x v="2"/>
    <x v="0"/>
    <n v="0"/>
    <n v="0"/>
    <n v="1310"/>
    <n v="816"/>
    <n v="0"/>
    <n v="0"/>
    <n v="0"/>
    <n v="1310"/>
    <n v="816"/>
    <n v="0"/>
    <n v="0"/>
    <n v="0"/>
    <n v="0"/>
    <x v="1"/>
    <n v="0"/>
    <x v="3"/>
  </r>
  <r>
    <x v="967"/>
    <n v="220000"/>
    <x v="1"/>
    <x v="0"/>
    <x v="1"/>
    <x v="0"/>
    <n v="36"/>
    <x v="1"/>
    <x v="1"/>
    <x v="2"/>
    <x v="1"/>
    <x v="0"/>
    <x v="2"/>
    <x v="3"/>
    <n v="996"/>
    <n v="4102"/>
    <n v="4111"/>
    <n v="1057"/>
    <n v="990"/>
    <n v="1324"/>
    <n v="4102"/>
    <n v="1111"/>
    <n v="1057"/>
    <n v="990"/>
    <n v="1324"/>
    <n v="1039"/>
    <n v="0"/>
    <x v="1"/>
    <n v="-3106"/>
    <x v="3"/>
  </r>
  <r>
    <x v="968"/>
    <n v="20000"/>
    <x v="0"/>
    <x v="0"/>
    <x v="0"/>
    <x v="0"/>
    <n v="27"/>
    <x v="0"/>
    <x v="2"/>
    <x v="1"/>
    <x v="1"/>
    <x v="0"/>
    <x v="1"/>
    <x v="2"/>
    <n v="42784"/>
    <n v="41009"/>
    <n v="44267"/>
    <n v="47149"/>
    <n v="48497"/>
    <n v="14774"/>
    <n v="3000"/>
    <n v="5000"/>
    <n v="10000"/>
    <n v="3011"/>
    <n v="2011"/>
    <n v="2011"/>
    <n v="0"/>
    <x v="1"/>
    <n v="39784"/>
    <x v="1"/>
  </r>
  <r>
    <x v="969"/>
    <n v="180000"/>
    <x v="1"/>
    <x v="0"/>
    <x v="0"/>
    <x v="0"/>
    <n v="32"/>
    <x v="1"/>
    <x v="2"/>
    <x v="1"/>
    <x v="1"/>
    <x v="1"/>
    <x v="2"/>
    <x v="3"/>
    <n v="74189"/>
    <n v="30670"/>
    <n v="6428"/>
    <n v="4618"/>
    <n v="2708"/>
    <n v="54024"/>
    <n v="2000"/>
    <n v="1000"/>
    <n v="0"/>
    <n v="2708"/>
    <n v="54024"/>
    <n v="2000"/>
    <n v="0"/>
    <x v="1"/>
    <n v="72189"/>
    <x v="1"/>
  </r>
  <r>
    <x v="970"/>
    <n v="300000"/>
    <x v="1"/>
    <x v="1"/>
    <x v="1"/>
    <x v="0"/>
    <n v="42"/>
    <x v="3"/>
    <x v="1"/>
    <x v="1"/>
    <x v="1"/>
    <x v="0"/>
    <x v="1"/>
    <x v="2"/>
    <n v="11973"/>
    <n v="61834"/>
    <n v="25145"/>
    <n v="37666"/>
    <n v="19453"/>
    <n v="10492"/>
    <n v="20979"/>
    <n v="5000"/>
    <n v="37676"/>
    <n v="8808"/>
    <n v="2000"/>
    <n v="2709"/>
    <n v="1"/>
    <x v="0"/>
    <n v="-9006"/>
    <x v="3"/>
  </r>
  <r>
    <x v="971"/>
    <n v="130000"/>
    <x v="1"/>
    <x v="0"/>
    <x v="0"/>
    <x v="0"/>
    <n v="33"/>
    <x v="1"/>
    <x v="2"/>
    <x v="1"/>
    <x v="1"/>
    <x v="1"/>
    <x v="1"/>
    <x v="2"/>
    <n v="133461"/>
    <n v="133393"/>
    <n v="132211"/>
    <n v="101807"/>
    <n v="101083"/>
    <n v="101597"/>
    <n v="7010"/>
    <n v="6657"/>
    <n v="3899"/>
    <n v="3952"/>
    <n v="3900"/>
    <n v="4000"/>
    <n v="0"/>
    <x v="1"/>
    <n v="126451"/>
    <x v="2"/>
  </r>
  <r>
    <x v="972"/>
    <n v="180000"/>
    <x v="1"/>
    <x v="0"/>
    <x v="2"/>
    <x v="0"/>
    <n v="39"/>
    <x v="1"/>
    <x v="0"/>
    <x v="0"/>
    <x v="2"/>
    <x v="3"/>
    <x v="3"/>
    <x v="2"/>
    <n v="10159"/>
    <n v="12689"/>
    <n v="12183"/>
    <n v="13979"/>
    <n v="13621"/>
    <n v="14809"/>
    <n v="2710"/>
    <n v="0"/>
    <n v="2000"/>
    <n v="0"/>
    <n v="2000"/>
    <n v="2000"/>
    <n v="1"/>
    <x v="0"/>
    <n v="7449"/>
    <x v="0"/>
  </r>
  <r>
    <x v="973"/>
    <n v="150000"/>
    <x v="1"/>
    <x v="0"/>
    <x v="1"/>
    <x v="2"/>
    <n v="30"/>
    <x v="1"/>
    <x v="3"/>
    <x v="3"/>
    <x v="3"/>
    <x v="2"/>
    <x v="0"/>
    <x v="0"/>
    <n v="50"/>
    <n v="6527"/>
    <n v="2168"/>
    <n v="-7"/>
    <n v="1373"/>
    <n v="-1"/>
    <n v="8589"/>
    <n v="2500"/>
    <n v="0"/>
    <n v="1380"/>
    <n v="0"/>
    <n v="2050"/>
    <n v="0"/>
    <x v="1"/>
    <n v="-8539"/>
    <x v="3"/>
  </r>
  <r>
    <x v="974"/>
    <n v="140000"/>
    <x v="1"/>
    <x v="1"/>
    <x v="0"/>
    <x v="0"/>
    <n v="30"/>
    <x v="1"/>
    <x v="2"/>
    <x v="1"/>
    <x v="1"/>
    <x v="1"/>
    <x v="1"/>
    <x v="2"/>
    <n v="134203"/>
    <n v="127319"/>
    <n v="107496"/>
    <n v="69218"/>
    <n v="70702"/>
    <n v="72267"/>
    <n v="5000"/>
    <n v="3500"/>
    <n v="2700"/>
    <n v="2600"/>
    <n v="2742"/>
    <n v="2700"/>
    <n v="1"/>
    <x v="0"/>
    <n v="129203"/>
    <x v="2"/>
  </r>
  <r>
    <x v="975"/>
    <n v="50000"/>
    <x v="0"/>
    <x v="0"/>
    <x v="0"/>
    <x v="1"/>
    <n v="22"/>
    <x v="0"/>
    <x v="2"/>
    <x v="1"/>
    <x v="1"/>
    <x v="1"/>
    <x v="1"/>
    <x v="2"/>
    <n v="49609"/>
    <n v="61162"/>
    <n v="31485"/>
    <n v="15281"/>
    <n v="18031"/>
    <n v="18233"/>
    <n v="2100"/>
    <n v="2000"/>
    <n v="4000"/>
    <n v="3000"/>
    <n v="1500"/>
    <n v="1000"/>
    <n v="0"/>
    <x v="1"/>
    <n v="47509"/>
    <x v="1"/>
  </r>
  <r>
    <x v="976"/>
    <n v="20000"/>
    <x v="0"/>
    <x v="1"/>
    <x v="0"/>
    <x v="1"/>
    <n v="25"/>
    <x v="0"/>
    <x v="4"/>
    <x v="0"/>
    <x v="2"/>
    <x v="1"/>
    <x v="1"/>
    <x v="2"/>
    <n v="6174"/>
    <n v="7543"/>
    <n v="7255"/>
    <n v="3887"/>
    <n v="5887"/>
    <n v="0"/>
    <n v="2000"/>
    <n v="28"/>
    <n v="0"/>
    <n v="2000"/>
    <n v="0"/>
    <n v="0"/>
    <n v="1"/>
    <x v="0"/>
    <n v="4174"/>
    <x v="0"/>
  </r>
  <r>
    <x v="977"/>
    <n v="180000"/>
    <x v="1"/>
    <x v="1"/>
    <x v="1"/>
    <x v="1"/>
    <n v="28"/>
    <x v="0"/>
    <x v="1"/>
    <x v="2"/>
    <x v="0"/>
    <x v="0"/>
    <x v="2"/>
    <x v="3"/>
    <n v="666"/>
    <n v="662"/>
    <n v="-4"/>
    <n v="55566"/>
    <n v="1056"/>
    <n v="390"/>
    <n v="662"/>
    <n v="0"/>
    <n v="61411"/>
    <n v="1056"/>
    <n v="0"/>
    <n v="1998"/>
    <n v="0"/>
    <x v="1"/>
    <n v="4"/>
    <x v="0"/>
  </r>
  <r>
    <x v="978"/>
    <n v="180000"/>
    <x v="1"/>
    <x v="1"/>
    <x v="0"/>
    <x v="1"/>
    <n v="26"/>
    <x v="0"/>
    <x v="2"/>
    <x v="1"/>
    <x v="1"/>
    <x v="1"/>
    <x v="1"/>
    <x v="2"/>
    <n v="5591"/>
    <n v="6619"/>
    <n v="10574"/>
    <n v="7733"/>
    <n v="6794"/>
    <n v="5487"/>
    <n v="1126"/>
    <n v="4081"/>
    <n v="240"/>
    <n v="504"/>
    <n v="169"/>
    <n v="62"/>
    <n v="1"/>
    <x v="0"/>
    <n v="4465"/>
    <x v="0"/>
  </r>
  <r>
    <x v="979"/>
    <n v="150000"/>
    <x v="1"/>
    <x v="0"/>
    <x v="2"/>
    <x v="0"/>
    <n v="54"/>
    <x v="2"/>
    <x v="1"/>
    <x v="1"/>
    <x v="1"/>
    <x v="1"/>
    <x v="3"/>
    <x v="2"/>
    <n v="148747"/>
    <n v="145231"/>
    <n v="145341"/>
    <n v="153833"/>
    <n v="151194"/>
    <n v="145738"/>
    <n v="5500"/>
    <n v="5500"/>
    <n v="11000"/>
    <n v="0"/>
    <n v="6000"/>
    <n v="5215"/>
    <n v="0"/>
    <x v="1"/>
    <n v="143247"/>
    <x v="2"/>
  </r>
  <r>
    <x v="980"/>
    <n v="70000"/>
    <x v="0"/>
    <x v="0"/>
    <x v="1"/>
    <x v="1"/>
    <n v="24"/>
    <x v="0"/>
    <x v="2"/>
    <x v="1"/>
    <x v="1"/>
    <x v="1"/>
    <x v="1"/>
    <x v="2"/>
    <n v="63903"/>
    <n v="65248"/>
    <n v="62958"/>
    <n v="64209"/>
    <n v="59482"/>
    <n v="60883"/>
    <n v="3000"/>
    <n v="2190"/>
    <n v="2201"/>
    <n v="2181"/>
    <n v="2413"/>
    <n v="1952"/>
    <n v="0"/>
    <x v="1"/>
    <n v="60903"/>
    <x v="1"/>
  </r>
  <r>
    <x v="981"/>
    <n v="30000"/>
    <x v="0"/>
    <x v="1"/>
    <x v="0"/>
    <x v="1"/>
    <n v="29"/>
    <x v="0"/>
    <x v="7"/>
    <x v="6"/>
    <x v="6"/>
    <x v="6"/>
    <x v="6"/>
    <x v="4"/>
    <n v="34423"/>
    <n v="33952"/>
    <n v="33165"/>
    <n v="32391"/>
    <n v="31332"/>
    <n v="30558"/>
    <n v="0"/>
    <n v="0"/>
    <n v="0"/>
    <n v="0"/>
    <n v="0"/>
    <n v="0"/>
    <n v="0"/>
    <x v="1"/>
    <n v="34423"/>
    <x v="1"/>
  </r>
  <r>
    <x v="982"/>
    <n v="500000"/>
    <x v="2"/>
    <x v="1"/>
    <x v="1"/>
    <x v="1"/>
    <n v="36"/>
    <x v="1"/>
    <x v="3"/>
    <x v="3"/>
    <x v="3"/>
    <x v="2"/>
    <x v="0"/>
    <x v="0"/>
    <n v="45106"/>
    <n v="81264"/>
    <n v="18122"/>
    <n v="27229"/>
    <n v="21462"/>
    <n v="27911"/>
    <n v="81690"/>
    <n v="18225"/>
    <n v="27365"/>
    <n v="21570"/>
    <n v="28050"/>
    <n v="17397"/>
    <n v="1"/>
    <x v="0"/>
    <n v="-36584"/>
    <x v="3"/>
  </r>
  <r>
    <x v="983"/>
    <n v="60000"/>
    <x v="0"/>
    <x v="1"/>
    <x v="2"/>
    <x v="0"/>
    <n v="49"/>
    <x v="3"/>
    <x v="2"/>
    <x v="1"/>
    <x v="1"/>
    <x v="1"/>
    <x v="1"/>
    <x v="2"/>
    <n v="44801"/>
    <n v="41545"/>
    <n v="40649"/>
    <n v="40843"/>
    <n v="40612"/>
    <n v="40656"/>
    <n v="3000"/>
    <n v="4506"/>
    <n v="2500"/>
    <n v="1800"/>
    <n v="4200"/>
    <n v="2500"/>
    <n v="0"/>
    <x v="1"/>
    <n v="41801"/>
    <x v="1"/>
  </r>
  <r>
    <x v="984"/>
    <n v="50000"/>
    <x v="0"/>
    <x v="0"/>
    <x v="1"/>
    <x v="1"/>
    <n v="23"/>
    <x v="0"/>
    <x v="3"/>
    <x v="3"/>
    <x v="3"/>
    <x v="2"/>
    <x v="0"/>
    <x v="0"/>
    <n v="49860"/>
    <n v="50187"/>
    <n v="50022"/>
    <n v="20114"/>
    <n v="18777"/>
    <n v="18273"/>
    <n v="2500"/>
    <n v="1289"/>
    <n v="917"/>
    <n v="1315"/>
    <n v="5042"/>
    <n v="2512"/>
    <n v="0"/>
    <x v="1"/>
    <n v="47360"/>
    <x v="1"/>
  </r>
  <r>
    <x v="985"/>
    <n v="130000"/>
    <x v="1"/>
    <x v="1"/>
    <x v="2"/>
    <x v="1"/>
    <n v="43"/>
    <x v="3"/>
    <x v="4"/>
    <x v="2"/>
    <x v="0"/>
    <x v="2"/>
    <x v="2"/>
    <x v="3"/>
    <n v="1018"/>
    <n v="6377"/>
    <n v="-2"/>
    <n v="935"/>
    <n v="4985"/>
    <n v="1212"/>
    <n v="6433"/>
    <n v="2"/>
    <n v="937"/>
    <n v="4990"/>
    <n v="1215"/>
    <n v="9546"/>
    <n v="1"/>
    <x v="0"/>
    <n v="-5415"/>
    <x v="3"/>
  </r>
  <r>
    <x v="986"/>
    <n v="260000"/>
    <x v="1"/>
    <x v="0"/>
    <x v="0"/>
    <x v="0"/>
    <n v="33"/>
    <x v="1"/>
    <x v="3"/>
    <x v="3"/>
    <x v="3"/>
    <x v="0"/>
    <x v="2"/>
    <x v="2"/>
    <n v="134736"/>
    <n v="135593"/>
    <n v="120909"/>
    <n v="102524"/>
    <n v="40157"/>
    <n v="40805"/>
    <n v="6067"/>
    <n v="10000"/>
    <n v="3000"/>
    <n v="40157"/>
    <n v="1466"/>
    <n v="2000"/>
    <n v="0"/>
    <x v="1"/>
    <n v="128669"/>
    <x v="2"/>
  </r>
  <r>
    <x v="987"/>
    <n v="380000"/>
    <x v="2"/>
    <x v="1"/>
    <x v="2"/>
    <x v="0"/>
    <n v="53"/>
    <x v="2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988"/>
    <n v="360000"/>
    <x v="2"/>
    <x v="0"/>
    <x v="0"/>
    <x v="1"/>
    <n v="25"/>
    <x v="0"/>
    <x v="0"/>
    <x v="0"/>
    <x v="2"/>
    <x v="3"/>
    <x v="3"/>
    <x v="1"/>
    <n v="286732"/>
    <n v="290690"/>
    <n v="284059"/>
    <n v="294308"/>
    <n v="297916"/>
    <n v="279503"/>
    <n v="10792"/>
    <n v="0"/>
    <n v="15000"/>
    <n v="5800"/>
    <n v="0"/>
    <n v="126685"/>
    <n v="0"/>
    <x v="1"/>
    <n v="275940"/>
    <x v="2"/>
  </r>
  <r>
    <x v="989"/>
    <n v="50000"/>
    <x v="0"/>
    <x v="1"/>
    <x v="2"/>
    <x v="0"/>
    <n v="54"/>
    <x v="2"/>
    <x v="4"/>
    <x v="0"/>
    <x v="2"/>
    <x v="1"/>
    <x v="1"/>
    <x v="2"/>
    <n v="62847"/>
    <n v="60885"/>
    <n v="56828"/>
    <n v="55419"/>
    <n v="54054"/>
    <n v="53143"/>
    <n v="2100"/>
    <n v="0"/>
    <n v="2000"/>
    <n v="2000"/>
    <n v="2455"/>
    <n v="4000"/>
    <n v="0"/>
    <x v="1"/>
    <n v="60747"/>
    <x v="1"/>
  </r>
  <r>
    <x v="990"/>
    <n v="50000"/>
    <x v="0"/>
    <x v="0"/>
    <x v="2"/>
    <x v="0"/>
    <n v="39"/>
    <x v="1"/>
    <x v="2"/>
    <x v="1"/>
    <x v="2"/>
    <x v="0"/>
    <x v="1"/>
    <x v="2"/>
    <n v="58300"/>
    <n v="59727"/>
    <n v="142"/>
    <n v="29886"/>
    <n v="30510"/>
    <n v="31276"/>
    <n v="7876"/>
    <n v="161"/>
    <n v="74354"/>
    <n v="927"/>
    <n v="1089"/>
    <n v="9100"/>
    <n v="0"/>
    <x v="1"/>
    <n v="50424"/>
    <x v="1"/>
  </r>
  <r>
    <x v="991"/>
    <n v="260000"/>
    <x v="1"/>
    <x v="0"/>
    <x v="1"/>
    <x v="0"/>
    <n v="44"/>
    <x v="3"/>
    <x v="1"/>
    <x v="0"/>
    <x v="2"/>
    <x v="0"/>
    <x v="2"/>
    <x v="0"/>
    <n v="1215"/>
    <n v="856"/>
    <n v="291"/>
    <n v="803"/>
    <n v="98"/>
    <n v="431"/>
    <n v="0"/>
    <n v="291"/>
    <n v="803"/>
    <n v="98"/>
    <n v="431"/>
    <n v="1104"/>
    <n v="1"/>
    <x v="0"/>
    <n v="1215"/>
    <x v="0"/>
  </r>
  <r>
    <x v="992"/>
    <n v="80000"/>
    <x v="0"/>
    <x v="0"/>
    <x v="0"/>
    <x v="1"/>
    <n v="27"/>
    <x v="0"/>
    <x v="2"/>
    <x v="1"/>
    <x v="1"/>
    <x v="1"/>
    <x v="1"/>
    <x v="2"/>
    <n v="57376"/>
    <n v="58649"/>
    <n v="59873"/>
    <n v="61077"/>
    <n v="62394"/>
    <n v="63655"/>
    <n v="2200"/>
    <n v="2200"/>
    <n v="2200"/>
    <n v="2300"/>
    <n v="2300"/>
    <n v="2600"/>
    <n v="0"/>
    <x v="1"/>
    <n v="55176"/>
    <x v="1"/>
  </r>
  <r>
    <x v="993"/>
    <n v="360000"/>
    <x v="2"/>
    <x v="0"/>
    <x v="1"/>
    <x v="1"/>
    <n v="25"/>
    <x v="0"/>
    <x v="2"/>
    <x v="1"/>
    <x v="1"/>
    <x v="1"/>
    <x v="1"/>
    <x v="0"/>
    <n v="279846"/>
    <n v="169426"/>
    <n v="68810"/>
    <n v="12800"/>
    <n v="0"/>
    <n v="0"/>
    <n v="7004"/>
    <n v="1793"/>
    <n v="2757"/>
    <n v="0"/>
    <n v="0"/>
    <n v="0"/>
    <n v="1"/>
    <x v="0"/>
    <n v="272842"/>
    <x v="2"/>
  </r>
  <r>
    <x v="994"/>
    <n v="290000"/>
    <x v="1"/>
    <x v="0"/>
    <x v="1"/>
    <x v="1"/>
    <n v="29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995"/>
    <n v="200000"/>
    <x v="1"/>
    <x v="1"/>
    <x v="1"/>
    <x v="1"/>
    <n v="39"/>
    <x v="1"/>
    <x v="3"/>
    <x v="3"/>
    <x v="3"/>
    <x v="2"/>
    <x v="0"/>
    <x v="0"/>
    <n v="-200"/>
    <n v="-200"/>
    <n v="-200"/>
    <n v="0"/>
    <n v="60800"/>
    <n v="0"/>
    <n v="0"/>
    <n v="0"/>
    <n v="200"/>
    <n v="60800"/>
    <n v="0"/>
    <n v="0"/>
    <n v="0"/>
    <x v="1"/>
    <n v="-200"/>
    <x v="3"/>
  </r>
  <r>
    <x v="996"/>
    <n v="140000"/>
    <x v="1"/>
    <x v="1"/>
    <x v="1"/>
    <x v="0"/>
    <n v="45"/>
    <x v="3"/>
    <x v="2"/>
    <x v="1"/>
    <x v="1"/>
    <x v="1"/>
    <x v="3"/>
    <x v="1"/>
    <n v="39716"/>
    <n v="40799"/>
    <n v="41853"/>
    <n v="44452"/>
    <n v="45433"/>
    <n v="46383"/>
    <n v="1600"/>
    <n v="1600"/>
    <n v="3169"/>
    <n v="1700"/>
    <n v="1700"/>
    <n v="1495"/>
    <n v="0"/>
    <x v="1"/>
    <n v="38116"/>
    <x v="1"/>
  </r>
  <r>
    <x v="997"/>
    <n v="360000"/>
    <x v="2"/>
    <x v="1"/>
    <x v="1"/>
    <x v="0"/>
    <n v="38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998"/>
    <n v="50000"/>
    <x v="0"/>
    <x v="0"/>
    <x v="0"/>
    <x v="1"/>
    <n v="23"/>
    <x v="0"/>
    <x v="1"/>
    <x v="2"/>
    <x v="0"/>
    <x v="1"/>
    <x v="2"/>
    <x v="3"/>
    <n v="780"/>
    <n v="0"/>
    <n v="780"/>
    <n v="390"/>
    <n v="390"/>
    <n v="500"/>
    <n v="0"/>
    <n v="780"/>
    <n v="0"/>
    <n v="390"/>
    <n v="500"/>
    <n v="18300"/>
    <n v="1"/>
    <x v="0"/>
    <n v="780"/>
    <x v="0"/>
  </r>
  <r>
    <x v="999"/>
    <n v="120000"/>
    <x v="1"/>
    <x v="1"/>
    <x v="0"/>
    <x v="1"/>
    <n v="25"/>
    <x v="0"/>
    <x v="0"/>
    <x v="0"/>
    <x v="1"/>
    <x v="1"/>
    <x v="1"/>
    <x v="2"/>
    <n v="113348"/>
    <n v="110119"/>
    <n v="111700"/>
    <n v="83858"/>
    <n v="86434"/>
    <n v="88802"/>
    <n v="0"/>
    <n v="5000"/>
    <n v="3158"/>
    <n v="3934"/>
    <n v="3802"/>
    <n v="2000"/>
    <n v="0"/>
    <x v="1"/>
    <n v="113348"/>
    <x v="2"/>
  </r>
  <r>
    <x v="1000"/>
    <n v="100000"/>
    <x v="0"/>
    <x v="1"/>
    <x v="0"/>
    <x v="0"/>
    <n v="29"/>
    <x v="0"/>
    <x v="2"/>
    <x v="1"/>
    <x v="1"/>
    <x v="1"/>
    <x v="2"/>
    <x v="3"/>
    <n v="94453"/>
    <n v="95860"/>
    <n v="67782"/>
    <n v="-2618"/>
    <n v="95748"/>
    <n v="101299"/>
    <n v="3320"/>
    <n v="5000"/>
    <n v="0"/>
    <n v="100000"/>
    <n v="7186"/>
    <n v="0"/>
    <n v="0"/>
    <x v="1"/>
    <n v="91133"/>
    <x v="1"/>
  </r>
  <r>
    <x v="1001"/>
    <n v="200000"/>
    <x v="1"/>
    <x v="0"/>
    <x v="0"/>
    <x v="0"/>
    <n v="28"/>
    <x v="0"/>
    <x v="2"/>
    <x v="1"/>
    <x v="1"/>
    <x v="1"/>
    <x v="1"/>
    <x v="2"/>
    <n v="81865"/>
    <n v="86790"/>
    <n v="8441"/>
    <n v="97041"/>
    <n v="103541"/>
    <n v="3632"/>
    <n v="5000"/>
    <n v="2000"/>
    <n v="89000"/>
    <n v="6500"/>
    <n v="91"/>
    <n v="1504"/>
    <n v="0"/>
    <x v="1"/>
    <n v="76865"/>
    <x v="1"/>
  </r>
  <r>
    <x v="1002"/>
    <n v="90000"/>
    <x v="0"/>
    <x v="0"/>
    <x v="0"/>
    <x v="0"/>
    <n v="40"/>
    <x v="3"/>
    <x v="1"/>
    <x v="2"/>
    <x v="0"/>
    <x v="0"/>
    <x v="2"/>
    <x v="3"/>
    <n v="4989"/>
    <n v="-818"/>
    <n v="1114"/>
    <n v="657"/>
    <n v="1332"/>
    <n v="780"/>
    <n v="0"/>
    <n v="2806"/>
    <n v="2256"/>
    <n v="2274"/>
    <n v="780"/>
    <n v="0"/>
    <n v="0"/>
    <x v="1"/>
    <n v="4989"/>
    <x v="0"/>
  </r>
  <r>
    <x v="1003"/>
    <n v="360000"/>
    <x v="2"/>
    <x v="1"/>
    <x v="1"/>
    <x v="1"/>
    <n v="36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004"/>
    <n v="150000"/>
    <x v="1"/>
    <x v="0"/>
    <x v="2"/>
    <x v="1"/>
    <n v="30"/>
    <x v="1"/>
    <x v="3"/>
    <x v="3"/>
    <x v="3"/>
    <x v="2"/>
    <x v="0"/>
    <x v="0"/>
    <n v="456"/>
    <n v="9664"/>
    <n v="3420"/>
    <n v="2527"/>
    <n v="0"/>
    <n v="0"/>
    <n v="9664"/>
    <n v="3420"/>
    <n v="2612"/>
    <n v="0"/>
    <n v="0"/>
    <n v="0"/>
    <n v="1"/>
    <x v="0"/>
    <n v="-9208"/>
    <x v="3"/>
  </r>
  <r>
    <x v="1005"/>
    <n v="140000"/>
    <x v="1"/>
    <x v="1"/>
    <x v="1"/>
    <x v="1"/>
    <n v="29"/>
    <x v="0"/>
    <x v="1"/>
    <x v="2"/>
    <x v="0"/>
    <x v="0"/>
    <x v="2"/>
    <x v="3"/>
    <n v="2937"/>
    <n v="5150"/>
    <n v="1514"/>
    <n v="2573"/>
    <n v="495"/>
    <n v="1744"/>
    <n v="2024"/>
    <n v="1522"/>
    <n v="2580"/>
    <n v="496"/>
    <n v="1749"/>
    <n v="2265"/>
    <n v="0"/>
    <x v="1"/>
    <n v="913"/>
    <x v="0"/>
  </r>
  <r>
    <x v="1006"/>
    <n v="200000"/>
    <x v="1"/>
    <x v="0"/>
    <x v="0"/>
    <x v="1"/>
    <n v="36"/>
    <x v="1"/>
    <x v="1"/>
    <x v="2"/>
    <x v="0"/>
    <x v="2"/>
    <x v="0"/>
    <x v="3"/>
    <n v="1371"/>
    <n v="4068"/>
    <n v="0"/>
    <n v="0"/>
    <n v="0"/>
    <n v="980"/>
    <n v="4077"/>
    <n v="0"/>
    <n v="0"/>
    <n v="0"/>
    <n v="980"/>
    <n v="0"/>
    <n v="0"/>
    <x v="1"/>
    <n v="-2706"/>
    <x v="3"/>
  </r>
  <r>
    <x v="1007"/>
    <n v="170000"/>
    <x v="1"/>
    <x v="0"/>
    <x v="0"/>
    <x v="0"/>
    <n v="37"/>
    <x v="1"/>
    <x v="2"/>
    <x v="1"/>
    <x v="1"/>
    <x v="1"/>
    <x v="1"/>
    <x v="2"/>
    <n v="166246"/>
    <n v="169163"/>
    <n v="136604"/>
    <n v="136607"/>
    <n v="133199"/>
    <n v="135242"/>
    <n v="6700"/>
    <n v="6800"/>
    <n v="4700"/>
    <n v="4700"/>
    <n v="5500"/>
    <n v="5000"/>
    <n v="0"/>
    <x v="1"/>
    <n v="159546"/>
    <x v="2"/>
  </r>
  <r>
    <x v="1008"/>
    <n v="30000"/>
    <x v="0"/>
    <x v="1"/>
    <x v="0"/>
    <x v="1"/>
    <n v="34"/>
    <x v="1"/>
    <x v="2"/>
    <x v="1"/>
    <x v="5"/>
    <x v="4"/>
    <x v="3"/>
    <x v="2"/>
    <n v="19785"/>
    <n v="24633"/>
    <n v="23961"/>
    <n v="23289"/>
    <n v="22779"/>
    <n v="51224"/>
    <n v="5500"/>
    <n v="0"/>
    <n v="0"/>
    <n v="0"/>
    <n v="3400"/>
    <n v="512"/>
    <n v="0"/>
    <x v="1"/>
    <n v="14285"/>
    <x v="0"/>
  </r>
  <r>
    <x v="1009"/>
    <n v="80000"/>
    <x v="0"/>
    <x v="0"/>
    <x v="1"/>
    <x v="1"/>
    <n v="27"/>
    <x v="0"/>
    <x v="2"/>
    <x v="1"/>
    <x v="3"/>
    <x v="2"/>
    <x v="0"/>
    <x v="0"/>
    <n v="80000"/>
    <n v="0"/>
    <n v="0"/>
    <n v="0"/>
    <n v="0"/>
    <n v="0"/>
    <n v="0"/>
    <n v="0"/>
    <n v="0"/>
    <n v="0"/>
    <n v="0"/>
    <n v="0"/>
    <n v="0"/>
    <x v="1"/>
    <n v="80000"/>
    <x v="1"/>
  </r>
  <r>
    <x v="1010"/>
    <n v="280000"/>
    <x v="1"/>
    <x v="1"/>
    <x v="1"/>
    <x v="1"/>
    <n v="31"/>
    <x v="1"/>
    <x v="2"/>
    <x v="1"/>
    <x v="1"/>
    <x v="1"/>
    <x v="1"/>
    <x v="1"/>
    <n v="164736"/>
    <n v="170564"/>
    <n v="150666"/>
    <n v="133465"/>
    <n v="133536"/>
    <n v="132964"/>
    <n v="8833"/>
    <n v="12005"/>
    <n v="5000"/>
    <n v="8000"/>
    <n v="3000"/>
    <n v="5000"/>
    <n v="0"/>
    <x v="1"/>
    <n v="155903"/>
    <x v="2"/>
  </r>
  <r>
    <x v="1011"/>
    <n v="410000"/>
    <x v="2"/>
    <x v="0"/>
    <x v="1"/>
    <x v="0"/>
    <n v="31"/>
    <x v="1"/>
    <x v="1"/>
    <x v="2"/>
    <x v="2"/>
    <x v="3"/>
    <x v="0"/>
    <x v="0"/>
    <n v="2744"/>
    <n v="2041"/>
    <n v="630"/>
    <n v="-736"/>
    <n v="-1591"/>
    <n v="-2303"/>
    <n v="2051"/>
    <n v="5"/>
    <n v="266"/>
    <n v="266"/>
    <n v="253"/>
    <n v="6384"/>
    <n v="0"/>
    <x v="1"/>
    <n v="693"/>
    <x v="0"/>
  </r>
  <r>
    <x v="1012"/>
    <n v="450000"/>
    <x v="2"/>
    <x v="1"/>
    <x v="1"/>
    <x v="1"/>
    <n v="38"/>
    <x v="1"/>
    <x v="1"/>
    <x v="1"/>
    <x v="0"/>
    <x v="0"/>
    <x v="2"/>
    <x v="3"/>
    <n v="29747"/>
    <n v="53311"/>
    <n v="10920"/>
    <n v="8072"/>
    <n v="22809"/>
    <n v="12415"/>
    <n v="30323"/>
    <n v="10973"/>
    <n v="8112"/>
    <n v="22923"/>
    <n v="12476"/>
    <n v="6728"/>
    <n v="0"/>
    <x v="1"/>
    <n v="-576"/>
    <x v="3"/>
  </r>
  <r>
    <x v="1013"/>
    <n v="80000"/>
    <x v="0"/>
    <x v="1"/>
    <x v="0"/>
    <x v="1"/>
    <n v="36"/>
    <x v="1"/>
    <x v="2"/>
    <x v="1"/>
    <x v="1"/>
    <x v="1"/>
    <x v="1"/>
    <x v="2"/>
    <n v="79148"/>
    <n v="52174"/>
    <n v="44275"/>
    <n v="42029"/>
    <n v="33838"/>
    <n v="29757"/>
    <n v="2000"/>
    <n v="2000"/>
    <n v="1500"/>
    <n v="1500"/>
    <n v="2000"/>
    <n v="1500"/>
    <n v="0"/>
    <x v="1"/>
    <n v="77148"/>
    <x v="1"/>
  </r>
  <r>
    <x v="1014"/>
    <n v="360000"/>
    <x v="2"/>
    <x v="1"/>
    <x v="1"/>
    <x v="0"/>
    <n v="46"/>
    <x v="3"/>
    <x v="2"/>
    <x v="1"/>
    <x v="1"/>
    <x v="1"/>
    <x v="0"/>
    <x v="0"/>
    <n v="92961"/>
    <n v="76243"/>
    <n v="51722"/>
    <n v="-8"/>
    <n v="-8"/>
    <n v="-16"/>
    <n v="10125"/>
    <n v="13092"/>
    <n v="0"/>
    <n v="0"/>
    <n v="0"/>
    <n v="0"/>
    <n v="0"/>
    <x v="1"/>
    <n v="82836"/>
    <x v="1"/>
  </r>
  <r>
    <x v="1015"/>
    <n v="130000"/>
    <x v="1"/>
    <x v="0"/>
    <x v="1"/>
    <x v="0"/>
    <n v="36"/>
    <x v="1"/>
    <x v="2"/>
    <x v="1"/>
    <x v="1"/>
    <x v="1"/>
    <x v="1"/>
    <x v="2"/>
    <n v="129689"/>
    <n v="107070"/>
    <n v="103942"/>
    <n v="94623"/>
    <n v="90556"/>
    <n v="92394"/>
    <n v="5000"/>
    <n v="4400"/>
    <n v="5000"/>
    <n v="4000"/>
    <n v="3500"/>
    <n v="4000"/>
    <n v="0"/>
    <x v="1"/>
    <n v="124689"/>
    <x v="2"/>
  </r>
  <r>
    <x v="1016"/>
    <n v="160000"/>
    <x v="1"/>
    <x v="0"/>
    <x v="1"/>
    <x v="1"/>
    <n v="26"/>
    <x v="0"/>
    <x v="2"/>
    <x v="1"/>
    <x v="1"/>
    <x v="0"/>
    <x v="2"/>
    <x v="3"/>
    <n v="2198"/>
    <n v="11155"/>
    <n v="0"/>
    <n v="12315"/>
    <n v="0"/>
    <n v="11855"/>
    <n v="9155"/>
    <n v="0"/>
    <n v="12315"/>
    <n v="0"/>
    <n v="11855"/>
    <n v="0"/>
    <n v="1"/>
    <x v="0"/>
    <n v="-6957"/>
    <x v="3"/>
  </r>
  <r>
    <x v="1017"/>
    <n v="140000"/>
    <x v="1"/>
    <x v="0"/>
    <x v="2"/>
    <x v="1"/>
    <n v="57"/>
    <x v="2"/>
    <x v="0"/>
    <x v="1"/>
    <x v="1"/>
    <x v="1"/>
    <x v="1"/>
    <x v="2"/>
    <n v="131795"/>
    <n v="134083"/>
    <n v="125360"/>
    <n v="99313"/>
    <n v="90623"/>
    <n v="92425"/>
    <n v="6743"/>
    <n v="5421"/>
    <n v="3926"/>
    <n v="3290"/>
    <n v="3310"/>
    <n v="3424"/>
    <n v="1"/>
    <x v="0"/>
    <n v="125052"/>
    <x v="2"/>
  </r>
  <r>
    <x v="1018"/>
    <n v="240000"/>
    <x v="1"/>
    <x v="0"/>
    <x v="2"/>
    <x v="0"/>
    <n v="40"/>
    <x v="3"/>
    <x v="4"/>
    <x v="3"/>
    <x v="0"/>
    <x v="0"/>
    <x v="2"/>
    <x v="3"/>
    <n v="-55"/>
    <n v="-55"/>
    <n v="3545"/>
    <n v="1338"/>
    <n v="1075"/>
    <n v="1744"/>
    <n v="0"/>
    <n v="3600"/>
    <n v="1338"/>
    <n v="1075"/>
    <n v="1744"/>
    <n v="0"/>
    <n v="0"/>
    <x v="1"/>
    <n v="-55"/>
    <x v="3"/>
  </r>
  <r>
    <x v="1019"/>
    <n v="180000"/>
    <x v="1"/>
    <x v="0"/>
    <x v="2"/>
    <x v="3"/>
    <n v="45"/>
    <x v="3"/>
    <x v="1"/>
    <x v="2"/>
    <x v="3"/>
    <x v="2"/>
    <x v="0"/>
    <x v="0"/>
    <n v="4148"/>
    <n v="0"/>
    <n v="0"/>
    <n v="0"/>
    <n v="0"/>
    <n v="0"/>
    <n v="0"/>
    <n v="0"/>
    <n v="0"/>
    <n v="0"/>
    <n v="0"/>
    <n v="0"/>
    <n v="0"/>
    <x v="1"/>
    <n v="4148"/>
    <x v="0"/>
  </r>
  <r>
    <x v="1020"/>
    <n v="70000"/>
    <x v="0"/>
    <x v="1"/>
    <x v="1"/>
    <x v="2"/>
    <n v="57"/>
    <x v="2"/>
    <x v="2"/>
    <x v="1"/>
    <x v="1"/>
    <x v="1"/>
    <x v="1"/>
    <x v="2"/>
    <n v="69398"/>
    <n v="70352"/>
    <n v="69936"/>
    <n v="68118"/>
    <n v="65942"/>
    <n v="62495"/>
    <n v="2667"/>
    <n v="2321"/>
    <n v="2391"/>
    <n v="2316"/>
    <n v="2466"/>
    <n v="1451"/>
    <n v="0"/>
    <x v="1"/>
    <n v="66731"/>
    <x v="1"/>
  </r>
  <r>
    <x v="1021"/>
    <n v="150000"/>
    <x v="1"/>
    <x v="0"/>
    <x v="0"/>
    <x v="1"/>
    <n v="25"/>
    <x v="0"/>
    <x v="2"/>
    <x v="1"/>
    <x v="1"/>
    <x v="1"/>
    <x v="1"/>
    <x v="2"/>
    <n v="142827"/>
    <n v="126317"/>
    <n v="75324"/>
    <n v="78773"/>
    <n v="95375"/>
    <n v="57663"/>
    <n v="5000"/>
    <n v="4000"/>
    <n v="5000"/>
    <n v="40000"/>
    <n v="3000"/>
    <n v="2880"/>
    <n v="0"/>
    <x v="1"/>
    <n v="137827"/>
    <x v="2"/>
  </r>
  <r>
    <x v="1022"/>
    <n v="210000"/>
    <x v="1"/>
    <x v="0"/>
    <x v="2"/>
    <x v="0"/>
    <n v="37"/>
    <x v="1"/>
    <x v="3"/>
    <x v="3"/>
    <x v="3"/>
    <x v="2"/>
    <x v="0"/>
    <x v="0"/>
    <n v="138398"/>
    <n v="109115"/>
    <n v="101912"/>
    <n v="62959"/>
    <n v="60767"/>
    <n v="41150"/>
    <n v="5000"/>
    <n v="5000"/>
    <n v="2500"/>
    <n v="2800"/>
    <n v="2000"/>
    <n v="0"/>
    <n v="0"/>
    <x v="1"/>
    <n v="133398"/>
    <x v="2"/>
  </r>
  <r>
    <x v="1023"/>
    <n v="200000"/>
    <x v="1"/>
    <x v="0"/>
    <x v="1"/>
    <x v="0"/>
    <n v="35"/>
    <x v="1"/>
    <x v="1"/>
    <x v="1"/>
    <x v="1"/>
    <x v="1"/>
    <x v="1"/>
    <x v="2"/>
    <n v="9918"/>
    <n v="10971"/>
    <n v="11817"/>
    <n v="17865"/>
    <n v="18239"/>
    <n v="14527"/>
    <n v="1219"/>
    <n v="1165"/>
    <n v="7865"/>
    <n v="592"/>
    <n v="807"/>
    <n v="679"/>
    <n v="0"/>
    <x v="1"/>
    <n v="8699"/>
    <x v="0"/>
  </r>
  <r>
    <x v="1024"/>
    <n v="310000"/>
    <x v="2"/>
    <x v="1"/>
    <x v="0"/>
    <x v="1"/>
    <n v="33"/>
    <x v="1"/>
    <x v="3"/>
    <x v="3"/>
    <x v="3"/>
    <x v="2"/>
    <x v="0"/>
    <x v="0"/>
    <n v="4040"/>
    <n v="4048"/>
    <n v="3959"/>
    <n v="205"/>
    <n v="3199"/>
    <n v="5104"/>
    <n v="4068"/>
    <n v="3964"/>
    <n v="205"/>
    <n v="3209"/>
    <n v="5109"/>
    <n v="1434"/>
    <n v="0"/>
    <x v="1"/>
    <n v="-28"/>
    <x v="3"/>
  </r>
  <r>
    <x v="1025"/>
    <n v="180000"/>
    <x v="1"/>
    <x v="1"/>
    <x v="1"/>
    <x v="0"/>
    <n v="38"/>
    <x v="1"/>
    <x v="2"/>
    <x v="1"/>
    <x v="1"/>
    <x v="1"/>
    <x v="1"/>
    <x v="1"/>
    <n v="153099"/>
    <n v="150227"/>
    <n v="138313"/>
    <n v="137274"/>
    <n v="147314"/>
    <n v="129870"/>
    <n v="7005"/>
    <n v="6500"/>
    <n v="5000"/>
    <n v="12042"/>
    <n v="32"/>
    <n v="1300"/>
    <n v="0"/>
    <x v="1"/>
    <n v="146094"/>
    <x v="2"/>
  </r>
  <r>
    <x v="1026"/>
    <n v="300000"/>
    <x v="1"/>
    <x v="1"/>
    <x v="0"/>
    <x v="1"/>
    <n v="31"/>
    <x v="1"/>
    <x v="2"/>
    <x v="1"/>
    <x v="1"/>
    <x v="0"/>
    <x v="2"/>
    <x v="3"/>
    <n v="62198"/>
    <n v="35674"/>
    <n v="34979"/>
    <n v="510"/>
    <n v="2166"/>
    <n v="765"/>
    <n v="1600"/>
    <n v="2600"/>
    <n v="510"/>
    <n v="903"/>
    <n v="765"/>
    <n v="773"/>
    <n v="0"/>
    <x v="1"/>
    <n v="60598"/>
    <x v="1"/>
  </r>
  <r>
    <x v="1027"/>
    <n v="450000"/>
    <x v="2"/>
    <x v="0"/>
    <x v="1"/>
    <x v="1"/>
    <n v="41"/>
    <x v="3"/>
    <x v="1"/>
    <x v="2"/>
    <x v="0"/>
    <x v="0"/>
    <x v="2"/>
    <x v="3"/>
    <n v="11343"/>
    <n v="75083"/>
    <n v="25273"/>
    <n v="85357"/>
    <n v="27745"/>
    <n v="1990"/>
    <n v="75459"/>
    <n v="25413"/>
    <n v="85784"/>
    <n v="27856"/>
    <n v="2000"/>
    <n v="1900"/>
    <n v="0"/>
    <x v="1"/>
    <n v="-64116"/>
    <x v="3"/>
  </r>
  <r>
    <x v="1028"/>
    <n v="200000"/>
    <x v="1"/>
    <x v="1"/>
    <x v="1"/>
    <x v="1"/>
    <n v="33"/>
    <x v="1"/>
    <x v="4"/>
    <x v="2"/>
    <x v="0"/>
    <x v="1"/>
    <x v="2"/>
    <x v="3"/>
    <n v="-5"/>
    <n v="3465"/>
    <n v="3191"/>
    <n v="1873"/>
    <n v="90687"/>
    <n v="4577"/>
    <n v="3470"/>
    <n v="3191"/>
    <n v="0"/>
    <n v="90729"/>
    <n v="0"/>
    <n v="6266"/>
    <n v="0"/>
    <x v="1"/>
    <n v="-3475"/>
    <x v="3"/>
  </r>
  <r>
    <x v="1029"/>
    <n v="30000"/>
    <x v="0"/>
    <x v="0"/>
    <x v="0"/>
    <x v="0"/>
    <n v="67"/>
    <x v="2"/>
    <x v="0"/>
    <x v="0"/>
    <x v="1"/>
    <x v="1"/>
    <x v="3"/>
    <x v="1"/>
    <n v="30374"/>
    <n v="29038"/>
    <n v="27737"/>
    <n v="29499"/>
    <n v="30124"/>
    <n v="26855"/>
    <n v="0"/>
    <n v="1500"/>
    <n v="2182"/>
    <n v="1200"/>
    <n v="0"/>
    <n v="2302"/>
    <n v="1"/>
    <x v="0"/>
    <n v="30374"/>
    <x v="1"/>
  </r>
  <r>
    <x v="1030"/>
    <n v="400000"/>
    <x v="2"/>
    <x v="0"/>
    <x v="1"/>
    <x v="0"/>
    <n v="40"/>
    <x v="3"/>
    <x v="1"/>
    <x v="2"/>
    <x v="0"/>
    <x v="1"/>
    <x v="1"/>
    <x v="3"/>
    <n v="1107"/>
    <n v="3891"/>
    <n v="120338"/>
    <n v="8318"/>
    <n v="8488"/>
    <n v="130"/>
    <n v="3891"/>
    <n v="120407"/>
    <n v="0"/>
    <n v="170"/>
    <n v="130"/>
    <n v="8595"/>
    <n v="0"/>
    <x v="1"/>
    <n v="-2784"/>
    <x v="3"/>
  </r>
  <r>
    <x v="1031"/>
    <n v="170000"/>
    <x v="1"/>
    <x v="1"/>
    <x v="1"/>
    <x v="1"/>
    <n v="33"/>
    <x v="1"/>
    <x v="1"/>
    <x v="2"/>
    <x v="0"/>
    <x v="0"/>
    <x v="2"/>
    <x v="3"/>
    <n v="764"/>
    <n v="1100"/>
    <n v="500"/>
    <n v="2499"/>
    <n v="1500"/>
    <n v="600"/>
    <n v="1105"/>
    <n v="500"/>
    <n v="2499"/>
    <n v="1500"/>
    <n v="600"/>
    <n v="2100"/>
    <n v="0"/>
    <x v="1"/>
    <n v="-341"/>
    <x v="3"/>
  </r>
  <r>
    <x v="1032"/>
    <n v="140000"/>
    <x v="1"/>
    <x v="0"/>
    <x v="1"/>
    <x v="1"/>
    <n v="31"/>
    <x v="1"/>
    <x v="1"/>
    <x v="0"/>
    <x v="0"/>
    <x v="0"/>
    <x v="2"/>
    <x v="3"/>
    <n v="652"/>
    <n v="326"/>
    <n v="326"/>
    <n v="326"/>
    <n v="476"/>
    <n v="326"/>
    <n v="0"/>
    <n v="326"/>
    <n v="326"/>
    <n v="476"/>
    <n v="326"/>
    <n v="326"/>
    <n v="1"/>
    <x v="0"/>
    <n v="652"/>
    <x v="0"/>
  </r>
  <r>
    <x v="1033"/>
    <n v="200000"/>
    <x v="1"/>
    <x v="0"/>
    <x v="0"/>
    <x v="1"/>
    <n v="35"/>
    <x v="1"/>
    <x v="2"/>
    <x v="1"/>
    <x v="1"/>
    <x v="1"/>
    <x v="1"/>
    <x v="2"/>
    <n v="64195"/>
    <n v="65565"/>
    <n v="66870"/>
    <n v="68752"/>
    <n v="70485"/>
    <n v="71887"/>
    <n v="3000"/>
    <n v="3000"/>
    <n v="3000"/>
    <n v="3000"/>
    <n v="2575"/>
    <n v="3000"/>
    <n v="0"/>
    <x v="1"/>
    <n v="61195"/>
    <x v="1"/>
  </r>
  <r>
    <x v="1034"/>
    <n v="60000"/>
    <x v="0"/>
    <x v="0"/>
    <x v="0"/>
    <x v="2"/>
    <n v="39"/>
    <x v="1"/>
    <x v="4"/>
    <x v="3"/>
    <x v="3"/>
    <x v="2"/>
    <x v="0"/>
    <x v="0"/>
    <n v="-1540"/>
    <n v="-1930"/>
    <n v="-2320"/>
    <n v="-1220"/>
    <n v="0"/>
    <n v="0"/>
    <n v="0"/>
    <n v="0"/>
    <n v="2000"/>
    <n v="2000"/>
    <n v="0"/>
    <n v="0"/>
    <n v="0"/>
    <x v="1"/>
    <n v="-1540"/>
    <x v="3"/>
  </r>
  <r>
    <x v="1035"/>
    <n v="60000"/>
    <x v="0"/>
    <x v="1"/>
    <x v="0"/>
    <x v="1"/>
    <n v="27"/>
    <x v="0"/>
    <x v="4"/>
    <x v="0"/>
    <x v="1"/>
    <x v="1"/>
    <x v="3"/>
    <x v="1"/>
    <n v="43356"/>
    <n v="42381"/>
    <n v="46663"/>
    <n v="49877"/>
    <n v="50734"/>
    <n v="49764"/>
    <n v="0"/>
    <n v="5000"/>
    <n v="4000"/>
    <n v="1800"/>
    <n v="0"/>
    <n v="2000"/>
    <n v="1"/>
    <x v="0"/>
    <n v="43356"/>
    <x v="1"/>
  </r>
  <r>
    <x v="1036"/>
    <n v="150000"/>
    <x v="1"/>
    <x v="1"/>
    <x v="1"/>
    <x v="1"/>
    <n v="23"/>
    <x v="0"/>
    <x v="2"/>
    <x v="1"/>
    <x v="1"/>
    <x v="1"/>
    <x v="1"/>
    <x v="2"/>
    <n v="11109"/>
    <n v="83376"/>
    <n v="79726"/>
    <n v="76986"/>
    <n v="78038"/>
    <n v="78321"/>
    <n v="78016"/>
    <n v="3048"/>
    <n v="4000"/>
    <n v="3500"/>
    <n v="3000"/>
    <n v="3000"/>
    <n v="0"/>
    <x v="1"/>
    <n v="-66907"/>
    <x v="3"/>
  </r>
  <r>
    <x v="1037"/>
    <n v="180000"/>
    <x v="1"/>
    <x v="1"/>
    <x v="2"/>
    <x v="0"/>
    <n v="54"/>
    <x v="2"/>
    <x v="2"/>
    <x v="1"/>
    <x v="1"/>
    <x v="1"/>
    <x v="1"/>
    <x v="2"/>
    <n v="149698"/>
    <n v="137260"/>
    <n v="124500"/>
    <n v="111430"/>
    <n v="98182"/>
    <n v="84598"/>
    <n v="4834"/>
    <n v="4371"/>
    <n v="3849"/>
    <n v="3405"/>
    <n v="2887"/>
    <n v="2402"/>
    <n v="1"/>
    <x v="0"/>
    <n v="144864"/>
    <x v="2"/>
  </r>
  <r>
    <x v="1038"/>
    <n v="50000"/>
    <x v="0"/>
    <x v="0"/>
    <x v="2"/>
    <x v="1"/>
    <n v="23"/>
    <x v="0"/>
    <x v="2"/>
    <x v="1"/>
    <x v="1"/>
    <x v="1"/>
    <x v="1"/>
    <x v="2"/>
    <n v="43979"/>
    <n v="33403"/>
    <n v="20879"/>
    <n v="18573"/>
    <n v="17318"/>
    <n v="17936"/>
    <n v="2000"/>
    <n v="2000"/>
    <n v="2000"/>
    <n v="1000"/>
    <n v="1000"/>
    <n v="2800"/>
    <n v="0"/>
    <x v="1"/>
    <n v="41979"/>
    <x v="1"/>
  </r>
  <r>
    <x v="1039"/>
    <n v="50000"/>
    <x v="0"/>
    <x v="1"/>
    <x v="2"/>
    <x v="1"/>
    <n v="24"/>
    <x v="0"/>
    <x v="1"/>
    <x v="2"/>
    <x v="0"/>
    <x v="0"/>
    <x v="1"/>
    <x v="2"/>
    <n v="2562"/>
    <n v="8743"/>
    <n v="-290"/>
    <n v="18115"/>
    <n v="18495"/>
    <n v="18804"/>
    <n v="8769"/>
    <n v="0"/>
    <n v="18650"/>
    <n v="659"/>
    <n v="1000"/>
    <n v="1000"/>
    <n v="0"/>
    <x v="1"/>
    <n v="-6207"/>
    <x v="3"/>
  </r>
  <r>
    <x v="1040"/>
    <n v="20000"/>
    <x v="0"/>
    <x v="1"/>
    <x v="0"/>
    <x v="1"/>
    <n v="26"/>
    <x v="0"/>
    <x v="1"/>
    <x v="2"/>
    <x v="3"/>
    <x v="2"/>
    <x v="0"/>
    <x v="0"/>
    <n v="70"/>
    <n v="-620"/>
    <n v="-620"/>
    <n v="-1400"/>
    <n v="0"/>
    <n v="0"/>
    <n v="0"/>
    <n v="0"/>
    <n v="0"/>
    <n v="1400"/>
    <n v="0"/>
    <n v="0"/>
    <n v="0"/>
    <x v="1"/>
    <n v="70"/>
    <x v="0"/>
  </r>
  <r>
    <x v="1041"/>
    <n v="230000"/>
    <x v="1"/>
    <x v="0"/>
    <x v="0"/>
    <x v="1"/>
    <n v="52"/>
    <x v="2"/>
    <x v="0"/>
    <x v="2"/>
    <x v="2"/>
    <x v="1"/>
    <x v="2"/>
    <x v="3"/>
    <n v="1292"/>
    <n v="3943"/>
    <n v="1990"/>
    <n v="1499"/>
    <n v="593"/>
    <n v="2553"/>
    <n v="3951"/>
    <n v="1"/>
    <n v="9"/>
    <n v="594"/>
    <n v="2560"/>
    <n v="3759"/>
    <n v="1"/>
    <x v="0"/>
    <n v="-2659"/>
    <x v="3"/>
  </r>
  <r>
    <x v="1042"/>
    <n v="110000"/>
    <x v="1"/>
    <x v="0"/>
    <x v="0"/>
    <x v="0"/>
    <n v="42"/>
    <x v="3"/>
    <x v="2"/>
    <x v="1"/>
    <x v="1"/>
    <x v="1"/>
    <x v="1"/>
    <x v="2"/>
    <n v="55349"/>
    <n v="52914"/>
    <n v="49483"/>
    <n v="49292"/>
    <n v="49460"/>
    <n v="49470"/>
    <n v="2096"/>
    <n v="2003"/>
    <n v="1802"/>
    <n v="1783"/>
    <n v="1783"/>
    <n v="1756"/>
    <n v="0"/>
    <x v="1"/>
    <n v="53253"/>
    <x v="1"/>
  </r>
  <r>
    <x v="1043"/>
    <n v="90000"/>
    <x v="0"/>
    <x v="0"/>
    <x v="1"/>
    <x v="1"/>
    <n v="36"/>
    <x v="1"/>
    <x v="2"/>
    <x v="1"/>
    <x v="1"/>
    <x v="1"/>
    <x v="1"/>
    <x v="2"/>
    <n v="90922"/>
    <n v="80980"/>
    <n v="66503"/>
    <n v="67347"/>
    <n v="68509"/>
    <n v="67588"/>
    <n v="4273"/>
    <n v="3200"/>
    <n v="2500"/>
    <n v="2500"/>
    <n v="2631"/>
    <n v="2646"/>
    <n v="0"/>
    <x v="1"/>
    <n v="86649"/>
    <x v="1"/>
  </r>
  <r>
    <x v="1044"/>
    <n v="20000"/>
    <x v="0"/>
    <x v="0"/>
    <x v="1"/>
    <x v="1"/>
    <n v="22"/>
    <x v="0"/>
    <x v="0"/>
    <x v="0"/>
    <x v="2"/>
    <x v="3"/>
    <x v="3"/>
    <x v="1"/>
    <n v="16233"/>
    <n v="20547"/>
    <n v="20542"/>
    <n v="19572"/>
    <n v="20437"/>
    <n v="19994"/>
    <n v="5383"/>
    <n v="660"/>
    <n v="0"/>
    <n v="1538"/>
    <n v="0"/>
    <n v="2658"/>
    <n v="1"/>
    <x v="0"/>
    <n v="10850"/>
    <x v="0"/>
  </r>
  <r>
    <x v="1045"/>
    <n v="30000"/>
    <x v="0"/>
    <x v="0"/>
    <x v="1"/>
    <x v="1"/>
    <n v="23"/>
    <x v="0"/>
    <x v="2"/>
    <x v="1"/>
    <x v="1"/>
    <x v="1"/>
    <x v="1"/>
    <x v="2"/>
    <n v="26847"/>
    <n v="24815"/>
    <n v="21681"/>
    <n v="22293"/>
    <n v="17155"/>
    <n v="13470"/>
    <n v="2500"/>
    <n v="3500"/>
    <n v="2000"/>
    <n v="3500"/>
    <n v="2000"/>
    <n v="1000"/>
    <n v="0"/>
    <x v="1"/>
    <n v="24347"/>
    <x v="0"/>
  </r>
  <r>
    <x v="1046"/>
    <n v="220000"/>
    <x v="1"/>
    <x v="1"/>
    <x v="2"/>
    <x v="0"/>
    <n v="30"/>
    <x v="1"/>
    <x v="2"/>
    <x v="1"/>
    <x v="1"/>
    <x v="1"/>
    <x v="3"/>
    <x v="2"/>
    <n v="162105"/>
    <n v="170592"/>
    <n v="173969"/>
    <n v="183030"/>
    <n v="181385"/>
    <n v="174107"/>
    <n v="10000"/>
    <n v="5013"/>
    <n v="10626"/>
    <n v="52"/>
    <n v="5255"/>
    <n v="4222"/>
    <n v="1"/>
    <x v="0"/>
    <n v="152105"/>
    <x v="2"/>
  </r>
  <r>
    <x v="1047"/>
    <n v="140000"/>
    <x v="1"/>
    <x v="0"/>
    <x v="2"/>
    <x v="1"/>
    <n v="24"/>
    <x v="0"/>
    <x v="4"/>
    <x v="0"/>
    <x v="2"/>
    <x v="3"/>
    <x v="1"/>
    <x v="2"/>
    <n v="42897"/>
    <n v="45739"/>
    <n v="46468"/>
    <n v="45422"/>
    <n v="46371"/>
    <n v="47297"/>
    <n v="3821"/>
    <n v="1775"/>
    <n v="0"/>
    <n v="1833"/>
    <n v="1850"/>
    <n v="2000"/>
    <n v="1"/>
    <x v="0"/>
    <n v="39076"/>
    <x v="1"/>
  </r>
  <r>
    <x v="1048"/>
    <n v="300000"/>
    <x v="1"/>
    <x v="0"/>
    <x v="1"/>
    <x v="0"/>
    <n v="42"/>
    <x v="3"/>
    <x v="3"/>
    <x v="3"/>
    <x v="3"/>
    <x v="2"/>
    <x v="0"/>
    <x v="0"/>
    <n v="3000"/>
    <n v="3300"/>
    <n v="0"/>
    <n v="0"/>
    <n v="610"/>
    <n v="2165"/>
    <n v="3300"/>
    <n v="0"/>
    <n v="0"/>
    <n v="610"/>
    <n v="2165"/>
    <n v="2394"/>
    <n v="0"/>
    <x v="1"/>
    <n v="-300"/>
    <x v="3"/>
  </r>
  <r>
    <x v="1049"/>
    <n v="100000"/>
    <x v="0"/>
    <x v="1"/>
    <x v="0"/>
    <x v="0"/>
    <n v="49"/>
    <x v="3"/>
    <x v="2"/>
    <x v="1"/>
    <x v="1"/>
    <x v="3"/>
    <x v="1"/>
    <x v="2"/>
    <n v="34704"/>
    <n v="30906"/>
    <n v="28325"/>
    <n v="22160"/>
    <n v="18842"/>
    <n v="17023"/>
    <n v="2011"/>
    <n v="2028"/>
    <n v="10"/>
    <n v="558"/>
    <n v="1044"/>
    <n v="12"/>
    <n v="0"/>
    <x v="1"/>
    <n v="32693"/>
    <x v="1"/>
  </r>
  <r>
    <x v="1050"/>
    <n v="110000"/>
    <x v="1"/>
    <x v="1"/>
    <x v="0"/>
    <x v="1"/>
    <n v="31"/>
    <x v="1"/>
    <x v="0"/>
    <x v="0"/>
    <x v="4"/>
    <x v="4"/>
    <x v="3"/>
    <x v="3"/>
    <n v="279"/>
    <n v="279"/>
    <n v="279"/>
    <n v="279"/>
    <n v="129"/>
    <n v="179"/>
    <n v="0"/>
    <n v="0"/>
    <n v="0"/>
    <n v="0"/>
    <n v="200"/>
    <n v="0"/>
    <n v="0"/>
    <x v="1"/>
    <n v="279"/>
    <x v="0"/>
  </r>
  <r>
    <x v="1051"/>
    <n v="270000"/>
    <x v="1"/>
    <x v="0"/>
    <x v="2"/>
    <x v="1"/>
    <n v="33"/>
    <x v="1"/>
    <x v="2"/>
    <x v="2"/>
    <x v="0"/>
    <x v="0"/>
    <x v="1"/>
    <x v="2"/>
    <n v="10000"/>
    <n v="10000"/>
    <n v="10000"/>
    <n v="123693"/>
    <n v="116843"/>
    <n v="110059"/>
    <n v="10000"/>
    <n v="10000"/>
    <n v="222750"/>
    <n v="5000"/>
    <n v="5008"/>
    <n v="5026"/>
    <n v="0"/>
    <x v="1"/>
    <n v="0"/>
    <x v="3"/>
  </r>
  <r>
    <x v="1052"/>
    <n v="30000"/>
    <x v="0"/>
    <x v="1"/>
    <x v="1"/>
    <x v="0"/>
    <n v="42"/>
    <x v="3"/>
    <x v="2"/>
    <x v="1"/>
    <x v="0"/>
    <x v="0"/>
    <x v="2"/>
    <x v="3"/>
    <n v="28033"/>
    <n v="17085"/>
    <n v="200"/>
    <n v="323"/>
    <n v="29525"/>
    <n v="0"/>
    <n v="1525"/>
    <n v="200"/>
    <n v="323"/>
    <n v="29525"/>
    <n v="0"/>
    <n v="0"/>
    <n v="0"/>
    <x v="1"/>
    <n v="26508"/>
    <x v="1"/>
  </r>
  <r>
    <x v="1053"/>
    <n v="70000"/>
    <x v="0"/>
    <x v="1"/>
    <x v="2"/>
    <x v="1"/>
    <n v="41"/>
    <x v="3"/>
    <x v="2"/>
    <x v="1"/>
    <x v="1"/>
    <x v="1"/>
    <x v="1"/>
    <x v="2"/>
    <n v="70476"/>
    <n v="68539"/>
    <n v="69520"/>
    <n v="51605"/>
    <n v="50311"/>
    <n v="50729"/>
    <n v="2700"/>
    <n v="3500"/>
    <n v="2000"/>
    <n v="2000"/>
    <n v="2500"/>
    <n v="2500"/>
    <n v="0"/>
    <x v="1"/>
    <n v="67776"/>
    <x v="1"/>
  </r>
  <r>
    <x v="1054"/>
    <n v="230000"/>
    <x v="1"/>
    <x v="1"/>
    <x v="0"/>
    <x v="0"/>
    <n v="53"/>
    <x v="2"/>
    <x v="0"/>
    <x v="0"/>
    <x v="3"/>
    <x v="2"/>
    <x v="0"/>
    <x v="3"/>
    <n v="1350"/>
    <n v="0"/>
    <n v="0"/>
    <n v="0"/>
    <n v="0"/>
    <n v="470"/>
    <n v="0"/>
    <n v="0"/>
    <n v="0"/>
    <n v="0"/>
    <n v="470"/>
    <n v="0"/>
    <n v="0"/>
    <x v="1"/>
    <n v="1350"/>
    <x v="0"/>
  </r>
  <r>
    <x v="1055"/>
    <n v="20000"/>
    <x v="0"/>
    <x v="1"/>
    <x v="0"/>
    <x v="1"/>
    <n v="23"/>
    <x v="0"/>
    <x v="2"/>
    <x v="1"/>
    <x v="1"/>
    <x v="1"/>
    <x v="1"/>
    <x v="2"/>
    <n v="18852"/>
    <n v="16648"/>
    <n v="19395"/>
    <n v="20271"/>
    <n v="20445"/>
    <n v="17532"/>
    <n v="1500"/>
    <n v="4000"/>
    <n v="2000"/>
    <n v="2000"/>
    <n v="2900"/>
    <n v="2735"/>
    <n v="0"/>
    <x v="1"/>
    <n v="17352"/>
    <x v="0"/>
  </r>
  <r>
    <x v="1056"/>
    <n v="190000"/>
    <x v="1"/>
    <x v="0"/>
    <x v="1"/>
    <x v="1"/>
    <n v="33"/>
    <x v="1"/>
    <x v="4"/>
    <x v="0"/>
    <x v="1"/>
    <x v="1"/>
    <x v="1"/>
    <x v="2"/>
    <n v="115056"/>
    <n v="108137"/>
    <n v="89722"/>
    <n v="69861"/>
    <n v="49894"/>
    <n v="49727"/>
    <n v="0"/>
    <n v="4413"/>
    <n v="2942"/>
    <n v="2000"/>
    <n v="1583"/>
    <n v="1500"/>
    <n v="0"/>
    <x v="1"/>
    <n v="115056"/>
    <x v="2"/>
  </r>
  <r>
    <x v="1057"/>
    <n v="20000"/>
    <x v="0"/>
    <x v="0"/>
    <x v="0"/>
    <x v="0"/>
    <n v="29"/>
    <x v="0"/>
    <x v="2"/>
    <x v="1"/>
    <x v="1"/>
    <x v="1"/>
    <x v="1"/>
    <x v="2"/>
    <n v="15890"/>
    <n v="13995"/>
    <n v="13375"/>
    <n v="14205"/>
    <n v="15869"/>
    <n v="16666"/>
    <n v="2000"/>
    <n v="2000"/>
    <n v="1000"/>
    <n v="2000"/>
    <n v="1000"/>
    <n v="1000"/>
    <n v="0"/>
    <x v="1"/>
    <n v="13890"/>
    <x v="0"/>
  </r>
  <r>
    <x v="1058"/>
    <n v="80000"/>
    <x v="0"/>
    <x v="0"/>
    <x v="2"/>
    <x v="0"/>
    <n v="67"/>
    <x v="2"/>
    <x v="2"/>
    <x v="1"/>
    <x v="1"/>
    <x v="1"/>
    <x v="1"/>
    <x v="3"/>
    <n v="20255"/>
    <n v="18885"/>
    <n v="21529"/>
    <n v="29236"/>
    <n v="10662"/>
    <n v="2408"/>
    <n v="6000"/>
    <n v="5002"/>
    <n v="10662"/>
    <n v="2"/>
    <n v="2408"/>
    <n v="11662"/>
    <n v="0"/>
    <x v="1"/>
    <n v="14255"/>
    <x v="0"/>
  </r>
  <r>
    <x v="1059"/>
    <n v="20000"/>
    <x v="0"/>
    <x v="1"/>
    <x v="2"/>
    <x v="0"/>
    <n v="33"/>
    <x v="1"/>
    <x v="0"/>
    <x v="1"/>
    <x v="1"/>
    <x v="1"/>
    <x v="1"/>
    <x v="0"/>
    <n v="20500"/>
    <n v="16237"/>
    <n v="20960"/>
    <n v="6914"/>
    <n v="1017"/>
    <n v="780"/>
    <n v="2191"/>
    <n v="1000"/>
    <n v="0"/>
    <n v="1017"/>
    <n v="780"/>
    <n v="6380"/>
    <n v="1"/>
    <x v="0"/>
    <n v="18309"/>
    <x v="0"/>
  </r>
  <r>
    <x v="1060"/>
    <n v="60000"/>
    <x v="0"/>
    <x v="0"/>
    <x v="2"/>
    <x v="0"/>
    <n v="34"/>
    <x v="1"/>
    <x v="2"/>
    <x v="1"/>
    <x v="1"/>
    <x v="3"/>
    <x v="1"/>
    <x v="2"/>
    <n v="9928"/>
    <n v="11261"/>
    <n v="12853"/>
    <n v="12352"/>
    <n v="12703"/>
    <n v="13338"/>
    <n v="1500"/>
    <n v="2090"/>
    <n v="0"/>
    <n v="700"/>
    <n v="1000"/>
    <n v="1400"/>
    <n v="1"/>
    <x v="0"/>
    <n v="8428"/>
    <x v="0"/>
  </r>
  <r>
    <x v="1061"/>
    <n v="50000"/>
    <x v="0"/>
    <x v="1"/>
    <x v="0"/>
    <x v="0"/>
    <n v="49"/>
    <x v="3"/>
    <x v="2"/>
    <x v="1"/>
    <x v="1"/>
    <x v="1"/>
    <x v="1"/>
    <x v="2"/>
    <n v="10750"/>
    <n v="8755"/>
    <n v="8684"/>
    <n v="5983"/>
    <n v="4252"/>
    <n v="5034"/>
    <n v="1507"/>
    <n v="3109"/>
    <n v="2209"/>
    <n v="2000"/>
    <n v="2500"/>
    <n v="3000"/>
    <n v="0"/>
    <x v="1"/>
    <n v="9243"/>
    <x v="0"/>
  </r>
  <r>
    <x v="1062"/>
    <n v="280000"/>
    <x v="1"/>
    <x v="0"/>
    <x v="0"/>
    <x v="0"/>
    <n v="56"/>
    <x v="2"/>
    <x v="2"/>
    <x v="1"/>
    <x v="1"/>
    <x v="1"/>
    <x v="1"/>
    <x v="2"/>
    <n v="284204"/>
    <n v="284041"/>
    <n v="283396"/>
    <n v="213294"/>
    <n v="213384"/>
    <n v="213604"/>
    <n v="10261"/>
    <n v="17003"/>
    <n v="7657"/>
    <n v="7750"/>
    <n v="7861"/>
    <n v="8083"/>
    <n v="1"/>
    <x v="0"/>
    <n v="273943"/>
    <x v="2"/>
  </r>
  <r>
    <x v="1063"/>
    <n v="300000"/>
    <x v="1"/>
    <x v="1"/>
    <x v="1"/>
    <x v="0"/>
    <n v="42"/>
    <x v="3"/>
    <x v="2"/>
    <x v="1"/>
    <x v="1"/>
    <x v="1"/>
    <x v="1"/>
    <x v="2"/>
    <n v="120151"/>
    <n v="89618"/>
    <n v="47857"/>
    <n v="48128"/>
    <n v="50332"/>
    <n v="23688"/>
    <n v="4229"/>
    <n v="5024"/>
    <n v="6012"/>
    <n v="5191"/>
    <n v="12139"/>
    <n v="110247"/>
    <n v="0"/>
    <x v="1"/>
    <n v="115922"/>
    <x v="2"/>
  </r>
  <r>
    <x v="1064"/>
    <n v="30000"/>
    <x v="0"/>
    <x v="0"/>
    <x v="2"/>
    <x v="0"/>
    <n v="55"/>
    <x v="2"/>
    <x v="0"/>
    <x v="1"/>
    <x v="1"/>
    <x v="1"/>
    <x v="1"/>
    <x v="2"/>
    <n v="29278"/>
    <n v="30393"/>
    <n v="29785"/>
    <n v="30377"/>
    <n v="30155"/>
    <n v="31098"/>
    <n v="1600"/>
    <n v="1585"/>
    <n v="1377"/>
    <n v="1155"/>
    <n v="2600"/>
    <n v="0"/>
    <n v="1"/>
    <x v="0"/>
    <n v="27678"/>
    <x v="1"/>
  </r>
  <r>
    <x v="1065"/>
    <n v="270000"/>
    <x v="1"/>
    <x v="0"/>
    <x v="0"/>
    <x v="0"/>
    <n v="25"/>
    <x v="0"/>
    <x v="2"/>
    <x v="1"/>
    <x v="1"/>
    <x v="1"/>
    <x v="1"/>
    <x v="2"/>
    <n v="21586"/>
    <n v="239499"/>
    <n v="203867"/>
    <n v="188064"/>
    <n v="147915"/>
    <n v="139976"/>
    <n v="239104"/>
    <n v="7098"/>
    <n v="6179"/>
    <n v="5023"/>
    <n v="6090"/>
    <n v="4000"/>
    <n v="0"/>
    <x v="1"/>
    <n v="-217518"/>
    <x v="3"/>
  </r>
  <r>
    <x v="1066"/>
    <n v="100000"/>
    <x v="0"/>
    <x v="1"/>
    <x v="2"/>
    <x v="1"/>
    <n v="30"/>
    <x v="1"/>
    <x v="2"/>
    <x v="1"/>
    <x v="1"/>
    <x v="1"/>
    <x v="1"/>
    <x v="2"/>
    <n v="87579"/>
    <n v="72308"/>
    <n v="53505"/>
    <n v="43371"/>
    <n v="48125"/>
    <n v="40388"/>
    <n v="4172"/>
    <n v="2094"/>
    <n v="3007"/>
    <n v="10021"/>
    <n v="3012"/>
    <n v="1527"/>
    <n v="0"/>
    <x v="1"/>
    <n v="83407"/>
    <x v="1"/>
  </r>
  <r>
    <x v="1067"/>
    <n v="240000"/>
    <x v="1"/>
    <x v="1"/>
    <x v="0"/>
    <x v="1"/>
    <n v="43"/>
    <x v="3"/>
    <x v="1"/>
    <x v="2"/>
    <x v="0"/>
    <x v="0"/>
    <x v="2"/>
    <x v="3"/>
    <n v="291"/>
    <n v="291"/>
    <n v="291"/>
    <n v="291"/>
    <n v="291"/>
    <n v="291"/>
    <n v="291"/>
    <n v="291"/>
    <n v="291"/>
    <n v="291"/>
    <n v="291"/>
    <n v="291"/>
    <n v="1"/>
    <x v="0"/>
    <n v="0"/>
    <x v="3"/>
  </r>
  <r>
    <x v="1068"/>
    <n v="200000"/>
    <x v="1"/>
    <x v="1"/>
    <x v="1"/>
    <x v="1"/>
    <n v="40"/>
    <x v="3"/>
    <x v="1"/>
    <x v="2"/>
    <x v="0"/>
    <x v="0"/>
    <x v="2"/>
    <x v="3"/>
    <n v="2159"/>
    <n v="760"/>
    <n v="2775"/>
    <n v="22813"/>
    <n v="10526"/>
    <n v="326"/>
    <n v="1086"/>
    <n v="2775"/>
    <n v="22813"/>
    <n v="10526"/>
    <n v="326"/>
    <n v="573"/>
    <n v="0"/>
    <x v="1"/>
    <n v="1073"/>
    <x v="0"/>
  </r>
  <r>
    <x v="1069"/>
    <n v="110000"/>
    <x v="1"/>
    <x v="0"/>
    <x v="1"/>
    <x v="1"/>
    <n v="35"/>
    <x v="1"/>
    <x v="2"/>
    <x v="1"/>
    <x v="2"/>
    <x v="3"/>
    <x v="1"/>
    <x v="2"/>
    <n v="32691"/>
    <n v="36344"/>
    <n v="36055"/>
    <n v="36163"/>
    <n v="37028"/>
    <n v="38250"/>
    <n v="4500"/>
    <n v="600"/>
    <n v="1000"/>
    <n v="1600"/>
    <n v="2000"/>
    <n v="2000"/>
    <n v="0"/>
    <x v="1"/>
    <n v="28191"/>
    <x v="1"/>
  </r>
  <r>
    <x v="1070"/>
    <n v="230000"/>
    <x v="1"/>
    <x v="1"/>
    <x v="1"/>
    <x v="0"/>
    <n v="61"/>
    <x v="2"/>
    <x v="1"/>
    <x v="2"/>
    <x v="0"/>
    <x v="0"/>
    <x v="2"/>
    <x v="3"/>
    <n v="1477"/>
    <n v="3699"/>
    <n v="2252"/>
    <n v="4932"/>
    <n v="2783"/>
    <n v="7411"/>
    <n v="3710"/>
    <n v="2266"/>
    <n v="7338"/>
    <n v="2791"/>
    <n v="7433"/>
    <n v="4527"/>
    <n v="0"/>
    <x v="1"/>
    <n v="-2233"/>
    <x v="3"/>
  </r>
  <r>
    <x v="1071"/>
    <n v="150000"/>
    <x v="1"/>
    <x v="0"/>
    <x v="0"/>
    <x v="0"/>
    <n v="44"/>
    <x v="3"/>
    <x v="1"/>
    <x v="2"/>
    <x v="0"/>
    <x v="0"/>
    <x v="2"/>
    <x v="3"/>
    <n v="390"/>
    <n v="5104"/>
    <n v="10318"/>
    <n v="5775"/>
    <n v="14441"/>
    <n v="780"/>
    <n v="5104"/>
    <n v="10318"/>
    <n v="10355"/>
    <n v="14441"/>
    <n v="780"/>
    <n v="66950"/>
    <n v="1"/>
    <x v="0"/>
    <n v="-4714"/>
    <x v="3"/>
  </r>
  <r>
    <x v="1072"/>
    <n v="350000"/>
    <x v="2"/>
    <x v="1"/>
    <x v="1"/>
    <x v="1"/>
    <n v="33"/>
    <x v="1"/>
    <x v="1"/>
    <x v="2"/>
    <x v="0"/>
    <x v="0"/>
    <x v="2"/>
    <x v="3"/>
    <n v="148341"/>
    <n v="8095"/>
    <n v="15047"/>
    <n v="3220"/>
    <n v="20461"/>
    <n v="3249"/>
    <n v="8405"/>
    <n v="15052"/>
    <n v="3805"/>
    <n v="20467"/>
    <n v="3253"/>
    <n v="27168"/>
    <n v="0"/>
    <x v="1"/>
    <n v="139936"/>
    <x v="2"/>
  </r>
  <r>
    <x v="1073"/>
    <n v="360000"/>
    <x v="2"/>
    <x v="1"/>
    <x v="3"/>
    <x v="0"/>
    <n v="66"/>
    <x v="2"/>
    <x v="1"/>
    <x v="2"/>
    <x v="0"/>
    <x v="0"/>
    <x v="2"/>
    <x v="3"/>
    <n v="47615"/>
    <n v="74976"/>
    <n v="4040"/>
    <n v="151858"/>
    <n v="48580"/>
    <n v="1451"/>
    <n v="75351"/>
    <n v="4064"/>
    <n v="152618"/>
    <n v="48822"/>
    <n v="1451"/>
    <n v="171944"/>
    <n v="0"/>
    <x v="1"/>
    <n v="-27736"/>
    <x v="3"/>
  </r>
  <r>
    <x v="1074"/>
    <n v="150000"/>
    <x v="1"/>
    <x v="0"/>
    <x v="0"/>
    <x v="1"/>
    <n v="40"/>
    <x v="3"/>
    <x v="4"/>
    <x v="2"/>
    <x v="0"/>
    <x v="0"/>
    <x v="2"/>
    <x v="0"/>
    <n v="-19"/>
    <n v="3894"/>
    <n v="5570"/>
    <n v="10516"/>
    <n v="-3"/>
    <n v="-3"/>
    <n v="3913"/>
    <n v="5606"/>
    <n v="10568"/>
    <n v="0"/>
    <n v="0"/>
    <n v="2379"/>
    <n v="0"/>
    <x v="1"/>
    <n v="-3932"/>
    <x v="3"/>
  </r>
  <r>
    <x v="1075"/>
    <n v="100000"/>
    <x v="0"/>
    <x v="1"/>
    <x v="2"/>
    <x v="1"/>
    <n v="47"/>
    <x v="3"/>
    <x v="2"/>
    <x v="1"/>
    <x v="1"/>
    <x v="1"/>
    <x v="1"/>
    <x v="2"/>
    <n v="94925"/>
    <n v="95130"/>
    <n v="60003"/>
    <n v="38500"/>
    <n v="4681"/>
    <n v="76728"/>
    <n v="3889"/>
    <n v="2412"/>
    <n v="1698"/>
    <n v="679"/>
    <n v="72809"/>
    <n v="2748"/>
    <n v="0"/>
    <x v="1"/>
    <n v="91036"/>
    <x v="1"/>
  </r>
  <r>
    <x v="1076"/>
    <n v="500000"/>
    <x v="2"/>
    <x v="1"/>
    <x v="1"/>
    <x v="1"/>
    <n v="27"/>
    <x v="0"/>
    <x v="2"/>
    <x v="1"/>
    <x v="1"/>
    <x v="1"/>
    <x v="1"/>
    <x v="2"/>
    <n v="204198"/>
    <n v="201648"/>
    <n v="197549"/>
    <n v="192093"/>
    <n v="187726"/>
    <n v="183860"/>
    <n v="7434"/>
    <n v="6342"/>
    <n v="5276"/>
    <n v="5271"/>
    <n v="5778"/>
    <n v="5029"/>
    <n v="0"/>
    <x v="1"/>
    <n v="196764"/>
    <x v="2"/>
  </r>
  <r>
    <x v="1077"/>
    <n v="500000"/>
    <x v="2"/>
    <x v="1"/>
    <x v="1"/>
    <x v="1"/>
    <n v="35"/>
    <x v="1"/>
    <x v="1"/>
    <x v="1"/>
    <x v="0"/>
    <x v="0"/>
    <x v="2"/>
    <x v="2"/>
    <n v="172041"/>
    <n v="70011"/>
    <n v="12976"/>
    <n v="34469"/>
    <n v="27425"/>
    <n v="28506"/>
    <n v="58761"/>
    <n v="13976"/>
    <n v="34828"/>
    <n v="28289"/>
    <n v="18175"/>
    <n v="17500"/>
    <n v="0"/>
    <x v="1"/>
    <n v="113280"/>
    <x v="2"/>
  </r>
  <r>
    <x v="1078"/>
    <n v="180000"/>
    <x v="1"/>
    <x v="0"/>
    <x v="2"/>
    <x v="0"/>
    <n v="47"/>
    <x v="3"/>
    <x v="1"/>
    <x v="2"/>
    <x v="0"/>
    <x v="0"/>
    <x v="2"/>
    <x v="3"/>
    <n v="316"/>
    <n v="316"/>
    <n v="316"/>
    <n v="316"/>
    <n v="316"/>
    <n v="316"/>
    <n v="316"/>
    <n v="316"/>
    <n v="316"/>
    <n v="316"/>
    <n v="316"/>
    <n v="316"/>
    <n v="0"/>
    <x v="1"/>
    <n v="0"/>
    <x v="3"/>
  </r>
  <r>
    <x v="1079"/>
    <n v="400000"/>
    <x v="2"/>
    <x v="0"/>
    <x v="2"/>
    <x v="0"/>
    <n v="39"/>
    <x v="1"/>
    <x v="4"/>
    <x v="2"/>
    <x v="0"/>
    <x v="0"/>
    <x v="0"/>
    <x v="3"/>
    <n v="2384"/>
    <n v="3500"/>
    <n v="471"/>
    <n v="-203"/>
    <n v="2371"/>
    <n v="1949"/>
    <n v="3603"/>
    <n v="471"/>
    <n v="203"/>
    <n v="2574"/>
    <n v="1949"/>
    <n v="1040"/>
    <n v="0"/>
    <x v="1"/>
    <n v="-1219"/>
    <x v="3"/>
  </r>
  <r>
    <x v="1080"/>
    <n v="100000"/>
    <x v="0"/>
    <x v="0"/>
    <x v="0"/>
    <x v="1"/>
    <n v="29"/>
    <x v="0"/>
    <x v="2"/>
    <x v="1"/>
    <x v="1"/>
    <x v="1"/>
    <x v="1"/>
    <x v="2"/>
    <n v="61383"/>
    <n v="49560"/>
    <n v="40183"/>
    <n v="61820"/>
    <n v="8322"/>
    <n v="6182"/>
    <n v="1908"/>
    <n v="2000"/>
    <n v="1000"/>
    <n v="2000"/>
    <n v="3000"/>
    <n v="5000"/>
    <n v="0"/>
    <x v="1"/>
    <n v="59475"/>
    <x v="1"/>
  </r>
  <r>
    <x v="1081"/>
    <n v="10000"/>
    <x v="0"/>
    <x v="1"/>
    <x v="0"/>
    <x v="0"/>
    <n v="32"/>
    <x v="1"/>
    <x v="4"/>
    <x v="0"/>
    <x v="2"/>
    <x v="3"/>
    <x v="3"/>
    <x v="1"/>
    <n v="8425"/>
    <n v="8148"/>
    <n v="9481"/>
    <n v="9180"/>
    <n v="10052"/>
    <n v="10091"/>
    <n v="0"/>
    <n v="1632"/>
    <n v="0"/>
    <n v="1022"/>
    <n v="350"/>
    <n v="0"/>
    <n v="0"/>
    <x v="1"/>
    <n v="8425"/>
    <x v="0"/>
  </r>
  <r>
    <x v="1082"/>
    <n v="60000"/>
    <x v="0"/>
    <x v="0"/>
    <x v="1"/>
    <x v="1"/>
    <n v="30"/>
    <x v="1"/>
    <x v="0"/>
    <x v="0"/>
    <x v="2"/>
    <x v="3"/>
    <x v="3"/>
    <x v="1"/>
    <n v="34735"/>
    <n v="33895"/>
    <n v="36530"/>
    <n v="37133"/>
    <n v="37893"/>
    <n v="37131"/>
    <n v="0"/>
    <n v="3200"/>
    <n v="1500"/>
    <n v="1500"/>
    <n v="0"/>
    <n v="1700"/>
    <n v="0"/>
    <x v="1"/>
    <n v="34735"/>
    <x v="1"/>
  </r>
  <r>
    <x v="1083"/>
    <n v="50000"/>
    <x v="0"/>
    <x v="0"/>
    <x v="1"/>
    <x v="1"/>
    <n v="25"/>
    <x v="0"/>
    <x v="4"/>
    <x v="0"/>
    <x v="2"/>
    <x v="3"/>
    <x v="3"/>
    <x v="1"/>
    <n v="47054"/>
    <n v="48008"/>
    <n v="48913"/>
    <n v="49847"/>
    <n v="50840"/>
    <n v="49502"/>
    <n v="2000"/>
    <n v="2000"/>
    <n v="2000"/>
    <n v="1900"/>
    <n v="1900"/>
    <n v="1600"/>
    <n v="1"/>
    <x v="0"/>
    <n v="45054"/>
    <x v="1"/>
  </r>
  <r>
    <x v="1084"/>
    <n v="80000"/>
    <x v="0"/>
    <x v="0"/>
    <x v="0"/>
    <x v="1"/>
    <n v="23"/>
    <x v="0"/>
    <x v="1"/>
    <x v="1"/>
    <x v="1"/>
    <x v="1"/>
    <x v="1"/>
    <x v="2"/>
    <n v="57314"/>
    <n v="58489"/>
    <n v="50452"/>
    <n v="51573"/>
    <n v="49061"/>
    <n v="33931"/>
    <n v="2145"/>
    <n v="2000"/>
    <n v="2012"/>
    <n v="2049"/>
    <n v="2008"/>
    <n v="1217"/>
    <n v="0"/>
    <x v="1"/>
    <n v="55169"/>
    <x v="1"/>
  </r>
  <r>
    <x v="1085"/>
    <n v="110000"/>
    <x v="1"/>
    <x v="0"/>
    <x v="0"/>
    <x v="0"/>
    <n v="43"/>
    <x v="3"/>
    <x v="2"/>
    <x v="1"/>
    <x v="2"/>
    <x v="1"/>
    <x v="1"/>
    <x v="2"/>
    <n v="108616"/>
    <n v="114854"/>
    <n v="105275"/>
    <n v="107561"/>
    <n v="105502"/>
    <n v="103813"/>
    <n v="9600"/>
    <n v="0"/>
    <n v="4000"/>
    <n v="3765"/>
    <n v="4000"/>
    <n v="4200"/>
    <n v="0"/>
    <x v="1"/>
    <n v="99016"/>
    <x v="1"/>
  </r>
  <r>
    <x v="1086"/>
    <n v="410000"/>
    <x v="2"/>
    <x v="0"/>
    <x v="0"/>
    <x v="0"/>
    <n v="41"/>
    <x v="3"/>
    <x v="2"/>
    <x v="1"/>
    <x v="1"/>
    <x v="1"/>
    <x v="1"/>
    <x v="2"/>
    <n v="354506"/>
    <n v="363666"/>
    <n v="369776"/>
    <n v="368779"/>
    <n v="369358"/>
    <n v="368043"/>
    <n v="14600"/>
    <n v="15500"/>
    <n v="14000"/>
    <n v="13580"/>
    <n v="14000"/>
    <n v="19000"/>
    <n v="1"/>
    <x v="0"/>
    <n v="339906"/>
    <x v="2"/>
  </r>
  <r>
    <x v="1087"/>
    <n v="260000"/>
    <x v="1"/>
    <x v="0"/>
    <x v="0"/>
    <x v="0"/>
    <n v="40"/>
    <x v="3"/>
    <x v="4"/>
    <x v="2"/>
    <x v="0"/>
    <x v="2"/>
    <x v="0"/>
    <x v="0"/>
    <n v="0"/>
    <n v="342"/>
    <n v="0"/>
    <n v="0"/>
    <n v="0"/>
    <n v="0"/>
    <n v="342"/>
    <n v="0"/>
    <n v="0"/>
    <n v="0"/>
    <n v="0"/>
    <n v="0"/>
    <n v="0"/>
    <x v="1"/>
    <n v="-342"/>
    <x v="3"/>
  </r>
  <r>
    <x v="1088"/>
    <n v="30000"/>
    <x v="0"/>
    <x v="0"/>
    <x v="2"/>
    <x v="0"/>
    <n v="35"/>
    <x v="1"/>
    <x v="2"/>
    <x v="1"/>
    <x v="1"/>
    <x v="1"/>
    <x v="1"/>
    <x v="2"/>
    <n v="28786"/>
    <n v="26496"/>
    <n v="25098"/>
    <n v="26209"/>
    <n v="25325"/>
    <n v="26400"/>
    <n v="1500"/>
    <n v="1450"/>
    <n v="1500"/>
    <n v="1500"/>
    <n v="1500"/>
    <n v="1500"/>
    <n v="0"/>
    <x v="1"/>
    <n v="27286"/>
    <x v="1"/>
  </r>
  <r>
    <x v="1089"/>
    <n v="310000"/>
    <x v="2"/>
    <x v="0"/>
    <x v="1"/>
    <x v="1"/>
    <n v="28"/>
    <x v="0"/>
    <x v="2"/>
    <x v="1"/>
    <x v="1"/>
    <x v="1"/>
    <x v="2"/>
    <x v="3"/>
    <n v="36513"/>
    <n v="37628"/>
    <n v="39579"/>
    <n v="40879"/>
    <n v="85"/>
    <n v="4381"/>
    <n v="2500"/>
    <n v="3000"/>
    <n v="1500"/>
    <n v="85"/>
    <n v="4381"/>
    <n v="11100"/>
    <n v="0"/>
    <x v="1"/>
    <n v="34013"/>
    <x v="1"/>
  </r>
  <r>
    <x v="1090"/>
    <n v="70000"/>
    <x v="0"/>
    <x v="0"/>
    <x v="0"/>
    <x v="1"/>
    <n v="38"/>
    <x v="1"/>
    <x v="2"/>
    <x v="1"/>
    <x v="1"/>
    <x v="1"/>
    <x v="1"/>
    <x v="2"/>
    <n v="22578"/>
    <n v="23606"/>
    <n v="24619"/>
    <n v="25107"/>
    <n v="25634"/>
    <n v="26143"/>
    <n v="1397"/>
    <n v="1410"/>
    <n v="898"/>
    <n v="931"/>
    <n v="936"/>
    <n v="970"/>
    <n v="0"/>
    <x v="1"/>
    <n v="21181"/>
    <x v="0"/>
  </r>
  <r>
    <x v="1091"/>
    <n v="250000"/>
    <x v="1"/>
    <x v="1"/>
    <x v="1"/>
    <x v="1"/>
    <n v="31"/>
    <x v="1"/>
    <x v="2"/>
    <x v="1"/>
    <x v="1"/>
    <x v="1"/>
    <x v="1"/>
    <x v="2"/>
    <n v="215316"/>
    <n v="198490"/>
    <n v="169014"/>
    <n v="167776"/>
    <n v="168110"/>
    <n v="168505"/>
    <n v="6845"/>
    <n v="5945"/>
    <n v="5919"/>
    <n v="6000"/>
    <n v="6059"/>
    <n v="5837"/>
    <n v="0"/>
    <x v="1"/>
    <n v="208471"/>
    <x v="2"/>
  </r>
  <r>
    <x v="1092"/>
    <n v="210000"/>
    <x v="1"/>
    <x v="1"/>
    <x v="2"/>
    <x v="0"/>
    <n v="29"/>
    <x v="0"/>
    <x v="4"/>
    <x v="0"/>
    <x v="1"/>
    <x v="1"/>
    <x v="1"/>
    <x v="2"/>
    <n v="198510"/>
    <n v="194040"/>
    <n v="199393"/>
    <n v="194538"/>
    <n v="195990"/>
    <n v="194136"/>
    <n v="0"/>
    <n v="10000"/>
    <n v="7000"/>
    <n v="8000"/>
    <n v="8000"/>
    <n v="7200"/>
    <n v="0"/>
    <x v="1"/>
    <n v="198510"/>
    <x v="2"/>
  </r>
  <r>
    <x v="1093"/>
    <n v="360000"/>
    <x v="2"/>
    <x v="1"/>
    <x v="0"/>
    <x v="0"/>
    <n v="41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094"/>
    <n v="50000"/>
    <x v="0"/>
    <x v="1"/>
    <x v="0"/>
    <x v="1"/>
    <n v="31"/>
    <x v="1"/>
    <x v="4"/>
    <x v="0"/>
    <x v="1"/>
    <x v="1"/>
    <x v="3"/>
    <x v="2"/>
    <n v="48657"/>
    <n v="45079"/>
    <n v="47714"/>
    <n v="19586"/>
    <n v="19143"/>
    <n v="20051"/>
    <n v="0"/>
    <n v="4300"/>
    <n v="2150"/>
    <n v="0"/>
    <n v="1204"/>
    <n v="1000"/>
    <n v="0"/>
    <x v="1"/>
    <n v="48657"/>
    <x v="1"/>
  </r>
  <r>
    <x v="1095"/>
    <n v="670000"/>
    <x v="2"/>
    <x v="1"/>
    <x v="1"/>
    <x v="1"/>
    <n v="29"/>
    <x v="0"/>
    <x v="2"/>
    <x v="1"/>
    <x v="1"/>
    <x v="1"/>
    <x v="1"/>
    <x v="2"/>
    <n v="244663"/>
    <n v="243209"/>
    <n v="229265"/>
    <n v="228114"/>
    <n v="232795"/>
    <n v="237726"/>
    <n v="10000"/>
    <n v="8000"/>
    <n v="8500"/>
    <n v="8190"/>
    <n v="9000"/>
    <n v="8000"/>
    <n v="0"/>
    <x v="1"/>
    <n v="234663"/>
    <x v="2"/>
  </r>
  <r>
    <x v="1096"/>
    <n v="130000"/>
    <x v="1"/>
    <x v="1"/>
    <x v="1"/>
    <x v="1"/>
    <n v="26"/>
    <x v="0"/>
    <x v="1"/>
    <x v="2"/>
    <x v="1"/>
    <x v="1"/>
    <x v="1"/>
    <x v="2"/>
    <n v="2343"/>
    <n v="32278"/>
    <n v="24175"/>
    <n v="15182"/>
    <n v="12805"/>
    <n v="14415"/>
    <n v="32322"/>
    <n v="1217"/>
    <n v="1000"/>
    <n v="3000"/>
    <n v="2000"/>
    <n v="390"/>
    <n v="0"/>
    <x v="1"/>
    <n v="-29979"/>
    <x v="3"/>
  </r>
  <r>
    <x v="1097"/>
    <n v="170000"/>
    <x v="1"/>
    <x v="1"/>
    <x v="1"/>
    <x v="0"/>
    <n v="42"/>
    <x v="3"/>
    <x v="4"/>
    <x v="3"/>
    <x v="3"/>
    <x v="2"/>
    <x v="0"/>
    <x v="3"/>
    <n v="0"/>
    <n v="0"/>
    <n v="0"/>
    <n v="0"/>
    <n v="0"/>
    <n v="2485"/>
    <n v="0"/>
    <n v="0"/>
    <n v="0"/>
    <n v="0"/>
    <n v="2485"/>
    <n v="7797"/>
    <n v="0"/>
    <x v="1"/>
    <n v="0"/>
    <x v="3"/>
  </r>
  <r>
    <x v="1098"/>
    <n v="30000"/>
    <x v="0"/>
    <x v="1"/>
    <x v="2"/>
    <x v="1"/>
    <n v="29"/>
    <x v="0"/>
    <x v="1"/>
    <x v="2"/>
    <x v="0"/>
    <x v="0"/>
    <x v="0"/>
    <x v="0"/>
    <n v="390"/>
    <n v="0"/>
    <n v="780"/>
    <n v="0"/>
    <n v="0"/>
    <n v="0"/>
    <n v="0"/>
    <n v="780"/>
    <n v="0"/>
    <n v="0"/>
    <n v="0"/>
    <n v="0"/>
    <n v="0"/>
    <x v="1"/>
    <n v="390"/>
    <x v="0"/>
  </r>
  <r>
    <x v="1099"/>
    <n v="110000"/>
    <x v="1"/>
    <x v="1"/>
    <x v="1"/>
    <x v="0"/>
    <n v="50"/>
    <x v="2"/>
    <x v="2"/>
    <x v="1"/>
    <x v="1"/>
    <x v="1"/>
    <x v="1"/>
    <x v="2"/>
    <n v="36802"/>
    <n v="38210"/>
    <n v="40259"/>
    <n v="41585"/>
    <n v="42913"/>
    <n v="44197"/>
    <n v="2000"/>
    <n v="3000"/>
    <n v="2000"/>
    <n v="2000"/>
    <n v="2000"/>
    <n v="2000"/>
    <n v="0"/>
    <x v="1"/>
    <n v="34802"/>
    <x v="1"/>
  </r>
  <r>
    <x v="1100"/>
    <n v="210000"/>
    <x v="1"/>
    <x v="0"/>
    <x v="2"/>
    <x v="1"/>
    <n v="46"/>
    <x v="3"/>
    <x v="4"/>
    <x v="0"/>
    <x v="1"/>
    <x v="1"/>
    <x v="2"/>
    <x v="3"/>
    <n v="5816"/>
    <n v="5579"/>
    <n v="20079"/>
    <n v="17309"/>
    <n v="2310"/>
    <n v="241"/>
    <n v="13"/>
    <n v="17309"/>
    <n v="0"/>
    <n v="2310"/>
    <n v="241"/>
    <n v="4000"/>
    <n v="1"/>
    <x v="0"/>
    <n v="5803"/>
    <x v="0"/>
  </r>
  <r>
    <x v="1101"/>
    <n v="30000"/>
    <x v="0"/>
    <x v="0"/>
    <x v="0"/>
    <x v="1"/>
    <n v="24"/>
    <x v="0"/>
    <x v="2"/>
    <x v="1"/>
    <x v="2"/>
    <x v="3"/>
    <x v="3"/>
    <x v="2"/>
    <n v="24238"/>
    <n v="26996"/>
    <n v="26269"/>
    <n v="27734"/>
    <n v="27151"/>
    <n v="28199"/>
    <n v="3462"/>
    <n v="0"/>
    <n v="2200"/>
    <n v="0"/>
    <n v="1500"/>
    <n v="1500"/>
    <n v="1"/>
    <x v="0"/>
    <n v="20776"/>
    <x v="0"/>
  </r>
  <r>
    <x v="1102"/>
    <n v="260000"/>
    <x v="1"/>
    <x v="0"/>
    <x v="0"/>
    <x v="0"/>
    <n v="46"/>
    <x v="3"/>
    <x v="2"/>
    <x v="1"/>
    <x v="2"/>
    <x v="3"/>
    <x v="3"/>
    <x v="2"/>
    <n v="18256"/>
    <n v="19556"/>
    <n v="18136"/>
    <n v="24018"/>
    <n v="21490"/>
    <n v="18196"/>
    <n v="2934"/>
    <n v="0"/>
    <n v="8000"/>
    <n v="0"/>
    <n v="2000"/>
    <n v="8000"/>
    <n v="0"/>
    <x v="1"/>
    <n v="15322"/>
    <x v="0"/>
  </r>
  <r>
    <x v="1103"/>
    <n v="150000"/>
    <x v="1"/>
    <x v="0"/>
    <x v="2"/>
    <x v="1"/>
    <n v="28"/>
    <x v="0"/>
    <x v="3"/>
    <x v="2"/>
    <x v="0"/>
    <x v="0"/>
    <x v="2"/>
    <x v="3"/>
    <n v="1723"/>
    <n v="2292"/>
    <n v="240"/>
    <n v="683"/>
    <n v="3486"/>
    <n v="5390"/>
    <n v="6876"/>
    <n v="240"/>
    <n v="683"/>
    <n v="3486"/>
    <n v="5390"/>
    <n v="1200"/>
    <n v="0"/>
    <x v="1"/>
    <n v="-5153"/>
    <x v="3"/>
  </r>
  <r>
    <x v="1104"/>
    <n v="20000"/>
    <x v="0"/>
    <x v="0"/>
    <x v="0"/>
    <x v="0"/>
    <n v="35"/>
    <x v="1"/>
    <x v="4"/>
    <x v="0"/>
    <x v="2"/>
    <x v="4"/>
    <x v="3"/>
    <x v="2"/>
    <n v="18648"/>
    <n v="18061"/>
    <n v="21034"/>
    <n v="20419"/>
    <n v="19289"/>
    <n v="19600"/>
    <n v="0"/>
    <n v="3292"/>
    <n v="0"/>
    <n v="0"/>
    <n v="781"/>
    <n v="701"/>
    <n v="1"/>
    <x v="0"/>
    <n v="18648"/>
    <x v="0"/>
  </r>
  <r>
    <x v="1105"/>
    <n v="380000"/>
    <x v="2"/>
    <x v="0"/>
    <x v="1"/>
    <x v="0"/>
    <n v="40"/>
    <x v="3"/>
    <x v="1"/>
    <x v="2"/>
    <x v="3"/>
    <x v="2"/>
    <x v="0"/>
    <x v="0"/>
    <n v="6614"/>
    <n v="54457"/>
    <n v="47872"/>
    <n v="24543"/>
    <n v="0"/>
    <n v="0"/>
    <n v="49094"/>
    <n v="0"/>
    <n v="24543"/>
    <n v="0"/>
    <n v="0"/>
    <n v="0"/>
    <n v="0"/>
    <x v="1"/>
    <n v="-42480"/>
    <x v="3"/>
  </r>
  <r>
    <x v="1106"/>
    <n v="200000"/>
    <x v="1"/>
    <x v="0"/>
    <x v="1"/>
    <x v="0"/>
    <n v="41"/>
    <x v="3"/>
    <x v="3"/>
    <x v="3"/>
    <x v="3"/>
    <x v="2"/>
    <x v="0"/>
    <x v="0"/>
    <n v="7812"/>
    <n v="0"/>
    <n v="0"/>
    <n v="1115"/>
    <n v="0"/>
    <n v="0"/>
    <n v="0"/>
    <n v="0"/>
    <n v="1115"/>
    <n v="0"/>
    <n v="0"/>
    <n v="0"/>
    <n v="0"/>
    <x v="1"/>
    <n v="7812"/>
    <x v="0"/>
  </r>
  <r>
    <x v="1107"/>
    <n v="120000"/>
    <x v="1"/>
    <x v="0"/>
    <x v="0"/>
    <x v="0"/>
    <n v="47"/>
    <x v="3"/>
    <x v="1"/>
    <x v="2"/>
    <x v="0"/>
    <x v="0"/>
    <x v="2"/>
    <x v="3"/>
    <n v="1188"/>
    <n v="2512"/>
    <n v="3444"/>
    <n v="1742"/>
    <n v="502"/>
    <n v="346"/>
    <n v="2512"/>
    <n v="3444"/>
    <n v="1742"/>
    <n v="502"/>
    <n v="346"/>
    <n v="325"/>
    <n v="0"/>
    <x v="1"/>
    <n v="-1324"/>
    <x v="3"/>
  </r>
  <r>
    <x v="1108"/>
    <n v="80000"/>
    <x v="0"/>
    <x v="1"/>
    <x v="0"/>
    <x v="0"/>
    <n v="54"/>
    <x v="2"/>
    <x v="2"/>
    <x v="1"/>
    <x v="1"/>
    <x v="1"/>
    <x v="1"/>
    <x v="2"/>
    <n v="76962"/>
    <n v="79463"/>
    <n v="79761"/>
    <n v="30286"/>
    <n v="29898"/>
    <n v="30364"/>
    <n v="4000"/>
    <n v="3500"/>
    <n v="1100"/>
    <n v="1100"/>
    <n v="1200"/>
    <n v="1000"/>
    <n v="1"/>
    <x v="0"/>
    <n v="72962"/>
    <x v="1"/>
  </r>
  <r>
    <x v="1109"/>
    <n v="30000"/>
    <x v="0"/>
    <x v="0"/>
    <x v="0"/>
    <x v="1"/>
    <n v="33"/>
    <x v="1"/>
    <x v="4"/>
    <x v="0"/>
    <x v="1"/>
    <x v="1"/>
    <x v="1"/>
    <x v="2"/>
    <n v="31089"/>
    <n v="10989"/>
    <n v="11997"/>
    <n v="12397"/>
    <n v="13043"/>
    <n v="13325"/>
    <n v="0"/>
    <n v="1200"/>
    <n v="600"/>
    <n v="1000"/>
    <n v="650"/>
    <n v="650"/>
    <n v="0"/>
    <x v="1"/>
    <n v="31089"/>
    <x v="1"/>
  </r>
  <r>
    <x v="1110"/>
    <n v="110000"/>
    <x v="1"/>
    <x v="1"/>
    <x v="0"/>
    <x v="1"/>
    <n v="29"/>
    <x v="0"/>
    <x v="4"/>
    <x v="0"/>
    <x v="2"/>
    <x v="3"/>
    <x v="1"/>
    <x v="2"/>
    <n v="83687"/>
    <n v="85360"/>
    <n v="86274"/>
    <n v="84001"/>
    <n v="85897"/>
    <n v="88759"/>
    <n v="3900"/>
    <n v="3200"/>
    <n v="0"/>
    <n v="3400"/>
    <n v="4500"/>
    <n v="2600"/>
    <n v="0"/>
    <x v="1"/>
    <n v="79787"/>
    <x v="1"/>
  </r>
  <r>
    <x v="1111"/>
    <n v="50000"/>
    <x v="0"/>
    <x v="0"/>
    <x v="2"/>
    <x v="0"/>
    <n v="44"/>
    <x v="3"/>
    <x v="1"/>
    <x v="2"/>
    <x v="0"/>
    <x v="0"/>
    <x v="2"/>
    <x v="3"/>
    <n v="3424"/>
    <n v="155"/>
    <n v="1922"/>
    <n v="1473"/>
    <n v="1865"/>
    <n v="835"/>
    <n v="155"/>
    <n v="1922"/>
    <n v="1473"/>
    <n v="1865"/>
    <n v="835"/>
    <n v="1833"/>
    <n v="0"/>
    <x v="1"/>
    <n v="3269"/>
    <x v="0"/>
  </r>
  <r>
    <x v="1112"/>
    <n v="90000"/>
    <x v="0"/>
    <x v="0"/>
    <x v="0"/>
    <x v="0"/>
    <n v="24"/>
    <x v="0"/>
    <x v="2"/>
    <x v="1"/>
    <x v="1"/>
    <x v="1"/>
    <x v="1"/>
    <x v="2"/>
    <n v="84148"/>
    <n v="79847"/>
    <n v="75576"/>
    <n v="75266"/>
    <n v="74431"/>
    <n v="68399"/>
    <n v="5006"/>
    <n v="4007"/>
    <n v="5006"/>
    <n v="4003"/>
    <n v="3014"/>
    <n v="4007"/>
    <n v="0"/>
    <x v="1"/>
    <n v="79142"/>
    <x v="1"/>
  </r>
  <r>
    <x v="1113"/>
    <n v="110000"/>
    <x v="1"/>
    <x v="1"/>
    <x v="1"/>
    <x v="1"/>
    <n v="33"/>
    <x v="1"/>
    <x v="2"/>
    <x v="1"/>
    <x v="1"/>
    <x v="1"/>
    <x v="1"/>
    <x v="2"/>
    <n v="12633"/>
    <n v="88334"/>
    <n v="53978"/>
    <n v="23687"/>
    <n v="26567"/>
    <n v="8435"/>
    <n v="80004"/>
    <n v="1500"/>
    <n v="12013"/>
    <n v="7000"/>
    <n v="2000"/>
    <n v="4000"/>
    <n v="0"/>
    <x v="1"/>
    <n v="-67371"/>
    <x v="3"/>
  </r>
  <r>
    <x v="1114"/>
    <n v="50000"/>
    <x v="0"/>
    <x v="1"/>
    <x v="2"/>
    <x v="0"/>
    <n v="54"/>
    <x v="2"/>
    <x v="2"/>
    <x v="1"/>
    <x v="1"/>
    <x v="1"/>
    <x v="1"/>
    <x v="2"/>
    <n v="38607"/>
    <n v="39681"/>
    <n v="40717"/>
    <n v="41682"/>
    <n v="42857"/>
    <n v="45581"/>
    <n v="2000"/>
    <n v="2000"/>
    <n v="1642"/>
    <n v="2000"/>
    <n v="3600"/>
    <n v="0"/>
    <n v="0"/>
    <x v="1"/>
    <n v="36607"/>
    <x v="1"/>
  </r>
  <r>
    <x v="1115"/>
    <n v="60000"/>
    <x v="0"/>
    <x v="1"/>
    <x v="1"/>
    <x v="1"/>
    <n v="27"/>
    <x v="0"/>
    <x v="3"/>
    <x v="3"/>
    <x v="3"/>
    <x v="2"/>
    <x v="2"/>
    <x v="3"/>
    <n v="11862"/>
    <n v="1856"/>
    <n v="-14"/>
    <n v="4839"/>
    <n v="9567"/>
    <n v="11407"/>
    <n v="1861"/>
    <n v="0"/>
    <n v="4853"/>
    <n v="9567"/>
    <n v="2000"/>
    <n v="0"/>
    <n v="0"/>
    <x v="1"/>
    <n v="10001"/>
    <x v="0"/>
  </r>
  <r>
    <x v="1116"/>
    <n v="150000"/>
    <x v="1"/>
    <x v="0"/>
    <x v="0"/>
    <x v="1"/>
    <n v="37"/>
    <x v="1"/>
    <x v="2"/>
    <x v="1"/>
    <x v="1"/>
    <x v="1"/>
    <x v="1"/>
    <x v="2"/>
    <n v="80463"/>
    <n v="82513"/>
    <n v="84271"/>
    <n v="43832"/>
    <n v="33963"/>
    <n v="34638"/>
    <n v="3348"/>
    <n v="3490"/>
    <n v="1402"/>
    <n v="1233"/>
    <n v="1240"/>
    <n v="1284"/>
    <n v="1"/>
    <x v="0"/>
    <n v="77115"/>
    <x v="1"/>
  </r>
  <r>
    <x v="1117"/>
    <n v="20000"/>
    <x v="0"/>
    <x v="1"/>
    <x v="1"/>
    <x v="1"/>
    <n v="24"/>
    <x v="0"/>
    <x v="4"/>
    <x v="0"/>
    <x v="1"/>
    <x v="1"/>
    <x v="1"/>
    <x v="0"/>
    <n v="18738"/>
    <n v="18016"/>
    <n v="7190"/>
    <n v="7190"/>
    <n v="0"/>
    <n v="0"/>
    <n v="20"/>
    <n v="1500"/>
    <n v="0"/>
    <n v="0"/>
    <n v="0"/>
    <n v="0"/>
    <n v="0"/>
    <x v="1"/>
    <n v="18718"/>
    <x v="0"/>
  </r>
  <r>
    <x v="1118"/>
    <n v="140000"/>
    <x v="1"/>
    <x v="0"/>
    <x v="2"/>
    <x v="0"/>
    <n v="54"/>
    <x v="2"/>
    <x v="4"/>
    <x v="3"/>
    <x v="3"/>
    <x v="2"/>
    <x v="0"/>
    <x v="0"/>
    <n v="-150"/>
    <n v="-150"/>
    <n v="-150"/>
    <n v="-150"/>
    <n v="-150"/>
    <n v="-150"/>
    <n v="0"/>
    <n v="0"/>
    <n v="0"/>
    <n v="0"/>
    <n v="0"/>
    <n v="0"/>
    <n v="1"/>
    <x v="0"/>
    <n v="-150"/>
    <x v="3"/>
  </r>
  <r>
    <x v="1119"/>
    <n v="120000"/>
    <x v="1"/>
    <x v="0"/>
    <x v="0"/>
    <x v="0"/>
    <n v="34"/>
    <x v="1"/>
    <x v="4"/>
    <x v="2"/>
    <x v="0"/>
    <x v="0"/>
    <x v="2"/>
    <x v="3"/>
    <n v="-9"/>
    <n v="898"/>
    <n v="7752"/>
    <n v="4447"/>
    <n v="8495"/>
    <n v="0"/>
    <n v="907"/>
    <n v="7772"/>
    <n v="4447"/>
    <n v="8495"/>
    <n v="0"/>
    <n v="528"/>
    <n v="0"/>
    <x v="1"/>
    <n v="-916"/>
    <x v="3"/>
  </r>
  <r>
    <x v="1120"/>
    <n v="200000"/>
    <x v="1"/>
    <x v="0"/>
    <x v="0"/>
    <x v="1"/>
    <n v="40"/>
    <x v="3"/>
    <x v="0"/>
    <x v="1"/>
    <x v="1"/>
    <x v="1"/>
    <x v="1"/>
    <x v="2"/>
    <n v="176502"/>
    <n v="176297"/>
    <n v="162826"/>
    <n v="160186"/>
    <n v="161965"/>
    <n v="152361"/>
    <n v="8000"/>
    <n v="7300"/>
    <n v="6000"/>
    <n v="6000"/>
    <n v="6000"/>
    <n v="6000"/>
    <n v="1"/>
    <x v="0"/>
    <n v="168502"/>
    <x v="2"/>
  </r>
  <r>
    <x v="1121"/>
    <n v="20000"/>
    <x v="0"/>
    <x v="1"/>
    <x v="0"/>
    <x v="1"/>
    <n v="30"/>
    <x v="1"/>
    <x v="4"/>
    <x v="0"/>
    <x v="5"/>
    <x v="4"/>
    <x v="3"/>
    <x v="1"/>
    <n v="19977"/>
    <n v="21359"/>
    <n v="20581"/>
    <n v="19860"/>
    <n v="19690"/>
    <n v="1735"/>
    <n v="2000"/>
    <n v="0"/>
    <n v="0"/>
    <n v="0"/>
    <n v="500"/>
    <n v="0"/>
    <n v="1"/>
    <x v="0"/>
    <n v="17977"/>
    <x v="0"/>
  </r>
  <r>
    <x v="1122"/>
    <n v="50000"/>
    <x v="0"/>
    <x v="1"/>
    <x v="0"/>
    <x v="1"/>
    <n v="26"/>
    <x v="0"/>
    <x v="2"/>
    <x v="1"/>
    <x v="1"/>
    <x v="1"/>
    <x v="1"/>
    <x v="2"/>
    <n v="48221"/>
    <n v="49629"/>
    <n v="48868"/>
    <n v="49668"/>
    <n v="49780"/>
    <n v="49980"/>
    <n v="2571"/>
    <n v="1200"/>
    <n v="1000"/>
    <n v="40000"/>
    <n v="1000"/>
    <n v="0"/>
    <n v="0"/>
    <x v="1"/>
    <n v="45650"/>
    <x v="1"/>
  </r>
  <r>
    <x v="1123"/>
    <n v="200000"/>
    <x v="1"/>
    <x v="0"/>
    <x v="0"/>
    <x v="0"/>
    <n v="41"/>
    <x v="3"/>
    <x v="2"/>
    <x v="1"/>
    <x v="1"/>
    <x v="1"/>
    <x v="1"/>
    <x v="3"/>
    <n v="18012"/>
    <n v="18367"/>
    <n v="16996"/>
    <n v="11461"/>
    <n v="8150"/>
    <n v="5584"/>
    <n v="1385"/>
    <n v="1020"/>
    <n v="229"/>
    <n v="183"/>
    <n v="5584"/>
    <n v="888"/>
    <n v="0"/>
    <x v="1"/>
    <n v="16627"/>
    <x v="0"/>
  </r>
  <r>
    <x v="1124"/>
    <n v="100000"/>
    <x v="0"/>
    <x v="0"/>
    <x v="0"/>
    <x v="1"/>
    <n v="29"/>
    <x v="0"/>
    <x v="3"/>
    <x v="2"/>
    <x v="1"/>
    <x v="1"/>
    <x v="1"/>
    <x v="2"/>
    <n v="75912"/>
    <n v="85276"/>
    <n v="88498"/>
    <n v="90289"/>
    <n v="92485"/>
    <n v="95630"/>
    <n v="10000"/>
    <n v="4000"/>
    <n v="2600"/>
    <n v="3000"/>
    <n v="4000"/>
    <n v="5000"/>
    <n v="0"/>
    <x v="1"/>
    <n v="65912"/>
    <x v="1"/>
  </r>
  <r>
    <x v="1125"/>
    <n v="300000"/>
    <x v="1"/>
    <x v="1"/>
    <x v="1"/>
    <x v="0"/>
    <n v="38"/>
    <x v="1"/>
    <x v="1"/>
    <x v="2"/>
    <x v="3"/>
    <x v="2"/>
    <x v="0"/>
    <x v="0"/>
    <n v="2285"/>
    <n v="0"/>
    <n v="0"/>
    <n v="0"/>
    <n v="0"/>
    <n v="0"/>
    <n v="0"/>
    <n v="0"/>
    <n v="0"/>
    <n v="0"/>
    <n v="0"/>
    <n v="0"/>
    <n v="0"/>
    <x v="1"/>
    <n v="2285"/>
    <x v="0"/>
  </r>
  <r>
    <x v="1126"/>
    <n v="500000"/>
    <x v="2"/>
    <x v="0"/>
    <x v="1"/>
    <x v="1"/>
    <n v="35"/>
    <x v="1"/>
    <x v="1"/>
    <x v="2"/>
    <x v="0"/>
    <x v="0"/>
    <x v="1"/>
    <x v="3"/>
    <n v="22369"/>
    <n v="14100"/>
    <n v="24754"/>
    <n v="21443"/>
    <n v="13892"/>
    <n v="11241"/>
    <n v="14128"/>
    <n v="24902"/>
    <n v="21479"/>
    <n v="11465"/>
    <n v="11356"/>
    <n v="66710"/>
    <n v="0"/>
    <x v="1"/>
    <n v="8241"/>
    <x v="0"/>
  </r>
  <r>
    <x v="1127"/>
    <n v="360000"/>
    <x v="2"/>
    <x v="0"/>
    <x v="0"/>
    <x v="0"/>
    <n v="52"/>
    <x v="2"/>
    <x v="1"/>
    <x v="2"/>
    <x v="3"/>
    <x v="2"/>
    <x v="0"/>
    <x v="0"/>
    <n v="2995"/>
    <n v="2401"/>
    <n v="2277"/>
    <n v="500"/>
    <n v="3586"/>
    <n v="7399"/>
    <n v="2406"/>
    <n v="2282"/>
    <n v="500"/>
    <n v="3586"/>
    <n v="7399"/>
    <n v="600"/>
    <n v="0"/>
    <x v="1"/>
    <n v="589"/>
    <x v="0"/>
  </r>
  <r>
    <x v="1128"/>
    <n v="160000"/>
    <x v="1"/>
    <x v="0"/>
    <x v="1"/>
    <x v="1"/>
    <n v="29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129"/>
    <n v="50000"/>
    <x v="0"/>
    <x v="0"/>
    <x v="0"/>
    <x v="1"/>
    <n v="23"/>
    <x v="0"/>
    <x v="2"/>
    <x v="1"/>
    <x v="1"/>
    <x v="3"/>
    <x v="3"/>
    <x v="1"/>
    <n v="47053"/>
    <n v="47835"/>
    <n v="51109"/>
    <n v="51713"/>
    <n v="52738"/>
    <n v="48789"/>
    <n v="1842"/>
    <n v="4116"/>
    <n v="2000"/>
    <n v="1950"/>
    <n v="0"/>
    <n v="1885"/>
    <n v="1"/>
    <x v="0"/>
    <n v="45211"/>
    <x v="1"/>
  </r>
  <r>
    <x v="1130"/>
    <n v="230000"/>
    <x v="1"/>
    <x v="0"/>
    <x v="0"/>
    <x v="0"/>
    <n v="34"/>
    <x v="1"/>
    <x v="2"/>
    <x v="1"/>
    <x v="1"/>
    <x v="1"/>
    <x v="1"/>
    <x v="2"/>
    <n v="234328"/>
    <n v="234211"/>
    <n v="157345"/>
    <n v="155335"/>
    <n v="153427"/>
    <n v="150514"/>
    <n v="8913"/>
    <n v="5449"/>
    <n v="5339"/>
    <n v="5370"/>
    <n v="4435"/>
    <n v="4432"/>
    <n v="1"/>
    <x v="0"/>
    <n v="225415"/>
    <x v="2"/>
  </r>
  <r>
    <x v="1131"/>
    <n v="200000"/>
    <x v="1"/>
    <x v="0"/>
    <x v="0"/>
    <x v="1"/>
    <n v="34"/>
    <x v="1"/>
    <x v="4"/>
    <x v="2"/>
    <x v="0"/>
    <x v="0"/>
    <x v="2"/>
    <x v="3"/>
    <n v="0"/>
    <n v="3346"/>
    <n v="0"/>
    <n v="465"/>
    <n v="1775"/>
    <n v="8722"/>
    <n v="3346"/>
    <n v="0"/>
    <n v="465"/>
    <n v="1775"/>
    <n v="8722"/>
    <n v="0"/>
    <n v="0"/>
    <x v="1"/>
    <n v="-3346"/>
    <x v="3"/>
  </r>
  <r>
    <x v="1132"/>
    <n v="270000"/>
    <x v="1"/>
    <x v="1"/>
    <x v="1"/>
    <x v="0"/>
    <n v="44"/>
    <x v="3"/>
    <x v="5"/>
    <x v="4"/>
    <x v="5"/>
    <x v="5"/>
    <x v="6"/>
    <x v="6"/>
    <n v="256402"/>
    <n v="264267"/>
    <n v="271951"/>
    <n v="278509"/>
    <n v="283545"/>
    <n v="278436"/>
    <n v="17944"/>
    <n v="18112"/>
    <n v="15405"/>
    <n v="10000"/>
    <n v="0"/>
    <n v="0"/>
    <n v="0"/>
    <x v="1"/>
    <n v="238458"/>
    <x v="2"/>
  </r>
  <r>
    <x v="1133"/>
    <n v="50000"/>
    <x v="0"/>
    <x v="0"/>
    <x v="0"/>
    <x v="0"/>
    <n v="36"/>
    <x v="1"/>
    <x v="0"/>
    <x v="0"/>
    <x v="2"/>
    <x v="1"/>
    <x v="1"/>
    <x v="1"/>
    <n v="45159"/>
    <n v="49125"/>
    <n v="47956"/>
    <n v="43578"/>
    <n v="35126"/>
    <n v="34420"/>
    <n v="4700"/>
    <n v="0"/>
    <n v="2004"/>
    <n v="3500"/>
    <n v="0"/>
    <n v="1000"/>
    <n v="0"/>
    <x v="1"/>
    <n v="40459"/>
    <x v="1"/>
  </r>
  <r>
    <x v="1134"/>
    <n v="20000"/>
    <x v="0"/>
    <x v="1"/>
    <x v="0"/>
    <x v="1"/>
    <n v="28"/>
    <x v="0"/>
    <x v="4"/>
    <x v="0"/>
    <x v="2"/>
    <x v="3"/>
    <x v="1"/>
    <x v="2"/>
    <n v="15764"/>
    <n v="15718"/>
    <n v="17164"/>
    <n v="16594"/>
    <n v="18158"/>
    <n v="19554"/>
    <n v="500"/>
    <n v="2000"/>
    <n v="0"/>
    <n v="2000"/>
    <n v="1700"/>
    <n v="0"/>
    <n v="0"/>
    <x v="1"/>
    <n v="15264"/>
    <x v="0"/>
  </r>
  <r>
    <x v="1135"/>
    <n v="60000"/>
    <x v="0"/>
    <x v="0"/>
    <x v="0"/>
    <x v="1"/>
    <n v="31"/>
    <x v="1"/>
    <x v="2"/>
    <x v="1"/>
    <x v="1"/>
    <x v="1"/>
    <x v="3"/>
    <x v="2"/>
    <n v="59643"/>
    <n v="61279"/>
    <n v="61017"/>
    <n v="30117"/>
    <n v="29526"/>
    <n v="29201"/>
    <n v="3200"/>
    <n v="2535"/>
    <n v="2331"/>
    <n v="0"/>
    <n v="1073"/>
    <n v="2134"/>
    <n v="0"/>
    <x v="1"/>
    <n v="56443"/>
    <x v="1"/>
  </r>
  <r>
    <x v="1136"/>
    <n v="50000"/>
    <x v="0"/>
    <x v="1"/>
    <x v="0"/>
    <x v="1"/>
    <n v="31"/>
    <x v="1"/>
    <x v="1"/>
    <x v="2"/>
    <x v="0"/>
    <x v="1"/>
    <x v="1"/>
    <x v="3"/>
    <n v="2522"/>
    <n v="0"/>
    <n v="18171"/>
    <n v="17051"/>
    <n v="390"/>
    <n v="16526"/>
    <n v="0"/>
    <n v="18171"/>
    <n v="341"/>
    <n v="0"/>
    <n v="16526"/>
    <n v="324"/>
    <n v="0"/>
    <x v="1"/>
    <n v="2522"/>
    <x v="0"/>
  </r>
  <r>
    <x v="1137"/>
    <n v="50000"/>
    <x v="0"/>
    <x v="1"/>
    <x v="0"/>
    <x v="0"/>
    <n v="41"/>
    <x v="3"/>
    <x v="2"/>
    <x v="1"/>
    <x v="1"/>
    <x v="1"/>
    <x v="1"/>
    <x v="2"/>
    <n v="19339"/>
    <n v="20424"/>
    <n v="20086"/>
    <n v="18600"/>
    <n v="19153"/>
    <n v="19289"/>
    <n v="1703"/>
    <n v="1306"/>
    <n v="810"/>
    <n v="1000"/>
    <n v="900"/>
    <n v="900"/>
    <n v="0"/>
    <x v="1"/>
    <n v="17636"/>
    <x v="0"/>
  </r>
  <r>
    <x v="1138"/>
    <n v="130000"/>
    <x v="1"/>
    <x v="0"/>
    <x v="2"/>
    <x v="0"/>
    <n v="44"/>
    <x v="3"/>
    <x v="2"/>
    <x v="1"/>
    <x v="1"/>
    <x v="1"/>
    <x v="1"/>
    <x v="1"/>
    <n v="109006"/>
    <n v="110256"/>
    <n v="113283"/>
    <n v="101247"/>
    <n v="96939"/>
    <n v="81977"/>
    <n v="4500"/>
    <n v="5000"/>
    <n v="4000"/>
    <n v="10600"/>
    <n v="0"/>
    <n v="2300"/>
    <n v="0"/>
    <x v="1"/>
    <n v="104506"/>
    <x v="2"/>
  </r>
  <r>
    <x v="1139"/>
    <n v="230000"/>
    <x v="1"/>
    <x v="0"/>
    <x v="2"/>
    <x v="1"/>
    <n v="47"/>
    <x v="3"/>
    <x v="2"/>
    <x v="1"/>
    <x v="1"/>
    <x v="1"/>
    <x v="1"/>
    <x v="2"/>
    <n v="147300"/>
    <n v="121855"/>
    <n v="102074"/>
    <n v="94225"/>
    <n v="96616"/>
    <n v="95849"/>
    <n v="10000"/>
    <n v="5000"/>
    <n v="4000"/>
    <n v="4000"/>
    <n v="5000"/>
    <n v="4000"/>
    <n v="0"/>
    <x v="1"/>
    <n v="137300"/>
    <x v="2"/>
  </r>
  <r>
    <x v="1140"/>
    <n v="20000"/>
    <x v="0"/>
    <x v="1"/>
    <x v="0"/>
    <x v="1"/>
    <n v="25"/>
    <x v="0"/>
    <x v="2"/>
    <x v="1"/>
    <x v="1"/>
    <x v="2"/>
    <x v="2"/>
    <x v="2"/>
    <n v="3400"/>
    <n v="4129"/>
    <n v="0"/>
    <n v="0"/>
    <n v="3244"/>
    <n v="3314"/>
    <n v="1000"/>
    <n v="0"/>
    <n v="0"/>
    <n v="3244"/>
    <n v="124"/>
    <n v="66"/>
    <n v="0"/>
    <x v="1"/>
    <n v="2400"/>
    <x v="0"/>
  </r>
  <r>
    <x v="1141"/>
    <n v="30000"/>
    <x v="0"/>
    <x v="0"/>
    <x v="1"/>
    <x v="1"/>
    <n v="25"/>
    <x v="0"/>
    <x v="2"/>
    <x v="1"/>
    <x v="2"/>
    <x v="1"/>
    <x v="1"/>
    <x v="1"/>
    <n v="19801"/>
    <n v="20449"/>
    <n v="19798"/>
    <n v="20217"/>
    <n v="21435"/>
    <n v="19239"/>
    <n v="3000"/>
    <n v="0"/>
    <n v="700"/>
    <n v="1500"/>
    <n v="0"/>
    <n v="323"/>
    <n v="0"/>
    <x v="1"/>
    <n v="16801"/>
    <x v="0"/>
  </r>
  <r>
    <x v="1142"/>
    <n v="200000"/>
    <x v="1"/>
    <x v="0"/>
    <x v="1"/>
    <x v="0"/>
    <n v="39"/>
    <x v="1"/>
    <x v="1"/>
    <x v="1"/>
    <x v="0"/>
    <x v="1"/>
    <x v="1"/>
    <x v="2"/>
    <n v="8432"/>
    <n v="6977"/>
    <n v="6727"/>
    <n v="6864"/>
    <n v="5253"/>
    <n v="3388"/>
    <n v="3746"/>
    <n v="6737"/>
    <n v="2013"/>
    <n v="10"/>
    <n v="20"/>
    <n v="10901"/>
    <n v="0"/>
    <x v="1"/>
    <n v="4686"/>
    <x v="0"/>
  </r>
  <r>
    <x v="1143"/>
    <n v="140000"/>
    <x v="1"/>
    <x v="0"/>
    <x v="0"/>
    <x v="0"/>
    <n v="24"/>
    <x v="0"/>
    <x v="1"/>
    <x v="2"/>
    <x v="3"/>
    <x v="2"/>
    <x v="2"/>
    <x v="3"/>
    <n v="2515"/>
    <n v="0"/>
    <n v="0"/>
    <n v="0"/>
    <n v="2243"/>
    <n v="5530"/>
    <n v="0"/>
    <n v="0"/>
    <n v="0"/>
    <n v="2243"/>
    <n v="5530"/>
    <n v="4441"/>
    <n v="0"/>
    <x v="1"/>
    <n v="2515"/>
    <x v="0"/>
  </r>
  <r>
    <x v="1144"/>
    <n v="100000"/>
    <x v="0"/>
    <x v="0"/>
    <x v="0"/>
    <x v="0"/>
    <n v="35"/>
    <x v="1"/>
    <x v="0"/>
    <x v="1"/>
    <x v="1"/>
    <x v="3"/>
    <x v="3"/>
    <x v="2"/>
    <n v="98845"/>
    <n v="95265"/>
    <n v="98571"/>
    <n v="99322"/>
    <n v="96661"/>
    <n v="95951"/>
    <n v="4600"/>
    <n v="8002"/>
    <n v="4003"/>
    <n v="2"/>
    <n v="4005"/>
    <n v="4000"/>
    <n v="1"/>
    <x v="0"/>
    <n v="94245"/>
    <x v="1"/>
  </r>
  <r>
    <x v="1145"/>
    <n v="240000"/>
    <x v="1"/>
    <x v="1"/>
    <x v="0"/>
    <x v="0"/>
    <n v="32"/>
    <x v="1"/>
    <x v="0"/>
    <x v="0"/>
    <x v="2"/>
    <x v="1"/>
    <x v="1"/>
    <x v="2"/>
    <n v="127418"/>
    <n v="135942"/>
    <n v="132640"/>
    <n v="135320"/>
    <n v="138523"/>
    <n v="141618"/>
    <n v="10400"/>
    <n v="0"/>
    <n v="4500"/>
    <n v="5000"/>
    <n v="5000"/>
    <n v="5000"/>
    <n v="1"/>
    <x v="0"/>
    <n v="117018"/>
    <x v="2"/>
  </r>
  <r>
    <x v="1146"/>
    <n v="70000"/>
    <x v="0"/>
    <x v="0"/>
    <x v="1"/>
    <x v="1"/>
    <n v="31"/>
    <x v="1"/>
    <x v="0"/>
    <x v="0"/>
    <x v="7"/>
    <x v="7"/>
    <x v="7"/>
    <x v="7"/>
    <n v="2400"/>
    <n v="2400"/>
    <n v="2400"/>
    <n v="2400"/>
    <n v="2400"/>
    <n v="2400"/>
    <n v="0"/>
    <n v="0"/>
    <n v="0"/>
    <n v="0"/>
    <n v="0"/>
    <n v="0"/>
    <n v="1"/>
    <x v="0"/>
    <n v="2400"/>
    <x v="0"/>
  </r>
  <r>
    <x v="1147"/>
    <n v="360000"/>
    <x v="2"/>
    <x v="1"/>
    <x v="1"/>
    <x v="1"/>
    <n v="33"/>
    <x v="1"/>
    <x v="4"/>
    <x v="0"/>
    <x v="1"/>
    <x v="1"/>
    <x v="2"/>
    <x v="3"/>
    <n v="71195"/>
    <n v="60553"/>
    <n v="60158"/>
    <n v="16672"/>
    <n v="35039"/>
    <n v="8320"/>
    <n v="0"/>
    <n v="1399"/>
    <n v="0"/>
    <n v="35039"/>
    <n v="8320"/>
    <n v="5169"/>
    <n v="0"/>
    <x v="1"/>
    <n v="71195"/>
    <x v="1"/>
  </r>
  <r>
    <x v="1148"/>
    <n v="140000"/>
    <x v="1"/>
    <x v="0"/>
    <x v="1"/>
    <x v="1"/>
    <n v="30"/>
    <x v="1"/>
    <x v="4"/>
    <x v="0"/>
    <x v="1"/>
    <x v="1"/>
    <x v="1"/>
    <x v="2"/>
    <n v="149389"/>
    <n v="145757"/>
    <n v="144229"/>
    <n v="144470"/>
    <n v="144386"/>
    <n v="120586"/>
    <n v="0"/>
    <n v="5350"/>
    <n v="5555"/>
    <n v="5836"/>
    <n v="4191"/>
    <n v="4341"/>
    <n v="0"/>
    <x v="1"/>
    <n v="149389"/>
    <x v="2"/>
  </r>
  <r>
    <x v="1149"/>
    <n v="50000"/>
    <x v="0"/>
    <x v="1"/>
    <x v="0"/>
    <x v="0"/>
    <n v="52"/>
    <x v="2"/>
    <x v="1"/>
    <x v="0"/>
    <x v="1"/>
    <x v="1"/>
    <x v="1"/>
    <x v="2"/>
    <n v="2072"/>
    <n v="1532"/>
    <n v="3106"/>
    <n v="2721"/>
    <n v="780"/>
    <n v="0"/>
    <n v="0"/>
    <n v="2000"/>
    <n v="5"/>
    <n v="0"/>
    <n v="0"/>
    <n v="0"/>
    <n v="0"/>
    <x v="1"/>
    <n v="2072"/>
    <x v="0"/>
  </r>
  <r>
    <x v="1150"/>
    <n v="210000"/>
    <x v="1"/>
    <x v="0"/>
    <x v="0"/>
    <x v="0"/>
    <n v="36"/>
    <x v="1"/>
    <x v="1"/>
    <x v="2"/>
    <x v="0"/>
    <x v="1"/>
    <x v="2"/>
    <x v="3"/>
    <n v="396"/>
    <n v="590"/>
    <n v="2042"/>
    <n v="1646"/>
    <n v="396"/>
    <n v="396"/>
    <n v="590"/>
    <n v="2042"/>
    <n v="0"/>
    <n v="396"/>
    <n v="396"/>
    <n v="396"/>
    <n v="0"/>
    <x v="1"/>
    <n v="-194"/>
    <x v="3"/>
  </r>
  <r>
    <x v="1151"/>
    <n v="280000"/>
    <x v="1"/>
    <x v="1"/>
    <x v="1"/>
    <x v="1"/>
    <n v="30"/>
    <x v="1"/>
    <x v="4"/>
    <x v="0"/>
    <x v="2"/>
    <x v="1"/>
    <x v="1"/>
    <x v="2"/>
    <n v="191493"/>
    <n v="187913"/>
    <n v="169223"/>
    <n v="153063"/>
    <n v="133490"/>
    <n v="130377"/>
    <n v="1000"/>
    <n v="7600"/>
    <n v="5949"/>
    <n v="6000"/>
    <n v="5200"/>
    <n v="5117"/>
    <n v="0"/>
    <x v="1"/>
    <n v="190493"/>
    <x v="2"/>
  </r>
  <r>
    <x v="1152"/>
    <n v="180000"/>
    <x v="1"/>
    <x v="0"/>
    <x v="0"/>
    <x v="1"/>
    <n v="42"/>
    <x v="3"/>
    <x v="0"/>
    <x v="0"/>
    <x v="2"/>
    <x v="3"/>
    <x v="3"/>
    <x v="1"/>
    <n v="50420"/>
    <n v="51818"/>
    <n v="52372"/>
    <n v="52917"/>
    <n v="54123"/>
    <n v="55176"/>
    <n v="2500"/>
    <n v="2000"/>
    <n v="2000"/>
    <n v="2200"/>
    <n v="2100"/>
    <n v="2200"/>
    <n v="1"/>
    <x v="0"/>
    <n v="47920"/>
    <x v="1"/>
  </r>
  <r>
    <x v="1153"/>
    <n v="150000"/>
    <x v="1"/>
    <x v="0"/>
    <x v="1"/>
    <x v="1"/>
    <n v="30"/>
    <x v="1"/>
    <x v="1"/>
    <x v="1"/>
    <x v="0"/>
    <x v="1"/>
    <x v="2"/>
    <x v="3"/>
    <n v="10705"/>
    <n v="5416"/>
    <n v="5162"/>
    <n v="4068"/>
    <n v="249"/>
    <n v="249"/>
    <n v="1000"/>
    <n v="5162"/>
    <n v="1000"/>
    <n v="249"/>
    <n v="249"/>
    <n v="5565"/>
    <n v="0"/>
    <x v="1"/>
    <n v="9705"/>
    <x v="0"/>
  </r>
  <r>
    <x v="1154"/>
    <n v="20000"/>
    <x v="0"/>
    <x v="1"/>
    <x v="2"/>
    <x v="0"/>
    <n v="47"/>
    <x v="3"/>
    <x v="4"/>
    <x v="0"/>
    <x v="1"/>
    <x v="1"/>
    <x v="1"/>
    <x v="1"/>
    <n v="19739"/>
    <n v="19137"/>
    <n v="19857"/>
    <n v="15422"/>
    <n v="19279"/>
    <n v="9537"/>
    <n v="0"/>
    <n v="1200"/>
    <n v="0"/>
    <n v="9537"/>
    <n v="0"/>
    <n v="0"/>
    <n v="0"/>
    <x v="1"/>
    <n v="19739"/>
    <x v="0"/>
  </r>
  <r>
    <x v="1155"/>
    <n v="350000"/>
    <x v="2"/>
    <x v="0"/>
    <x v="0"/>
    <x v="0"/>
    <n v="29"/>
    <x v="0"/>
    <x v="1"/>
    <x v="2"/>
    <x v="0"/>
    <x v="0"/>
    <x v="2"/>
    <x v="3"/>
    <n v="8760"/>
    <n v="5882"/>
    <n v="9845"/>
    <n v="4677"/>
    <n v="5767"/>
    <n v="6532"/>
    <n v="5932"/>
    <n v="9908"/>
    <n v="4692"/>
    <n v="5787"/>
    <n v="6548"/>
    <n v="4863"/>
    <n v="0"/>
    <x v="1"/>
    <n v="2828"/>
    <x v="0"/>
  </r>
  <r>
    <x v="1156"/>
    <n v="130000"/>
    <x v="1"/>
    <x v="0"/>
    <x v="1"/>
    <x v="1"/>
    <n v="23"/>
    <x v="0"/>
    <x v="1"/>
    <x v="2"/>
    <x v="0"/>
    <x v="1"/>
    <x v="2"/>
    <x v="2"/>
    <n v="3820"/>
    <n v="2640"/>
    <n v="30403"/>
    <n v="9630"/>
    <n v="7120"/>
    <n v="3940"/>
    <n v="2640"/>
    <n v="30403"/>
    <n v="193"/>
    <n v="7120"/>
    <n v="79"/>
    <n v="9589"/>
    <n v="0"/>
    <x v="1"/>
    <n v="1180"/>
    <x v="0"/>
  </r>
  <r>
    <x v="1157"/>
    <n v="470000"/>
    <x v="2"/>
    <x v="1"/>
    <x v="2"/>
    <x v="0"/>
    <n v="39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789"/>
    <n v="0"/>
    <x v="1"/>
    <n v="0"/>
    <x v="3"/>
  </r>
  <r>
    <x v="1158"/>
    <n v="340000"/>
    <x v="2"/>
    <x v="0"/>
    <x v="0"/>
    <x v="0"/>
    <n v="48"/>
    <x v="3"/>
    <x v="1"/>
    <x v="2"/>
    <x v="0"/>
    <x v="1"/>
    <x v="1"/>
    <x v="3"/>
    <n v="4052"/>
    <n v="0"/>
    <n v="4105"/>
    <n v="2895"/>
    <n v="2895"/>
    <n v="2360"/>
    <n v="0"/>
    <n v="4105"/>
    <n v="0"/>
    <n v="0"/>
    <n v="2360"/>
    <n v="1090"/>
    <n v="0"/>
    <x v="1"/>
    <n v="4052"/>
    <x v="0"/>
  </r>
  <r>
    <x v="1159"/>
    <n v="80000"/>
    <x v="0"/>
    <x v="1"/>
    <x v="0"/>
    <x v="1"/>
    <n v="26"/>
    <x v="0"/>
    <x v="4"/>
    <x v="0"/>
    <x v="2"/>
    <x v="3"/>
    <x v="1"/>
    <x v="2"/>
    <n v="77389"/>
    <n v="75585"/>
    <n v="80300"/>
    <n v="75724"/>
    <n v="77504"/>
    <n v="79715"/>
    <n v="0"/>
    <n v="6000"/>
    <n v="0"/>
    <n v="3000"/>
    <n v="3500"/>
    <n v="3000"/>
    <n v="0"/>
    <x v="1"/>
    <n v="77389"/>
    <x v="1"/>
  </r>
  <r>
    <x v="1160"/>
    <n v="70000"/>
    <x v="0"/>
    <x v="1"/>
    <x v="1"/>
    <x v="1"/>
    <n v="33"/>
    <x v="1"/>
    <x v="2"/>
    <x v="1"/>
    <x v="1"/>
    <x v="1"/>
    <x v="0"/>
    <x v="0"/>
    <n v="70524"/>
    <n v="70740"/>
    <n v="46740"/>
    <n v="0"/>
    <n v="0"/>
    <n v="0"/>
    <n v="2500"/>
    <n v="2000"/>
    <n v="0"/>
    <n v="0"/>
    <n v="0"/>
    <n v="0"/>
    <n v="0"/>
    <x v="1"/>
    <n v="68024"/>
    <x v="1"/>
  </r>
  <r>
    <x v="1161"/>
    <n v="230000"/>
    <x v="1"/>
    <x v="0"/>
    <x v="0"/>
    <x v="0"/>
    <n v="44"/>
    <x v="3"/>
    <x v="3"/>
    <x v="3"/>
    <x v="3"/>
    <x v="2"/>
    <x v="0"/>
    <x v="0"/>
    <n v="5990"/>
    <n v="1677"/>
    <n v="2920"/>
    <n v="2683"/>
    <n v="1674"/>
    <n v="3273"/>
    <n v="1677"/>
    <n v="2920"/>
    <n v="2683"/>
    <n v="1674"/>
    <n v="3273"/>
    <n v="2749"/>
    <n v="0"/>
    <x v="1"/>
    <n v="4313"/>
    <x v="0"/>
  </r>
  <r>
    <x v="1162"/>
    <n v="180000"/>
    <x v="1"/>
    <x v="0"/>
    <x v="0"/>
    <x v="0"/>
    <n v="36"/>
    <x v="1"/>
    <x v="2"/>
    <x v="1"/>
    <x v="1"/>
    <x v="2"/>
    <x v="2"/>
    <x v="2"/>
    <n v="21494"/>
    <n v="25600"/>
    <n v="0"/>
    <n v="0"/>
    <n v="36565"/>
    <n v="37353"/>
    <n v="5000"/>
    <n v="0"/>
    <n v="0"/>
    <n v="36565"/>
    <n v="1548"/>
    <n v="1000"/>
    <n v="0"/>
    <x v="1"/>
    <n v="16494"/>
    <x v="0"/>
  </r>
  <r>
    <x v="1163"/>
    <n v="210000"/>
    <x v="1"/>
    <x v="0"/>
    <x v="0"/>
    <x v="0"/>
    <n v="39"/>
    <x v="1"/>
    <x v="2"/>
    <x v="1"/>
    <x v="1"/>
    <x v="1"/>
    <x v="1"/>
    <x v="3"/>
    <n v="26749"/>
    <n v="34451"/>
    <n v="25200"/>
    <n v="19850"/>
    <n v="15530"/>
    <n v="13021"/>
    <n v="14000"/>
    <n v="3007"/>
    <n v="5000"/>
    <n v="1000"/>
    <n v="13021"/>
    <n v="22171"/>
    <n v="0"/>
    <x v="1"/>
    <n v="12749"/>
    <x v="0"/>
  </r>
  <r>
    <x v="1164"/>
    <n v="20000"/>
    <x v="0"/>
    <x v="1"/>
    <x v="0"/>
    <x v="1"/>
    <n v="24"/>
    <x v="0"/>
    <x v="1"/>
    <x v="2"/>
    <x v="0"/>
    <x v="0"/>
    <x v="2"/>
    <x v="3"/>
    <n v="780"/>
    <n v="0"/>
    <n v="390"/>
    <n v="390"/>
    <n v="780"/>
    <n v="0"/>
    <n v="0"/>
    <n v="390"/>
    <n v="390"/>
    <n v="780"/>
    <n v="0"/>
    <n v="0"/>
    <n v="0"/>
    <x v="1"/>
    <n v="780"/>
    <x v="0"/>
  </r>
  <r>
    <x v="1165"/>
    <n v="140000"/>
    <x v="1"/>
    <x v="0"/>
    <x v="0"/>
    <x v="1"/>
    <n v="25"/>
    <x v="0"/>
    <x v="0"/>
    <x v="1"/>
    <x v="1"/>
    <x v="0"/>
    <x v="2"/>
    <x v="2"/>
    <n v="137606"/>
    <n v="140557"/>
    <n v="111000"/>
    <n v="3238"/>
    <n v="89437"/>
    <n v="91136"/>
    <n v="6000"/>
    <n v="3200"/>
    <n v="3238"/>
    <n v="89437"/>
    <n v="3228"/>
    <n v="3000"/>
    <n v="0"/>
    <x v="1"/>
    <n v="131606"/>
    <x v="2"/>
  </r>
  <r>
    <x v="1166"/>
    <n v="200000"/>
    <x v="1"/>
    <x v="1"/>
    <x v="1"/>
    <x v="1"/>
    <n v="52"/>
    <x v="2"/>
    <x v="2"/>
    <x v="1"/>
    <x v="1"/>
    <x v="1"/>
    <x v="1"/>
    <x v="2"/>
    <n v="115702"/>
    <n v="113576"/>
    <n v="109812"/>
    <n v="104567"/>
    <n v="100541"/>
    <n v="96495"/>
    <n v="5517"/>
    <n v="5381"/>
    <n v="3838"/>
    <n v="3589"/>
    <n v="3397"/>
    <n v="3296"/>
    <n v="0"/>
    <x v="1"/>
    <n v="110185"/>
    <x v="2"/>
  </r>
  <r>
    <x v="1167"/>
    <n v="50000"/>
    <x v="0"/>
    <x v="0"/>
    <x v="2"/>
    <x v="0"/>
    <n v="59"/>
    <x v="2"/>
    <x v="2"/>
    <x v="1"/>
    <x v="1"/>
    <x v="1"/>
    <x v="1"/>
    <x v="2"/>
    <n v="47822"/>
    <n v="36488"/>
    <n v="36811"/>
    <n v="13234"/>
    <n v="11543"/>
    <n v="10751"/>
    <n v="2009"/>
    <n v="2000"/>
    <n v="556"/>
    <n v="378"/>
    <n v="619"/>
    <n v="5000"/>
    <n v="0"/>
    <x v="1"/>
    <n v="45813"/>
    <x v="1"/>
  </r>
  <r>
    <x v="1168"/>
    <n v="80000"/>
    <x v="0"/>
    <x v="0"/>
    <x v="1"/>
    <x v="1"/>
    <n v="23"/>
    <x v="0"/>
    <x v="1"/>
    <x v="2"/>
    <x v="1"/>
    <x v="1"/>
    <x v="2"/>
    <x v="3"/>
    <n v="3526"/>
    <n v="6687"/>
    <n v="4356"/>
    <n v="3450"/>
    <n v="4318"/>
    <n v="0"/>
    <n v="6687"/>
    <n v="1000"/>
    <n v="0"/>
    <n v="4318"/>
    <n v="0"/>
    <n v="254"/>
    <n v="0"/>
    <x v="1"/>
    <n v="-3161"/>
    <x v="3"/>
  </r>
  <r>
    <x v="1169"/>
    <n v="30000"/>
    <x v="0"/>
    <x v="0"/>
    <x v="2"/>
    <x v="1"/>
    <n v="48"/>
    <x v="3"/>
    <x v="2"/>
    <x v="1"/>
    <x v="1"/>
    <x v="1"/>
    <x v="1"/>
    <x v="2"/>
    <n v="1445"/>
    <n v="3410"/>
    <n v="5338"/>
    <n v="7239"/>
    <n v="9112"/>
    <n v="10949"/>
    <n v="2000"/>
    <n v="2000"/>
    <n v="2000"/>
    <n v="2000"/>
    <n v="2000"/>
    <n v="2000"/>
    <n v="0"/>
    <x v="1"/>
    <n v="-555"/>
    <x v="3"/>
  </r>
  <r>
    <x v="1170"/>
    <n v="140000"/>
    <x v="1"/>
    <x v="0"/>
    <x v="1"/>
    <x v="1"/>
    <n v="28"/>
    <x v="0"/>
    <x v="2"/>
    <x v="1"/>
    <x v="2"/>
    <x v="1"/>
    <x v="1"/>
    <x v="2"/>
    <n v="9305"/>
    <n v="13614"/>
    <n v="13103"/>
    <n v="14077"/>
    <n v="15189"/>
    <n v="16275"/>
    <n v="4800"/>
    <n v="0"/>
    <n v="1500"/>
    <n v="1500"/>
    <n v="1500"/>
    <n v="1500"/>
    <n v="1"/>
    <x v="0"/>
    <n v="4505"/>
    <x v="0"/>
  </r>
  <r>
    <x v="1171"/>
    <n v="80000"/>
    <x v="0"/>
    <x v="1"/>
    <x v="2"/>
    <x v="0"/>
    <n v="62"/>
    <x v="2"/>
    <x v="1"/>
    <x v="2"/>
    <x v="0"/>
    <x v="0"/>
    <x v="2"/>
    <x v="3"/>
    <n v="1262"/>
    <n v="1642"/>
    <n v="1975"/>
    <n v="672"/>
    <n v="5112"/>
    <n v="3932"/>
    <n v="1642"/>
    <n v="1975"/>
    <n v="672"/>
    <n v="5112"/>
    <n v="3932"/>
    <n v="20289"/>
    <n v="0"/>
    <x v="1"/>
    <n v="-380"/>
    <x v="3"/>
  </r>
  <r>
    <x v="1172"/>
    <n v="220000"/>
    <x v="1"/>
    <x v="0"/>
    <x v="2"/>
    <x v="0"/>
    <n v="38"/>
    <x v="1"/>
    <x v="1"/>
    <x v="2"/>
    <x v="0"/>
    <x v="0"/>
    <x v="2"/>
    <x v="3"/>
    <n v="20000"/>
    <n v="3450"/>
    <n v="5516"/>
    <n v="47619"/>
    <n v="28800"/>
    <n v="8561"/>
    <n v="3450"/>
    <n v="5549"/>
    <n v="50019"/>
    <n v="28800"/>
    <n v="8561"/>
    <n v="16599"/>
    <n v="0"/>
    <x v="1"/>
    <n v="16550"/>
    <x v="0"/>
  </r>
  <r>
    <x v="1173"/>
    <n v="180000"/>
    <x v="1"/>
    <x v="0"/>
    <x v="1"/>
    <x v="1"/>
    <n v="32"/>
    <x v="1"/>
    <x v="1"/>
    <x v="2"/>
    <x v="0"/>
    <x v="0"/>
    <x v="2"/>
    <x v="3"/>
    <n v="666"/>
    <n v="666"/>
    <n v="666"/>
    <n v="666"/>
    <n v="666"/>
    <n v="666"/>
    <n v="666"/>
    <n v="666"/>
    <n v="666"/>
    <n v="666"/>
    <n v="666"/>
    <n v="666"/>
    <n v="0"/>
    <x v="1"/>
    <n v="0"/>
    <x v="3"/>
  </r>
  <r>
    <x v="1174"/>
    <n v="140000"/>
    <x v="1"/>
    <x v="0"/>
    <x v="0"/>
    <x v="0"/>
    <n v="29"/>
    <x v="0"/>
    <x v="2"/>
    <x v="1"/>
    <x v="1"/>
    <x v="1"/>
    <x v="1"/>
    <x v="2"/>
    <n v="81764"/>
    <n v="92071"/>
    <n v="43777"/>
    <n v="22806"/>
    <n v="12643"/>
    <n v="29707"/>
    <n v="20167"/>
    <n v="5000"/>
    <n v="28800"/>
    <n v="2000"/>
    <n v="20007"/>
    <n v="10009"/>
    <n v="1"/>
    <x v="0"/>
    <n v="61597"/>
    <x v="1"/>
  </r>
  <r>
    <x v="1175"/>
    <n v="180000"/>
    <x v="1"/>
    <x v="1"/>
    <x v="0"/>
    <x v="1"/>
    <n v="25"/>
    <x v="0"/>
    <x v="0"/>
    <x v="0"/>
    <x v="2"/>
    <x v="1"/>
    <x v="1"/>
    <x v="2"/>
    <n v="10022"/>
    <n v="12847"/>
    <n v="12351"/>
    <n v="12350"/>
    <n v="12608"/>
    <n v="12892"/>
    <n v="3000"/>
    <n v="0"/>
    <n v="500"/>
    <n v="455"/>
    <n v="491"/>
    <n v="500"/>
    <n v="1"/>
    <x v="0"/>
    <n v="7022"/>
    <x v="0"/>
  </r>
  <r>
    <x v="1176"/>
    <n v="50000"/>
    <x v="0"/>
    <x v="0"/>
    <x v="0"/>
    <x v="1"/>
    <n v="35"/>
    <x v="1"/>
    <x v="2"/>
    <x v="1"/>
    <x v="1"/>
    <x v="1"/>
    <x v="1"/>
    <x v="2"/>
    <n v="14536"/>
    <n v="15694"/>
    <n v="16431"/>
    <n v="17056"/>
    <n v="17581"/>
    <n v="18089"/>
    <n v="1700"/>
    <n v="1300"/>
    <n v="900"/>
    <n v="800"/>
    <n v="800"/>
    <n v="900"/>
    <n v="0"/>
    <x v="1"/>
    <n v="12836"/>
    <x v="0"/>
  </r>
  <r>
    <x v="1177"/>
    <n v="170000"/>
    <x v="1"/>
    <x v="0"/>
    <x v="0"/>
    <x v="1"/>
    <n v="27"/>
    <x v="0"/>
    <x v="2"/>
    <x v="1"/>
    <x v="1"/>
    <x v="1"/>
    <x v="1"/>
    <x v="2"/>
    <n v="97474"/>
    <n v="78520"/>
    <n v="80131"/>
    <n v="70788"/>
    <n v="68927"/>
    <n v="70678"/>
    <n v="2932"/>
    <n v="3000"/>
    <n v="2500"/>
    <n v="3000"/>
    <n v="2900"/>
    <n v="2918"/>
    <n v="0"/>
    <x v="1"/>
    <n v="94542"/>
    <x v="1"/>
  </r>
  <r>
    <x v="1178"/>
    <n v="50000"/>
    <x v="0"/>
    <x v="1"/>
    <x v="0"/>
    <x v="1"/>
    <n v="38"/>
    <x v="1"/>
    <x v="2"/>
    <x v="1"/>
    <x v="1"/>
    <x v="1"/>
    <x v="1"/>
    <x v="2"/>
    <n v="50958"/>
    <n v="50889"/>
    <n v="49697"/>
    <n v="9176"/>
    <n v="9368"/>
    <n v="9554"/>
    <n v="2042"/>
    <n v="1150"/>
    <n v="329"/>
    <n v="340"/>
    <n v="342"/>
    <n v="354"/>
    <n v="0"/>
    <x v="1"/>
    <n v="48916"/>
    <x v="1"/>
  </r>
  <r>
    <x v="1179"/>
    <n v="50000"/>
    <x v="0"/>
    <x v="1"/>
    <x v="0"/>
    <x v="1"/>
    <n v="24"/>
    <x v="0"/>
    <x v="2"/>
    <x v="1"/>
    <x v="1"/>
    <x v="1"/>
    <x v="1"/>
    <x v="2"/>
    <n v="49144"/>
    <n v="20818"/>
    <n v="17890"/>
    <n v="18310"/>
    <n v="17931"/>
    <n v="18633"/>
    <n v="1500"/>
    <n v="1300"/>
    <n v="700"/>
    <n v="1000"/>
    <n v="1000"/>
    <n v="1000"/>
    <n v="0"/>
    <x v="1"/>
    <n v="47644"/>
    <x v="1"/>
  </r>
  <r>
    <x v="1180"/>
    <n v="300000"/>
    <x v="1"/>
    <x v="1"/>
    <x v="0"/>
    <x v="0"/>
    <n v="29"/>
    <x v="0"/>
    <x v="1"/>
    <x v="2"/>
    <x v="3"/>
    <x v="2"/>
    <x v="0"/>
    <x v="0"/>
    <n v="1874"/>
    <n v="-200"/>
    <n v="-200"/>
    <n v="-200"/>
    <n v="-200"/>
    <n v="-200"/>
    <n v="0"/>
    <n v="0"/>
    <n v="0"/>
    <n v="0"/>
    <n v="0"/>
    <n v="0"/>
    <n v="0"/>
    <x v="1"/>
    <n v="1874"/>
    <x v="0"/>
  </r>
  <r>
    <x v="1181"/>
    <n v="390000"/>
    <x v="2"/>
    <x v="0"/>
    <x v="1"/>
    <x v="1"/>
    <n v="27"/>
    <x v="0"/>
    <x v="0"/>
    <x v="1"/>
    <x v="1"/>
    <x v="1"/>
    <x v="1"/>
    <x v="2"/>
    <n v="386301"/>
    <n v="392458"/>
    <n v="290201"/>
    <n v="295606"/>
    <n v="300709"/>
    <n v="305904"/>
    <n v="17000"/>
    <n v="11000"/>
    <n v="11000"/>
    <n v="10656"/>
    <n v="11000"/>
    <n v="12000"/>
    <n v="0"/>
    <x v="1"/>
    <n v="369301"/>
    <x v="2"/>
  </r>
  <r>
    <x v="1182"/>
    <n v="90000"/>
    <x v="0"/>
    <x v="0"/>
    <x v="0"/>
    <x v="0"/>
    <n v="55"/>
    <x v="2"/>
    <x v="0"/>
    <x v="0"/>
    <x v="1"/>
    <x v="1"/>
    <x v="1"/>
    <x v="2"/>
    <n v="81998"/>
    <n v="83674"/>
    <n v="80890"/>
    <n v="31565"/>
    <n v="33049"/>
    <n v="22694"/>
    <n v="4003"/>
    <n v="3000"/>
    <n v="3000"/>
    <n v="3000"/>
    <n v="2000"/>
    <n v="2000"/>
    <n v="1"/>
    <x v="0"/>
    <n v="77995"/>
    <x v="1"/>
  </r>
  <r>
    <x v="1183"/>
    <n v="200000"/>
    <x v="1"/>
    <x v="0"/>
    <x v="1"/>
    <x v="1"/>
    <n v="29"/>
    <x v="0"/>
    <x v="2"/>
    <x v="1"/>
    <x v="1"/>
    <x v="1"/>
    <x v="1"/>
    <x v="2"/>
    <n v="194241"/>
    <n v="193425"/>
    <n v="196537"/>
    <n v="195268"/>
    <n v="192829"/>
    <n v="192499"/>
    <n v="12000"/>
    <n v="8500"/>
    <n v="7000"/>
    <n v="10000"/>
    <n v="10000"/>
    <n v="10000"/>
    <n v="0"/>
    <x v="1"/>
    <n v="182241"/>
    <x v="2"/>
  </r>
  <r>
    <x v="1184"/>
    <n v="460000"/>
    <x v="2"/>
    <x v="1"/>
    <x v="1"/>
    <x v="1"/>
    <n v="29"/>
    <x v="0"/>
    <x v="2"/>
    <x v="1"/>
    <x v="1"/>
    <x v="1"/>
    <x v="1"/>
    <x v="2"/>
    <n v="410033"/>
    <n v="385394"/>
    <n v="325663"/>
    <n v="324067"/>
    <n v="324749"/>
    <n v="327929"/>
    <n v="16088"/>
    <n v="13039"/>
    <n v="11127"/>
    <n v="11017"/>
    <n v="11110"/>
    <n v="11113"/>
    <n v="0"/>
    <x v="1"/>
    <n v="393945"/>
    <x v="2"/>
  </r>
  <r>
    <x v="1185"/>
    <n v="10000"/>
    <x v="0"/>
    <x v="1"/>
    <x v="0"/>
    <x v="1"/>
    <n v="23"/>
    <x v="0"/>
    <x v="2"/>
    <x v="1"/>
    <x v="1"/>
    <x v="1"/>
    <x v="1"/>
    <x v="0"/>
    <n v="3714"/>
    <n v="4158"/>
    <n v="4654"/>
    <n v="3080"/>
    <n v="0"/>
    <n v="0"/>
    <n v="1104"/>
    <n v="1000"/>
    <n v="31"/>
    <n v="0"/>
    <n v="0"/>
    <n v="0"/>
    <n v="0"/>
    <x v="1"/>
    <n v="2610"/>
    <x v="0"/>
  </r>
  <r>
    <x v="1186"/>
    <n v="20000"/>
    <x v="0"/>
    <x v="1"/>
    <x v="0"/>
    <x v="0"/>
    <n v="30"/>
    <x v="1"/>
    <x v="1"/>
    <x v="2"/>
    <x v="1"/>
    <x v="1"/>
    <x v="2"/>
    <x v="3"/>
    <n v="1261"/>
    <n v="2835"/>
    <n v="2522"/>
    <n v="1261"/>
    <n v="1261"/>
    <n v="930"/>
    <n v="2835"/>
    <n v="1000"/>
    <n v="0"/>
    <n v="1261"/>
    <n v="930"/>
    <n v="540"/>
    <n v="1"/>
    <x v="0"/>
    <n v="-1574"/>
    <x v="3"/>
  </r>
  <r>
    <x v="1187"/>
    <n v="50000"/>
    <x v="0"/>
    <x v="0"/>
    <x v="0"/>
    <x v="0"/>
    <n v="50"/>
    <x v="2"/>
    <x v="1"/>
    <x v="2"/>
    <x v="0"/>
    <x v="0"/>
    <x v="0"/>
    <x v="3"/>
    <n v="1232"/>
    <n v="1846"/>
    <n v="697"/>
    <n v="364"/>
    <n v="0"/>
    <n v="760"/>
    <n v="1846"/>
    <n v="697"/>
    <n v="364"/>
    <n v="0"/>
    <n v="760"/>
    <n v="5862"/>
    <n v="0"/>
    <x v="1"/>
    <n v="-614"/>
    <x v="3"/>
  </r>
  <r>
    <x v="1188"/>
    <n v="480000"/>
    <x v="2"/>
    <x v="0"/>
    <x v="0"/>
    <x v="0"/>
    <n v="38"/>
    <x v="1"/>
    <x v="2"/>
    <x v="1"/>
    <x v="1"/>
    <x v="1"/>
    <x v="1"/>
    <x v="2"/>
    <n v="90258"/>
    <n v="76099"/>
    <n v="56776"/>
    <n v="37484"/>
    <n v="37906"/>
    <n v="18387"/>
    <n v="30000"/>
    <n v="1708"/>
    <n v="1292"/>
    <n v="1010"/>
    <n v="772"/>
    <n v="705"/>
    <n v="0"/>
    <x v="1"/>
    <n v="60258"/>
    <x v="1"/>
  </r>
  <r>
    <x v="1189"/>
    <n v="180000"/>
    <x v="1"/>
    <x v="0"/>
    <x v="1"/>
    <x v="1"/>
    <n v="24"/>
    <x v="0"/>
    <x v="2"/>
    <x v="1"/>
    <x v="1"/>
    <x v="1"/>
    <x v="1"/>
    <x v="2"/>
    <n v="169263"/>
    <n v="174532"/>
    <n v="176686"/>
    <n v="165491"/>
    <n v="169222"/>
    <n v="173246"/>
    <n v="8000"/>
    <n v="6700"/>
    <n v="6000"/>
    <n v="6400"/>
    <n v="7000"/>
    <n v="7000"/>
    <n v="0"/>
    <x v="1"/>
    <n v="161263"/>
    <x v="2"/>
  </r>
  <r>
    <x v="1190"/>
    <n v="240000"/>
    <x v="1"/>
    <x v="0"/>
    <x v="1"/>
    <x v="1"/>
    <n v="29"/>
    <x v="0"/>
    <x v="2"/>
    <x v="1"/>
    <x v="1"/>
    <x v="1"/>
    <x v="1"/>
    <x v="0"/>
    <n v="3093"/>
    <n v="2322"/>
    <n v="8186"/>
    <n v="3980"/>
    <n v="0"/>
    <n v="0"/>
    <n v="2000"/>
    <n v="2020"/>
    <n v="2500"/>
    <n v="0"/>
    <n v="0"/>
    <n v="85"/>
    <n v="0"/>
    <x v="1"/>
    <n v="1093"/>
    <x v="0"/>
  </r>
  <r>
    <x v="1191"/>
    <n v="250000"/>
    <x v="1"/>
    <x v="1"/>
    <x v="1"/>
    <x v="1"/>
    <n v="38"/>
    <x v="1"/>
    <x v="3"/>
    <x v="3"/>
    <x v="3"/>
    <x v="2"/>
    <x v="0"/>
    <x v="0"/>
    <n v="584"/>
    <n v="3291"/>
    <n v="8660"/>
    <n v="7495"/>
    <n v="1120"/>
    <n v="62"/>
    <n v="3307"/>
    <n v="8703"/>
    <n v="7532"/>
    <n v="1125"/>
    <n v="62"/>
    <n v="7718"/>
    <n v="0"/>
    <x v="1"/>
    <n v="-2723"/>
    <x v="3"/>
  </r>
  <r>
    <x v="1192"/>
    <n v="270000"/>
    <x v="1"/>
    <x v="0"/>
    <x v="0"/>
    <x v="1"/>
    <n v="34"/>
    <x v="1"/>
    <x v="1"/>
    <x v="2"/>
    <x v="0"/>
    <x v="0"/>
    <x v="2"/>
    <x v="3"/>
    <n v="381"/>
    <n v="3376"/>
    <n v="2958"/>
    <n v="4154"/>
    <n v="5885"/>
    <n v="3129"/>
    <n v="3406"/>
    <n v="2983"/>
    <n v="4172"/>
    <n v="5912"/>
    <n v="3143"/>
    <n v="0"/>
    <n v="1"/>
    <x v="0"/>
    <n v="-3025"/>
    <x v="3"/>
  </r>
  <r>
    <x v="1193"/>
    <n v="200000"/>
    <x v="1"/>
    <x v="1"/>
    <x v="1"/>
    <x v="0"/>
    <n v="37"/>
    <x v="1"/>
    <x v="2"/>
    <x v="1"/>
    <x v="1"/>
    <x v="1"/>
    <x v="1"/>
    <x v="2"/>
    <n v="123337"/>
    <n v="11148"/>
    <n v="19165"/>
    <n v="21171"/>
    <n v="17762"/>
    <n v="23670"/>
    <n v="11202"/>
    <n v="19275"/>
    <n v="22304"/>
    <n v="23850"/>
    <n v="23784"/>
    <n v="84430"/>
    <n v="0"/>
    <x v="1"/>
    <n v="112135"/>
    <x v="2"/>
  </r>
  <r>
    <x v="1194"/>
    <n v="100000"/>
    <x v="0"/>
    <x v="0"/>
    <x v="2"/>
    <x v="0"/>
    <n v="66"/>
    <x v="2"/>
    <x v="2"/>
    <x v="1"/>
    <x v="1"/>
    <x v="1"/>
    <x v="1"/>
    <x v="2"/>
    <n v="100036"/>
    <n v="100041"/>
    <n v="100402"/>
    <n v="97141"/>
    <n v="97143"/>
    <n v="97532"/>
    <n v="4702"/>
    <n v="4617"/>
    <n v="3600"/>
    <n v="3865"/>
    <n v="3850"/>
    <n v="3705"/>
    <n v="0"/>
    <x v="1"/>
    <n v="95334"/>
    <x v="1"/>
  </r>
  <r>
    <x v="1195"/>
    <n v="160000"/>
    <x v="1"/>
    <x v="0"/>
    <x v="1"/>
    <x v="0"/>
    <n v="39"/>
    <x v="1"/>
    <x v="3"/>
    <x v="3"/>
    <x v="3"/>
    <x v="2"/>
    <x v="0"/>
    <x v="0"/>
    <n v="710"/>
    <n v="666"/>
    <n v="403"/>
    <n v="1650"/>
    <n v="336"/>
    <n v="790"/>
    <n v="666"/>
    <n v="403"/>
    <n v="1650"/>
    <n v="336"/>
    <n v="790"/>
    <n v="1141"/>
    <n v="0"/>
    <x v="1"/>
    <n v="44"/>
    <x v="0"/>
  </r>
  <r>
    <x v="1196"/>
    <n v="80000"/>
    <x v="0"/>
    <x v="0"/>
    <x v="0"/>
    <x v="0"/>
    <n v="45"/>
    <x v="3"/>
    <x v="2"/>
    <x v="1"/>
    <x v="1"/>
    <x v="1"/>
    <x v="1"/>
    <x v="2"/>
    <n v="81841"/>
    <n v="74516"/>
    <n v="69485"/>
    <n v="30396"/>
    <n v="30595"/>
    <n v="29033"/>
    <n v="4100"/>
    <n v="2507"/>
    <n v="2140"/>
    <n v="2000"/>
    <n v="1500"/>
    <n v="1000"/>
    <n v="0"/>
    <x v="1"/>
    <n v="77741"/>
    <x v="1"/>
  </r>
  <r>
    <x v="1197"/>
    <n v="130000"/>
    <x v="1"/>
    <x v="1"/>
    <x v="0"/>
    <x v="0"/>
    <n v="44"/>
    <x v="3"/>
    <x v="1"/>
    <x v="0"/>
    <x v="1"/>
    <x v="1"/>
    <x v="1"/>
    <x v="2"/>
    <n v="29547"/>
    <n v="23154"/>
    <n v="18637"/>
    <n v="14691"/>
    <n v="8769"/>
    <n v="4166"/>
    <n v="0"/>
    <n v="1500"/>
    <n v="486"/>
    <n v="303"/>
    <n v="83"/>
    <n v="780"/>
    <n v="0"/>
    <x v="1"/>
    <n v="29547"/>
    <x v="1"/>
  </r>
  <r>
    <x v="1198"/>
    <n v="340000"/>
    <x v="2"/>
    <x v="0"/>
    <x v="2"/>
    <x v="1"/>
    <n v="44"/>
    <x v="3"/>
    <x v="2"/>
    <x v="1"/>
    <x v="1"/>
    <x v="1"/>
    <x v="1"/>
    <x v="2"/>
    <n v="142836"/>
    <n v="145125"/>
    <n v="146682"/>
    <n v="150407"/>
    <n v="147868"/>
    <n v="149349"/>
    <n v="7000"/>
    <n v="5500"/>
    <n v="6027"/>
    <n v="5328"/>
    <n v="5390"/>
    <n v="6047"/>
    <n v="1"/>
    <x v="0"/>
    <n v="135836"/>
    <x v="2"/>
  </r>
  <r>
    <x v="1199"/>
    <n v="360000"/>
    <x v="2"/>
    <x v="1"/>
    <x v="1"/>
    <x v="0"/>
    <n v="36"/>
    <x v="1"/>
    <x v="3"/>
    <x v="2"/>
    <x v="0"/>
    <x v="0"/>
    <x v="0"/>
    <x v="0"/>
    <n v="0"/>
    <n v="394"/>
    <n v="11142"/>
    <n v="0"/>
    <n v="0"/>
    <n v="0"/>
    <n v="394"/>
    <n v="11253"/>
    <n v="0"/>
    <n v="0"/>
    <n v="0"/>
    <n v="0"/>
    <n v="0"/>
    <x v="1"/>
    <n v="-394"/>
    <x v="3"/>
  </r>
  <r>
    <x v="1200"/>
    <n v="120000"/>
    <x v="1"/>
    <x v="0"/>
    <x v="2"/>
    <x v="0"/>
    <n v="40"/>
    <x v="3"/>
    <x v="2"/>
    <x v="1"/>
    <x v="1"/>
    <x v="1"/>
    <x v="1"/>
    <x v="2"/>
    <n v="108300"/>
    <n v="108538"/>
    <n v="94833"/>
    <n v="49078"/>
    <n v="40643"/>
    <n v="4200"/>
    <n v="5000"/>
    <n v="4121"/>
    <n v="2000"/>
    <n v="2000"/>
    <n v="2000"/>
    <n v="96583"/>
    <n v="0"/>
    <x v="1"/>
    <n v="103300"/>
    <x v="2"/>
  </r>
  <r>
    <x v="1201"/>
    <n v="120000"/>
    <x v="1"/>
    <x v="1"/>
    <x v="1"/>
    <x v="1"/>
    <n v="29"/>
    <x v="0"/>
    <x v="2"/>
    <x v="1"/>
    <x v="1"/>
    <x v="1"/>
    <x v="1"/>
    <x v="2"/>
    <n v="30101"/>
    <n v="31281"/>
    <n v="30180"/>
    <n v="30471"/>
    <n v="31110"/>
    <n v="31728"/>
    <n v="2000"/>
    <n v="2000"/>
    <n v="1090"/>
    <n v="1129"/>
    <n v="1135"/>
    <n v="1200"/>
    <n v="0"/>
    <x v="1"/>
    <n v="28101"/>
    <x v="1"/>
  </r>
  <r>
    <x v="1202"/>
    <n v="300000"/>
    <x v="1"/>
    <x v="0"/>
    <x v="1"/>
    <x v="1"/>
    <n v="48"/>
    <x v="3"/>
    <x v="2"/>
    <x v="1"/>
    <x v="1"/>
    <x v="1"/>
    <x v="1"/>
    <x v="2"/>
    <n v="247279"/>
    <n v="235093"/>
    <n v="224062"/>
    <n v="212480"/>
    <n v="202148"/>
    <n v="186955"/>
    <n v="10005"/>
    <n v="9500"/>
    <n v="7500"/>
    <n v="6914"/>
    <n v="6100"/>
    <n v="5500"/>
    <n v="0"/>
    <x v="1"/>
    <n v="237274"/>
    <x v="2"/>
  </r>
  <r>
    <x v="1203"/>
    <n v="60000"/>
    <x v="0"/>
    <x v="0"/>
    <x v="0"/>
    <x v="1"/>
    <n v="23"/>
    <x v="0"/>
    <x v="0"/>
    <x v="0"/>
    <x v="3"/>
    <x v="2"/>
    <x v="2"/>
    <x v="3"/>
    <n v="2516"/>
    <n v="0"/>
    <n v="0"/>
    <n v="0"/>
    <n v="1524"/>
    <n v="25421"/>
    <n v="0"/>
    <n v="0"/>
    <n v="0"/>
    <n v="1524"/>
    <n v="25421"/>
    <n v="1000"/>
    <n v="0"/>
    <x v="1"/>
    <n v="2516"/>
    <x v="0"/>
  </r>
  <r>
    <x v="1204"/>
    <n v="210000"/>
    <x v="1"/>
    <x v="0"/>
    <x v="0"/>
    <x v="0"/>
    <n v="50"/>
    <x v="2"/>
    <x v="2"/>
    <x v="1"/>
    <x v="1"/>
    <x v="1"/>
    <x v="1"/>
    <x v="2"/>
    <n v="106724"/>
    <n v="109251"/>
    <n v="103733"/>
    <n v="102027"/>
    <n v="103453"/>
    <n v="103651"/>
    <n v="4037"/>
    <n v="3519"/>
    <n v="3442"/>
    <n v="3553"/>
    <n v="3625"/>
    <n v="3470"/>
    <n v="0"/>
    <x v="1"/>
    <n v="102687"/>
    <x v="2"/>
  </r>
  <r>
    <x v="1205"/>
    <n v="210000"/>
    <x v="1"/>
    <x v="0"/>
    <x v="0"/>
    <x v="0"/>
    <n v="29"/>
    <x v="0"/>
    <x v="2"/>
    <x v="1"/>
    <x v="1"/>
    <x v="1"/>
    <x v="1"/>
    <x v="2"/>
    <n v="209807"/>
    <n v="123664"/>
    <n v="51353"/>
    <n v="43485"/>
    <n v="44784"/>
    <n v="45685"/>
    <n v="5088"/>
    <n v="2000"/>
    <n v="1600"/>
    <n v="2000"/>
    <n v="1800"/>
    <n v="1807"/>
    <n v="1"/>
    <x v="0"/>
    <n v="204719"/>
    <x v="2"/>
  </r>
  <r>
    <x v="1206"/>
    <n v="70000"/>
    <x v="0"/>
    <x v="0"/>
    <x v="2"/>
    <x v="0"/>
    <n v="49"/>
    <x v="3"/>
    <x v="0"/>
    <x v="0"/>
    <x v="2"/>
    <x v="3"/>
    <x v="3"/>
    <x v="1"/>
    <n v="21024"/>
    <n v="21790"/>
    <n v="21142"/>
    <n v="23772"/>
    <n v="24930"/>
    <n v="25709"/>
    <n v="1400"/>
    <n v="0"/>
    <n v="3000"/>
    <n v="1700"/>
    <n v="1340"/>
    <n v="1100"/>
    <n v="1"/>
    <x v="0"/>
    <n v="19624"/>
    <x v="0"/>
  </r>
  <r>
    <x v="1207"/>
    <n v="200000"/>
    <x v="1"/>
    <x v="1"/>
    <x v="0"/>
    <x v="0"/>
    <n v="33"/>
    <x v="1"/>
    <x v="2"/>
    <x v="1"/>
    <x v="2"/>
    <x v="0"/>
    <x v="2"/>
    <x v="2"/>
    <n v="50612"/>
    <n v="10537"/>
    <n v="5552"/>
    <n v="2506"/>
    <n v="9443"/>
    <n v="11818"/>
    <n v="10023"/>
    <n v="27"/>
    <n v="2614"/>
    <n v="9454"/>
    <n v="5019"/>
    <n v="5015"/>
    <n v="0"/>
    <x v="1"/>
    <n v="40589"/>
    <x v="1"/>
  </r>
  <r>
    <x v="1208"/>
    <n v="230000"/>
    <x v="1"/>
    <x v="0"/>
    <x v="0"/>
    <x v="0"/>
    <n v="51"/>
    <x v="2"/>
    <x v="2"/>
    <x v="1"/>
    <x v="1"/>
    <x v="1"/>
    <x v="1"/>
    <x v="2"/>
    <n v="51802"/>
    <n v="53956"/>
    <n v="56968"/>
    <n v="58099"/>
    <n v="59318"/>
    <n v="60504"/>
    <n v="3000"/>
    <n v="3921"/>
    <n v="2079"/>
    <n v="2155"/>
    <n v="2174"/>
    <n v="2225"/>
    <n v="1"/>
    <x v="0"/>
    <n v="48802"/>
    <x v="1"/>
  </r>
  <r>
    <x v="1209"/>
    <n v="20000"/>
    <x v="0"/>
    <x v="1"/>
    <x v="2"/>
    <x v="0"/>
    <n v="23"/>
    <x v="0"/>
    <x v="1"/>
    <x v="2"/>
    <x v="1"/>
    <x v="1"/>
    <x v="1"/>
    <x v="2"/>
    <n v="3675"/>
    <n v="19316"/>
    <n v="19844"/>
    <n v="19844"/>
    <n v="20388"/>
    <n v="19554"/>
    <n v="19316"/>
    <n v="1261"/>
    <n v="651"/>
    <n v="803"/>
    <n v="747"/>
    <n v="155"/>
    <n v="1"/>
    <x v="0"/>
    <n v="-15641"/>
    <x v="3"/>
  </r>
  <r>
    <x v="1210"/>
    <n v="210000"/>
    <x v="1"/>
    <x v="0"/>
    <x v="1"/>
    <x v="0"/>
    <n v="37"/>
    <x v="1"/>
    <x v="2"/>
    <x v="1"/>
    <x v="1"/>
    <x v="1"/>
    <x v="1"/>
    <x v="2"/>
    <n v="211749"/>
    <n v="205947"/>
    <n v="201848"/>
    <n v="168664"/>
    <n v="172013"/>
    <n v="175557"/>
    <n v="7000"/>
    <n v="10015"/>
    <n v="10000"/>
    <n v="5331"/>
    <n v="5748"/>
    <n v="48061"/>
    <n v="0"/>
    <x v="1"/>
    <n v="204749"/>
    <x v="2"/>
  </r>
  <r>
    <x v="1211"/>
    <n v="160000"/>
    <x v="1"/>
    <x v="0"/>
    <x v="2"/>
    <x v="1"/>
    <n v="26"/>
    <x v="0"/>
    <x v="1"/>
    <x v="2"/>
    <x v="0"/>
    <x v="0"/>
    <x v="2"/>
    <x v="3"/>
    <n v="390"/>
    <n v="390"/>
    <n v="390"/>
    <n v="390"/>
    <n v="390"/>
    <n v="390"/>
    <n v="390"/>
    <n v="390"/>
    <n v="390"/>
    <n v="390"/>
    <n v="390"/>
    <n v="390"/>
    <n v="0"/>
    <x v="1"/>
    <n v="0"/>
    <x v="3"/>
  </r>
  <r>
    <x v="1212"/>
    <n v="290000"/>
    <x v="1"/>
    <x v="0"/>
    <x v="1"/>
    <x v="0"/>
    <n v="30"/>
    <x v="1"/>
    <x v="1"/>
    <x v="2"/>
    <x v="0"/>
    <x v="0"/>
    <x v="2"/>
    <x v="3"/>
    <n v="1312"/>
    <n v="1312"/>
    <n v="1311"/>
    <n v="1486"/>
    <n v="1488"/>
    <n v="1650"/>
    <n v="1318"/>
    <n v="1317"/>
    <n v="1493"/>
    <n v="1495"/>
    <n v="1657"/>
    <n v="35267"/>
    <n v="1"/>
    <x v="0"/>
    <n v="-6"/>
    <x v="3"/>
  </r>
  <r>
    <x v="1213"/>
    <n v="80000"/>
    <x v="0"/>
    <x v="0"/>
    <x v="2"/>
    <x v="0"/>
    <n v="26"/>
    <x v="0"/>
    <x v="2"/>
    <x v="1"/>
    <x v="1"/>
    <x v="1"/>
    <x v="1"/>
    <x v="2"/>
    <n v="63677"/>
    <n v="64162"/>
    <n v="38141"/>
    <n v="38190"/>
    <n v="38586"/>
    <n v="39962"/>
    <n v="2000"/>
    <n v="1905"/>
    <n v="1350"/>
    <n v="1388"/>
    <n v="2401"/>
    <n v="1410"/>
    <n v="0"/>
    <x v="1"/>
    <n v="61677"/>
    <x v="1"/>
  </r>
  <r>
    <x v="1214"/>
    <n v="360000"/>
    <x v="2"/>
    <x v="1"/>
    <x v="1"/>
    <x v="1"/>
    <n v="43"/>
    <x v="3"/>
    <x v="1"/>
    <x v="2"/>
    <x v="3"/>
    <x v="2"/>
    <x v="0"/>
    <x v="0"/>
    <n v="4134"/>
    <n v="2128"/>
    <n v="960"/>
    <n v="6658"/>
    <n v="0"/>
    <n v="0"/>
    <n v="2134"/>
    <n v="982"/>
    <n v="6858"/>
    <n v="0"/>
    <n v="0"/>
    <n v="0"/>
    <n v="0"/>
    <x v="1"/>
    <n v="2000"/>
    <x v="0"/>
  </r>
  <r>
    <x v="1215"/>
    <n v="230000"/>
    <x v="1"/>
    <x v="1"/>
    <x v="1"/>
    <x v="1"/>
    <n v="32"/>
    <x v="1"/>
    <x v="2"/>
    <x v="1"/>
    <x v="1"/>
    <x v="1"/>
    <x v="1"/>
    <x v="2"/>
    <n v="164634"/>
    <n v="166134"/>
    <n v="142049"/>
    <n v="106677"/>
    <n v="88091"/>
    <n v="60929"/>
    <n v="7326"/>
    <n v="10000"/>
    <n v="10000"/>
    <n v="3000"/>
    <n v="2000"/>
    <n v="2000"/>
    <n v="0"/>
    <x v="1"/>
    <n v="157308"/>
    <x v="2"/>
  </r>
  <r>
    <x v="1216"/>
    <n v="360000"/>
    <x v="2"/>
    <x v="1"/>
    <x v="2"/>
    <x v="0"/>
    <n v="54"/>
    <x v="2"/>
    <x v="3"/>
    <x v="3"/>
    <x v="3"/>
    <x v="2"/>
    <x v="0"/>
    <x v="3"/>
    <n v="16230"/>
    <n v="-200"/>
    <n v="0"/>
    <n v="0"/>
    <n v="69000"/>
    <n v="2500"/>
    <n v="0"/>
    <n v="200"/>
    <n v="0"/>
    <n v="69000"/>
    <n v="2500"/>
    <n v="0"/>
    <n v="0"/>
    <x v="1"/>
    <n v="16230"/>
    <x v="0"/>
  </r>
  <r>
    <x v="1217"/>
    <n v="340000"/>
    <x v="2"/>
    <x v="0"/>
    <x v="1"/>
    <x v="0"/>
    <n v="30"/>
    <x v="1"/>
    <x v="2"/>
    <x v="1"/>
    <x v="1"/>
    <x v="1"/>
    <x v="1"/>
    <x v="2"/>
    <n v="351828"/>
    <n v="280067"/>
    <n v="259651"/>
    <n v="243094"/>
    <n v="223907"/>
    <n v="216912"/>
    <n v="30076"/>
    <n v="25118"/>
    <n v="20085"/>
    <n v="10041"/>
    <n v="8184"/>
    <n v="6626"/>
    <n v="0"/>
    <x v="1"/>
    <n v="321752"/>
    <x v="2"/>
  </r>
  <r>
    <x v="1218"/>
    <n v="50000"/>
    <x v="0"/>
    <x v="0"/>
    <x v="1"/>
    <x v="1"/>
    <n v="22"/>
    <x v="0"/>
    <x v="2"/>
    <x v="1"/>
    <x v="1"/>
    <x v="1"/>
    <x v="1"/>
    <x v="2"/>
    <n v="8537"/>
    <n v="9591"/>
    <n v="10581"/>
    <n v="10818"/>
    <n v="11050"/>
    <n v="10880"/>
    <n v="1200"/>
    <n v="1163"/>
    <n v="400"/>
    <n v="790"/>
    <n v="400"/>
    <n v="380"/>
    <n v="0"/>
    <x v="1"/>
    <n v="7337"/>
    <x v="0"/>
  </r>
  <r>
    <x v="1219"/>
    <n v="80000"/>
    <x v="0"/>
    <x v="1"/>
    <x v="0"/>
    <x v="1"/>
    <n v="38"/>
    <x v="1"/>
    <x v="2"/>
    <x v="1"/>
    <x v="1"/>
    <x v="1"/>
    <x v="1"/>
    <x v="2"/>
    <n v="89394"/>
    <n v="81223"/>
    <n v="77198"/>
    <n v="29891"/>
    <n v="34528"/>
    <n v="35229"/>
    <n v="5000"/>
    <n v="19153"/>
    <n v="1500"/>
    <n v="10000"/>
    <n v="1274"/>
    <n v="1275"/>
    <n v="0"/>
    <x v="1"/>
    <n v="84394"/>
    <x v="1"/>
  </r>
  <r>
    <x v="1220"/>
    <n v="50000"/>
    <x v="0"/>
    <x v="0"/>
    <x v="0"/>
    <x v="1"/>
    <n v="24"/>
    <x v="0"/>
    <x v="2"/>
    <x v="1"/>
    <x v="0"/>
    <x v="0"/>
    <x v="1"/>
    <x v="2"/>
    <n v="97043"/>
    <n v="39837"/>
    <n v="6928"/>
    <n v="17006"/>
    <n v="17363"/>
    <n v="17707"/>
    <n v="2000"/>
    <n v="6943"/>
    <n v="17006"/>
    <n v="630"/>
    <n v="633"/>
    <n v="657"/>
    <n v="0"/>
    <x v="1"/>
    <n v="95043"/>
    <x v="1"/>
  </r>
  <r>
    <x v="1221"/>
    <n v="30000"/>
    <x v="0"/>
    <x v="0"/>
    <x v="1"/>
    <x v="1"/>
    <n v="24"/>
    <x v="0"/>
    <x v="1"/>
    <x v="2"/>
    <x v="0"/>
    <x v="1"/>
    <x v="1"/>
    <x v="2"/>
    <n v="3019"/>
    <n v="1479"/>
    <n v="18860"/>
    <n v="950"/>
    <n v="5660"/>
    <n v="0"/>
    <n v="1479"/>
    <n v="18881"/>
    <n v="0"/>
    <n v="4710"/>
    <n v="0"/>
    <n v="7153"/>
    <n v="0"/>
    <x v="1"/>
    <n v="1540"/>
    <x v="0"/>
  </r>
  <r>
    <x v="1222"/>
    <n v="210000"/>
    <x v="1"/>
    <x v="1"/>
    <x v="1"/>
    <x v="1"/>
    <n v="26"/>
    <x v="0"/>
    <x v="1"/>
    <x v="2"/>
    <x v="3"/>
    <x v="0"/>
    <x v="2"/>
    <x v="0"/>
    <n v="1360"/>
    <n v="0"/>
    <n v="0"/>
    <n v="3620"/>
    <n v="0"/>
    <n v="0"/>
    <n v="0"/>
    <n v="0"/>
    <n v="3620"/>
    <n v="0"/>
    <n v="0"/>
    <n v="15513"/>
    <n v="0"/>
    <x v="1"/>
    <n v="1360"/>
    <x v="0"/>
  </r>
  <r>
    <x v="1223"/>
    <n v="150000"/>
    <x v="1"/>
    <x v="0"/>
    <x v="0"/>
    <x v="0"/>
    <n v="42"/>
    <x v="3"/>
    <x v="1"/>
    <x v="2"/>
    <x v="0"/>
    <x v="0"/>
    <x v="2"/>
    <x v="3"/>
    <n v="3260"/>
    <n v="2270"/>
    <n v="5887"/>
    <n v="3935"/>
    <n v="3935"/>
    <n v="3935"/>
    <n v="2270"/>
    <n v="5887"/>
    <n v="3935"/>
    <n v="3935"/>
    <n v="3935"/>
    <n v="3935"/>
    <n v="1"/>
    <x v="0"/>
    <n v="990"/>
    <x v="0"/>
  </r>
  <r>
    <x v="1224"/>
    <n v="20000"/>
    <x v="0"/>
    <x v="1"/>
    <x v="0"/>
    <x v="1"/>
    <n v="21"/>
    <x v="0"/>
    <x v="2"/>
    <x v="1"/>
    <x v="0"/>
    <x v="1"/>
    <x v="1"/>
    <x v="0"/>
    <n v="20297"/>
    <n v="17054"/>
    <n v="2333"/>
    <n v="1300"/>
    <n v="0"/>
    <n v="0"/>
    <n v="1240"/>
    <n v="2333"/>
    <n v="0"/>
    <n v="0"/>
    <n v="0"/>
    <n v="0"/>
    <n v="0"/>
    <x v="1"/>
    <n v="19057"/>
    <x v="0"/>
  </r>
  <r>
    <x v="1225"/>
    <n v="20000"/>
    <x v="0"/>
    <x v="1"/>
    <x v="2"/>
    <x v="1"/>
    <n v="22"/>
    <x v="0"/>
    <x v="2"/>
    <x v="1"/>
    <x v="1"/>
    <x v="2"/>
    <x v="0"/>
    <x v="0"/>
    <n v="19624"/>
    <n v="16972"/>
    <n v="0"/>
    <n v="0"/>
    <n v="0"/>
    <n v="0"/>
    <n v="1000"/>
    <n v="0"/>
    <n v="0"/>
    <n v="0"/>
    <n v="0"/>
    <n v="0"/>
    <n v="1"/>
    <x v="0"/>
    <n v="18624"/>
    <x v="0"/>
  </r>
  <r>
    <x v="1226"/>
    <n v="240000"/>
    <x v="1"/>
    <x v="0"/>
    <x v="2"/>
    <x v="0"/>
    <n v="41"/>
    <x v="3"/>
    <x v="1"/>
    <x v="2"/>
    <x v="3"/>
    <x v="0"/>
    <x v="2"/>
    <x v="3"/>
    <n v="5325"/>
    <n v="-5"/>
    <n v="-5"/>
    <n v="1074"/>
    <n v="1972"/>
    <n v="1876"/>
    <n v="5"/>
    <n v="0"/>
    <n v="1079"/>
    <n v="1977"/>
    <n v="1885"/>
    <n v="1211"/>
    <n v="0"/>
    <x v="1"/>
    <n v="5320"/>
    <x v="0"/>
  </r>
  <r>
    <x v="1227"/>
    <n v="500000"/>
    <x v="2"/>
    <x v="0"/>
    <x v="0"/>
    <x v="0"/>
    <n v="50"/>
    <x v="2"/>
    <x v="3"/>
    <x v="2"/>
    <x v="0"/>
    <x v="0"/>
    <x v="2"/>
    <x v="3"/>
    <n v="16984"/>
    <n v="86772"/>
    <n v="53170"/>
    <n v="28622"/>
    <n v="19140"/>
    <n v="0"/>
    <n v="87004"/>
    <n v="53192"/>
    <n v="28622"/>
    <n v="19140"/>
    <n v="0"/>
    <n v="20211"/>
    <n v="0"/>
    <x v="1"/>
    <n v="-70020"/>
    <x v="3"/>
  </r>
  <r>
    <x v="1228"/>
    <n v="90000"/>
    <x v="0"/>
    <x v="0"/>
    <x v="0"/>
    <x v="0"/>
    <n v="23"/>
    <x v="0"/>
    <x v="2"/>
    <x v="1"/>
    <x v="1"/>
    <x v="1"/>
    <x v="1"/>
    <x v="2"/>
    <n v="12770"/>
    <n v="14241"/>
    <n v="14895"/>
    <n v="25195"/>
    <n v="23769"/>
    <n v="2269"/>
    <n v="2500"/>
    <n v="1200"/>
    <n v="10500"/>
    <n v="7000"/>
    <n v="1000"/>
    <n v="0"/>
    <n v="1"/>
    <x v="0"/>
    <n v="10270"/>
    <x v="0"/>
  </r>
  <r>
    <x v="1229"/>
    <n v="50000"/>
    <x v="0"/>
    <x v="1"/>
    <x v="2"/>
    <x v="1"/>
    <n v="46"/>
    <x v="3"/>
    <x v="2"/>
    <x v="1"/>
    <x v="1"/>
    <x v="1"/>
    <x v="1"/>
    <x v="2"/>
    <n v="50131"/>
    <n v="28152"/>
    <n v="20746"/>
    <n v="27624"/>
    <n v="16015"/>
    <n v="16746"/>
    <n v="1388"/>
    <n v="2011"/>
    <n v="1006"/>
    <n v="1000"/>
    <n v="1000"/>
    <n v="1000"/>
    <n v="0"/>
    <x v="1"/>
    <n v="48743"/>
    <x v="1"/>
  </r>
  <r>
    <x v="1230"/>
    <n v="50000"/>
    <x v="0"/>
    <x v="0"/>
    <x v="0"/>
    <x v="1"/>
    <n v="22"/>
    <x v="0"/>
    <x v="2"/>
    <x v="1"/>
    <x v="1"/>
    <x v="1"/>
    <x v="1"/>
    <x v="2"/>
    <n v="50834"/>
    <n v="50770"/>
    <n v="50215"/>
    <n v="29386"/>
    <n v="29527"/>
    <n v="30125"/>
    <n v="2200"/>
    <n v="1517"/>
    <n v="1000"/>
    <n v="1500"/>
    <n v="2005"/>
    <n v="1305"/>
    <n v="1"/>
    <x v="0"/>
    <n v="48634"/>
    <x v="1"/>
  </r>
  <r>
    <x v="1231"/>
    <n v="680000"/>
    <x v="2"/>
    <x v="1"/>
    <x v="1"/>
    <x v="1"/>
    <n v="37"/>
    <x v="1"/>
    <x v="2"/>
    <x v="1"/>
    <x v="1"/>
    <x v="1"/>
    <x v="1"/>
    <x v="2"/>
    <n v="18314"/>
    <n v="16088"/>
    <n v="17806"/>
    <n v="15498"/>
    <n v="13810"/>
    <n v="164969"/>
    <n v="2700"/>
    <n v="2400"/>
    <n v="600"/>
    <n v="400"/>
    <n v="161000"/>
    <n v="5800"/>
    <n v="0"/>
    <x v="1"/>
    <n v="15614"/>
    <x v="0"/>
  </r>
  <r>
    <x v="1232"/>
    <n v="50000"/>
    <x v="0"/>
    <x v="1"/>
    <x v="1"/>
    <x v="0"/>
    <n v="47"/>
    <x v="3"/>
    <x v="2"/>
    <x v="1"/>
    <x v="2"/>
    <x v="3"/>
    <x v="3"/>
    <x v="1"/>
    <n v="45717"/>
    <n v="47974"/>
    <n v="49837"/>
    <n v="50807"/>
    <n v="49947"/>
    <n v="50424"/>
    <n v="3000"/>
    <n v="3000"/>
    <n v="2000"/>
    <n v="0"/>
    <n v="5000"/>
    <n v="0"/>
    <n v="0"/>
    <x v="1"/>
    <n v="42717"/>
    <x v="1"/>
  </r>
  <r>
    <x v="1233"/>
    <n v="100000"/>
    <x v="0"/>
    <x v="0"/>
    <x v="0"/>
    <x v="0"/>
    <n v="40"/>
    <x v="3"/>
    <x v="1"/>
    <x v="2"/>
    <x v="0"/>
    <x v="1"/>
    <x v="2"/>
    <x v="3"/>
    <n v="326"/>
    <n v="326"/>
    <n v="652"/>
    <n v="326"/>
    <n v="326"/>
    <n v="326"/>
    <n v="326"/>
    <n v="652"/>
    <n v="0"/>
    <n v="326"/>
    <n v="326"/>
    <n v="652"/>
    <n v="0"/>
    <x v="1"/>
    <n v="0"/>
    <x v="3"/>
  </r>
  <r>
    <x v="1234"/>
    <n v="280000"/>
    <x v="1"/>
    <x v="0"/>
    <x v="1"/>
    <x v="1"/>
    <n v="30"/>
    <x v="1"/>
    <x v="2"/>
    <x v="1"/>
    <x v="1"/>
    <x v="1"/>
    <x v="1"/>
    <x v="2"/>
    <n v="270276"/>
    <n v="506260"/>
    <n v="263734"/>
    <n v="268216"/>
    <n v="262895"/>
    <n v="264508"/>
    <n v="11000"/>
    <n v="10000"/>
    <n v="10004"/>
    <n v="10020"/>
    <n v="10100"/>
    <n v="10000"/>
    <n v="0"/>
    <x v="1"/>
    <n v="259276"/>
    <x v="2"/>
  </r>
  <r>
    <x v="1235"/>
    <n v="30000"/>
    <x v="0"/>
    <x v="1"/>
    <x v="0"/>
    <x v="1"/>
    <n v="54"/>
    <x v="2"/>
    <x v="2"/>
    <x v="1"/>
    <x v="1"/>
    <x v="1"/>
    <x v="1"/>
    <x v="2"/>
    <n v="26278"/>
    <n v="24767"/>
    <n v="27533"/>
    <n v="26400"/>
    <n v="25620"/>
    <n v="390"/>
    <n v="1700"/>
    <n v="3400"/>
    <n v="2528"/>
    <n v="0"/>
    <n v="390"/>
    <n v="780"/>
    <n v="1"/>
    <x v="0"/>
    <n v="24578"/>
    <x v="0"/>
  </r>
  <r>
    <x v="1236"/>
    <n v="50000"/>
    <x v="0"/>
    <x v="1"/>
    <x v="0"/>
    <x v="1"/>
    <n v="27"/>
    <x v="0"/>
    <x v="0"/>
    <x v="0"/>
    <x v="1"/>
    <x v="1"/>
    <x v="1"/>
    <x v="2"/>
    <n v="23901"/>
    <n v="13262"/>
    <n v="8643"/>
    <n v="7382"/>
    <n v="1975"/>
    <n v="50514"/>
    <n v="4146"/>
    <n v="1200"/>
    <n v="0"/>
    <n v="0"/>
    <n v="49800"/>
    <n v="0"/>
    <n v="1"/>
    <x v="0"/>
    <n v="19755"/>
    <x v="0"/>
  </r>
  <r>
    <x v="1237"/>
    <n v="60000"/>
    <x v="0"/>
    <x v="1"/>
    <x v="1"/>
    <x v="0"/>
    <n v="33"/>
    <x v="1"/>
    <x v="1"/>
    <x v="2"/>
    <x v="0"/>
    <x v="0"/>
    <x v="2"/>
    <x v="3"/>
    <n v="8308"/>
    <n v="7565"/>
    <n v="8373"/>
    <n v="7565"/>
    <n v="7565"/>
    <n v="7565"/>
    <n v="7565"/>
    <n v="8373"/>
    <n v="7565"/>
    <n v="7565"/>
    <n v="7565"/>
    <n v="7565"/>
    <n v="0"/>
    <x v="1"/>
    <n v="743"/>
    <x v="0"/>
  </r>
  <r>
    <x v="1238"/>
    <n v="120000"/>
    <x v="1"/>
    <x v="1"/>
    <x v="0"/>
    <x v="0"/>
    <n v="57"/>
    <x v="2"/>
    <x v="2"/>
    <x v="1"/>
    <x v="1"/>
    <x v="1"/>
    <x v="1"/>
    <x v="2"/>
    <n v="118709"/>
    <n v="120580"/>
    <n v="118684"/>
    <n v="88557"/>
    <n v="91124"/>
    <n v="88094"/>
    <n v="5000"/>
    <n v="5007"/>
    <n v="4000"/>
    <n v="4003"/>
    <n v="4003"/>
    <n v="4000"/>
    <n v="1"/>
    <x v="0"/>
    <n v="113709"/>
    <x v="2"/>
  </r>
  <r>
    <x v="1239"/>
    <n v="80000"/>
    <x v="0"/>
    <x v="0"/>
    <x v="0"/>
    <x v="0"/>
    <n v="35"/>
    <x v="1"/>
    <x v="1"/>
    <x v="2"/>
    <x v="0"/>
    <x v="0"/>
    <x v="2"/>
    <x v="2"/>
    <n v="2890"/>
    <n v="9796"/>
    <n v="13443"/>
    <n v="396"/>
    <n v="396"/>
    <n v="396"/>
    <n v="9796"/>
    <n v="13443"/>
    <n v="396"/>
    <n v="396"/>
    <n v="0"/>
    <n v="396"/>
    <n v="0"/>
    <x v="1"/>
    <n v="-6906"/>
    <x v="3"/>
  </r>
  <r>
    <x v="1240"/>
    <n v="500000"/>
    <x v="2"/>
    <x v="1"/>
    <x v="1"/>
    <x v="0"/>
    <n v="45"/>
    <x v="3"/>
    <x v="1"/>
    <x v="2"/>
    <x v="0"/>
    <x v="0"/>
    <x v="2"/>
    <x v="0"/>
    <n v="140"/>
    <n v="94"/>
    <n v="39"/>
    <n v="44"/>
    <n v="0"/>
    <n v="0"/>
    <n v="94"/>
    <n v="39"/>
    <n v="44"/>
    <n v="0"/>
    <n v="0"/>
    <n v="790"/>
    <n v="0"/>
    <x v="1"/>
    <n v="46"/>
    <x v="0"/>
  </r>
  <r>
    <x v="1241"/>
    <n v="70000"/>
    <x v="0"/>
    <x v="0"/>
    <x v="2"/>
    <x v="0"/>
    <n v="32"/>
    <x v="1"/>
    <x v="0"/>
    <x v="0"/>
    <x v="1"/>
    <x v="1"/>
    <x v="1"/>
    <x v="3"/>
    <n v="18317"/>
    <n v="17330"/>
    <n v="11400"/>
    <n v="11120"/>
    <n v="10914"/>
    <n v="11315"/>
    <n v="0"/>
    <n v="1000"/>
    <n v="110"/>
    <n v="500"/>
    <n v="18963"/>
    <n v="1000"/>
    <n v="0"/>
    <x v="1"/>
    <n v="18317"/>
    <x v="0"/>
  </r>
  <r>
    <x v="1242"/>
    <n v="160000"/>
    <x v="1"/>
    <x v="0"/>
    <x v="0"/>
    <x v="0"/>
    <n v="45"/>
    <x v="3"/>
    <x v="3"/>
    <x v="3"/>
    <x v="3"/>
    <x v="2"/>
    <x v="0"/>
    <x v="0"/>
    <n v="0"/>
    <n v="0"/>
    <n v="0"/>
    <n v="1468"/>
    <n v="0"/>
    <n v="0"/>
    <n v="0"/>
    <n v="0"/>
    <n v="1468"/>
    <n v="0"/>
    <n v="0"/>
    <n v="0"/>
    <n v="0"/>
    <x v="1"/>
    <n v="0"/>
    <x v="3"/>
  </r>
  <r>
    <x v="1243"/>
    <n v="100000"/>
    <x v="0"/>
    <x v="0"/>
    <x v="2"/>
    <x v="0"/>
    <n v="50"/>
    <x v="2"/>
    <x v="0"/>
    <x v="0"/>
    <x v="2"/>
    <x v="0"/>
    <x v="1"/>
    <x v="2"/>
    <n v="110537"/>
    <n v="99734"/>
    <n v="99973"/>
    <n v="71008"/>
    <n v="66735"/>
    <n v="68621"/>
    <n v="0"/>
    <n v="3000"/>
    <n v="103000"/>
    <n v="2500"/>
    <n v="3000"/>
    <n v="3000"/>
    <n v="1"/>
    <x v="0"/>
    <n v="110537"/>
    <x v="2"/>
  </r>
  <r>
    <x v="1244"/>
    <n v="10000"/>
    <x v="0"/>
    <x v="1"/>
    <x v="2"/>
    <x v="1"/>
    <n v="35"/>
    <x v="1"/>
    <x v="2"/>
    <x v="1"/>
    <x v="1"/>
    <x v="1"/>
    <x v="1"/>
    <x v="2"/>
    <n v="7877"/>
    <n v="8918"/>
    <n v="9864"/>
    <n v="9673"/>
    <n v="9414"/>
    <n v="9156"/>
    <n v="1174"/>
    <n v="1120"/>
    <n v="310"/>
    <n v="316"/>
    <n v="1000"/>
    <n v="2000"/>
    <n v="0"/>
    <x v="1"/>
    <n v="6703"/>
    <x v="0"/>
  </r>
  <r>
    <x v="1245"/>
    <n v="90000"/>
    <x v="0"/>
    <x v="1"/>
    <x v="1"/>
    <x v="1"/>
    <n v="26"/>
    <x v="0"/>
    <x v="1"/>
    <x v="2"/>
    <x v="0"/>
    <x v="0"/>
    <x v="2"/>
    <x v="2"/>
    <n v="10750"/>
    <n v="100"/>
    <n v="200"/>
    <n v="100"/>
    <n v="9894"/>
    <n v="20699"/>
    <n v="100"/>
    <n v="200"/>
    <n v="0"/>
    <n v="9894"/>
    <n v="20000"/>
    <n v="4100"/>
    <n v="0"/>
    <x v="1"/>
    <n v="10650"/>
    <x v="0"/>
  </r>
  <r>
    <x v="1246"/>
    <n v="170000"/>
    <x v="1"/>
    <x v="1"/>
    <x v="1"/>
    <x v="0"/>
    <n v="39"/>
    <x v="1"/>
    <x v="0"/>
    <x v="0"/>
    <x v="2"/>
    <x v="3"/>
    <x v="6"/>
    <x v="4"/>
    <n v="74298"/>
    <n v="80073"/>
    <n v="81959"/>
    <n v="89991"/>
    <n v="88018"/>
    <n v="86299"/>
    <n v="7000"/>
    <n v="3800"/>
    <n v="10000"/>
    <n v="0"/>
    <n v="0"/>
    <n v="3100"/>
    <n v="1"/>
    <x v="0"/>
    <n v="67298"/>
    <x v="1"/>
  </r>
  <r>
    <x v="1247"/>
    <n v="90000"/>
    <x v="0"/>
    <x v="0"/>
    <x v="0"/>
    <x v="1"/>
    <n v="35"/>
    <x v="1"/>
    <x v="1"/>
    <x v="2"/>
    <x v="0"/>
    <x v="2"/>
    <x v="0"/>
    <x v="0"/>
    <n v="2667"/>
    <n v="2667"/>
    <n v="0"/>
    <n v="0"/>
    <n v="0"/>
    <n v="0"/>
    <n v="2667"/>
    <n v="0"/>
    <n v="0"/>
    <n v="0"/>
    <n v="0"/>
    <n v="0"/>
    <n v="0"/>
    <x v="1"/>
    <n v="0"/>
    <x v="3"/>
  </r>
  <r>
    <x v="1248"/>
    <n v="180000"/>
    <x v="1"/>
    <x v="0"/>
    <x v="2"/>
    <x v="1"/>
    <n v="42"/>
    <x v="3"/>
    <x v="2"/>
    <x v="1"/>
    <x v="1"/>
    <x v="1"/>
    <x v="1"/>
    <x v="2"/>
    <n v="67414"/>
    <n v="61256"/>
    <n v="66668"/>
    <n v="83568"/>
    <n v="90418"/>
    <n v="88898"/>
    <n v="10000"/>
    <n v="10000"/>
    <n v="17500"/>
    <n v="7000"/>
    <n v="25000"/>
    <n v="33600"/>
    <n v="0"/>
    <x v="1"/>
    <n v="57414"/>
    <x v="1"/>
  </r>
  <r>
    <x v="1249"/>
    <n v="350000"/>
    <x v="2"/>
    <x v="0"/>
    <x v="1"/>
    <x v="0"/>
    <n v="52"/>
    <x v="2"/>
    <x v="0"/>
    <x v="0"/>
    <x v="7"/>
    <x v="7"/>
    <x v="7"/>
    <x v="7"/>
    <n v="2400"/>
    <n v="2400"/>
    <n v="2400"/>
    <n v="2400"/>
    <n v="2400"/>
    <n v="2400"/>
    <n v="0"/>
    <n v="0"/>
    <n v="0"/>
    <n v="0"/>
    <n v="0"/>
    <n v="0"/>
    <n v="1"/>
    <x v="0"/>
    <n v="2400"/>
    <x v="0"/>
  </r>
  <r>
    <x v="1250"/>
    <n v="270000"/>
    <x v="1"/>
    <x v="1"/>
    <x v="0"/>
    <x v="1"/>
    <n v="35"/>
    <x v="1"/>
    <x v="2"/>
    <x v="1"/>
    <x v="1"/>
    <x v="0"/>
    <x v="2"/>
    <x v="3"/>
    <n v="225400"/>
    <n v="220202"/>
    <n v="215056"/>
    <n v="10506"/>
    <n v="10224"/>
    <n v="9233"/>
    <n v="9000"/>
    <n v="9348"/>
    <n v="10600"/>
    <n v="10300"/>
    <n v="9300"/>
    <n v="1000"/>
    <n v="0"/>
    <x v="1"/>
    <n v="216400"/>
    <x v="2"/>
  </r>
  <r>
    <x v="1251"/>
    <n v="200000"/>
    <x v="1"/>
    <x v="0"/>
    <x v="1"/>
    <x v="1"/>
    <n v="29"/>
    <x v="0"/>
    <x v="2"/>
    <x v="1"/>
    <x v="0"/>
    <x v="1"/>
    <x v="1"/>
    <x v="0"/>
    <n v="65935"/>
    <n v="25574"/>
    <n v="28727"/>
    <n v="19164"/>
    <n v="0"/>
    <n v="0"/>
    <n v="1011"/>
    <n v="31209"/>
    <n v="383"/>
    <n v="0"/>
    <n v="0"/>
    <n v="0"/>
    <n v="1"/>
    <x v="0"/>
    <n v="64924"/>
    <x v="1"/>
  </r>
  <r>
    <x v="1252"/>
    <n v="20000"/>
    <x v="0"/>
    <x v="0"/>
    <x v="1"/>
    <x v="1"/>
    <n v="22"/>
    <x v="0"/>
    <x v="2"/>
    <x v="1"/>
    <x v="1"/>
    <x v="1"/>
    <x v="1"/>
    <x v="2"/>
    <n v="15829"/>
    <n v="15299"/>
    <n v="16262"/>
    <n v="16749"/>
    <n v="13764"/>
    <n v="18732"/>
    <n v="1600"/>
    <n v="1550"/>
    <n v="1000"/>
    <n v="1000"/>
    <n v="5283"/>
    <n v="0"/>
    <n v="0"/>
    <x v="1"/>
    <n v="14229"/>
    <x v="0"/>
  </r>
  <r>
    <x v="1253"/>
    <n v="100000"/>
    <x v="0"/>
    <x v="1"/>
    <x v="0"/>
    <x v="1"/>
    <n v="30"/>
    <x v="1"/>
    <x v="2"/>
    <x v="1"/>
    <x v="1"/>
    <x v="1"/>
    <x v="1"/>
    <x v="2"/>
    <n v="44953"/>
    <n v="46922"/>
    <n v="48677"/>
    <n v="49496"/>
    <n v="51010"/>
    <n v="32630"/>
    <n v="3000"/>
    <n v="3000"/>
    <n v="2000"/>
    <n v="2000"/>
    <n v="2000"/>
    <n v="2000"/>
    <n v="0"/>
    <x v="1"/>
    <n v="41953"/>
    <x v="1"/>
  </r>
  <r>
    <x v="1254"/>
    <n v="290000"/>
    <x v="1"/>
    <x v="1"/>
    <x v="1"/>
    <x v="0"/>
    <n v="46"/>
    <x v="3"/>
    <x v="2"/>
    <x v="1"/>
    <x v="1"/>
    <x v="1"/>
    <x v="1"/>
    <x v="2"/>
    <n v="194301"/>
    <n v="199451"/>
    <n v="198684"/>
    <n v="87700"/>
    <n v="88621"/>
    <n v="53243"/>
    <n v="10744"/>
    <n v="6000"/>
    <n v="1573"/>
    <n v="1629"/>
    <n v="3129"/>
    <n v="105423"/>
    <n v="0"/>
    <x v="1"/>
    <n v="183557"/>
    <x v="2"/>
  </r>
  <r>
    <x v="1255"/>
    <n v="70000"/>
    <x v="0"/>
    <x v="1"/>
    <x v="2"/>
    <x v="1"/>
    <n v="28"/>
    <x v="0"/>
    <x v="4"/>
    <x v="0"/>
    <x v="1"/>
    <x v="1"/>
    <x v="1"/>
    <x v="2"/>
    <n v="68970"/>
    <n v="67308"/>
    <n v="68582"/>
    <n v="68361"/>
    <n v="68060"/>
    <n v="68223"/>
    <n v="0"/>
    <n v="3005"/>
    <n v="2546"/>
    <n v="2602"/>
    <n v="2430"/>
    <n v="2659"/>
    <n v="0"/>
    <x v="1"/>
    <n v="68970"/>
    <x v="1"/>
  </r>
  <r>
    <x v="1256"/>
    <n v="230000"/>
    <x v="1"/>
    <x v="1"/>
    <x v="1"/>
    <x v="1"/>
    <n v="26"/>
    <x v="0"/>
    <x v="3"/>
    <x v="3"/>
    <x v="3"/>
    <x v="2"/>
    <x v="0"/>
    <x v="0"/>
    <n v="416"/>
    <n v="371"/>
    <n v="416"/>
    <n v="416"/>
    <n v="566"/>
    <n v="416"/>
    <n v="371"/>
    <n v="461"/>
    <n v="416"/>
    <n v="566"/>
    <n v="416"/>
    <n v="0"/>
    <n v="0"/>
    <x v="1"/>
    <n v="45"/>
    <x v="0"/>
  </r>
  <r>
    <x v="1257"/>
    <n v="180000"/>
    <x v="1"/>
    <x v="0"/>
    <x v="1"/>
    <x v="1"/>
    <n v="28"/>
    <x v="0"/>
    <x v="1"/>
    <x v="2"/>
    <x v="0"/>
    <x v="0"/>
    <x v="2"/>
    <x v="2"/>
    <n v="950"/>
    <n v="4369"/>
    <n v="9673"/>
    <n v="2861"/>
    <n v="12338"/>
    <n v="9124"/>
    <n v="4369"/>
    <n v="9673"/>
    <n v="3260"/>
    <n v="13959"/>
    <n v="3000"/>
    <n v="18396"/>
    <n v="0"/>
    <x v="1"/>
    <n v="-3419"/>
    <x v="3"/>
  </r>
  <r>
    <x v="1258"/>
    <n v="210000"/>
    <x v="1"/>
    <x v="1"/>
    <x v="1"/>
    <x v="1"/>
    <n v="33"/>
    <x v="1"/>
    <x v="1"/>
    <x v="2"/>
    <x v="0"/>
    <x v="0"/>
    <x v="2"/>
    <x v="3"/>
    <n v="291"/>
    <n v="291"/>
    <n v="291"/>
    <n v="291"/>
    <n v="441"/>
    <n v="291"/>
    <n v="291"/>
    <n v="291"/>
    <n v="291"/>
    <n v="441"/>
    <n v="291"/>
    <n v="291"/>
    <n v="0"/>
    <x v="1"/>
    <n v="0"/>
    <x v="3"/>
  </r>
  <r>
    <x v="1259"/>
    <n v="50000"/>
    <x v="0"/>
    <x v="1"/>
    <x v="1"/>
    <x v="1"/>
    <n v="24"/>
    <x v="0"/>
    <x v="0"/>
    <x v="0"/>
    <x v="1"/>
    <x v="1"/>
    <x v="1"/>
    <x v="2"/>
    <n v="49946"/>
    <n v="48808"/>
    <n v="45469"/>
    <n v="20228"/>
    <n v="18900"/>
    <n v="19066"/>
    <n v="0"/>
    <n v="2079"/>
    <n v="693"/>
    <n v="1080"/>
    <n v="700"/>
    <n v="1004"/>
    <n v="0"/>
    <x v="1"/>
    <n v="49946"/>
    <x v="1"/>
  </r>
  <r>
    <x v="1260"/>
    <n v="150000"/>
    <x v="1"/>
    <x v="1"/>
    <x v="1"/>
    <x v="1"/>
    <n v="37"/>
    <x v="1"/>
    <x v="2"/>
    <x v="1"/>
    <x v="1"/>
    <x v="1"/>
    <x v="1"/>
    <x v="2"/>
    <n v="45000"/>
    <n v="44386"/>
    <n v="46505"/>
    <n v="49103"/>
    <n v="51698"/>
    <n v="52549"/>
    <n v="3000"/>
    <n v="2500"/>
    <n v="3000"/>
    <n v="3000"/>
    <n v="1546"/>
    <n v="2000"/>
    <n v="0"/>
    <x v="1"/>
    <n v="42000"/>
    <x v="1"/>
  </r>
  <r>
    <x v="1261"/>
    <n v="380000"/>
    <x v="2"/>
    <x v="1"/>
    <x v="0"/>
    <x v="0"/>
    <n v="50"/>
    <x v="2"/>
    <x v="2"/>
    <x v="1"/>
    <x v="1"/>
    <x v="1"/>
    <x v="1"/>
    <x v="2"/>
    <n v="385662"/>
    <n v="294826"/>
    <n v="220022"/>
    <n v="154283"/>
    <n v="35270"/>
    <n v="332270"/>
    <n v="12020"/>
    <n v="9009"/>
    <n v="6109"/>
    <n v="3000"/>
    <n v="332000"/>
    <n v="12000"/>
    <n v="1"/>
    <x v="0"/>
    <n v="373642"/>
    <x v="2"/>
  </r>
  <r>
    <x v="1262"/>
    <n v="50000"/>
    <x v="0"/>
    <x v="1"/>
    <x v="0"/>
    <x v="0"/>
    <n v="44"/>
    <x v="3"/>
    <x v="2"/>
    <x v="1"/>
    <x v="1"/>
    <x v="1"/>
    <x v="1"/>
    <x v="2"/>
    <n v="45335"/>
    <n v="46027"/>
    <n v="30286"/>
    <n v="26275"/>
    <n v="26823"/>
    <n v="27371"/>
    <n v="1524"/>
    <n v="1427"/>
    <n v="941"/>
    <n v="972"/>
    <n v="992"/>
    <n v="1000"/>
    <n v="0"/>
    <x v="1"/>
    <n v="43811"/>
    <x v="1"/>
  </r>
  <r>
    <x v="1263"/>
    <n v="150000"/>
    <x v="1"/>
    <x v="0"/>
    <x v="2"/>
    <x v="0"/>
    <n v="43"/>
    <x v="3"/>
    <x v="1"/>
    <x v="2"/>
    <x v="2"/>
    <x v="1"/>
    <x v="2"/>
    <x v="3"/>
    <n v="264"/>
    <n v="948"/>
    <n v="632"/>
    <n v="316"/>
    <n v="316"/>
    <n v="1414"/>
    <n v="1000"/>
    <n v="0"/>
    <n v="0"/>
    <n v="316"/>
    <n v="1414"/>
    <n v="0"/>
    <n v="1"/>
    <x v="0"/>
    <n v="-736"/>
    <x v="3"/>
  </r>
  <r>
    <x v="1264"/>
    <n v="220000"/>
    <x v="1"/>
    <x v="1"/>
    <x v="0"/>
    <x v="1"/>
    <n v="29"/>
    <x v="0"/>
    <x v="2"/>
    <x v="1"/>
    <x v="1"/>
    <x v="1"/>
    <x v="1"/>
    <x v="2"/>
    <n v="122286"/>
    <n v="122839"/>
    <n v="123035"/>
    <n v="114385"/>
    <n v="115903"/>
    <n v="118528"/>
    <n v="5008"/>
    <n v="5007"/>
    <n v="6007"/>
    <n v="5000"/>
    <n v="4700"/>
    <n v="5503"/>
    <n v="0"/>
    <x v="1"/>
    <n v="117278"/>
    <x v="2"/>
  </r>
  <r>
    <x v="1265"/>
    <n v="80000"/>
    <x v="0"/>
    <x v="0"/>
    <x v="3"/>
    <x v="1"/>
    <n v="27"/>
    <x v="0"/>
    <x v="2"/>
    <x v="1"/>
    <x v="1"/>
    <x v="1"/>
    <x v="1"/>
    <x v="2"/>
    <n v="45268"/>
    <n v="47140"/>
    <n v="47411"/>
    <n v="48443"/>
    <n v="49478"/>
    <n v="43264"/>
    <n v="2600"/>
    <n v="1800"/>
    <n v="1700"/>
    <n v="1700"/>
    <n v="1700"/>
    <n v="1300"/>
    <n v="0"/>
    <x v="1"/>
    <n v="42668"/>
    <x v="1"/>
  </r>
  <r>
    <x v="1266"/>
    <n v="220000"/>
    <x v="1"/>
    <x v="0"/>
    <x v="0"/>
    <x v="0"/>
    <n v="32"/>
    <x v="1"/>
    <x v="2"/>
    <x v="1"/>
    <x v="1"/>
    <x v="1"/>
    <x v="1"/>
    <x v="2"/>
    <n v="194961"/>
    <n v="197536"/>
    <n v="203251"/>
    <n v="208355"/>
    <n v="213015"/>
    <n v="217475"/>
    <n v="7200"/>
    <n v="9000"/>
    <n v="10000"/>
    <n v="8000"/>
    <n v="8010"/>
    <n v="8500"/>
    <n v="0"/>
    <x v="1"/>
    <n v="187761"/>
    <x v="2"/>
  </r>
  <r>
    <x v="1267"/>
    <n v="70000"/>
    <x v="0"/>
    <x v="0"/>
    <x v="0"/>
    <x v="1"/>
    <n v="34"/>
    <x v="1"/>
    <x v="4"/>
    <x v="0"/>
    <x v="2"/>
    <x v="3"/>
    <x v="1"/>
    <x v="2"/>
    <n v="24208"/>
    <n v="25015"/>
    <n v="27189"/>
    <n v="26456"/>
    <n v="28361"/>
    <n v="31873"/>
    <n v="1500"/>
    <n v="2900"/>
    <n v="0"/>
    <n v="2500"/>
    <n v="4000"/>
    <n v="0"/>
    <n v="0"/>
    <x v="1"/>
    <n v="22708"/>
    <x v="0"/>
  </r>
  <r>
    <x v="1268"/>
    <n v="120000"/>
    <x v="1"/>
    <x v="1"/>
    <x v="0"/>
    <x v="1"/>
    <n v="37"/>
    <x v="1"/>
    <x v="1"/>
    <x v="0"/>
    <x v="1"/>
    <x v="1"/>
    <x v="1"/>
    <x v="1"/>
    <n v="16241"/>
    <n v="16680"/>
    <n v="17695"/>
    <n v="17901"/>
    <n v="19608"/>
    <n v="19143"/>
    <n v="1000"/>
    <n v="1600"/>
    <n v="800"/>
    <n v="2000"/>
    <n v="0"/>
    <n v="1600"/>
    <n v="1"/>
    <x v="0"/>
    <n v="15241"/>
    <x v="0"/>
  </r>
  <r>
    <x v="1269"/>
    <n v="180000"/>
    <x v="1"/>
    <x v="0"/>
    <x v="0"/>
    <x v="1"/>
    <n v="32"/>
    <x v="1"/>
    <x v="2"/>
    <x v="1"/>
    <x v="1"/>
    <x v="1"/>
    <x v="1"/>
    <x v="2"/>
    <n v="20730"/>
    <n v="17107"/>
    <n v="35884"/>
    <n v="31057"/>
    <n v="29052"/>
    <n v="25933"/>
    <n v="1582"/>
    <n v="30000"/>
    <n v="1000"/>
    <n v="1000"/>
    <n v="1000"/>
    <n v="1000"/>
    <n v="0"/>
    <x v="1"/>
    <n v="19148"/>
    <x v="0"/>
  </r>
  <r>
    <x v="1270"/>
    <n v="50000"/>
    <x v="0"/>
    <x v="0"/>
    <x v="2"/>
    <x v="0"/>
    <n v="57"/>
    <x v="2"/>
    <x v="2"/>
    <x v="1"/>
    <x v="1"/>
    <x v="1"/>
    <x v="1"/>
    <x v="2"/>
    <n v="49017"/>
    <n v="50690"/>
    <n v="47487"/>
    <n v="48319"/>
    <n v="48449"/>
    <n v="49656"/>
    <n v="2500"/>
    <n v="2000"/>
    <n v="2000"/>
    <n v="1746"/>
    <n v="2000"/>
    <n v="1800"/>
    <n v="0"/>
    <x v="1"/>
    <n v="46517"/>
    <x v="1"/>
  </r>
  <r>
    <x v="1271"/>
    <n v="10000"/>
    <x v="0"/>
    <x v="0"/>
    <x v="0"/>
    <x v="2"/>
    <n v="46"/>
    <x v="3"/>
    <x v="4"/>
    <x v="0"/>
    <x v="1"/>
    <x v="1"/>
    <x v="1"/>
    <x v="2"/>
    <n v="9532"/>
    <n v="9236"/>
    <n v="10047"/>
    <n v="8775"/>
    <n v="8984"/>
    <n v="7628"/>
    <n v="0"/>
    <n v="1006"/>
    <n v="1390"/>
    <n v="1000"/>
    <n v="1000"/>
    <n v="2000"/>
    <n v="0"/>
    <x v="1"/>
    <n v="9532"/>
    <x v="0"/>
  </r>
  <r>
    <x v="1272"/>
    <n v="370000"/>
    <x v="2"/>
    <x v="0"/>
    <x v="1"/>
    <x v="0"/>
    <n v="53"/>
    <x v="2"/>
    <x v="1"/>
    <x v="2"/>
    <x v="0"/>
    <x v="0"/>
    <x v="2"/>
    <x v="2"/>
    <n v="21160"/>
    <n v="8153"/>
    <n v="12094"/>
    <n v="30751"/>
    <n v="30131"/>
    <n v="9630"/>
    <n v="8162"/>
    <n v="12294"/>
    <n v="30751"/>
    <n v="30131"/>
    <n v="0"/>
    <n v="0"/>
    <n v="0"/>
    <x v="1"/>
    <n v="12998"/>
    <x v="0"/>
  </r>
  <r>
    <x v="1273"/>
    <n v="20000"/>
    <x v="0"/>
    <x v="0"/>
    <x v="1"/>
    <x v="1"/>
    <n v="26"/>
    <x v="0"/>
    <x v="1"/>
    <x v="1"/>
    <x v="0"/>
    <x v="0"/>
    <x v="2"/>
    <x v="3"/>
    <n v="10658"/>
    <n v="9288"/>
    <n v="390"/>
    <n v="390"/>
    <n v="390"/>
    <n v="0"/>
    <n v="1072"/>
    <n v="390"/>
    <n v="390"/>
    <n v="390"/>
    <n v="0"/>
    <n v="780"/>
    <n v="0"/>
    <x v="1"/>
    <n v="9586"/>
    <x v="0"/>
  </r>
  <r>
    <x v="1274"/>
    <n v="150000"/>
    <x v="1"/>
    <x v="1"/>
    <x v="0"/>
    <x v="0"/>
    <n v="34"/>
    <x v="1"/>
    <x v="2"/>
    <x v="1"/>
    <x v="1"/>
    <x v="1"/>
    <x v="1"/>
    <x v="2"/>
    <n v="132214"/>
    <n v="135140"/>
    <n v="135263"/>
    <n v="137540"/>
    <n v="144786"/>
    <n v="146379"/>
    <n v="4414"/>
    <n v="4700"/>
    <n v="4306"/>
    <n v="10006"/>
    <n v="4822"/>
    <n v="4112"/>
    <n v="0"/>
    <x v="1"/>
    <n v="127800"/>
    <x v="2"/>
  </r>
  <r>
    <x v="1275"/>
    <n v="20000"/>
    <x v="0"/>
    <x v="1"/>
    <x v="1"/>
    <x v="1"/>
    <n v="26"/>
    <x v="0"/>
    <x v="1"/>
    <x v="2"/>
    <x v="0"/>
    <x v="0"/>
    <x v="2"/>
    <x v="3"/>
    <n v="416"/>
    <n v="416"/>
    <n v="416"/>
    <n v="416"/>
    <n v="416"/>
    <n v="982"/>
    <n v="416"/>
    <n v="416"/>
    <n v="416"/>
    <n v="416"/>
    <n v="982"/>
    <n v="0"/>
    <n v="1"/>
    <x v="0"/>
    <n v="0"/>
    <x v="3"/>
  </r>
  <r>
    <x v="1276"/>
    <n v="480000"/>
    <x v="2"/>
    <x v="0"/>
    <x v="0"/>
    <x v="0"/>
    <n v="54"/>
    <x v="2"/>
    <x v="3"/>
    <x v="3"/>
    <x v="3"/>
    <x v="2"/>
    <x v="0"/>
    <x v="0"/>
    <n v="17189"/>
    <n v="6013"/>
    <n v="1717"/>
    <n v="1385"/>
    <n v="0"/>
    <n v="0"/>
    <n v="6026"/>
    <n v="1717"/>
    <n v="1390"/>
    <n v="0"/>
    <n v="0"/>
    <n v="2300"/>
    <n v="0"/>
    <x v="1"/>
    <n v="11163"/>
    <x v="0"/>
  </r>
  <r>
    <x v="1277"/>
    <n v="50000"/>
    <x v="0"/>
    <x v="1"/>
    <x v="2"/>
    <x v="1"/>
    <n v="26"/>
    <x v="0"/>
    <x v="2"/>
    <x v="1"/>
    <x v="1"/>
    <x v="1"/>
    <x v="3"/>
    <x v="2"/>
    <n v="25060"/>
    <n v="26649"/>
    <n v="28202"/>
    <n v="30727"/>
    <n v="30098"/>
    <n v="32580"/>
    <n v="2000"/>
    <n v="2000"/>
    <n v="3000"/>
    <n v="0"/>
    <n v="3000"/>
    <n v="3000"/>
    <n v="0"/>
    <x v="1"/>
    <n v="23060"/>
    <x v="0"/>
  </r>
  <r>
    <x v="1278"/>
    <n v="170000"/>
    <x v="1"/>
    <x v="1"/>
    <x v="0"/>
    <x v="1"/>
    <n v="31"/>
    <x v="1"/>
    <x v="2"/>
    <x v="1"/>
    <x v="1"/>
    <x v="1"/>
    <x v="1"/>
    <x v="2"/>
    <n v="24581"/>
    <n v="25611"/>
    <n v="26631"/>
    <n v="27383"/>
    <n v="27801"/>
    <n v="31337"/>
    <n v="1728"/>
    <n v="1748"/>
    <n v="1500"/>
    <n v="1011"/>
    <n v="4000"/>
    <n v="0"/>
    <n v="0"/>
    <x v="1"/>
    <n v="22853"/>
    <x v="0"/>
  </r>
  <r>
    <x v="1279"/>
    <n v="400000"/>
    <x v="2"/>
    <x v="0"/>
    <x v="0"/>
    <x v="1"/>
    <n v="30"/>
    <x v="1"/>
    <x v="3"/>
    <x v="3"/>
    <x v="3"/>
    <x v="2"/>
    <x v="0"/>
    <x v="0"/>
    <n v="-200"/>
    <n v="-200"/>
    <n v="-200"/>
    <n v="746"/>
    <n v="3956"/>
    <n v="2500"/>
    <n v="0"/>
    <n v="0"/>
    <n v="946"/>
    <n v="3956"/>
    <n v="2500"/>
    <n v="0"/>
    <n v="0"/>
    <x v="1"/>
    <n v="-200"/>
    <x v="3"/>
  </r>
  <r>
    <x v="1280"/>
    <n v="200000"/>
    <x v="1"/>
    <x v="0"/>
    <x v="1"/>
    <x v="1"/>
    <n v="31"/>
    <x v="1"/>
    <x v="2"/>
    <x v="1"/>
    <x v="1"/>
    <x v="1"/>
    <x v="1"/>
    <x v="2"/>
    <n v="38635"/>
    <n v="41031"/>
    <n v="45929"/>
    <n v="48661"/>
    <n v="49723"/>
    <n v="50896"/>
    <n v="3031"/>
    <n v="5929"/>
    <n v="3500"/>
    <n v="2000"/>
    <n v="2000"/>
    <n v="11028"/>
    <n v="0"/>
    <x v="1"/>
    <n v="35604"/>
    <x v="1"/>
  </r>
  <r>
    <x v="1281"/>
    <n v="360000"/>
    <x v="2"/>
    <x v="1"/>
    <x v="1"/>
    <x v="1"/>
    <n v="34"/>
    <x v="1"/>
    <x v="4"/>
    <x v="3"/>
    <x v="3"/>
    <x v="2"/>
    <x v="0"/>
    <x v="3"/>
    <n v="0"/>
    <n v="0"/>
    <n v="0"/>
    <n v="0"/>
    <n v="0"/>
    <n v="150"/>
    <n v="0"/>
    <n v="0"/>
    <n v="0"/>
    <n v="0"/>
    <n v="150"/>
    <n v="59"/>
    <n v="0"/>
    <x v="1"/>
    <n v="0"/>
    <x v="3"/>
  </r>
  <r>
    <x v="1282"/>
    <n v="140000"/>
    <x v="1"/>
    <x v="0"/>
    <x v="3"/>
    <x v="1"/>
    <n v="36"/>
    <x v="1"/>
    <x v="2"/>
    <x v="1"/>
    <x v="1"/>
    <x v="1"/>
    <x v="1"/>
    <x v="2"/>
    <n v="91226"/>
    <n v="83650"/>
    <n v="80037"/>
    <n v="53055"/>
    <n v="102587"/>
    <n v="98251"/>
    <n v="4182"/>
    <n v="4000"/>
    <n v="4000"/>
    <n v="98000"/>
    <n v="4000"/>
    <n v="3500"/>
    <n v="0"/>
    <x v="1"/>
    <n v="87044"/>
    <x v="1"/>
  </r>
  <r>
    <x v="1283"/>
    <n v="260000"/>
    <x v="1"/>
    <x v="1"/>
    <x v="2"/>
    <x v="0"/>
    <n v="34"/>
    <x v="1"/>
    <x v="3"/>
    <x v="3"/>
    <x v="3"/>
    <x v="2"/>
    <x v="0"/>
    <x v="0"/>
    <n v="12071"/>
    <n v="12497"/>
    <n v="1027"/>
    <n v="-103"/>
    <n v="-103"/>
    <n v="1047"/>
    <n v="2114"/>
    <n v="1027"/>
    <n v="103"/>
    <n v="0"/>
    <n v="1150"/>
    <n v="2503"/>
    <n v="0"/>
    <x v="1"/>
    <n v="9957"/>
    <x v="0"/>
  </r>
  <r>
    <x v="1284"/>
    <n v="440000"/>
    <x v="2"/>
    <x v="0"/>
    <x v="0"/>
    <x v="1"/>
    <n v="26"/>
    <x v="0"/>
    <x v="2"/>
    <x v="1"/>
    <x v="1"/>
    <x v="1"/>
    <x v="1"/>
    <x v="2"/>
    <n v="96190"/>
    <n v="90462"/>
    <n v="78267"/>
    <n v="71795"/>
    <n v="51812"/>
    <n v="25064"/>
    <n v="3513"/>
    <n v="3017"/>
    <n v="2037"/>
    <n v="2019"/>
    <n v="3010"/>
    <n v="3004"/>
    <n v="0"/>
    <x v="1"/>
    <n v="92677"/>
    <x v="1"/>
  </r>
  <r>
    <x v="1285"/>
    <n v="500000"/>
    <x v="2"/>
    <x v="1"/>
    <x v="0"/>
    <x v="0"/>
    <n v="43"/>
    <x v="3"/>
    <x v="2"/>
    <x v="1"/>
    <x v="1"/>
    <x v="1"/>
    <x v="1"/>
    <x v="2"/>
    <n v="12200"/>
    <n v="8140"/>
    <n v="10176"/>
    <n v="20719"/>
    <n v="15665"/>
    <n v="8074"/>
    <n v="1518"/>
    <n v="5019"/>
    <n v="15027"/>
    <n v="639"/>
    <n v="547"/>
    <n v="50274"/>
    <n v="0"/>
    <x v="1"/>
    <n v="10682"/>
    <x v="0"/>
  </r>
  <r>
    <x v="1286"/>
    <n v="230000"/>
    <x v="1"/>
    <x v="0"/>
    <x v="0"/>
    <x v="0"/>
    <n v="29"/>
    <x v="0"/>
    <x v="2"/>
    <x v="1"/>
    <x v="1"/>
    <x v="1"/>
    <x v="1"/>
    <x v="2"/>
    <n v="64982"/>
    <n v="44908"/>
    <n v="51535"/>
    <n v="24607"/>
    <n v="28279"/>
    <n v="48934"/>
    <n v="3000"/>
    <n v="11000"/>
    <n v="15000"/>
    <n v="13000"/>
    <n v="36000"/>
    <n v="3000"/>
    <n v="0"/>
    <x v="1"/>
    <n v="61982"/>
    <x v="1"/>
  </r>
  <r>
    <x v="1287"/>
    <n v="470000"/>
    <x v="2"/>
    <x v="1"/>
    <x v="0"/>
    <x v="0"/>
    <n v="41"/>
    <x v="3"/>
    <x v="3"/>
    <x v="3"/>
    <x v="3"/>
    <x v="2"/>
    <x v="0"/>
    <x v="3"/>
    <n v="13780"/>
    <n v="12242"/>
    <n v="32463"/>
    <n v="20621"/>
    <n v="13711"/>
    <n v="8294"/>
    <n v="12300"/>
    <n v="32520"/>
    <n v="34"/>
    <n v="68"/>
    <n v="8334"/>
    <n v="45684"/>
    <n v="0"/>
    <x v="1"/>
    <n v="1480"/>
    <x v="0"/>
  </r>
  <r>
    <x v="1288"/>
    <n v="20000"/>
    <x v="0"/>
    <x v="0"/>
    <x v="2"/>
    <x v="0"/>
    <n v="48"/>
    <x v="3"/>
    <x v="4"/>
    <x v="0"/>
    <x v="2"/>
    <x v="4"/>
    <x v="3"/>
    <x v="1"/>
    <n v="14589"/>
    <n v="16743"/>
    <n v="17522"/>
    <n v="17055"/>
    <n v="10400"/>
    <n v="0"/>
    <n v="2700"/>
    <n v="1400"/>
    <n v="0"/>
    <n v="0"/>
    <n v="0"/>
    <n v="0"/>
    <n v="1"/>
    <x v="0"/>
    <n v="11889"/>
    <x v="0"/>
  </r>
  <r>
    <x v="1289"/>
    <n v="210000"/>
    <x v="1"/>
    <x v="0"/>
    <x v="0"/>
    <x v="1"/>
    <n v="24"/>
    <x v="0"/>
    <x v="2"/>
    <x v="1"/>
    <x v="1"/>
    <x v="1"/>
    <x v="1"/>
    <x v="2"/>
    <n v="108491"/>
    <n v="111046"/>
    <n v="110716"/>
    <n v="97168"/>
    <n v="94524"/>
    <n v="96777"/>
    <n v="5800"/>
    <n v="3700"/>
    <n v="3505"/>
    <n v="3400"/>
    <n v="3769"/>
    <n v="3229"/>
    <n v="0"/>
    <x v="1"/>
    <n v="102691"/>
    <x v="2"/>
  </r>
  <r>
    <x v="1290"/>
    <n v="20000"/>
    <x v="0"/>
    <x v="0"/>
    <x v="1"/>
    <x v="1"/>
    <n v="23"/>
    <x v="0"/>
    <x v="2"/>
    <x v="1"/>
    <x v="3"/>
    <x v="0"/>
    <x v="1"/>
    <x v="2"/>
    <n v="6733"/>
    <n v="0"/>
    <n v="0"/>
    <n v="19132"/>
    <n v="19533"/>
    <n v="20235"/>
    <n v="0"/>
    <n v="0"/>
    <n v="19132"/>
    <n v="709"/>
    <n v="1027"/>
    <n v="600"/>
    <n v="0"/>
    <x v="1"/>
    <n v="6733"/>
    <x v="0"/>
  </r>
  <r>
    <x v="1291"/>
    <n v="20000"/>
    <x v="0"/>
    <x v="0"/>
    <x v="2"/>
    <x v="0"/>
    <n v="53"/>
    <x v="2"/>
    <x v="2"/>
    <x v="1"/>
    <x v="1"/>
    <x v="1"/>
    <x v="1"/>
    <x v="2"/>
    <n v="12197"/>
    <n v="13292"/>
    <n v="14362"/>
    <n v="14821"/>
    <n v="15143"/>
    <n v="15737"/>
    <n v="1600"/>
    <n v="1600"/>
    <n v="1000"/>
    <n v="710"/>
    <n v="1000"/>
    <n v="1000"/>
    <n v="0"/>
    <x v="1"/>
    <n v="10597"/>
    <x v="0"/>
  </r>
  <r>
    <x v="1292"/>
    <n v="200000"/>
    <x v="1"/>
    <x v="0"/>
    <x v="0"/>
    <x v="0"/>
    <n v="34"/>
    <x v="1"/>
    <x v="4"/>
    <x v="2"/>
    <x v="0"/>
    <x v="0"/>
    <x v="2"/>
    <x v="3"/>
    <n v="-2"/>
    <n v="758"/>
    <n v="998"/>
    <n v="668"/>
    <n v="9815"/>
    <n v="36870"/>
    <n v="760"/>
    <n v="1000"/>
    <n v="670"/>
    <n v="9852"/>
    <n v="40063"/>
    <n v="1049"/>
    <n v="0"/>
    <x v="1"/>
    <n v="-762"/>
    <x v="3"/>
  </r>
  <r>
    <x v="1293"/>
    <n v="250000"/>
    <x v="1"/>
    <x v="0"/>
    <x v="0"/>
    <x v="1"/>
    <n v="36"/>
    <x v="1"/>
    <x v="2"/>
    <x v="2"/>
    <x v="0"/>
    <x v="1"/>
    <x v="1"/>
    <x v="2"/>
    <n v="6220"/>
    <n v="27217"/>
    <n v="6149"/>
    <n v="26202"/>
    <n v="6906"/>
    <n v="3855"/>
    <n v="27225"/>
    <n v="6159"/>
    <n v="25846"/>
    <n v="0"/>
    <n v="3855"/>
    <n v="3876"/>
    <n v="1"/>
    <x v="0"/>
    <n v="-21005"/>
    <x v="3"/>
  </r>
  <r>
    <x v="1294"/>
    <n v="300000"/>
    <x v="1"/>
    <x v="1"/>
    <x v="0"/>
    <x v="1"/>
    <n v="41"/>
    <x v="3"/>
    <x v="2"/>
    <x v="1"/>
    <x v="1"/>
    <x v="0"/>
    <x v="2"/>
    <x v="1"/>
    <n v="34480"/>
    <n v="31159"/>
    <n v="18580"/>
    <n v="1400"/>
    <n v="6297"/>
    <n v="977"/>
    <n v="1472"/>
    <n v="1000"/>
    <n v="1410"/>
    <n v="6297"/>
    <n v="0"/>
    <n v="19480"/>
    <n v="0"/>
    <x v="1"/>
    <n v="33008"/>
    <x v="1"/>
  </r>
  <r>
    <x v="1295"/>
    <n v="320000"/>
    <x v="2"/>
    <x v="0"/>
    <x v="1"/>
    <x v="1"/>
    <n v="30"/>
    <x v="1"/>
    <x v="2"/>
    <x v="1"/>
    <x v="1"/>
    <x v="1"/>
    <x v="1"/>
    <x v="2"/>
    <n v="113801"/>
    <n v="90354"/>
    <n v="88467"/>
    <n v="79241"/>
    <n v="83530"/>
    <n v="90573"/>
    <n v="5017"/>
    <n v="4057"/>
    <n v="4014"/>
    <n v="8531"/>
    <n v="15005"/>
    <n v="5033"/>
    <n v="0"/>
    <x v="1"/>
    <n v="108784"/>
    <x v="2"/>
  </r>
  <r>
    <x v="1296"/>
    <n v="50000"/>
    <x v="0"/>
    <x v="1"/>
    <x v="0"/>
    <x v="1"/>
    <n v="29"/>
    <x v="0"/>
    <x v="4"/>
    <x v="0"/>
    <x v="2"/>
    <x v="3"/>
    <x v="1"/>
    <x v="2"/>
    <n v="37170"/>
    <n v="36297"/>
    <n v="39863"/>
    <n v="38924"/>
    <n v="39744"/>
    <n v="40533"/>
    <n v="0"/>
    <n v="4500"/>
    <n v="0"/>
    <n v="1600"/>
    <n v="1600"/>
    <n v="1600"/>
    <n v="0"/>
    <x v="1"/>
    <n v="37170"/>
    <x v="1"/>
  </r>
  <r>
    <x v="1297"/>
    <n v="200000"/>
    <x v="1"/>
    <x v="0"/>
    <x v="0"/>
    <x v="0"/>
    <n v="34"/>
    <x v="1"/>
    <x v="3"/>
    <x v="3"/>
    <x v="3"/>
    <x v="0"/>
    <x v="2"/>
    <x v="3"/>
    <n v="6626"/>
    <n v="2469"/>
    <n v="3760"/>
    <n v="4273"/>
    <n v="3015"/>
    <n v="5076"/>
    <n v="2476"/>
    <n v="3771"/>
    <n v="4285"/>
    <n v="3023"/>
    <n v="5088"/>
    <n v="6282"/>
    <n v="0"/>
    <x v="1"/>
    <n v="4150"/>
    <x v="0"/>
  </r>
  <r>
    <x v="1298"/>
    <n v="80000"/>
    <x v="0"/>
    <x v="0"/>
    <x v="1"/>
    <x v="1"/>
    <n v="29"/>
    <x v="0"/>
    <x v="2"/>
    <x v="1"/>
    <x v="1"/>
    <x v="1"/>
    <x v="1"/>
    <x v="2"/>
    <n v="16936"/>
    <n v="17963"/>
    <n v="18976"/>
    <n v="19660"/>
    <n v="20343"/>
    <n v="21003"/>
    <n v="1303"/>
    <n v="1316"/>
    <n v="1000"/>
    <n v="1000"/>
    <n v="1000"/>
    <n v="933"/>
    <n v="1"/>
    <x v="0"/>
    <n v="15633"/>
    <x v="0"/>
  </r>
  <r>
    <x v="1299"/>
    <n v="70000"/>
    <x v="0"/>
    <x v="1"/>
    <x v="0"/>
    <x v="0"/>
    <n v="37"/>
    <x v="1"/>
    <x v="1"/>
    <x v="0"/>
    <x v="1"/>
    <x v="1"/>
    <x v="2"/>
    <x v="3"/>
    <n v="10323"/>
    <n v="6659"/>
    <n v="6740"/>
    <n v="3559"/>
    <n v="7086"/>
    <n v="6979"/>
    <n v="0"/>
    <n v="3559"/>
    <n v="189"/>
    <n v="7086"/>
    <n v="3370"/>
    <n v="0"/>
    <n v="1"/>
    <x v="0"/>
    <n v="10323"/>
    <x v="0"/>
  </r>
  <r>
    <x v="1300"/>
    <n v="60000"/>
    <x v="0"/>
    <x v="1"/>
    <x v="2"/>
    <x v="1"/>
    <n v="36"/>
    <x v="1"/>
    <x v="5"/>
    <x v="0"/>
    <x v="1"/>
    <x v="1"/>
    <x v="1"/>
    <x v="2"/>
    <n v="56807"/>
    <n v="55339"/>
    <n v="55751"/>
    <n v="37851"/>
    <n v="34195"/>
    <n v="33499"/>
    <n v="0"/>
    <n v="2141"/>
    <n v="2000"/>
    <n v="2000"/>
    <n v="2000"/>
    <n v="2000"/>
    <n v="0"/>
    <x v="1"/>
    <n v="56807"/>
    <x v="1"/>
  </r>
  <r>
    <x v="1301"/>
    <n v="10000"/>
    <x v="0"/>
    <x v="0"/>
    <x v="2"/>
    <x v="1"/>
    <n v="22"/>
    <x v="0"/>
    <x v="2"/>
    <x v="1"/>
    <x v="2"/>
    <x v="1"/>
    <x v="1"/>
    <x v="2"/>
    <n v="10012"/>
    <n v="9784"/>
    <n v="9473"/>
    <n v="8947"/>
    <n v="9135"/>
    <n v="8613"/>
    <n v="2452"/>
    <n v="7"/>
    <n v="308"/>
    <n v="320"/>
    <n v="328"/>
    <n v="1000"/>
    <n v="1"/>
    <x v="0"/>
    <n v="7560"/>
    <x v="0"/>
  </r>
  <r>
    <x v="1302"/>
    <n v="50000"/>
    <x v="0"/>
    <x v="0"/>
    <x v="2"/>
    <x v="1"/>
    <n v="30"/>
    <x v="1"/>
    <x v="2"/>
    <x v="1"/>
    <x v="2"/>
    <x v="1"/>
    <x v="1"/>
    <x v="2"/>
    <n v="50332"/>
    <n v="51247"/>
    <n v="50073"/>
    <n v="26550"/>
    <n v="25842"/>
    <n v="25996"/>
    <n v="4210"/>
    <n v="0"/>
    <n v="1500"/>
    <n v="1090"/>
    <n v="2000"/>
    <n v="2000"/>
    <n v="0"/>
    <x v="1"/>
    <n v="46122"/>
    <x v="1"/>
  </r>
  <r>
    <x v="1303"/>
    <n v="140000"/>
    <x v="1"/>
    <x v="1"/>
    <x v="0"/>
    <x v="1"/>
    <n v="26"/>
    <x v="0"/>
    <x v="0"/>
    <x v="1"/>
    <x v="1"/>
    <x v="1"/>
    <x v="1"/>
    <x v="2"/>
    <n v="133572"/>
    <n v="135367"/>
    <n v="113272"/>
    <n v="115685"/>
    <n v="118171"/>
    <n v="120550"/>
    <n v="6169"/>
    <n v="4500"/>
    <n v="4287"/>
    <n v="4500"/>
    <n v="4500"/>
    <n v="9500"/>
    <n v="1"/>
    <x v="0"/>
    <n v="127403"/>
    <x v="2"/>
  </r>
  <r>
    <x v="1304"/>
    <n v="30000"/>
    <x v="0"/>
    <x v="1"/>
    <x v="0"/>
    <x v="1"/>
    <n v="25"/>
    <x v="0"/>
    <x v="2"/>
    <x v="1"/>
    <x v="1"/>
    <x v="1"/>
    <x v="1"/>
    <x v="2"/>
    <n v="7160"/>
    <n v="8185"/>
    <n v="9286"/>
    <n v="9483"/>
    <n v="9780"/>
    <n v="10068"/>
    <n v="1300"/>
    <n v="1400"/>
    <n v="500"/>
    <n v="600"/>
    <n v="600"/>
    <n v="600"/>
    <n v="0"/>
    <x v="1"/>
    <n v="5860"/>
    <x v="0"/>
  </r>
  <r>
    <x v="1305"/>
    <n v="190000"/>
    <x v="1"/>
    <x v="1"/>
    <x v="0"/>
    <x v="0"/>
    <n v="49"/>
    <x v="3"/>
    <x v="1"/>
    <x v="2"/>
    <x v="0"/>
    <x v="0"/>
    <x v="2"/>
    <x v="2"/>
    <n v="435"/>
    <n v="435"/>
    <n v="635"/>
    <n v="2084"/>
    <n v="161110"/>
    <n v="149941"/>
    <n v="435"/>
    <n v="635"/>
    <n v="2084"/>
    <n v="161110"/>
    <n v="5800"/>
    <n v="4138"/>
    <n v="0"/>
    <x v="1"/>
    <n v="0"/>
    <x v="3"/>
  </r>
  <r>
    <x v="1306"/>
    <n v="70000"/>
    <x v="0"/>
    <x v="0"/>
    <x v="1"/>
    <x v="1"/>
    <n v="23"/>
    <x v="0"/>
    <x v="1"/>
    <x v="2"/>
    <x v="0"/>
    <x v="0"/>
    <x v="2"/>
    <x v="3"/>
    <n v="853"/>
    <n v="3128"/>
    <n v="4719"/>
    <n v="100"/>
    <n v="1610"/>
    <n v="690"/>
    <n v="3128"/>
    <n v="4722"/>
    <n v="0"/>
    <n v="1610"/>
    <n v="0"/>
    <n v="10909"/>
    <n v="0"/>
    <x v="1"/>
    <n v="-2275"/>
    <x v="3"/>
  </r>
  <r>
    <x v="1307"/>
    <n v="330000"/>
    <x v="2"/>
    <x v="0"/>
    <x v="0"/>
    <x v="0"/>
    <n v="28"/>
    <x v="0"/>
    <x v="1"/>
    <x v="2"/>
    <x v="0"/>
    <x v="0"/>
    <x v="2"/>
    <x v="3"/>
    <n v="390"/>
    <n v="0"/>
    <n v="780"/>
    <n v="150"/>
    <n v="320"/>
    <n v="780"/>
    <n v="0"/>
    <n v="780"/>
    <n v="150"/>
    <n v="320"/>
    <n v="1000"/>
    <n v="0"/>
    <n v="0"/>
    <x v="1"/>
    <n v="390"/>
    <x v="0"/>
  </r>
  <r>
    <x v="1308"/>
    <n v="110000"/>
    <x v="1"/>
    <x v="0"/>
    <x v="0"/>
    <x v="1"/>
    <n v="24"/>
    <x v="0"/>
    <x v="2"/>
    <x v="1"/>
    <x v="1"/>
    <x v="3"/>
    <x v="1"/>
    <x v="2"/>
    <n v="6470"/>
    <n v="8610"/>
    <n v="15123"/>
    <n v="9761"/>
    <n v="9717"/>
    <n v="8046"/>
    <n v="2654"/>
    <n v="7230"/>
    <n v="0"/>
    <n v="463"/>
    <n v="393"/>
    <n v="151"/>
    <n v="0"/>
    <x v="1"/>
    <n v="3816"/>
    <x v="0"/>
  </r>
  <r>
    <x v="1309"/>
    <n v="270000"/>
    <x v="1"/>
    <x v="1"/>
    <x v="2"/>
    <x v="0"/>
    <n v="47"/>
    <x v="3"/>
    <x v="2"/>
    <x v="1"/>
    <x v="1"/>
    <x v="1"/>
    <x v="1"/>
    <x v="2"/>
    <n v="165303"/>
    <n v="168837"/>
    <n v="172281"/>
    <n v="175705"/>
    <n v="179582"/>
    <n v="184650"/>
    <n v="6200"/>
    <n v="6254"/>
    <n v="6290"/>
    <n v="6710"/>
    <n v="8250"/>
    <n v="0"/>
    <n v="0"/>
    <x v="1"/>
    <n v="159103"/>
    <x v="2"/>
  </r>
  <r>
    <x v="1310"/>
    <n v="160000"/>
    <x v="1"/>
    <x v="1"/>
    <x v="0"/>
    <x v="0"/>
    <n v="31"/>
    <x v="1"/>
    <x v="5"/>
    <x v="0"/>
    <x v="1"/>
    <x v="1"/>
    <x v="1"/>
    <x v="2"/>
    <n v="26295"/>
    <n v="27074"/>
    <n v="28314"/>
    <n v="29341"/>
    <n v="31690"/>
    <n v="33993"/>
    <n v="1500"/>
    <n v="2000"/>
    <n v="1500"/>
    <n v="3000"/>
    <n v="3000"/>
    <n v="1500"/>
    <n v="1"/>
    <x v="0"/>
    <n v="24795"/>
    <x v="0"/>
  </r>
  <r>
    <x v="1311"/>
    <n v="20000"/>
    <x v="0"/>
    <x v="1"/>
    <x v="0"/>
    <x v="1"/>
    <n v="24"/>
    <x v="0"/>
    <x v="5"/>
    <x v="0"/>
    <x v="1"/>
    <x v="1"/>
    <x v="2"/>
    <x v="3"/>
    <n v="18937"/>
    <n v="18350"/>
    <n v="18918"/>
    <n v="19323"/>
    <n v="13180"/>
    <n v="5200"/>
    <n v="0"/>
    <n v="1251"/>
    <n v="656"/>
    <n v="13180"/>
    <n v="5200"/>
    <n v="0"/>
    <n v="0"/>
    <x v="1"/>
    <n v="18937"/>
    <x v="0"/>
  </r>
  <r>
    <x v="1312"/>
    <n v="320000"/>
    <x v="2"/>
    <x v="1"/>
    <x v="0"/>
    <x v="1"/>
    <n v="32"/>
    <x v="1"/>
    <x v="2"/>
    <x v="1"/>
    <x v="1"/>
    <x v="1"/>
    <x v="1"/>
    <x v="2"/>
    <n v="21460"/>
    <n v="23412"/>
    <n v="25331"/>
    <n v="25741"/>
    <n v="26800"/>
    <n v="28817"/>
    <n v="3000"/>
    <n v="3000"/>
    <n v="1500"/>
    <n v="2000"/>
    <n v="3000"/>
    <n v="2000"/>
    <n v="0"/>
    <x v="1"/>
    <n v="18460"/>
    <x v="0"/>
  </r>
  <r>
    <x v="1313"/>
    <n v="430000"/>
    <x v="2"/>
    <x v="1"/>
    <x v="1"/>
    <x v="1"/>
    <n v="31"/>
    <x v="1"/>
    <x v="2"/>
    <x v="1"/>
    <x v="1"/>
    <x v="1"/>
    <x v="1"/>
    <x v="2"/>
    <n v="29860"/>
    <n v="39305"/>
    <n v="43020"/>
    <n v="45540"/>
    <n v="8342"/>
    <n v="8310"/>
    <n v="10000"/>
    <n v="5000"/>
    <n v="5540"/>
    <n v="8310"/>
    <n v="5640"/>
    <n v="2820"/>
    <n v="0"/>
    <x v="1"/>
    <n v="19860"/>
    <x v="0"/>
  </r>
  <r>
    <x v="1314"/>
    <n v="50000"/>
    <x v="0"/>
    <x v="0"/>
    <x v="1"/>
    <x v="0"/>
    <n v="37"/>
    <x v="1"/>
    <x v="0"/>
    <x v="1"/>
    <x v="1"/>
    <x v="1"/>
    <x v="2"/>
    <x v="1"/>
    <n v="8014"/>
    <n v="7668"/>
    <n v="7081"/>
    <n v="5738"/>
    <n v="6461"/>
    <n v="4822"/>
    <n v="1200"/>
    <n v="1000"/>
    <n v="91"/>
    <n v="11283"/>
    <n v="0"/>
    <n v="1000"/>
    <n v="0"/>
    <x v="1"/>
    <n v="6814"/>
    <x v="0"/>
  </r>
  <r>
    <x v="1315"/>
    <n v="140000"/>
    <x v="1"/>
    <x v="1"/>
    <x v="0"/>
    <x v="0"/>
    <n v="48"/>
    <x v="3"/>
    <x v="1"/>
    <x v="2"/>
    <x v="2"/>
    <x v="1"/>
    <x v="1"/>
    <x v="0"/>
    <n v="1600"/>
    <n v="5012"/>
    <n v="4739"/>
    <n v="4739"/>
    <n v="0"/>
    <n v="0"/>
    <n v="5012"/>
    <n v="0"/>
    <n v="0"/>
    <n v="0"/>
    <n v="0"/>
    <n v="2770"/>
    <n v="1"/>
    <x v="0"/>
    <n v="-3412"/>
    <x v="3"/>
  </r>
  <r>
    <x v="1316"/>
    <n v="500000"/>
    <x v="2"/>
    <x v="1"/>
    <x v="0"/>
    <x v="0"/>
    <n v="49"/>
    <x v="3"/>
    <x v="3"/>
    <x v="3"/>
    <x v="3"/>
    <x v="2"/>
    <x v="0"/>
    <x v="0"/>
    <n v="4214"/>
    <n v="6378"/>
    <n v="4074"/>
    <n v="116446"/>
    <n v="9335"/>
    <n v="3312"/>
    <n v="6378"/>
    <n v="4074"/>
    <n v="116446"/>
    <n v="9335"/>
    <n v="3312"/>
    <n v="43664"/>
    <n v="0"/>
    <x v="1"/>
    <n v="-2164"/>
    <x v="3"/>
  </r>
  <r>
    <x v="1317"/>
    <n v="80000"/>
    <x v="0"/>
    <x v="1"/>
    <x v="2"/>
    <x v="0"/>
    <n v="45"/>
    <x v="3"/>
    <x v="2"/>
    <x v="1"/>
    <x v="1"/>
    <x v="1"/>
    <x v="1"/>
    <x v="2"/>
    <n v="26637"/>
    <n v="26437"/>
    <n v="26686"/>
    <n v="28372"/>
    <n v="28345"/>
    <n v="27279"/>
    <n v="1490"/>
    <n v="2000"/>
    <n v="2000"/>
    <n v="3000"/>
    <n v="5000"/>
    <n v="865"/>
    <n v="0"/>
    <x v="1"/>
    <n v="25147"/>
    <x v="1"/>
  </r>
  <r>
    <x v="1318"/>
    <n v="390000"/>
    <x v="2"/>
    <x v="0"/>
    <x v="1"/>
    <x v="0"/>
    <n v="34"/>
    <x v="1"/>
    <x v="4"/>
    <x v="3"/>
    <x v="0"/>
    <x v="0"/>
    <x v="0"/>
    <x v="0"/>
    <n v="0"/>
    <n v="0"/>
    <n v="1266"/>
    <n v="0"/>
    <n v="0"/>
    <n v="0"/>
    <n v="0"/>
    <n v="1266"/>
    <n v="0"/>
    <n v="0"/>
    <n v="0"/>
    <n v="0"/>
    <n v="0"/>
    <x v="1"/>
    <n v="0"/>
    <x v="3"/>
  </r>
  <r>
    <x v="1319"/>
    <n v="250000"/>
    <x v="1"/>
    <x v="0"/>
    <x v="1"/>
    <x v="0"/>
    <n v="43"/>
    <x v="3"/>
    <x v="1"/>
    <x v="2"/>
    <x v="0"/>
    <x v="1"/>
    <x v="1"/>
    <x v="3"/>
    <n v="17454"/>
    <n v="-50"/>
    <n v="45297"/>
    <n v="17371"/>
    <n v="11481"/>
    <n v="5922"/>
    <n v="24890"/>
    <n v="48394"/>
    <n v="0"/>
    <n v="5461"/>
    <n v="15000"/>
    <n v="6000"/>
    <n v="0"/>
    <x v="1"/>
    <n v="-7436"/>
    <x v="3"/>
  </r>
  <r>
    <x v="1320"/>
    <n v="390000"/>
    <x v="2"/>
    <x v="0"/>
    <x v="1"/>
    <x v="1"/>
    <n v="31"/>
    <x v="1"/>
    <x v="3"/>
    <x v="3"/>
    <x v="3"/>
    <x v="2"/>
    <x v="0"/>
    <x v="0"/>
    <n v="6466"/>
    <n v="6266"/>
    <n v="12578"/>
    <n v="7650"/>
    <n v="48090"/>
    <n v="17013"/>
    <n v="6266"/>
    <n v="12581"/>
    <n v="7650"/>
    <n v="48090"/>
    <n v="28973"/>
    <n v="17271"/>
    <n v="0"/>
    <x v="1"/>
    <n v="200"/>
    <x v="0"/>
  </r>
  <r>
    <x v="1321"/>
    <n v="100000"/>
    <x v="0"/>
    <x v="0"/>
    <x v="1"/>
    <x v="0"/>
    <n v="35"/>
    <x v="1"/>
    <x v="2"/>
    <x v="1"/>
    <x v="1"/>
    <x v="1"/>
    <x v="1"/>
    <x v="2"/>
    <n v="57612"/>
    <n v="58818"/>
    <n v="60841"/>
    <n v="61434"/>
    <n v="62743"/>
    <n v="66677"/>
    <n v="2134"/>
    <n v="3000"/>
    <n v="2200"/>
    <n v="2300"/>
    <n v="5000"/>
    <n v="3000"/>
    <n v="0"/>
    <x v="1"/>
    <n v="55478"/>
    <x v="1"/>
  </r>
  <r>
    <x v="1322"/>
    <n v="360000"/>
    <x v="2"/>
    <x v="0"/>
    <x v="1"/>
    <x v="0"/>
    <n v="42"/>
    <x v="3"/>
    <x v="2"/>
    <x v="1"/>
    <x v="1"/>
    <x v="1"/>
    <x v="1"/>
    <x v="2"/>
    <n v="179851"/>
    <n v="186961"/>
    <n v="201703"/>
    <n v="189455"/>
    <n v="194373"/>
    <n v="207022"/>
    <n v="10005"/>
    <n v="20117"/>
    <n v="15018"/>
    <n v="10027"/>
    <n v="20057"/>
    <n v="17000"/>
    <n v="0"/>
    <x v="1"/>
    <n v="169846"/>
    <x v="2"/>
  </r>
  <r>
    <x v="1323"/>
    <n v="140000"/>
    <x v="1"/>
    <x v="1"/>
    <x v="1"/>
    <x v="1"/>
    <n v="36"/>
    <x v="1"/>
    <x v="4"/>
    <x v="2"/>
    <x v="0"/>
    <x v="1"/>
    <x v="1"/>
    <x v="3"/>
    <n v="-5"/>
    <n v="1135"/>
    <n v="17227"/>
    <n v="12918"/>
    <n v="10898"/>
    <n v="823"/>
    <n v="1140"/>
    <n v="17227"/>
    <n v="0"/>
    <n v="365"/>
    <n v="840"/>
    <n v="4507"/>
    <n v="0"/>
    <x v="1"/>
    <n v="-1145"/>
    <x v="3"/>
  </r>
  <r>
    <x v="1324"/>
    <n v="110000"/>
    <x v="1"/>
    <x v="1"/>
    <x v="0"/>
    <x v="0"/>
    <n v="51"/>
    <x v="2"/>
    <x v="2"/>
    <x v="1"/>
    <x v="1"/>
    <x v="1"/>
    <x v="1"/>
    <x v="2"/>
    <n v="45964"/>
    <n v="46922"/>
    <n v="48140"/>
    <n v="49339"/>
    <n v="50542"/>
    <n v="52689"/>
    <n v="2000"/>
    <n v="2000"/>
    <n v="2000"/>
    <n v="2000"/>
    <n v="3000"/>
    <n v="2000"/>
    <n v="0"/>
    <x v="1"/>
    <n v="43964"/>
    <x v="1"/>
  </r>
  <r>
    <x v="1325"/>
    <n v="170000"/>
    <x v="1"/>
    <x v="1"/>
    <x v="2"/>
    <x v="0"/>
    <n v="48"/>
    <x v="3"/>
    <x v="0"/>
    <x v="2"/>
    <x v="0"/>
    <x v="1"/>
    <x v="2"/>
    <x v="3"/>
    <n v="316"/>
    <n v="316"/>
    <n v="632"/>
    <n v="316"/>
    <n v="466"/>
    <n v="316"/>
    <n v="316"/>
    <n v="632"/>
    <n v="0"/>
    <n v="466"/>
    <n v="316"/>
    <n v="0"/>
    <n v="0"/>
    <x v="1"/>
    <n v="0"/>
    <x v="3"/>
  </r>
  <r>
    <x v="1326"/>
    <n v="170000"/>
    <x v="1"/>
    <x v="1"/>
    <x v="0"/>
    <x v="0"/>
    <n v="48"/>
    <x v="3"/>
    <x v="2"/>
    <x v="1"/>
    <x v="1"/>
    <x v="1"/>
    <x v="1"/>
    <x v="2"/>
    <n v="137823"/>
    <n v="137199"/>
    <n v="136331"/>
    <n v="123913"/>
    <n v="122657"/>
    <n v="122225"/>
    <n v="5396"/>
    <n v="5000"/>
    <n v="5000"/>
    <n v="5000"/>
    <n v="5000"/>
    <n v="4000"/>
    <n v="0"/>
    <x v="1"/>
    <n v="132427"/>
    <x v="2"/>
  </r>
  <r>
    <x v="1327"/>
    <n v="180000"/>
    <x v="1"/>
    <x v="0"/>
    <x v="0"/>
    <x v="1"/>
    <n v="25"/>
    <x v="0"/>
    <x v="2"/>
    <x v="1"/>
    <x v="1"/>
    <x v="1"/>
    <x v="3"/>
    <x v="1"/>
    <n v="4745"/>
    <n v="5765"/>
    <n v="6631"/>
    <n v="8386"/>
    <n v="8109"/>
    <n v="8820"/>
    <n v="1257"/>
    <n v="1123"/>
    <n v="1878"/>
    <n v="0"/>
    <n v="1000"/>
    <n v="0"/>
    <n v="0"/>
    <x v="1"/>
    <n v="3488"/>
    <x v="0"/>
  </r>
  <r>
    <x v="1328"/>
    <n v="140000"/>
    <x v="1"/>
    <x v="1"/>
    <x v="0"/>
    <x v="0"/>
    <n v="41"/>
    <x v="3"/>
    <x v="2"/>
    <x v="1"/>
    <x v="1"/>
    <x v="1"/>
    <x v="1"/>
    <x v="2"/>
    <n v="109326"/>
    <n v="111679"/>
    <n v="113921"/>
    <n v="114348"/>
    <n v="111382"/>
    <n v="112458"/>
    <n v="5600"/>
    <n v="5600"/>
    <n v="4500"/>
    <n v="4200"/>
    <n v="4500"/>
    <n v="4500"/>
    <n v="0"/>
    <x v="1"/>
    <n v="103726"/>
    <x v="2"/>
  </r>
  <r>
    <x v="1329"/>
    <n v="20000"/>
    <x v="0"/>
    <x v="0"/>
    <x v="0"/>
    <x v="0"/>
    <n v="49"/>
    <x v="3"/>
    <x v="2"/>
    <x v="1"/>
    <x v="0"/>
    <x v="0"/>
    <x v="1"/>
    <x v="2"/>
    <n v="13882"/>
    <n v="13342"/>
    <n v="808"/>
    <n v="18910"/>
    <n v="19306"/>
    <n v="19809"/>
    <n v="2018"/>
    <n v="404"/>
    <n v="19000"/>
    <n v="677"/>
    <n v="800"/>
    <n v="601"/>
    <n v="0"/>
    <x v="1"/>
    <n v="11864"/>
    <x v="0"/>
  </r>
  <r>
    <x v="1330"/>
    <n v="150000"/>
    <x v="1"/>
    <x v="1"/>
    <x v="1"/>
    <x v="1"/>
    <n v="28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331"/>
    <n v="50000"/>
    <x v="0"/>
    <x v="0"/>
    <x v="0"/>
    <x v="1"/>
    <n v="28"/>
    <x v="0"/>
    <x v="2"/>
    <x v="1"/>
    <x v="1"/>
    <x v="1"/>
    <x v="1"/>
    <x v="2"/>
    <n v="48072"/>
    <n v="49518"/>
    <n v="49500"/>
    <n v="19600"/>
    <n v="20000"/>
    <n v="0"/>
    <n v="2518"/>
    <n v="1500"/>
    <n v="500"/>
    <n v="400"/>
    <n v="0"/>
    <n v="0"/>
    <n v="0"/>
    <x v="1"/>
    <n v="45554"/>
    <x v="1"/>
  </r>
  <r>
    <x v="1332"/>
    <n v="160000"/>
    <x v="1"/>
    <x v="0"/>
    <x v="0"/>
    <x v="0"/>
    <n v="38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333"/>
    <n v="80000"/>
    <x v="0"/>
    <x v="1"/>
    <x v="0"/>
    <x v="0"/>
    <n v="41"/>
    <x v="3"/>
    <x v="3"/>
    <x v="3"/>
    <x v="3"/>
    <x v="2"/>
    <x v="0"/>
    <x v="3"/>
    <n v="3153"/>
    <n v="1013"/>
    <n v="0"/>
    <n v="0"/>
    <n v="2115"/>
    <n v="4264"/>
    <n v="1013"/>
    <n v="0"/>
    <n v="0"/>
    <n v="2115"/>
    <n v="4264"/>
    <n v="0"/>
    <n v="0"/>
    <x v="1"/>
    <n v="2140"/>
    <x v="0"/>
  </r>
  <r>
    <x v="1334"/>
    <n v="300000"/>
    <x v="1"/>
    <x v="0"/>
    <x v="2"/>
    <x v="1"/>
    <n v="29"/>
    <x v="0"/>
    <x v="3"/>
    <x v="3"/>
    <x v="3"/>
    <x v="2"/>
    <x v="0"/>
    <x v="0"/>
    <n v="-140"/>
    <n v="28092"/>
    <n v="3572"/>
    <n v="195"/>
    <n v="209"/>
    <n v="990"/>
    <n v="28232"/>
    <n v="3589"/>
    <n v="195"/>
    <n v="210"/>
    <n v="994"/>
    <n v="0"/>
    <n v="1"/>
    <x v="0"/>
    <n v="-28372"/>
    <x v="3"/>
  </r>
  <r>
    <x v="1335"/>
    <n v="60000"/>
    <x v="0"/>
    <x v="0"/>
    <x v="2"/>
    <x v="1"/>
    <n v="32"/>
    <x v="1"/>
    <x v="2"/>
    <x v="1"/>
    <x v="1"/>
    <x v="1"/>
    <x v="1"/>
    <x v="2"/>
    <n v="62552"/>
    <n v="26929"/>
    <n v="27967"/>
    <n v="28526"/>
    <n v="28275"/>
    <n v="29151"/>
    <n v="1500"/>
    <n v="1500"/>
    <n v="1003"/>
    <n v="1500"/>
    <n v="1500"/>
    <n v="1044"/>
    <n v="0"/>
    <x v="1"/>
    <n v="61052"/>
    <x v="1"/>
  </r>
  <r>
    <x v="1336"/>
    <n v="70000"/>
    <x v="0"/>
    <x v="0"/>
    <x v="0"/>
    <x v="1"/>
    <n v="26"/>
    <x v="0"/>
    <x v="0"/>
    <x v="0"/>
    <x v="2"/>
    <x v="4"/>
    <x v="3"/>
    <x v="1"/>
    <n v="42583"/>
    <n v="43600"/>
    <n v="47550"/>
    <n v="46487"/>
    <n v="47298"/>
    <n v="46384"/>
    <n v="2000"/>
    <n v="5000"/>
    <n v="0"/>
    <n v="1700"/>
    <n v="0"/>
    <n v="3700"/>
    <n v="1"/>
    <x v="0"/>
    <n v="40583"/>
    <x v="1"/>
  </r>
  <r>
    <x v="1337"/>
    <n v="290000"/>
    <x v="1"/>
    <x v="0"/>
    <x v="1"/>
    <x v="1"/>
    <n v="31"/>
    <x v="1"/>
    <x v="1"/>
    <x v="2"/>
    <x v="0"/>
    <x v="0"/>
    <x v="2"/>
    <x v="2"/>
    <n v="632"/>
    <n v="0"/>
    <n v="480"/>
    <n v="-150"/>
    <n v="66675"/>
    <n v="68071"/>
    <n v="0"/>
    <n v="480"/>
    <n v="4"/>
    <n v="69001"/>
    <n v="2500"/>
    <n v="3000"/>
    <n v="0"/>
    <x v="1"/>
    <n v="632"/>
    <x v="0"/>
  </r>
  <r>
    <x v="1338"/>
    <n v="80000"/>
    <x v="0"/>
    <x v="0"/>
    <x v="1"/>
    <x v="1"/>
    <n v="23"/>
    <x v="0"/>
    <x v="2"/>
    <x v="1"/>
    <x v="1"/>
    <x v="2"/>
    <x v="0"/>
    <x v="0"/>
    <n v="8766"/>
    <n v="4777"/>
    <n v="0"/>
    <n v="0"/>
    <n v="0"/>
    <n v="0"/>
    <n v="1600"/>
    <n v="0"/>
    <n v="0"/>
    <n v="0"/>
    <n v="0"/>
    <n v="0"/>
    <n v="0"/>
    <x v="1"/>
    <n v="7166"/>
    <x v="0"/>
  </r>
  <r>
    <x v="1339"/>
    <n v="50000"/>
    <x v="0"/>
    <x v="0"/>
    <x v="2"/>
    <x v="0"/>
    <n v="53"/>
    <x v="2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340"/>
    <n v="200000"/>
    <x v="1"/>
    <x v="0"/>
    <x v="2"/>
    <x v="1"/>
    <n v="49"/>
    <x v="3"/>
    <x v="1"/>
    <x v="2"/>
    <x v="1"/>
    <x v="1"/>
    <x v="1"/>
    <x v="3"/>
    <n v="7697"/>
    <n v="18951"/>
    <n v="27974"/>
    <n v="30596"/>
    <n v="38109"/>
    <n v="22170"/>
    <n v="20071"/>
    <n v="20036"/>
    <n v="15022"/>
    <n v="15113"/>
    <n v="22235"/>
    <n v="3919"/>
    <n v="0"/>
    <x v="1"/>
    <n v="-12374"/>
    <x v="3"/>
  </r>
  <r>
    <x v="1341"/>
    <n v="200000"/>
    <x v="1"/>
    <x v="0"/>
    <x v="1"/>
    <x v="0"/>
    <n v="34"/>
    <x v="1"/>
    <x v="3"/>
    <x v="3"/>
    <x v="3"/>
    <x v="2"/>
    <x v="0"/>
    <x v="0"/>
    <n v="267"/>
    <n v="6794"/>
    <n v="10430"/>
    <n v="3576"/>
    <n v="2522"/>
    <n v="934"/>
    <n v="6817"/>
    <n v="10671"/>
    <n v="3576"/>
    <n v="2522"/>
    <n v="934"/>
    <n v="7764"/>
    <n v="0"/>
    <x v="1"/>
    <n v="-6550"/>
    <x v="3"/>
  </r>
  <r>
    <x v="1342"/>
    <n v="50000"/>
    <x v="0"/>
    <x v="0"/>
    <x v="1"/>
    <x v="1"/>
    <n v="22"/>
    <x v="0"/>
    <x v="1"/>
    <x v="2"/>
    <x v="0"/>
    <x v="0"/>
    <x v="2"/>
    <x v="3"/>
    <n v="586"/>
    <n v="297"/>
    <n v="3674"/>
    <n v="1392"/>
    <n v="3085"/>
    <n v="3450"/>
    <n v="297"/>
    <n v="3675"/>
    <n v="1392"/>
    <n v="3086"/>
    <n v="3492"/>
    <n v="3721"/>
    <n v="1"/>
    <x v="0"/>
    <n v="289"/>
    <x v="0"/>
  </r>
  <r>
    <x v="1343"/>
    <n v="20000"/>
    <x v="0"/>
    <x v="0"/>
    <x v="0"/>
    <x v="1"/>
    <n v="26"/>
    <x v="0"/>
    <x v="0"/>
    <x v="2"/>
    <x v="1"/>
    <x v="1"/>
    <x v="1"/>
    <x v="2"/>
    <n v="1041"/>
    <n v="10757"/>
    <n v="11094"/>
    <n v="9351"/>
    <n v="8562"/>
    <n v="8058"/>
    <n v="10758"/>
    <n v="2679"/>
    <n v="502"/>
    <n v="224"/>
    <n v="513"/>
    <n v="9"/>
    <n v="0"/>
    <x v="1"/>
    <n v="-9717"/>
    <x v="3"/>
  </r>
  <r>
    <x v="1344"/>
    <n v="200000"/>
    <x v="1"/>
    <x v="1"/>
    <x v="1"/>
    <x v="0"/>
    <n v="38"/>
    <x v="1"/>
    <x v="1"/>
    <x v="2"/>
    <x v="0"/>
    <x v="0"/>
    <x v="2"/>
    <x v="3"/>
    <n v="6186"/>
    <n v="735"/>
    <n v="1463"/>
    <n v="15550"/>
    <n v="5045"/>
    <n v="6709"/>
    <n v="735"/>
    <n v="1463"/>
    <n v="15550"/>
    <n v="5045"/>
    <n v="6709"/>
    <n v="3021"/>
    <n v="1"/>
    <x v="0"/>
    <n v="5451"/>
    <x v="0"/>
  </r>
  <r>
    <x v="1345"/>
    <n v="120000"/>
    <x v="1"/>
    <x v="0"/>
    <x v="1"/>
    <x v="1"/>
    <n v="35"/>
    <x v="1"/>
    <x v="4"/>
    <x v="0"/>
    <x v="1"/>
    <x v="1"/>
    <x v="1"/>
    <x v="2"/>
    <n v="77785"/>
    <n v="75984"/>
    <n v="78109"/>
    <n v="79198"/>
    <n v="80865"/>
    <n v="82859"/>
    <n v="0"/>
    <n v="4000"/>
    <n v="2988"/>
    <n v="3100"/>
    <n v="3500"/>
    <n v="6382"/>
    <n v="0"/>
    <x v="1"/>
    <n v="77785"/>
    <x v="1"/>
  </r>
  <r>
    <x v="1346"/>
    <n v="220000"/>
    <x v="1"/>
    <x v="0"/>
    <x v="0"/>
    <x v="0"/>
    <n v="49"/>
    <x v="3"/>
    <x v="2"/>
    <x v="1"/>
    <x v="1"/>
    <x v="1"/>
    <x v="1"/>
    <x v="2"/>
    <n v="172184"/>
    <n v="170697"/>
    <n v="168041"/>
    <n v="163783"/>
    <n v="160806"/>
    <n v="158866"/>
    <n v="7583"/>
    <n v="7461"/>
    <n v="5809"/>
    <n v="5608"/>
    <n v="6500"/>
    <n v="6100"/>
    <n v="0"/>
    <x v="1"/>
    <n v="164601"/>
    <x v="2"/>
  </r>
  <r>
    <x v="1347"/>
    <n v="630000"/>
    <x v="2"/>
    <x v="1"/>
    <x v="1"/>
    <x v="1"/>
    <n v="40"/>
    <x v="3"/>
    <x v="2"/>
    <x v="1"/>
    <x v="1"/>
    <x v="1"/>
    <x v="1"/>
    <x v="2"/>
    <n v="440474"/>
    <n v="444370"/>
    <n v="455286"/>
    <n v="327021"/>
    <n v="334558"/>
    <n v="341439"/>
    <n v="18000"/>
    <n v="20000"/>
    <n v="12000"/>
    <n v="13000"/>
    <n v="13022"/>
    <n v="13016"/>
    <n v="0"/>
    <x v="1"/>
    <n v="422474"/>
    <x v="2"/>
  </r>
  <r>
    <x v="1348"/>
    <n v="300000"/>
    <x v="1"/>
    <x v="0"/>
    <x v="1"/>
    <x v="1"/>
    <n v="34"/>
    <x v="1"/>
    <x v="1"/>
    <x v="2"/>
    <x v="0"/>
    <x v="0"/>
    <x v="2"/>
    <x v="3"/>
    <n v="19357"/>
    <n v="5000"/>
    <n v="3744"/>
    <n v="8059"/>
    <n v="3425"/>
    <n v="11860"/>
    <n v="5032"/>
    <n v="3744"/>
    <n v="8059"/>
    <n v="3425"/>
    <n v="11860"/>
    <n v="7595"/>
    <n v="0"/>
    <x v="1"/>
    <n v="14325"/>
    <x v="0"/>
  </r>
  <r>
    <x v="1349"/>
    <n v="10000"/>
    <x v="0"/>
    <x v="0"/>
    <x v="0"/>
    <x v="1"/>
    <n v="49"/>
    <x v="3"/>
    <x v="4"/>
    <x v="0"/>
    <x v="1"/>
    <x v="1"/>
    <x v="1"/>
    <x v="2"/>
    <n v="8184"/>
    <n v="5011"/>
    <n v="5728"/>
    <n v="4255"/>
    <n v="2782"/>
    <n v="1309"/>
    <n v="0"/>
    <n v="1000"/>
    <n v="0"/>
    <n v="0"/>
    <n v="0"/>
    <n v="0"/>
    <n v="1"/>
    <x v="0"/>
    <n v="8184"/>
    <x v="0"/>
  </r>
  <r>
    <x v="1350"/>
    <n v="50000"/>
    <x v="0"/>
    <x v="1"/>
    <x v="0"/>
    <x v="1"/>
    <n v="29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351"/>
    <n v="280000"/>
    <x v="1"/>
    <x v="0"/>
    <x v="1"/>
    <x v="0"/>
    <n v="39"/>
    <x v="1"/>
    <x v="1"/>
    <x v="1"/>
    <x v="0"/>
    <x v="0"/>
    <x v="2"/>
    <x v="3"/>
    <n v="7791"/>
    <n v="5851"/>
    <n v="430"/>
    <n v="2041"/>
    <n v="775"/>
    <n v="580"/>
    <n v="1000"/>
    <n v="430"/>
    <n v="2041"/>
    <n v="775"/>
    <n v="580"/>
    <n v="1029"/>
    <n v="1"/>
    <x v="0"/>
    <n v="6791"/>
    <x v="0"/>
  </r>
  <r>
    <x v="1352"/>
    <n v="130000"/>
    <x v="1"/>
    <x v="1"/>
    <x v="1"/>
    <x v="1"/>
    <n v="30"/>
    <x v="1"/>
    <x v="2"/>
    <x v="1"/>
    <x v="1"/>
    <x v="1"/>
    <x v="1"/>
    <x v="2"/>
    <n v="4536"/>
    <n v="5616"/>
    <n v="6455"/>
    <n v="6791"/>
    <n v="6991"/>
    <n v="0"/>
    <n v="1161"/>
    <n v="1000"/>
    <n v="336"/>
    <n v="200"/>
    <n v="0"/>
    <n v="0"/>
    <n v="0"/>
    <x v="1"/>
    <n v="3375"/>
    <x v="0"/>
  </r>
  <r>
    <x v="1353"/>
    <n v="30000"/>
    <x v="0"/>
    <x v="0"/>
    <x v="2"/>
    <x v="0"/>
    <n v="28"/>
    <x v="0"/>
    <x v="2"/>
    <x v="1"/>
    <x v="1"/>
    <x v="3"/>
    <x v="1"/>
    <x v="2"/>
    <n v="23182"/>
    <n v="19083"/>
    <n v="19632"/>
    <n v="15252"/>
    <n v="14021"/>
    <n v="13793"/>
    <n v="2000"/>
    <n v="2000"/>
    <n v="0"/>
    <n v="1500"/>
    <n v="1353"/>
    <n v="0"/>
    <n v="0"/>
    <x v="1"/>
    <n v="21182"/>
    <x v="0"/>
  </r>
  <r>
    <x v="1354"/>
    <n v="50000"/>
    <x v="0"/>
    <x v="0"/>
    <x v="0"/>
    <x v="0"/>
    <n v="27"/>
    <x v="0"/>
    <x v="2"/>
    <x v="1"/>
    <x v="1"/>
    <x v="1"/>
    <x v="1"/>
    <x v="2"/>
    <n v="9877"/>
    <n v="10800"/>
    <n v="5921"/>
    <n v="6042"/>
    <n v="4012"/>
    <n v="0"/>
    <n v="1140"/>
    <n v="1000"/>
    <n v="121"/>
    <n v="0"/>
    <n v="0"/>
    <n v="10620"/>
    <n v="0"/>
    <x v="1"/>
    <n v="8737"/>
    <x v="0"/>
  </r>
  <r>
    <x v="1355"/>
    <n v="70000"/>
    <x v="0"/>
    <x v="0"/>
    <x v="2"/>
    <x v="0"/>
    <n v="38"/>
    <x v="1"/>
    <x v="2"/>
    <x v="1"/>
    <x v="1"/>
    <x v="1"/>
    <x v="1"/>
    <x v="2"/>
    <n v="24758"/>
    <n v="25581"/>
    <n v="16105"/>
    <n v="17571"/>
    <n v="18330"/>
    <n v="16268"/>
    <n v="1273"/>
    <n v="1534"/>
    <n v="2000"/>
    <n v="1000"/>
    <n v="1000"/>
    <n v="1000"/>
    <n v="0"/>
    <x v="1"/>
    <n v="23485"/>
    <x v="0"/>
  </r>
  <r>
    <x v="1356"/>
    <n v="80000"/>
    <x v="0"/>
    <x v="1"/>
    <x v="0"/>
    <x v="1"/>
    <n v="29"/>
    <x v="0"/>
    <x v="2"/>
    <x v="1"/>
    <x v="1"/>
    <x v="1"/>
    <x v="1"/>
    <x v="2"/>
    <n v="41815"/>
    <n v="42938"/>
    <n v="44022"/>
    <n v="44792"/>
    <n v="45915"/>
    <n v="46998"/>
    <n v="2100"/>
    <n v="2100"/>
    <n v="1800"/>
    <n v="2000"/>
    <n v="2000"/>
    <n v="2500"/>
    <n v="0"/>
    <x v="1"/>
    <n v="39715"/>
    <x v="1"/>
  </r>
  <r>
    <x v="1357"/>
    <n v="20000"/>
    <x v="0"/>
    <x v="0"/>
    <x v="0"/>
    <x v="0"/>
    <n v="22"/>
    <x v="0"/>
    <x v="0"/>
    <x v="0"/>
    <x v="2"/>
    <x v="1"/>
    <x v="1"/>
    <x v="2"/>
    <n v="16726"/>
    <n v="19143"/>
    <n v="18391"/>
    <n v="18562"/>
    <n v="11798"/>
    <n v="0"/>
    <n v="3000"/>
    <n v="0"/>
    <n v="371"/>
    <n v="1236"/>
    <n v="0"/>
    <n v="0"/>
    <n v="1"/>
    <x v="0"/>
    <n v="13726"/>
    <x v="0"/>
  </r>
  <r>
    <x v="1358"/>
    <n v="390000"/>
    <x v="2"/>
    <x v="1"/>
    <x v="1"/>
    <x v="0"/>
    <n v="41"/>
    <x v="3"/>
    <x v="2"/>
    <x v="1"/>
    <x v="1"/>
    <x v="1"/>
    <x v="1"/>
    <x v="2"/>
    <n v="495559"/>
    <n v="248821"/>
    <n v="216051"/>
    <n v="208373"/>
    <n v="199727"/>
    <n v="186332"/>
    <n v="10218"/>
    <n v="8035"/>
    <n v="7035"/>
    <n v="6056"/>
    <n v="8053"/>
    <n v="5603"/>
    <n v="0"/>
    <x v="1"/>
    <n v="485341"/>
    <x v="2"/>
  </r>
  <r>
    <x v="1359"/>
    <n v="470000"/>
    <x v="2"/>
    <x v="0"/>
    <x v="0"/>
    <x v="1"/>
    <n v="32"/>
    <x v="1"/>
    <x v="2"/>
    <x v="1"/>
    <x v="1"/>
    <x v="1"/>
    <x v="1"/>
    <x v="2"/>
    <n v="147113"/>
    <n v="133486"/>
    <n v="125159"/>
    <n v="120869"/>
    <n v="60507"/>
    <n v="53100"/>
    <n v="5000"/>
    <n v="4500"/>
    <n v="2505"/>
    <n v="50000"/>
    <n v="3000"/>
    <n v="3000"/>
    <n v="0"/>
    <x v="1"/>
    <n v="142113"/>
    <x v="2"/>
  </r>
  <r>
    <x v="1360"/>
    <n v="240000"/>
    <x v="1"/>
    <x v="0"/>
    <x v="0"/>
    <x v="1"/>
    <n v="30"/>
    <x v="1"/>
    <x v="2"/>
    <x v="2"/>
    <x v="0"/>
    <x v="2"/>
    <x v="0"/>
    <x v="0"/>
    <n v="7818"/>
    <n v="9363"/>
    <n v="0"/>
    <n v="0"/>
    <n v="0"/>
    <n v="0"/>
    <n v="9434"/>
    <n v="0"/>
    <n v="0"/>
    <n v="0"/>
    <n v="0"/>
    <n v="178"/>
    <n v="0"/>
    <x v="1"/>
    <n v="-1616"/>
    <x v="3"/>
  </r>
  <r>
    <x v="1361"/>
    <n v="140000"/>
    <x v="1"/>
    <x v="0"/>
    <x v="1"/>
    <x v="1"/>
    <n v="29"/>
    <x v="0"/>
    <x v="1"/>
    <x v="2"/>
    <x v="0"/>
    <x v="2"/>
    <x v="0"/>
    <x v="0"/>
    <n v="14943"/>
    <n v="2888"/>
    <n v="0"/>
    <n v="0"/>
    <n v="0"/>
    <n v="0"/>
    <n v="2888"/>
    <n v="0"/>
    <n v="0"/>
    <n v="0"/>
    <n v="0"/>
    <n v="0"/>
    <n v="0"/>
    <x v="1"/>
    <n v="12055"/>
    <x v="0"/>
  </r>
  <r>
    <x v="1362"/>
    <n v="260000"/>
    <x v="1"/>
    <x v="0"/>
    <x v="0"/>
    <x v="0"/>
    <n v="37"/>
    <x v="1"/>
    <x v="0"/>
    <x v="0"/>
    <x v="2"/>
    <x v="1"/>
    <x v="1"/>
    <x v="2"/>
    <n v="244738"/>
    <n v="251351"/>
    <n v="244949"/>
    <n v="248273"/>
    <n v="119124"/>
    <n v="132619"/>
    <n v="12000"/>
    <n v="0"/>
    <n v="11000"/>
    <n v="4321"/>
    <n v="20000"/>
    <n v="27"/>
    <n v="1"/>
    <x v="0"/>
    <n v="232738"/>
    <x v="2"/>
  </r>
  <r>
    <x v="1363"/>
    <n v="150000"/>
    <x v="1"/>
    <x v="0"/>
    <x v="1"/>
    <x v="1"/>
    <n v="25"/>
    <x v="0"/>
    <x v="4"/>
    <x v="3"/>
    <x v="0"/>
    <x v="0"/>
    <x v="2"/>
    <x v="3"/>
    <n v="191"/>
    <n v="1963"/>
    <n v="4729"/>
    <n v="1568"/>
    <n v="4295"/>
    <n v="0"/>
    <n v="1964"/>
    <n v="4729"/>
    <n v="1568"/>
    <n v="4295"/>
    <n v="0"/>
    <n v="1895"/>
    <n v="0"/>
    <x v="1"/>
    <n v="-1773"/>
    <x v="3"/>
  </r>
  <r>
    <x v="1364"/>
    <n v="120000"/>
    <x v="1"/>
    <x v="1"/>
    <x v="1"/>
    <x v="0"/>
    <n v="46"/>
    <x v="3"/>
    <x v="2"/>
    <x v="1"/>
    <x v="2"/>
    <x v="3"/>
    <x v="3"/>
    <x v="1"/>
    <n v="14682"/>
    <n v="17325"/>
    <n v="17936"/>
    <n v="18536"/>
    <n v="19091"/>
    <n v="19629"/>
    <n v="3200"/>
    <n v="1200"/>
    <n v="1200"/>
    <n v="1000"/>
    <n v="1000"/>
    <n v="0"/>
    <n v="0"/>
    <x v="1"/>
    <n v="11482"/>
    <x v="0"/>
  </r>
  <r>
    <x v="1365"/>
    <n v="20000"/>
    <x v="0"/>
    <x v="0"/>
    <x v="0"/>
    <x v="0"/>
    <n v="47"/>
    <x v="3"/>
    <x v="2"/>
    <x v="1"/>
    <x v="1"/>
    <x v="1"/>
    <x v="1"/>
    <x v="1"/>
    <n v="18021"/>
    <n v="17352"/>
    <n v="17667"/>
    <n v="18187"/>
    <n v="20499"/>
    <n v="20718"/>
    <n v="1280"/>
    <n v="1293"/>
    <n v="813"/>
    <n v="2770"/>
    <n v="703"/>
    <n v="0"/>
    <n v="0"/>
    <x v="1"/>
    <n v="16741"/>
    <x v="0"/>
  </r>
  <r>
    <x v="1366"/>
    <n v="260000"/>
    <x v="1"/>
    <x v="0"/>
    <x v="3"/>
    <x v="1"/>
    <n v="42"/>
    <x v="3"/>
    <x v="1"/>
    <x v="2"/>
    <x v="0"/>
    <x v="0"/>
    <x v="2"/>
    <x v="3"/>
    <n v="399"/>
    <n v="2101"/>
    <n v="577"/>
    <n v="0"/>
    <n v="200"/>
    <n v="0"/>
    <n v="2101"/>
    <n v="577"/>
    <n v="0"/>
    <n v="200"/>
    <n v="0"/>
    <n v="664"/>
    <n v="0"/>
    <x v="1"/>
    <n v="-1702"/>
    <x v="3"/>
  </r>
  <r>
    <x v="1367"/>
    <n v="50000"/>
    <x v="0"/>
    <x v="1"/>
    <x v="2"/>
    <x v="1"/>
    <n v="22"/>
    <x v="0"/>
    <x v="2"/>
    <x v="1"/>
    <x v="1"/>
    <x v="1"/>
    <x v="1"/>
    <x v="2"/>
    <n v="42678"/>
    <n v="38239"/>
    <n v="22691"/>
    <n v="8807"/>
    <n v="7143"/>
    <n v="6967"/>
    <n v="1500"/>
    <n v="1100"/>
    <n v="1000"/>
    <n v="500"/>
    <n v="500"/>
    <n v="1000"/>
    <n v="1"/>
    <x v="0"/>
    <n v="41178"/>
    <x v="1"/>
  </r>
  <r>
    <x v="1368"/>
    <n v="180000"/>
    <x v="1"/>
    <x v="0"/>
    <x v="0"/>
    <x v="1"/>
    <n v="27"/>
    <x v="0"/>
    <x v="0"/>
    <x v="0"/>
    <x v="2"/>
    <x v="3"/>
    <x v="1"/>
    <x v="2"/>
    <n v="126195"/>
    <n v="127881"/>
    <n v="128491"/>
    <n v="124080"/>
    <n v="126154"/>
    <n v="130064"/>
    <n v="6000"/>
    <n v="4575"/>
    <n v="0"/>
    <n v="4600"/>
    <n v="6000"/>
    <n v="3100"/>
    <n v="0"/>
    <x v="1"/>
    <n v="120195"/>
    <x v="2"/>
  </r>
  <r>
    <x v="1369"/>
    <n v="310000"/>
    <x v="2"/>
    <x v="0"/>
    <x v="3"/>
    <x v="0"/>
    <n v="35"/>
    <x v="1"/>
    <x v="4"/>
    <x v="3"/>
    <x v="3"/>
    <x v="2"/>
    <x v="0"/>
    <x v="0"/>
    <n v="10350"/>
    <n v="0"/>
    <n v="0"/>
    <n v="0"/>
    <n v="0"/>
    <n v="0"/>
    <n v="0"/>
    <n v="0"/>
    <n v="0"/>
    <n v="0"/>
    <n v="0"/>
    <n v="0"/>
    <n v="0"/>
    <x v="1"/>
    <n v="10350"/>
    <x v="0"/>
  </r>
  <r>
    <x v="1370"/>
    <n v="360000"/>
    <x v="2"/>
    <x v="1"/>
    <x v="0"/>
    <x v="0"/>
    <n v="44"/>
    <x v="3"/>
    <x v="1"/>
    <x v="2"/>
    <x v="0"/>
    <x v="0"/>
    <x v="2"/>
    <x v="3"/>
    <n v="5101"/>
    <n v="9358"/>
    <n v="15452"/>
    <n v="9990"/>
    <n v="6515"/>
    <n v="5694"/>
    <n v="9419"/>
    <n v="15485"/>
    <n v="9995"/>
    <n v="6515"/>
    <n v="5694"/>
    <n v="12785"/>
    <n v="0"/>
    <x v="1"/>
    <n v="-4318"/>
    <x v="3"/>
  </r>
  <r>
    <x v="1371"/>
    <n v="180000"/>
    <x v="1"/>
    <x v="0"/>
    <x v="0"/>
    <x v="1"/>
    <n v="30"/>
    <x v="1"/>
    <x v="2"/>
    <x v="1"/>
    <x v="1"/>
    <x v="1"/>
    <x v="1"/>
    <x v="2"/>
    <n v="14445"/>
    <n v="15404"/>
    <n v="19885"/>
    <n v="22355"/>
    <n v="22902"/>
    <n v="15373"/>
    <n v="1500"/>
    <n v="4911"/>
    <n v="10355"/>
    <n v="10902"/>
    <n v="3500"/>
    <n v="5493"/>
    <n v="0"/>
    <x v="1"/>
    <n v="12945"/>
    <x v="0"/>
  </r>
  <r>
    <x v="1372"/>
    <n v="270000"/>
    <x v="1"/>
    <x v="0"/>
    <x v="1"/>
    <x v="0"/>
    <n v="42"/>
    <x v="3"/>
    <x v="0"/>
    <x v="0"/>
    <x v="9"/>
    <x v="6"/>
    <x v="6"/>
    <x v="4"/>
    <n v="1250"/>
    <n v="1250"/>
    <n v="1250"/>
    <n v="1250"/>
    <n v="650"/>
    <n v="350"/>
    <n v="0"/>
    <n v="0"/>
    <n v="0"/>
    <n v="0"/>
    <n v="0"/>
    <n v="0"/>
    <n v="0"/>
    <x v="1"/>
    <n v="1250"/>
    <x v="0"/>
  </r>
  <r>
    <x v="1373"/>
    <n v="70000"/>
    <x v="0"/>
    <x v="1"/>
    <x v="1"/>
    <x v="1"/>
    <n v="28"/>
    <x v="0"/>
    <x v="2"/>
    <x v="1"/>
    <x v="1"/>
    <x v="1"/>
    <x v="1"/>
    <x v="2"/>
    <n v="67857"/>
    <n v="69711"/>
    <n v="64947"/>
    <n v="26022"/>
    <n v="28575"/>
    <n v="21460"/>
    <n v="3000"/>
    <n v="1500"/>
    <n v="13959"/>
    <n v="3000"/>
    <n v="1500"/>
    <n v="4000"/>
    <n v="0"/>
    <x v="1"/>
    <n v="64857"/>
    <x v="1"/>
  </r>
  <r>
    <x v="1374"/>
    <n v="50000"/>
    <x v="0"/>
    <x v="1"/>
    <x v="0"/>
    <x v="1"/>
    <n v="24"/>
    <x v="0"/>
    <x v="1"/>
    <x v="2"/>
    <x v="0"/>
    <x v="0"/>
    <x v="1"/>
    <x v="3"/>
    <n v="2155"/>
    <n v="0"/>
    <n v="1978"/>
    <n v="14207"/>
    <n v="8602"/>
    <n v="7201"/>
    <n v="0"/>
    <n v="30300"/>
    <n v="14207"/>
    <n v="602"/>
    <n v="7201"/>
    <n v="383"/>
    <n v="0"/>
    <x v="1"/>
    <n v="2155"/>
    <x v="0"/>
  </r>
  <r>
    <x v="1375"/>
    <n v="30000"/>
    <x v="0"/>
    <x v="0"/>
    <x v="2"/>
    <x v="1"/>
    <n v="50"/>
    <x v="2"/>
    <x v="3"/>
    <x v="3"/>
    <x v="3"/>
    <x v="2"/>
    <x v="2"/>
    <x v="1"/>
    <n v="0"/>
    <n v="0"/>
    <n v="0"/>
    <n v="0"/>
    <n v="7092"/>
    <n v="6832"/>
    <n v="0"/>
    <n v="0"/>
    <n v="0"/>
    <n v="7092"/>
    <n v="0"/>
    <n v="0"/>
    <n v="0"/>
    <x v="1"/>
    <n v="0"/>
    <x v="3"/>
  </r>
  <r>
    <x v="1376"/>
    <n v="50000"/>
    <x v="0"/>
    <x v="0"/>
    <x v="0"/>
    <x v="0"/>
    <n v="54"/>
    <x v="2"/>
    <x v="2"/>
    <x v="1"/>
    <x v="1"/>
    <x v="1"/>
    <x v="1"/>
    <x v="3"/>
    <n v="11351"/>
    <n v="11449"/>
    <n v="6515"/>
    <n v="2315"/>
    <n v="1817"/>
    <n v="2081"/>
    <n v="1150"/>
    <n v="1012"/>
    <n v="46"/>
    <n v="36"/>
    <n v="2081"/>
    <n v="2270"/>
    <n v="0"/>
    <x v="1"/>
    <n v="10201"/>
    <x v="0"/>
  </r>
  <r>
    <x v="1377"/>
    <n v="350000"/>
    <x v="2"/>
    <x v="1"/>
    <x v="0"/>
    <x v="0"/>
    <n v="37"/>
    <x v="1"/>
    <x v="1"/>
    <x v="2"/>
    <x v="0"/>
    <x v="0"/>
    <x v="2"/>
    <x v="3"/>
    <n v="325"/>
    <n v="294"/>
    <n v="6574"/>
    <n v="3543"/>
    <n v="1654"/>
    <n v="6186"/>
    <n v="294"/>
    <n v="6636"/>
    <n v="3559"/>
    <n v="1659"/>
    <n v="6215"/>
    <n v="325"/>
    <n v="0"/>
    <x v="1"/>
    <n v="31"/>
    <x v="0"/>
  </r>
  <r>
    <x v="1378"/>
    <n v="200000"/>
    <x v="1"/>
    <x v="1"/>
    <x v="1"/>
    <x v="0"/>
    <n v="58"/>
    <x v="2"/>
    <x v="2"/>
    <x v="1"/>
    <x v="1"/>
    <x v="1"/>
    <x v="1"/>
    <x v="2"/>
    <n v="192461"/>
    <n v="195970"/>
    <n v="122214"/>
    <n v="124647"/>
    <n v="126921"/>
    <n v="129167"/>
    <n v="7822"/>
    <n v="4417"/>
    <n v="4446"/>
    <n v="4597"/>
    <n v="4677"/>
    <n v="4698"/>
    <n v="0"/>
    <x v="1"/>
    <n v="184639"/>
    <x v="2"/>
  </r>
  <r>
    <x v="1379"/>
    <n v="80000"/>
    <x v="0"/>
    <x v="1"/>
    <x v="2"/>
    <x v="1"/>
    <n v="26"/>
    <x v="0"/>
    <x v="4"/>
    <x v="0"/>
    <x v="2"/>
    <x v="3"/>
    <x v="3"/>
    <x v="1"/>
    <n v="71661"/>
    <n v="69947"/>
    <n v="74755"/>
    <n v="75732"/>
    <n v="74397"/>
    <n v="80138"/>
    <n v="0"/>
    <n v="6000"/>
    <n v="2800"/>
    <n v="0"/>
    <n v="7000"/>
    <n v="8"/>
    <n v="0"/>
    <x v="1"/>
    <n v="71661"/>
    <x v="1"/>
  </r>
  <r>
    <x v="1380"/>
    <n v="60000"/>
    <x v="0"/>
    <x v="0"/>
    <x v="0"/>
    <x v="0"/>
    <n v="31"/>
    <x v="1"/>
    <x v="2"/>
    <x v="1"/>
    <x v="1"/>
    <x v="4"/>
    <x v="3"/>
    <x v="1"/>
    <n v="47000"/>
    <n v="49236"/>
    <n v="57752"/>
    <n v="56243"/>
    <n v="55213"/>
    <n v="58700"/>
    <n v="3000"/>
    <n v="10000"/>
    <n v="0"/>
    <n v="0"/>
    <n v="4400"/>
    <n v="2200"/>
    <n v="0"/>
    <x v="1"/>
    <n v="44000"/>
    <x v="1"/>
  </r>
  <r>
    <x v="1381"/>
    <n v="30000"/>
    <x v="0"/>
    <x v="1"/>
    <x v="1"/>
    <x v="0"/>
    <n v="52"/>
    <x v="2"/>
    <x v="2"/>
    <x v="1"/>
    <x v="1"/>
    <x v="3"/>
    <x v="1"/>
    <x v="2"/>
    <n v="15743"/>
    <n v="16784"/>
    <n v="18998"/>
    <n v="18395"/>
    <n v="19100"/>
    <n v="20582"/>
    <n v="1300"/>
    <n v="2500"/>
    <n v="0"/>
    <n v="1000"/>
    <n v="1800"/>
    <n v="0"/>
    <n v="0"/>
    <x v="1"/>
    <n v="14443"/>
    <x v="0"/>
  </r>
  <r>
    <x v="1382"/>
    <n v="110000"/>
    <x v="1"/>
    <x v="0"/>
    <x v="1"/>
    <x v="1"/>
    <n v="36"/>
    <x v="1"/>
    <x v="2"/>
    <x v="1"/>
    <x v="1"/>
    <x v="1"/>
    <x v="1"/>
    <x v="2"/>
    <n v="108316"/>
    <n v="100784"/>
    <n v="88568"/>
    <n v="43720"/>
    <n v="42138"/>
    <n v="43085"/>
    <n v="4600"/>
    <n v="3500"/>
    <n v="2000"/>
    <n v="2000"/>
    <n v="1800"/>
    <n v="1700"/>
    <n v="0"/>
    <x v="1"/>
    <n v="103716"/>
    <x v="2"/>
  </r>
  <r>
    <x v="1383"/>
    <n v="300000"/>
    <x v="1"/>
    <x v="0"/>
    <x v="1"/>
    <x v="1"/>
    <n v="27"/>
    <x v="0"/>
    <x v="1"/>
    <x v="2"/>
    <x v="0"/>
    <x v="1"/>
    <x v="1"/>
    <x v="2"/>
    <n v="42189"/>
    <n v="83754"/>
    <n v="120927"/>
    <n v="105303"/>
    <n v="82475"/>
    <n v="33262"/>
    <n v="83754"/>
    <n v="120927"/>
    <n v="0"/>
    <n v="716"/>
    <n v="25213"/>
    <n v="92250"/>
    <n v="0"/>
    <x v="1"/>
    <n v="-41565"/>
    <x v="3"/>
  </r>
  <r>
    <x v="1384"/>
    <n v="50000"/>
    <x v="0"/>
    <x v="0"/>
    <x v="2"/>
    <x v="0"/>
    <n v="22"/>
    <x v="0"/>
    <x v="2"/>
    <x v="1"/>
    <x v="1"/>
    <x v="1"/>
    <x v="2"/>
    <x v="2"/>
    <n v="22854"/>
    <n v="31329"/>
    <n v="23927"/>
    <n v="0"/>
    <n v="83"/>
    <n v="20083"/>
    <n v="9000"/>
    <n v="1507"/>
    <n v="0"/>
    <n v="83"/>
    <n v="20000"/>
    <n v="600"/>
    <n v="0"/>
    <x v="1"/>
    <n v="13854"/>
    <x v="0"/>
  </r>
  <r>
    <x v="1385"/>
    <n v="500000"/>
    <x v="2"/>
    <x v="1"/>
    <x v="1"/>
    <x v="1"/>
    <n v="39"/>
    <x v="1"/>
    <x v="1"/>
    <x v="2"/>
    <x v="0"/>
    <x v="0"/>
    <x v="1"/>
    <x v="3"/>
    <n v="2450"/>
    <n v="11833"/>
    <n v="22963"/>
    <n v="7086"/>
    <n v="5453"/>
    <n v="1486"/>
    <n v="11833"/>
    <n v="22963"/>
    <n v="7086"/>
    <n v="0"/>
    <n v="1486"/>
    <n v="7570"/>
    <n v="0"/>
    <x v="1"/>
    <n v="-9383"/>
    <x v="3"/>
  </r>
  <r>
    <x v="1386"/>
    <n v="360000"/>
    <x v="2"/>
    <x v="1"/>
    <x v="1"/>
    <x v="1"/>
    <n v="36"/>
    <x v="1"/>
    <x v="1"/>
    <x v="2"/>
    <x v="0"/>
    <x v="1"/>
    <x v="1"/>
    <x v="2"/>
    <n v="356913"/>
    <n v="208305"/>
    <n v="68214"/>
    <n v="168014"/>
    <n v="16209"/>
    <n v="18918"/>
    <n v="210000"/>
    <n v="170000"/>
    <n v="100000"/>
    <n v="3000"/>
    <n v="3000"/>
    <n v="5000"/>
    <n v="0"/>
    <x v="1"/>
    <n v="146913"/>
    <x v="2"/>
  </r>
  <r>
    <x v="1387"/>
    <n v="20000"/>
    <x v="0"/>
    <x v="0"/>
    <x v="0"/>
    <x v="0"/>
    <n v="39"/>
    <x v="1"/>
    <x v="4"/>
    <x v="0"/>
    <x v="2"/>
    <x v="1"/>
    <x v="2"/>
    <x v="3"/>
    <n v="14112"/>
    <n v="11221"/>
    <n v="10656"/>
    <n v="7928"/>
    <n v="580"/>
    <n v="0"/>
    <n v="3520"/>
    <n v="0"/>
    <n v="1000"/>
    <n v="580"/>
    <n v="0"/>
    <n v="0"/>
    <n v="0"/>
    <x v="1"/>
    <n v="10592"/>
    <x v="0"/>
  </r>
  <r>
    <x v="1388"/>
    <n v="220000"/>
    <x v="1"/>
    <x v="1"/>
    <x v="1"/>
    <x v="0"/>
    <n v="39"/>
    <x v="1"/>
    <x v="2"/>
    <x v="1"/>
    <x v="1"/>
    <x v="1"/>
    <x v="1"/>
    <x v="2"/>
    <n v="75190"/>
    <n v="151004"/>
    <n v="152786"/>
    <n v="137946"/>
    <n v="118310"/>
    <n v="119147"/>
    <n v="100000"/>
    <n v="8000"/>
    <n v="6000"/>
    <n v="5000"/>
    <n v="5000"/>
    <n v="5000"/>
    <n v="0"/>
    <x v="1"/>
    <n v="-24810"/>
    <x v="3"/>
  </r>
  <r>
    <x v="1389"/>
    <n v="20000"/>
    <x v="0"/>
    <x v="0"/>
    <x v="0"/>
    <x v="1"/>
    <n v="22"/>
    <x v="0"/>
    <x v="2"/>
    <x v="1"/>
    <x v="2"/>
    <x v="1"/>
    <x v="1"/>
    <x v="1"/>
    <n v="11192"/>
    <n v="15677"/>
    <n v="15133"/>
    <n v="15582"/>
    <n v="16677"/>
    <n v="16259"/>
    <n v="5000"/>
    <n v="0"/>
    <n v="1000"/>
    <n v="1500"/>
    <n v="0"/>
    <n v="700"/>
    <n v="0"/>
    <x v="1"/>
    <n v="6192"/>
    <x v="0"/>
  </r>
  <r>
    <x v="1390"/>
    <n v="60000"/>
    <x v="0"/>
    <x v="1"/>
    <x v="0"/>
    <x v="0"/>
    <n v="37"/>
    <x v="1"/>
    <x v="5"/>
    <x v="7"/>
    <x v="4"/>
    <x v="3"/>
    <x v="3"/>
    <x v="1"/>
    <n v="30381"/>
    <n v="29986"/>
    <n v="29210"/>
    <n v="29729"/>
    <n v="30505"/>
    <n v="32232"/>
    <n v="366"/>
    <n v="0"/>
    <n v="1300"/>
    <n v="1400"/>
    <n v="2400"/>
    <n v="2300"/>
    <n v="1"/>
    <x v="0"/>
    <n v="30015"/>
    <x v="1"/>
  </r>
  <r>
    <x v="1391"/>
    <n v="170000"/>
    <x v="1"/>
    <x v="0"/>
    <x v="1"/>
    <x v="1"/>
    <n v="30"/>
    <x v="1"/>
    <x v="1"/>
    <x v="1"/>
    <x v="0"/>
    <x v="0"/>
    <x v="1"/>
    <x v="3"/>
    <n v="1560"/>
    <n v="1280"/>
    <n v="590"/>
    <n v="1168"/>
    <n v="2160"/>
    <n v="145564"/>
    <n v="1000"/>
    <n v="590"/>
    <n v="1168"/>
    <n v="1582"/>
    <n v="145564"/>
    <n v="5069"/>
    <n v="0"/>
    <x v="1"/>
    <n v="560"/>
    <x v="0"/>
  </r>
  <r>
    <x v="1392"/>
    <n v="200000"/>
    <x v="1"/>
    <x v="0"/>
    <x v="0"/>
    <x v="0"/>
    <n v="26"/>
    <x v="0"/>
    <x v="2"/>
    <x v="1"/>
    <x v="1"/>
    <x v="1"/>
    <x v="1"/>
    <x v="2"/>
    <n v="47236"/>
    <n v="45200"/>
    <n v="35939"/>
    <n v="34096"/>
    <n v="34876"/>
    <n v="34615"/>
    <n v="1800"/>
    <n v="1603"/>
    <n v="2000"/>
    <n v="2500"/>
    <n v="1500"/>
    <n v="1500"/>
    <n v="0"/>
    <x v="1"/>
    <n v="45436"/>
    <x v="1"/>
  </r>
  <r>
    <x v="1393"/>
    <n v="20000"/>
    <x v="0"/>
    <x v="0"/>
    <x v="1"/>
    <x v="1"/>
    <n v="23"/>
    <x v="0"/>
    <x v="2"/>
    <x v="1"/>
    <x v="1"/>
    <x v="1"/>
    <x v="1"/>
    <x v="2"/>
    <n v="19990"/>
    <n v="20038"/>
    <n v="19571"/>
    <n v="14362"/>
    <n v="15127"/>
    <n v="15872"/>
    <n v="1438"/>
    <n v="1300"/>
    <n v="1000"/>
    <n v="1000"/>
    <n v="1000"/>
    <n v="2000"/>
    <n v="0"/>
    <x v="1"/>
    <n v="18552"/>
    <x v="0"/>
  </r>
  <r>
    <x v="1394"/>
    <n v="140000"/>
    <x v="1"/>
    <x v="0"/>
    <x v="2"/>
    <x v="1"/>
    <n v="23"/>
    <x v="0"/>
    <x v="3"/>
    <x v="3"/>
    <x v="3"/>
    <x v="2"/>
    <x v="0"/>
    <x v="0"/>
    <n v="67505"/>
    <n v="36772"/>
    <n v="38399"/>
    <n v="39131"/>
    <n v="39508"/>
    <n v="3441"/>
    <n v="2000"/>
    <n v="2400"/>
    <n v="2132"/>
    <n v="1617"/>
    <n v="515"/>
    <n v="2031"/>
    <n v="0"/>
    <x v="1"/>
    <n v="65505"/>
    <x v="1"/>
  </r>
  <r>
    <x v="1395"/>
    <n v="330000"/>
    <x v="2"/>
    <x v="0"/>
    <x v="1"/>
    <x v="1"/>
    <n v="35"/>
    <x v="1"/>
    <x v="3"/>
    <x v="3"/>
    <x v="3"/>
    <x v="2"/>
    <x v="0"/>
    <x v="0"/>
    <n v="1663"/>
    <n v="0"/>
    <n v="0"/>
    <n v="0"/>
    <n v="29221"/>
    <n v="3194"/>
    <n v="0"/>
    <n v="0"/>
    <n v="0"/>
    <n v="29221"/>
    <n v="3194"/>
    <n v="0"/>
    <n v="0"/>
    <x v="1"/>
    <n v="1663"/>
    <x v="0"/>
  </r>
  <r>
    <x v="1396"/>
    <n v="180000"/>
    <x v="1"/>
    <x v="0"/>
    <x v="0"/>
    <x v="1"/>
    <n v="24"/>
    <x v="0"/>
    <x v="4"/>
    <x v="0"/>
    <x v="2"/>
    <x v="3"/>
    <x v="3"/>
    <x v="1"/>
    <n v="108580"/>
    <n v="105403"/>
    <n v="112073"/>
    <n v="111345"/>
    <n v="98404"/>
    <n v="102460"/>
    <n v="0"/>
    <n v="8564"/>
    <n v="4000"/>
    <n v="0"/>
    <n v="7414"/>
    <n v="0"/>
    <n v="1"/>
    <x v="0"/>
    <n v="108580"/>
    <x v="2"/>
  </r>
  <r>
    <x v="1397"/>
    <n v="360000"/>
    <x v="2"/>
    <x v="0"/>
    <x v="0"/>
    <x v="0"/>
    <n v="35"/>
    <x v="1"/>
    <x v="2"/>
    <x v="1"/>
    <x v="1"/>
    <x v="0"/>
    <x v="2"/>
    <x v="2"/>
    <n v="5157"/>
    <n v="2461"/>
    <n v="0"/>
    <n v="277"/>
    <n v="2599"/>
    <n v="3941"/>
    <n v="1012"/>
    <n v="0"/>
    <n v="277"/>
    <n v="2602"/>
    <n v="2019"/>
    <n v="1123"/>
    <n v="0"/>
    <x v="1"/>
    <n v="4145"/>
    <x v="0"/>
  </r>
  <r>
    <x v="1398"/>
    <n v="20000"/>
    <x v="0"/>
    <x v="1"/>
    <x v="2"/>
    <x v="0"/>
    <n v="51"/>
    <x v="2"/>
    <x v="0"/>
    <x v="1"/>
    <x v="1"/>
    <x v="1"/>
    <x v="1"/>
    <x v="2"/>
    <n v="14815"/>
    <n v="15837"/>
    <n v="16852"/>
    <n v="17188"/>
    <n v="17546"/>
    <n v="17895"/>
    <n v="1264"/>
    <n v="1279"/>
    <n v="615"/>
    <n v="635"/>
    <n v="639"/>
    <n v="664"/>
    <n v="0"/>
    <x v="1"/>
    <n v="13551"/>
    <x v="0"/>
  </r>
  <r>
    <x v="1399"/>
    <n v="50000"/>
    <x v="0"/>
    <x v="0"/>
    <x v="1"/>
    <x v="1"/>
    <n v="23"/>
    <x v="0"/>
    <x v="2"/>
    <x v="1"/>
    <x v="1"/>
    <x v="1"/>
    <x v="1"/>
    <x v="1"/>
    <n v="34422"/>
    <n v="32703"/>
    <n v="22851"/>
    <n v="6699"/>
    <n v="10060"/>
    <n v="7737"/>
    <n v="1544"/>
    <n v="1000"/>
    <n v="0"/>
    <n v="3361"/>
    <n v="0"/>
    <n v="100"/>
    <n v="0"/>
    <x v="1"/>
    <n v="32878"/>
    <x v="1"/>
  </r>
  <r>
    <x v="1400"/>
    <n v="100000"/>
    <x v="0"/>
    <x v="0"/>
    <x v="0"/>
    <x v="0"/>
    <n v="25"/>
    <x v="0"/>
    <x v="2"/>
    <x v="1"/>
    <x v="1"/>
    <x v="1"/>
    <x v="1"/>
    <x v="2"/>
    <n v="20755"/>
    <n v="20043"/>
    <n v="19778"/>
    <n v="24939"/>
    <n v="28639"/>
    <n v="8370"/>
    <n v="2000"/>
    <n v="2000"/>
    <n v="6000"/>
    <n v="4000"/>
    <n v="4000"/>
    <n v="3000"/>
    <n v="0"/>
    <x v="1"/>
    <n v="18755"/>
    <x v="0"/>
  </r>
  <r>
    <x v="1401"/>
    <n v="30000"/>
    <x v="0"/>
    <x v="1"/>
    <x v="0"/>
    <x v="0"/>
    <n v="36"/>
    <x v="1"/>
    <x v="0"/>
    <x v="0"/>
    <x v="1"/>
    <x v="1"/>
    <x v="1"/>
    <x v="2"/>
    <n v="30573"/>
    <n v="28473"/>
    <n v="29083"/>
    <n v="28313"/>
    <n v="28932"/>
    <n v="29565"/>
    <n v="0"/>
    <n v="2000"/>
    <n v="940"/>
    <n v="1000"/>
    <n v="1106"/>
    <n v="0"/>
    <n v="0"/>
    <x v="1"/>
    <n v="30573"/>
    <x v="1"/>
  </r>
  <r>
    <x v="1402"/>
    <n v="70000"/>
    <x v="0"/>
    <x v="0"/>
    <x v="0"/>
    <x v="0"/>
    <n v="44"/>
    <x v="3"/>
    <x v="2"/>
    <x v="1"/>
    <x v="1"/>
    <x v="1"/>
    <x v="1"/>
    <x v="2"/>
    <n v="4221"/>
    <n v="6642"/>
    <n v="8361"/>
    <n v="10208"/>
    <n v="11038"/>
    <n v="11848"/>
    <n v="2500"/>
    <n v="2000"/>
    <n v="2000"/>
    <n v="1000"/>
    <n v="1000"/>
    <n v="1000"/>
    <n v="1"/>
    <x v="0"/>
    <n v="1721"/>
    <x v="0"/>
  </r>
  <r>
    <x v="1403"/>
    <n v="470000"/>
    <x v="2"/>
    <x v="1"/>
    <x v="1"/>
    <x v="1"/>
    <n v="33"/>
    <x v="1"/>
    <x v="1"/>
    <x v="2"/>
    <x v="0"/>
    <x v="1"/>
    <x v="1"/>
    <x v="3"/>
    <n v="5613"/>
    <n v="11576"/>
    <n v="7017"/>
    <n v="1185"/>
    <n v="0"/>
    <n v="542"/>
    <n v="11606"/>
    <n v="7017"/>
    <n v="24"/>
    <n v="0"/>
    <n v="542"/>
    <n v="208896"/>
    <n v="0"/>
    <x v="1"/>
    <n v="-5993"/>
    <x v="3"/>
  </r>
  <r>
    <x v="1404"/>
    <n v="300000"/>
    <x v="1"/>
    <x v="0"/>
    <x v="1"/>
    <x v="0"/>
    <n v="36"/>
    <x v="1"/>
    <x v="1"/>
    <x v="2"/>
    <x v="3"/>
    <x v="2"/>
    <x v="0"/>
    <x v="0"/>
    <n v="8385"/>
    <n v="-27"/>
    <n v="-27"/>
    <n v="-27"/>
    <n v="-27"/>
    <n v="-27"/>
    <n v="27"/>
    <n v="0"/>
    <n v="0"/>
    <n v="0"/>
    <n v="0"/>
    <n v="0"/>
    <n v="0"/>
    <x v="1"/>
    <n v="8358"/>
    <x v="0"/>
  </r>
  <r>
    <x v="1405"/>
    <n v="300000"/>
    <x v="1"/>
    <x v="0"/>
    <x v="1"/>
    <x v="0"/>
    <n v="45"/>
    <x v="3"/>
    <x v="1"/>
    <x v="2"/>
    <x v="0"/>
    <x v="1"/>
    <x v="1"/>
    <x v="3"/>
    <n v="6608"/>
    <n v="10009"/>
    <n v="22456"/>
    <n v="22056"/>
    <n v="14020"/>
    <n v="1230"/>
    <n v="10017"/>
    <n v="22456"/>
    <n v="0"/>
    <n v="0"/>
    <n v="1230"/>
    <n v="0"/>
    <n v="1"/>
    <x v="0"/>
    <n v="-3409"/>
    <x v="3"/>
  </r>
  <r>
    <x v="1406"/>
    <n v="200000"/>
    <x v="1"/>
    <x v="0"/>
    <x v="1"/>
    <x v="1"/>
    <n v="26"/>
    <x v="0"/>
    <x v="3"/>
    <x v="3"/>
    <x v="3"/>
    <x v="2"/>
    <x v="0"/>
    <x v="0"/>
    <n v="2179"/>
    <n v="6440"/>
    <n v="3908"/>
    <n v="-5"/>
    <n v="1060"/>
    <n v="2996"/>
    <n v="6440"/>
    <n v="3908"/>
    <n v="5"/>
    <n v="1065"/>
    <n v="3000"/>
    <n v="1108"/>
    <n v="0"/>
    <x v="1"/>
    <n v="-4261"/>
    <x v="3"/>
  </r>
  <r>
    <x v="1407"/>
    <n v="150000"/>
    <x v="1"/>
    <x v="0"/>
    <x v="0"/>
    <x v="0"/>
    <n v="41"/>
    <x v="3"/>
    <x v="2"/>
    <x v="1"/>
    <x v="1"/>
    <x v="1"/>
    <x v="1"/>
    <x v="2"/>
    <n v="79021"/>
    <n v="77975"/>
    <n v="74749"/>
    <n v="80757"/>
    <n v="83685"/>
    <n v="81569"/>
    <n v="4023"/>
    <n v="3016"/>
    <n v="10000"/>
    <n v="4011"/>
    <n v="3073"/>
    <n v="3005"/>
    <n v="0"/>
    <x v="1"/>
    <n v="74998"/>
    <x v="1"/>
  </r>
  <r>
    <x v="1408"/>
    <n v="220000"/>
    <x v="1"/>
    <x v="0"/>
    <x v="0"/>
    <x v="1"/>
    <n v="25"/>
    <x v="0"/>
    <x v="2"/>
    <x v="1"/>
    <x v="1"/>
    <x v="1"/>
    <x v="1"/>
    <x v="2"/>
    <n v="165040"/>
    <n v="167485"/>
    <n v="148133"/>
    <n v="123266"/>
    <n v="125736"/>
    <n v="128342"/>
    <n v="6809"/>
    <n v="7038"/>
    <n v="5000"/>
    <n v="4500"/>
    <n v="5000"/>
    <n v="4473"/>
    <n v="1"/>
    <x v="0"/>
    <n v="158231"/>
    <x v="2"/>
  </r>
  <r>
    <x v="1409"/>
    <n v="420000"/>
    <x v="2"/>
    <x v="1"/>
    <x v="1"/>
    <x v="1"/>
    <n v="31"/>
    <x v="1"/>
    <x v="3"/>
    <x v="3"/>
    <x v="3"/>
    <x v="2"/>
    <x v="0"/>
    <x v="0"/>
    <n v="1569"/>
    <n v="563"/>
    <n v="1914"/>
    <n v="1189"/>
    <n v="1208"/>
    <n v="4964"/>
    <n v="565"/>
    <n v="1923"/>
    <n v="1194"/>
    <n v="1214"/>
    <n v="4988"/>
    <n v="296"/>
    <n v="0"/>
    <x v="1"/>
    <n v="1004"/>
    <x v="0"/>
  </r>
  <r>
    <x v="1410"/>
    <n v="210000"/>
    <x v="1"/>
    <x v="0"/>
    <x v="0"/>
    <x v="1"/>
    <n v="45"/>
    <x v="3"/>
    <x v="3"/>
    <x v="3"/>
    <x v="3"/>
    <x v="2"/>
    <x v="0"/>
    <x v="0"/>
    <n v="467"/>
    <n v="2050"/>
    <n v="416"/>
    <n v="416"/>
    <n v="416"/>
    <n v="416"/>
    <n v="2050"/>
    <n v="416"/>
    <n v="416"/>
    <n v="416"/>
    <n v="416"/>
    <n v="416"/>
    <n v="0"/>
    <x v="1"/>
    <n v="-1583"/>
    <x v="3"/>
  </r>
  <r>
    <x v="1411"/>
    <n v="450000"/>
    <x v="2"/>
    <x v="1"/>
    <x v="2"/>
    <x v="0"/>
    <n v="58"/>
    <x v="2"/>
    <x v="1"/>
    <x v="2"/>
    <x v="0"/>
    <x v="0"/>
    <x v="2"/>
    <x v="3"/>
    <n v="8940"/>
    <n v="6239"/>
    <n v="5535"/>
    <n v="9856"/>
    <n v="819"/>
    <n v="863"/>
    <n v="6271"/>
    <n v="5740"/>
    <n v="9905"/>
    <n v="823"/>
    <n v="867"/>
    <n v="2488"/>
    <n v="0"/>
    <x v="1"/>
    <n v="2669"/>
    <x v="0"/>
  </r>
  <r>
    <x v="1412"/>
    <n v="30000"/>
    <x v="0"/>
    <x v="1"/>
    <x v="0"/>
    <x v="0"/>
    <n v="38"/>
    <x v="1"/>
    <x v="1"/>
    <x v="2"/>
    <x v="0"/>
    <x v="0"/>
    <x v="2"/>
    <x v="3"/>
    <n v="184"/>
    <n v="1522"/>
    <n v="0"/>
    <n v="5480"/>
    <n v="175"/>
    <n v="-2000"/>
    <n v="1522"/>
    <n v="0"/>
    <n v="5480"/>
    <n v="175"/>
    <n v="0"/>
    <n v="2000"/>
    <n v="0"/>
    <x v="1"/>
    <n v="-1338"/>
    <x v="3"/>
  </r>
  <r>
    <x v="1413"/>
    <n v="240000"/>
    <x v="1"/>
    <x v="1"/>
    <x v="0"/>
    <x v="0"/>
    <n v="30"/>
    <x v="1"/>
    <x v="1"/>
    <x v="2"/>
    <x v="0"/>
    <x v="0"/>
    <x v="2"/>
    <x v="3"/>
    <n v="2816"/>
    <n v="7608"/>
    <n v="26832"/>
    <n v="3518"/>
    <n v="1280"/>
    <n v="5900"/>
    <n v="7608"/>
    <n v="26834"/>
    <n v="3518"/>
    <n v="1280"/>
    <n v="5900"/>
    <n v="1319"/>
    <n v="0"/>
    <x v="1"/>
    <n v="-4792"/>
    <x v="3"/>
  </r>
  <r>
    <x v="1414"/>
    <n v="420000"/>
    <x v="2"/>
    <x v="0"/>
    <x v="0"/>
    <x v="1"/>
    <n v="25"/>
    <x v="0"/>
    <x v="1"/>
    <x v="1"/>
    <x v="1"/>
    <x v="1"/>
    <x v="1"/>
    <x v="2"/>
    <n v="28206"/>
    <n v="122212"/>
    <n v="117835"/>
    <n v="112705"/>
    <n v="111357"/>
    <n v="108306"/>
    <n v="100000"/>
    <n v="4013"/>
    <n v="3822"/>
    <n v="4086"/>
    <n v="3800"/>
    <n v="3600"/>
    <n v="0"/>
    <x v="1"/>
    <n v="-71794"/>
    <x v="3"/>
  </r>
  <r>
    <x v="1415"/>
    <n v="60000"/>
    <x v="0"/>
    <x v="0"/>
    <x v="1"/>
    <x v="1"/>
    <n v="25"/>
    <x v="0"/>
    <x v="2"/>
    <x v="1"/>
    <x v="1"/>
    <x v="1"/>
    <x v="1"/>
    <x v="2"/>
    <n v="57174"/>
    <n v="58559"/>
    <n v="60586"/>
    <n v="39144"/>
    <n v="39615"/>
    <n v="39334"/>
    <n v="3000"/>
    <n v="3800"/>
    <n v="3300"/>
    <n v="1900"/>
    <n v="1600"/>
    <n v="1500"/>
    <n v="0"/>
    <x v="1"/>
    <n v="54174"/>
    <x v="1"/>
  </r>
  <r>
    <x v="1416"/>
    <n v="30000"/>
    <x v="0"/>
    <x v="0"/>
    <x v="2"/>
    <x v="1"/>
    <n v="24"/>
    <x v="0"/>
    <x v="1"/>
    <x v="2"/>
    <x v="0"/>
    <x v="0"/>
    <x v="2"/>
    <x v="3"/>
    <n v="4882"/>
    <n v="14630"/>
    <n v="6323"/>
    <n v="2870"/>
    <n v="1485"/>
    <n v="3926"/>
    <n v="14630"/>
    <n v="6485"/>
    <n v="2870"/>
    <n v="1485"/>
    <n v="3926"/>
    <n v="0"/>
    <n v="0"/>
    <x v="1"/>
    <n v="-9748"/>
    <x v="3"/>
  </r>
  <r>
    <x v="1417"/>
    <n v="80000"/>
    <x v="0"/>
    <x v="0"/>
    <x v="1"/>
    <x v="1"/>
    <n v="29"/>
    <x v="0"/>
    <x v="3"/>
    <x v="3"/>
    <x v="0"/>
    <x v="3"/>
    <x v="3"/>
    <x v="4"/>
    <n v="2673"/>
    <n v="0"/>
    <n v="317"/>
    <n v="317"/>
    <n v="1521"/>
    <n v="1204"/>
    <n v="0"/>
    <n v="317"/>
    <n v="0"/>
    <n v="1204"/>
    <n v="0"/>
    <n v="0"/>
    <n v="0"/>
    <x v="1"/>
    <n v="2673"/>
    <x v="0"/>
  </r>
  <r>
    <x v="1418"/>
    <n v="50000"/>
    <x v="0"/>
    <x v="1"/>
    <x v="0"/>
    <x v="1"/>
    <n v="37"/>
    <x v="1"/>
    <x v="2"/>
    <x v="1"/>
    <x v="1"/>
    <x v="1"/>
    <x v="1"/>
    <x v="2"/>
    <n v="48206"/>
    <n v="48659"/>
    <n v="47248"/>
    <n v="48241"/>
    <n v="49196"/>
    <n v="50296"/>
    <n v="2120"/>
    <n v="1750"/>
    <n v="1700"/>
    <n v="1800"/>
    <n v="2023"/>
    <n v="2113"/>
    <n v="0"/>
    <x v="1"/>
    <n v="46086"/>
    <x v="1"/>
  </r>
  <r>
    <x v="1419"/>
    <n v="230000"/>
    <x v="1"/>
    <x v="1"/>
    <x v="2"/>
    <x v="1"/>
    <n v="27"/>
    <x v="0"/>
    <x v="3"/>
    <x v="3"/>
    <x v="3"/>
    <x v="2"/>
    <x v="0"/>
    <x v="0"/>
    <n v="19200"/>
    <n v="10000"/>
    <n v="20176"/>
    <n v="10000"/>
    <n v="10000"/>
    <n v="10000"/>
    <n v="10000"/>
    <n v="20176"/>
    <n v="200"/>
    <n v="10000"/>
    <n v="10000"/>
    <n v="10000"/>
    <n v="0"/>
    <x v="1"/>
    <n v="9200"/>
    <x v="0"/>
  </r>
  <r>
    <x v="1420"/>
    <n v="200000"/>
    <x v="1"/>
    <x v="1"/>
    <x v="1"/>
    <x v="1"/>
    <n v="31"/>
    <x v="1"/>
    <x v="2"/>
    <x v="1"/>
    <x v="1"/>
    <x v="1"/>
    <x v="1"/>
    <x v="2"/>
    <n v="6618"/>
    <n v="6777"/>
    <n v="7957"/>
    <n v="4667"/>
    <n v="76187"/>
    <n v="74900"/>
    <n v="1900"/>
    <n v="3008"/>
    <n v="3500"/>
    <n v="73000"/>
    <n v="2700"/>
    <n v="3800"/>
    <n v="0"/>
    <x v="1"/>
    <n v="4718"/>
    <x v="0"/>
  </r>
  <r>
    <x v="1421"/>
    <n v="230000"/>
    <x v="1"/>
    <x v="0"/>
    <x v="0"/>
    <x v="1"/>
    <n v="28"/>
    <x v="0"/>
    <x v="2"/>
    <x v="1"/>
    <x v="1"/>
    <x v="1"/>
    <x v="1"/>
    <x v="2"/>
    <n v="12218"/>
    <n v="17667"/>
    <n v="20345"/>
    <n v="39945"/>
    <n v="41352"/>
    <n v="11032"/>
    <n v="6000"/>
    <n v="3500"/>
    <n v="20000"/>
    <n v="2000"/>
    <n v="1500"/>
    <n v="8000"/>
    <n v="0"/>
    <x v="1"/>
    <n v="6218"/>
    <x v="0"/>
  </r>
  <r>
    <x v="1422"/>
    <n v="130000"/>
    <x v="1"/>
    <x v="0"/>
    <x v="0"/>
    <x v="1"/>
    <n v="24"/>
    <x v="0"/>
    <x v="2"/>
    <x v="1"/>
    <x v="1"/>
    <x v="1"/>
    <x v="1"/>
    <x v="2"/>
    <n v="122750"/>
    <n v="118319"/>
    <n v="61466"/>
    <n v="48288"/>
    <n v="48898"/>
    <n v="49699"/>
    <n v="4966"/>
    <n v="2034"/>
    <n v="1710"/>
    <n v="1765"/>
    <n v="2000"/>
    <n v="2672"/>
    <n v="0"/>
    <x v="1"/>
    <n v="117784"/>
    <x v="2"/>
  </r>
  <r>
    <x v="1423"/>
    <n v="200000"/>
    <x v="1"/>
    <x v="0"/>
    <x v="2"/>
    <x v="1"/>
    <n v="27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424"/>
    <n v="90000"/>
    <x v="0"/>
    <x v="0"/>
    <x v="1"/>
    <x v="1"/>
    <n v="33"/>
    <x v="1"/>
    <x v="2"/>
    <x v="1"/>
    <x v="1"/>
    <x v="1"/>
    <x v="1"/>
    <x v="2"/>
    <n v="80919"/>
    <n v="87993"/>
    <n v="17316"/>
    <n v="18026"/>
    <n v="18559"/>
    <n v="19097"/>
    <n v="9000"/>
    <n v="1500"/>
    <n v="1000"/>
    <n v="824"/>
    <n v="1000"/>
    <n v="857"/>
    <n v="0"/>
    <x v="1"/>
    <n v="71919"/>
    <x v="1"/>
  </r>
  <r>
    <x v="1425"/>
    <n v="120000"/>
    <x v="1"/>
    <x v="1"/>
    <x v="1"/>
    <x v="1"/>
    <n v="27"/>
    <x v="0"/>
    <x v="1"/>
    <x v="2"/>
    <x v="0"/>
    <x v="0"/>
    <x v="1"/>
    <x v="2"/>
    <n v="316"/>
    <n v="316"/>
    <n v="1360"/>
    <n v="9474"/>
    <n v="10158"/>
    <n v="2551"/>
    <n v="316"/>
    <n v="1360"/>
    <n v="10000"/>
    <n v="1000"/>
    <n v="2000"/>
    <n v="3000"/>
    <n v="0"/>
    <x v="1"/>
    <n v="0"/>
    <x v="3"/>
  </r>
  <r>
    <x v="1426"/>
    <n v="200000"/>
    <x v="1"/>
    <x v="1"/>
    <x v="1"/>
    <x v="1"/>
    <n v="42"/>
    <x v="3"/>
    <x v="3"/>
    <x v="3"/>
    <x v="3"/>
    <x v="2"/>
    <x v="0"/>
    <x v="0"/>
    <n v="470"/>
    <n v="740"/>
    <n v="3774"/>
    <n v="836"/>
    <n v="1325"/>
    <n v="1440"/>
    <n v="740"/>
    <n v="3782"/>
    <n v="836"/>
    <n v="1325"/>
    <n v="1440"/>
    <n v="506"/>
    <n v="0"/>
    <x v="1"/>
    <n v="-270"/>
    <x v="3"/>
  </r>
  <r>
    <x v="1427"/>
    <n v="20000"/>
    <x v="0"/>
    <x v="0"/>
    <x v="0"/>
    <x v="1"/>
    <n v="32"/>
    <x v="1"/>
    <x v="0"/>
    <x v="4"/>
    <x v="2"/>
    <x v="3"/>
    <x v="3"/>
    <x v="2"/>
    <n v="17757"/>
    <n v="17193"/>
    <n v="16602"/>
    <n v="19521"/>
    <n v="18925"/>
    <n v="18806"/>
    <n v="0"/>
    <n v="0"/>
    <n v="3200"/>
    <n v="0"/>
    <n v="900"/>
    <n v="633"/>
    <n v="0"/>
    <x v="1"/>
    <n v="17757"/>
    <x v="0"/>
  </r>
  <r>
    <x v="1428"/>
    <n v="210000"/>
    <x v="1"/>
    <x v="0"/>
    <x v="1"/>
    <x v="0"/>
    <n v="37"/>
    <x v="1"/>
    <x v="0"/>
    <x v="0"/>
    <x v="2"/>
    <x v="3"/>
    <x v="3"/>
    <x v="1"/>
    <n v="76089"/>
    <n v="77985"/>
    <n v="79104"/>
    <n v="80399"/>
    <n v="81462"/>
    <n v="83366"/>
    <n v="3700"/>
    <n v="3000"/>
    <n v="3200"/>
    <n v="2500"/>
    <n v="3400"/>
    <n v="4300"/>
    <n v="1"/>
    <x v="0"/>
    <n v="72389"/>
    <x v="1"/>
  </r>
  <r>
    <x v="1429"/>
    <n v="80000"/>
    <x v="0"/>
    <x v="0"/>
    <x v="0"/>
    <x v="1"/>
    <n v="44"/>
    <x v="3"/>
    <x v="2"/>
    <x v="1"/>
    <x v="1"/>
    <x v="1"/>
    <x v="1"/>
    <x v="2"/>
    <n v="80610"/>
    <n v="81008"/>
    <n v="80725"/>
    <n v="50472"/>
    <n v="50340"/>
    <n v="42393"/>
    <n v="6502"/>
    <n v="4000"/>
    <n v="1889"/>
    <n v="2000"/>
    <n v="7700"/>
    <n v="9600"/>
    <n v="0"/>
    <x v="1"/>
    <n v="74108"/>
    <x v="1"/>
  </r>
  <r>
    <x v="1430"/>
    <n v="50000"/>
    <x v="0"/>
    <x v="0"/>
    <x v="1"/>
    <x v="0"/>
    <n v="29"/>
    <x v="0"/>
    <x v="2"/>
    <x v="1"/>
    <x v="1"/>
    <x v="1"/>
    <x v="1"/>
    <x v="2"/>
    <n v="50486"/>
    <n v="50035"/>
    <n v="49388"/>
    <n v="10275"/>
    <n v="9598"/>
    <n v="8382"/>
    <n v="2200"/>
    <n v="1192"/>
    <n v="1000"/>
    <n v="2000"/>
    <n v="1000"/>
    <n v="1500"/>
    <n v="0"/>
    <x v="1"/>
    <n v="48286"/>
    <x v="1"/>
  </r>
  <r>
    <x v="1431"/>
    <n v="70000"/>
    <x v="0"/>
    <x v="0"/>
    <x v="0"/>
    <x v="0"/>
    <n v="42"/>
    <x v="3"/>
    <x v="0"/>
    <x v="0"/>
    <x v="2"/>
    <x v="3"/>
    <x v="3"/>
    <x v="1"/>
    <n v="50886"/>
    <n v="51975"/>
    <n v="52527"/>
    <n v="53560"/>
    <n v="54653"/>
    <n v="55797"/>
    <n v="2200"/>
    <n v="2000"/>
    <n v="2500"/>
    <n v="2100"/>
    <n v="2200"/>
    <n v="2100"/>
    <n v="1"/>
    <x v="0"/>
    <n v="48686"/>
    <x v="1"/>
  </r>
  <r>
    <x v="1432"/>
    <n v="230000"/>
    <x v="1"/>
    <x v="1"/>
    <x v="0"/>
    <x v="1"/>
    <n v="32"/>
    <x v="1"/>
    <x v="0"/>
    <x v="0"/>
    <x v="2"/>
    <x v="3"/>
    <x v="3"/>
    <x v="1"/>
    <n v="189567"/>
    <n v="189023"/>
    <n v="187521"/>
    <n v="182671"/>
    <n v="174794"/>
    <n v="182160"/>
    <n v="9000"/>
    <n v="6300"/>
    <n v="6200"/>
    <n v="500"/>
    <n v="12500"/>
    <n v="0"/>
    <n v="1"/>
    <x v="0"/>
    <n v="180567"/>
    <x v="2"/>
  </r>
  <r>
    <x v="1433"/>
    <n v="20000"/>
    <x v="0"/>
    <x v="1"/>
    <x v="0"/>
    <x v="1"/>
    <n v="52"/>
    <x v="2"/>
    <x v="2"/>
    <x v="1"/>
    <x v="1"/>
    <x v="1"/>
    <x v="1"/>
    <x v="2"/>
    <n v="17420"/>
    <n v="19130"/>
    <n v="20340"/>
    <n v="19940"/>
    <n v="19940"/>
    <n v="0"/>
    <n v="2000"/>
    <n v="2000"/>
    <n v="0"/>
    <n v="0"/>
    <n v="0"/>
    <n v="0"/>
    <n v="0"/>
    <x v="1"/>
    <n v="15420"/>
    <x v="0"/>
  </r>
  <r>
    <x v="1434"/>
    <n v="30000"/>
    <x v="0"/>
    <x v="1"/>
    <x v="0"/>
    <x v="1"/>
    <n v="44"/>
    <x v="3"/>
    <x v="1"/>
    <x v="1"/>
    <x v="0"/>
    <x v="1"/>
    <x v="2"/>
    <x v="3"/>
    <n v="21043"/>
    <n v="21183"/>
    <n v="1754"/>
    <n v="666"/>
    <n v="1339"/>
    <n v="1748"/>
    <n v="1196"/>
    <n v="1757"/>
    <n v="2"/>
    <n v="1443"/>
    <n v="1949"/>
    <n v="0"/>
    <n v="0"/>
    <x v="1"/>
    <n v="19847"/>
    <x v="0"/>
  </r>
  <r>
    <x v="1435"/>
    <n v="100000"/>
    <x v="0"/>
    <x v="1"/>
    <x v="1"/>
    <x v="1"/>
    <n v="31"/>
    <x v="1"/>
    <x v="0"/>
    <x v="0"/>
    <x v="2"/>
    <x v="3"/>
    <x v="3"/>
    <x v="1"/>
    <n v="33752"/>
    <n v="32928"/>
    <n v="35572"/>
    <n v="34700"/>
    <n v="36942"/>
    <n v="36196"/>
    <n v="0"/>
    <n v="3200"/>
    <n v="0"/>
    <n v="2800"/>
    <n v="0"/>
    <n v="1511"/>
    <n v="1"/>
    <x v="0"/>
    <n v="33752"/>
    <x v="1"/>
  </r>
  <r>
    <x v="1436"/>
    <n v="80000"/>
    <x v="0"/>
    <x v="0"/>
    <x v="1"/>
    <x v="1"/>
    <n v="29"/>
    <x v="0"/>
    <x v="2"/>
    <x v="1"/>
    <x v="1"/>
    <x v="3"/>
    <x v="1"/>
    <x v="2"/>
    <n v="81337"/>
    <n v="80290"/>
    <n v="82215"/>
    <n v="80422"/>
    <n v="78284"/>
    <n v="77270"/>
    <n v="2842"/>
    <n v="20412"/>
    <n v="0"/>
    <n v="3000"/>
    <n v="3000"/>
    <n v="3000"/>
    <n v="1"/>
    <x v="0"/>
    <n v="78495"/>
    <x v="1"/>
  </r>
  <r>
    <x v="1437"/>
    <n v="210000"/>
    <x v="1"/>
    <x v="1"/>
    <x v="0"/>
    <x v="1"/>
    <n v="33"/>
    <x v="1"/>
    <x v="2"/>
    <x v="1"/>
    <x v="1"/>
    <x v="1"/>
    <x v="1"/>
    <x v="2"/>
    <n v="187610"/>
    <n v="191592"/>
    <n v="195739"/>
    <n v="198081"/>
    <n v="202410"/>
    <n v="206582"/>
    <n v="8500"/>
    <n v="9000"/>
    <n v="7100"/>
    <n v="7510"/>
    <n v="7700"/>
    <n v="9051"/>
    <n v="0"/>
    <x v="1"/>
    <n v="179110"/>
    <x v="2"/>
  </r>
  <r>
    <x v="1438"/>
    <n v="50000"/>
    <x v="0"/>
    <x v="1"/>
    <x v="0"/>
    <x v="1"/>
    <n v="54"/>
    <x v="2"/>
    <x v="4"/>
    <x v="0"/>
    <x v="1"/>
    <x v="1"/>
    <x v="1"/>
    <x v="2"/>
    <n v="48153"/>
    <n v="46885"/>
    <n v="27168"/>
    <n v="27585"/>
    <n v="27910"/>
    <n v="27380"/>
    <n v="0"/>
    <n v="1400"/>
    <n v="1200"/>
    <n v="1500"/>
    <n v="1000"/>
    <n v="1500"/>
    <n v="0"/>
    <x v="1"/>
    <n v="48153"/>
    <x v="1"/>
  </r>
  <r>
    <x v="1439"/>
    <n v="130000"/>
    <x v="1"/>
    <x v="0"/>
    <x v="0"/>
    <x v="1"/>
    <n v="23"/>
    <x v="0"/>
    <x v="2"/>
    <x v="1"/>
    <x v="1"/>
    <x v="1"/>
    <x v="1"/>
    <x v="2"/>
    <n v="133622"/>
    <n v="129784"/>
    <n v="126021"/>
    <n v="70186"/>
    <n v="71762"/>
    <n v="73192"/>
    <n v="4752"/>
    <n v="5010"/>
    <n v="2505"/>
    <n v="2700"/>
    <n v="2623"/>
    <n v="2800"/>
    <n v="0"/>
    <x v="1"/>
    <n v="128870"/>
    <x v="2"/>
  </r>
  <r>
    <x v="1440"/>
    <n v="70000"/>
    <x v="0"/>
    <x v="0"/>
    <x v="1"/>
    <x v="1"/>
    <n v="24"/>
    <x v="0"/>
    <x v="2"/>
    <x v="1"/>
    <x v="2"/>
    <x v="3"/>
    <x v="3"/>
    <x v="1"/>
    <n v="48432"/>
    <n v="52650"/>
    <n v="53099"/>
    <n v="51648"/>
    <n v="55409"/>
    <n v="54366"/>
    <n v="5000"/>
    <n v="1900"/>
    <n v="0"/>
    <n v="4600"/>
    <n v="0"/>
    <n v="2300"/>
    <n v="0"/>
    <x v="1"/>
    <n v="43432"/>
    <x v="1"/>
  </r>
  <r>
    <x v="1441"/>
    <n v="210000"/>
    <x v="1"/>
    <x v="0"/>
    <x v="1"/>
    <x v="0"/>
    <n v="33"/>
    <x v="1"/>
    <x v="2"/>
    <x v="1"/>
    <x v="1"/>
    <x v="1"/>
    <x v="1"/>
    <x v="2"/>
    <n v="17420"/>
    <n v="16182"/>
    <n v="14109"/>
    <n v="10955"/>
    <n v="11217"/>
    <n v="11367"/>
    <n v="1236"/>
    <n v="1613"/>
    <n v="1000"/>
    <n v="552"/>
    <n v="607"/>
    <n v="1500"/>
    <n v="0"/>
    <x v="1"/>
    <n v="16184"/>
    <x v="0"/>
  </r>
  <r>
    <x v="1442"/>
    <n v="100000"/>
    <x v="0"/>
    <x v="1"/>
    <x v="2"/>
    <x v="0"/>
    <n v="44"/>
    <x v="3"/>
    <x v="1"/>
    <x v="2"/>
    <x v="0"/>
    <x v="0"/>
    <x v="2"/>
    <x v="3"/>
    <n v="780"/>
    <n v="0"/>
    <n v="390"/>
    <n v="390"/>
    <n v="390"/>
    <n v="390"/>
    <n v="0"/>
    <n v="390"/>
    <n v="390"/>
    <n v="390"/>
    <n v="390"/>
    <n v="390"/>
    <n v="1"/>
    <x v="0"/>
    <n v="780"/>
    <x v="0"/>
  </r>
  <r>
    <x v="1443"/>
    <n v="200000"/>
    <x v="1"/>
    <x v="1"/>
    <x v="2"/>
    <x v="3"/>
    <n v="51"/>
    <x v="2"/>
    <x v="1"/>
    <x v="2"/>
    <x v="0"/>
    <x v="0"/>
    <x v="1"/>
    <x v="3"/>
    <n v="3556"/>
    <n v="4993"/>
    <n v="9212"/>
    <n v="2529"/>
    <n v="1036"/>
    <n v="4430"/>
    <n v="5020"/>
    <n v="9236"/>
    <n v="2529"/>
    <n v="0"/>
    <n v="4430"/>
    <n v="6398"/>
    <n v="0"/>
    <x v="1"/>
    <n v="-1464"/>
    <x v="3"/>
  </r>
  <r>
    <x v="1444"/>
    <n v="40000"/>
    <x v="0"/>
    <x v="1"/>
    <x v="1"/>
    <x v="1"/>
    <n v="24"/>
    <x v="0"/>
    <x v="4"/>
    <x v="0"/>
    <x v="1"/>
    <x v="1"/>
    <x v="1"/>
    <x v="4"/>
    <n v="28926"/>
    <n v="28182"/>
    <n v="28912"/>
    <n v="29495"/>
    <n v="33011"/>
    <n v="32194"/>
    <n v="0"/>
    <n v="1500"/>
    <n v="1064"/>
    <n v="4000"/>
    <n v="0"/>
    <n v="0"/>
    <n v="1"/>
    <x v="0"/>
    <n v="28926"/>
    <x v="1"/>
  </r>
  <r>
    <x v="1445"/>
    <n v="80000"/>
    <x v="0"/>
    <x v="0"/>
    <x v="0"/>
    <x v="1"/>
    <n v="25"/>
    <x v="0"/>
    <x v="0"/>
    <x v="4"/>
    <x v="2"/>
    <x v="3"/>
    <x v="3"/>
    <x v="1"/>
    <n v="69602"/>
    <n v="67930"/>
    <n v="72205"/>
    <n v="73116"/>
    <n v="74801"/>
    <n v="73444"/>
    <n v="0"/>
    <n v="6000"/>
    <n v="2700"/>
    <n v="3000"/>
    <n v="0"/>
    <n v="5300"/>
    <n v="0"/>
    <x v="1"/>
    <n v="69602"/>
    <x v="1"/>
  </r>
  <r>
    <x v="1446"/>
    <n v="210000"/>
    <x v="1"/>
    <x v="0"/>
    <x v="1"/>
    <x v="0"/>
    <n v="37"/>
    <x v="1"/>
    <x v="4"/>
    <x v="2"/>
    <x v="0"/>
    <x v="0"/>
    <x v="2"/>
    <x v="3"/>
    <n v="0"/>
    <n v="732"/>
    <n v="873"/>
    <n v="148"/>
    <n v="129"/>
    <n v="292"/>
    <n v="732"/>
    <n v="873"/>
    <n v="148"/>
    <n v="129"/>
    <n v="292"/>
    <n v="0"/>
    <n v="1"/>
    <x v="0"/>
    <n v="-732"/>
    <x v="3"/>
  </r>
  <r>
    <x v="1447"/>
    <n v="20000"/>
    <x v="0"/>
    <x v="0"/>
    <x v="0"/>
    <x v="1"/>
    <n v="23"/>
    <x v="0"/>
    <x v="1"/>
    <x v="2"/>
    <x v="0"/>
    <x v="3"/>
    <x v="2"/>
    <x v="3"/>
    <n v="7186"/>
    <n v="3478"/>
    <n v="137"/>
    <n v="1714"/>
    <n v="17694"/>
    <n v="12237"/>
    <n v="8060"/>
    <n v="137"/>
    <n v="5199"/>
    <n v="17694"/>
    <n v="575"/>
    <n v="0"/>
    <n v="0"/>
    <x v="1"/>
    <n v="-874"/>
    <x v="3"/>
  </r>
  <r>
    <x v="1448"/>
    <n v="10000"/>
    <x v="0"/>
    <x v="1"/>
    <x v="2"/>
    <x v="1"/>
    <n v="34"/>
    <x v="1"/>
    <x v="2"/>
    <x v="1"/>
    <x v="1"/>
    <x v="1"/>
    <x v="1"/>
    <x v="2"/>
    <n v="8813"/>
    <n v="8464"/>
    <n v="9474"/>
    <n v="9716"/>
    <n v="9960"/>
    <n v="10188"/>
    <n v="2148"/>
    <n v="1158"/>
    <n v="400"/>
    <n v="400"/>
    <n v="400"/>
    <n v="300"/>
    <n v="0"/>
    <x v="1"/>
    <n v="6665"/>
    <x v="0"/>
  </r>
  <r>
    <x v="1449"/>
    <n v="60000"/>
    <x v="0"/>
    <x v="0"/>
    <x v="2"/>
    <x v="0"/>
    <n v="50"/>
    <x v="2"/>
    <x v="2"/>
    <x v="1"/>
    <x v="1"/>
    <x v="1"/>
    <x v="1"/>
    <x v="2"/>
    <n v="61600"/>
    <n v="61952"/>
    <n v="60661"/>
    <n v="29095"/>
    <n v="17636"/>
    <n v="31406"/>
    <n v="3300"/>
    <n v="2000"/>
    <n v="900"/>
    <n v="889"/>
    <n v="21500"/>
    <n v="3600"/>
    <n v="1"/>
    <x v="0"/>
    <n v="58300"/>
    <x v="1"/>
  </r>
  <r>
    <x v="1450"/>
    <n v="40000"/>
    <x v="0"/>
    <x v="0"/>
    <x v="0"/>
    <x v="0"/>
    <n v="25"/>
    <x v="0"/>
    <x v="2"/>
    <x v="1"/>
    <x v="1"/>
    <x v="1"/>
    <x v="1"/>
    <x v="2"/>
    <n v="11273"/>
    <n v="12307"/>
    <n v="13348"/>
    <n v="13530"/>
    <n v="13811"/>
    <n v="14132"/>
    <n v="1520"/>
    <n v="1550"/>
    <n v="700"/>
    <n v="648"/>
    <n v="700"/>
    <n v="700"/>
    <n v="0"/>
    <x v="1"/>
    <n v="9753"/>
    <x v="0"/>
  </r>
  <r>
    <x v="1451"/>
    <n v="290000"/>
    <x v="1"/>
    <x v="0"/>
    <x v="1"/>
    <x v="1"/>
    <n v="33"/>
    <x v="1"/>
    <x v="1"/>
    <x v="2"/>
    <x v="0"/>
    <x v="0"/>
    <x v="2"/>
    <x v="3"/>
    <n v="413"/>
    <n v="486"/>
    <n v="820"/>
    <n v="60"/>
    <n v="1773"/>
    <n v="3904"/>
    <n v="486"/>
    <n v="820"/>
    <n v="60"/>
    <n v="1773"/>
    <n v="3904"/>
    <n v="0"/>
    <n v="1"/>
    <x v="0"/>
    <n v="-73"/>
    <x v="3"/>
  </r>
  <r>
    <x v="1452"/>
    <n v="50000"/>
    <x v="0"/>
    <x v="1"/>
    <x v="0"/>
    <x v="0"/>
    <n v="54"/>
    <x v="2"/>
    <x v="3"/>
    <x v="3"/>
    <x v="3"/>
    <x v="2"/>
    <x v="0"/>
    <x v="0"/>
    <n v="1583"/>
    <n v="2134"/>
    <n v="0"/>
    <n v="2025"/>
    <n v="0"/>
    <n v="1924"/>
    <n v="2134"/>
    <n v="0"/>
    <n v="2025"/>
    <n v="0"/>
    <n v="1924"/>
    <n v="0"/>
    <n v="0"/>
    <x v="1"/>
    <n v="-551"/>
    <x v="3"/>
  </r>
  <r>
    <x v="1453"/>
    <n v="20000"/>
    <x v="0"/>
    <x v="1"/>
    <x v="0"/>
    <x v="1"/>
    <n v="25"/>
    <x v="0"/>
    <x v="2"/>
    <x v="1"/>
    <x v="1"/>
    <x v="1"/>
    <x v="3"/>
    <x v="1"/>
    <n v="17384"/>
    <n v="13648"/>
    <n v="13924"/>
    <n v="15685"/>
    <n v="15292"/>
    <n v="17524"/>
    <n v="1500"/>
    <n v="1400"/>
    <n v="2000"/>
    <n v="0"/>
    <n v="2500"/>
    <n v="0"/>
    <n v="0"/>
    <x v="1"/>
    <n v="15884"/>
    <x v="0"/>
  </r>
  <r>
    <x v="1454"/>
    <n v="30000"/>
    <x v="0"/>
    <x v="1"/>
    <x v="0"/>
    <x v="1"/>
    <n v="26"/>
    <x v="0"/>
    <x v="2"/>
    <x v="1"/>
    <x v="1"/>
    <x v="1"/>
    <x v="1"/>
    <x v="2"/>
    <n v="33195"/>
    <n v="32705"/>
    <n v="32406"/>
    <n v="32167"/>
    <n v="31728"/>
    <n v="31061"/>
    <n v="1600"/>
    <n v="1500"/>
    <n v="1500"/>
    <n v="1300"/>
    <n v="1261"/>
    <n v="1003"/>
    <n v="0"/>
    <x v="1"/>
    <n v="31595"/>
    <x v="1"/>
  </r>
  <r>
    <x v="1455"/>
    <n v="20000"/>
    <x v="0"/>
    <x v="1"/>
    <x v="0"/>
    <x v="0"/>
    <n v="32"/>
    <x v="1"/>
    <x v="2"/>
    <x v="1"/>
    <x v="1"/>
    <x v="1"/>
    <x v="1"/>
    <x v="1"/>
    <n v="17104"/>
    <n v="18134"/>
    <n v="19123"/>
    <n v="19351"/>
    <n v="20411"/>
    <n v="19947"/>
    <n v="1613"/>
    <n v="1602"/>
    <n v="830"/>
    <n v="1512"/>
    <n v="0"/>
    <n v="545"/>
    <n v="0"/>
    <x v="1"/>
    <n v="15491"/>
    <x v="0"/>
  </r>
  <r>
    <x v="1456"/>
    <n v="50000"/>
    <x v="0"/>
    <x v="0"/>
    <x v="2"/>
    <x v="2"/>
    <n v="43"/>
    <x v="3"/>
    <x v="2"/>
    <x v="1"/>
    <x v="1"/>
    <x v="1"/>
    <x v="1"/>
    <x v="2"/>
    <n v="24443"/>
    <n v="24391"/>
    <n v="23595"/>
    <n v="22590"/>
    <n v="21788"/>
    <n v="21949"/>
    <n v="1800"/>
    <n v="1400"/>
    <n v="800"/>
    <n v="1000"/>
    <n v="900"/>
    <n v="900"/>
    <n v="0"/>
    <x v="1"/>
    <n v="22643"/>
    <x v="0"/>
  </r>
  <r>
    <x v="1457"/>
    <n v="500000"/>
    <x v="2"/>
    <x v="1"/>
    <x v="0"/>
    <x v="0"/>
    <n v="42"/>
    <x v="3"/>
    <x v="4"/>
    <x v="2"/>
    <x v="2"/>
    <x v="3"/>
    <x v="1"/>
    <x v="2"/>
    <n v="-984"/>
    <n v="3516"/>
    <n v="1924"/>
    <n v="1924"/>
    <n v="8924"/>
    <n v="6729"/>
    <n v="4500"/>
    <n v="0"/>
    <n v="0"/>
    <n v="7000"/>
    <n v="36"/>
    <n v="532"/>
    <n v="1"/>
    <x v="0"/>
    <n v="-5484"/>
    <x v="3"/>
  </r>
  <r>
    <x v="1458"/>
    <n v="90000"/>
    <x v="0"/>
    <x v="0"/>
    <x v="2"/>
    <x v="1"/>
    <n v="24"/>
    <x v="0"/>
    <x v="1"/>
    <x v="2"/>
    <x v="0"/>
    <x v="0"/>
    <x v="2"/>
    <x v="0"/>
    <n v="595"/>
    <n v="207"/>
    <n v="18189"/>
    <n v="557"/>
    <n v="0"/>
    <n v="0"/>
    <n v="207"/>
    <n v="18281"/>
    <n v="557"/>
    <n v="0"/>
    <n v="0"/>
    <n v="0"/>
    <n v="1"/>
    <x v="0"/>
    <n v="388"/>
    <x v="0"/>
  </r>
  <r>
    <x v="1459"/>
    <n v="10000"/>
    <x v="0"/>
    <x v="1"/>
    <x v="0"/>
    <x v="1"/>
    <n v="26"/>
    <x v="0"/>
    <x v="2"/>
    <x v="1"/>
    <x v="1"/>
    <x v="1"/>
    <x v="1"/>
    <x v="2"/>
    <n v="15147"/>
    <n v="6641"/>
    <n v="15318"/>
    <n v="8610"/>
    <n v="8790"/>
    <n v="8963"/>
    <n v="2234"/>
    <n v="1135"/>
    <n v="1086"/>
    <n v="319"/>
    <n v="319"/>
    <n v="180"/>
    <n v="0"/>
    <x v="1"/>
    <n v="12913"/>
    <x v="0"/>
  </r>
  <r>
    <x v="1460"/>
    <n v="50000"/>
    <x v="0"/>
    <x v="0"/>
    <x v="0"/>
    <x v="0"/>
    <n v="37"/>
    <x v="1"/>
    <x v="0"/>
    <x v="0"/>
    <x v="4"/>
    <x v="4"/>
    <x v="4"/>
    <x v="4"/>
    <n v="1050"/>
    <n v="1050"/>
    <n v="1050"/>
    <n v="1050"/>
    <n v="1050"/>
    <n v="1050"/>
    <n v="0"/>
    <n v="0"/>
    <n v="0"/>
    <n v="0"/>
    <n v="0"/>
    <n v="0"/>
    <n v="1"/>
    <x v="0"/>
    <n v="1050"/>
    <x v="0"/>
  </r>
  <r>
    <x v="1461"/>
    <n v="120000"/>
    <x v="1"/>
    <x v="1"/>
    <x v="1"/>
    <x v="1"/>
    <n v="36"/>
    <x v="1"/>
    <x v="2"/>
    <x v="1"/>
    <x v="2"/>
    <x v="1"/>
    <x v="1"/>
    <x v="1"/>
    <n v="24466"/>
    <n v="28255"/>
    <n v="27507"/>
    <n v="27952"/>
    <n v="31136"/>
    <n v="30486"/>
    <n v="4500"/>
    <n v="0"/>
    <n v="1200"/>
    <n v="3800"/>
    <n v="0"/>
    <n v="1500"/>
    <n v="0"/>
    <x v="1"/>
    <n v="19966"/>
    <x v="0"/>
  </r>
  <r>
    <x v="1462"/>
    <n v="200000"/>
    <x v="1"/>
    <x v="0"/>
    <x v="1"/>
    <x v="1"/>
    <n v="27"/>
    <x v="0"/>
    <x v="2"/>
    <x v="1"/>
    <x v="1"/>
    <x v="1"/>
    <x v="1"/>
    <x v="2"/>
    <n v="157607"/>
    <n v="155693"/>
    <n v="155290"/>
    <n v="147604"/>
    <n v="146719"/>
    <n v="143317"/>
    <n v="7194"/>
    <n v="6760"/>
    <n v="5018"/>
    <n v="5370"/>
    <n v="5294"/>
    <n v="5300"/>
    <n v="0"/>
    <x v="1"/>
    <n v="150413"/>
    <x v="2"/>
  </r>
  <r>
    <x v="1463"/>
    <n v="300000"/>
    <x v="1"/>
    <x v="0"/>
    <x v="0"/>
    <x v="0"/>
    <n v="50"/>
    <x v="2"/>
    <x v="1"/>
    <x v="2"/>
    <x v="0"/>
    <x v="1"/>
    <x v="1"/>
    <x v="2"/>
    <n v="8924"/>
    <n v="3131"/>
    <n v="117497"/>
    <n v="110680"/>
    <n v="104016"/>
    <n v="109839"/>
    <n v="3131"/>
    <n v="121715"/>
    <n v="4000"/>
    <n v="5000"/>
    <n v="9000"/>
    <n v="5000"/>
    <n v="0"/>
    <x v="1"/>
    <n v="5793"/>
    <x v="0"/>
  </r>
  <r>
    <x v="1464"/>
    <n v="90000"/>
    <x v="0"/>
    <x v="0"/>
    <x v="0"/>
    <x v="1"/>
    <n v="24"/>
    <x v="0"/>
    <x v="1"/>
    <x v="1"/>
    <x v="1"/>
    <x v="1"/>
    <x v="1"/>
    <x v="2"/>
    <n v="17524"/>
    <n v="22184"/>
    <n v="23270"/>
    <n v="27372"/>
    <n v="31905"/>
    <n v="34954"/>
    <n v="5000"/>
    <n v="5000"/>
    <n v="5000"/>
    <n v="5000"/>
    <n v="3600"/>
    <n v="2000"/>
    <n v="0"/>
    <x v="1"/>
    <n v="12524"/>
    <x v="0"/>
  </r>
  <r>
    <x v="1465"/>
    <n v="90000"/>
    <x v="0"/>
    <x v="1"/>
    <x v="0"/>
    <x v="0"/>
    <n v="27"/>
    <x v="0"/>
    <x v="2"/>
    <x v="1"/>
    <x v="1"/>
    <x v="1"/>
    <x v="1"/>
    <x v="2"/>
    <n v="70482"/>
    <n v="70591"/>
    <n v="64926"/>
    <n v="59949"/>
    <n v="54029"/>
    <n v="48170"/>
    <n v="2580"/>
    <n v="2337"/>
    <n v="1634"/>
    <n v="1606"/>
    <n v="1371"/>
    <n v="620"/>
    <n v="0"/>
    <x v="1"/>
    <n v="67902"/>
    <x v="1"/>
  </r>
  <r>
    <x v="1466"/>
    <n v="140000"/>
    <x v="1"/>
    <x v="0"/>
    <x v="1"/>
    <x v="1"/>
    <n v="23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467"/>
    <n v="180000"/>
    <x v="1"/>
    <x v="0"/>
    <x v="0"/>
    <x v="0"/>
    <n v="39"/>
    <x v="1"/>
    <x v="1"/>
    <x v="2"/>
    <x v="0"/>
    <x v="0"/>
    <x v="1"/>
    <x v="3"/>
    <n v="1081"/>
    <n v="148"/>
    <n v="148"/>
    <n v="296"/>
    <n v="148"/>
    <n v="148"/>
    <n v="148"/>
    <n v="148"/>
    <n v="296"/>
    <n v="0"/>
    <n v="148"/>
    <n v="1495"/>
    <n v="0"/>
    <x v="1"/>
    <n v="933"/>
    <x v="0"/>
  </r>
  <r>
    <x v="1468"/>
    <n v="360000"/>
    <x v="2"/>
    <x v="1"/>
    <x v="1"/>
    <x v="0"/>
    <n v="39"/>
    <x v="1"/>
    <x v="1"/>
    <x v="2"/>
    <x v="0"/>
    <x v="2"/>
    <x v="0"/>
    <x v="0"/>
    <n v="1761"/>
    <n v="2560"/>
    <n v="0"/>
    <n v="0"/>
    <n v="0"/>
    <n v="0"/>
    <n v="2816"/>
    <n v="0"/>
    <n v="0"/>
    <n v="0"/>
    <n v="0"/>
    <n v="2456"/>
    <n v="0"/>
    <x v="1"/>
    <n v="-1055"/>
    <x v="3"/>
  </r>
  <r>
    <x v="1469"/>
    <n v="160000"/>
    <x v="1"/>
    <x v="0"/>
    <x v="2"/>
    <x v="1"/>
    <n v="29"/>
    <x v="0"/>
    <x v="4"/>
    <x v="3"/>
    <x v="3"/>
    <x v="2"/>
    <x v="0"/>
    <x v="0"/>
    <n v="0"/>
    <n v="0"/>
    <n v="4150"/>
    <n v="2065"/>
    <n v="0"/>
    <n v="500"/>
    <n v="0"/>
    <n v="4150"/>
    <n v="2065"/>
    <n v="0"/>
    <n v="500"/>
    <n v="0"/>
    <n v="1"/>
    <x v="0"/>
    <n v="0"/>
    <x v="3"/>
  </r>
  <r>
    <x v="1470"/>
    <n v="100000"/>
    <x v="0"/>
    <x v="1"/>
    <x v="1"/>
    <x v="0"/>
    <n v="45"/>
    <x v="3"/>
    <x v="2"/>
    <x v="1"/>
    <x v="1"/>
    <x v="1"/>
    <x v="1"/>
    <x v="2"/>
    <n v="10529"/>
    <n v="12723"/>
    <n v="15807"/>
    <n v="18901"/>
    <n v="21794"/>
    <n v="25051"/>
    <n v="2688"/>
    <n v="3688"/>
    <n v="3288"/>
    <n v="3288"/>
    <n v="3688"/>
    <n v="0"/>
    <n v="0"/>
    <x v="1"/>
    <n v="7841"/>
    <x v="0"/>
  </r>
  <r>
    <x v="1471"/>
    <n v="20000"/>
    <x v="0"/>
    <x v="1"/>
    <x v="0"/>
    <x v="1"/>
    <n v="21"/>
    <x v="0"/>
    <x v="2"/>
    <x v="1"/>
    <x v="2"/>
    <x v="1"/>
    <x v="1"/>
    <x v="0"/>
    <n v="19277"/>
    <n v="20997"/>
    <n v="20200"/>
    <n v="20000"/>
    <n v="0"/>
    <n v="0"/>
    <n v="5000"/>
    <n v="0"/>
    <n v="0"/>
    <n v="0"/>
    <n v="0"/>
    <n v="0"/>
    <n v="1"/>
    <x v="0"/>
    <n v="14277"/>
    <x v="0"/>
  </r>
  <r>
    <x v="1472"/>
    <n v="360000"/>
    <x v="2"/>
    <x v="1"/>
    <x v="1"/>
    <x v="0"/>
    <n v="36"/>
    <x v="1"/>
    <x v="2"/>
    <x v="1"/>
    <x v="0"/>
    <x v="1"/>
    <x v="1"/>
    <x v="2"/>
    <n v="40434"/>
    <n v="13352"/>
    <n v="129978"/>
    <n v="150637"/>
    <n v="138969"/>
    <n v="132118"/>
    <n v="2000"/>
    <n v="129990"/>
    <n v="30000"/>
    <n v="25000"/>
    <n v="5000"/>
    <n v="3000"/>
    <n v="0"/>
    <x v="1"/>
    <n v="38434"/>
    <x v="1"/>
  </r>
  <r>
    <x v="1473"/>
    <n v="230000"/>
    <x v="1"/>
    <x v="1"/>
    <x v="0"/>
    <x v="1"/>
    <n v="39"/>
    <x v="1"/>
    <x v="1"/>
    <x v="2"/>
    <x v="0"/>
    <x v="0"/>
    <x v="2"/>
    <x v="3"/>
    <n v="326"/>
    <n v="326"/>
    <n v="326"/>
    <n v="326"/>
    <n v="326"/>
    <n v="326"/>
    <n v="652"/>
    <n v="326"/>
    <n v="326"/>
    <n v="326"/>
    <n v="326"/>
    <n v="326"/>
    <n v="0"/>
    <x v="1"/>
    <n v="-326"/>
    <x v="3"/>
  </r>
  <r>
    <x v="1474"/>
    <n v="110000"/>
    <x v="1"/>
    <x v="0"/>
    <x v="2"/>
    <x v="1"/>
    <n v="29"/>
    <x v="0"/>
    <x v="2"/>
    <x v="1"/>
    <x v="1"/>
    <x v="1"/>
    <x v="1"/>
    <x v="2"/>
    <n v="101006"/>
    <n v="104474"/>
    <n v="106332"/>
    <n v="106906"/>
    <n v="108952"/>
    <n v="110444"/>
    <n v="5300"/>
    <n v="5300"/>
    <n v="4000"/>
    <n v="4100"/>
    <n v="4631"/>
    <n v="4404"/>
    <n v="1"/>
    <x v="0"/>
    <n v="95706"/>
    <x v="1"/>
  </r>
  <r>
    <x v="1475"/>
    <n v="210000"/>
    <x v="1"/>
    <x v="1"/>
    <x v="0"/>
    <x v="1"/>
    <n v="37"/>
    <x v="1"/>
    <x v="2"/>
    <x v="1"/>
    <x v="1"/>
    <x v="1"/>
    <x v="1"/>
    <x v="2"/>
    <n v="142149"/>
    <n v="139025"/>
    <n v="50283"/>
    <n v="159231"/>
    <n v="155342"/>
    <n v="156769"/>
    <n v="6534"/>
    <n v="3069"/>
    <n v="110017"/>
    <n v="5496"/>
    <n v="6307"/>
    <n v="5376"/>
    <n v="0"/>
    <x v="1"/>
    <n v="135615"/>
    <x v="2"/>
  </r>
  <r>
    <x v="1476"/>
    <n v="200000"/>
    <x v="1"/>
    <x v="1"/>
    <x v="0"/>
    <x v="1"/>
    <n v="26"/>
    <x v="0"/>
    <x v="1"/>
    <x v="2"/>
    <x v="1"/>
    <x v="1"/>
    <x v="1"/>
    <x v="2"/>
    <n v="1747"/>
    <n v="11817"/>
    <n v="14225"/>
    <n v="16017"/>
    <n v="12613"/>
    <n v="6600"/>
    <n v="12957"/>
    <n v="3884"/>
    <n v="5010"/>
    <n v="700"/>
    <n v="360"/>
    <n v="1713"/>
    <n v="0"/>
    <x v="1"/>
    <n v="-11210"/>
    <x v="3"/>
  </r>
  <r>
    <x v="1477"/>
    <n v="50000"/>
    <x v="0"/>
    <x v="1"/>
    <x v="0"/>
    <x v="1"/>
    <n v="44"/>
    <x v="3"/>
    <x v="2"/>
    <x v="1"/>
    <x v="1"/>
    <x v="1"/>
    <x v="1"/>
    <x v="2"/>
    <n v="27560"/>
    <n v="19002"/>
    <n v="8542"/>
    <n v="8711"/>
    <n v="8893"/>
    <n v="9070"/>
    <n v="1159"/>
    <n v="1142"/>
    <n v="311"/>
    <n v="322"/>
    <n v="324"/>
    <n v="335"/>
    <n v="0"/>
    <x v="1"/>
    <n v="26401"/>
    <x v="1"/>
  </r>
  <r>
    <x v="1478"/>
    <n v="210000"/>
    <x v="1"/>
    <x v="0"/>
    <x v="1"/>
    <x v="1"/>
    <n v="30"/>
    <x v="1"/>
    <x v="4"/>
    <x v="3"/>
    <x v="3"/>
    <x v="2"/>
    <x v="2"/>
    <x v="3"/>
    <n v="0"/>
    <n v="0"/>
    <n v="0"/>
    <n v="0"/>
    <n v="49525"/>
    <n v="0"/>
    <n v="0"/>
    <n v="0"/>
    <n v="0"/>
    <n v="49525"/>
    <n v="0"/>
    <n v="0"/>
    <n v="1"/>
    <x v="0"/>
    <n v="0"/>
    <x v="3"/>
  </r>
  <r>
    <x v="1479"/>
    <n v="280000"/>
    <x v="1"/>
    <x v="1"/>
    <x v="1"/>
    <x v="1"/>
    <n v="31"/>
    <x v="1"/>
    <x v="4"/>
    <x v="3"/>
    <x v="0"/>
    <x v="1"/>
    <x v="2"/>
    <x v="3"/>
    <n v="-32"/>
    <n v="-32"/>
    <n v="4887"/>
    <n v="2067"/>
    <n v="6624"/>
    <n v="1489"/>
    <n v="0"/>
    <n v="4919"/>
    <n v="10"/>
    <n v="6657"/>
    <n v="1496"/>
    <n v="2244"/>
    <n v="0"/>
    <x v="1"/>
    <n v="-32"/>
    <x v="3"/>
  </r>
  <r>
    <x v="1480"/>
    <n v="500000"/>
    <x v="2"/>
    <x v="1"/>
    <x v="0"/>
    <x v="0"/>
    <n v="40"/>
    <x v="3"/>
    <x v="2"/>
    <x v="1"/>
    <x v="1"/>
    <x v="0"/>
    <x v="2"/>
    <x v="2"/>
    <n v="94585"/>
    <n v="61111"/>
    <n v="24801"/>
    <n v="6288"/>
    <n v="166251"/>
    <n v="162785"/>
    <n v="2659"/>
    <n v="2090"/>
    <n v="6333"/>
    <n v="178460"/>
    <n v="5506"/>
    <n v="6205"/>
    <n v="0"/>
    <x v="1"/>
    <n v="91926"/>
    <x v="1"/>
  </r>
  <r>
    <x v="1481"/>
    <n v="30000"/>
    <x v="0"/>
    <x v="0"/>
    <x v="1"/>
    <x v="1"/>
    <n v="25"/>
    <x v="0"/>
    <x v="2"/>
    <x v="1"/>
    <x v="1"/>
    <x v="1"/>
    <x v="1"/>
    <x v="0"/>
    <n v="3924"/>
    <n v="4972"/>
    <n v="5873"/>
    <n v="5993"/>
    <n v="0"/>
    <n v="0"/>
    <n v="1099"/>
    <n v="1000"/>
    <n v="120"/>
    <n v="0"/>
    <n v="0"/>
    <n v="0"/>
    <n v="0"/>
    <x v="1"/>
    <n v="2825"/>
    <x v="0"/>
  </r>
  <r>
    <x v="1482"/>
    <n v="340000"/>
    <x v="2"/>
    <x v="0"/>
    <x v="0"/>
    <x v="0"/>
    <n v="36"/>
    <x v="1"/>
    <x v="2"/>
    <x v="1"/>
    <x v="1"/>
    <x v="1"/>
    <x v="1"/>
    <x v="2"/>
    <n v="167474"/>
    <n v="155293"/>
    <n v="134467"/>
    <n v="129891"/>
    <n v="113919"/>
    <n v="106675"/>
    <n v="7106"/>
    <n v="4435"/>
    <n v="4091"/>
    <n v="3548"/>
    <n v="4535"/>
    <n v="4127"/>
    <n v="0"/>
    <x v="1"/>
    <n v="160368"/>
    <x v="2"/>
  </r>
  <r>
    <x v="1483"/>
    <n v="360000"/>
    <x v="2"/>
    <x v="1"/>
    <x v="1"/>
    <x v="1"/>
    <n v="32"/>
    <x v="1"/>
    <x v="1"/>
    <x v="2"/>
    <x v="0"/>
    <x v="0"/>
    <x v="2"/>
    <x v="3"/>
    <n v="389"/>
    <n v="389"/>
    <n v="1955"/>
    <n v="5316"/>
    <n v="2265"/>
    <n v="6594"/>
    <n v="389"/>
    <n v="1955"/>
    <n v="5316"/>
    <n v="2265"/>
    <n v="6594"/>
    <n v="2974"/>
    <n v="0"/>
    <x v="1"/>
    <n v="0"/>
    <x v="3"/>
  </r>
  <r>
    <x v="1484"/>
    <n v="70000"/>
    <x v="0"/>
    <x v="0"/>
    <x v="1"/>
    <x v="1"/>
    <n v="22"/>
    <x v="0"/>
    <x v="2"/>
    <x v="1"/>
    <x v="1"/>
    <x v="1"/>
    <x v="1"/>
    <x v="2"/>
    <n v="71358"/>
    <n v="70285"/>
    <n v="28867"/>
    <n v="29766"/>
    <n v="26522"/>
    <n v="27584"/>
    <n v="3280"/>
    <n v="1480"/>
    <n v="1360"/>
    <n v="960"/>
    <n v="1500"/>
    <n v="1000"/>
    <n v="0"/>
    <x v="1"/>
    <n v="68078"/>
    <x v="1"/>
  </r>
  <r>
    <x v="1485"/>
    <n v="20000"/>
    <x v="0"/>
    <x v="0"/>
    <x v="0"/>
    <x v="2"/>
    <n v="44"/>
    <x v="3"/>
    <x v="0"/>
    <x v="0"/>
    <x v="7"/>
    <x v="7"/>
    <x v="7"/>
    <x v="5"/>
    <n v="2400"/>
    <n v="2400"/>
    <n v="2400"/>
    <n v="2400"/>
    <n v="2400"/>
    <n v="1800"/>
    <n v="0"/>
    <n v="0"/>
    <n v="0"/>
    <n v="0"/>
    <n v="0"/>
    <n v="0"/>
    <n v="1"/>
    <x v="0"/>
    <n v="2400"/>
    <x v="0"/>
  </r>
  <r>
    <x v="1486"/>
    <n v="230000"/>
    <x v="1"/>
    <x v="1"/>
    <x v="1"/>
    <x v="1"/>
    <n v="32"/>
    <x v="1"/>
    <x v="2"/>
    <x v="1"/>
    <x v="1"/>
    <x v="1"/>
    <x v="1"/>
    <x v="2"/>
    <n v="44734"/>
    <n v="47178"/>
    <n v="29582"/>
    <n v="38426"/>
    <n v="42500"/>
    <n v="43531"/>
    <n v="10120"/>
    <n v="20000"/>
    <n v="10000"/>
    <n v="5000"/>
    <n v="5000"/>
    <n v="5000"/>
    <n v="0"/>
    <x v="1"/>
    <n v="34614"/>
    <x v="1"/>
  </r>
  <r>
    <x v="1487"/>
    <n v="60000"/>
    <x v="0"/>
    <x v="1"/>
    <x v="0"/>
    <x v="0"/>
    <n v="41"/>
    <x v="3"/>
    <x v="2"/>
    <x v="1"/>
    <x v="1"/>
    <x v="1"/>
    <x v="1"/>
    <x v="3"/>
    <n v="48979"/>
    <n v="41597"/>
    <n v="29347"/>
    <n v="19544"/>
    <n v="11989"/>
    <n v="9079"/>
    <n v="5070"/>
    <n v="1219"/>
    <n v="1007"/>
    <n v="8"/>
    <n v="9381"/>
    <n v="1156"/>
    <n v="0"/>
    <x v="1"/>
    <n v="43909"/>
    <x v="1"/>
  </r>
  <r>
    <x v="1488"/>
    <n v="50000"/>
    <x v="0"/>
    <x v="1"/>
    <x v="1"/>
    <x v="1"/>
    <n v="28"/>
    <x v="0"/>
    <x v="5"/>
    <x v="0"/>
    <x v="2"/>
    <x v="1"/>
    <x v="1"/>
    <x v="2"/>
    <n v="49828"/>
    <n v="50467"/>
    <n v="48964"/>
    <n v="49447"/>
    <n v="44067"/>
    <n v="44760"/>
    <n v="2121"/>
    <n v="0"/>
    <n v="2000"/>
    <n v="2000"/>
    <n v="2000"/>
    <n v="2000"/>
    <n v="1"/>
    <x v="0"/>
    <n v="47707"/>
    <x v="1"/>
  </r>
  <r>
    <x v="1489"/>
    <n v="50000"/>
    <x v="0"/>
    <x v="0"/>
    <x v="1"/>
    <x v="1"/>
    <n v="29"/>
    <x v="0"/>
    <x v="2"/>
    <x v="1"/>
    <x v="2"/>
    <x v="3"/>
    <x v="3"/>
    <x v="1"/>
    <n v="10532"/>
    <n v="13145"/>
    <n v="12637"/>
    <n v="13922"/>
    <n v="13556"/>
    <n v="14528"/>
    <n v="2800"/>
    <n v="0"/>
    <n v="1500"/>
    <n v="0"/>
    <n v="1200"/>
    <n v="0"/>
    <n v="1"/>
    <x v="0"/>
    <n v="7732"/>
    <x v="0"/>
  </r>
  <r>
    <x v="1490"/>
    <n v="130000"/>
    <x v="1"/>
    <x v="0"/>
    <x v="3"/>
    <x v="1"/>
    <n v="28"/>
    <x v="0"/>
    <x v="2"/>
    <x v="1"/>
    <x v="1"/>
    <x v="1"/>
    <x v="1"/>
    <x v="2"/>
    <n v="36108"/>
    <n v="34256"/>
    <n v="36357"/>
    <n v="37878"/>
    <n v="39489"/>
    <n v="41833"/>
    <n v="3000"/>
    <n v="3000"/>
    <n v="2500"/>
    <n v="3000"/>
    <n v="3000"/>
    <n v="2000"/>
    <n v="0"/>
    <x v="1"/>
    <n v="33108"/>
    <x v="1"/>
  </r>
  <r>
    <x v="1491"/>
    <n v="160000"/>
    <x v="1"/>
    <x v="1"/>
    <x v="2"/>
    <x v="1"/>
    <n v="52"/>
    <x v="2"/>
    <x v="2"/>
    <x v="1"/>
    <x v="1"/>
    <x v="1"/>
    <x v="1"/>
    <x v="2"/>
    <n v="155684"/>
    <n v="157364"/>
    <n v="156581"/>
    <n v="72814"/>
    <n v="66825"/>
    <n v="63419"/>
    <n v="6525"/>
    <n v="6649"/>
    <n v="2724"/>
    <n v="2503"/>
    <n v="2310"/>
    <n v="2200"/>
    <n v="0"/>
    <x v="1"/>
    <n v="149159"/>
    <x v="2"/>
  </r>
  <r>
    <x v="1492"/>
    <n v="60000"/>
    <x v="0"/>
    <x v="0"/>
    <x v="2"/>
    <x v="1"/>
    <n v="48"/>
    <x v="3"/>
    <x v="0"/>
    <x v="1"/>
    <x v="1"/>
    <x v="1"/>
    <x v="1"/>
    <x v="2"/>
    <n v="43533"/>
    <n v="39252"/>
    <n v="38051"/>
    <n v="37988"/>
    <n v="38725"/>
    <n v="39685"/>
    <n v="1700"/>
    <n v="1700"/>
    <n v="2000"/>
    <n v="1500"/>
    <n v="1600"/>
    <n v="1000"/>
    <n v="0"/>
    <x v="1"/>
    <n v="41833"/>
    <x v="1"/>
  </r>
  <r>
    <x v="1493"/>
    <n v="160000"/>
    <x v="1"/>
    <x v="1"/>
    <x v="0"/>
    <x v="1"/>
    <n v="43"/>
    <x v="3"/>
    <x v="1"/>
    <x v="2"/>
    <x v="1"/>
    <x v="1"/>
    <x v="1"/>
    <x v="3"/>
    <n v="12458"/>
    <n v="7146"/>
    <n v="11529"/>
    <n v="20860"/>
    <n v="0"/>
    <n v="780"/>
    <n v="7545"/>
    <n v="5000"/>
    <n v="10000"/>
    <n v="0"/>
    <n v="780"/>
    <n v="0"/>
    <n v="0"/>
    <x v="1"/>
    <n v="4913"/>
    <x v="0"/>
  </r>
  <r>
    <x v="1494"/>
    <n v="180000"/>
    <x v="1"/>
    <x v="0"/>
    <x v="1"/>
    <x v="1"/>
    <n v="25"/>
    <x v="0"/>
    <x v="2"/>
    <x v="2"/>
    <x v="0"/>
    <x v="1"/>
    <x v="2"/>
    <x v="2"/>
    <n v="23800"/>
    <n v="1246"/>
    <n v="3430"/>
    <n v="8430"/>
    <n v="92925"/>
    <n v="88283"/>
    <n v="1246"/>
    <n v="3430"/>
    <n v="5000"/>
    <n v="92925"/>
    <n v="5000"/>
    <n v="5000"/>
    <n v="0"/>
    <x v="1"/>
    <n v="22554"/>
    <x v="0"/>
  </r>
  <r>
    <x v="1495"/>
    <n v="170000"/>
    <x v="1"/>
    <x v="1"/>
    <x v="0"/>
    <x v="0"/>
    <n v="36"/>
    <x v="1"/>
    <x v="0"/>
    <x v="0"/>
    <x v="2"/>
    <x v="1"/>
    <x v="1"/>
    <x v="2"/>
    <n v="75960"/>
    <n v="64683"/>
    <n v="51184"/>
    <n v="37938"/>
    <n v="25292"/>
    <n v="12646"/>
    <n v="2000"/>
    <n v="0"/>
    <n v="0"/>
    <n v="0"/>
    <n v="0"/>
    <n v="173869"/>
    <n v="0"/>
    <x v="1"/>
    <n v="73960"/>
    <x v="1"/>
  </r>
  <r>
    <x v="1496"/>
    <n v="360000"/>
    <x v="2"/>
    <x v="0"/>
    <x v="0"/>
    <x v="1"/>
    <n v="35"/>
    <x v="1"/>
    <x v="0"/>
    <x v="0"/>
    <x v="2"/>
    <x v="1"/>
    <x v="1"/>
    <x v="2"/>
    <n v="360023"/>
    <n v="363239"/>
    <n v="350214"/>
    <n v="319960"/>
    <n v="260944"/>
    <n v="202686"/>
    <n v="14693"/>
    <n v="30"/>
    <n v="12302"/>
    <n v="10004"/>
    <n v="7506"/>
    <n v="19721"/>
    <n v="1"/>
    <x v="0"/>
    <n v="345330"/>
    <x v="2"/>
  </r>
  <r>
    <x v="1497"/>
    <n v="130000"/>
    <x v="1"/>
    <x v="0"/>
    <x v="0"/>
    <x v="0"/>
    <n v="34"/>
    <x v="1"/>
    <x v="2"/>
    <x v="1"/>
    <x v="1"/>
    <x v="3"/>
    <x v="1"/>
    <x v="2"/>
    <n v="59955"/>
    <n v="61252"/>
    <n v="65399"/>
    <n v="63800"/>
    <n v="65312"/>
    <n v="37838"/>
    <n v="2260"/>
    <n v="5203"/>
    <n v="0"/>
    <n v="2670"/>
    <n v="1342"/>
    <n v="1815"/>
    <n v="0"/>
    <x v="1"/>
    <n v="57695"/>
    <x v="1"/>
  </r>
  <r>
    <x v="1498"/>
    <n v="180000"/>
    <x v="1"/>
    <x v="0"/>
    <x v="0"/>
    <x v="1"/>
    <n v="48"/>
    <x v="3"/>
    <x v="4"/>
    <x v="2"/>
    <x v="0"/>
    <x v="0"/>
    <x v="2"/>
    <x v="3"/>
    <n v="2551"/>
    <n v="3044"/>
    <n v="3044"/>
    <n v="5283"/>
    <n v="1660"/>
    <n v="6671"/>
    <n v="3044"/>
    <n v="3044"/>
    <n v="5283"/>
    <n v="1660"/>
    <n v="6671"/>
    <n v="493"/>
    <n v="0"/>
    <x v="1"/>
    <n v="-493"/>
    <x v="3"/>
  </r>
  <r>
    <x v="1499"/>
    <n v="20000"/>
    <x v="0"/>
    <x v="1"/>
    <x v="1"/>
    <x v="1"/>
    <n v="27"/>
    <x v="0"/>
    <x v="4"/>
    <x v="0"/>
    <x v="0"/>
    <x v="0"/>
    <x v="1"/>
    <x v="2"/>
    <n v="6274"/>
    <n v="5971"/>
    <n v="3980"/>
    <n v="9040"/>
    <n v="9040"/>
    <n v="0"/>
    <n v="0"/>
    <n v="4000"/>
    <n v="9040"/>
    <n v="0"/>
    <n v="0"/>
    <n v="17291"/>
    <n v="0"/>
    <x v="1"/>
    <n v="6274"/>
    <x v="0"/>
  </r>
  <r>
    <x v="1500"/>
    <n v="230000"/>
    <x v="1"/>
    <x v="0"/>
    <x v="0"/>
    <x v="0"/>
    <n v="43"/>
    <x v="3"/>
    <x v="2"/>
    <x v="1"/>
    <x v="1"/>
    <x v="1"/>
    <x v="1"/>
    <x v="2"/>
    <n v="7806"/>
    <n v="8392"/>
    <n v="8967"/>
    <n v="8729"/>
    <n v="10816"/>
    <n v="15893"/>
    <n v="1295"/>
    <n v="1300"/>
    <n v="468"/>
    <n v="2816"/>
    <n v="5893"/>
    <n v="5977"/>
    <n v="0"/>
    <x v="1"/>
    <n v="6511"/>
    <x v="0"/>
  </r>
  <r>
    <x v="1501"/>
    <n v="220000"/>
    <x v="1"/>
    <x v="0"/>
    <x v="0"/>
    <x v="0"/>
    <n v="30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502"/>
    <n v="240000"/>
    <x v="1"/>
    <x v="1"/>
    <x v="0"/>
    <x v="0"/>
    <n v="43"/>
    <x v="3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503"/>
    <n v="50000"/>
    <x v="0"/>
    <x v="1"/>
    <x v="2"/>
    <x v="0"/>
    <n v="54"/>
    <x v="2"/>
    <x v="2"/>
    <x v="1"/>
    <x v="1"/>
    <x v="0"/>
    <x v="2"/>
    <x v="2"/>
    <n v="50356"/>
    <n v="48981"/>
    <n v="47942"/>
    <n v="1261"/>
    <n v="17147"/>
    <n v="16609"/>
    <n v="2000"/>
    <n v="1120"/>
    <n v="1300"/>
    <n v="17147"/>
    <n v="1000"/>
    <n v="1000"/>
    <n v="0"/>
    <x v="1"/>
    <n v="48356"/>
    <x v="1"/>
  </r>
  <r>
    <x v="1504"/>
    <n v="310000"/>
    <x v="2"/>
    <x v="0"/>
    <x v="0"/>
    <x v="0"/>
    <n v="39"/>
    <x v="1"/>
    <x v="2"/>
    <x v="1"/>
    <x v="1"/>
    <x v="1"/>
    <x v="1"/>
    <x v="2"/>
    <n v="7246"/>
    <n v="6713"/>
    <n v="9507"/>
    <n v="8894"/>
    <n v="7418"/>
    <n v="12154"/>
    <n v="1155"/>
    <n v="4507"/>
    <n v="1000"/>
    <n v="283"/>
    <n v="7482"/>
    <n v="2473"/>
    <n v="0"/>
    <x v="1"/>
    <n v="6091"/>
    <x v="0"/>
  </r>
  <r>
    <x v="1505"/>
    <n v="350000"/>
    <x v="2"/>
    <x v="1"/>
    <x v="1"/>
    <x v="0"/>
    <n v="70"/>
    <x v="2"/>
    <x v="2"/>
    <x v="1"/>
    <x v="1"/>
    <x v="1"/>
    <x v="1"/>
    <x v="2"/>
    <n v="100895"/>
    <n v="70244"/>
    <n v="64839"/>
    <n v="57583"/>
    <n v="45554"/>
    <n v="37063"/>
    <n v="3371"/>
    <n v="2089"/>
    <n v="3008"/>
    <n v="1300"/>
    <n v="1500"/>
    <n v="1372"/>
    <n v="0"/>
    <x v="1"/>
    <n v="97524"/>
    <x v="1"/>
  </r>
  <r>
    <x v="1506"/>
    <n v="50000"/>
    <x v="0"/>
    <x v="0"/>
    <x v="1"/>
    <x v="1"/>
    <n v="24"/>
    <x v="0"/>
    <x v="1"/>
    <x v="2"/>
    <x v="0"/>
    <x v="0"/>
    <x v="2"/>
    <x v="3"/>
    <n v="629"/>
    <n v="351"/>
    <n v="784"/>
    <n v="696"/>
    <n v="800"/>
    <n v="341"/>
    <n v="351"/>
    <n v="789"/>
    <n v="699"/>
    <n v="910"/>
    <n v="341"/>
    <n v="210"/>
    <n v="0"/>
    <x v="1"/>
    <n v="278"/>
    <x v="0"/>
  </r>
  <r>
    <x v="1507"/>
    <n v="200000"/>
    <x v="1"/>
    <x v="0"/>
    <x v="0"/>
    <x v="0"/>
    <n v="30"/>
    <x v="1"/>
    <x v="4"/>
    <x v="3"/>
    <x v="0"/>
    <x v="1"/>
    <x v="1"/>
    <x v="2"/>
    <n v="26223"/>
    <n v="-137"/>
    <n v="73284"/>
    <n v="65428"/>
    <n v="65820"/>
    <n v="2859"/>
    <n v="0"/>
    <n v="73421"/>
    <n v="1309"/>
    <n v="392"/>
    <n v="2859"/>
    <n v="1250"/>
    <n v="0"/>
    <x v="1"/>
    <n v="26223"/>
    <x v="1"/>
  </r>
  <r>
    <x v="1508"/>
    <n v="480000"/>
    <x v="2"/>
    <x v="1"/>
    <x v="2"/>
    <x v="1"/>
    <n v="53"/>
    <x v="2"/>
    <x v="2"/>
    <x v="1"/>
    <x v="1"/>
    <x v="1"/>
    <x v="1"/>
    <x v="2"/>
    <n v="482250"/>
    <n v="475931"/>
    <n v="429037"/>
    <n v="383821"/>
    <n v="369920"/>
    <n v="699944"/>
    <n v="18093"/>
    <n v="15233"/>
    <n v="12597"/>
    <n v="15098"/>
    <n v="14155"/>
    <n v="20306"/>
    <n v="0"/>
    <x v="1"/>
    <n v="464157"/>
    <x v="2"/>
  </r>
  <r>
    <x v="1509"/>
    <n v="180000"/>
    <x v="1"/>
    <x v="0"/>
    <x v="1"/>
    <x v="0"/>
    <n v="27"/>
    <x v="0"/>
    <x v="0"/>
    <x v="0"/>
    <x v="2"/>
    <x v="3"/>
    <x v="3"/>
    <x v="2"/>
    <n v="81044"/>
    <n v="78403"/>
    <n v="58083"/>
    <n v="58244"/>
    <n v="56041"/>
    <n v="50816"/>
    <n v="2600"/>
    <n v="0"/>
    <n v="4700"/>
    <n v="0"/>
    <n v="2500"/>
    <n v="1092"/>
    <n v="1"/>
    <x v="0"/>
    <n v="78444"/>
    <x v="1"/>
  </r>
  <r>
    <x v="1510"/>
    <n v="200000"/>
    <x v="1"/>
    <x v="0"/>
    <x v="0"/>
    <x v="1"/>
    <n v="33"/>
    <x v="1"/>
    <x v="2"/>
    <x v="1"/>
    <x v="1"/>
    <x v="1"/>
    <x v="1"/>
    <x v="2"/>
    <n v="184676"/>
    <n v="178491"/>
    <n v="169860"/>
    <n v="165713"/>
    <n v="168199"/>
    <n v="160769"/>
    <n v="7900"/>
    <n v="6112"/>
    <n v="6000"/>
    <n v="6000"/>
    <n v="5838"/>
    <n v="5900"/>
    <n v="0"/>
    <x v="1"/>
    <n v="176776"/>
    <x v="2"/>
  </r>
  <r>
    <x v="1511"/>
    <n v="20000"/>
    <x v="0"/>
    <x v="1"/>
    <x v="2"/>
    <x v="0"/>
    <n v="34"/>
    <x v="1"/>
    <x v="0"/>
    <x v="1"/>
    <x v="1"/>
    <x v="1"/>
    <x v="1"/>
    <x v="2"/>
    <n v="15736"/>
    <n v="16762"/>
    <n v="17774"/>
    <n v="18125"/>
    <n v="18507"/>
    <n v="19063"/>
    <n v="1284"/>
    <n v="1296"/>
    <n v="647"/>
    <n v="672"/>
    <n v="864"/>
    <n v="1506"/>
    <n v="0"/>
    <x v="1"/>
    <n v="14452"/>
    <x v="0"/>
  </r>
  <r>
    <x v="1512"/>
    <n v="50000"/>
    <x v="0"/>
    <x v="1"/>
    <x v="0"/>
    <x v="1"/>
    <n v="48"/>
    <x v="3"/>
    <x v="2"/>
    <x v="1"/>
    <x v="1"/>
    <x v="0"/>
    <x v="1"/>
    <x v="2"/>
    <n v="51631"/>
    <n v="45223"/>
    <n v="45461"/>
    <n v="18354"/>
    <n v="19118"/>
    <n v="19404"/>
    <n v="1800"/>
    <n v="1005"/>
    <n v="19763"/>
    <n v="1000"/>
    <n v="1000"/>
    <n v="1000"/>
    <n v="0"/>
    <x v="1"/>
    <n v="49831"/>
    <x v="1"/>
  </r>
  <r>
    <x v="1513"/>
    <n v="210000"/>
    <x v="1"/>
    <x v="0"/>
    <x v="2"/>
    <x v="1"/>
    <n v="33"/>
    <x v="1"/>
    <x v="4"/>
    <x v="3"/>
    <x v="0"/>
    <x v="0"/>
    <x v="2"/>
    <x v="3"/>
    <n v="0"/>
    <n v="0"/>
    <n v="3104"/>
    <n v="4056"/>
    <n v="565"/>
    <n v="960"/>
    <n v="0"/>
    <n v="3104"/>
    <n v="4056"/>
    <n v="565"/>
    <n v="960"/>
    <n v="1958"/>
    <n v="1"/>
    <x v="0"/>
    <n v="0"/>
    <x v="3"/>
  </r>
  <r>
    <x v="1514"/>
    <n v="20000"/>
    <x v="0"/>
    <x v="0"/>
    <x v="0"/>
    <x v="1"/>
    <n v="24"/>
    <x v="0"/>
    <x v="2"/>
    <x v="1"/>
    <x v="1"/>
    <x v="1"/>
    <x v="1"/>
    <x v="2"/>
    <n v="19433"/>
    <n v="20508"/>
    <n v="19662"/>
    <n v="20001"/>
    <n v="16448"/>
    <n v="16774"/>
    <n v="1700"/>
    <n v="1300"/>
    <n v="600"/>
    <n v="600"/>
    <n v="600"/>
    <n v="622"/>
    <n v="0"/>
    <x v="1"/>
    <n v="17733"/>
    <x v="0"/>
  </r>
  <r>
    <x v="1515"/>
    <n v="150000"/>
    <x v="1"/>
    <x v="0"/>
    <x v="0"/>
    <x v="0"/>
    <n v="31"/>
    <x v="1"/>
    <x v="4"/>
    <x v="3"/>
    <x v="0"/>
    <x v="0"/>
    <x v="2"/>
    <x v="0"/>
    <n v="6526"/>
    <n v="779"/>
    <n v="8927"/>
    <n v="8660"/>
    <n v="692"/>
    <n v="0"/>
    <n v="783"/>
    <n v="9098"/>
    <n v="8660"/>
    <n v="698"/>
    <n v="0"/>
    <n v="0"/>
    <n v="0"/>
    <x v="1"/>
    <n v="5743"/>
    <x v="0"/>
  </r>
  <r>
    <x v="1516"/>
    <n v="50000"/>
    <x v="0"/>
    <x v="0"/>
    <x v="0"/>
    <x v="1"/>
    <n v="25"/>
    <x v="0"/>
    <x v="2"/>
    <x v="1"/>
    <x v="1"/>
    <x v="0"/>
    <x v="2"/>
    <x v="1"/>
    <n v="46528"/>
    <n v="47456"/>
    <n v="36251"/>
    <n v="438"/>
    <n v="43367"/>
    <n v="44305"/>
    <n v="1794"/>
    <n v="1021"/>
    <n v="438"/>
    <n v="43367"/>
    <n v="1800"/>
    <n v="0"/>
    <n v="0"/>
    <x v="1"/>
    <n v="44734"/>
    <x v="1"/>
  </r>
  <r>
    <x v="1517"/>
    <n v="190000"/>
    <x v="1"/>
    <x v="1"/>
    <x v="2"/>
    <x v="0"/>
    <n v="49"/>
    <x v="3"/>
    <x v="0"/>
    <x v="0"/>
    <x v="2"/>
    <x v="3"/>
    <x v="3"/>
    <x v="1"/>
    <n v="178367"/>
    <n v="179062"/>
    <n v="177663"/>
    <n v="180312"/>
    <n v="185910"/>
    <n v="191895"/>
    <n v="5000"/>
    <n v="3000"/>
    <n v="7100"/>
    <n v="8700"/>
    <n v="9300"/>
    <n v="9500"/>
    <n v="1"/>
    <x v="0"/>
    <n v="173367"/>
    <x v="2"/>
  </r>
  <r>
    <x v="1518"/>
    <n v="290000"/>
    <x v="1"/>
    <x v="0"/>
    <x v="1"/>
    <x v="1"/>
    <n v="27"/>
    <x v="0"/>
    <x v="0"/>
    <x v="1"/>
    <x v="1"/>
    <x v="1"/>
    <x v="3"/>
    <x v="1"/>
    <n v="232523"/>
    <n v="243753"/>
    <n v="253145"/>
    <n v="267412"/>
    <n v="273095"/>
    <n v="278260"/>
    <n v="16500"/>
    <n v="15000"/>
    <n v="20000"/>
    <n v="10000"/>
    <n v="9701"/>
    <n v="0"/>
    <n v="0"/>
    <x v="1"/>
    <n v="216023"/>
    <x v="2"/>
  </r>
  <r>
    <x v="1519"/>
    <n v="420000"/>
    <x v="2"/>
    <x v="1"/>
    <x v="0"/>
    <x v="0"/>
    <n v="39"/>
    <x v="1"/>
    <x v="2"/>
    <x v="1"/>
    <x v="1"/>
    <x v="1"/>
    <x v="1"/>
    <x v="2"/>
    <n v="171141"/>
    <n v="118103"/>
    <n v="119543"/>
    <n v="122851"/>
    <n v="126007"/>
    <n v="129144"/>
    <n v="5700"/>
    <n v="4600"/>
    <n v="5000"/>
    <n v="5000"/>
    <n v="5000"/>
    <n v="4700"/>
    <n v="0"/>
    <x v="1"/>
    <n v="165441"/>
    <x v="2"/>
  </r>
  <r>
    <x v="1520"/>
    <n v="340000"/>
    <x v="2"/>
    <x v="0"/>
    <x v="0"/>
    <x v="1"/>
    <n v="36"/>
    <x v="1"/>
    <x v="0"/>
    <x v="1"/>
    <x v="1"/>
    <x v="1"/>
    <x v="1"/>
    <x v="2"/>
    <n v="337981"/>
    <n v="344920"/>
    <n v="18921"/>
    <n v="21205"/>
    <n v="19810"/>
    <n v="13586"/>
    <n v="17181"/>
    <n v="2000"/>
    <n v="10000"/>
    <n v="5000"/>
    <n v="3000"/>
    <n v="1000"/>
    <n v="0"/>
    <x v="1"/>
    <n v="320800"/>
    <x v="2"/>
  </r>
  <r>
    <x v="1521"/>
    <n v="60000"/>
    <x v="0"/>
    <x v="1"/>
    <x v="0"/>
    <x v="1"/>
    <n v="40"/>
    <x v="3"/>
    <x v="5"/>
    <x v="4"/>
    <x v="9"/>
    <x v="5"/>
    <x v="4"/>
    <x v="1"/>
    <n v="9744"/>
    <n v="10940"/>
    <n v="10630"/>
    <n v="10320"/>
    <n v="9865"/>
    <n v="10055"/>
    <n v="1500"/>
    <n v="0"/>
    <n v="0"/>
    <n v="0"/>
    <n v="500"/>
    <n v="0"/>
    <n v="0"/>
    <x v="1"/>
    <n v="8244"/>
    <x v="0"/>
  </r>
  <r>
    <x v="1522"/>
    <n v="90000"/>
    <x v="0"/>
    <x v="0"/>
    <x v="1"/>
    <x v="1"/>
    <n v="27"/>
    <x v="0"/>
    <x v="2"/>
    <x v="1"/>
    <x v="1"/>
    <x v="1"/>
    <x v="1"/>
    <x v="2"/>
    <n v="81111"/>
    <n v="83081"/>
    <n v="60210"/>
    <n v="61221"/>
    <n v="62636"/>
    <n v="54261"/>
    <n v="3500"/>
    <n v="3000"/>
    <n v="2600"/>
    <n v="2600"/>
    <n v="3000"/>
    <n v="1500"/>
    <n v="0"/>
    <x v="1"/>
    <n v="77611"/>
    <x v="1"/>
  </r>
  <r>
    <x v="1523"/>
    <n v="30000"/>
    <x v="0"/>
    <x v="0"/>
    <x v="1"/>
    <x v="1"/>
    <n v="27"/>
    <x v="0"/>
    <x v="0"/>
    <x v="0"/>
    <x v="2"/>
    <x v="3"/>
    <x v="3"/>
    <x v="1"/>
    <n v="28207"/>
    <n v="29261"/>
    <n v="28497"/>
    <n v="29862"/>
    <n v="43148"/>
    <n v="30603"/>
    <n v="1800"/>
    <n v="0"/>
    <n v="2150"/>
    <n v="900"/>
    <n v="3776"/>
    <n v="0"/>
    <n v="1"/>
    <x v="0"/>
    <n v="26407"/>
    <x v="1"/>
  </r>
  <r>
    <x v="1524"/>
    <n v="160000"/>
    <x v="1"/>
    <x v="0"/>
    <x v="0"/>
    <x v="0"/>
    <n v="37"/>
    <x v="1"/>
    <x v="1"/>
    <x v="2"/>
    <x v="3"/>
    <x v="0"/>
    <x v="2"/>
    <x v="0"/>
    <n v="1988"/>
    <n v="0"/>
    <n v="0"/>
    <n v="1188"/>
    <n v="0"/>
    <n v="0"/>
    <n v="0"/>
    <n v="0"/>
    <n v="1188"/>
    <n v="0"/>
    <n v="0"/>
    <n v="1935"/>
    <n v="0"/>
    <x v="1"/>
    <n v="1988"/>
    <x v="0"/>
  </r>
  <r>
    <x v="1525"/>
    <n v="20000"/>
    <x v="0"/>
    <x v="1"/>
    <x v="0"/>
    <x v="1"/>
    <n v="35"/>
    <x v="1"/>
    <x v="1"/>
    <x v="0"/>
    <x v="2"/>
    <x v="3"/>
    <x v="3"/>
    <x v="1"/>
    <n v="11916"/>
    <n v="11434"/>
    <n v="13433"/>
    <n v="13398"/>
    <n v="13040"/>
    <n v="14518"/>
    <n v="0"/>
    <n v="2200"/>
    <n v="480"/>
    <n v="0"/>
    <n v="1702"/>
    <n v="200"/>
    <n v="0"/>
    <x v="1"/>
    <n v="11916"/>
    <x v="0"/>
  </r>
  <r>
    <x v="1526"/>
    <n v="90000"/>
    <x v="0"/>
    <x v="0"/>
    <x v="0"/>
    <x v="0"/>
    <n v="25"/>
    <x v="0"/>
    <x v="2"/>
    <x v="1"/>
    <x v="1"/>
    <x v="1"/>
    <x v="1"/>
    <x v="2"/>
    <n v="87525"/>
    <n v="89052"/>
    <n v="85807"/>
    <n v="68186"/>
    <n v="69011"/>
    <n v="70341"/>
    <n v="4200"/>
    <n v="3000"/>
    <n v="3000"/>
    <n v="3000"/>
    <n v="2600"/>
    <n v="3000"/>
    <n v="1"/>
    <x v="0"/>
    <n v="83325"/>
    <x v="1"/>
  </r>
  <r>
    <x v="1527"/>
    <n v="120000"/>
    <x v="1"/>
    <x v="1"/>
    <x v="1"/>
    <x v="1"/>
    <n v="27"/>
    <x v="0"/>
    <x v="2"/>
    <x v="1"/>
    <x v="1"/>
    <x v="1"/>
    <x v="1"/>
    <x v="2"/>
    <n v="20874"/>
    <n v="21930"/>
    <n v="22165"/>
    <n v="20502"/>
    <n v="19030"/>
    <n v="15119"/>
    <n v="1700"/>
    <n v="1500"/>
    <n v="700"/>
    <n v="1000"/>
    <n v="1000"/>
    <n v="1000"/>
    <n v="0"/>
    <x v="1"/>
    <n v="19174"/>
    <x v="0"/>
  </r>
  <r>
    <x v="1528"/>
    <n v="120000"/>
    <x v="1"/>
    <x v="1"/>
    <x v="1"/>
    <x v="1"/>
    <n v="38"/>
    <x v="1"/>
    <x v="4"/>
    <x v="3"/>
    <x v="3"/>
    <x v="2"/>
    <x v="0"/>
    <x v="0"/>
    <n v="-284"/>
    <n v="-610"/>
    <n v="-936"/>
    <n v="-1262"/>
    <n v="-1588"/>
    <n v="-1914"/>
    <n v="0"/>
    <n v="0"/>
    <n v="0"/>
    <n v="0"/>
    <n v="0"/>
    <n v="0"/>
    <n v="0"/>
    <x v="1"/>
    <n v="-284"/>
    <x v="3"/>
  </r>
  <r>
    <x v="1529"/>
    <n v="360000"/>
    <x v="2"/>
    <x v="0"/>
    <x v="0"/>
    <x v="0"/>
    <n v="50"/>
    <x v="2"/>
    <x v="1"/>
    <x v="2"/>
    <x v="0"/>
    <x v="0"/>
    <x v="2"/>
    <x v="3"/>
    <n v="147"/>
    <n v="686"/>
    <n v="6037"/>
    <n v="1560"/>
    <n v="0"/>
    <n v="275"/>
    <n v="686"/>
    <n v="6041"/>
    <n v="1560"/>
    <n v="0"/>
    <n v="275"/>
    <n v="0"/>
    <n v="0"/>
    <x v="1"/>
    <n v="-539"/>
    <x v="3"/>
  </r>
  <r>
    <x v="1530"/>
    <n v="160000"/>
    <x v="1"/>
    <x v="0"/>
    <x v="1"/>
    <x v="1"/>
    <n v="32"/>
    <x v="1"/>
    <x v="3"/>
    <x v="3"/>
    <x v="3"/>
    <x v="2"/>
    <x v="0"/>
    <x v="0"/>
    <n v="16922"/>
    <n v="2552"/>
    <n v="0"/>
    <n v="0"/>
    <n v="0"/>
    <n v="0"/>
    <n v="2555"/>
    <n v="0"/>
    <n v="0"/>
    <n v="0"/>
    <n v="0"/>
    <n v="0"/>
    <n v="0"/>
    <x v="1"/>
    <n v="14367"/>
    <x v="0"/>
  </r>
  <r>
    <x v="1531"/>
    <n v="320000"/>
    <x v="2"/>
    <x v="0"/>
    <x v="1"/>
    <x v="0"/>
    <n v="34"/>
    <x v="1"/>
    <x v="3"/>
    <x v="2"/>
    <x v="1"/>
    <x v="0"/>
    <x v="2"/>
    <x v="3"/>
    <n v="65083"/>
    <n v="23750"/>
    <n v="22381"/>
    <n v="14685"/>
    <n v="7511"/>
    <n v="6722"/>
    <n v="23750"/>
    <n v="10162"/>
    <n v="14702"/>
    <n v="7511"/>
    <n v="6722"/>
    <n v="10000"/>
    <n v="0"/>
    <x v="1"/>
    <n v="41333"/>
    <x v="1"/>
  </r>
  <r>
    <x v="1532"/>
    <n v="20000"/>
    <x v="0"/>
    <x v="1"/>
    <x v="0"/>
    <x v="1"/>
    <n v="25"/>
    <x v="0"/>
    <x v="2"/>
    <x v="1"/>
    <x v="2"/>
    <x v="3"/>
    <x v="6"/>
    <x v="4"/>
    <n v="16508"/>
    <n v="19638"/>
    <n v="19030"/>
    <n v="22033"/>
    <n v="21109"/>
    <n v="20474"/>
    <n v="3400"/>
    <n v="0"/>
    <n v="3633"/>
    <n v="0"/>
    <n v="0"/>
    <n v="0"/>
    <n v="0"/>
    <x v="1"/>
    <n v="13108"/>
    <x v="0"/>
  </r>
  <r>
    <x v="1533"/>
    <n v="230000"/>
    <x v="1"/>
    <x v="0"/>
    <x v="1"/>
    <x v="1"/>
    <n v="29"/>
    <x v="0"/>
    <x v="2"/>
    <x v="1"/>
    <x v="1"/>
    <x v="1"/>
    <x v="1"/>
    <x v="2"/>
    <n v="63184"/>
    <n v="64667"/>
    <n v="65888"/>
    <n v="66645"/>
    <n v="67865"/>
    <n v="69231"/>
    <n v="3100"/>
    <n v="3000"/>
    <n v="2300"/>
    <n v="2300"/>
    <n v="2500"/>
    <n v="2300"/>
    <n v="0"/>
    <x v="1"/>
    <n v="60084"/>
    <x v="1"/>
  </r>
  <r>
    <x v="1534"/>
    <n v="50000"/>
    <x v="0"/>
    <x v="1"/>
    <x v="2"/>
    <x v="0"/>
    <n v="44"/>
    <x v="3"/>
    <x v="2"/>
    <x v="1"/>
    <x v="1"/>
    <x v="1"/>
    <x v="1"/>
    <x v="2"/>
    <n v="15931"/>
    <n v="17363"/>
    <n v="18735"/>
    <n v="19188"/>
    <n v="17578"/>
    <n v="16855"/>
    <n v="2000"/>
    <n v="2000"/>
    <n v="1006"/>
    <n v="1003"/>
    <n v="1000"/>
    <n v="1000"/>
    <n v="0"/>
    <x v="1"/>
    <n v="13931"/>
    <x v="0"/>
  </r>
  <r>
    <x v="1535"/>
    <n v="50000"/>
    <x v="0"/>
    <x v="1"/>
    <x v="2"/>
    <x v="0"/>
    <n v="48"/>
    <x v="3"/>
    <x v="1"/>
    <x v="2"/>
    <x v="1"/>
    <x v="1"/>
    <x v="1"/>
    <x v="2"/>
    <n v="2722"/>
    <n v="33868"/>
    <n v="26646"/>
    <n v="26832"/>
    <n v="27395"/>
    <n v="27940"/>
    <n v="33895"/>
    <n v="1439"/>
    <n v="959"/>
    <n v="994"/>
    <n v="1000"/>
    <n v="1013"/>
    <n v="0"/>
    <x v="1"/>
    <n v="-31173"/>
    <x v="3"/>
  </r>
  <r>
    <x v="1536"/>
    <n v="40000"/>
    <x v="0"/>
    <x v="0"/>
    <x v="2"/>
    <x v="1"/>
    <n v="24"/>
    <x v="0"/>
    <x v="1"/>
    <x v="0"/>
    <x v="0"/>
    <x v="0"/>
    <x v="1"/>
    <x v="2"/>
    <n v="5496"/>
    <n v="698"/>
    <n v="400"/>
    <n v="25289"/>
    <n v="24435"/>
    <n v="2201"/>
    <n v="0"/>
    <n v="400"/>
    <n v="25289"/>
    <n v="0"/>
    <n v="0"/>
    <n v="1329"/>
    <n v="0"/>
    <x v="1"/>
    <n v="5496"/>
    <x v="0"/>
  </r>
  <r>
    <x v="1537"/>
    <n v="120000"/>
    <x v="1"/>
    <x v="0"/>
    <x v="2"/>
    <x v="0"/>
    <n v="27"/>
    <x v="0"/>
    <x v="0"/>
    <x v="2"/>
    <x v="0"/>
    <x v="0"/>
    <x v="3"/>
    <x v="3"/>
    <n v="390"/>
    <n v="390"/>
    <n v="390"/>
    <n v="780"/>
    <n v="240"/>
    <n v="630"/>
    <n v="390"/>
    <n v="390"/>
    <n v="780"/>
    <n v="0"/>
    <n v="930"/>
    <n v="300"/>
    <n v="0"/>
    <x v="1"/>
    <n v="0"/>
    <x v="3"/>
  </r>
  <r>
    <x v="1538"/>
    <n v="130000"/>
    <x v="1"/>
    <x v="0"/>
    <x v="0"/>
    <x v="1"/>
    <n v="25"/>
    <x v="0"/>
    <x v="1"/>
    <x v="2"/>
    <x v="0"/>
    <x v="0"/>
    <x v="2"/>
    <x v="3"/>
    <n v="1031"/>
    <n v="1583"/>
    <n v="776"/>
    <n v="776"/>
    <n v="776"/>
    <n v="776"/>
    <n v="1583"/>
    <n v="1000"/>
    <n v="776"/>
    <n v="776"/>
    <n v="776"/>
    <n v="12184"/>
    <n v="1"/>
    <x v="0"/>
    <n v="-552"/>
    <x v="3"/>
  </r>
  <r>
    <x v="1539"/>
    <n v="110000"/>
    <x v="1"/>
    <x v="0"/>
    <x v="2"/>
    <x v="1"/>
    <n v="28"/>
    <x v="0"/>
    <x v="2"/>
    <x v="1"/>
    <x v="2"/>
    <x v="3"/>
    <x v="1"/>
    <x v="2"/>
    <n v="85918"/>
    <n v="87442"/>
    <n v="82975"/>
    <n v="80446"/>
    <n v="80006"/>
    <n v="80421"/>
    <n v="4000"/>
    <n v="6000"/>
    <n v="12"/>
    <n v="3100"/>
    <n v="3200"/>
    <n v="3000"/>
    <n v="0"/>
    <x v="1"/>
    <n v="81918"/>
    <x v="1"/>
  </r>
  <r>
    <x v="1540"/>
    <n v="20000"/>
    <x v="0"/>
    <x v="1"/>
    <x v="0"/>
    <x v="1"/>
    <n v="22"/>
    <x v="0"/>
    <x v="4"/>
    <x v="0"/>
    <x v="1"/>
    <x v="1"/>
    <x v="1"/>
    <x v="2"/>
    <n v="8222"/>
    <n v="7948"/>
    <n v="8958"/>
    <n v="9456"/>
    <n v="10150"/>
    <n v="10727"/>
    <n v="0"/>
    <n v="1300"/>
    <n v="800"/>
    <n v="1000"/>
    <n v="900"/>
    <n v="2130"/>
    <n v="1"/>
    <x v="0"/>
    <n v="8222"/>
    <x v="0"/>
  </r>
  <r>
    <x v="1541"/>
    <n v="50000"/>
    <x v="0"/>
    <x v="1"/>
    <x v="2"/>
    <x v="1"/>
    <n v="22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542"/>
    <n v="120000"/>
    <x v="1"/>
    <x v="0"/>
    <x v="2"/>
    <x v="0"/>
    <n v="30"/>
    <x v="1"/>
    <x v="2"/>
    <x v="1"/>
    <x v="1"/>
    <x v="1"/>
    <x v="1"/>
    <x v="2"/>
    <n v="115583"/>
    <n v="114915"/>
    <n v="117220"/>
    <n v="119599"/>
    <n v="120888"/>
    <n v="117881"/>
    <n v="4178"/>
    <n v="4223"/>
    <n v="4296"/>
    <n v="4800"/>
    <n v="4423"/>
    <n v="4080"/>
    <n v="0"/>
    <x v="1"/>
    <n v="111405"/>
    <x v="2"/>
  </r>
  <r>
    <x v="1543"/>
    <n v="50000"/>
    <x v="0"/>
    <x v="1"/>
    <x v="2"/>
    <x v="1"/>
    <n v="34"/>
    <x v="1"/>
    <x v="2"/>
    <x v="1"/>
    <x v="1"/>
    <x v="2"/>
    <x v="0"/>
    <x v="0"/>
    <n v="50375"/>
    <n v="51400"/>
    <n v="0"/>
    <n v="0"/>
    <n v="0"/>
    <n v="0"/>
    <n v="2400"/>
    <n v="0"/>
    <n v="0"/>
    <n v="0"/>
    <n v="0"/>
    <n v="0"/>
    <n v="0"/>
    <x v="1"/>
    <n v="47975"/>
    <x v="1"/>
  </r>
  <r>
    <x v="1544"/>
    <n v="360000"/>
    <x v="2"/>
    <x v="0"/>
    <x v="0"/>
    <x v="1"/>
    <n v="34"/>
    <x v="1"/>
    <x v="4"/>
    <x v="3"/>
    <x v="3"/>
    <x v="0"/>
    <x v="2"/>
    <x v="0"/>
    <n v="0"/>
    <n v="0"/>
    <n v="0"/>
    <n v="700"/>
    <n v="0"/>
    <n v="0"/>
    <n v="0"/>
    <n v="0"/>
    <n v="700"/>
    <n v="0"/>
    <n v="0"/>
    <n v="0"/>
    <n v="1"/>
    <x v="0"/>
    <n v="0"/>
    <x v="3"/>
  </r>
  <r>
    <x v="1545"/>
    <n v="240000"/>
    <x v="1"/>
    <x v="0"/>
    <x v="0"/>
    <x v="0"/>
    <n v="44"/>
    <x v="3"/>
    <x v="1"/>
    <x v="2"/>
    <x v="0"/>
    <x v="0"/>
    <x v="2"/>
    <x v="3"/>
    <n v="3313"/>
    <n v="7458"/>
    <n v="2329"/>
    <n v="4267"/>
    <n v="2404"/>
    <n v="4243"/>
    <n v="7458"/>
    <n v="2335"/>
    <n v="4267"/>
    <n v="2404"/>
    <n v="4243"/>
    <n v="2952"/>
    <n v="1"/>
    <x v="0"/>
    <n v="-4145"/>
    <x v="3"/>
  </r>
  <r>
    <x v="1546"/>
    <n v="150000"/>
    <x v="1"/>
    <x v="1"/>
    <x v="1"/>
    <x v="1"/>
    <n v="32"/>
    <x v="1"/>
    <x v="2"/>
    <x v="2"/>
    <x v="0"/>
    <x v="0"/>
    <x v="2"/>
    <x v="0"/>
    <n v="46272"/>
    <n v="1079"/>
    <n v="0"/>
    <n v="41147"/>
    <n v="-3"/>
    <n v="-3"/>
    <n v="1082"/>
    <n v="0"/>
    <n v="41147"/>
    <n v="0"/>
    <n v="0"/>
    <n v="0"/>
    <n v="0"/>
    <x v="1"/>
    <n v="45190"/>
    <x v="1"/>
  </r>
  <r>
    <x v="1547"/>
    <n v="50000"/>
    <x v="0"/>
    <x v="0"/>
    <x v="0"/>
    <x v="1"/>
    <n v="23"/>
    <x v="0"/>
    <x v="2"/>
    <x v="1"/>
    <x v="1"/>
    <x v="1"/>
    <x v="3"/>
    <x v="2"/>
    <n v="30501"/>
    <n v="33113"/>
    <n v="33967"/>
    <n v="28115"/>
    <n v="27529"/>
    <n v="29896"/>
    <n v="3113"/>
    <n v="1421"/>
    <n v="4295"/>
    <n v="0"/>
    <n v="3000"/>
    <n v="896"/>
    <n v="0"/>
    <x v="1"/>
    <n v="27388"/>
    <x v="1"/>
  </r>
  <r>
    <x v="1548"/>
    <n v="500000"/>
    <x v="2"/>
    <x v="0"/>
    <x v="1"/>
    <x v="1"/>
    <n v="42"/>
    <x v="3"/>
    <x v="1"/>
    <x v="2"/>
    <x v="0"/>
    <x v="3"/>
    <x v="2"/>
    <x v="3"/>
    <n v="30439"/>
    <n v="1844"/>
    <n v="844"/>
    <n v="614"/>
    <n v="2887"/>
    <n v="3850"/>
    <n v="1844"/>
    <n v="1000"/>
    <n v="0"/>
    <n v="3000"/>
    <n v="4000"/>
    <n v="6000"/>
    <n v="1"/>
    <x v="0"/>
    <n v="28595"/>
    <x v="1"/>
  </r>
  <r>
    <x v="1549"/>
    <n v="110000"/>
    <x v="1"/>
    <x v="0"/>
    <x v="0"/>
    <x v="0"/>
    <n v="33"/>
    <x v="1"/>
    <x v="2"/>
    <x v="1"/>
    <x v="1"/>
    <x v="1"/>
    <x v="1"/>
    <x v="2"/>
    <n v="115895"/>
    <n v="115609"/>
    <n v="113984"/>
    <n v="112510"/>
    <n v="112319"/>
    <n v="110730"/>
    <n v="6000"/>
    <n v="5500"/>
    <n v="4000"/>
    <n v="4000"/>
    <n v="4100"/>
    <n v="4000"/>
    <n v="0"/>
    <x v="1"/>
    <n v="109895"/>
    <x v="2"/>
  </r>
  <r>
    <x v="1550"/>
    <n v="170000"/>
    <x v="1"/>
    <x v="1"/>
    <x v="0"/>
    <x v="0"/>
    <n v="48"/>
    <x v="3"/>
    <x v="2"/>
    <x v="1"/>
    <x v="1"/>
    <x v="1"/>
    <x v="1"/>
    <x v="2"/>
    <n v="93420"/>
    <n v="96284"/>
    <n v="97322"/>
    <n v="99419"/>
    <n v="101590"/>
    <n v="111679"/>
    <n v="4371"/>
    <n v="3533"/>
    <n v="3716"/>
    <n v="3934"/>
    <n v="12030"/>
    <n v="0"/>
    <n v="1"/>
    <x v="0"/>
    <n v="89049"/>
    <x v="1"/>
  </r>
  <r>
    <x v="1551"/>
    <n v="230000"/>
    <x v="1"/>
    <x v="0"/>
    <x v="0"/>
    <x v="0"/>
    <n v="29"/>
    <x v="0"/>
    <x v="2"/>
    <x v="1"/>
    <x v="1"/>
    <x v="1"/>
    <x v="1"/>
    <x v="2"/>
    <n v="30818"/>
    <n v="31209"/>
    <n v="32211"/>
    <n v="31647"/>
    <n v="34304"/>
    <n v="36849"/>
    <n v="2000"/>
    <n v="2000"/>
    <n v="1113"/>
    <n v="5000"/>
    <n v="5000"/>
    <n v="2000"/>
    <n v="0"/>
    <x v="1"/>
    <n v="28818"/>
    <x v="1"/>
  </r>
  <r>
    <x v="1552"/>
    <n v="20000"/>
    <x v="0"/>
    <x v="0"/>
    <x v="2"/>
    <x v="2"/>
    <n v="47"/>
    <x v="3"/>
    <x v="2"/>
    <x v="1"/>
    <x v="1"/>
    <x v="1"/>
    <x v="1"/>
    <x v="2"/>
    <n v="9417"/>
    <n v="10436"/>
    <n v="11450"/>
    <n v="12257"/>
    <n v="12685"/>
    <n v="13306"/>
    <n v="1179"/>
    <n v="1193"/>
    <n v="1000"/>
    <n v="625"/>
    <n v="1000"/>
    <n v="405"/>
    <n v="0"/>
    <x v="1"/>
    <n v="8238"/>
    <x v="0"/>
  </r>
  <r>
    <x v="1553"/>
    <n v="100000"/>
    <x v="0"/>
    <x v="0"/>
    <x v="1"/>
    <x v="0"/>
    <n v="41"/>
    <x v="3"/>
    <x v="4"/>
    <x v="3"/>
    <x v="3"/>
    <x v="2"/>
    <x v="0"/>
    <x v="3"/>
    <n v="0"/>
    <n v="0"/>
    <n v="0"/>
    <n v="0"/>
    <n v="0"/>
    <n v="18149"/>
    <n v="0"/>
    <n v="0"/>
    <n v="0"/>
    <n v="0"/>
    <n v="18149"/>
    <n v="0"/>
    <n v="0"/>
    <x v="1"/>
    <n v="0"/>
    <x v="3"/>
  </r>
  <r>
    <x v="1554"/>
    <n v="110000"/>
    <x v="1"/>
    <x v="1"/>
    <x v="1"/>
    <x v="1"/>
    <n v="28"/>
    <x v="0"/>
    <x v="4"/>
    <x v="0"/>
    <x v="1"/>
    <x v="1"/>
    <x v="1"/>
    <x v="2"/>
    <n v="44278"/>
    <n v="41812"/>
    <n v="43095"/>
    <n v="46292"/>
    <n v="44744"/>
    <n v="36243"/>
    <n v="0"/>
    <n v="2000"/>
    <n v="5000"/>
    <n v="1514"/>
    <n v="1197"/>
    <n v="982"/>
    <n v="0"/>
    <x v="1"/>
    <n v="44278"/>
    <x v="1"/>
  </r>
  <r>
    <x v="1555"/>
    <n v="340000"/>
    <x v="2"/>
    <x v="1"/>
    <x v="1"/>
    <x v="0"/>
    <n v="52"/>
    <x v="2"/>
    <x v="3"/>
    <x v="3"/>
    <x v="3"/>
    <x v="2"/>
    <x v="0"/>
    <x v="0"/>
    <n v="30832"/>
    <n v="33652"/>
    <n v="35192"/>
    <n v="30000"/>
    <n v="10766"/>
    <n v="33887"/>
    <n v="33670"/>
    <n v="35212"/>
    <n v="30000"/>
    <n v="10766"/>
    <n v="33905"/>
    <n v="30200"/>
    <n v="1"/>
    <x v="0"/>
    <n v="-2838"/>
    <x v="3"/>
  </r>
  <r>
    <x v="1556"/>
    <n v="50000"/>
    <x v="0"/>
    <x v="1"/>
    <x v="1"/>
    <x v="1"/>
    <n v="37"/>
    <x v="1"/>
    <x v="2"/>
    <x v="1"/>
    <x v="1"/>
    <x v="1"/>
    <x v="1"/>
    <x v="2"/>
    <n v="37774"/>
    <n v="38492"/>
    <n v="36453"/>
    <n v="29700"/>
    <n v="30167"/>
    <n v="29613"/>
    <n v="1976"/>
    <n v="1564"/>
    <n v="1170"/>
    <n v="1055"/>
    <n v="1052"/>
    <n v="1022"/>
    <n v="0"/>
    <x v="1"/>
    <n v="35798"/>
    <x v="1"/>
  </r>
  <r>
    <x v="1557"/>
    <n v="310000"/>
    <x v="2"/>
    <x v="1"/>
    <x v="1"/>
    <x v="0"/>
    <n v="50"/>
    <x v="2"/>
    <x v="1"/>
    <x v="2"/>
    <x v="0"/>
    <x v="0"/>
    <x v="2"/>
    <x v="3"/>
    <n v="316"/>
    <n v="316"/>
    <n v="10131"/>
    <n v="2456"/>
    <n v="316"/>
    <n v="316"/>
    <n v="316"/>
    <n v="10131"/>
    <n v="2456"/>
    <n v="316"/>
    <n v="316"/>
    <n v="316"/>
    <n v="0"/>
    <x v="1"/>
    <n v="0"/>
    <x v="3"/>
  </r>
  <r>
    <x v="1558"/>
    <n v="50000"/>
    <x v="0"/>
    <x v="0"/>
    <x v="2"/>
    <x v="0"/>
    <n v="31"/>
    <x v="1"/>
    <x v="4"/>
    <x v="0"/>
    <x v="2"/>
    <x v="3"/>
    <x v="3"/>
    <x v="1"/>
    <n v="38102"/>
    <n v="40025"/>
    <n v="40071"/>
    <n v="40906"/>
    <n v="42100"/>
    <n v="41269"/>
    <n v="2830"/>
    <n v="1000"/>
    <n v="1800"/>
    <n v="2000"/>
    <n v="0"/>
    <n v="1704"/>
    <n v="1"/>
    <x v="0"/>
    <n v="35272"/>
    <x v="1"/>
  </r>
  <r>
    <x v="1559"/>
    <n v="240000"/>
    <x v="1"/>
    <x v="0"/>
    <x v="2"/>
    <x v="0"/>
    <n v="38"/>
    <x v="1"/>
    <x v="2"/>
    <x v="1"/>
    <x v="2"/>
    <x v="1"/>
    <x v="1"/>
    <x v="2"/>
    <n v="107148"/>
    <n v="113396"/>
    <n v="110084"/>
    <n v="112272"/>
    <n v="114779"/>
    <n v="116920"/>
    <n v="9500"/>
    <n v="0"/>
    <n v="4019"/>
    <n v="4317"/>
    <n v="4204"/>
    <n v="4314"/>
    <n v="1"/>
    <x v="0"/>
    <n v="97648"/>
    <x v="1"/>
  </r>
  <r>
    <x v="1560"/>
    <n v="50000"/>
    <x v="0"/>
    <x v="0"/>
    <x v="0"/>
    <x v="0"/>
    <n v="48"/>
    <x v="3"/>
    <x v="2"/>
    <x v="1"/>
    <x v="1"/>
    <x v="1"/>
    <x v="1"/>
    <x v="2"/>
    <n v="10929"/>
    <n v="13262"/>
    <n v="14273"/>
    <n v="14555"/>
    <n v="14860"/>
    <n v="15155"/>
    <n v="2526"/>
    <n v="1237"/>
    <n v="519"/>
    <n v="538"/>
    <n v="541"/>
    <n v="560"/>
    <n v="0"/>
    <x v="1"/>
    <n v="8403"/>
    <x v="0"/>
  </r>
  <r>
    <x v="1561"/>
    <n v="150000"/>
    <x v="1"/>
    <x v="0"/>
    <x v="1"/>
    <x v="1"/>
    <n v="34"/>
    <x v="1"/>
    <x v="3"/>
    <x v="2"/>
    <x v="2"/>
    <x v="1"/>
    <x v="1"/>
    <x v="0"/>
    <n v="0"/>
    <n v="13206"/>
    <n v="10227"/>
    <n v="398"/>
    <n v="0"/>
    <n v="0"/>
    <n v="13206"/>
    <n v="0"/>
    <n v="0"/>
    <n v="0"/>
    <n v="0"/>
    <n v="0"/>
    <n v="0"/>
    <x v="1"/>
    <n v="-13206"/>
    <x v="3"/>
  </r>
  <r>
    <x v="1562"/>
    <n v="140000"/>
    <x v="1"/>
    <x v="1"/>
    <x v="0"/>
    <x v="1"/>
    <n v="44"/>
    <x v="3"/>
    <x v="2"/>
    <x v="1"/>
    <x v="1"/>
    <x v="1"/>
    <x v="1"/>
    <x v="2"/>
    <n v="108033"/>
    <n v="105021"/>
    <n v="107659"/>
    <n v="109104"/>
    <n v="109352"/>
    <n v="101534"/>
    <n v="4000"/>
    <n v="4537"/>
    <n v="3800"/>
    <n v="3823"/>
    <n v="3806"/>
    <n v="3511"/>
    <n v="0"/>
    <x v="1"/>
    <n v="104033"/>
    <x v="2"/>
  </r>
  <r>
    <x v="1563"/>
    <n v="30000"/>
    <x v="0"/>
    <x v="0"/>
    <x v="2"/>
    <x v="0"/>
    <n v="56"/>
    <x v="2"/>
    <x v="2"/>
    <x v="1"/>
    <x v="2"/>
    <x v="3"/>
    <x v="1"/>
    <x v="2"/>
    <n v="16088"/>
    <n v="24800"/>
    <n v="25098"/>
    <n v="24396"/>
    <n v="24907"/>
    <n v="25555"/>
    <n v="9000"/>
    <n v="1000"/>
    <n v="0"/>
    <n v="903"/>
    <n v="1061"/>
    <n v="942"/>
    <n v="0"/>
    <x v="1"/>
    <n v="7088"/>
    <x v="0"/>
  </r>
  <r>
    <x v="1564"/>
    <n v="300000"/>
    <x v="1"/>
    <x v="0"/>
    <x v="1"/>
    <x v="0"/>
    <n v="30"/>
    <x v="1"/>
    <x v="2"/>
    <x v="1"/>
    <x v="1"/>
    <x v="1"/>
    <x v="1"/>
    <x v="2"/>
    <n v="93738"/>
    <n v="84636"/>
    <n v="88446"/>
    <n v="76244"/>
    <n v="67747"/>
    <n v="70389"/>
    <n v="3000"/>
    <n v="5000"/>
    <n v="2500"/>
    <n v="2500"/>
    <n v="3500"/>
    <n v="87000"/>
    <n v="1"/>
    <x v="0"/>
    <n v="90738"/>
    <x v="1"/>
  </r>
  <r>
    <x v="1565"/>
    <n v="50000"/>
    <x v="0"/>
    <x v="1"/>
    <x v="1"/>
    <x v="1"/>
    <n v="29"/>
    <x v="0"/>
    <x v="2"/>
    <x v="1"/>
    <x v="1"/>
    <x v="1"/>
    <x v="1"/>
    <x v="2"/>
    <n v="2087"/>
    <n v="2632"/>
    <n v="3355"/>
    <n v="3253"/>
    <n v="3640"/>
    <n v="3512"/>
    <n v="1000"/>
    <n v="1186"/>
    <n v="500"/>
    <n v="1000"/>
    <n v="500"/>
    <n v="1000"/>
    <n v="0"/>
    <x v="1"/>
    <n v="1087"/>
    <x v="0"/>
  </r>
  <r>
    <x v="1566"/>
    <n v="280000"/>
    <x v="1"/>
    <x v="0"/>
    <x v="0"/>
    <x v="0"/>
    <n v="37"/>
    <x v="1"/>
    <x v="2"/>
    <x v="1"/>
    <x v="1"/>
    <x v="1"/>
    <x v="1"/>
    <x v="2"/>
    <n v="29078"/>
    <n v="30144"/>
    <n v="32629"/>
    <n v="35126"/>
    <n v="35759"/>
    <n v="42317"/>
    <n v="1515"/>
    <n v="3000"/>
    <n v="3000"/>
    <n v="1292"/>
    <n v="7147"/>
    <n v="1415"/>
    <n v="0"/>
    <x v="1"/>
    <n v="27563"/>
    <x v="1"/>
  </r>
  <r>
    <x v="1567"/>
    <n v="120000"/>
    <x v="1"/>
    <x v="0"/>
    <x v="0"/>
    <x v="1"/>
    <n v="23"/>
    <x v="0"/>
    <x v="2"/>
    <x v="1"/>
    <x v="1"/>
    <x v="1"/>
    <x v="1"/>
    <x v="2"/>
    <n v="118063"/>
    <n v="120851"/>
    <n v="120013"/>
    <n v="77539"/>
    <n v="77333"/>
    <n v="79113"/>
    <n v="4700"/>
    <n v="3538"/>
    <n v="3000"/>
    <n v="3000"/>
    <n v="3000"/>
    <n v="5000"/>
    <n v="0"/>
    <x v="1"/>
    <n v="113363"/>
    <x v="2"/>
  </r>
  <r>
    <x v="1568"/>
    <n v="30000"/>
    <x v="0"/>
    <x v="0"/>
    <x v="1"/>
    <x v="0"/>
    <n v="27"/>
    <x v="0"/>
    <x v="4"/>
    <x v="2"/>
    <x v="0"/>
    <x v="0"/>
    <x v="1"/>
    <x v="2"/>
    <n v="0"/>
    <n v="306"/>
    <n v="2017"/>
    <n v="6316"/>
    <n v="3107"/>
    <n v="0"/>
    <n v="306"/>
    <n v="2017"/>
    <n v="6316"/>
    <n v="62"/>
    <n v="0"/>
    <n v="1002"/>
    <n v="0"/>
    <x v="1"/>
    <n v="-306"/>
    <x v="3"/>
  </r>
  <r>
    <x v="1569"/>
    <n v="30000"/>
    <x v="0"/>
    <x v="0"/>
    <x v="0"/>
    <x v="1"/>
    <n v="23"/>
    <x v="0"/>
    <x v="1"/>
    <x v="1"/>
    <x v="1"/>
    <x v="1"/>
    <x v="1"/>
    <x v="3"/>
    <n v="3226"/>
    <n v="5591"/>
    <n v="6992"/>
    <n v="20412"/>
    <n v="14427"/>
    <n v="5119"/>
    <n v="3596"/>
    <n v="2992"/>
    <n v="16500"/>
    <n v="0"/>
    <n v="5119"/>
    <n v="0"/>
    <n v="1"/>
    <x v="0"/>
    <n v="-370"/>
    <x v="3"/>
  </r>
  <r>
    <x v="1570"/>
    <n v="180000"/>
    <x v="1"/>
    <x v="1"/>
    <x v="2"/>
    <x v="0"/>
    <n v="45"/>
    <x v="3"/>
    <x v="4"/>
    <x v="0"/>
    <x v="1"/>
    <x v="1"/>
    <x v="1"/>
    <x v="2"/>
    <n v="24400"/>
    <n v="24508"/>
    <n v="22627"/>
    <n v="23306"/>
    <n v="22780"/>
    <n v="20890"/>
    <n v="1500"/>
    <n v="1500"/>
    <n v="1000"/>
    <n v="1000"/>
    <n v="1000"/>
    <n v="1000"/>
    <n v="0"/>
    <x v="1"/>
    <n v="22900"/>
    <x v="0"/>
  </r>
  <r>
    <x v="1571"/>
    <n v="150000"/>
    <x v="1"/>
    <x v="1"/>
    <x v="0"/>
    <x v="0"/>
    <n v="33"/>
    <x v="1"/>
    <x v="4"/>
    <x v="0"/>
    <x v="2"/>
    <x v="1"/>
    <x v="1"/>
    <x v="1"/>
    <n v="8967"/>
    <n v="11510"/>
    <n v="12022"/>
    <n v="12524"/>
    <n v="13868"/>
    <n v="13502"/>
    <n v="3001"/>
    <n v="1000"/>
    <n v="1000"/>
    <n v="1700"/>
    <n v="0"/>
    <n v="1000"/>
    <n v="0"/>
    <x v="1"/>
    <n v="5966"/>
    <x v="0"/>
  </r>
  <r>
    <x v="1572"/>
    <n v="110000"/>
    <x v="1"/>
    <x v="0"/>
    <x v="0"/>
    <x v="0"/>
    <n v="40"/>
    <x v="3"/>
    <x v="2"/>
    <x v="1"/>
    <x v="1"/>
    <x v="3"/>
    <x v="1"/>
    <x v="2"/>
    <n v="84589"/>
    <n v="85418"/>
    <n v="38333"/>
    <n v="37419"/>
    <n v="38199"/>
    <n v="38957"/>
    <n v="3700"/>
    <n v="4890"/>
    <n v="0"/>
    <n v="1535"/>
    <n v="1545"/>
    <n v="1500"/>
    <n v="0"/>
    <x v="1"/>
    <n v="80889"/>
    <x v="1"/>
  </r>
  <r>
    <x v="1573"/>
    <n v="50000"/>
    <x v="0"/>
    <x v="1"/>
    <x v="1"/>
    <x v="1"/>
    <n v="24"/>
    <x v="0"/>
    <x v="2"/>
    <x v="1"/>
    <x v="1"/>
    <x v="1"/>
    <x v="1"/>
    <x v="2"/>
    <n v="50716"/>
    <n v="50606"/>
    <n v="33265"/>
    <n v="29300"/>
    <n v="20703"/>
    <n v="30101"/>
    <n v="3029"/>
    <n v="2000"/>
    <n v="1021"/>
    <n v="1004"/>
    <n v="10000"/>
    <n v="2500"/>
    <n v="1"/>
    <x v="0"/>
    <n v="47687"/>
    <x v="1"/>
  </r>
  <r>
    <x v="1574"/>
    <n v="230000"/>
    <x v="1"/>
    <x v="0"/>
    <x v="2"/>
    <x v="0"/>
    <n v="43"/>
    <x v="3"/>
    <x v="4"/>
    <x v="2"/>
    <x v="2"/>
    <x v="0"/>
    <x v="1"/>
    <x v="3"/>
    <n v="0"/>
    <n v="3832"/>
    <n v="1823"/>
    <n v="3646"/>
    <n v="1823"/>
    <n v="1823"/>
    <n v="5655"/>
    <n v="0"/>
    <n v="3646"/>
    <n v="0"/>
    <n v="1823"/>
    <n v="1823"/>
    <n v="0"/>
    <x v="1"/>
    <n v="-5655"/>
    <x v="3"/>
  </r>
  <r>
    <x v="1575"/>
    <n v="230000"/>
    <x v="1"/>
    <x v="0"/>
    <x v="0"/>
    <x v="1"/>
    <n v="25"/>
    <x v="0"/>
    <x v="2"/>
    <x v="1"/>
    <x v="1"/>
    <x v="1"/>
    <x v="1"/>
    <x v="1"/>
    <n v="95311"/>
    <n v="94489"/>
    <n v="93143"/>
    <n v="87654"/>
    <n v="90172"/>
    <n v="86850"/>
    <n v="4500"/>
    <n v="4114"/>
    <n v="3500"/>
    <n v="4000"/>
    <n v="3000"/>
    <n v="3000"/>
    <n v="0"/>
    <x v="1"/>
    <n v="90811"/>
    <x v="1"/>
  </r>
  <r>
    <x v="1576"/>
    <n v="160000"/>
    <x v="1"/>
    <x v="0"/>
    <x v="1"/>
    <x v="1"/>
    <n v="46"/>
    <x v="3"/>
    <x v="3"/>
    <x v="3"/>
    <x v="3"/>
    <x v="2"/>
    <x v="0"/>
    <x v="0"/>
    <n v="6241"/>
    <n v="8788"/>
    <n v="0"/>
    <n v="0"/>
    <n v="0"/>
    <n v="0"/>
    <n v="8805"/>
    <n v="0"/>
    <n v="0"/>
    <n v="0"/>
    <n v="0"/>
    <n v="0"/>
    <n v="0"/>
    <x v="1"/>
    <n v="-2564"/>
    <x v="3"/>
  </r>
  <r>
    <x v="1577"/>
    <n v="50000"/>
    <x v="0"/>
    <x v="1"/>
    <x v="2"/>
    <x v="1"/>
    <n v="36"/>
    <x v="1"/>
    <x v="2"/>
    <x v="1"/>
    <x v="1"/>
    <x v="1"/>
    <x v="1"/>
    <x v="2"/>
    <n v="52855"/>
    <n v="49123"/>
    <n v="49522"/>
    <n v="19843"/>
    <n v="18440"/>
    <n v="18272"/>
    <n v="2206"/>
    <n v="1605"/>
    <n v="397"/>
    <n v="369"/>
    <n v="365"/>
    <n v="1088"/>
    <n v="0"/>
    <x v="1"/>
    <n v="50649"/>
    <x v="1"/>
  </r>
  <r>
    <x v="1578"/>
    <n v="210000"/>
    <x v="1"/>
    <x v="0"/>
    <x v="1"/>
    <x v="0"/>
    <n v="36"/>
    <x v="1"/>
    <x v="4"/>
    <x v="2"/>
    <x v="0"/>
    <x v="0"/>
    <x v="2"/>
    <x v="3"/>
    <n v="0"/>
    <n v="1690"/>
    <n v="0"/>
    <n v="5619"/>
    <n v="4090"/>
    <n v="581"/>
    <n v="1690"/>
    <n v="0"/>
    <n v="5619"/>
    <n v="4090"/>
    <n v="581"/>
    <n v="0"/>
    <n v="0"/>
    <x v="1"/>
    <n v="-1690"/>
    <x v="3"/>
  </r>
  <r>
    <x v="1579"/>
    <n v="120000"/>
    <x v="1"/>
    <x v="0"/>
    <x v="0"/>
    <x v="0"/>
    <n v="38"/>
    <x v="1"/>
    <x v="1"/>
    <x v="2"/>
    <x v="0"/>
    <x v="0"/>
    <x v="2"/>
    <x v="3"/>
    <n v="4100"/>
    <n v="7270"/>
    <n v="820"/>
    <n v="820"/>
    <n v="2870"/>
    <n v="970"/>
    <n v="7270"/>
    <n v="820"/>
    <n v="820"/>
    <n v="2870"/>
    <n v="970"/>
    <n v="820"/>
    <n v="0"/>
    <x v="1"/>
    <n v="-3170"/>
    <x v="3"/>
  </r>
  <r>
    <x v="1580"/>
    <n v="240000"/>
    <x v="1"/>
    <x v="0"/>
    <x v="0"/>
    <x v="0"/>
    <n v="42"/>
    <x v="3"/>
    <x v="2"/>
    <x v="1"/>
    <x v="1"/>
    <x v="3"/>
    <x v="1"/>
    <x v="2"/>
    <n v="21943"/>
    <n v="36519"/>
    <n v="55515"/>
    <n v="49049"/>
    <n v="57178"/>
    <n v="42009"/>
    <n v="15000"/>
    <n v="20000"/>
    <n v="3330"/>
    <n v="30000"/>
    <n v="10000"/>
    <n v="10000"/>
    <n v="0"/>
    <x v="1"/>
    <n v="6943"/>
    <x v="0"/>
  </r>
  <r>
    <x v="1581"/>
    <n v="20000"/>
    <x v="0"/>
    <x v="1"/>
    <x v="2"/>
    <x v="2"/>
    <n v="47"/>
    <x v="3"/>
    <x v="2"/>
    <x v="1"/>
    <x v="1"/>
    <x v="1"/>
    <x v="1"/>
    <x v="2"/>
    <n v="18768"/>
    <n v="18795"/>
    <n v="19390"/>
    <n v="19464"/>
    <n v="18126"/>
    <n v="18827"/>
    <n v="1400"/>
    <n v="1400"/>
    <n v="1000"/>
    <n v="700"/>
    <n v="1600"/>
    <n v="0"/>
    <n v="0"/>
    <x v="1"/>
    <n v="17368"/>
    <x v="0"/>
  </r>
  <r>
    <x v="1582"/>
    <n v="50000"/>
    <x v="0"/>
    <x v="0"/>
    <x v="2"/>
    <x v="1"/>
    <n v="40"/>
    <x v="3"/>
    <x v="2"/>
    <x v="1"/>
    <x v="1"/>
    <x v="1"/>
    <x v="1"/>
    <x v="2"/>
    <n v="5538"/>
    <n v="6563"/>
    <n v="7422"/>
    <n v="8292"/>
    <n v="8465"/>
    <n v="8650"/>
    <n v="1271"/>
    <n v="1130"/>
    <n v="1000"/>
    <n v="307"/>
    <n v="325"/>
    <n v="436"/>
    <n v="0"/>
    <x v="1"/>
    <n v="4267"/>
    <x v="0"/>
  </r>
  <r>
    <x v="1583"/>
    <n v="50000"/>
    <x v="0"/>
    <x v="0"/>
    <x v="1"/>
    <x v="1"/>
    <n v="70"/>
    <x v="2"/>
    <x v="0"/>
    <x v="0"/>
    <x v="1"/>
    <x v="1"/>
    <x v="1"/>
    <x v="2"/>
    <n v="49546"/>
    <n v="48480"/>
    <n v="48621"/>
    <n v="17793"/>
    <n v="18224"/>
    <n v="18612"/>
    <n v="0"/>
    <n v="2200"/>
    <n v="700"/>
    <n v="700"/>
    <n v="674"/>
    <n v="608"/>
    <n v="0"/>
    <x v="1"/>
    <n v="49546"/>
    <x v="1"/>
  </r>
  <r>
    <x v="1584"/>
    <n v="50000"/>
    <x v="0"/>
    <x v="0"/>
    <x v="0"/>
    <x v="0"/>
    <n v="32"/>
    <x v="1"/>
    <x v="2"/>
    <x v="1"/>
    <x v="1"/>
    <x v="1"/>
    <x v="1"/>
    <x v="2"/>
    <n v="48508"/>
    <n v="49213"/>
    <n v="38280"/>
    <n v="12305"/>
    <n v="6436"/>
    <n v="0"/>
    <n v="3037"/>
    <n v="1800"/>
    <n v="1130"/>
    <n v="2000"/>
    <n v="0"/>
    <n v="0"/>
    <n v="0"/>
    <x v="1"/>
    <n v="45471"/>
    <x v="1"/>
  </r>
  <r>
    <x v="1585"/>
    <n v="100000"/>
    <x v="0"/>
    <x v="1"/>
    <x v="2"/>
    <x v="1"/>
    <n v="52"/>
    <x v="2"/>
    <x v="2"/>
    <x v="1"/>
    <x v="1"/>
    <x v="1"/>
    <x v="1"/>
    <x v="3"/>
    <n v="73904"/>
    <n v="73249"/>
    <n v="12327"/>
    <n v="10793"/>
    <n v="5309"/>
    <n v="900"/>
    <n v="2781"/>
    <n v="2101"/>
    <n v="216"/>
    <n v="0"/>
    <n v="900"/>
    <n v="500"/>
    <n v="0"/>
    <x v="1"/>
    <n v="71123"/>
    <x v="1"/>
  </r>
  <r>
    <x v="1586"/>
    <n v="390000"/>
    <x v="2"/>
    <x v="0"/>
    <x v="1"/>
    <x v="0"/>
    <n v="49"/>
    <x v="3"/>
    <x v="1"/>
    <x v="2"/>
    <x v="0"/>
    <x v="2"/>
    <x v="0"/>
    <x v="3"/>
    <n v="15026"/>
    <n v="13357"/>
    <n v="0"/>
    <n v="0"/>
    <n v="0"/>
    <n v="100000"/>
    <n v="13357"/>
    <n v="0"/>
    <n v="0"/>
    <n v="0"/>
    <n v="100000"/>
    <n v="39268"/>
    <n v="0"/>
    <x v="1"/>
    <n v="1669"/>
    <x v="0"/>
  </r>
  <r>
    <x v="1587"/>
    <n v="550000"/>
    <x v="2"/>
    <x v="1"/>
    <x v="1"/>
    <x v="1"/>
    <n v="31"/>
    <x v="1"/>
    <x v="2"/>
    <x v="1"/>
    <x v="1"/>
    <x v="1"/>
    <x v="1"/>
    <x v="2"/>
    <n v="43769"/>
    <n v="38907"/>
    <n v="36111"/>
    <n v="32723"/>
    <n v="26946"/>
    <n v="26439"/>
    <n v="2018"/>
    <n v="1520"/>
    <n v="1131"/>
    <n v="1005"/>
    <n v="1107"/>
    <n v="1019"/>
    <n v="0"/>
    <x v="1"/>
    <n v="41751"/>
    <x v="1"/>
  </r>
  <r>
    <x v="1588"/>
    <n v="450000"/>
    <x v="2"/>
    <x v="0"/>
    <x v="0"/>
    <x v="1"/>
    <n v="36"/>
    <x v="1"/>
    <x v="1"/>
    <x v="2"/>
    <x v="0"/>
    <x v="0"/>
    <x v="2"/>
    <x v="3"/>
    <n v="13500"/>
    <n v="6350"/>
    <n v="11670"/>
    <n v="1530"/>
    <n v="1232"/>
    <n v="201"/>
    <n v="6364"/>
    <n v="11728"/>
    <n v="1532"/>
    <n v="1234"/>
    <n v="201"/>
    <n v="3"/>
    <n v="0"/>
    <x v="1"/>
    <n v="7136"/>
    <x v="0"/>
  </r>
  <r>
    <x v="1589"/>
    <n v="80000"/>
    <x v="0"/>
    <x v="0"/>
    <x v="0"/>
    <x v="0"/>
    <n v="50"/>
    <x v="2"/>
    <x v="1"/>
    <x v="2"/>
    <x v="0"/>
    <x v="1"/>
    <x v="1"/>
    <x v="2"/>
    <n v="2587"/>
    <n v="2587"/>
    <n v="50097"/>
    <n v="48753"/>
    <n v="50000"/>
    <n v="49209"/>
    <n v="2587"/>
    <n v="50097"/>
    <n v="2000"/>
    <n v="2000"/>
    <n v="1933"/>
    <n v="1700"/>
    <n v="0"/>
    <x v="1"/>
    <n v="0"/>
    <x v="3"/>
  </r>
  <r>
    <x v="1590"/>
    <n v="50000"/>
    <x v="0"/>
    <x v="0"/>
    <x v="2"/>
    <x v="0"/>
    <n v="48"/>
    <x v="3"/>
    <x v="2"/>
    <x v="1"/>
    <x v="1"/>
    <x v="1"/>
    <x v="1"/>
    <x v="2"/>
    <n v="4064"/>
    <n v="5987"/>
    <n v="7719"/>
    <n v="8588"/>
    <n v="9291"/>
    <n v="11127"/>
    <n v="2000"/>
    <n v="2000"/>
    <n v="1000"/>
    <n v="1000"/>
    <n v="2000"/>
    <n v="2000"/>
    <n v="0"/>
    <x v="1"/>
    <n v="2064"/>
    <x v="0"/>
  </r>
  <r>
    <x v="1591"/>
    <n v="50000"/>
    <x v="0"/>
    <x v="0"/>
    <x v="0"/>
    <x v="1"/>
    <n v="33"/>
    <x v="1"/>
    <x v="4"/>
    <x v="0"/>
    <x v="2"/>
    <x v="1"/>
    <x v="1"/>
    <x v="2"/>
    <n v="49617"/>
    <n v="50352"/>
    <n v="49243"/>
    <n v="49819"/>
    <n v="19324"/>
    <n v="20103"/>
    <n v="1813"/>
    <n v="0"/>
    <n v="2169"/>
    <n v="702"/>
    <n v="1101"/>
    <n v="529"/>
    <n v="0"/>
    <x v="1"/>
    <n v="47804"/>
    <x v="1"/>
  </r>
  <r>
    <x v="1592"/>
    <n v="180000"/>
    <x v="1"/>
    <x v="1"/>
    <x v="0"/>
    <x v="0"/>
    <n v="44"/>
    <x v="3"/>
    <x v="2"/>
    <x v="1"/>
    <x v="1"/>
    <x v="1"/>
    <x v="1"/>
    <x v="2"/>
    <n v="70721"/>
    <n v="69994"/>
    <n v="70204"/>
    <n v="70238"/>
    <n v="73296"/>
    <n v="73369"/>
    <n v="8000"/>
    <n v="3000"/>
    <n v="3000"/>
    <n v="5000"/>
    <n v="2595"/>
    <n v="3000"/>
    <n v="0"/>
    <x v="1"/>
    <n v="62721"/>
    <x v="1"/>
  </r>
  <r>
    <x v="1593"/>
    <n v="240000"/>
    <x v="1"/>
    <x v="1"/>
    <x v="1"/>
    <x v="1"/>
    <n v="35"/>
    <x v="1"/>
    <x v="3"/>
    <x v="3"/>
    <x v="3"/>
    <x v="2"/>
    <x v="2"/>
    <x v="3"/>
    <n v="15432"/>
    <n v="10835"/>
    <n v="22134"/>
    <n v="32823"/>
    <n v="1897"/>
    <n v="5627"/>
    <n v="10851"/>
    <n v="22258"/>
    <n v="20076"/>
    <n v="2099"/>
    <n v="5827"/>
    <n v="0"/>
    <n v="0"/>
    <x v="1"/>
    <n v="4581"/>
    <x v="0"/>
  </r>
  <r>
    <x v="1594"/>
    <n v="320000"/>
    <x v="2"/>
    <x v="0"/>
    <x v="2"/>
    <x v="1"/>
    <n v="29"/>
    <x v="0"/>
    <x v="1"/>
    <x v="2"/>
    <x v="0"/>
    <x v="2"/>
    <x v="0"/>
    <x v="3"/>
    <n v="500"/>
    <n v="500"/>
    <n v="0"/>
    <n v="0"/>
    <n v="0"/>
    <n v="2900"/>
    <n v="500"/>
    <n v="0"/>
    <n v="0"/>
    <n v="0"/>
    <n v="2900"/>
    <n v="0"/>
    <n v="0"/>
    <x v="1"/>
    <n v="0"/>
    <x v="3"/>
  </r>
  <r>
    <x v="1595"/>
    <n v="480000"/>
    <x v="2"/>
    <x v="0"/>
    <x v="0"/>
    <x v="0"/>
    <n v="35"/>
    <x v="1"/>
    <x v="1"/>
    <x v="0"/>
    <x v="0"/>
    <x v="0"/>
    <x v="3"/>
    <x v="2"/>
    <n v="18214"/>
    <n v="11031"/>
    <n v="182123"/>
    <n v="188956"/>
    <n v="179179"/>
    <n v="181746"/>
    <n v="0"/>
    <n v="182123"/>
    <n v="12960"/>
    <n v="0"/>
    <n v="9000"/>
    <n v="50000"/>
    <n v="0"/>
    <x v="1"/>
    <n v="18214"/>
    <x v="0"/>
  </r>
  <r>
    <x v="1596"/>
    <n v="150000"/>
    <x v="1"/>
    <x v="0"/>
    <x v="0"/>
    <x v="0"/>
    <n v="37"/>
    <x v="1"/>
    <x v="1"/>
    <x v="0"/>
    <x v="2"/>
    <x v="2"/>
    <x v="2"/>
    <x v="3"/>
    <n v="1184"/>
    <n v="794"/>
    <n v="2756"/>
    <n v="0"/>
    <n v="2430"/>
    <n v="4840"/>
    <n v="0"/>
    <n v="2772"/>
    <n v="0"/>
    <n v="2430"/>
    <n v="4844"/>
    <n v="0"/>
    <n v="0"/>
    <x v="1"/>
    <n v="1184"/>
    <x v="0"/>
  </r>
  <r>
    <x v="1597"/>
    <n v="110000"/>
    <x v="1"/>
    <x v="0"/>
    <x v="1"/>
    <x v="1"/>
    <n v="29"/>
    <x v="0"/>
    <x v="2"/>
    <x v="1"/>
    <x v="2"/>
    <x v="1"/>
    <x v="1"/>
    <x v="2"/>
    <n v="107195"/>
    <n v="109443"/>
    <n v="106637"/>
    <n v="106665"/>
    <n v="92417"/>
    <n v="90730"/>
    <n v="7845"/>
    <n v="4000"/>
    <n v="4000"/>
    <n v="3500"/>
    <n v="9500"/>
    <n v="9600"/>
    <n v="0"/>
    <x v="1"/>
    <n v="99350"/>
    <x v="1"/>
  </r>
  <r>
    <x v="1598"/>
    <n v="240000"/>
    <x v="1"/>
    <x v="1"/>
    <x v="1"/>
    <x v="1"/>
    <n v="30"/>
    <x v="1"/>
    <x v="1"/>
    <x v="2"/>
    <x v="0"/>
    <x v="1"/>
    <x v="1"/>
    <x v="2"/>
    <n v="7744"/>
    <n v="7284"/>
    <n v="11234"/>
    <n v="15214"/>
    <n v="9107"/>
    <n v="5621"/>
    <n v="7305"/>
    <n v="11263"/>
    <n v="10018"/>
    <n v="21"/>
    <n v="3637"/>
    <n v="7008"/>
    <n v="0"/>
    <x v="1"/>
    <n v="439"/>
    <x v="0"/>
  </r>
  <r>
    <x v="1599"/>
    <n v="50000"/>
    <x v="0"/>
    <x v="1"/>
    <x v="1"/>
    <x v="1"/>
    <n v="33"/>
    <x v="1"/>
    <x v="2"/>
    <x v="1"/>
    <x v="1"/>
    <x v="1"/>
    <x v="1"/>
    <x v="2"/>
    <n v="47853"/>
    <n v="49474"/>
    <n v="47822"/>
    <n v="8585"/>
    <n v="8797"/>
    <n v="9001"/>
    <n v="2412"/>
    <n v="1500"/>
    <n v="500"/>
    <n v="500"/>
    <n v="500"/>
    <n v="490"/>
    <n v="1"/>
    <x v="0"/>
    <n v="45441"/>
    <x v="1"/>
  </r>
  <r>
    <x v="1600"/>
    <n v="120000"/>
    <x v="1"/>
    <x v="1"/>
    <x v="0"/>
    <x v="1"/>
    <n v="27"/>
    <x v="0"/>
    <x v="1"/>
    <x v="2"/>
    <x v="0"/>
    <x v="0"/>
    <x v="2"/>
    <x v="3"/>
    <n v="2474"/>
    <n v="2469"/>
    <n v="2439"/>
    <n v="2439"/>
    <n v="2439"/>
    <n v="2116"/>
    <n v="2469"/>
    <n v="2439"/>
    <n v="2439"/>
    <n v="2439"/>
    <n v="2116"/>
    <n v="0"/>
    <n v="0"/>
    <x v="1"/>
    <n v="5"/>
    <x v="0"/>
  </r>
  <r>
    <x v="1601"/>
    <n v="150000"/>
    <x v="1"/>
    <x v="0"/>
    <x v="1"/>
    <x v="0"/>
    <n v="31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602"/>
    <n v="100000"/>
    <x v="0"/>
    <x v="0"/>
    <x v="2"/>
    <x v="1"/>
    <n v="53"/>
    <x v="2"/>
    <x v="2"/>
    <x v="1"/>
    <x v="1"/>
    <x v="1"/>
    <x v="1"/>
    <x v="2"/>
    <n v="101503"/>
    <n v="29880"/>
    <n v="31119"/>
    <n v="58653"/>
    <n v="59477"/>
    <n v="60695"/>
    <n v="1538"/>
    <n v="1777"/>
    <n v="29103"/>
    <n v="2283"/>
    <n v="2334"/>
    <n v="2290"/>
    <n v="0"/>
    <x v="1"/>
    <n v="99965"/>
    <x v="1"/>
  </r>
  <r>
    <x v="1603"/>
    <n v="260000"/>
    <x v="1"/>
    <x v="0"/>
    <x v="0"/>
    <x v="1"/>
    <n v="38"/>
    <x v="1"/>
    <x v="3"/>
    <x v="3"/>
    <x v="3"/>
    <x v="2"/>
    <x v="0"/>
    <x v="0"/>
    <n v="-2"/>
    <n v="-2"/>
    <n v="725"/>
    <n v="2074"/>
    <n v="0"/>
    <n v="585"/>
    <n v="0"/>
    <n v="727"/>
    <n v="2074"/>
    <n v="0"/>
    <n v="585"/>
    <n v="0"/>
    <n v="0"/>
    <x v="1"/>
    <n v="-2"/>
    <x v="3"/>
  </r>
  <r>
    <x v="1604"/>
    <n v="250000"/>
    <x v="1"/>
    <x v="0"/>
    <x v="0"/>
    <x v="1"/>
    <n v="26"/>
    <x v="0"/>
    <x v="3"/>
    <x v="3"/>
    <x v="3"/>
    <x v="2"/>
    <x v="0"/>
    <x v="0"/>
    <n v="16884"/>
    <n v="10397"/>
    <n v="5291"/>
    <n v="4671"/>
    <n v="4400"/>
    <n v="6011"/>
    <n v="2000"/>
    <n v="1000"/>
    <n v="1010"/>
    <n v="2000"/>
    <n v="6011"/>
    <n v="2325"/>
    <n v="0"/>
    <x v="1"/>
    <n v="14884"/>
    <x v="0"/>
  </r>
  <r>
    <x v="1605"/>
    <n v="100000"/>
    <x v="0"/>
    <x v="0"/>
    <x v="0"/>
    <x v="1"/>
    <n v="26"/>
    <x v="0"/>
    <x v="2"/>
    <x v="1"/>
    <x v="3"/>
    <x v="2"/>
    <x v="0"/>
    <x v="3"/>
    <n v="9614"/>
    <n v="0"/>
    <n v="0"/>
    <n v="0"/>
    <n v="0"/>
    <n v="16708"/>
    <n v="0"/>
    <n v="0"/>
    <n v="0"/>
    <n v="0"/>
    <n v="16708"/>
    <n v="2000"/>
    <n v="0"/>
    <x v="1"/>
    <n v="9614"/>
    <x v="0"/>
  </r>
  <r>
    <x v="1606"/>
    <n v="160000"/>
    <x v="1"/>
    <x v="1"/>
    <x v="1"/>
    <x v="0"/>
    <n v="51"/>
    <x v="2"/>
    <x v="0"/>
    <x v="4"/>
    <x v="2"/>
    <x v="1"/>
    <x v="1"/>
    <x v="2"/>
    <n v="79244"/>
    <n v="77441"/>
    <n v="75598"/>
    <n v="82277"/>
    <n v="84955"/>
    <n v="87549"/>
    <n v="0"/>
    <n v="0"/>
    <n v="8000"/>
    <n v="4000"/>
    <n v="4000"/>
    <n v="4000"/>
    <n v="1"/>
    <x v="0"/>
    <n v="79244"/>
    <x v="1"/>
  </r>
  <r>
    <x v="1607"/>
    <n v="270000"/>
    <x v="1"/>
    <x v="0"/>
    <x v="1"/>
    <x v="0"/>
    <n v="37"/>
    <x v="1"/>
    <x v="1"/>
    <x v="2"/>
    <x v="0"/>
    <x v="0"/>
    <x v="2"/>
    <x v="3"/>
    <n v="264"/>
    <n v="264"/>
    <n v="1191"/>
    <n v="3691"/>
    <n v="3445"/>
    <n v="56264"/>
    <n v="264"/>
    <n v="1191"/>
    <n v="3691"/>
    <n v="3445"/>
    <n v="56264"/>
    <n v="953"/>
    <n v="1"/>
    <x v="0"/>
    <n v="0"/>
    <x v="3"/>
  </r>
  <r>
    <x v="1608"/>
    <n v="390000"/>
    <x v="2"/>
    <x v="0"/>
    <x v="0"/>
    <x v="1"/>
    <n v="42"/>
    <x v="3"/>
    <x v="1"/>
    <x v="2"/>
    <x v="1"/>
    <x v="1"/>
    <x v="1"/>
    <x v="2"/>
    <n v="5895"/>
    <n v="42006"/>
    <n v="31192"/>
    <n v="13859"/>
    <n v="10078"/>
    <n v="4635"/>
    <n v="42016"/>
    <n v="1397"/>
    <n v="347"/>
    <n v="250"/>
    <n v="145"/>
    <n v="94"/>
    <n v="0"/>
    <x v="1"/>
    <n v="-36121"/>
    <x v="3"/>
  </r>
  <r>
    <x v="1609"/>
    <n v="210000"/>
    <x v="1"/>
    <x v="0"/>
    <x v="0"/>
    <x v="0"/>
    <n v="43"/>
    <x v="3"/>
    <x v="2"/>
    <x v="1"/>
    <x v="1"/>
    <x v="1"/>
    <x v="3"/>
    <x v="2"/>
    <n v="80527"/>
    <n v="82332"/>
    <n v="84043"/>
    <n v="88508"/>
    <n v="85802"/>
    <n v="85280"/>
    <n v="4000"/>
    <n v="4000"/>
    <n v="7000"/>
    <n v="0"/>
    <n v="3500"/>
    <n v="7000"/>
    <n v="0"/>
    <x v="1"/>
    <n v="76527"/>
    <x v="1"/>
  </r>
  <r>
    <x v="1610"/>
    <n v="30000"/>
    <x v="0"/>
    <x v="0"/>
    <x v="0"/>
    <x v="1"/>
    <n v="23"/>
    <x v="0"/>
    <x v="2"/>
    <x v="1"/>
    <x v="1"/>
    <x v="3"/>
    <x v="1"/>
    <x v="2"/>
    <n v="24285"/>
    <n v="26143"/>
    <n v="26929"/>
    <n v="19610"/>
    <n v="20591"/>
    <n v="19472"/>
    <n v="3002"/>
    <n v="2130"/>
    <n v="2"/>
    <n v="3004"/>
    <n v="8013"/>
    <n v="0"/>
    <n v="0"/>
    <x v="1"/>
    <n v="21283"/>
    <x v="0"/>
  </r>
  <r>
    <x v="1611"/>
    <n v="300000"/>
    <x v="1"/>
    <x v="0"/>
    <x v="2"/>
    <x v="0"/>
    <n v="30"/>
    <x v="1"/>
    <x v="1"/>
    <x v="2"/>
    <x v="1"/>
    <x v="1"/>
    <x v="2"/>
    <x v="3"/>
    <n v="12090"/>
    <n v="15035"/>
    <n v="25895"/>
    <n v="16416"/>
    <n v="3972"/>
    <n v="2200"/>
    <n v="15042"/>
    <n v="25500"/>
    <n v="6000"/>
    <n v="3972"/>
    <n v="2200"/>
    <n v="0"/>
    <n v="0"/>
    <x v="1"/>
    <n v="-2952"/>
    <x v="3"/>
  </r>
  <r>
    <x v="1612"/>
    <n v="190000"/>
    <x v="1"/>
    <x v="0"/>
    <x v="2"/>
    <x v="0"/>
    <n v="38"/>
    <x v="1"/>
    <x v="2"/>
    <x v="1"/>
    <x v="1"/>
    <x v="1"/>
    <x v="1"/>
    <x v="2"/>
    <n v="89619"/>
    <n v="103095"/>
    <n v="110000"/>
    <n v="115674"/>
    <n v="121313"/>
    <n v="15538"/>
    <n v="15000"/>
    <n v="10000"/>
    <n v="5674"/>
    <n v="11313"/>
    <n v="5538"/>
    <n v="18272"/>
    <n v="0"/>
    <x v="1"/>
    <n v="74619"/>
    <x v="1"/>
  </r>
  <r>
    <x v="1613"/>
    <n v="130000"/>
    <x v="1"/>
    <x v="0"/>
    <x v="1"/>
    <x v="0"/>
    <n v="35"/>
    <x v="1"/>
    <x v="1"/>
    <x v="2"/>
    <x v="0"/>
    <x v="0"/>
    <x v="2"/>
    <x v="3"/>
    <n v="6348"/>
    <n v="321"/>
    <n v="321"/>
    <n v="0"/>
    <n v="321"/>
    <n v="0"/>
    <n v="321"/>
    <n v="321"/>
    <n v="0"/>
    <n v="321"/>
    <n v="0"/>
    <n v="0"/>
    <n v="1"/>
    <x v="0"/>
    <n v="6027"/>
    <x v="0"/>
  </r>
  <r>
    <x v="1614"/>
    <n v="360000"/>
    <x v="2"/>
    <x v="1"/>
    <x v="0"/>
    <x v="0"/>
    <n v="44"/>
    <x v="3"/>
    <x v="2"/>
    <x v="1"/>
    <x v="1"/>
    <x v="1"/>
    <x v="3"/>
    <x v="2"/>
    <n v="270248"/>
    <n v="138566"/>
    <n v="142337"/>
    <n v="149758"/>
    <n v="147152"/>
    <n v="149460"/>
    <n v="5000"/>
    <n v="5000"/>
    <n v="8600"/>
    <n v="0"/>
    <n v="5000"/>
    <n v="5000"/>
    <n v="0"/>
    <x v="1"/>
    <n v="265248"/>
    <x v="2"/>
  </r>
  <r>
    <x v="1615"/>
    <n v="320000"/>
    <x v="2"/>
    <x v="1"/>
    <x v="1"/>
    <x v="0"/>
    <n v="35"/>
    <x v="1"/>
    <x v="4"/>
    <x v="3"/>
    <x v="3"/>
    <x v="2"/>
    <x v="0"/>
    <x v="0"/>
    <n v="291"/>
    <n v="2594"/>
    <n v="2691"/>
    <n v="291"/>
    <n v="291"/>
    <n v="291"/>
    <n v="2594"/>
    <n v="2691"/>
    <n v="291"/>
    <n v="291"/>
    <n v="291"/>
    <n v="3124"/>
    <n v="1"/>
    <x v="0"/>
    <n v="-2303"/>
    <x v="3"/>
  </r>
  <r>
    <x v="1616"/>
    <n v="20000"/>
    <x v="0"/>
    <x v="1"/>
    <x v="0"/>
    <x v="2"/>
    <n v="35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617"/>
    <n v="360000"/>
    <x v="2"/>
    <x v="1"/>
    <x v="1"/>
    <x v="0"/>
    <n v="32"/>
    <x v="1"/>
    <x v="3"/>
    <x v="3"/>
    <x v="3"/>
    <x v="2"/>
    <x v="0"/>
    <x v="0"/>
    <n v="10729"/>
    <n v="2523"/>
    <n v="-2"/>
    <n v="-2"/>
    <n v="-2"/>
    <n v="-2"/>
    <n v="2535"/>
    <n v="0"/>
    <n v="0"/>
    <n v="0"/>
    <n v="0"/>
    <n v="0"/>
    <n v="0"/>
    <x v="1"/>
    <n v="8194"/>
    <x v="0"/>
  </r>
  <r>
    <x v="1618"/>
    <n v="190000"/>
    <x v="1"/>
    <x v="0"/>
    <x v="0"/>
    <x v="1"/>
    <n v="25"/>
    <x v="0"/>
    <x v="2"/>
    <x v="1"/>
    <x v="1"/>
    <x v="1"/>
    <x v="2"/>
    <x v="2"/>
    <n v="110031"/>
    <n v="105500"/>
    <n v="104430"/>
    <n v="93"/>
    <n v="158481"/>
    <n v="161866"/>
    <n v="8614"/>
    <n v="5000"/>
    <n v="93"/>
    <n v="159212"/>
    <n v="5800"/>
    <n v="5500"/>
    <n v="0"/>
    <x v="1"/>
    <n v="101417"/>
    <x v="2"/>
  </r>
  <r>
    <x v="1619"/>
    <n v="90000"/>
    <x v="0"/>
    <x v="0"/>
    <x v="0"/>
    <x v="1"/>
    <n v="33"/>
    <x v="1"/>
    <x v="2"/>
    <x v="1"/>
    <x v="0"/>
    <x v="0"/>
    <x v="1"/>
    <x v="2"/>
    <n v="63626"/>
    <n v="1788"/>
    <n v="1988"/>
    <n v="55970"/>
    <n v="59612"/>
    <n v="40281"/>
    <n v="1000"/>
    <n v="2000"/>
    <n v="61000"/>
    <n v="5000"/>
    <n v="1800"/>
    <n v="1200"/>
    <n v="1"/>
    <x v="0"/>
    <n v="62626"/>
    <x v="1"/>
  </r>
  <r>
    <x v="1620"/>
    <n v="30000"/>
    <x v="0"/>
    <x v="0"/>
    <x v="1"/>
    <x v="1"/>
    <n v="26"/>
    <x v="0"/>
    <x v="1"/>
    <x v="2"/>
    <x v="0"/>
    <x v="0"/>
    <x v="2"/>
    <x v="1"/>
    <n v="2635"/>
    <n v="807"/>
    <n v="11428"/>
    <n v="2462"/>
    <n v="3605"/>
    <n v="1559"/>
    <n v="1270"/>
    <n v="11500"/>
    <n v="2462"/>
    <n v="1559"/>
    <n v="0"/>
    <n v="3192"/>
    <n v="0"/>
    <x v="1"/>
    <n v="1365"/>
    <x v="0"/>
  </r>
  <r>
    <x v="1621"/>
    <n v="240000"/>
    <x v="1"/>
    <x v="1"/>
    <x v="1"/>
    <x v="1"/>
    <n v="29"/>
    <x v="0"/>
    <x v="2"/>
    <x v="1"/>
    <x v="1"/>
    <x v="1"/>
    <x v="1"/>
    <x v="2"/>
    <n v="240248"/>
    <n v="221277"/>
    <n v="201606"/>
    <n v="183454"/>
    <n v="180255"/>
    <n v="184230"/>
    <n v="11000"/>
    <n v="9100"/>
    <n v="8000"/>
    <n v="8000"/>
    <n v="7000"/>
    <n v="8000"/>
    <n v="0"/>
    <x v="1"/>
    <n v="229248"/>
    <x v="2"/>
  </r>
  <r>
    <x v="1622"/>
    <n v="40000"/>
    <x v="0"/>
    <x v="0"/>
    <x v="1"/>
    <x v="1"/>
    <n v="26"/>
    <x v="0"/>
    <x v="2"/>
    <x v="1"/>
    <x v="1"/>
    <x v="1"/>
    <x v="1"/>
    <x v="2"/>
    <n v="12308"/>
    <n v="13604"/>
    <n v="14873"/>
    <n v="15624"/>
    <n v="15972"/>
    <n v="16308"/>
    <n v="1500"/>
    <n v="1500"/>
    <n v="1000"/>
    <n v="600"/>
    <n v="600"/>
    <n v="1700"/>
    <n v="0"/>
    <x v="1"/>
    <n v="10808"/>
    <x v="0"/>
  </r>
  <r>
    <x v="1623"/>
    <n v="170000"/>
    <x v="1"/>
    <x v="1"/>
    <x v="0"/>
    <x v="1"/>
    <n v="36"/>
    <x v="1"/>
    <x v="1"/>
    <x v="2"/>
    <x v="0"/>
    <x v="0"/>
    <x v="2"/>
    <x v="3"/>
    <n v="2104"/>
    <n v="2074"/>
    <n v="10719"/>
    <n v="12654"/>
    <n v="25784"/>
    <n v="19950"/>
    <n v="2081"/>
    <n v="10725"/>
    <n v="12654"/>
    <n v="25784"/>
    <n v="19950"/>
    <n v="200"/>
    <n v="0"/>
    <x v="1"/>
    <n v="23"/>
    <x v="0"/>
  </r>
  <r>
    <x v="1624"/>
    <n v="180000"/>
    <x v="1"/>
    <x v="1"/>
    <x v="1"/>
    <x v="1"/>
    <n v="37"/>
    <x v="1"/>
    <x v="2"/>
    <x v="1"/>
    <x v="1"/>
    <x v="1"/>
    <x v="1"/>
    <x v="2"/>
    <n v="22121"/>
    <n v="31681"/>
    <n v="32552"/>
    <n v="34004"/>
    <n v="35792"/>
    <n v="36645"/>
    <n v="10000"/>
    <n v="1700"/>
    <n v="2000"/>
    <n v="2500"/>
    <n v="1600"/>
    <n v="2000"/>
    <n v="0"/>
    <x v="1"/>
    <n v="12121"/>
    <x v="0"/>
  </r>
  <r>
    <x v="1625"/>
    <n v="20000"/>
    <x v="0"/>
    <x v="1"/>
    <x v="2"/>
    <x v="0"/>
    <n v="63"/>
    <x v="2"/>
    <x v="0"/>
    <x v="0"/>
    <x v="2"/>
    <x v="3"/>
    <x v="3"/>
    <x v="2"/>
    <n v="16097"/>
    <n v="16951"/>
    <n v="17090"/>
    <n v="17128"/>
    <n v="16725"/>
    <n v="17263"/>
    <n v="1400"/>
    <n v="700"/>
    <n v="600"/>
    <n v="0"/>
    <n v="800"/>
    <n v="772"/>
    <n v="1"/>
    <x v="0"/>
    <n v="14697"/>
    <x v="0"/>
  </r>
  <r>
    <x v="1626"/>
    <n v="150000"/>
    <x v="1"/>
    <x v="0"/>
    <x v="2"/>
    <x v="0"/>
    <n v="48"/>
    <x v="3"/>
    <x v="2"/>
    <x v="1"/>
    <x v="2"/>
    <x v="1"/>
    <x v="1"/>
    <x v="2"/>
    <n v="37800"/>
    <n v="40874"/>
    <n v="39922"/>
    <n v="40953"/>
    <n v="42136"/>
    <n v="43279"/>
    <n v="4000"/>
    <n v="0"/>
    <n v="2000"/>
    <n v="2000"/>
    <n v="2000"/>
    <n v="2000"/>
    <n v="0"/>
    <x v="1"/>
    <n v="33800"/>
    <x v="1"/>
  </r>
  <r>
    <x v="1627"/>
    <n v="50000"/>
    <x v="0"/>
    <x v="0"/>
    <x v="0"/>
    <x v="0"/>
    <n v="47"/>
    <x v="3"/>
    <x v="2"/>
    <x v="1"/>
    <x v="1"/>
    <x v="1"/>
    <x v="1"/>
    <x v="2"/>
    <n v="44624"/>
    <n v="45128"/>
    <n v="3837"/>
    <n v="3913"/>
    <n v="4146"/>
    <n v="4225"/>
    <n v="2355"/>
    <n v="1064"/>
    <n v="140"/>
    <n v="296"/>
    <n v="296"/>
    <n v="301"/>
    <n v="1"/>
    <x v="0"/>
    <n v="42269"/>
    <x v="1"/>
  </r>
  <r>
    <x v="1628"/>
    <n v="140000"/>
    <x v="1"/>
    <x v="0"/>
    <x v="2"/>
    <x v="0"/>
    <n v="31"/>
    <x v="1"/>
    <x v="0"/>
    <x v="0"/>
    <x v="2"/>
    <x v="3"/>
    <x v="3"/>
    <x v="1"/>
    <n v="89910"/>
    <n v="92588"/>
    <n v="91936"/>
    <n v="94623"/>
    <n v="94952"/>
    <n v="95234"/>
    <n v="5000"/>
    <n v="1800"/>
    <n v="5000"/>
    <n v="1900"/>
    <n v="4700"/>
    <n v="0"/>
    <n v="0"/>
    <x v="1"/>
    <n v="84910"/>
    <x v="1"/>
  </r>
  <r>
    <x v="1629"/>
    <n v="50000"/>
    <x v="0"/>
    <x v="1"/>
    <x v="2"/>
    <x v="1"/>
    <n v="31"/>
    <x v="1"/>
    <x v="2"/>
    <x v="1"/>
    <x v="1"/>
    <x v="1"/>
    <x v="3"/>
    <x v="2"/>
    <n v="40011"/>
    <n v="33648"/>
    <n v="35082"/>
    <n v="38286"/>
    <n v="37543"/>
    <n v="0"/>
    <n v="1566"/>
    <n v="2000"/>
    <n v="3800"/>
    <n v="0"/>
    <n v="1546"/>
    <n v="0"/>
    <n v="0"/>
    <x v="1"/>
    <n v="38445"/>
    <x v="1"/>
  </r>
  <r>
    <x v="1630"/>
    <n v="200000"/>
    <x v="1"/>
    <x v="1"/>
    <x v="1"/>
    <x v="1"/>
    <n v="34"/>
    <x v="1"/>
    <x v="2"/>
    <x v="1"/>
    <x v="1"/>
    <x v="1"/>
    <x v="1"/>
    <x v="2"/>
    <n v="67002"/>
    <n v="76429"/>
    <n v="94564"/>
    <n v="95859"/>
    <n v="99593"/>
    <n v="101834"/>
    <n v="10000"/>
    <n v="18900"/>
    <n v="3000"/>
    <n v="4524"/>
    <n v="3084"/>
    <n v="3242"/>
    <n v="0"/>
    <x v="1"/>
    <n v="57002"/>
    <x v="1"/>
  </r>
  <r>
    <x v="1631"/>
    <n v="100000"/>
    <x v="0"/>
    <x v="0"/>
    <x v="1"/>
    <x v="0"/>
    <n v="43"/>
    <x v="3"/>
    <x v="1"/>
    <x v="2"/>
    <x v="0"/>
    <x v="0"/>
    <x v="2"/>
    <x v="3"/>
    <n v="9122"/>
    <n v="22971"/>
    <n v="15537"/>
    <n v="27075"/>
    <n v="8423"/>
    <n v="37259"/>
    <n v="22982"/>
    <n v="15561"/>
    <n v="27091"/>
    <n v="8423"/>
    <n v="37259"/>
    <n v="16751"/>
    <n v="0"/>
    <x v="1"/>
    <n v="-13860"/>
    <x v="3"/>
  </r>
  <r>
    <x v="1632"/>
    <n v="250000"/>
    <x v="1"/>
    <x v="0"/>
    <x v="1"/>
    <x v="1"/>
    <n v="32"/>
    <x v="1"/>
    <x v="2"/>
    <x v="1"/>
    <x v="1"/>
    <x v="1"/>
    <x v="2"/>
    <x v="3"/>
    <n v="33323"/>
    <n v="30090"/>
    <n v="21218"/>
    <n v="10875"/>
    <n v="3328"/>
    <n v="1460"/>
    <n v="2038"/>
    <n v="2065"/>
    <n v="52"/>
    <n v="3336"/>
    <n v="1460"/>
    <n v="1000"/>
    <n v="0"/>
    <x v="1"/>
    <n v="31285"/>
    <x v="1"/>
  </r>
  <r>
    <x v="1633"/>
    <n v="80000"/>
    <x v="0"/>
    <x v="0"/>
    <x v="1"/>
    <x v="1"/>
    <n v="38"/>
    <x v="1"/>
    <x v="3"/>
    <x v="3"/>
    <x v="3"/>
    <x v="2"/>
    <x v="0"/>
    <x v="0"/>
    <n v="1927"/>
    <n v="446"/>
    <n v="909"/>
    <n v="1740"/>
    <n v="2190"/>
    <n v="518"/>
    <n v="446"/>
    <n v="909"/>
    <n v="1740"/>
    <n v="2190"/>
    <n v="518"/>
    <n v="5062"/>
    <n v="0"/>
    <x v="1"/>
    <n v="1481"/>
    <x v="0"/>
  </r>
  <r>
    <x v="1634"/>
    <n v="170000"/>
    <x v="1"/>
    <x v="0"/>
    <x v="0"/>
    <x v="0"/>
    <n v="50"/>
    <x v="2"/>
    <x v="2"/>
    <x v="1"/>
    <x v="1"/>
    <x v="1"/>
    <x v="1"/>
    <x v="2"/>
    <n v="177956"/>
    <n v="176155"/>
    <n v="171665"/>
    <n v="65479"/>
    <n v="61234"/>
    <n v="42484"/>
    <n v="7262"/>
    <n v="5586"/>
    <n v="2272"/>
    <n v="2998"/>
    <n v="39321"/>
    <n v="1390"/>
    <n v="0"/>
    <x v="1"/>
    <n v="170694"/>
    <x v="2"/>
  </r>
  <r>
    <x v="1635"/>
    <n v="80000"/>
    <x v="0"/>
    <x v="1"/>
    <x v="2"/>
    <x v="1"/>
    <n v="29"/>
    <x v="0"/>
    <x v="2"/>
    <x v="1"/>
    <x v="1"/>
    <x v="1"/>
    <x v="1"/>
    <x v="2"/>
    <n v="46638"/>
    <n v="47680"/>
    <n v="48395"/>
    <n v="49356"/>
    <n v="50560"/>
    <n v="51431"/>
    <n v="2091"/>
    <n v="1806"/>
    <n v="1767"/>
    <n v="2000"/>
    <n v="1767"/>
    <n v="1740"/>
    <n v="0"/>
    <x v="1"/>
    <n v="44547"/>
    <x v="1"/>
  </r>
  <r>
    <x v="1636"/>
    <n v="50000"/>
    <x v="0"/>
    <x v="1"/>
    <x v="0"/>
    <x v="0"/>
    <n v="49"/>
    <x v="3"/>
    <x v="2"/>
    <x v="1"/>
    <x v="1"/>
    <x v="1"/>
    <x v="1"/>
    <x v="2"/>
    <n v="49816"/>
    <n v="49749"/>
    <n v="48589"/>
    <n v="59469"/>
    <n v="20239"/>
    <n v="20059"/>
    <n v="3000"/>
    <n v="2000"/>
    <n v="1900"/>
    <n v="1004"/>
    <n v="1600"/>
    <n v="700"/>
    <n v="0"/>
    <x v="1"/>
    <n v="46816"/>
    <x v="1"/>
  </r>
  <r>
    <x v="1637"/>
    <n v="30000"/>
    <x v="0"/>
    <x v="0"/>
    <x v="2"/>
    <x v="1"/>
    <n v="40"/>
    <x v="3"/>
    <x v="0"/>
    <x v="0"/>
    <x v="2"/>
    <x v="3"/>
    <x v="1"/>
    <x v="2"/>
    <n v="23687"/>
    <n v="23020"/>
    <n v="25218"/>
    <n v="24514"/>
    <n v="25030"/>
    <n v="25557"/>
    <n v="0"/>
    <n v="2579"/>
    <n v="0"/>
    <n v="909"/>
    <n v="944"/>
    <n v="4642"/>
    <n v="0"/>
    <x v="1"/>
    <n v="23687"/>
    <x v="0"/>
  </r>
  <r>
    <x v="1638"/>
    <n v="70000"/>
    <x v="0"/>
    <x v="0"/>
    <x v="1"/>
    <x v="1"/>
    <n v="34"/>
    <x v="1"/>
    <x v="4"/>
    <x v="4"/>
    <x v="2"/>
    <x v="1"/>
    <x v="1"/>
    <x v="2"/>
    <n v="70971"/>
    <n v="71272"/>
    <n v="69405"/>
    <n v="34045"/>
    <n v="34995"/>
    <n v="36025"/>
    <n v="2000"/>
    <n v="0"/>
    <n v="1220"/>
    <n v="1500"/>
    <n v="1725"/>
    <n v="0"/>
    <n v="1"/>
    <x v="0"/>
    <n v="68971"/>
    <x v="1"/>
  </r>
  <r>
    <x v="1639"/>
    <n v="30000"/>
    <x v="0"/>
    <x v="0"/>
    <x v="2"/>
    <x v="0"/>
    <n v="47"/>
    <x v="3"/>
    <x v="1"/>
    <x v="2"/>
    <x v="0"/>
    <x v="0"/>
    <x v="2"/>
    <x v="3"/>
    <n v="1355"/>
    <n v="5137"/>
    <n v="1392"/>
    <n v="696"/>
    <n v="0"/>
    <n v="696"/>
    <n v="5174"/>
    <n v="1392"/>
    <n v="696"/>
    <n v="0"/>
    <n v="696"/>
    <n v="696"/>
    <n v="0"/>
    <x v="1"/>
    <n v="-3819"/>
    <x v="3"/>
  </r>
  <r>
    <x v="1640"/>
    <n v="200000"/>
    <x v="1"/>
    <x v="1"/>
    <x v="1"/>
    <x v="0"/>
    <n v="34"/>
    <x v="1"/>
    <x v="1"/>
    <x v="2"/>
    <x v="0"/>
    <x v="0"/>
    <x v="2"/>
    <x v="3"/>
    <n v="5023"/>
    <n v="618"/>
    <n v="605"/>
    <n v="3098"/>
    <n v="805"/>
    <n v="2154"/>
    <n v="621"/>
    <n v="608"/>
    <n v="3114"/>
    <n v="1003"/>
    <n v="2164"/>
    <n v="1210"/>
    <n v="0"/>
    <x v="1"/>
    <n v="4402"/>
    <x v="0"/>
  </r>
  <r>
    <x v="1641"/>
    <n v="100000"/>
    <x v="0"/>
    <x v="0"/>
    <x v="0"/>
    <x v="1"/>
    <n v="27"/>
    <x v="0"/>
    <x v="1"/>
    <x v="2"/>
    <x v="0"/>
    <x v="2"/>
    <x v="0"/>
    <x v="0"/>
    <n v="11540"/>
    <n v="1300"/>
    <n v="0"/>
    <n v="0"/>
    <n v="0"/>
    <n v="0"/>
    <n v="1303"/>
    <n v="0"/>
    <n v="0"/>
    <n v="0"/>
    <n v="0"/>
    <n v="0"/>
    <n v="0"/>
    <x v="1"/>
    <n v="10237"/>
    <x v="0"/>
  </r>
  <r>
    <x v="1642"/>
    <n v="20000"/>
    <x v="0"/>
    <x v="1"/>
    <x v="0"/>
    <x v="1"/>
    <n v="44"/>
    <x v="3"/>
    <x v="2"/>
    <x v="1"/>
    <x v="1"/>
    <x v="1"/>
    <x v="1"/>
    <x v="2"/>
    <n v="17636"/>
    <n v="17947"/>
    <n v="17914"/>
    <n v="18357"/>
    <n v="19155"/>
    <n v="10200"/>
    <n v="1375"/>
    <n v="1122"/>
    <n v="565"/>
    <n v="1000"/>
    <n v="204"/>
    <n v="0"/>
    <n v="1"/>
    <x v="0"/>
    <n v="16261"/>
    <x v="0"/>
  </r>
  <r>
    <x v="1643"/>
    <n v="200000"/>
    <x v="1"/>
    <x v="1"/>
    <x v="1"/>
    <x v="1"/>
    <n v="29"/>
    <x v="0"/>
    <x v="1"/>
    <x v="2"/>
    <x v="3"/>
    <x v="2"/>
    <x v="0"/>
    <x v="0"/>
    <n v="2290"/>
    <n v="0"/>
    <n v="0"/>
    <n v="0"/>
    <n v="0"/>
    <n v="0"/>
    <n v="0"/>
    <n v="0"/>
    <n v="0"/>
    <n v="0"/>
    <n v="0"/>
    <n v="0"/>
    <n v="0"/>
    <x v="1"/>
    <n v="2290"/>
    <x v="0"/>
  </r>
  <r>
    <x v="1644"/>
    <n v="50000"/>
    <x v="0"/>
    <x v="1"/>
    <x v="2"/>
    <x v="0"/>
    <n v="72"/>
    <x v="2"/>
    <x v="0"/>
    <x v="1"/>
    <x v="1"/>
    <x v="1"/>
    <x v="3"/>
    <x v="1"/>
    <n v="35417"/>
    <n v="36453"/>
    <n v="37166"/>
    <n v="39710"/>
    <n v="40519"/>
    <n v="41324"/>
    <n v="1908"/>
    <n v="1621"/>
    <n v="3165"/>
    <n v="1600"/>
    <n v="1620"/>
    <n v="0"/>
    <n v="1"/>
    <x v="0"/>
    <n v="33509"/>
    <x v="1"/>
  </r>
  <r>
    <x v="1645"/>
    <n v="50000"/>
    <x v="0"/>
    <x v="1"/>
    <x v="0"/>
    <x v="0"/>
    <n v="48"/>
    <x v="3"/>
    <x v="2"/>
    <x v="1"/>
    <x v="1"/>
    <x v="1"/>
    <x v="1"/>
    <x v="2"/>
    <n v="40931"/>
    <n v="40892"/>
    <n v="41612"/>
    <n v="18825"/>
    <n v="18019"/>
    <n v="18124"/>
    <n v="1880"/>
    <n v="1650"/>
    <n v="10000"/>
    <n v="1000"/>
    <n v="700"/>
    <n v="600"/>
    <n v="1"/>
    <x v="0"/>
    <n v="39051"/>
    <x v="1"/>
  </r>
  <r>
    <x v="1646"/>
    <n v="50000"/>
    <x v="0"/>
    <x v="0"/>
    <x v="1"/>
    <x v="1"/>
    <n v="27"/>
    <x v="0"/>
    <x v="4"/>
    <x v="0"/>
    <x v="2"/>
    <x v="3"/>
    <x v="3"/>
    <x v="1"/>
    <n v="36794"/>
    <n v="35922"/>
    <n v="39319"/>
    <n v="38387"/>
    <n v="42764"/>
    <n v="41926"/>
    <n v="0"/>
    <n v="4000"/>
    <n v="0"/>
    <n v="5000"/>
    <n v="0"/>
    <n v="5000"/>
    <n v="1"/>
    <x v="0"/>
    <n v="36794"/>
    <x v="1"/>
  </r>
  <r>
    <x v="1647"/>
    <n v="220000"/>
    <x v="1"/>
    <x v="1"/>
    <x v="0"/>
    <x v="0"/>
    <n v="44"/>
    <x v="3"/>
    <x v="2"/>
    <x v="1"/>
    <x v="1"/>
    <x v="1"/>
    <x v="1"/>
    <x v="2"/>
    <n v="217743"/>
    <n v="180357"/>
    <n v="183453"/>
    <n v="176900"/>
    <n v="118965"/>
    <n v="172907"/>
    <n v="7000"/>
    <n v="8000"/>
    <n v="8000"/>
    <n v="6000"/>
    <n v="60000"/>
    <n v="7000"/>
    <n v="0"/>
    <x v="1"/>
    <n v="210743"/>
    <x v="2"/>
  </r>
  <r>
    <x v="1648"/>
    <n v="240000"/>
    <x v="1"/>
    <x v="0"/>
    <x v="2"/>
    <x v="0"/>
    <n v="39"/>
    <x v="1"/>
    <x v="3"/>
    <x v="3"/>
    <x v="3"/>
    <x v="2"/>
    <x v="0"/>
    <x v="0"/>
    <n v="0"/>
    <n v="1234"/>
    <n v="0"/>
    <n v="0"/>
    <n v="620"/>
    <n v="0"/>
    <n v="1234"/>
    <n v="0"/>
    <n v="0"/>
    <n v="620"/>
    <n v="0"/>
    <n v="0"/>
    <n v="0"/>
    <x v="1"/>
    <n v="-1234"/>
    <x v="3"/>
  </r>
  <r>
    <x v="1649"/>
    <n v="50000"/>
    <x v="0"/>
    <x v="1"/>
    <x v="1"/>
    <x v="0"/>
    <n v="40"/>
    <x v="3"/>
    <x v="2"/>
    <x v="1"/>
    <x v="1"/>
    <x v="1"/>
    <x v="1"/>
    <x v="2"/>
    <n v="42549"/>
    <n v="36110"/>
    <n v="9715"/>
    <n v="8965"/>
    <n v="6652"/>
    <n v="7385"/>
    <n v="2200"/>
    <n v="2000"/>
    <n v="1000"/>
    <n v="500"/>
    <n v="1000"/>
    <n v="400"/>
    <n v="0"/>
    <x v="1"/>
    <n v="40349"/>
    <x v="1"/>
  </r>
  <r>
    <x v="1650"/>
    <n v="500000"/>
    <x v="2"/>
    <x v="0"/>
    <x v="1"/>
    <x v="0"/>
    <n v="45"/>
    <x v="3"/>
    <x v="1"/>
    <x v="2"/>
    <x v="0"/>
    <x v="0"/>
    <x v="2"/>
    <x v="3"/>
    <n v="36954"/>
    <n v="-24704"/>
    <n v="22999"/>
    <n v="18339"/>
    <n v="-3876"/>
    <n v="15586"/>
    <n v="0"/>
    <n v="83000"/>
    <n v="0"/>
    <n v="0"/>
    <n v="20000"/>
    <n v="18000"/>
    <n v="0"/>
    <x v="1"/>
    <n v="36954"/>
    <x v="1"/>
  </r>
  <r>
    <x v="1651"/>
    <n v="170000"/>
    <x v="1"/>
    <x v="1"/>
    <x v="1"/>
    <x v="1"/>
    <n v="26"/>
    <x v="0"/>
    <x v="1"/>
    <x v="2"/>
    <x v="0"/>
    <x v="0"/>
    <x v="2"/>
    <x v="3"/>
    <n v="23594"/>
    <n v="1512"/>
    <n v="1362"/>
    <n v="1591"/>
    <n v="3524"/>
    <n v="8545"/>
    <n v="1512"/>
    <n v="1362"/>
    <n v="1591"/>
    <n v="3524"/>
    <n v="8545"/>
    <n v="1485"/>
    <n v="0"/>
    <x v="1"/>
    <n v="22082"/>
    <x v="0"/>
  </r>
  <r>
    <x v="1652"/>
    <n v="30000"/>
    <x v="0"/>
    <x v="1"/>
    <x v="1"/>
    <x v="0"/>
    <n v="34"/>
    <x v="1"/>
    <x v="1"/>
    <x v="2"/>
    <x v="0"/>
    <x v="2"/>
    <x v="0"/>
    <x v="0"/>
    <n v="220"/>
    <n v="2500"/>
    <n v="0"/>
    <n v="0"/>
    <n v="0"/>
    <n v="0"/>
    <n v="2500"/>
    <n v="0"/>
    <n v="0"/>
    <n v="0"/>
    <n v="0"/>
    <n v="0"/>
    <n v="0"/>
    <x v="1"/>
    <n v="-2280"/>
    <x v="3"/>
  </r>
  <r>
    <x v="1653"/>
    <n v="300000"/>
    <x v="1"/>
    <x v="1"/>
    <x v="1"/>
    <x v="0"/>
    <n v="43"/>
    <x v="3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654"/>
    <n v="50000"/>
    <x v="0"/>
    <x v="1"/>
    <x v="0"/>
    <x v="1"/>
    <n v="30"/>
    <x v="1"/>
    <x v="2"/>
    <x v="1"/>
    <x v="1"/>
    <x v="1"/>
    <x v="1"/>
    <x v="2"/>
    <n v="50507"/>
    <n v="48751"/>
    <n v="44688"/>
    <n v="19823"/>
    <n v="13645"/>
    <n v="10876"/>
    <n v="4000"/>
    <n v="2220"/>
    <n v="1000"/>
    <n v="1500"/>
    <n v="1000"/>
    <n v="1500"/>
    <n v="0"/>
    <x v="1"/>
    <n v="46507"/>
    <x v="1"/>
  </r>
  <r>
    <x v="1655"/>
    <n v="100000"/>
    <x v="0"/>
    <x v="0"/>
    <x v="2"/>
    <x v="0"/>
    <n v="31"/>
    <x v="1"/>
    <x v="1"/>
    <x v="2"/>
    <x v="0"/>
    <x v="2"/>
    <x v="0"/>
    <x v="0"/>
    <n v="16033"/>
    <n v="1716"/>
    <n v="1200"/>
    <n v="0"/>
    <n v="0"/>
    <n v="1300"/>
    <n v="1716"/>
    <n v="1200"/>
    <n v="0"/>
    <n v="0"/>
    <n v="1300"/>
    <n v="6455"/>
    <n v="0"/>
    <x v="1"/>
    <n v="14317"/>
    <x v="0"/>
  </r>
  <r>
    <x v="1656"/>
    <n v="150000"/>
    <x v="1"/>
    <x v="0"/>
    <x v="1"/>
    <x v="1"/>
    <n v="29"/>
    <x v="0"/>
    <x v="2"/>
    <x v="1"/>
    <x v="2"/>
    <x v="1"/>
    <x v="1"/>
    <x v="2"/>
    <n v="108817"/>
    <n v="83654"/>
    <n v="79713"/>
    <n v="64468"/>
    <n v="66488"/>
    <n v="58131"/>
    <n v="7500"/>
    <n v="0"/>
    <n v="4000"/>
    <n v="4000"/>
    <n v="4000"/>
    <n v="3500"/>
    <n v="1"/>
    <x v="0"/>
    <n v="101317"/>
    <x v="2"/>
  </r>
  <r>
    <x v="1657"/>
    <n v="50000"/>
    <x v="0"/>
    <x v="1"/>
    <x v="1"/>
    <x v="1"/>
    <n v="28"/>
    <x v="0"/>
    <x v="2"/>
    <x v="1"/>
    <x v="1"/>
    <x v="1"/>
    <x v="1"/>
    <x v="2"/>
    <n v="46176"/>
    <n v="40870"/>
    <n v="41590"/>
    <n v="42419"/>
    <n v="43307"/>
    <n v="44167"/>
    <n v="2000"/>
    <n v="1700"/>
    <n v="1519"/>
    <n v="1572"/>
    <n v="1580"/>
    <n v="1637"/>
    <n v="0"/>
    <x v="1"/>
    <n v="44176"/>
    <x v="1"/>
  </r>
  <r>
    <x v="1658"/>
    <n v="190000"/>
    <x v="1"/>
    <x v="0"/>
    <x v="0"/>
    <x v="1"/>
    <n v="31"/>
    <x v="1"/>
    <x v="1"/>
    <x v="2"/>
    <x v="0"/>
    <x v="0"/>
    <x v="0"/>
    <x v="3"/>
    <n v="771"/>
    <n v="0"/>
    <n v="4251"/>
    <n v="0"/>
    <n v="0"/>
    <n v="6732"/>
    <n v="0"/>
    <n v="4251"/>
    <n v="0"/>
    <n v="0"/>
    <n v="6732"/>
    <n v="11306"/>
    <n v="0"/>
    <x v="1"/>
    <n v="771"/>
    <x v="0"/>
  </r>
  <r>
    <x v="1659"/>
    <n v="20000"/>
    <x v="0"/>
    <x v="0"/>
    <x v="2"/>
    <x v="1"/>
    <n v="22"/>
    <x v="0"/>
    <x v="2"/>
    <x v="1"/>
    <x v="1"/>
    <x v="1"/>
    <x v="2"/>
    <x v="3"/>
    <n v="14562"/>
    <n v="5991"/>
    <n v="6870"/>
    <n v="0"/>
    <n v="2734"/>
    <n v="0"/>
    <n v="1121"/>
    <n v="1000"/>
    <n v="0"/>
    <n v="1367"/>
    <n v="0"/>
    <n v="0"/>
    <n v="0"/>
    <x v="1"/>
    <n v="13441"/>
    <x v="0"/>
  </r>
  <r>
    <x v="1660"/>
    <n v="50000"/>
    <x v="0"/>
    <x v="0"/>
    <x v="2"/>
    <x v="0"/>
    <n v="55"/>
    <x v="2"/>
    <x v="4"/>
    <x v="0"/>
    <x v="2"/>
    <x v="3"/>
    <x v="1"/>
    <x v="2"/>
    <n v="49003"/>
    <n v="49067"/>
    <n v="50498"/>
    <n v="47579"/>
    <n v="47567"/>
    <n v="48155"/>
    <n v="2005"/>
    <n v="3900"/>
    <n v="0"/>
    <n v="2000"/>
    <n v="1900"/>
    <n v="1900"/>
    <n v="0"/>
    <x v="1"/>
    <n v="46998"/>
    <x v="1"/>
  </r>
  <r>
    <x v="1661"/>
    <n v="30000"/>
    <x v="0"/>
    <x v="0"/>
    <x v="0"/>
    <x v="0"/>
    <n v="39"/>
    <x v="1"/>
    <x v="1"/>
    <x v="2"/>
    <x v="0"/>
    <x v="0"/>
    <x v="2"/>
    <x v="3"/>
    <n v="223"/>
    <n v="223"/>
    <n v="223"/>
    <n v="223"/>
    <n v="223"/>
    <n v="675"/>
    <n v="223"/>
    <n v="223"/>
    <n v="223"/>
    <n v="223"/>
    <n v="675"/>
    <n v="10473"/>
    <n v="1"/>
    <x v="0"/>
    <n v="0"/>
    <x v="3"/>
  </r>
  <r>
    <x v="1662"/>
    <n v="90000"/>
    <x v="0"/>
    <x v="0"/>
    <x v="1"/>
    <x v="1"/>
    <n v="27"/>
    <x v="0"/>
    <x v="3"/>
    <x v="3"/>
    <x v="2"/>
    <x v="3"/>
    <x v="0"/>
    <x v="0"/>
    <n v="1179"/>
    <n v="6346"/>
    <n v="4607"/>
    <n v="-6"/>
    <n v="-2153"/>
    <n v="-4306"/>
    <n v="7020"/>
    <n v="2980"/>
    <n v="3000"/>
    <n v="0"/>
    <n v="0"/>
    <n v="0"/>
    <n v="0"/>
    <x v="1"/>
    <n v="-5841"/>
    <x v="3"/>
  </r>
  <r>
    <x v="1663"/>
    <n v="500000"/>
    <x v="2"/>
    <x v="0"/>
    <x v="1"/>
    <x v="1"/>
    <n v="36"/>
    <x v="1"/>
    <x v="3"/>
    <x v="3"/>
    <x v="3"/>
    <x v="2"/>
    <x v="0"/>
    <x v="0"/>
    <n v="-312"/>
    <n v="-2479"/>
    <n v="2479"/>
    <n v="2479"/>
    <n v="763"/>
    <n v="288"/>
    <n v="0"/>
    <n v="4958"/>
    <n v="0"/>
    <n v="763"/>
    <n v="0"/>
    <n v="14472"/>
    <n v="1"/>
    <x v="0"/>
    <n v="-312"/>
    <x v="3"/>
  </r>
  <r>
    <x v="1664"/>
    <n v="280000"/>
    <x v="1"/>
    <x v="1"/>
    <x v="1"/>
    <x v="0"/>
    <n v="40"/>
    <x v="3"/>
    <x v="1"/>
    <x v="2"/>
    <x v="0"/>
    <x v="0"/>
    <x v="2"/>
    <x v="3"/>
    <n v="5310"/>
    <n v="2196"/>
    <n v="2928"/>
    <n v="9564"/>
    <n v="22017"/>
    <n v="5220"/>
    <n v="2196"/>
    <n v="2928"/>
    <n v="9564"/>
    <n v="22017"/>
    <n v="5220"/>
    <n v="1964"/>
    <n v="0"/>
    <x v="1"/>
    <n v="3114"/>
    <x v="0"/>
  </r>
  <r>
    <x v="1665"/>
    <n v="30000"/>
    <x v="0"/>
    <x v="1"/>
    <x v="0"/>
    <x v="0"/>
    <n v="31"/>
    <x v="1"/>
    <x v="2"/>
    <x v="1"/>
    <x v="1"/>
    <x v="0"/>
    <x v="2"/>
    <x v="0"/>
    <n v="13265"/>
    <n v="7206"/>
    <n v="0"/>
    <n v="2320"/>
    <n v="0"/>
    <n v="0"/>
    <n v="1632"/>
    <n v="780"/>
    <n v="2320"/>
    <n v="0"/>
    <n v="0"/>
    <n v="0"/>
    <n v="0"/>
    <x v="1"/>
    <n v="11633"/>
    <x v="0"/>
  </r>
  <r>
    <x v="1666"/>
    <n v="90000"/>
    <x v="0"/>
    <x v="0"/>
    <x v="0"/>
    <x v="0"/>
    <n v="36"/>
    <x v="1"/>
    <x v="0"/>
    <x v="0"/>
    <x v="2"/>
    <x v="3"/>
    <x v="3"/>
    <x v="1"/>
    <n v="49295"/>
    <n v="50206"/>
    <n v="50781"/>
    <n v="51840"/>
    <n v="52607"/>
    <n v="53784"/>
    <n v="2000"/>
    <n v="1700"/>
    <n v="2200"/>
    <n v="1750"/>
    <n v="2200"/>
    <n v="2000"/>
    <n v="0"/>
    <x v="1"/>
    <n v="47295"/>
    <x v="1"/>
  </r>
  <r>
    <x v="1667"/>
    <n v="200000"/>
    <x v="1"/>
    <x v="1"/>
    <x v="0"/>
    <x v="0"/>
    <n v="42"/>
    <x v="3"/>
    <x v="4"/>
    <x v="0"/>
    <x v="1"/>
    <x v="1"/>
    <x v="3"/>
    <x v="1"/>
    <n v="38187"/>
    <n v="35827"/>
    <n v="19208"/>
    <n v="20023"/>
    <n v="19572"/>
    <n v="19652"/>
    <n v="44"/>
    <n v="1303"/>
    <n v="1522"/>
    <n v="0"/>
    <n v="1099"/>
    <n v="1339"/>
    <n v="1"/>
    <x v="0"/>
    <n v="38143"/>
    <x v="1"/>
  </r>
  <r>
    <x v="1668"/>
    <n v="100000"/>
    <x v="0"/>
    <x v="1"/>
    <x v="0"/>
    <x v="1"/>
    <n v="30"/>
    <x v="1"/>
    <x v="3"/>
    <x v="3"/>
    <x v="3"/>
    <x v="2"/>
    <x v="0"/>
    <x v="0"/>
    <n v="914"/>
    <n v="1170"/>
    <n v="0"/>
    <n v="0"/>
    <n v="1756"/>
    <n v="0"/>
    <n v="1475"/>
    <n v="0"/>
    <n v="0"/>
    <n v="1756"/>
    <n v="0"/>
    <n v="0"/>
    <n v="0"/>
    <x v="1"/>
    <n v="-561"/>
    <x v="3"/>
  </r>
  <r>
    <x v="1669"/>
    <n v="20000"/>
    <x v="0"/>
    <x v="1"/>
    <x v="2"/>
    <x v="1"/>
    <n v="40"/>
    <x v="3"/>
    <x v="2"/>
    <x v="1"/>
    <x v="2"/>
    <x v="4"/>
    <x v="3"/>
    <x v="1"/>
    <n v="12649"/>
    <n v="15526"/>
    <n v="16383"/>
    <n v="15831"/>
    <n v="15438"/>
    <n v="17371"/>
    <n v="3103"/>
    <n v="1408"/>
    <n v="0"/>
    <n v="0"/>
    <n v="2346"/>
    <n v="0"/>
    <n v="0"/>
    <x v="1"/>
    <n v="9546"/>
    <x v="0"/>
  </r>
  <r>
    <x v="1670"/>
    <n v="50000"/>
    <x v="0"/>
    <x v="1"/>
    <x v="0"/>
    <x v="0"/>
    <n v="51"/>
    <x v="2"/>
    <x v="2"/>
    <x v="1"/>
    <x v="1"/>
    <x v="1"/>
    <x v="1"/>
    <x v="2"/>
    <n v="49613"/>
    <n v="49326"/>
    <n v="47010"/>
    <n v="20661"/>
    <n v="14528"/>
    <n v="15544"/>
    <n v="3036"/>
    <n v="6000"/>
    <n v="1000"/>
    <n v="2000"/>
    <n v="2500"/>
    <n v="3000"/>
    <n v="0"/>
    <x v="1"/>
    <n v="46577"/>
    <x v="1"/>
  </r>
  <r>
    <x v="1671"/>
    <n v="50000"/>
    <x v="0"/>
    <x v="0"/>
    <x v="0"/>
    <x v="2"/>
    <n v="51"/>
    <x v="2"/>
    <x v="2"/>
    <x v="2"/>
    <x v="1"/>
    <x v="1"/>
    <x v="1"/>
    <x v="0"/>
    <n v="10571"/>
    <n v="2477"/>
    <n v="3234"/>
    <n v="2904"/>
    <n v="0"/>
    <n v="0"/>
    <n v="2477"/>
    <n v="2904"/>
    <n v="0"/>
    <n v="0"/>
    <n v="0"/>
    <n v="0"/>
    <n v="0"/>
    <x v="1"/>
    <n v="8094"/>
    <x v="0"/>
  </r>
  <r>
    <x v="1672"/>
    <n v="290000"/>
    <x v="1"/>
    <x v="1"/>
    <x v="2"/>
    <x v="1"/>
    <n v="32"/>
    <x v="1"/>
    <x v="1"/>
    <x v="2"/>
    <x v="0"/>
    <x v="0"/>
    <x v="2"/>
    <x v="2"/>
    <n v="1520"/>
    <n v="1200"/>
    <n v="0"/>
    <n v="1000"/>
    <n v="28661"/>
    <n v="8976"/>
    <n v="1200"/>
    <n v="0"/>
    <n v="1000"/>
    <n v="9948"/>
    <n v="8974"/>
    <n v="175000"/>
    <n v="0"/>
    <x v="1"/>
    <n v="320"/>
    <x v="0"/>
  </r>
  <r>
    <x v="1673"/>
    <n v="220000"/>
    <x v="1"/>
    <x v="0"/>
    <x v="1"/>
    <x v="1"/>
    <n v="36"/>
    <x v="1"/>
    <x v="3"/>
    <x v="3"/>
    <x v="3"/>
    <x v="2"/>
    <x v="0"/>
    <x v="0"/>
    <n v="0"/>
    <n v="420"/>
    <n v="0"/>
    <n v="584"/>
    <n v="790"/>
    <n v="0"/>
    <n v="420"/>
    <n v="0"/>
    <n v="584"/>
    <n v="790"/>
    <n v="0"/>
    <n v="1309"/>
    <n v="0"/>
    <x v="1"/>
    <n v="-420"/>
    <x v="3"/>
  </r>
  <r>
    <x v="1674"/>
    <n v="440000"/>
    <x v="2"/>
    <x v="1"/>
    <x v="1"/>
    <x v="0"/>
    <n v="37"/>
    <x v="1"/>
    <x v="1"/>
    <x v="2"/>
    <x v="0"/>
    <x v="0"/>
    <x v="2"/>
    <x v="3"/>
    <n v="4330"/>
    <n v="8369"/>
    <n v="16786"/>
    <n v="396"/>
    <n v="600"/>
    <n v="3596"/>
    <n v="8369"/>
    <n v="16786"/>
    <n v="396"/>
    <n v="600"/>
    <n v="3596"/>
    <n v="4095"/>
    <n v="0"/>
    <x v="1"/>
    <n v="-4039"/>
    <x v="3"/>
  </r>
  <r>
    <x v="1675"/>
    <n v="50000"/>
    <x v="0"/>
    <x v="1"/>
    <x v="0"/>
    <x v="1"/>
    <n v="49"/>
    <x v="3"/>
    <x v="2"/>
    <x v="1"/>
    <x v="1"/>
    <x v="1"/>
    <x v="1"/>
    <x v="2"/>
    <n v="90231"/>
    <n v="90647"/>
    <n v="92309"/>
    <n v="93880"/>
    <n v="99418"/>
    <n v="101392"/>
    <n v="2852"/>
    <n v="2784"/>
    <n v="2603"/>
    <n v="10000"/>
    <n v="3164"/>
    <n v="2868"/>
    <n v="1"/>
    <x v="0"/>
    <n v="87379"/>
    <x v="1"/>
  </r>
  <r>
    <x v="1676"/>
    <n v="300000"/>
    <x v="1"/>
    <x v="1"/>
    <x v="1"/>
    <x v="1"/>
    <n v="31"/>
    <x v="1"/>
    <x v="1"/>
    <x v="2"/>
    <x v="0"/>
    <x v="0"/>
    <x v="2"/>
    <x v="3"/>
    <n v="40779"/>
    <n v="5401"/>
    <n v="2444"/>
    <n v="578"/>
    <n v="390"/>
    <n v="1424"/>
    <n v="5401"/>
    <n v="2444"/>
    <n v="578"/>
    <n v="390"/>
    <n v="1424"/>
    <n v="390"/>
    <n v="0"/>
    <x v="1"/>
    <n v="35378"/>
    <x v="1"/>
  </r>
  <r>
    <x v="1677"/>
    <n v="290000"/>
    <x v="1"/>
    <x v="0"/>
    <x v="1"/>
    <x v="0"/>
    <n v="50"/>
    <x v="2"/>
    <x v="2"/>
    <x v="1"/>
    <x v="1"/>
    <x v="1"/>
    <x v="1"/>
    <x v="2"/>
    <n v="165563"/>
    <n v="128747"/>
    <n v="120469"/>
    <n v="78892"/>
    <n v="81561"/>
    <n v="83687"/>
    <n v="7000"/>
    <n v="10009"/>
    <n v="5000"/>
    <n v="5000"/>
    <n v="5000"/>
    <n v="10000"/>
    <n v="0"/>
    <x v="1"/>
    <n v="158563"/>
    <x v="2"/>
  </r>
  <r>
    <x v="1678"/>
    <n v="390000"/>
    <x v="2"/>
    <x v="1"/>
    <x v="0"/>
    <x v="0"/>
    <n v="40"/>
    <x v="3"/>
    <x v="4"/>
    <x v="0"/>
    <x v="1"/>
    <x v="1"/>
    <x v="1"/>
    <x v="2"/>
    <n v="424244"/>
    <n v="395060"/>
    <n v="258372"/>
    <n v="261498"/>
    <n v="213003"/>
    <n v="102423"/>
    <n v="587"/>
    <n v="9500"/>
    <n v="30140"/>
    <n v="4235"/>
    <n v="1998"/>
    <n v="25226"/>
    <n v="0"/>
    <x v="1"/>
    <n v="423657"/>
    <x v="2"/>
  </r>
  <r>
    <x v="1679"/>
    <n v="50000"/>
    <x v="0"/>
    <x v="0"/>
    <x v="0"/>
    <x v="1"/>
    <n v="24"/>
    <x v="0"/>
    <x v="2"/>
    <x v="1"/>
    <x v="1"/>
    <x v="1"/>
    <x v="1"/>
    <x v="2"/>
    <n v="29186"/>
    <n v="29792"/>
    <n v="26660"/>
    <n v="27416"/>
    <n v="27836"/>
    <n v="28473"/>
    <n v="1500"/>
    <n v="1500"/>
    <n v="1200"/>
    <n v="1010"/>
    <n v="1100"/>
    <n v="980"/>
    <n v="0"/>
    <x v="1"/>
    <n v="27686"/>
    <x v="1"/>
  </r>
  <r>
    <x v="1680"/>
    <n v="220000"/>
    <x v="1"/>
    <x v="0"/>
    <x v="0"/>
    <x v="1"/>
    <n v="31"/>
    <x v="1"/>
    <x v="1"/>
    <x v="2"/>
    <x v="3"/>
    <x v="0"/>
    <x v="2"/>
    <x v="0"/>
    <n v="38746"/>
    <n v="0"/>
    <n v="0"/>
    <n v="110699"/>
    <n v="0"/>
    <n v="0"/>
    <n v="0"/>
    <n v="0"/>
    <n v="110699"/>
    <n v="0"/>
    <n v="0"/>
    <n v="0"/>
    <n v="1"/>
    <x v="0"/>
    <n v="38746"/>
    <x v="1"/>
  </r>
  <r>
    <x v="1681"/>
    <n v="150000"/>
    <x v="1"/>
    <x v="0"/>
    <x v="0"/>
    <x v="1"/>
    <n v="29"/>
    <x v="0"/>
    <x v="2"/>
    <x v="1"/>
    <x v="0"/>
    <x v="1"/>
    <x v="1"/>
    <x v="2"/>
    <n v="3559"/>
    <n v="4724"/>
    <n v="2629"/>
    <n v="2584"/>
    <n v="1371"/>
    <n v="0"/>
    <n v="1222"/>
    <n v="2634"/>
    <n v="1008"/>
    <n v="506"/>
    <n v="0"/>
    <n v="0"/>
    <n v="0"/>
    <x v="1"/>
    <n v="2337"/>
    <x v="0"/>
  </r>
  <r>
    <x v="1682"/>
    <n v="50000"/>
    <x v="0"/>
    <x v="1"/>
    <x v="1"/>
    <x v="1"/>
    <n v="24"/>
    <x v="0"/>
    <x v="2"/>
    <x v="1"/>
    <x v="1"/>
    <x v="1"/>
    <x v="1"/>
    <x v="2"/>
    <n v="50963"/>
    <n v="49720"/>
    <n v="50839"/>
    <n v="93436"/>
    <n v="46733"/>
    <n v="50925"/>
    <n v="1844"/>
    <n v="1963"/>
    <n v="2635"/>
    <n v="1750"/>
    <n v="5000"/>
    <n v="2160"/>
    <n v="0"/>
    <x v="1"/>
    <n v="49119"/>
    <x v="1"/>
  </r>
  <r>
    <x v="1683"/>
    <n v="200000"/>
    <x v="1"/>
    <x v="1"/>
    <x v="1"/>
    <x v="0"/>
    <n v="44"/>
    <x v="3"/>
    <x v="1"/>
    <x v="2"/>
    <x v="3"/>
    <x v="2"/>
    <x v="0"/>
    <x v="0"/>
    <n v="667"/>
    <n v="0"/>
    <n v="0"/>
    <n v="0"/>
    <n v="0"/>
    <n v="0"/>
    <n v="0"/>
    <n v="0"/>
    <n v="0"/>
    <n v="0"/>
    <n v="0"/>
    <n v="0"/>
    <n v="0"/>
    <x v="1"/>
    <n v="667"/>
    <x v="0"/>
  </r>
  <r>
    <x v="1684"/>
    <n v="120000"/>
    <x v="1"/>
    <x v="0"/>
    <x v="0"/>
    <x v="1"/>
    <n v="30"/>
    <x v="1"/>
    <x v="2"/>
    <x v="1"/>
    <x v="1"/>
    <x v="1"/>
    <x v="1"/>
    <x v="2"/>
    <n v="16812"/>
    <n v="17571"/>
    <n v="18013"/>
    <n v="18197"/>
    <n v="9032"/>
    <n v="11951"/>
    <n v="1358"/>
    <n v="1126"/>
    <n v="636"/>
    <n v="650"/>
    <n v="4000"/>
    <n v="1800"/>
    <n v="0"/>
    <x v="1"/>
    <n v="15454"/>
    <x v="0"/>
  </r>
  <r>
    <x v="1685"/>
    <n v="230000"/>
    <x v="1"/>
    <x v="0"/>
    <x v="1"/>
    <x v="0"/>
    <n v="61"/>
    <x v="2"/>
    <x v="3"/>
    <x v="3"/>
    <x v="3"/>
    <x v="2"/>
    <x v="0"/>
    <x v="0"/>
    <n v="1443"/>
    <n v="1443"/>
    <n v="1443"/>
    <n v="1443"/>
    <n v="1443"/>
    <n v="1443"/>
    <n v="1443"/>
    <n v="1443"/>
    <n v="1443"/>
    <n v="1443"/>
    <n v="1443"/>
    <n v="1443"/>
    <n v="0"/>
    <x v="1"/>
    <n v="0"/>
    <x v="3"/>
  </r>
  <r>
    <x v="1686"/>
    <n v="180000"/>
    <x v="1"/>
    <x v="0"/>
    <x v="0"/>
    <x v="0"/>
    <n v="28"/>
    <x v="0"/>
    <x v="2"/>
    <x v="1"/>
    <x v="1"/>
    <x v="1"/>
    <x v="1"/>
    <x v="2"/>
    <n v="133868"/>
    <n v="125613"/>
    <n v="86893"/>
    <n v="89014"/>
    <n v="91946"/>
    <n v="93237"/>
    <n v="5300"/>
    <n v="4000"/>
    <n v="4000"/>
    <n v="10000"/>
    <n v="3200"/>
    <n v="3100"/>
    <n v="0"/>
    <x v="1"/>
    <n v="128568"/>
    <x v="2"/>
  </r>
  <r>
    <x v="1687"/>
    <n v="20000"/>
    <x v="0"/>
    <x v="1"/>
    <x v="1"/>
    <x v="1"/>
    <n v="22"/>
    <x v="0"/>
    <x v="2"/>
    <x v="1"/>
    <x v="1"/>
    <x v="1"/>
    <x v="1"/>
    <x v="2"/>
    <n v="23538"/>
    <n v="22780"/>
    <n v="23623"/>
    <n v="19600"/>
    <n v="20100"/>
    <n v="0"/>
    <n v="3000"/>
    <n v="1400"/>
    <n v="2500"/>
    <n v="500"/>
    <n v="0"/>
    <n v="0"/>
    <n v="0"/>
    <x v="1"/>
    <n v="20538"/>
    <x v="0"/>
  </r>
  <r>
    <x v="1688"/>
    <n v="20000"/>
    <x v="0"/>
    <x v="1"/>
    <x v="0"/>
    <x v="1"/>
    <n v="23"/>
    <x v="0"/>
    <x v="2"/>
    <x v="1"/>
    <x v="2"/>
    <x v="1"/>
    <x v="1"/>
    <x v="2"/>
    <n v="18804"/>
    <n v="17855"/>
    <n v="17199"/>
    <n v="17548"/>
    <n v="17992"/>
    <n v="31150"/>
    <n v="2150"/>
    <n v="1000"/>
    <n v="504"/>
    <n v="600"/>
    <n v="4000"/>
    <n v="4000"/>
    <n v="0"/>
    <x v="1"/>
    <n v="16654"/>
    <x v="0"/>
  </r>
  <r>
    <x v="1689"/>
    <n v="50000"/>
    <x v="0"/>
    <x v="1"/>
    <x v="2"/>
    <x v="0"/>
    <n v="46"/>
    <x v="3"/>
    <x v="1"/>
    <x v="0"/>
    <x v="2"/>
    <x v="2"/>
    <x v="0"/>
    <x v="0"/>
    <n v="13473"/>
    <n v="12800"/>
    <n v="0"/>
    <n v="0"/>
    <n v="0"/>
    <n v="0"/>
    <n v="0"/>
    <n v="0"/>
    <n v="0"/>
    <n v="0"/>
    <n v="0"/>
    <n v="0"/>
    <n v="1"/>
    <x v="0"/>
    <n v="13473"/>
    <x v="0"/>
  </r>
  <r>
    <x v="1690"/>
    <n v="290000"/>
    <x v="1"/>
    <x v="0"/>
    <x v="1"/>
    <x v="1"/>
    <n v="24"/>
    <x v="0"/>
    <x v="3"/>
    <x v="3"/>
    <x v="0"/>
    <x v="0"/>
    <x v="2"/>
    <x v="2"/>
    <n v="14931"/>
    <n v="15090"/>
    <n v="19239"/>
    <n v="4940"/>
    <n v="93332"/>
    <n v="96112"/>
    <n v="15090"/>
    <n v="19239"/>
    <n v="4975"/>
    <n v="96151"/>
    <n v="5500"/>
    <n v="4000"/>
    <n v="0"/>
    <x v="1"/>
    <n v="-159"/>
    <x v="3"/>
  </r>
  <r>
    <x v="1691"/>
    <n v="290000"/>
    <x v="1"/>
    <x v="0"/>
    <x v="0"/>
    <x v="1"/>
    <n v="54"/>
    <x v="2"/>
    <x v="3"/>
    <x v="3"/>
    <x v="3"/>
    <x v="2"/>
    <x v="0"/>
    <x v="0"/>
    <n v="-68"/>
    <n v="-68"/>
    <n v="-68"/>
    <n v="675"/>
    <n v="-6"/>
    <n v="2168"/>
    <n v="0"/>
    <n v="0"/>
    <n v="743"/>
    <n v="0"/>
    <n v="2174"/>
    <n v="972"/>
    <n v="0"/>
    <x v="1"/>
    <n v="-68"/>
    <x v="3"/>
  </r>
  <r>
    <x v="1692"/>
    <n v="150000"/>
    <x v="1"/>
    <x v="0"/>
    <x v="1"/>
    <x v="1"/>
    <n v="27"/>
    <x v="0"/>
    <x v="3"/>
    <x v="3"/>
    <x v="3"/>
    <x v="2"/>
    <x v="0"/>
    <x v="0"/>
    <n v="0"/>
    <n v="610"/>
    <n v="610"/>
    <n v="0"/>
    <n v="610"/>
    <n v="0"/>
    <n v="610"/>
    <n v="610"/>
    <n v="0"/>
    <n v="610"/>
    <n v="0"/>
    <n v="0"/>
    <n v="0"/>
    <x v="1"/>
    <n v="-610"/>
    <x v="3"/>
  </r>
  <r>
    <x v="1693"/>
    <n v="190000"/>
    <x v="1"/>
    <x v="0"/>
    <x v="0"/>
    <x v="1"/>
    <n v="53"/>
    <x v="2"/>
    <x v="2"/>
    <x v="1"/>
    <x v="1"/>
    <x v="1"/>
    <x v="1"/>
    <x v="2"/>
    <n v="173058"/>
    <n v="133198"/>
    <n v="131891"/>
    <n v="133516"/>
    <n v="135008"/>
    <n v="136486"/>
    <n v="6300"/>
    <n v="5000"/>
    <n v="5000"/>
    <n v="5000"/>
    <n v="5100"/>
    <n v="5000"/>
    <n v="0"/>
    <x v="1"/>
    <n v="166758"/>
    <x v="2"/>
  </r>
  <r>
    <x v="1694"/>
    <n v="80000"/>
    <x v="0"/>
    <x v="0"/>
    <x v="0"/>
    <x v="1"/>
    <n v="25"/>
    <x v="0"/>
    <x v="2"/>
    <x v="1"/>
    <x v="1"/>
    <x v="1"/>
    <x v="1"/>
    <x v="2"/>
    <n v="81003"/>
    <n v="85894"/>
    <n v="87061"/>
    <n v="89008"/>
    <n v="93523"/>
    <n v="80288"/>
    <n v="8213"/>
    <n v="3491"/>
    <n v="3508"/>
    <n v="19523"/>
    <n v="3288"/>
    <n v="1570"/>
    <n v="1"/>
    <x v="0"/>
    <n v="72790"/>
    <x v="1"/>
  </r>
  <r>
    <x v="1695"/>
    <n v="250000"/>
    <x v="1"/>
    <x v="1"/>
    <x v="2"/>
    <x v="0"/>
    <n v="47"/>
    <x v="3"/>
    <x v="1"/>
    <x v="2"/>
    <x v="0"/>
    <x v="0"/>
    <x v="2"/>
    <x v="3"/>
    <n v="1170"/>
    <n v="1863"/>
    <n v="3100"/>
    <n v="2560"/>
    <n v="2580"/>
    <n v="3699"/>
    <n v="1863"/>
    <n v="3112"/>
    <n v="2950"/>
    <n v="2580"/>
    <n v="3699"/>
    <n v="0"/>
    <n v="0"/>
    <x v="1"/>
    <n v="-693"/>
    <x v="3"/>
  </r>
  <r>
    <x v="1696"/>
    <n v="20000"/>
    <x v="0"/>
    <x v="1"/>
    <x v="0"/>
    <x v="0"/>
    <n v="35"/>
    <x v="1"/>
    <x v="4"/>
    <x v="0"/>
    <x v="2"/>
    <x v="1"/>
    <x v="1"/>
    <x v="2"/>
    <n v="19755"/>
    <n v="19661"/>
    <n v="20018"/>
    <n v="20427"/>
    <n v="19377"/>
    <n v="19386"/>
    <n v="1000"/>
    <n v="1000"/>
    <n v="1000"/>
    <n v="1500"/>
    <n v="900"/>
    <n v="1000"/>
    <n v="1"/>
    <x v="0"/>
    <n v="18755"/>
    <x v="0"/>
  </r>
  <r>
    <x v="1697"/>
    <n v="180000"/>
    <x v="1"/>
    <x v="0"/>
    <x v="2"/>
    <x v="0"/>
    <n v="45"/>
    <x v="3"/>
    <x v="1"/>
    <x v="2"/>
    <x v="0"/>
    <x v="0"/>
    <x v="2"/>
    <x v="3"/>
    <n v="396"/>
    <n v="396"/>
    <n v="396"/>
    <n v="396"/>
    <n v="396"/>
    <n v="396"/>
    <n v="396"/>
    <n v="396"/>
    <n v="396"/>
    <n v="396"/>
    <n v="396"/>
    <n v="396"/>
    <n v="0"/>
    <x v="1"/>
    <n v="0"/>
    <x v="3"/>
  </r>
  <r>
    <x v="1698"/>
    <n v="80000"/>
    <x v="0"/>
    <x v="1"/>
    <x v="1"/>
    <x v="1"/>
    <n v="25"/>
    <x v="0"/>
    <x v="1"/>
    <x v="2"/>
    <x v="0"/>
    <x v="0"/>
    <x v="2"/>
    <x v="1"/>
    <n v="2109"/>
    <n v="1257"/>
    <n v="466"/>
    <n v="628"/>
    <n v="2395"/>
    <n v="930"/>
    <n v="1257"/>
    <n v="466"/>
    <n v="628"/>
    <n v="2395"/>
    <n v="0"/>
    <n v="601"/>
    <n v="0"/>
    <x v="1"/>
    <n v="852"/>
    <x v="0"/>
  </r>
  <r>
    <x v="1699"/>
    <n v="300000"/>
    <x v="1"/>
    <x v="1"/>
    <x v="1"/>
    <x v="1"/>
    <n v="31"/>
    <x v="1"/>
    <x v="1"/>
    <x v="2"/>
    <x v="0"/>
    <x v="0"/>
    <x v="1"/>
    <x v="3"/>
    <n v="2166"/>
    <n v="2894"/>
    <n v="8903"/>
    <n v="12445"/>
    <n v="24650"/>
    <n v="8339"/>
    <n v="2918"/>
    <n v="8974"/>
    <n v="12457"/>
    <n v="15113"/>
    <n v="8369"/>
    <n v="3832"/>
    <n v="0"/>
    <x v="1"/>
    <n v="-752"/>
    <x v="3"/>
  </r>
  <r>
    <x v="1700"/>
    <n v="50000"/>
    <x v="0"/>
    <x v="0"/>
    <x v="2"/>
    <x v="0"/>
    <n v="51"/>
    <x v="2"/>
    <x v="2"/>
    <x v="1"/>
    <x v="1"/>
    <x v="1"/>
    <x v="1"/>
    <x v="3"/>
    <n v="20454"/>
    <n v="21899"/>
    <n v="20895"/>
    <n v="11241"/>
    <n v="-861"/>
    <n v="38040"/>
    <n v="2100"/>
    <n v="2000"/>
    <n v="1000"/>
    <n v="0"/>
    <n v="39500"/>
    <n v="1500"/>
    <n v="0"/>
    <x v="1"/>
    <n v="18354"/>
    <x v="0"/>
  </r>
  <r>
    <x v="1701"/>
    <n v="70000"/>
    <x v="0"/>
    <x v="0"/>
    <x v="1"/>
    <x v="0"/>
    <n v="40"/>
    <x v="3"/>
    <x v="2"/>
    <x v="1"/>
    <x v="1"/>
    <x v="1"/>
    <x v="1"/>
    <x v="2"/>
    <n v="51959"/>
    <n v="40519"/>
    <n v="31310"/>
    <n v="28929"/>
    <n v="29535"/>
    <n v="28160"/>
    <n v="1597"/>
    <n v="1407"/>
    <n v="972"/>
    <n v="1007"/>
    <n v="1028"/>
    <n v="913"/>
    <n v="0"/>
    <x v="1"/>
    <n v="50362"/>
    <x v="1"/>
  </r>
  <r>
    <x v="1702"/>
    <n v="150000"/>
    <x v="1"/>
    <x v="0"/>
    <x v="1"/>
    <x v="1"/>
    <n v="30"/>
    <x v="1"/>
    <x v="2"/>
    <x v="1"/>
    <x v="2"/>
    <x v="1"/>
    <x v="1"/>
    <x v="1"/>
    <n v="44795"/>
    <n v="43700"/>
    <n v="19543"/>
    <n v="34648"/>
    <n v="24241"/>
    <n v="19339"/>
    <n v="10000"/>
    <n v="20"/>
    <n v="30000"/>
    <n v="19800"/>
    <n v="0"/>
    <n v="5000"/>
    <n v="1"/>
    <x v="0"/>
    <n v="34795"/>
    <x v="1"/>
  </r>
  <r>
    <x v="1703"/>
    <n v="320000"/>
    <x v="2"/>
    <x v="0"/>
    <x v="1"/>
    <x v="1"/>
    <n v="29"/>
    <x v="0"/>
    <x v="1"/>
    <x v="2"/>
    <x v="0"/>
    <x v="0"/>
    <x v="2"/>
    <x v="2"/>
    <n v="179226"/>
    <n v="-200"/>
    <n v="200"/>
    <n v="0"/>
    <n v="10000"/>
    <n v="210000"/>
    <n v="0"/>
    <n v="400"/>
    <n v="0"/>
    <n v="10000"/>
    <n v="200000"/>
    <n v="0"/>
    <n v="0"/>
    <x v="1"/>
    <n v="179226"/>
    <x v="2"/>
  </r>
  <r>
    <x v="1704"/>
    <n v="60000"/>
    <x v="0"/>
    <x v="0"/>
    <x v="1"/>
    <x v="1"/>
    <n v="24"/>
    <x v="0"/>
    <x v="2"/>
    <x v="1"/>
    <x v="1"/>
    <x v="1"/>
    <x v="1"/>
    <x v="2"/>
    <n v="60381"/>
    <n v="39798"/>
    <n v="38344"/>
    <n v="37311"/>
    <n v="37428"/>
    <n v="38187"/>
    <n v="1639"/>
    <n v="1590"/>
    <n v="1500"/>
    <n v="1354"/>
    <n v="1377"/>
    <n v="1514"/>
    <n v="0"/>
    <x v="1"/>
    <n v="58742"/>
    <x v="1"/>
  </r>
  <r>
    <x v="1705"/>
    <n v="20000"/>
    <x v="0"/>
    <x v="1"/>
    <x v="2"/>
    <x v="1"/>
    <n v="32"/>
    <x v="1"/>
    <x v="2"/>
    <x v="1"/>
    <x v="2"/>
    <x v="3"/>
    <x v="3"/>
    <x v="2"/>
    <n v="3677"/>
    <n v="6002"/>
    <n v="5758"/>
    <n v="12619"/>
    <n v="12274"/>
    <n v="15049"/>
    <n v="2400"/>
    <n v="0"/>
    <n v="7000"/>
    <n v="0"/>
    <n v="3000"/>
    <n v="4000"/>
    <n v="1"/>
    <x v="0"/>
    <n v="1277"/>
    <x v="0"/>
  </r>
  <r>
    <x v="1706"/>
    <n v="230000"/>
    <x v="1"/>
    <x v="1"/>
    <x v="1"/>
    <x v="1"/>
    <n v="35"/>
    <x v="1"/>
    <x v="0"/>
    <x v="0"/>
    <x v="2"/>
    <x v="3"/>
    <x v="3"/>
    <x v="1"/>
    <n v="117277"/>
    <n v="119823"/>
    <n v="120988"/>
    <n v="121464"/>
    <n v="123740"/>
    <n v="120937"/>
    <n v="5800"/>
    <n v="4500"/>
    <n v="3800"/>
    <n v="5000"/>
    <n v="0"/>
    <n v="4500"/>
    <n v="0"/>
    <x v="1"/>
    <n v="111477"/>
    <x v="2"/>
  </r>
  <r>
    <x v="1707"/>
    <n v="310000"/>
    <x v="2"/>
    <x v="0"/>
    <x v="0"/>
    <x v="0"/>
    <n v="29"/>
    <x v="0"/>
    <x v="2"/>
    <x v="1"/>
    <x v="1"/>
    <x v="0"/>
    <x v="1"/>
    <x v="2"/>
    <n v="74955"/>
    <n v="77730"/>
    <n v="78497"/>
    <n v="72529"/>
    <n v="76345"/>
    <n v="79072"/>
    <n v="4000"/>
    <n v="5000"/>
    <n v="72529"/>
    <n v="5000"/>
    <n v="4000"/>
    <n v="4000"/>
    <n v="0"/>
    <x v="1"/>
    <n v="70955"/>
    <x v="1"/>
  </r>
  <r>
    <x v="1708"/>
    <n v="230000"/>
    <x v="1"/>
    <x v="0"/>
    <x v="1"/>
    <x v="1"/>
    <n v="36"/>
    <x v="1"/>
    <x v="1"/>
    <x v="2"/>
    <x v="0"/>
    <x v="1"/>
    <x v="1"/>
    <x v="2"/>
    <n v="1545"/>
    <n v="306"/>
    <n v="8389"/>
    <n v="7465"/>
    <n v="6549"/>
    <n v="576"/>
    <n v="306"/>
    <n v="8389"/>
    <n v="9"/>
    <n v="0"/>
    <n v="0"/>
    <n v="342"/>
    <n v="0"/>
    <x v="1"/>
    <n v="1239"/>
    <x v="0"/>
  </r>
  <r>
    <x v="1709"/>
    <n v="200000"/>
    <x v="1"/>
    <x v="0"/>
    <x v="1"/>
    <x v="0"/>
    <n v="40"/>
    <x v="3"/>
    <x v="3"/>
    <x v="3"/>
    <x v="3"/>
    <x v="2"/>
    <x v="0"/>
    <x v="0"/>
    <n v="2552"/>
    <n v="8064"/>
    <n v="32082"/>
    <n v="6914"/>
    <n v="1905"/>
    <n v="3244"/>
    <n v="8084"/>
    <n v="32105"/>
    <n v="7186"/>
    <n v="1905"/>
    <n v="3244"/>
    <n v="9768"/>
    <n v="0"/>
    <x v="1"/>
    <n v="-5532"/>
    <x v="3"/>
  </r>
  <r>
    <x v="1710"/>
    <n v="100000"/>
    <x v="0"/>
    <x v="0"/>
    <x v="1"/>
    <x v="1"/>
    <n v="30"/>
    <x v="1"/>
    <x v="2"/>
    <x v="1"/>
    <x v="1"/>
    <x v="1"/>
    <x v="3"/>
    <x v="2"/>
    <n v="28383"/>
    <n v="32903"/>
    <n v="42283"/>
    <n v="51539"/>
    <n v="50583"/>
    <n v="52588"/>
    <n v="5000"/>
    <n v="10000"/>
    <n v="10000"/>
    <n v="0"/>
    <n v="2846"/>
    <n v="1936"/>
    <n v="1"/>
    <x v="0"/>
    <n v="23383"/>
    <x v="0"/>
  </r>
  <r>
    <x v="1711"/>
    <n v="310000"/>
    <x v="2"/>
    <x v="1"/>
    <x v="0"/>
    <x v="0"/>
    <n v="64"/>
    <x v="2"/>
    <x v="1"/>
    <x v="2"/>
    <x v="0"/>
    <x v="1"/>
    <x v="2"/>
    <x v="3"/>
    <n v="1920"/>
    <n v="0"/>
    <n v="10124"/>
    <n v="10130"/>
    <n v="7958"/>
    <n v="0"/>
    <n v="0"/>
    <n v="10124"/>
    <n v="6"/>
    <n v="7958"/>
    <n v="0"/>
    <n v="0"/>
    <n v="0"/>
    <x v="1"/>
    <n v="1920"/>
    <x v="0"/>
  </r>
  <r>
    <x v="1712"/>
    <n v="180000"/>
    <x v="1"/>
    <x v="1"/>
    <x v="2"/>
    <x v="0"/>
    <n v="33"/>
    <x v="1"/>
    <x v="0"/>
    <x v="0"/>
    <x v="1"/>
    <x v="1"/>
    <x v="1"/>
    <x v="1"/>
    <n v="159999"/>
    <n v="156038"/>
    <n v="159924"/>
    <n v="162775"/>
    <n v="174719"/>
    <n v="178651"/>
    <n v="0"/>
    <n v="8000"/>
    <n v="7000"/>
    <n v="15000"/>
    <n v="7000"/>
    <n v="0"/>
    <n v="1"/>
    <x v="0"/>
    <n v="159999"/>
    <x v="2"/>
  </r>
  <r>
    <x v="1713"/>
    <n v="390000"/>
    <x v="2"/>
    <x v="0"/>
    <x v="1"/>
    <x v="0"/>
    <n v="38"/>
    <x v="1"/>
    <x v="2"/>
    <x v="1"/>
    <x v="1"/>
    <x v="1"/>
    <x v="1"/>
    <x v="2"/>
    <n v="164418"/>
    <n v="167501"/>
    <n v="134282"/>
    <n v="128701"/>
    <n v="131529"/>
    <n v="135242"/>
    <n v="9000"/>
    <n v="7027"/>
    <n v="5000"/>
    <n v="5000"/>
    <n v="6000"/>
    <n v="5000"/>
    <n v="0"/>
    <x v="1"/>
    <n v="155418"/>
    <x v="2"/>
  </r>
  <r>
    <x v="1714"/>
    <n v="20000"/>
    <x v="0"/>
    <x v="0"/>
    <x v="1"/>
    <x v="1"/>
    <n v="26"/>
    <x v="0"/>
    <x v="4"/>
    <x v="3"/>
    <x v="0"/>
    <x v="0"/>
    <x v="2"/>
    <x v="3"/>
    <n v="0"/>
    <n v="0"/>
    <n v="450"/>
    <n v="-150"/>
    <n v="750"/>
    <n v="568"/>
    <n v="0"/>
    <n v="450"/>
    <n v="0"/>
    <n v="900"/>
    <n v="568"/>
    <n v="1769"/>
    <n v="0"/>
    <x v="1"/>
    <n v="0"/>
    <x v="3"/>
  </r>
  <r>
    <x v="1715"/>
    <n v="50000"/>
    <x v="0"/>
    <x v="0"/>
    <x v="0"/>
    <x v="0"/>
    <n v="26"/>
    <x v="0"/>
    <x v="2"/>
    <x v="1"/>
    <x v="1"/>
    <x v="1"/>
    <x v="1"/>
    <x v="2"/>
    <n v="45663"/>
    <n v="43522"/>
    <n v="43193"/>
    <n v="18768"/>
    <n v="19182"/>
    <n v="19447"/>
    <n v="2300"/>
    <n v="2349"/>
    <n v="800"/>
    <n v="835"/>
    <n v="726"/>
    <n v="361"/>
    <n v="0"/>
    <x v="1"/>
    <n v="43363"/>
    <x v="1"/>
  </r>
  <r>
    <x v="1716"/>
    <n v="140000"/>
    <x v="1"/>
    <x v="1"/>
    <x v="1"/>
    <x v="1"/>
    <n v="29"/>
    <x v="0"/>
    <x v="2"/>
    <x v="1"/>
    <x v="1"/>
    <x v="1"/>
    <x v="1"/>
    <x v="2"/>
    <n v="142087"/>
    <n v="255846"/>
    <n v="140057"/>
    <n v="100177"/>
    <n v="100873"/>
    <n v="98363"/>
    <n v="5528"/>
    <n v="4500"/>
    <n v="3500"/>
    <n v="4000"/>
    <n v="4000"/>
    <n v="4000"/>
    <n v="0"/>
    <x v="1"/>
    <n v="136559"/>
    <x v="2"/>
  </r>
  <r>
    <x v="1717"/>
    <n v="170000"/>
    <x v="1"/>
    <x v="1"/>
    <x v="1"/>
    <x v="1"/>
    <n v="37"/>
    <x v="1"/>
    <x v="1"/>
    <x v="2"/>
    <x v="0"/>
    <x v="0"/>
    <x v="2"/>
    <x v="3"/>
    <n v="4334"/>
    <n v="1343"/>
    <n v="1078"/>
    <n v="1392"/>
    <n v="1606"/>
    <n v="9955"/>
    <n v="1343"/>
    <n v="1078"/>
    <n v="1392"/>
    <n v="1606"/>
    <n v="9955"/>
    <n v="4382"/>
    <n v="1"/>
    <x v="0"/>
    <n v="2991"/>
    <x v="0"/>
  </r>
  <r>
    <x v="1718"/>
    <n v="250000"/>
    <x v="1"/>
    <x v="0"/>
    <x v="0"/>
    <x v="0"/>
    <n v="45"/>
    <x v="3"/>
    <x v="3"/>
    <x v="3"/>
    <x v="3"/>
    <x v="2"/>
    <x v="0"/>
    <x v="0"/>
    <n v="100323"/>
    <n v="37494"/>
    <n v="41300"/>
    <n v="0"/>
    <n v="0"/>
    <n v="0"/>
    <n v="2500"/>
    <n v="5300"/>
    <n v="0"/>
    <n v="0"/>
    <n v="0"/>
    <n v="0"/>
    <n v="0"/>
    <x v="1"/>
    <n v="97823"/>
    <x v="1"/>
  </r>
  <r>
    <x v="1719"/>
    <n v="50000"/>
    <x v="0"/>
    <x v="0"/>
    <x v="2"/>
    <x v="0"/>
    <n v="40"/>
    <x v="3"/>
    <x v="0"/>
    <x v="0"/>
    <x v="1"/>
    <x v="1"/>
    <x v="1"/>
    <x v="2"/>
    <n v="49157"/>
    <n v="47990"/>
    <n v="38426"/>
    <n v="7816"/>
    <n v="7859"/>
    <n v="7979"/>
    <n v="0"/>
    <n v="2050"/>
    <n v="500"/>
    <n v="500"/>
    <n v="400"/>
    <n v="400"/>
    <n v="1"/>
    <x v="0"/>
    <n v="49157"/>
    <x v="1"/>
  </r>
  <r>
    <x v="1720"/>
    <n v="250000"/>
    <x v="1"/>
    <x v="0"/>
    <x v="1"/>
    <x v="1"/>
    <n v="36"/>
    <x v="1"/>
    <x v="2"/>
    <x v="1"/>
    <x v="1"/>
    <x v="1"/>
    <x v="1"/>
    <x v="2"/>
    <n v="130360"/>
    <n v="133799"/>
    <n v="137119"/>
    <n v="141367"/>
    <n v="133174"/>
    <n v="136481"/>
    <n v="5000"/>
    <n v="5000"/>
    <n v="5847"/>
    <n v="5000"/>
    <n v="5000"/>
    <n v="5018"/>
    <n v="0"/>
    <x v="1"/>
    <n v="125360"/>
    <x v="2"/>
  </r>
  <r>
    <x v="1721"/>
    <n v="90000"/>
    <x v="0"/>
    <x v="1"/>
    <x v="1"/>
    <x v="1"/>
    <n v="27"/>
    <x v="0"/>
    <x v="2"/>
    <x v="1"/>
    <x v="1"/>
    <x v="3"/>
    <x v="3"/>
    <x v="1"/>
    <n v="56608"/>
    <n v="57897"/>
    <n v="63686"/>
    <n v="65233"/>
    <n v="66637"/>
    <n v="67882"/>
    <n v="2800"/>
    <n v="7400"/>
    <n v="3200"/>
    <n v="2600"/>
    <n v="2500"/>
    <n v="2500"/>
    <n v="0"/>
    <x v="1"/>
    <n v="53808"/>
    <x v="1"/>
  </r>
  <r>
    <x v="1722"/>
    <n v="90000"/>
    <x v="0"/>
    <x v="1"/>
    <x v="0"/>
    <x v="0"/>
    <n v="44"/>
    <x v="3"/>
    <x v="0"/>
    <x v="1"/>
    <x v="1"/>
    <x v="1"/>
    <x v="1"/>
    <x v="2"/>
    <n v="89875"/>
    <n v="92338"/>
    <n v="87511"/>
    <n v="47796"/>
    <n v="48306"/>
    <n v="49054"/>
    <n v="4000"/>
    <n v="4200"/>
    <n v="1700"/>
    <n v="1800"/>
    <n v="2083"/>
    <n v="1827"/>
    <n v="1"/>
    <x v="0"/>
    <n v="85875"/>
    <x v="1"/>
  </r>
  <r>
    <x v="1723"/>
    <n v="160000"/>
    <x v="1"/>
    <x v="0"/>
    <x v="1"/>
    <x v="1"/>
    <n v="27"/>
    <x v="0"/>
    <x v="2"/>
    <x v="1"/>
    <x v="3"/>
    <x v="0"/>
    <x v="2"/>
    <x v="3"/>
    <n v="13234"/>
    <n v="0"/>
    <n v="6000"/>
    <n v="15866"/>
    <n v="4168"/>
    <n v="2067"/>
    <n v="0"/>
    <n v="6000"/>
    <n v="15866"/>
    <n v="4168"/>
    <n v="2067"/>
    <n v="11826"/>
    <n v="0"/>
    <x v="1"/>
    <n v="13234"/>
    <x v="0"/>
  </r>
  <r>
    <x v="1724"/>
    <n v="360000"/>
    <x v="2"/>
    <x v="1"/>
    <x v="0"/>
    <x v="1"/>
    <n v="29"/>
    <x v="0"/>
    <x v="2"/>
    <x v="1"/>
    <x v="1"/>
    <x v="1"/>
    <x v="1"/>
    <x v="2"/>
    <n v="114527"/>
    <n v="119487"/>
    <n v="113438"/>
    <n v="112940"/>
    <n v="122122"/>
    <n v="121547"/>
    <n v="20046"/>
    <n v="5046"/>
    <n v="10000"/>
    <n v="10048"/>
    <n v="10043"/>
    <n v="5014"/>
    <n v="0"/>
    <x v="1"/>
    <n v="94481"/>
    <x v="1"/>
  </r>
  <r>
    <x v="1725"/>
    <n v="330000"/>
    <x v="2"/>
    <x v="0"/>
    <x v="1"/>
    <x v="1"/>
    <n v="26"/>
    <x v="0"/>
    <x v="2"/>
    <x v="1"/>
    <x v="1"/>
    <x v="1"/>
    <x v="1"/>
    <x v="2"/>
    <n v="58667"/>
    <n v="38323"/>
    <n v="32726"/>
    <n v="43579"/>
    <n v="28908"/>
    <n v="20777"/>
    <n v="2213"/>
    <n v="5000"/>
    <n v="20000"/>
    <n v="1000"/>
    <n v="672"/>
    <n v="1200"/>
    <n v="0"/>
    <x v="1"/>
    <n v="56454"/>
    <x v="1"/>
  </r>
  <r>
    <x v="1726"/>
    <n v="50000"/>
    <x v="0"/>
    <x v="0"/>
    <x v="2"/>
    <x v="0"/>
    <n v="54"/>
    <x v="2"/>
    <x v="4"/>
    <x v="0"/>
    <x v="1"/>
    <x v="1"/>
    <x v="1"/>
    <x v="2"/>
    <n v="64069"/>
    <n v="59153"/>
    <n v="56275"/>
    <n v="53936"/>
    <n v="51740"/>
    <n v="49043"/>
    <n v="0"/>
    <n v="2031"/>
    <n v="1918"/>
    <n v="1993"/>
    <n v="1614"/>
    <n v="1789"/>
    <n v="0"/>
    <x v="1"/>
    <n v="64069"/>
    <x v="1"/>
  </r>
  <r>
    <x v="1727"/>
    <n v="60000"/>
    <x v="0"/>
    <x v="0"/>
    <x v="0"/>
    <x v="0"/>
    <n v="42"/>
    <x v="3"/>
    <x v="0"/>
    <x v="0"/>
    <x v="1"/>
    <x v="1"/>
    <x v="1"/>
    <x v="2"/>
    <n v="57598"/>
    <n v="50821"/>
    <n v="19638"/>
    <n v="18919"/>
    <n v="16853"/>
    <n v="29682"/>
    <n v="0"/>
    <n v="2000"/>
    <n v="2000"/>
    <n v="1000"/>
    <n v="20000"/>
    <n v="10000"/>
    <n v="1"/>
    <x v="0"/>
    <n v="57598"/>
    <x v="1"/>
  </r>
  <r>
    <x v="1728"/>
    <n v="10000"/>
    <x v="0"/>
    <x v="0"/>
    <x v="2"/>
    <x v="1"/>
    <n v="42"/>
    <x v="3"/>
    <x v="2"/>
    <x v="1"/>
    <x v="0"/>
    <x v="0"/>
    <x v="2"/>
    <x v="3"/>
    <n v="4908"/>
    <n v="5665"/>
    <n v="381"/>
    <n v="390"/>
    <n v="0"/>
    <n v="780"/>
    <n v="1275"/>
    <n v="381"/>
    <n v="399"/>
    <n v="0"/>
    <n v="780"/>
    <n v="0"/>
    <n v="0"/>
    <x v="1"/>
    <n v="3633"/>
    <x v="0"/>
  </r>
  <r>
    <x v="1729"/>
    <n v="70000"/>
    <x v="0"/>
    <x v="1"/>
    <x v="0"/>
    <x v="0"/>
    <n v="41"/>
    <x v="3"/>
    <x v="4"/>
    <x v="0"/>
    <x v="2"/>
    <x v="3"/>
    <x v="1"/>
    <x v="2"/>
    <n v="34779"/>
    <n v="35921"/>
    <n v="36536"/>
    <n v="35651"/>
    <n v="36427"/>
    <n v="37169"/>
    <n v="2000"/>
    <n v="1500"/>
    <n v="0"/>
    <n v="1500"/>
    <n v="1500"/>
    <n v="3000"/>
    <n v="0"/>
    <x v="1"/>
    <n v="32779"/>
    <x v="1"/>
  </r>
  <r>
    <x v="1730"/>
    <n v="150000"/>
    <x v="1"/>
    <x v="0"/>
    <x v="1"/>
    <x v="0"/>
    <n v="31"/>
    <x v="1"/>
    <x v="3"/>
    <x v="3"/>
    <x v="3"/>
    <x v="2"/>
    <x v="0"/>
    <x v="0"/>
    <n v="2977"/>
    <n v="1408"/>
    <n v="0"/>
    <n v="0"/>
    <n v="0"/>
    <n v="0"/>
    <n v="1408"/>
    <n v="0"/>
    <n v="0"/>
    <n v="0"/>
    <n v="0"/>
    <n v="4400"/>
    <n v="1"/>
    <x v="0"/>
    <n v="1569"/>
    <x v="0"/>
  </r>
  <r>
    <x v="1731"/>
    <n v="250000"/>
    <x v="1"/>
    <x v="0"/>
    <x v="0"/>
    <x v="1"/>
    <n v="33"/>
    <x v="1"/>
    <x v="2"/>
    <x v="1"/>
    <x v="1"/>
    <x v="1"/>
    <x v="1"/>
    <x v="2"/>
    <n v="255223"/>
    <n v="47070"/>
    <n v="48130"/>
    <n v="49625"/>
    <n v="51500"/>
    <n v="0"/>
    <n v="1600"/>
    <n v="1650"/>
    <n v="2100"/>
    <n v="3000"/>
    <n v="0"/>
    <n v="94825"/>
    <n v="1"/>
    <x v="0"/>
    <n v="253623"/>
    <x v="2"/>
  </r>
  <r>
    <x v="1732"/>
    <n v="130000"/>
    <x v="1"/>
    <x v="0"/>
    <x v="2"/>
    <x v="0"/>
    <n v="33"/>
    <x v="1"/>
    <x v="2"/>
    <x v="1"/>
    <x v="1"/>
    <x v="1"/>
    <x v="1"/>
    <x v="2"/>
    <n v="122199"/>
    <n v="125283"/>
    <n v="120957"/>
    <n v="41771"/>
    <n v="42648"/>
    <n v="43495"/>
    <n v="5100"/>
    <n v="3085"/>
    <n v="1493"/>
    <n v="1548"/>
    <n v="1556"/>
    <n v="1700"/>
    <n v="0"/>
    <x v="1"/>
    <n v="117099"/>
    <x v="2"/>
  </r>
  <r>
    <x v="1733"/>
    <n v="130000"/>
    <x v="1"/>
    <x v="1"/>
    <x v="1"/>
    <x v="1"/>
    <n v="27"/>
    <x v="0"/>
    <x v="2"/>
    <x v="1"/>
    <x v="1"/>
    <x v="1"/>
    <x v="1"/>
    <x v="2"/>
    <n v="84664"/>
    <n v="72079"/>
    <n v="24934"/>
    <n v="17810"/>
    <n v="11705"/>
    <n v="10007"/>
    <n v="2039"/>
    <n v="2007"/>
    <n v="1000"/>
    <n v="1000"/>
    <n v="600"/>
    <n v="2000"/>
    <n v="0"/>
    <x v="1"/>
    <n v="82625"/>
    <x v="1"/>
  </r>
  <r>
    <x v="1734"/>
    <n v="100000"/>
    <x v="0"/>
    <x v="0"/>
    <x v="0"/>
    <x v="0"/>
    <n v="36"/>
    <x v="1"/>
    <x v="3"/>
    <x v="3"/>
    <x v="3"/>
    <x v="2"/>
    <x v="0"/>
    <x v="0"/>
    <n v="2205"/>
    <n v="0"/>
    <n v="1983"/>
    <n v="3543"/>
    <n v="0"/>
    <n v="0"/>
    <n v="0"/>
    <n v="1983"/>
    <n v="3543"/>
    <n v="0"/>
    <n v="0"/>
    <n v="2645"/>
    <n v="0"/>
    <x v="1"/>
    <n v="2205"/>
    <x v="0"/>
  </r>
  <r>
    <x v="1735"/>
    <n v="130000"/>
    <x v="1"/>
    <x v="1"/>
    <x v="0"/>
    <x v="1"/>
    <n v="37"/>
    <x v="1"/>
    <x v="2"/>
    <x v="1"/>
    <x v="1"/>
    <x v="2"/>
    <x v="0"/>
    <x v="0"/>
    <n v="131446"/>
    <n v="102650"/>
    <n v="0"/>
    <n v="0"/>
    <n v="0"/>
    <n v="0"/>
    <n v="5000"/>
    <n v="0"/>
    <n v="0"/>
    <n v="0"/>
    <n v="0"/>
    <n v="0"/>
    <n v="0"/>
    <x v="1"/>
    <n v="126446"/>
    <x v="2"/>
  </r>
  <r>
    <x v="1736"/>
    <n v="80000"/>
    <x v="0"/>
    <x v="0"/>
    <x v="0"/>
    <x v="1"/>
    <n v="29"/>
    <x v="0"/>
    <x v="0"/>
    <x v="1"/>
    <x v="1"/>
    <x v="1"/>
    <x v="1"/>
    <x v="2"/>
    <n v="77416"/>
    <n v="75500"/>
    <n v="69313"/>
    <n v="67972"/>
    <n v="66800"/>
    <n v="68693"/>
    <n v="2661"/>
    <n v="2509"/>
    <n v="2500"/>
    <n v="3000"/>
    <n v="3000"/>
    <n v="3000"/>
    <n v="1"/>
    <x v="0"/>
    <n v="74755"/>
    <x v="1"/>
  </r>
  <r>
    <x v="1737"/>
    <n v="380000"/>
    <x v="2"/>
    <x v="1"/>
    <x v="1"/>
    <x v="1"/>
    <n v="41"/>
    <x v="3"/>
    <x v="2"/>
    <x v="1"/>
    <x v="2"/>
    <x v="1"/>
    <x v="1"/>
    <x v="2"/>
    <n v="350341"/>
    <n v="357703"/>
    <n v="344460"/>
    <n v="347754"/>
    <n v="334891"/>
    <n v="340728"/>
    <n v="28400"/>
    <n v="0"/>
    <n v="12800"/>
    <n v="12500"/>
    <n v="12500"/>
    <n v="12000"/>
    <n v="0"/>
    <x v="1"/>
    <n v="321941"/>
    <x v="2"/>
  </r>
  <r>
    <x v="1738"/>
    <n v="20000"/>
    <x v="0"/>
    <x v="0"/>
    <x v="0"/>
    <x v="1"/>
    <n v="23"/>
    <x v="0"/>
    <x v="2"/>
    <x v="1"/>
    <x v="1"/>
    <x v="1"/>
    <x v="1"/>
    <x v="2"/>
    <n v="17257"/>
    <n v="17417"/>
    <n v="14462"/>
    <n v="14750"/>
    <n v="15215"/>
    <n v="16209"/>
    <n v="1230"/>
    <n v="1239"/>
    <n v="527"/>
    <n v="702"/>
    <n v="1400"/>
    <n v="0"/>
    <n v="1"/>
    <x v="0"/>
    <n v="16027"/>
    <x v="0"/>
  </r>
  <r>
    <x v="1739"/>
    <n v="20000"/>
    <x v="0"/>
    <x v="1"/>
    <x v="0"/>
    <x v="1"/>
    <n v="25"/>
    <x v="0"/>
    <x v="2"/>
    <x v="1"/>
    <x v="4"/>
    <x v="3"/>
    <x v="3"/>
    <x v="3"/>
    <n v="15789"/>
    <n v="21698"/>
    <n v="21054"/>
    <n v="20355"/>
    <n v="19980"/>
    <n v="3470"/>
    <n v="6500"/>
    <n v="0"/>
    <n v="0"/>
    <n v="10000"/>
    <n v="25065"/>
    <n v="177"/>
    <n v="0"/>
    <x v="1"/>
    <n v="9289"/>
    <x v="0"/>
  </r>
  <r>
    <x v="1740"/>
    <n v="140000"/>
    <x v="1"/>
    <x v="1"/>
    <x v="1"/>
    <x v="0"/>
    <n v="54"/>
    <x v="2"/>
    <x v="2"/>
    <x v="1"/>
    <x v="1"/>
    <x v="1"/>
    <x v="1"/>
    <x v="2"/>
    <n v="139406"/>
    <n v="140295"/>
    <n v="134000"/>
    <n v="74388"/>
    <n v="92555"/>
    <n v="86993"/>
    <n v="5545"/>
    <n v="4200"/>
    <n v="3105"/>
    <n v="86417"/>
    <n v="3936"/>
    <n v="48390"/>
    <n v="1"/>
    <x v="0"/>
    <n v="133861"/>
    <x v="2"/>
  </r>
  <r>
    <x v="1741"/>
    <n v="180000"/>
    <x v="1"/>
    <x v="1"/>
    <x v="1"/>
    <x v="1"/>
    <n v="33"/>
    <x v="1"/>
    <x v="1"/>
    <x v="2"/>
    <x v="0"/>
    <x v="0"/>
    <x v="2"/>
    <x v="3"/>
    <n v="2217"/>
    <n v="0"/>
    <n v="8264"/>
    <n v="0"/>
    <n v="3278"/>
    <n v="0"/>
    <n v="0"/>
    <n v="8264"/>
    <n v="0"/>
    <n v="3278"/>
    <n v="0"/>
    <n v="4646"/>
    <n v="0"/>
    <x v="1"/>
    <n v="2217"/>
    <x v="0"/>
  </r>
  <r>
    <x v="1742"/>
    <n v="230000"/>
    <x v="1"/>
    <x v="0"/>
    <x v="1"/>
    <x v="1"/>
    <n v="29"/>
    <x v="0"/>
    <x v="3"/>
    <x v="3"/>
    <x v="3"/>
    <x v="2"/>
    <x v="0"/>
    <x v="0"/>
    <n v="-5"/>
    <n v="-5"/>
    <n v="2969"/>
    <n v="3419"/>
    <n v="0"/>
    <n v="1841"/>
    <n v="0"/>
    <n v="2974"/>
    <n v="3425"/>
    <n v="0"/>
    <n v="1841"/>
    <n v="200"/>
    <n v="0"/>
    <x v="1"/>
    <n v="-5"/>
    <x v="3"/>
  </r>
  <r>
    <x v="1743"/>
    <n v="90000"/>
    <x v="0"/>
    <x v="1"/>
    <x v="1"/>
    <x v="1"/>
    <n v="32"/>
    <x v="1"/>
    <x v="1"/>
    <x v="2"/>
    <x v="0"/>
    <x v="0"/>
    <x v="2"/>
    <x v="1"/>
    <n v="6546"/>
    <n v="1485"/>
    <n v="25558"/>
    <n v="1443"/>
    <n v="1677"/>
    <n v="1480"/>
    <n v="1498"/>
    <n v="25572"/>
    <n v="1443"/>
    <n v="257"/>
    <n v="0"/>
    <n v="58"/>
    <n v="0"/>
    <x v="1"/>
    <n v="5048"/>
    <x v="0"/>
  </r>
  <r>
    <x v="1744"/>
    <n v="160000"/>
    <x v="1"/>
    <x v="1"/>
    <x v="0"/>
    <x v="1"/>
    <n v="29"/>
    <x v="0"/>
    <x v="1"/>
    <x v="2"/>
    <x v="0"/>
    <x v="0"/>
    <x v="2"/>
    <x v="3"/>
    <n v="7002"/>
    <n v="6696"/>
    <n v="6062"/>
    <n v="4203"/>
    <n v="5780"/>
    <n v="12575"/>
    <n v="7229"/>
    <n v="6085"/>
    <n v="4230"/>
    <n v="5797"/>
    <n v="12589"/>
    <n v="6233"/>
    <n v="0"/>
    <x v="1"/>
    <n v="-227"/>
    <x v="3"/>
  </r>
  <r>
    <x v="1745"/>
    <n v="50000"/>
    <x v="0"/>
    <x v="0"/>
    <x v="1"/>
    <x v="1"/>
    <n v="22"/>
    <x v="0"/>
    <x v="2"/>
    <x v="1"/>
    <x v="1"/>
    <x v="1"/>
    <x v="1"/>
    <x v="2"/>
    <n v="49459"/>
    <n v="49281"/>
    <n v="50071"/>
    <n v="10104"/>
    <n v="9208"/>
    <n v="10075"/>
    <n v="2300"/>
    <n v="2000"/>
    <n v="1000"/>
    <n v="500"/>
    <n v="1000"/>
    <n v="500"/>
    <n v="0"/>
    <x v="1"/>
    <n v="47159"/>
    <x v="1"/>
  </r>
  <r>
    <x v="1746"/>
    <n v="140000"/>
    <x v="1"/>
    <x v="0"/>
    <x v="0"/>
    <x v="1"/>
    <n v="29"/>
    <x v="0"/>
    <x v="3"/>
    <x v="3"/>
    <x v="3"/>
    <x v="2"/>
    <x v="0"/>
    <x v="0"/>
    <n v="945"/>
    <n v="945"/>
    <n v="0"/>
    <n v="0"/>
    <n v="0"/>
    <n v="0"/>
    <n v="945"/>
    <n v="0"/>
    <n v="0"/>
    <n v="0"/>
    <n v="0"/>
    <n v="0"/>
    <n v="0"/>
    <x v="1"/>
    <n v="0"/>
    <x v="3"/>
  </r>
  <r>
    <x v="1747"/>
    <n v="250000"/>
    <x v="1"/>
    <x v="0"/>
    <x v="0"/>
    <x v="0"/>
    <n v="31"/>
    <x v="1"/>
    <x v="2"/>
    <x v="1"/>
    <x v="1"/>
    <x v="1"/>
    <x v="1"/>
    <x v="2"/>
    <n v="42441"/>
    <n v="43061"/>
    <n v="29385"/>
    <n v="27677"/>
    <n v="86250"/>
    <n v="65710"/>
    <n v="4000"/>
    <n v="3000"/>
    <n v="901"/>
    <n v="63000"/>
    <n v="2700"/>
    <n v="2000"/>
    <n v="0"/>
    <x v="1"/>
    <n v="38441"/>
    <x v="1"/>
  </r>
  <r>
    <x v="1748"/>
    <n v="120000"/>
    <x v="1"/>
    <x v="0"/>
    <x v="0"/>
    <x v="1"/>
    <n v="24"/>
    <x v="0"/>
    <x v="1"/>
    <x v="2"/>
    <x v="3"/>
    <x v="0"/>
    <x v="2"/>
    <x v="3"/>
    <n v="100"/>
    <n v="0"/>
    <n v="0"/>
    <n v="618"/>
    <n v="9614"/>
    <n v="39133"/>
    <n v="0"/>
    <n v="0"/>
    <n v="618"/>
    <n v="9614"/>
    <n v="39133"/>
    <n v="1500"/>
    <n v="0"/>
    <x v="1"/>
    <n v="100"/>
    <x v="0"/>
  </r>
  <r>
    <x v="1749"/>
    <n v="120000"/>
    <x v="1"/>
    <x v="0"/>
    <x v="1"/>
    <x v="1"/>
    <n v="27"/>
    <x v="0"/>
    <x v="2"/>
    <x v="1"/>
    <x v="1"/>
    <x v="1"/>
    <x v="1"/>
    <x v="2"/>
    <n v="79072"/>
    <n v="80795"/>
    <n v="82451"/>
    <n v="84177"/>
    <n v="85945"/>
    <n v="87813"/>
    <n v="3000"/>
    <n v="3000"/>
    <n v="3100"/>
    <n v="3122"/>
    <n v="3300"/>
    <n v="3060"/>
    <n v="0"/>
    <x v="1"/>
    <n v="76072"/>
    <x v="1"/>
  </r>
  <r>
    <x v="1750"/>
    <n v="260000"/>
    <x v="1"/>
    <x v="0"/>
    <x v="0"/>
    <x v="0"/>
    <n v="40"/>
    <x v="3"/>
    <x v="2"/>
    <x v="1"/>
    <x v="1"/>
    <x v="1"/>
    <x v="1"/>
    <x v="2"/>
    <n v="243196"/>
    <n v="258720"/>
    <n v="178102"/>
    <n v="77215"/>
    <n v="79331"/>
    <n v="81483"/>
    <n v="20008"/>
    <n v="7500"/>
    <n v="3000"/>
    <n v="3500"/>
    <n v="3605"/>
    <n v="3750"/>
    <n v="0"/>
    <x v="1"/>
    <n v="223188"/>
    <x v="2"/>
  </r>
  <r>
    <x v="1751"/>
    <n v="10000"/>
    <x v="0"/>
    <x v="1"/>
    <x v="0"/>
    <x v="1"/>
    <n v="38"/>
    <x v="1"/>
    <x v="0"/>
    <x v="0"/>
    <x v="4"/>
    <x v="4"/>
    <x v="4"/>
    <x v="4"/>
    <n v="1050"/>
    <n v="1050"/>
    <n v="1050"/>
    <n v="1050"/>
    <n v="1050"/>
    <n v="1050"/>
    <n v="0"/>
    <n v="0"/>
    <n v="0"/>
    <n v="0"/>
    <n v="0"/>
    <n v="0"/>
    <n v="1"/>
    <x v="0"/>
    <n v="1050"/>
    <x v="0"/>
  </r>
  <r>
    <x v="1752"/>
    <n v="60000"/>
    <x v="0"/>
    <x v="0"/>
    <x v="0"/>
    <x v="0"/>
    <n v="38"/>
    <x v="1"/>
    <x v="3"/>
    <x v="3"/>
    <x v="3"/>
    <x v="2"/>
    <x v="0"/>
    <x v="0"/>
    <n v="4764"/>
    <n v="30500"/>
    <n v="0"/>
    <n v="0"/>
    <n v="52829"/>
    <n v="41404"/>
    <n v="30500"/>
    <n v="0"/>
    <n v="0"/>
    <n v="52829"/>
    <n v="41404"/>
    <n v="22401"/>
    <n v="0"/>
    <x v="1"/>
    <n v="-25736"/>
    <x v="3"/>
  </r>
  <r>
    <x v="1753"/>
    <n v="60000"/>
    <x v="0"/>
    <x v="0"/>
    <x v="0"/>
    <x v="0"/>
    <n v="29"/>
    <x v="0"/>
    <x v="2"/>
    <x v="1"/>
    <x v="1"/>
    <x v="1"/>
    <x v="1"/>
    <x v="2"/>
    <n v="33147"/>
    <n v="54511"/>
    <n v="56167"/>
    <n v="28609"/>
    <n v="27660"/>
    <n v="27059"/>
    <n v="24511"/>
    <n v="6000"/>
    <n v="17000"/>
    <n v="1984"/>
    <n v="1100"/>
    <n v="1600"/>
    <n v="0"/>
    <x v="1"/>
    <n v="8636"/>
    <x v="0"/>
  </r>
  <r>
    <x v="1754"/>
    <n v="50000"/>
    <x v="0"/>
    <x v="1"/>
    <x v="0"/>
    <x v="1"/>
    <n v="27"/>
    <x v="0"/>
    <x v="2"/>
    <x v="1"/>
    <x v="1"/>
    <x v="1"/>
    <x v="1"/>
    <x v="2"/>
    <n v="17771"/>
    <n v="18794"/>
    <n v="19062"/>
    <n v="19443"/>
    <n v="19849"/>
    <n v="20287"/>
    <n v="1311"/>
    <n v="1299"/>
    <n v="680"/>
    <n v="703"/>
    <n v="750"/>
    <n v="626"/>
    <n v="0"/>
    <x v="1"/>
    <n v="16460"/>
    <x v="0"/>
  </r>
  <r>
    <x v="1755"/>
    <n v="130000"/>
    <x v="1"/>
    <x v="1"/>
    <x v="2"/>
    <x v="0"/>
    <n v="34"/>
    <x v="1"/>
    <x v="2"/>
    <x v="1"/>
    <x v="1"/>
    <x v="1"/>
    <x v="1"/>
    <x v="2"/>
    <n v="5444"/>
    <n v="5927"/>
    <n v="7106"/>
    <n v="7106"/>
    <n v="8106"/>
    <n v="9106"/>
    <n v="1321"/>
    <n v="1500"/>
    <n v="0"/>
    <n v="1000"/>
    <n v="1000"/>
    <n v="598"/>
    <n v="0"/>
    <x v="1"/>
    <n v="4123"/>
    <x v="0"/>
  </r>
  <r>
    <x v="1756"/>
    <n v="130000"/>
    <x v="1"/>
    <x v="1"/>
    <x v="1"/>
    <x v="1"/>
    <n v="34"/>
    <x v="1"/>
    <x v="2"/>
    <x v="1"/>
    <x v="1"/>
    <x v="1"/>
    <x v="1"/>
    <x v="2"/>
    <n v="31179"/>
    <n v="30569"/>
    <n v="28659"/>
    <n v="26952"/>
    <n v="15852"/>
    <n v="0"/>
    <n v="2002"/>
    <n v="1400"/>
    <n v="600"/>
    <n v="1000"/>
    <n v="0"/>
    <n v="0"/>
    <n v="0"/>
    <x v="1"/>
    <n v="29177"/>
    <x v="1"/>
  </r>
  <r>
    <x v="1757"/>
    <n v="360000"/>
    <x v="2"/>
    <x v="0"/>
    <x v="1"/>
    <x v="1"/>
    <n v="32"/>
    <x v="1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758"/>
    <n v="80000"/>
    <x v="0"/>
    <x v="0"/>
    <x v="0"/>
    <x v="0"/>
    <n v="36"/>
    <x v="1"/>
    <x v="2"/>
    <x v="1"/>
    <x v="1"/>
    <x v="1"/>
    <x v="1"/>
    <x v="2"/>
    <n v="20366"/>
    <n v="21084"/>
    <n v="22411"/>
    <n v="23624"/>
    <n v="23964"/>
    <n v="25661"/>
    <n v="1352"/>
    <n v="1679"/>
    <n v="1892"/>
    <n v="870"/>
    <n v="2096"/>
    <n v="0"/>
    <n v="0"/>
    <x v="1"/>
    <n v="19014"/>
    <x v="0"/>
  </r>
  <r>
    <x v="1759"/>
    <n v="50000"/>
    <x v="0"/>
    <x v="1"/>
    <x v="0"/>
    <x v="1"/>
    <n v="26"/>
    <x v="0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760"/>
    <n v="290000"/>
    <x v="1"/>
    <x v="0"/>
    <x v="1"/>
    <x v="0"/>
    <n v="33"/>
    <x v="1"/>
    <x v="4"/>
    <x v="0"/>
    <x v="0"/>
    <x v="0"/>
    <x v="2"/>
    <x v="3"/>
    <n v="7064"/>
    <n v="1875"/>
    <n v="1814"/>
    <n v="8537"/>
    <n v="25576"/>
    <n v="13475"/>
    <n v="0"/>
    <n v="1814"/>
    <n v="8537"/>
    <n v="25576"/>
    <n v="13475"/>
    <n v="6000"/>
    <n v="0"/>
    <x v="1"/>
    <n v="7064"/>
    <x v="0"/>
  </r>
  <r>
    <x v="1761"/>
    <n v="200000"/>
    <x v="1"/>
    <x v="1"/>
    <x v="1"/>
    <x v="0"/>
    <n v="53"/>
    <x v="2"/>
    <x v="2"/>
    <x v="1"/>
    <x v="3"/>
    <x v="2"/>
    <x v="2"/>
    <x v="3"/>
    <n v="195050"/>
    <n v="0"/>
    <n v="0"/>
    <n v="0"/>
    <n v="1000"/>
    <n v="0"/>
    <n v="0"/>
    <n v="0"/>
    <n v="0"/>
    <n v="1000"/>
    <n v="0"/>
    <n v="0"/>
    <n v="0"/>
    <x v="1"/>
    <n v="195050"/>
    <x v="2"/>
  </r>
  <r>
    <x v="1762"/>
    <n v="20000"/>
    <x v="0"/>
    <x v="1"/>
    <x v="0"/>
    <x v="1"/>
    <n v="27"/>
    <x v="0"/>
    <x v="2"/>
    <x v="1"/>
    <x v="1"/>
    <x v="1"/>
    <x v="1"/>
    <x v="0"/>
    <n v="18290"/>
    <n v="20144"/>
    <n v="19106"/>
    <n v="19292"/>
    <n v="0"/>
    <n v="0"/>
    <n v="2458"/>
    <n v="1200"/>
    <n v="386"/>
    <n v="1000"/>
    <n v="0"/>
    <n v="0"/>
    <n v="0"/>
    <x v="1"/>
    <n v="15832"/>
    <x v="0"/>
  </r>
  <r>
    <x v="1763"/>
    <n v="500000"/>
    <x v="2"/>
    <x v="1"/>
    <x v="1"/>
    <x v="1"/>
    <n v="33"/>
    <x v="1"/>
    <x v="1"/>
    <x v="2"/>
    <x v="0"/>
    <x v="2"/>
    <x v="2"/>
    <x v="3"/>
    <n v="5379"/>
    <n v="2062"/>
    <n v="10515"/>
    <n v="4158"/>
    <n v="7958"/>
    <n v="-196"/>
    <n v="2065"/>
    <n v="10556"/>
    <n v="4170"/>
    <n v="7963"/>
    <n v="196"/>
    <n v="7083"/>
    <n v="0"/>
    <x v="1"/>
    <n v="3314"/>
    <x v="0"/>
  </r>
  <r>
    <x v="1764"/>
    <n v="130000"/>
    <x v="1"/>
    <x v="0"/>
    <x v="1"/>
    <x v="1"/>
    <n v="26"/>
    <x v="0"/>
    <x v="4"/>
    <x v="0"/>
    <x v="2"/>
    <x v="3"/>
    <x v="3"/>
    <x v="1"/>
    <n v="22415"/>
    <n v="21146"/>
    <n v="23647"/>
    <n v="22984"/>
    <n v="24315"/>
    <n v="23155"/>
    <n v="0"/>
    <n v="3500"/>
    <n v="0"/>
    <n v="2000"/>
    <n v="0"/>
    <n v="2000"/>
    <n v="0"/>
    <x v="1"/>
    <n v="22415"/>
    <x v="0"/>
  </r>
  <r>
    <x v="1765"/>
    <n v="30000"/>
    <x v="0"/>
    <x v="0"/>
    <x v="1"/>
    <x v="1"/>
    <n v="27"/>
    <x v="0"/>
    <x v="2"/>
    <x v="1"/>
    <x v="1"/>
    <x v="1"/>
    <x v="1"/>
    <x v="2"/>
    <n v="23447"/>
    <n v="24563"/>
    <n v="25650"/>
    <n v="26222"/>
    <n v="26800"/>
    <n v="27554"/>
    <n v="1500"/>
    <n v="1500"/>
    <n v="1000"/>
    <n v="1000"/>
    <n v="1200"/>
    <n v="4271"/>
    <n v="1"/>
    <x v="0"/>
    <n v="21947"/>
    <x v="0"/>
  </r>
  <r>
    <x v="1766"/>
    <n v="20000"/>
    <x v="0"/>
    <x v="0"/>
    <x v="1"/>
    <x v="1"/>
    <n v="24"/>
    <x v="0"/>
    <x v="0"/>
    <x v="0"/>
    <x v="2"/>
    <x v="1"/>
    <x v="1"/>
    <x v="2"/>
    <n v="7919"/>
    <n v="8637"/>
    <n v="9339"/>
    <n v="10029"/>
    <n v="10615"/>
    <n v="11285"/>
    <n v="1000"/>
    <n v="1000"/>
    <n v="1000"/>
    <n v="900"/>
    <n v="1000"/>
    <n v="500"/>
    <n v="1"/>
    <x v="0"/>
    <n v="6919"/>
    <x v="0"/>
  </r>
  <r>
    <x v="1767"/>
    <n v="70000"/>
    <x v="0"/>
    <x v="0"/>
    <x v="0"/>
    <x v="1"/>
    <n v="26"/>
    <x v="0"/>
    <x v="2"/>
    <x v="1"/>
    <x v="1"/>
    <x v="1"/>
    <x v="1"/>
    <x v="2"/>
    <n v="30139"/>
    <n v="8241"/>
    <n v="8398"/>
    <n v="8864"/>
    <n v="9301"/>
    <n v="10702"/>
    <n v="2000"/>
    <n v="2000"/>
    <n v="2000"/>
    <n v="2000"/>
    <n v="3000"/>
    <n v="1500"/>
    <n v="0"/>
    <x v="1"/>
    <n v="28139"/>
    <x v="1"/>
  </r>
  <r>
    <x v="1768"/>
    <n v="200000"/>
    <x v="1"/>
    <x v="1"/>
    <x v="1"/>
    <x v="1"/>
    <n v="27"/>
    <x v="0"/>
    <x v="1"/>
    <x v="2"/>
    <x v="0"/>
    <x v="0"/>
    <x v="2"/>
    <x v="3"/>
    <n v="4890"/>
    <n v="3630"/>
    <n v="4882"/>
    <n v="10955"/>
    <n v="10435"/>
    <n v="1665"/>
    <n v="3630"/>
    <n v="4882"/>
    <n v="11034"/>
    <n v="10435"/>
    <n v="1665"/>
    <n v="3765"/>
    <n v="0"/>
    <x v="1"/>
    <n v="1260"/>
    <x v="0"/>
  </r>
  <r>
    <x v="1769"/>
    <n v="50000"/>
    <x v="0"/>
    <x v="0"/>
    <x v="0"/>
    <x v="0"/>
    <n v="46"/>
    <x v="3"/>
    <x v="1"/>
    <x v="2"/>
    <x v="0"/>
    <x v="0"/>
    <x v="2"/>
    <x v="3"/>
    <n v="569"/>
    <n v="1436"/>
    <n v="3220"/>
    <n v="6592"/>
    <n v="5085"/>
    <n v="1050"/>
    <n v="1440"/>
    <n v="3224"/>
    <n v="6621"/>
    <n v="5396"/>
    <n v="1050"/>
    <n v="0"/>
    <n v="1"/>
    <x v="0"/>
    <n v="-871"/>
    <x v="3"/>
  </r>
  <r>
    <x v="1770"/>
    <n v="360000"/>
    <x v="2"/>
    <x v="1"/>
    <x v="0"/>
    <x v="0"/>
    <n v="56"/>
    <x v="2"/>
    <x v="1"/>
    <x v="2"/>
    <x v="0"/>
    <x v="0"/>
    <x v="2"/>
    <x v="3"/>
    <n v="750"/>
    <n v="1224"/>
    <n v="3206"/>
    <n v="291"/>
    <n v="951"/>
    <n v="2941"/>
    <n v="1236"/>
    <n v="3537"/>
    <n v="291"/>
    <n v="951"/>
    <n v="2941"/>
    <n v="291"/>
    <n v="0"/>
    <x v="1"/>
    <n v="-486"/>
    <x v="3"/>
  </r>
  <r>
    <x v="1771"/>
    <n v="50000"/>
    <x v="0"/>
    <x v="0"/>
    <x v="2"/>
    <x v="0"/>
    <n v="56"/>
    <x v="2"/>
    <x v="2"/>
    <x v="1"/>
    <x v="1"/>
    <x v="1"/>
    <x v="1"/>
    <x v="2"/>
    <n v="33197"/>
    <n v="34961"/>
    <n v="28913"/>
    <n v="29093"/>
    <n v="29306"/>
    <n v="29506"/>
    <n v="2407"/>
    <n v="2960"/>
    <n v="1029"/>
    <n v="1059"/>
    <n v="1073"/>
    <n v="1200"/>
    <n v="0"/>
    <x v="1"/>
    <n v="30790"/>
    <x v="1"/>
  </r>
  <r>
    <x v="1772"/>
    <n v="180000"/>
    <x v="1"/>
    <x v="0"/>
    <x v="2"/>
    <x v="0"/>
    <n v="26"/>
    <x v="0"/>
    <x v="2"/>
    <x v="1"/>
    <x v="1"/>
    <x v="2"/>
    <x v="0"/>
    <x v="0"/>
    <n v="32023"/>
    <n v="20233"/>
    <n v="0"/>
    <n v="0"/>
    <n v="0"/>
    <n v="0"/>
    <n v="10000"/>
    <n v="0"/>
    <n v="0"/>
    <n v="0"/>
    <n v="0"/>
    <n v="0"/>
    <n v="0"/>
    <x v="1"/>
    <n v="22023"/>
    <x v="0"/>
  </r>
  <r>
    <x v="1773"/>
    <n v="50000"/>
    <x v="0"/>
    <x v="1"/>
    <x v="0"/>
    <x v="1"/>
    <n v="25"/>
    <x v="0"/>
    <x v="0"/>
    <x v="0"/>
    <x v="1"/>
    <x v="1"/>
    <x v="1"/>
    <x v="1"/>
    <n v="7180"/>
    <n v="6922"/>
    <n v="7849"/>
    <n v="8018"/>
    <n v="8884"/>
    <n v="8593"/>
    <n v="0"/>
    <n v="1200"/>
    <n v="300"/>
    <n v="1000"/>
    <n v="0"/>
    <n v="1000"/>
    <n v="1"/>
    <x v="0"/>
    <n v="7180"/>
    <x v="0"/>
  </r>
  <r>
    <x v="1774"/>
    <n v="120000"/>
    <x v="1"/>
    <x v="0"/>
    <x v="1"/>
    <x v="1"/>
    <n v="28"/>
    <x v="0"/>
    <x v="3"/>
    <x v="3"/>
    <x v="3"/>
    <x v="2"/>
    <x v="0"/>
    <x v="0"/>
    <n v="-8"/>
    <n v="2046"/>
    <n v="0"/>
    <n v="409"/>
    <n v="872"/>
    <n v="1539"/>
    <n v="2054"/>
    <n v="0"/>
    <n v="409"/>
    <n v="872"/>
    <n v="1539"/>
    <n v="580"/>
    <n v="0"/>
    <x v="1"/>
    <n v="-2062"/>
    <x v="3"/>
  </r>
  <r>
    <x v="1775"/>
    <n v="80000"/>
    <x v="0"/>
    <x v="0"/>
    <x v="0"/>
    <x v="0"/>
    <n v="37"/>
    <x v="1"/>
    <x v="0"/>
    <x v="0"/>
    <x v="2"/>
    <x v="3"/>
    <x v="3"/>
    <x v="1"/>
    <n v="15234"/>
    <n v="16893"/>
    <n v="17834"/>
    <n v="17250"/>
    <n v="18470"/>
    <n v="18023"/>
    <n v="2200"/>
    <n v="1500"/>
    <n v="0"/>
    <n v="1500"/>
    <n v="0"/>
    <n v="1600"/>
    <n v="1"/>
    <x v="0"/>
    <n v="13034"/>
    <x v="0"/>
  </r>
  <r>
    <x v="1776"/>
    <n v="330000"/>
    <x v="2"/>
    <x v="0"/>
    <x v="1"/>
    <x v="0"/>
    <n v="47"/>
    <x v="3"/>
    <x v="4"/>
    <x v="3"/>
    <x v="3"/>
    <x v="2"/>
    <x v="0"/>
    <x v="3"/>
    <n v="2246"/>
    <n v="13990"/>
    <n v="20992"/>
    <n v="681"/>
    <n v="0"/>
    <n v="5180"/>
    <n v="13990"/>
    <n v="21060"/>
    <n v="681"/>
    <n v="0"/>
    <n v="5180"/>
    <n v="3820"/>
    <n v="0"/>
    <x v="1"/>
    <n v="-11744"/>
    <x v="3"/>
  </r>
  <r>
    <x v="1777"/>
    <n v="40000"/>
    <x v="0"/>
    <x v="1"/>
    <x v="2"/>
    <x v="0"/>
    <n v="43"/>
    <x v="3"/>
    <x v="2"/>
    <x v="1"/>
    <x v="1"/>
    <x v="1"/>
    <x v="1"/>
    <x v="2"/>
    <n v="41094"/>
    <n v="36554"/>
    <n v="37568"/>
    <n v="38314"/>
    <n v="39141"/>
    <n v="40231"/>
    <n v="1611"/>
    <n v="1625"/>
    <n v="1371"/>
    <n v="1444"/>
    <n v="1765"/>
    <n v="1283"/>
    <n v="1"/>
    <x v="0"/>
    <n v="39483"/>
    <x v="1"/>
  </r>
  <r>
    <x v="1778"/>
    <n v="50000"/>
    <x v="0"/>
    <x v="1"/>
    <x v="0"/>
    <x v="1"/>
    <n v="26"/>
    <x v="0"/>
    <x v="2"/>
    <x v="1"/>
    <x v="1"/>
    <x v="1"/>
    <x v="1"/>
    <x v="2"/>
    <n v="27570"/>
    <n v="28820"/>
    <n v="29400"/>
    <n v="5124"/>
    <n v="6874"/>
    <n v="7654"/>
    <n v="2000"/>
    <n v="1200"/>
    <n v="1000"/>
    <n v="2000"/>
    <n v="1000"/>
    <n v="1979"/>
    <n v="0"/>
    <x v="1"/>
    <n v="25570"/>
    <x v="1"/>
  </r>
  <r>
    <x v="1779"/>
    <n v="80000"/>
    <x v="0"/>
    <x v="1"/>
    <x v="2"/>
    <x v="0"/>
    <n v="48"/>
    <x v="3"/>
    <x v="2"/>
    <x v="1"/>
    <x v="1"/>
    <x v="1"/>
    <x v="1"/>
    <x v="2"/>
    <n v="71515"/>
    <n v="70287"/>
    <n v="61892"/>
    <n v="26779"/>
    <n v="25464"/>
    <n v="25993"/>
    <n v="3679"/>
    <n v="2305"/>
    <n v="924"/>
    <n v="1069"/>
    <n v="1100"/>
    <n v="1110"/>
    <n v="0"/>
    <x v="1"/>
    <n v="67836"/>
    <x v="1"/>
  </r>
  <r>
    <x v="1780"/>
    <n v="450000"/>
    <x v="2"/>
    <x v="1"/>
    <x v="1"/>
    <x v="0"/>
    <n v="41"/>
    <x v="3"/>
    <x v="1"/>
    <x v="2"/>
    <x v="0"/>
    <x v="2"/>
    <x v="2"/>
    <x v="3"/>
    <n v="697"/>
    <n v="500"/>
    <n v="0"/>
    <n v="0"/>
    <n v="461"/>
    <n v="-3"/>
    <n v="505"/>
    <n v="0"/>
    <n v="0"/>
    <n v="461"/>
    <n v="3"/>
    <n v="0"/>
    <n v="0"/>
    <x v="1"/>
    <n v="192"/>
    <x v="0"/>
  </r>
  <r>
    <x v="1781"/>
    <n v="30000"/>
    <x v="0"/>
    <x v="0"/>
    <x v="2"/>
    <x v="0"/>
    <n v="48"/>
    <x v="3"/>
    <x v="2"/>
    <x v="1"/>
    <x v="1"/>
    <x v="1"/>
    <x v="1"/>
    <x v="2"/>
    <n v="27947"/>
    <n v="27035"/>
    <n v="27876"/>
    <n v="26640"/>
    <n v="25896"/>
    <n v="25481"/>
    <n v="2000"/>
    <n v="1800"/>
    <n v="1500"/>
    <n v="1500"/>
    <n v="1500"/>
    <n v="1500"/>
    <n v="0"/>
    <x v="1"/>
    <n v="25947"/>
    <x v="1"/>
  </r>
  <r>
    <x v="1782"/>
    <n v="160000"/>
    <x v="1"/>
    <x v="1"/>
    <x v="0"/>
    <x v="0"/>
    <n v="28"/>
    <x v="0"/>
    <x v="2"/>
    <x v="1"/>
    <x v="2"/>
    <x v="3"/>
    <x v="1"/>
    <x v="2"/>
    <n v="62312"/>
    <n v="66965"/>
    <n v="67648"/>
    <n v="66020"/>
    <n v="67386"/>
    <n v="68336"/>
    <n v="5856"/>
    <n v="2311"/>
    <n v="0"/>
    <n v="2377"/>
    <n v="2000"/>
    <n v="1881"/>
    <n v="0"/>
    <x v="1"/>
    <n v="56456"/>
    <x v="1"/>
  </r>
  <r>
    <x v="1783"/>
    <n v="80000"/>
    <x v="0"/>
    <x v="0"/>
    <x v="1"/>
    <x v="1"/>
    <n v="22"/>
    <x v="0"/>
    <x v="1"/>
    <x v="2"/>
    <x v="1"/>
    <x v="1"/>
    <x v="0"/>
    <x v="0"/>
    <n v="10439"/>
    <n v="11501"/>
    <n v="12113"/>
    <n v="-33"/>
    <n v="2748"/>
    <n v="90"/>
    <n v="11501"/>
    <n v="1000"/>
    <n v="33"/>
    <n v="2871"/>
    <n v="90"/>
    <n v="0"/>
    <n v="0"/>
    <x v="1"/>
    <n v="-1062"/>
    <x v="3"/>
  </r>
  <r>
    <x v="1784"/>
    <n v="400000"/>
    <x v="2"/>
    <x v="1"/>
    <x v="0"/>
    <x v="0"/>
    <n v="34"/>
    <x v="1"/>
    <x v="2"/>
    <x v="1"/>
    <x v="1"/>
    <x v="1"/>
    <x v="1"/>
    <x v="1"/>
    <n v="52271"/>
    <n v="56788"/>
    <n v="60049"/>
    <n v="60876"/>
    <n v="65178"/>
    <n v="45933"/>
    <n v="6000"/>
    <n v="5000"/>
    <n v="1902"/>
    <n v="5000"/>
    <n v="0"/>
    <n v="5000"/>
    <n v="0"/>
    <x v="1"/>
    <n v="46271"/>
    <x v="1"/>
  </r>
  <r>
    <x v="1785"/>
    <n v="220000"/>
    <x v="1"/>
    <x v="1"/>
    <x v="0"/>
    <x v="0"/>
    <n v="60"/>
    <x v="2"/>
    <x v="1"/>
    <x v="2"/>
    <x v="0"/>
    <x v="0"/>
    <x v="2"/>
    <x v="3"/>
    <n v="1994"/>
    <n v="1598"/>
    <n v="6944"/>
    <n v="7161"/>
    <n v="1534"/>
    <n v="11248"/>
    <n v="1606"/>
    <n v="6978"/>
    <n v="7196"/>
    <n v="1541"/>
    <n v="11304"/>
    <n v="483"/>
    <n v="1"/>
    <x v="0"/>
    <n v="388"/>
    <x v="0"/>
  </r>
  <r>
    <x v="1786"/>
    <n v="40000"/>
    <x v="0"/>
    <x v="0"/>
    <x v="0"/>
    <x v="0"/>
    <n v="25"/>
    <x v="0"/>
    <x v="2"/>
    <x v="1"/>
    <x v="2"/>
    <x v="3"/>
    <x v="3"/>
    <x v="1"/>
    <n v="21590"/>
    <n v="24326"/>
    <n v="23642"/>
    <n v="25936"/>
    <n v="25384"/>
    <n v="26905"/>
    <n v="3400"/>
    <n v="0"/>
    <n v="3000"/>
    <n v="0"/>
    <n v="2100"/>
    <n v="0"/>
    <n v="1"/>
    <x v="0"/>
    <n v="18190"/>
    <x v="0"/>
  </r>
  <r>
    <x v="1787"/>
    <n v="280000"/>
    <x v="1"/>
    <x v="0"/>
    <x v="0"/>
    <x v="1"/>
    <n v="27"/>
    <x v="0"/>
    <x v="1"/>
    <x v="1"/>
    <x v="1"/>
    <x v="1"/>
    <x v="3"/>
    <x v="2"/>
    <n v="82742"/>
    <n v="153791"/>
    <n v="85601"/>
    <n v="108984"/>
    <n v="105275"/>
    <n v="117635"/>
    <n v="10077"/>
    <n v="27785"/>
    <n v="30000"/>
    <n v="23"/>
    <n v="20000"/>
    <n v="3406"/>
    <n v="0"/>
    <x v="1"/>
    <n v="72665"/>
    <x v="1"/>
  </r>
  <r>
    <x v="1788"/>
    <n v="50000"/>
    <x v="0"/>
    <x v="0"/>
    <x v="1"/>
    <x v="1"/>
    <n v="25"/>
    <x v="0"/>
    <x v="2"/>
    <x v="1"/>
    <x v="1"/>
    <x v="2"/>
    <x v="0"/>
    <x v="0"/>
    <n v="50380"/>
    <n v="38712"/>
    <n v="0"/>
    <n v="0"/>
    <n v="0"/>
    <n v="0"/>
    <n v="4000"/>
    <n v="0"/>
    <n v="0"/>
    <n v="0"/>
    <n v="0"/>
    <n v="0"/>
    <n v="0"/>
    <x v="1"/>
    <n v="46380"/>
    <x v="1"/>
  </r>
  <r>
    <x v="1789"/>
    <n v="110000"/>
    <x v="1"/>
    <x v="1"/>
    <x v="0"/>
    <x v="1"/>
    <n v="26"/>
    <x v="0"/>
    <x v="2"/>
    <x v="1"/>
    <x v="1"/>
    <x v="1"/>
    <x v="1"/>
    <x v="2"/>
    <n v="106417"/>
    <n v="103587"/>
    <n v="56676"/>
    <n v="47332"/>
    <n v="45171"/>
    <n v="47092"/>
    <n v="9026"/>
    <n v="6000"/>
    <n v="2000"/>
    <n v="2000"/>
    <n v="3000"/>
    <n v="4006"/>
    <n v="0"/>
    <x v="1"/>
    <n v="97391"/>
    <x v="1"/>
  </r>
  <r>
    <x v="1790"/>
    <n v="180000"/>
    <x v="1"/>
    <x v="0"/>
    <x v="1"/>
    <x v="0"/>
    <n v="44"/>
    <x v="3"/>
    <x v="4"/>
    <x v="2"/>
    <x v="0"/>
    <x v="0"/>
    <x v="2"/>
    <x v="3"/>
    <n v="2788"/>
    <n v="5646"/>
    <n v="13647"/>
    <n v="30848"/>
    <n v="15520"/>
    <n v="558"/>
    <n v="5646"/>
    <n v="13901"/>
    <n v="30848"/>
    <n v="15520"/>
    <n v="558"/>
    <n v="26733"/>
    <n v="0"/>
    <x v="1"/>
    <n v="-2858"/>
    <x v="3"/>
  </r>
  <r>
    <x v="1791"/>
    <n v="200000"/>
    <x v="1"/>
    <x v="0"/>
    <x v="1"/>
    <x v="1"/>
    <n v="26"/>
    <x v="0"/>
    <x v="2"/>
    <x v="1"/>
    <x v="1"/>
    <x v="1"/>
    <x v="1"/>
    <x v="2"/>
    <n v="18630"/>
    <n v="15996"/>
    <n v="16304"/>
    <n v="14973"/>
    <n v="20542"/>
    <n v="15810"/>
    <n v="1502"/>
    <n v="1200"/>
    <n v="300"/>
    <n v="7000"/>
    <n v="8000"/>
    <n v="4000"/>
    <n v="0"/>
    <x v="1"/>
    <n v="17128"/>
    <x v="0"/>
  </r>
  <r>
    <x v="1792"/>
    <n v="390000"/>
    <x v="2"/>
    <x v="0"/>
    <x v="1"/>
    <x v="1"/>
    <n v="33"/>
    <x v="1"/>
    <x v="2"/>
    <x v="1"/>
    <x v="1"/>
    <x v="1"/>
    <x v="1"/>
    <x v="2"/>
    <n v="85538"/>
    <n v="79875"/>
    <n v="82853"/>
    <n v="82747"/>
    <n v="44143"/>
    <n v="38488"/>
    <n v="3500"/>
    <n v="4502"/>
    <n v="3518"/>
    <n v="2003"/>
    <n v="3001"/>
    <n v="3000"/>
    <n v="0"/>
    <x v="1"/>
    <n v="82038"/>
    <x v="1"/>
  </r>
  <r>
    <x v="1793"/>
    <n v="400000"/>
    <x v="2"/>
    <x v="0"/>
    <x v="1"/>
    <x v="1"/>
    <n v="29"/>
    <x v="0"/>
    <x v="1"/>
    <x v="1"/>
    <x v="1"/>
    <x v="1"/>
    <x v="1"/>
    <x v="2"/>
    <n v="5154"/>
    <n v="6016"/>
    <n v="7056"/>
    <n v="7310"/>
    <n v="9943"/>
    <n v="12849"/>
    <n v="1060"/>
    <n v="1100"/>
    <n v="310"/>
    <n v="3000"/>
    <n v="3000"/>
    <n v="6100"/>
    <n v="0"/>
    <x v="1"/>
    <n v="4094"/>
    <x v="0"/>
  </r>
  <r>
    <x v="1794"/>
    <n v="120000"/>
    <x v="1"/>
    <x v="0"/>
    <x v="2"/>
    <x v="1"/>
    <n v="37"/>
    <x v="1"/>
    <x v="1"/>
    <x v="2"/>
    <x v="0"/>
    <x v="0"/>
    <x v="2"/>
    <x v="3"/>
    <n v="776"/>
    <n v="1616"/>
    <n v="776"/>
    <n v="776"/>
    <n v="776"/>
    <n v="776"/>
    <n v="1616"/>
    <n v="776"/>
    <n v="776"/>
    <n v="776"/>
    <n v="776"/>
    <n v="776"/>
    <n v="1"/>
    <x v="0"/>
    <n v="-840"/>
    <x v="3"/>
  </r>
  <r>
    <x v="1795"/>
    <n v="200000"/>
    <x v="1"/>
    <x v="1"/>
    <x v="1"/>
    <x v="1"/>
    <n v="34"/>
    <x v="1"/>
    <x v="4"/>
    <x v="3"/>
    <x v="3"/>
    <x v="2"/>
    <x v="0"/>
    <x v="0"/>
    <n v="-800"/>
    <n v="-2685"/>
    <n v="-6144"/>
    <n v="-7905"/>
    <n v="-10213"/>
    <n v="-11060"/>
    <n v="0"/>
    <n v="0"/>
    <n v="0"/>
    <n v="0"/>
    <n v="0"/>
    <n v="0"/>
    <n v="0"/>
    <x v="1"/>
    <n v="-800"/>
    <x v="3"/>
  </r>
  <r>
    <x v="1796"/>
    <n v="280000"/>
    <x v="1"/>
    <x v="1"/>
    <x v="0"/>
    <x v="0"/>
    <n v="33"/>
    <x v="1"/>
    <x v="2"/>
    <x v="1"/>
    <x v="1"/>
    <x v="1"/>
    <x v="1"/>
    <x v="2"/>
    <n v="207982"/>
    <n v="196055"/>
    <n v="182099"/>
    <n v="185925"/>
    <n v="188224"/>
    <n v="186529"/>
    <n v="8644"/>
    <n v="6445"/>
    <n v="15934"/>
    <n v="7016"/>
    <n v="6753"/>
    <n v="6008"/>
    <n v="0"/>
    <x v="1"/>
    <n v="199338"/>
    <x v="2"/>
  </r>
  <r>
    <x v="1797"/>
    <n v="230000"/>
    <x v="1"/>
    <x v="0"/>
    <x v="1"/>
    <x v="1"/>
    <n v="27"/>
    <x v="0"/>
    <x v="2"/>
    <x v="1"/>
    <x v="1"/>
    <x v="1"/>
    <x v="1"/>
    <x v="2"/>
    <n v="105217"/>
    <n v="107857"/>
    <n v="110177"/>
    <n v="60137"/>
    <n v="62035"/>
    <n v="64034"/>
    <n v="4326"/>
    <n v="4533"/>
    <n v="2337"/>
    <n v="3035"/>
    <n v="3034"/>
    <n v="3101"/>
    <n v="0"/>
    <x v="1"/>
    <n v="100891"/>
    <x v="2"/>
  </r>
  <r>
    <x v="1798"/>
    <n v="280000"/>
    <x v="1"/>
    <x v="0"/>
    <x v="1"/>
    <x v="0"/>
    <n v="36"/>
    <x v="1"/>
    <x v="1"/>
    <x v="2"/>
    <x v="0"/>
    <x v="0"/>
    <x v="2"/>
    <x v="3"/>
    <n v="21251"/>
    <n v="33746"/>
    <n v="8689"/>
    <n v="41652"/>
    <n v="9031"/>
    <n v="14106"/>
    <n v="33840"/>
    <n v="8689"/>
    <n v="41652"/>
    <n v="9031"/>
    <n v="14106"/>
    <n v="6680"/>
    <n v="0"/>
    <x v="1"/>
    <n v="-12589"/>
    <x v="3"/>
  </r>
  <r>
    <x v="1799"/>
    <n v="130000"/>
    <x v="1"/>
    <x v="1"/>
    <x v="2"/>
    <x v="1"/>
    <n v="28"/>
    <x v="0"/>
    <x v="2"/>
    <x v="1"/>
    <x v="1"/>
    <x v="1"/>
    <x v="1"/>
    <x v="2"/>
    <n v="132258"/>
    <n v="133781"/>
    <n v="133834"/>
    <n v="132336"/>
    <n v="132614"/>
    <n v="132208"/>
    <n v="6900"/>
    <n v="7000"/>
    <n v="7000"/>
    <n v="6000"/>
    <n v="5500"/>
    <n v="6000"/>
    <n v="0"/>
    <x v="1"/>
    <n v="125358"/>
    <x v="2"/>
  </r>
  <r>
    <x v="1800"/>
    <n v="160000"/>
    <x v="1"/>
    <x v="0"/>
    <x v="0"/>
    <x v="0"/>
    <n v="35"/>
    <x v="1"/>
    <x v="1"/>
    <x v="2"/>
    <x v="0"/>
    <x v="0"/>
    <x v="2"/>
    <x v="3"/>
    <n v="776"/>
    <n v="1172"/>
    <n v="380"/>
    <n v="776"/>
    <n v="1172"/>
    <n v="380"/>
    <n v="1172"/>
    <n v="380"/>
    <n v="776"/>
    <n v="1172"/>
    <n v="380"/>
    <n v="776"/>
    <n v="1"/>
    <x v="0"/>
    <n v="-396"/>
    <x v="3"/>
  </r>
  <r>
    <x v="1801"/>
    <n v="120000"/>
    <x v="1"/>
    <x v="1"/>
    <x v="2"/>
    <x v="0"/>
    <n v="47"/>
    <x v="3"/>
    <x v="1"/>
    <x v="2"/>
    <x v="0"/>
    <x v="0"/>
    <x v="2"/>
    <x v="3"/>
    <n v="1051"/>
    <n v="671"/>
    <n v="291"/>
    <n v="1051"/>
    <n v="291"/>
    <n v="671"/>
    <n v="671"/>
    <n v="291"/>
    <n v="1051"/>
    <n v="291"/>
    <n v="671"/>
    <n v="1051"/>
    <n v="0"/>
    <x v="1"/>
    <n v="380"/>
    <x v="0"/>
  </r>
  <r>
    <x v="1802"/>
    <n v="300000"/>
    <x v="1"/>
    <x v="0"/>
    <x v="2"/>
    <x v="0"/>
    <n v="31"/>
    <x v="1"/>
    <x v="1"/>
    <x v="2"/>
    <x v="0"/>
    <x v="0"/>
    <x v="2"/>
    <x v="3"/>
    <n v="331"/>
    <n v="331"/>
    <n v="331"/>
    <n v="331"/>
    <n v="-1"/>
    <n v="199"/>
    <n v="332"/>
    <n v="332"/>
    <n v="332"/>
    <n v="0"/>
    <n v="200"/>
    <n v="0"/>
    <n v="0"/>
    <x v="1"/>
    <n v="-1"/>
    <x v="3"/>
  </r>
  <r>
    <x v="1803"/>
    <n v="20000"/>
    <x v="0"/>
    <x v="0"/>
    <x v="1"/>
    <x v="1"/>
    <n v="31"/>
    <x v="1"/>
    <x v="3"/>
    <x v="3"/>
    <x v="3"/>
    <x v="2"/>
    <x v="0"/>
    <x v="0"/>
    <n v="264"/>
    <n v="264"/>
    <n v="2227"/>
    <n v="1357"/>
    <n v="1357"/>
    <n v="4500"/>
    <n v="264"/>
    <n v="2227"/>
    <n v="1357"/>
    <n v="1357"/>
    <n v="4500"/>
    <n v="1357"/>
    <n v="0"/>
    <x v="1"/>
    <n v="0"/>
    <x v="3"/>
  </r>
  <r>
    <x v="1804"/>
    <n v="450000"/>
    <x v="2"/>
    <x v="1"/>
    <x v="1"/>
    <x v="1"/>
    <n v="31"/>
    <x v="1"/>
    <x v="1"/>
    <x v="2"/>
    <x v="0"/>
    <x v="0"/>
    <x v="2"/>
    <x v="3"/>
    <n v="10350"/>
    <n v="3629"/>
    <n v="3271"/>
    <n v="6271"/>
    <n v="2135"/>
    <n v="2546"/>
    <n v="3629"/>
    <n v="3271"/>
    <n v="6271"/>
    <n v="2135"/>
    <n v="2546"/>
    <n v="4877"/>
    <n v="1"/>
    <x v="0"/>
    <n v="6721"/>
    <x v="0"/>
  </r>
  <r>
    <x v="1805"/>
    <n v="250000"/>
    <x v="1"/>
    <x v="1"/>
    <x v="0"/>
    <x v="0"/>
    <n v="30"/>
    <x v="1"/>
    <x v="3"/>
    <x v="3"/>
    <x v="3"/>
    <x v="2"/>
    <x v="0"/>
    <x v="0"/>
    <n v="2419"/>
    <n v="28965"/>
    <n v="44179"/>
    <n v="37145"/>
    <n v="46733"/>
    <n v="46963"/>
    <n v="29062"/>
    <n v="44385"/>
    <n v="40682"/>
    <n v="46873"/>
    <n v="47104"/>
    <n v="52448"/>
    <n v="0"/>
    <x v="1"/>
    <n v="-26643"/>
    <x v="3"/>
  </r>
  <r>
    <x v="1806"/>
    <n v="100000"/>
    <x v="0"/>
    <x v="0"/>
    <x v="0"/>
    <x v="0"/>
    <n v="58"/>
    <x v="2"/>
    <x v="2"/>
    <x v="1"/>
    <x v="1"/>
    <x v="1"/>
    <x v="1"/>
    <x v="2"/>
    <n v="101249"/>
    <n v="101476"/>
    <n v="94893"/>
    <n v="101301"/>
    <n v="101451"/>
    <n v="99319"/>
    <n v="3642"/>
    <n v="4230"/>
    <n v="10000"/>
    <n v="3582"/>
    <n v="5000"/>
    <n v="4133"/>
    <n v="0"/>
    <x v="1"/>
    <n v="97607"/>
    <x v="1"/>
  </r>
  <r>
    <x v="1807"/>
    <n v="150000"/>
    <x v="1"/>
    <x v="0"/>
    <x v="0"/>
    <x v="1"/>
    <n v="27"/>
    <x v="0"/>
    <x v="2"/>
    <x v="1"/>
    <x v="1"/>
    <x v="1"/>
    <x v="1"/>
    <x v="2"/>
    <n v="23165"/>
    <n v="24515"/>
    <n v="25592"/>
    <n v="24949"/>
    <n v="26846"/>
    <n v="26908"/>
    <n v="1723"/>
    <n v="1800"/>
    <n v="1100"/>
    <n v="2300"/>
    <n v="1000"/>
    <n v="1300"/>
    <n v="0"/>
    <x v="1"/>
    <n v="21442"/>
    <x v="0"/>
  </r>
  <r>
    <x v="1808"/>
    <n v="140000"/>
    <x v="1"/>
    <x v="1"/>
    <x v="0"/>
    <x v="1"/>
    <n v="35"/>
    <x v="1"/>
    <x v="2"/>
    <x v="1"/>
    <x v="1"/>
    <x v="1"/>
    <x v="1"/>
    <x v="2"/>
    <n v="101038"/>
    <n v="66734"/>
    <n v="64018"/>
    <n v="64656"/>
    <n v="65341"/>
    <n v="66277"/>
    <n v="4215"/>
    <n v="3221"/>
    <n v="2066"/>
    <n v="1864"/>
    <n v="1895"/>
    <n v="1883"/>
    <n v="0"/>
    <x v="1"/>
    <n v="96823"/>
    <x v="1"/>
  </r>
  <r>
    <x v="1809"/>
    <n v="500000"/>
    <x v="2"/>
    <x v="0"/>
    <x v="1"/>
    <x v="1"/>
    <n v="46"/>
    <x v="3"/>
    <x v="3"/>
    <x v="2"/>
    <x v="0"/>
    <x v="0"/>
    <x v="2"/>
    <x v="3"/>
    <n v="33332"/>
    <n v="163500"/>
    <n v="60560"/>
    <n v="104734"/>
    <n v="41018"/>
    <n v="6258"/>
    <n v="163500"/>
    <n v="70160"/>
    <n v="104734"/>
    <n v="41018"/>
    <n v="6258"/>
    <n v="70356"/>
    <n v="0"/>
    <x v="1"/>
    <n v="-130168"/>
    <x v="3"/>
  </r>
  <r>
    <x v="1810"/>
    <n v="20000"/>
    <x v="0"/>
    <x v="1"/>
    <x v="0"/>
    <x v="1"/>
    <n v="36"/>
    <x v="1"/>
    <x v="1"/>
    <x v="2"/>
    <x v="0"/>
    <x v="1"/>
    <x v="1"/>
    <x v="2"/>
    <n v="3152"/>
    <n v="0"/>
    <n v="4956"/>
    <n v="10148"/>
    <n v="6979"/>
    <n v="8353"/>
    <n v="0"/>
    <n v="4956"/>
    <n v="200"/>
    <n v="2000"/>
    <n v="1500"/>
    <n v="500"/>
    <n v="0"/>
    <x v="1"/>
    <n v="3152"/>
    <x v="0"/>
  </r>
  <r>
    <x v="1811"/>
    <n v="50000"/>
    <x v="0"/>
    <x v="1"/>
    <x v="0"/>
    <x v="1"/>
    <n v="53"/>
    <x v="2"/>
    <x v="2"/>
    <x v="1"/>
    <x v="1"/>
    <x v="1"/>
    <x v="1"/>
    <x v="2"/>
    <n v="18922"/>
    <n v="19486"/>
    <n v="19917"/>
    <n v="20017"/>
    <n v="20146"/>
    <n v="20221"/>
    <n v="1329"/>
    <n v="1310"/>
    <n v="680"/>
    <n v="705"/>
    <n v="728"/>
    <n v="690"/>
    <n v="0"/>
    <x v="1"/>
    <n v="17593"/>
    <x v="0"/>
  </r>
  <r>
    <x v="1812"/>
    <n v="100000"/>
    <x v="0"/>
    <x v="1"/>
    <x v="0"/>
    <x v="1"/>
    <n v="39"/>
    <x v="1"/>
    <x v="2"/>
    <x v="1"/>
    <x v="1"/>
    <x v="1"/>
    <x v="1"/>
    <x v="2"/>
    <n v="121895"/>
    <n v="107315"/>
    <n v="115214"/>
    <n v="83649"/>
    <n v="59993"/>
    <n v="62813"/>
    <n v="4500"/>
    <n v="10000"/>
    <n v="11000"/>
    <n v="3000"/>
    <n v="4000"/>
    <n v="3000"/>
    <n v="1"/>
    <x v="0"/>
    <n v="117395"/>
    <x v="2"/>
  </r>
  <r>
    <x v="1813"/>
    <n v="200000"/>
    <x v="1"/>
    <x v="0"/>
    <x v="0"/>
    <x v="1"/>
    <n v="27"/>
    <x v="0"/>
    <x v="0"/>
    <x v="0"/>
    <x v="1"/>
    <x v="1"/>
    <x v="1"/>
    <x v="2"/>
    <n v="186806"/>
    <n v="166153"/>
    <n v="157633"/>
    <n v="145423"/>
    <n v="146202"/>
    <n v="144685"/>
    <n v="0"/>
    <n v="6908"/>
    <n v="5200"/>
    <n v="5400"/>
    <n v="5700"/>
    <n v="9101"/>
    <n v="0"/>
    <x v="1"/>
    <n v="186806"/>
    <x v="2"/>
  </r>
  <r>
    <x v="1814"/>
    <n v="150000"/>
    <x v="1"/>
    <x v="0"/>
    <x v="0"/>
    <x v="1"/>
    <n v="37"/>
    <x v="1"/>
    <x v="2"/>
    <x v="1"/>
    <x v="1"/>
    <x v="1"/>
    <x v="1"/>
    <x v="2"/>
    <n v="86037"/>
    <n v="84679"/>
    <n v="82490"/>
    <n v="78890"/>
    <n v="75240"/>
    <n v="75639"/>
    <n v="5000"/>
    <n v="5000"/>
    <n v="4000"/>
    <n v="3500"/>
    <n v="3000"/>
    <n v="4000"/>
    <n v="0"/>
    <x v="1"/>
    <n v="81037"/>
    <x v="1"/>
  </r>
  <r>
    <x v="1815"/>
    <n v="80000"/>
    <x v="0"/>
    <x v="1"/>
    <x v="1"/>
    <x v="1"/>
    <n v="23"/>
    <x v="0"/>
    <x v="2"/>
    <x v="1"/>
    <x v="1"/>
    <x v="0"/>
    <x v="3"/>
    <x v="1"/>
    <n v="60130"/>
    <n v="59744"/>
    <n v="44031"/>
    <n v="48089"/>
    <n v="44789"/>
    <n v="30423"/>
    <n v="2550"/>
    <n v="1848"/>
    <n v="6084"/>
    <n v="38"/>
    <n v="4"/>
    <n v="70"/>
    <n v="0"/>
    <x v="1"/>
    <n v="57580"/>
    <x v="1"/>
  </r>
  <r>
    <x v="1816"/>
    <n v="160000"/>
    <x v="1"/>
    <x v="1"/>
    <x v="1"/>
    <x v="0"/>
    <n v="40"/>
    <x v="3"/>
    <x v="4"/>
    <x v="2"/>
    <x v="0"/>
    <x v="0"/>
    <x v="2"/>
    <x v="3"/>
    <n v="0"/>
    <n v="567"/>
    <n v="4027"/>
    <n v="3100"/>
    <n v="2123"/>
    <n v="4899"/>
    <n v="567"/>
    <n v="4059"/>
    <n v="3100"/>
    <n v="2123"/>
    <n v="4899"/>
    <n v="3165"/>
    <n v="0"/>
    <x v="1"/>
    <n v="-567"/>
    <x v="3"/>
  </r>
  <r>
    <x v="1817"/>
    <n v="180000"/>
    <x v="1"/>
    <x v="0"/>
    <x v="0"/>
    <x v="0"/>
    <n v="44"/>
    <x v="3"/>
    <x v="1"/>
    <x v="2"/>
    <x v="0"/>
    <x v="0"/>
    <x v="2"/>
    <x v="3"/>
    <n v="816"/>
    <n v="803"/>
    <n v="2599"/>
    <n v="0"/>
    <n v="2311"/>
    <n v="2194"/>
    <n v="803"/>
    <n v="2800"/>
    <n v="0"/>
    <n v="2311"/>
    <n v="2542"/>
    <n v="236"/>
    <n v="0"/>
    <x v="1"/>
    <n v="13"/>
    <x v="0"/>
  </r>
  <r>
    <x v="1818"/>
    <n v="270000"/>
    <x v="1"/>
    <x v="0"/>
    <x v="1"/>
    <x v="0"/>
    <n v="32"/>
    <x v="1"/>
    <x v="1"/>
    <x v="2"/>
    <x v="0"/>
    <x v="1"/>
    <x v="1"/>
    <x v="3"/>
    <n v="23351"/>
    <n v="30960"/>
    <n v="180473"/>
    <n v="58839"/>
    <n v="21334"/>
    <n v="19080"/>
    <n v="30972"/>
    <n v="180519"/>
    <n v="1177"/>
    <n v="0"/>
    <n v="19080"/>
    <n v="133504"/>
    <n v="0"/>
    <x v="1"/>
    <n v="-7621"/>
    <x v="3"/>
  </r>
  <r>
    <x v="1819"/>
    <n v="180000"/>
    <x v="1"/>
    <x v="0"/>
    <x v="1"/>
    <x v="1"/>
    <n v="41"/>
    <x v="3"/>
    <x v="2"/>
    <x v="1"/>
    <x v="0"/>
    <x v="1"/>
    <x v="2"/>
    <x v="3"/>
    <n v="37353"/>
    <n v="24797"/>
    <n v="5549"/>
    <n v="22349"/>
    <n v="2974"/>
    <n v="0"/>
    <n v="1012"/>
    <n v="5549"/>
    <n v="17000"/>
    <n v="3322"/>
    <n v="0"/>
    <n v="2633"/>
    <n v="0"/>
    <x v="1"/>
    <n v="36341"/>
    <x v="1"/>
  </r>
  <r>
    <x v="1820"/>
    <n v="120000"/>
    <x v="1"/>
    <x v="1"/>
    <x v="1"/>
    <x v="0"/>
    <n v="54"/>
    <x v="2"/>
    <x v="1"/>
    <x v="2"/>
    <x v="0"/>
    <x v="0"/>
    <x v="1"/>
    <x v="3"/>
    <n v="390"/>
    <n v="390"/>
    <n v="390"/>
    <n v="1878"/>
    <n v="390"/>
    <n v="930"/>
    <n v="390"/>
    <n v="390"/>
    <n v="1878"/>
    <n v="0"/>
    <n v="930"/>
    <n v="0"/>
    <n v="1"/>
    <x v="0"/>
    <n v="0"/>
    <x v="3"/>
  </r>
  <r>
    <x v="1821"/>
    <n v="110000"/>
    <x v="1"/>
    <x v="0"/>
    <x v="1"/>
    <x v="1"/>
    <n v="29"/>
    <x v="0"/>
    <x v="2"/>
    <x v="1"/>
    <x v="1"/>
    <x v="1"/>
    <x v="1"/>
    <x v="2"/>
    <n v="48088"/>
    <n v="45980"/>
    <n v="44231"/>
    <n v="32489"/>
    <n v="26354"/>
    <n v="20221"/>
    <n v="2000"/>
    <n v="2010"/>
    <n v="3000"/>
    <n v="3000"/>
    <n v="3000"/>
    <n v="1000"/>
    <n v="0"/>
    <x v="1"/>
    <n v="46088"/>
    <x v="1"/>
  </r>
  <r>
    <x v="1822"/>
    <n v="50000"/>
    <x v="0"/>
    <x v="0"/>
    <x v="2"/>
    <x v="0"/>
    <n v="61"/>
    <x v="2"/>
    <x v="2"/>
    <x v="1"/>
    <x v="3"/>
    <x v="2"/>
    <x v="2"/>
    <x v="2"/>
    <n v="42200"/>
    <n v="0"/>
    <n v="0"/>
    <n v="0"/>
    <n v="15883"/>
    <n v="16617"/>
    <n v="0"/>
    <n v="0"/>
    <n v="0"/>
    <n v="15883"/>
    <n v="1000"/>
    <n v="792"/>
    <n v="0"/>
    <x v="1"/>
    <n v="42200"/>
    <x v="1"/>
  </r>
  <r>
    <x v="1823"/>
    <n v="200000"/>
    <x v="1"/>
    <x v="0"/>
    <x v="2"/>
    <x v="1"/>
    <n v="30"/>
    <x v="1"/>
    <x v="2"/>
    <x v="1"/>
    <x v="1"/>
    <x v="1"/>
    <x v="1"/>
    <x v="2"/>
    <n v="185723"/>
    <n v="166726"/>
    <n v="160181"/>
    <n v="161469"/>
    <n v="104232"/>
    <n v="151726"/>
    <n v="8009"/>
    <n v="6402"/>
    <n v="6715"/>
    <n v="4625"/>
    <n v="50086"/>
    <n v="5458"/>
    <n v="0"/>
    <x v="1"/>
    <n v="177714"/>
    <x v="2"/>
  </r>
  <r>
    <x v="1824"/>
    <n v="70000"/>
    <x v="0"/>
    <x v="0"/>
    <x v="2"/>
    <x v="0"/>
    <n v="23"/>
    <x v="0"/>
    <x v="0"/>
    <x v="2"/>
    <x v="0"/>
    <x v="0"/>
    <x v="2"/>
    <x v="3"/>
    <n v="254"/>
    <n v="2746"/>
    <n v="1885"/>
    <n v="2216"/>
    <n v="1348"/>
    <n v="29873"/>
    <n v="6840"/>
    <n v="1885"/>
    <n v="2216"/>
    <n v="1348"/>
    <n v="29873"/>
    <n v="1000"/>
    <n v="0"/>
    <x v="1"/>
    <n v="-6586"/>
    <x v="3"/>
  </r>
  <r>
    <x v="1825"/>
    <n v="360000"/>
    <x v="2"/>
    <x v="0"/>
    <x v="0"/>
    <x v="1"/>
    <n v="30"/>
    <x v="1"/>
    <x v="2"/>
    <x v="1"/>
    <x v="3"/>
    <x v="0"/>
    <x v="1"/>
    <x v="2"/>
    <n v="23900"/>
    <n v="0"/>
    <n v="0"/>
    <n v="150"/>
    <n v="205150"/>
    <n v="0"/>
    <n v="0"/>
    <n v="0"/>
    <n v="150"/>
    <n v="205000"/>
    <n v="0"/>
    <n v="0"/>
    <n v="0"/>
    <x v="1"/>
    <n v="23900"/>
    <x v="0"/>
  </r>
  <r>
    <x v="1826"/>
    <n v="260000"/>
    <x v="1"/>
    <x v="0"/>
    <x v="0"/>
    <x v="0"/>
    <n v="35"/>
    <x v="1"/>
    <x v="2"/>
    <x v="1"/>
    <x v="1"/>
    <x v="1"/>
    <x v="1"/>
    <x v="2"/>
    <n v="425349"/>
    <n v="435873"/>
    <n v="445129"/>
    <n v="452162"/>
    <n v="258010"/>
    <n v="221780"/>
    <n v="14347"/>
    <n v="15000"/>
    <n v="12406"/>
    <n v="9279"/>
    <n v="6078"/>
    <n v="0"/>
    <n v="1"/>
    <x v="0"/>
    <n v="411002"/>
    <x v="2"/>
  </r>
  <r>
    <x v="1827"/>
    <n v="50000"/>
    <x v="0"/>
    <x v="1"/>
    <x v="2"/>
    <x v="0"/>
    <n v="32"/>
    <x v="1"/>
    <x v="2"/>
    <x v="1"/>
    <x v="1"/>
    <x v="1"/>
    <x v="1"/>
    <x v="2"/>
    <n v="40992"/>
    <n v="35215"/>
    <n v="29156"/>
    <n v="18891"/>
    <n v="19443"/>
    <n v="19478"/>
    <n v="2026"/>
    <n v="2021"/>
    <n v="1000"/>
    <n v="1001"/>
    <n v="1000"/>
    <n v="707"/>
    <n v="0"/>
    <x v="1"/>
    <n v="38966"/>
    <x v="1"/>
  </r>
  <r>
    <x v="1828"/>
    <n v="380000"/>
    <x v="2"/>
    <x v="0"/>
    <x v="0"/>
    <x v="0"/>
    <n v="39"/>
    <x v="1"/>
    <x v="1"/>
    <x v="2"/>
    <x v="1"/>
    <x v="1"/>
    <x v="1"/>
    <x v="2"/>
    <n v="19261"/>
    <n v="81961"/>
    <n v="61189"/>
    <n v="38875"/>
    <n v="17876"/>
    <n v="13313"/>
    <n v="81975"/>
    <n v="1480"/>
    <n v="3000"/>
    <n v="1000"/>
    <n v="3000"/>
    <n v="10024"/>
    <n v="0"/>
    <x v="1"/>
    <n v="-62714"/>
    <x v="3"/>
  </r>
  <r>
    <x v="1829"/>
    <n v="50000"/>
    <x v="0"/>
    <x v="1"/>
    <x v="0"/>
    <x v="1"/>
    <n v="24"/>
    <x v="0"/>
    <x v="1"/>
    <x v="2"/>
    <x v="3"/>
    <x v="2"/>
    <x v="0"/>
    <x v="0"/>
    <n v="402"/>
    <n v="-2760"/>
    <n v="-3650"/>
    <n v="-3650"/>
    <n v="-3650"/>
    <n v="-3650"/>
    <n v="0"/>
    <n v="0"/>
    <n v="0"/>
    <n v="0"/>
    <n v="0"/>
    <n v="0"/>
    <n v="0"/>
    <x v="1"/>
    <n v="402"/>
    <x v="0"/>
  </r>
  <r>
    <x v="1830"/>
    <n v="20000"/>
    <x v="0"/>
    <x v="1"/>
    <x v="2"/>
    <x v="0"/>
    <n v="38"/>
    <x v="1"/>
    <x v="2"/>
    <x v="1"/>
    <x v="0"/>
    <x v="0"/>
    <x v="2"/>
    <x v="3"/>
    <n v="19805"/>
    <n v="19900"/>
    <n v="390"/>
    <n v="390"/>
    <n v="0"/>
    <n v="780"/>
    <n v="1000"/>
    <n v="390"/>
    <n v="390"/>
    <n v="0"/>
    <n v="780"/>
    <n v="0"/>
    <n v="1"/>
    <x v="0"/>
    <n v="18805"/>
    <x v="0"/>
  </r>
  <r>
    <x v="1831"/>
    <n v="270000"/>
    <x v="1"/>
    <x v="1"/>
    <x v="3"/>
    <x v="1"/>
    <n v="32"/>
    <x v="1"/>
    <x v="3"/>
    <x v="3"/>
    <x v="3"/>
    <x v="2"/>
    <x v="0"/>
    <x v="0"/>
    <n v="24089"/>
    <n v="51408"/>
    <n v="27067"/>
    <n v="40359"/>
    <n v="51264"/>
    <n v="34874"/>
    <n v="52398"/>
    <n v="27787"/>
    <n v="40569"/>
    <n v="53500"/>
    <n v="35051"/>
    <n v="120391"/>
    <n v="0"/>
    <x v="1"/>
    <n v="-28309"/>
    <x v="3"/>
  </r>
  <r>
    <x v="1832"/>
    <n v="460000"/>
    <x v="2"/>
    <x v="1"/>
    <x v="1"/>
    <x v="1"/>
    <n v="32"/>
    <x v="1"/>
    <x v="2"/>
    <x v="1"/>
    <x v="1"/>
    <x v="1"/>
    <x v="1"/>
    <x v="2"/>
    <n v="386437"/>
    <n v="393742"/>
    <n v="392625"/>
    <n v="368365"/>
    <n v="377858"/>
    <n v="362132"/>
    <n v="15000"/>
    <n v="15000"/>
    <n v="15000"/>
    <n v="15000"/>
    <n v="15000"/>
    <n v="20000"/>
    <n v="0"/>
    <x v="1"/>
    <n v="371437"/>
    <x v="2"/>
  </r>
  <r>
    <x v="1833"/>
    <n v="60000"/>
    <x v="0"/>
    <x v="1"/>
    <x v="2"/>
    <x v="1"/>
    <n v="24"/>
    <x v="0"/>
    <x v="2"/>
    <x v="1"/>
    <x v="1"/>
    <x v="1"/>
    <x v="3"/>
    <x v="2"/>
    <n v="58819"/>
    <n v="59810"/>
    <n v="56566"/>
    <n v="30627"/>
    <n v="30203"/>
    <n v="28648"/>
    <n v="3000"/>
    <n v="1768"/>
    <n v="3954"/>
    <n v="1000"/>
    <n v="1500"/>
    <n v="1200"/>
    <n v="0"/>
    <x v="1"/>
    <n v="55819"/>
    <x v="1"/>
  </r>
  <r>
    <x v="1834"/>
    <n v="200000"/>
    <x v="1"/>
    <x v="0"/>
    <x v="1"/>
    <x v="0"/>
    <n v="35"/>
    <x v="1"/>
    <x v="1"/>
    <x v="2"/>
    <x v="0"/>
    <x v="0"/>
    <x v="2"/>
    <x v="3"/>
    <n v="25663"/>
    <n v="14224"/>
    <n v="17560"/>
    <n v="3300"/>
    <n v="1920"/>
    <n v="2731"/>
    <n v="14224"/>
    <n v="17560"/>
    <n v="3300"/>
    <n v="1920"/>
    <n v="2731"/>
    <n v="0"/>
    <n v="0"/>
    <x v="1"/>
    <n v="11439"/>
    <x v="0"/>
  </r>
  <r>
    <x v="1835"/>
    <n v="50000"/>
    <x v="0"/>
    <x v="0"/>
    <x v="0"/>
    <x v="1"/>
    <n v="37"/>
    <x v="1"/>
    <x v="4"/>
    <x v="0"/>
    <x v="2"/>
    <x v="3"/>
    <x v="3"/>
    <x v="1"/>
    <n v="14008"/>
    <n v="13493"/>
    <n v="17259"/>
    <n v="16684"/>
    <n v="18017"/>
    <n v="17581"/>
    <n v="0"/>
    <n v="4000"/>
    <n v="0"/>
    <n v="1600"/>
    <n v="0"/>
    <n v="3000"/>
    <n v="1"/>
    <x v="0"/>
    <n v="14008"/>
    <x v="0"/>
  </r>
  <r>
    <x v="1836"/>
    <n v="20000"/>
    <x v="0"/>
    <x v="0"/>
    <x v="1"/>
    <x v="1"/>
    <n v="22"/>
    <x v="0"/>
    <x v="2"/>
    <x v="1"/>
    <x v="1"/>
    <x v="1"/>
    <x v="1"/>
    <x v="2"/>
    <n v="19760"/>
    <n v="18570"/>
    <n v="17604"/>
    <n v="11973"/>
    <n v="9517"/>
    <n v="6799"/>
    <n v="1376"/>
    <n v="1383"/>
    <n v="1000"/>
    <n v="455"/>
    <n v="1500"/>
    <n v="2200"/>
    <n v="0"/>
    <x v="1"/>
    <n v="18384"/>
    <x v="0"/>
  </r>
  <r>
    <x v="1837"/>
    <n v="290000"/>
    <x v="1"/>
    <x v="0"/>
    <x v="0"/>
    <x v="0"/>
    <n v="40"/>
    <x v="3"/>
    <x v="2"/>
    <x v="1"/>
    <x v="1"/>
    <x v="1"/>
    <x v="1"/>
    <x v="2"/>
    <n v="274558"/>
    <n v="256910"/>
    <n v="229566"/>
    <n v="148812"/>
    <n v="53157"/>
    <n v="47998"/>
    <n v="10700"/>
    <n v="11014"/>
    <n v="5800"/>
    <n v="1820"/>
    <n v="2000"/>
    <n v="2000"/>
    <n v="1"/>
    <x v="0"/>
    <n v="263858"/>
    <x v="2"/>
  </r>
  <r>
    <x v="1838"/>
    <n v="110000"/>
    <x v="1"/>
    <x v="0"/>
    <x v="0"/>
    <x v="1"/>
    <n v="36"/>
    <x v="1"/>
    <x v="2"/>
    <x v="1"/>
    <x v="1"/>
    <x v="1"/>
    <x v="1"/>
    <x v="2"/>
    <n v="116486"/>
    <n v="105604"/>
    <n v="96945"/>
    <n v="74171"/>
    <n v="70012"/>
    <n v="62256"/>
    <n v="4353"/>
    <n v="3294"/>
    <n v="5000"/>
    <n v="8300"/>
    <n v="5000"/>
    <n v="5000"/>
    <n v="0"/>
    <x v="1"/>
    <n v="112133"/>
    <x v="2"/>
  </r>
  <r>
    <x v="1839"/>
    <n v="160000"/>
    <x v="1"/>
    <x v="0"/>
    <x v="2"/>
    <x v="0"/>
    <n v="51"/>
    <x v="2"/>
    <x v="0"/>
    <x v="0"/>
    <x v="2"/>
    <x v="3"/>
    <x v="3"/>
    <x v="1"/>
    <n v="142064"/>
    <n v="144900"/>
    <n v="146534"/>
    <n v="147955"/>
    <n v="145488"/>
    <n v="155041"/>
    <n v="6600"/>
    <n v="5500"/>
    <n v="5310"/>
    <n v="0"/>
    <n v="12000"/>
    <n v="0"/>
    <n v="1"/>
    <x v="0"/>
    <n v="135464"/>
    <x v="2"/>
  </r>
  <r>
    <x v="1840"/>
    <n v="70000"/>
    <x v="0"/>
    <x v="0"/>
    <x v="0"/>
    <x v="0"/>
    <n v="31"/>
    <x v="1"/>
    <x v="2"/>
    <x v="1"/>
    <x v="1"/>
    <x v="1"/>
    <x v="1"/>
    <x v="2"/>
    <n v="60058"/>
    <n v="49647"/>
    <n v="43968"/>
    <n v="41127"/>
    <n v="39137"/>
    <n v="28712"/>
    <n v="1834"/>
    <n v="1608"/>
    <n v="1559"/>
    <n v="1630"/>
    <n v="1300"/>
    <n v="1000"/>
    <n v="0"/>
    <x v="1"/>
    <n v="58224"/>
    <x v="1"/>
  </r>
  <r>
    <x v="1841"/>
    <n v="200000"/>
    <x v="1"/>
    <x v="0"/>
    <x v="1"/>
    <x v="1"/>
    <n v="39"/>
    <x v="1"/>
    <x v="3"/>
    <x v="3"/>
    <x v="3"/>
    <x v="2"/>
    <x v="2"/>
    <x v="3"/>
    <n v="0"/>
    <n v="0"/>
    <n v="0"/>
    <n v="0"/>
    <n v="2330"/>
    <n v="0"/>
    <n v="0"/>
    <n v="0"/>
    <n v="0"/>
    <n v="2330"/>
    <n v="0"/>
    <n v="0"/>
    <n v="1"/>
    <x v="0"/>
    <n v="0"/>
    <x v="3"/>
  </r>
  <r>
    <x v="1842"/>
    <n v="80000"/>
    <x v="0"/>
    <x v="0"/>
    <x v="0"/>
    <x v="1"/>
    <n v="40"/>
    <x v="3"/>
    <x v="2"/>
    <x v="1"/>
    <x v="1"/>
    <x v="1"/>
    <x v="1"/>
    <x v="2"/>
    <n v="78717"/>
    <n v="75873"/>
    <n v="68602"/>
    <n v="54617"/>
    <n v="55987"/>
    <n v="53895"/>
    <n v="3300"/>
    <n v="3300"/>
    <n v="2000"/>
    <n v="2200"/>
    <n v="2100"/>
    <n v="1900"/>
    <n v="0"/>
    <x v="1"/>
    <n v="75417"/>
    <x v="1"/>
  </r>
  <r>
    <x v="1843"/>
    <n v="20000"/>
    <x v="0"/>
    <x v="1"/>
    <x v="1"/>
    <x v="1"/>
    <n v="41"/>
    <x v="3"/>
    <x v="3"/>
    <x v="3"/>
    <x v="1"/>
    <x v="1"/>
    <x v="1"/>
    <x v="2"/>
    <n v="18803"/>
    <n v="18376"/>
    <n v="19342"/>
    <n v="19081"/>
    <n v="19799"/>
    <n v="18718"/>
    <n v="36147"/>
    <n v="1281"/>
    <n v="658"/>
    <n v="1000"/>
    <n v="1000"/>
    <n v="760"/>
    <n v="1"/>
    <x v="0"/>
    <n v="-17344"/>
    <x v="3"/>
  </r>
  <r>
    <x v="1844"/>
    <n v="210000"/>
    <x v="1"/>
    <x v="1"/>
    <x v="1"/>
    <x v="1"/>
    <n v="48"/>
    <x v="3"/>
    <x v="3"/>
    <x v="3"/>
    <x v="3"/>
    <x v="2"/>
    <x v="0"/>
    <x v="0"/>
    <n v="0"/>
    <n v="570"/>
    <n v="0"/>
    <n v="0"/>
    <n v="0"/>
    <n v="0"/>
    <n v="570"/>
    <n v="0"/>
    <n v="0"/>
    <n v="0"/>
    <n v="0"/>
    <n v="0"/>
    <n v="0"/>
    <x v="1"/>
    <n v="-570"/>
    <x v="3"/>
  </r>
  <r>
    <x v="1845"/>
    <n v="180000"/>
    <x v="1"/>
    <x v="0"/>
    <x v="2"/>
    <x v="0"/>
    <n v="39"/>
    <x v="1"/>
    <x v="0"/>
    <x v="1"/>
    <x v="1"/>
    <x v="2"/>
    <x v="0"/>
    <x v="0"/>
    <n v="172488"/>
    <n v="72050"/>
    <n v="0"/>
    <n v="0"/>
    <n v="0"/>
    <n v="0"/>
    <n v="3450"/>
    <n v="0"/>
    <n v="0"/>
    <n v="0"/>
    <n v="0"/>
    <n v="0"/>
    <n v="1"/>
    <x v="0"/>
    <n v="169038"/>
    <x v="2"/>
  </r>
  <r>
    <x v="1846"/>
    <n v="50000"/>
    <x v="0"/>
    <x v="1"/>
    <x v="0"/>
    <x v="2"/>
    <n v="53"/>
    <x v="2"/>
    <x v="2"/>
    <x v="1"/>
    <x v="1"/>
    <x v="1"/>
    <x v="1"/>
    <x v="2"/>
    <n v="34664"/>
    <n v="17242"/>
    <n v="18417"/>
    <n v="18877"/>
    <n v="18985"/>
    <n v="18184"/>
    <n v="1500"/>
    <n v="1500"/>
    <n v="1000"/>
    <n v="800"/>
    <n v="2000"/>
    <n v="1000"/>
    <n v="0"/>
    <x v="1"/>
    <n v="33164"/>
    <x v="1"/>
  </r>
  <r>
    <x v="1847"/>
    <n v="30000"/>
    <x v="0"/>
    <x v="1"/>
    <x v="0"/>
    <x v="1"/>
    <n v="26"/>
    <x v="0"/>
    <x v="4"/>
    <x v="4"/>
    <x v="2"/>
    <x v="3"/>
    <x v="1"/>
    <x v="2"/>
    <n v="31305"/>
    <n v="30527"/>
    <n v="30789"/>
    <n v="29504"/>
    <n v="30276"/>
    <n v="29695"/>
    <n v="0"/>
    <n v="1060"/>
    <n v="0"/>
    <n v="1251"/>
    <n v="1078"/>
    <n v="1243"/>
    <n v="1"/>
    <x v="0"/>
    <n v="31305"/>
    <x v="1"/>
  </r>
  <r>
    <x v="1848"/>
    <n v="150000"/>
    <x v="1"/>
    <x v="1"/>
    <x v="1"/>
    <x v="1"/>
    <n v="30"/>
    <x v="1"/>
    <x v="1"/>
    <x v="2"/>
    <x v="0"/>
    <x v="0"/>
    <x v="2"/>
    <x v="3"/>
    <n v="6708"/>
    <n v="1098"/>
    <n v="1908"/>
    <n v="1589"/>
    <n v="9918"/>
    <n v="-16586"/>
    <n v="1098"/>
    <n v="2000"/>
    <n v="1589"/>
    <n v="9918"/>
    <n v="1157"/>
    <n v="0"/>
    <n v="0"/>
    <x v="1"/>
    <n v="5610"/>
    <x v="0"/>
  </r>
  <r>
    <x v="1849"/>
    <n v="150000"/>
    <x v="1"/>
    <x v="1"/>
    <x v="1"/>
    <x v="1"/>
    <n v="28"/>
    <x v="0"/>
    <x v="1"/>
    <x v="0"/>
    <x v="2"/>
    <x v="2"/>
    <x v="0"/>
    <x v="0"/>
    <n v="1111"/>
    <n v="820"/>
    <n v="-311"/>
    <n v="-602"/>
    <n v="-893"/>
    <n v="-1184"/>
    <n v="0"/>
    <n v="0"/>
    <n v="0"/>
    <n v="0"/>
    <n v="0"/>
    <n v="0"/>
    <n v="1"/>
    <x v="0"/>
    <n v="1111"/>
    <x v="0"/>
  </r>
  <r>
    <x v="1850"/>
    <n v="260000"/>
    <x v="1"/>
    <x v="1"/>
    <x v="1"/>
    <x v="0"/>
    <n v="43"/>
    <x v="3"/>
    <x v="4"/>
    <x v="2"/>
    <x v="0"/>
    <x v="0"/>
    <x v="2"/>
    <x v="0"/>
    <n v="0"/>
    <n v="2000"/>
    <n v="1620"/>
    <n v="8010"/>
    <n v="0"/>
    <n v="0"/>
    <n v="2000"/>
    <n v="1620"/>
    <n v="8080"/>
    <n v="0"/>
    <n v="0"/>
    <n v="0"/>
    <n v="0"/>
    <x v="1"/>
    <n v="-2000"/>
    <x v="3"/>
  </r>
  <r>
    <x v="1851"/>
    <n v="310000"/>
    <x v="2"/>
    <x v="0"/>
    <x v="1"/>
    <x v="1"/>
    <n v="30"/>
    <x v="1"/>
    <x v="2"/>
    <x v="1"/>
    <x v="1"/>
    <x v="1"/>
    <x v="1"/>
    <x v="2"/>
    <n v="304329"/>
    <n v="292848"/>
    <n v="279138"/>
    <n v="252703"/>
    <n v="248895"/>
    <n v="244026"/>
    <n v="14027"/>
    <n v="16800"/>
    <n v="11600"/>
    <n v="11000"/>
    <n v="10000"/>
    <n v="30000"/>
    <n v="0"/>
    <x v="1"/>
    <n v="290302"/>
    <x v="2"/>
  </r>
  <r>
    <x v="1852"/>
    <n v="150000"/>
    <x v="1"/>
    <x v="0"/>
    <x v="1"/>
    <x v="1"/>
    <n v="33"/>
    <x v="1"/>
    <x v="2"/>
    <x v="1"/>
    <x v="1"/>
    <x v="1"/>
    <x v="1"/>
    <x v="2"/>
    <n v="96066"/>
    <n v="98277"/>
    <n v="88202"/>
    <n v="48179"/>
    <n v="49426"/>
    <n v="50534"/>
    <n v="4400"/>
    <n v="4000"/>
    <n v="2000"/>
    <n v="2000"/>
    <n v="1900"/>
    <n v="1700"/>
    <n v="0"/>
    <x v="1"/>
    <n v="91666"/>
    <x v="1"/>
  </r>
  <r>
    <x v="1853"/>
    <n v="200000"/>
    <x v="1"/>
    <x v="0"/>
    <x v="1"/>
    <x v="1"/>
    <n v="27"/>
    <x v="0"/>
    <x v="1"/>
    <x v="2"/>
    <x v="0"/>
    <x v="0"/>
    <x v="2"/>
    <x v="3"/>
    <n v="16093"/>
    <n v="11163"/>
    <n v="11657"/>
    <n v="9423"/>
    <n v="9726"/>
    <n v="11070"/>
    <n v="11197"/>
    <n v="11657"/>
    <n v="9423"/>
    <n v="9726"/>
    <n v="11070"/>
    <n v="7976"/>
    <n v="0"/>
    <x v="1"/>
    <n v="4896"/>
    <x v="0"/>
  </r>
  <r>
    <x v="1854"/>
    <n v="150000"/>
    <x v="1"/>
    <x v="1"/>
    <x v="2"/>
    <x v="1"/>
    <n v="45"/>
    <x v="3"/>
    <x v="2"/>
    <x v="1"/>
    <x v="1"/>
    <x v="1"/>
    <x v="1"/>
    <x v="2"/>
    <n v="99247"/>
    <n v="101194"/>
    <n v="81194"/>
    <n v="70590"/>
    <n v="72040"/>
    <n v="73423"/>
    <n v="4268"/>
    <n v="2725"/>
    <n v="2505"/>
    <n v="3000"/>
    <n v="3000"/>
    <n v="3000"/>
    <n v="0"/>
    <x v="1"/>
    <n v="94979"/>
    <x v="1"/>
  </r>
  <r>
    <x v="1855"/>
    <n v="220000"/>
    <x v="1"/>
    <x v="0"/>
    <x v="0"/>
    <x v="0"/>
    <n v="54"/>
    <x v="2"/>
    <x v="1"/>
    <x v="2"/>
    <x v="0"/>
    <x v="0"/>
    <x v="0"/>
    <x v="0"/>
    <n v="8727"/>
    <n v="2553"/>
    <n v="147"/>
    <n v="0"/>
    <n v="0"/>
    <n v="0"/>
    <n v="3011"/>
    <n v="147"/>
    <n v="0"/>
    <n v="0"/>
    <n v="0"/>
    <n v="0"/>
    <n v="0"/>
    <x v="1"/>
    <n v="5716"/>
    <x v="0"/>
  </r>
  <r>
    <x v="1856"/>
    <n v="540000"/>
    <x v="2"/>
    <x v="0"/>
    <x v="1"/>
    <x v="1"/>
    <n v="34"/>
    <x v="1"/>
    <x v="1"/>
    <x v="2"/>
    <x v="0"/>
    <x v="0"/>
    <x v="2"/>
    <x v="3"/>
    <n v="1784"/>
    <n v="892"/>
    <n v="946"/>
    <n v="946"/>
    <n v="946"/>
    <n v="946"/>
    <n v="892"/>
    <n v="1000"/>
    <n v="946"/>
    <n v="946"/>
    <n v="946"/>
    <n v="946"/>
    <n v="0"/>
    <x v="1"/>
    <n v="892"/>
    <x v="0"/>
  </r>
  <r>
    <x v="1857"/>
    <n v="280000"/>
    <x v="1"/>
    <x v="1"/>
    <x v="0"/>
    <x v="1"/>
    <n v="30"/>
    <x v="1"/>
    <x v="2"/>
    <x v="1"/>
    <x v="1"/>
    <x v="1"/>
    <x v="1"/>
    <x v="2"/>
    <n v="204773"/>
    <n v="188704"/>
    <n v="185257"/>
    <n v="188344"/>
    <n v="179764"/>
    <n v="167051"/>
    <n v="8038"/>
    <n v="6000"/>
    <n v="5083"/>
    <n v="5000"/>
    <n v="5036"/>
    <n v="5000"/>
    <n v="0"/>
    <x v="1"/>
    <n v="196735"/>
    <x v="2"/>
  </r>
  <r>
    <x v="1858"/>
    <n v="230000"/>
    <x v="1"/>
    <x v="1"/>
    <x v="0"/>
    <x v="1"/>
    <n v="32"/>
    <x v="1"/>
    <x v="2"/>
    <x v="1"/>
    <x v="1"/>
    <x v="1"/>
    <x v="1"/>
    <x v="2"/>
    <n v="49619"/>
    <n v="43435"/>
    <n v="41719"/>
    <n v="38072"/>
    <n v="33802"/>
    <n v="30435"/>
    <n v="2072"/>
    <n v="1689"/>
    <n v="1046"/>
    <n v="1025"/>
    <n v="928"/>
    <n v="277"/>
    <n v="0"/>
    <x v="1"/>
    <n v="47547"/>
    <x v="1"/>
  </r>
  <r>
    <x v="1859"/>
    <n v="50000"/>
    <x v="0"/>
    <x v="1"/>
    <x v="1"/>
    <x v="0"/>
    <n v="39"/>
    <x v="1"/>
    <x v="2"/>
    <x v="1"/>
    <x v="2"/>
    <x v="4"/>
    <x v="3"/>
    <x v="1"/>
    <n v="33849"/>
    <n v="36798"/>
    <n v="37890"/>
    <n v="37131"/>
    <n v="38381"/>
    <n v="39585"/>
    <n v="3817"/>
    <n v="2000"/>
    <n v="150"/>
    <n v="2000"/>
    <n v="2000"/>
    <n v="1600"/>
    <n v="0"/>
    <x v="1"/>
    <n v="30032"/>
    <x v="1"/>
  </r>
  <r>
    <x v="1860"/>
    <n v="20000"/>
    <x v="0"/>
    <x v="0"/>
    <x v="0"/>
    <x v="1"/>
    <n v="24"/>
    <x v="0"/>
    <x v="4"/>
    <x v="3"/>
    <x v="3"/>
    <x v="2"/>
    <x v="2"/>
    <x v="3"/>
    <n v="0"/>
    <n v="0"/>
    <n v="0"/>
    <n v="0"/>
    <n v="222"/>
    <n v="6345"/>
    <n v="0"/>
    <n v="0"/>
    <n v="0"/>
    <n v="222"/>
    <n v="6345"/>
    <n v="2000"/>
    <n v="0"/>
    <x v="1"/>
    <n v="0"/>
    <x v="3"/>
  </r>
  <r>
    <x v="1861"/>
    <n v="10000"/>
    <x v="0"/>
    <x v="1"/>
    <x v="0"/>
    <x v="1"/>
    <n v="35"/>
    <x v="1"/>
    <x v="4"/>
    <x v="9"/>
    <x v="9"/>
    <x v="5"/>
    <x v="4"/>
    <x v="1"/>
    <n v="8257"/>
    <n v="8001"/>
    <n v="7741"/>
    <n v="7481"/>
    <n v="7075"/>
    <n v="6815"/>
    <n v="0"/>
    <n v="0"/>
    <n v="0"/>
    <n v="0"/>
    <n v="0"/>
    <n v="700"/>
    <n v="1"/>
    <x v="0"/>
    <n v="8257"/>
    <x v="0"/>
  </r>
  <r>
    <x v="1862"/>
    <n v="500000"/>
    <x v="2"/>
    <x v="1"/>
    <x v="1"/>
    <x v="0"/>
    <n v="46"/>
    <x v="3"/>
    <x v="2"/>
    <x v="1"/>
    <x v="1"/>
    <x v="1"/>
    <x v="1"/>
    <x v="2"/>
    <n v="407331"/>
    <n v="403816"/>
    <n v="386053"/>
    <n v="389008"/>
    <n v="392650"/>
    <n v="391336"/>
    <n v="15043"/>
    <n v="14000"/>
    <n v="14003"/>
    <n v="14011"/>
    <n v="15003"/>
    <n v="14009"/>
    <n v="0"/>
    <x v="1"/>
    <n v="392288"/>
    <x v="2"/>
  </r>
  <r>
    <x v="1863"/>
    <n v="50000"/>
    <x v="0"/>
    <x v="0"/>
    <x v="0"/>
    <x v="1"/>
    <n v="24"/>
    <x v="0"/>
    <x v="2"/>
    <x v="1"/>
    <x v="1"/>
    <x v="1"/>
    <x v="1"/>
    <x v="2"/>
    <n v="49819"/>
    <n v="50135"/>
    <n v="32101"/>
    <n v="17401"/>
    <n v="19820"/>
    <n v="17399"/>
    <n v="1672"/>
    <n v="1246"/>
    <n v="574"/>
    <n v="3000"/>
    <n v="649"/>
    <n v="285"/>
    <n v="0"/>
    <x v="1"/>
    <n v="48147"/>
    <x v="1"/>
  </r>
  <r>
    <x v="1864"/>
    <n v="420000"/>
    <x v="2"/>
    <x v="0"/>
    <x v="0"/>
    <x v="1"/>
    <n v="35"/>
    <x v="1"/>
    <x v="1"/>
    <x v="2"/>
    <x v="0"/>
    <x v="0"/>
    <x v="2"/>
    <x v="3"/>
    <n v="7572"/>
    <n v="18847"/>
    <n v="16615"/>
    <n v="14156"/>
    <n v="9058"/>
    <n v="3281"/>
    <n v="18920"/>
    <n v="16615"/>
    <n v="14156"/>
    <n v="9058"/>
    <n v="3281"/>
    <n v="5971"/>
    <n v="0"/>
    <x v="1"/>
    <n v="-11348"/>
    <x v="3"/>
  </r>
  <r>
    <x v="1865"/>
    <n v="50000"/>
    <x v="0"/>
    <x v="0"/>
    <x v="0"/>
    <x v="1"/>
    <n v="23"/>
    <x v="0"/>
    <x v="2"/>
    <x v="1"/>
    <x v="0"/>
    <x v="3"/>
    <x v="1"/>
    <x v="2"/>
    <n v="21998"/>
    <n v="15299"/>
    <n v="32514"/>
    <n v="26479"/>
    <n v="27396"/>
    <n v="27789"/>
    <n v="2063"/>
    <n v="33730"/>
    <n v="0"/>
    <n v="1500"/>
    <n v="1000"/>
    <n v="1019"/>
    <n v="0"/>
    <x v="1"/>
    <n v="19935"/>
    <x v="0"/>
  </r>
  <r>
    <x v="1866"/>
    <n v="280000"/>
    <x v="1"/>
    <x v="0"/>
    <x v="1"/>
    <x v="1"/>
    <n v="29"/>
    <x v="0"/>
    <x v="3"/>
    <x v="3"/>
    <x v="3"/>
    <x v="2"/>
    <x v="0"/>
    <x v="0"/>
    <n v="0"/>
    <n v="0"/>
    <n v="320"/>
    <n v="2139"/>
    <n v="0"/>
    <n v="0"/>
    <n v="0"/>
    <n v="320"/>
    <n v="2139"/>
    <n v="0"/>
    <n v="0"/>
    <n v="0"/>
    <n v="0"/>
    <x v="1"/>
    <n v="0"/>
    <x v="3"/>
  </r>
  <r>
    <x v="1867"/>
    <n v="50000"/>
    <x v="0"/>
    <x v="1"/>
    <x v="0"/>
    <x v="0"/>
    <n v="46"/>
    <x v="3"/>
    <x v="2"/>
    <x v="1"/>
    <x v="1"/>
    <x v="0"/>
    <x v="1"/>
    <x v="2"/>
    <n v="3656"/>
    <n v="4400"/>
    <n v="0"/>
    <n v="1704"/>
    <n v="3715"/>
    <n v="-105"/>
    <n v="1000"/>
    <n v="0"/>
    <n v="1704"/>
    <n v="2011"/>
    <n v="0"/>
    <n v="1649"/>
    <n v="0"/>
    <x v="1"/>
    <n v="2656"/>
    <x v="0"/>
  </r>
  <r>
    <x v="1868"/>
    <n v="160000"/>
    <x v="1"/>
    <x v="0"/>
    <x v="2"/>
    <x v="0"/>
    <n v="41"/>
    <x v="3"/>
    <x v="0"/>
    <x v="0"/>
    <x v="2"/>
    <x v="1"/>
    <x v="1"/>
    <x v="1"/>
    <n v="46017"/>
    <n v="47188"/>
    <n v="46134"/>
    <n v="47063"/>
    <n v="50034"/>
    <n v="51063"/>
    <n v="2200"/>
    <n v="0"/>
    <n v="2000"/>
    <n v="3900"/>
    <n v="2000"/>
    <n v="0"/>
    <n v="1"/>
    <x v="0"/>
    <n v="43817"/>
    <x v="1"/>
  </r>
  <r>
    <x v="1869"/>
    <n v="40000"/>
    <x v="0"/>
    <x v="0"/>
    <x v="0"/>
    <x v="0"/>
    <n v="23"/>
    <x v="0"/>
    <x v="0"/>
    <x v="0"/>
    <x v="2"/>
    <x v="3"/>
    <x v="3"/>
    <x v="1"/>
    <n v="33895"/>
    <n v="33068"/>
    <n v="35704"/>
    <n v="36173"/>
    <n v="36796"/>
    <n v="37288"/>
    <n v="0"/>
    <n v="3200"/>
    <n v="1500"/>
    <n v="1500"/>
    <n v="1400"/>
    <n v="1500"/>
    <n v="1"/>
    <x v="0"/>
    <n v="33895"/>
    <x v="1"/>
  </r>
  <r>
    <x v="1870"/>
    <n v="100000"/>
    <x v="0"/>
    <x v="0"/>
    <x v="0"/>
    <x v="0"/>
    <n v="31"/>
    <x v="1"/>
    <x v="2"/>
    <x v="1"/>
    <x v="0"/>
    <x v="0"/>
    <x v="1"/>
    <x v="3"/>
    <n v="92265"/>
    <n v="93873"/>
    <n v="1473"/>
    <n v="2946"/>
    <n v="1473"/>
    <n v="540"/>
    <n v="5000"/>
    <n v="1473"/>
    <n v="2946"/>
    <n v="0"/>
    <n v="540"/>
    <n v="780"/>
    <n v="0"/>
    <x v="1"/>
    <n v="87265"/>
    <x v="1"/>
  </r>
  <r>
    <x v="1871"/>
    <n v="50000"/>
    <x v="0"/>
    <x v="0"/>
    <x v="1"/>
    <x v="1"/>
    <n v="26"/>
    <x v="0"/>
    <x v="2"/>
    <x v="1"/>
    <x v="1"/>
    <x v="1"/>
    <x v="1"/>
    <x v="2"/>
    <n v="41003"/>
    <n v="42032"/>
    <n v="42699"/>
    <n v="43617"/>
    <n v="44509"/>
    <n v="45420"/>
    <n v="1733"/>
    <n v="1400"/>
    <n v="1300"/>
    <n v="1271"/>
    <n v="1300"/>
    <n v="4500"/>
    <n v="0"/>
    <x v="1"/>
    <n v="39270"/>
    <x v="1"/>
  </r>
  <r>
    <x v="1872"/>
    <n v="130000"/>
    <x v="1"/>
    <x v="0"/>
    <x v="2"/>
    <x v="1"/>
    <n v="32"/>
    <x v="1"/>
    <x v="2"/>
    <x v="1"/>
    <x v="1"/>
    <x v="1"/>
    <x v="1"/>
    <x v="1"/>
    <n v="119312"/>
    <n v="116259"/>
    <n v="103438"/>
    <n v="49319"/>
    <n v="91191"/>
    <n v="82168"/>
    <n v="20021"/>
    <n v="40354"/>
    <n v="20000"/>
    <n v="43608"/>
    <n v="103"/>
    <n v="10000"/>
    <n v="0"/>
    <x v="1"/>
    <n v="99291"/>
    <x v="1"/>
  </r>
  <r>
    <x v="1873"/>
    <n v="30000"/>
    <x v="0"/>
    <x v="0"/>
    <x v="0"/>
    <x v="1"/>
    <n v="22"/>
    <x v="0"/>
    <x v="2"/>
    <x v="1"/>
    <x v="1"/>
    <x v="1"/>
    <x v="1"/>
    <x v="2"/>
    <n v="27358"/>
    <n v="28612"/>
    <n v="29183"/>
    <n v="28983"/>
    <n v="13100"/>
    <n v="0"/>
    <n v="2000"/>
    <n v="1500"/>
    <n v="0"/>
    <n v="500"/>
    <n v="0"/>
    <n v="0"/>
    <n v="0"/>
    <x v="1"/>
    <n v="25358"/>
    <x v="1"/>
  </r>
  <r>
    <x v="1874"/>
    <n v="140000"/>
    <x v="1"/>
    <x v="1"/>
    <x v="0"/>
    <x v="0"/>
    <n v="34"/>
    <x v="1"/>
    <x v="1"/>
    <x v="2"/>
    <x v="0"/>
    <x v="0"/>
    <x v="2"/>
    <x v="3"/>
    <n v="430"/>
    <n v="430"/>
    <n v="702"/>
    <n v="430"/>
    <n v="430"/>
    <n v="430"/>
    <n v="430"/>
    <n v="702"/>
    <n v="430"/>
    <n v="430"/>
    <n v="430"/>
    <n v="860"/>
    <n v="1"/>
    <x v="0"/>
    <n v="0"/>
    <x v="3"/>
  </r>
  <r>
    <x v="1875"/>
    <n v="210000"/>
    <x v="1"/>
    <x v="0"/>
    <x v="0"/>
    <x v="0"/>
    <n v="32"/>
    <x v="1"/>
    <x v="1"/>
    <x v="1"/>
    <x v="1"/>
    <x v="1"/>
    <x v="3"/>
    <x v="2"/>
    <n v="164015"/>
    <n v="155235"/>
    <n v="151267"/>
    <n v="149478"/>
    <n v="145041"/>
    <n v="107495"/>
    <n v="9320"/>
    <n v="4894"/>
    <n v="3301"/>
    <n v="3"/>
    <n v="4994"/>
    <n v="116880"/>
    <n v="0"/>
    <x v="1"/>
    <n v="154695"/>
    <x v="2"/>
  </r>
  <r>
    <x v="1876"/>
    <n v="50000"/>
    <x v="0"/>
    <x v="1"/>
    <x v="0"/>
    <x v="0"/>
    <n v="38"/>
    <x v="1"/>
    <x v="2"/>
    <x v="1"/>
    <x v="1"/>
    <x v="1"/>
    <x v="1"/>
    <x v="2"/>
    <n v="48797"/>
    <n v="47153"/>
    <n v="43238"/>
    <n v="17253"/>
    <n v="16307"/>
    <n v="16651"/>
    <n v="1864"/>
    <n v="1811"/>
    <n v="594"/>
    <n v="587"/>
    <n v="1000"/>
    <n v="1000"/>
    <n v="0"/>
    <x v="1"/>
    <n v="46933"/>
    <x v="1"/>
  </r>
  <r>
    <x v="1877"/>
    <n v="310000"/>
    <x v="2"/>
    <x v="1"/>
    <x v="0"/>
    <x v="0"/>
    <n v="29"/>
    <x v="0"/>
    <x v="2"/>
    <x v="1"/>
    <x v="1"/>
    <x v="1"/>
    <x v="1"/>
    <x v="2"/>
    <n v="31132"/>
    <n v="45718"/>
    <n v="62992"/>
    <n v="62473"/>
    <n v="69837"/>
    <n v="69898"/>
    <n v="20000"/>
    <n v="20000"/>
    <n v="2500"/>
    <n v="11056"/>
    <n v="3000"/>
    <n v="4377"/>
    <n v="0"/>
    <x v="1"/>
    <n v="11132"/>
    <x v="0"/>
  </r>
  <r>
    <x v="1878"/>
    <n v="300000"/>
    <x v="1"/>
    <x v="0"/>
    <x v="1"/>
    <x v="0"/>
    <n v="31"/>
    <x v="1"/>
    <x v="3"/>
    <x v="3"/>
    <x v="0"/>
    <x v="1"/>
    <x v="1"/>
    <x v="2"/>
    <n v="0"/>
    <n v="1110"/>
    <n v="12192"/>
    <n v="7639"/>
    <n v="1722"/>
    <n v="4064"/>
    <n v="1110"/>
    <n v="12192"/>
    <n v="300"/>
    <n v="191"/>
    <n v="4064"/>
    <n v="390"/>
    <n v="0"/>
    <x v="1"/>
    <n v="-1110"/>
    <x v="3"/>
  </r>
  <r>
    <x v="1879"/>
    <n v="30000"/>
    <x v="0"/>
    <x v="0"/>
    <x v="0"/>
    <x v="1"/>
    <n v="47"/>
    <x v="3"/>
    <x v="0"/>
    <x v="0"/>
    <x v="2"/>
    <x v="3"/>
    <x v="3"/>
    <x v="1"/>
    <n v="16039"/>
    <n v="17080"/>
    <n v="17302"/>
    <n v="17521"/>
    <n v="17893"/>
    <n v="18252"/>
    <n v="1600"/>
    <n v="800"/>
    <n v="800"/>
    <n v="800"/>
    <n v="800"/>
    <n v="0"/>
    <n v="1"/>
    <x v="0"/>
    <n v="14439"/>
    <x v="0"/>
  </r>
  <r>
    <x v="1880"/>
    <n v="90000"/>
    <x v="0"/>
    <x v="0"/>
    <x v="2"/>
    <x v="0"/>
    <n v="40"/>
    <x v="3"/>
    <x v="2"/>
    <x v="1"/>
    <x v="1"/>
    <x v="1"/>
    <x v="1"/>
    <x v="2"/>
    <n v="89928"/>
    <n v="81721"/>
    <n v="76947"/>
    <n v="46589"/>
    <n v="47730"/>
    <n v="49488"/>
    <n v="3416"/>
    <n v="4142"/>
    <n v="1700"/>
    <n v="1888"/>
    <n v="2710"/>
    <n v="1500"/>
    <n v="0"/>
    <x v="1"/>
    <n v="86512"/>
    <x v="1"/>
  </r>
  <r>
    <x v="1881"/>
    <n v="150000"/>
    <x v="1"/>
    <x v="0"/>
    <x v="0"/>
    <x v="0"/>
    <n v="34"/>
    <x v="1"/>
    <x v="0"/>
    <x v="0"/>
    <x v="2"/>
    <x v="1"/>
    <x v="1"/>
    <x v="2"/>
    <n v="39465"/>
    <n v="42829"/>
    <n v="41845"/>
    <n v="42844"/>
    <n v="43999"/>
    <n v="45110"/>
    <n v="4000"/>
    <n v="0"/>
    <n v="2000"/>
    <n v="2000"/>
    <n v="2000"/>
    <n v="2000"/>
    <n v="1"/>
    <x v="0"/>
    <n v="35465"/>
    <x v="1"/>
  </r>
  <r>
    <x v="1882"/>
    <n v="90000"/>
    <x v="0"/>
    <x v="1"/>
    <x v="1"/>
    <x v="1"/>
    <n v="25"/>
    <x v="0"/>
    <x v="2"/>
    <x v="1"/>
    <x v="1"/>
    <x v="1"/>
    <x v="1"/>
    <x v="2"/>
    <n v="32755"/>
    <n v="31325"/>
    <n v="28034"/>
    <n v="29753"/>
    <n v="30601"/>
    <n v="33083"/>
    <n v="2000"/>
    <n v="3000"/>
    <n v="2000"/>
    <n v="3000"/>
    <n v="3000"/>
    <n v="1000"/>
    <n v="0"/>
    <x v="1"/>
    <n v="30755"/>
    <x v="1"/>
  </r>
  <r>
    <x v="1883"/>
    <n v="80000"/>
    <x v="0"/>
    <x v="0"/>
    <x v="2"/>
    <x v="1"/>
    <n v="65"/>
    <x v="2"/>
    <x v="2"/>
    <x v="1"/>
    <x v="1"/>
    <x v="1"/>
    <x v="1"/>
    <x v="2"/>
    <n v="84985"/>
    <n v="84247"/>
    <n v="81619"/>
    <n v="30095"/>
    <n v="20639"/>
    <n v="7849"/>
    <n v="4000"/>
    <n v="2048"/>
    <n v="1300"/>
    <n v="1700"/>
    <n v="401"/>
    <n v="180"/>
    <n v="0"/>
    <x v="1"/>
    <n v="80985"/>
    <x v="1"/>
  </r>
  <r>
    <x v="1884"/>
    <n v="100000"/>
    <x v="0"/>
    <x v="0"/>
    <x v="1"/>
    <x v="1"/>
    <n v="28"/>
    <x v="0"/>
    <x v="1"/>
    <x v="2"/>
    <x v="0"/>
    <x v="0"/>
    <x v="2"/>
    <x v="3"/>
    <n v="555"/>
    <n v="712"/>
    <n v="712"/>
    <n v="712"/>
    <n v="862"/>
    <n v="712"/>
    <n v="712"/>
    <n v="712"/>
    <n v="712"/>
    <n v="862"/>
    <n v="712"/>
    <n v="1840"/>
    <n v="1"/>
    <x v="0"/>
    <n v="-157"/>
    <x v="3"/>
  </r>
  <r>
    <x v="1885"/>
    <n v="10000"/>
    <x v="0"/>
    <x v="1"/>
    <x v="0"/>
    <x v="1"/>
    <n v="33"/>
    <x v="1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886"/>
    <n v="210000"/>
    <x v="1"/>
    <x v="1"/>
    <x v="1"/>
    <x v="1"/>
    <n v="31"/>
    <x v="1"/>
    <x v="2"/>
    <x v="1"/>
    <x v="1"/>
    <x v="1"/>
    <x v="1"/>
    <x v="2"/>
    <n v="161159"/>
    <n v="165071"/>
    <n v="173443"/>
    <n v="179686"/>
    <n v="197458"/>
    <n v="138218"/>
    <n v="8000"/>
    <n v="13000"/>
    <n v="10000"/>
    <n v="20000"/>
    <n v="7000"/>
    <n v="7000"/>
    <n v="0"/>
    <x v="1"/>
    <n v="153159"/>
    <x v="2"/>
  </r>
  <r>
    <x v="1887"/>
    <n v="170000"/>
    <x v="1"/>
    <x v="0"/>
    <x v="0"/>
    <x v="0"/>
    <n v="41"/>
    <x v="3"/>
    <x v="2"/>
    <x v="2"/>
    <x v="0"/>
    <x v="0"/>
    <x v="2"/>
    <x v="2"/>
    <n v="21170"/>
    <n v="9698"/>
    <n v="7360"/>
    <n v="6380"/>
    <n v="11937"/>
    <n v="6378"/>
    <n v="9734"/>
    <n v="7373"/>
    <n v="6380"/>
    <n v="11937"/>
    <n v="1000"/>
    <n v="6881"/>
    <n v="0"/>
    <x v="1"/>
    <n v="11436"/>
    <x v="0"/>
  </r>
  <r>
    <x v="1888"/>
    <n v="90000"/>
    <x v="0"/>
    <x v="0"/>
    <x v="0"/>
    <x v="0"/>
    <n v="32"/>
    <x v="1"/>
    <x v="4"/>
    <x v="0"/>
    <x v="2"/>
    <x v="3"/>
    <x v="3"/>
    <x v="1"/>
    <n v="85997"/>
    <n v="83779"/>
    <n v="88577"/>
    <n v="86365"/>
    <n v="91105"/>
    <n v="89347"/>
    <n v="0"/>
    <n v="7200"/>
    <n v="0"/>
    <n v="6200"/>
    <n v="24"/>
    <n v="3300"/>
    <n v="0"/>
    <x v="1"/>
    <n v="85997"/>
    <x v="1"/>
  </r>
  <r>
    <x v="1889"/>
    <n v="210000"/>
    <x v="1"/>
    <x v="0"/>
    <x v="2"/>
    <x v="1"/>
    <n v="36"/>
    <x v="1"/>
    <x v="4"/>
    <x v="2"/>
    <x v="0"/>
    <x v="2"/>
    <x v="2"/>
    <x v="3"/>
    <n v="0"/>
    <n v="4866"/>
    <n v="0"/>
    <n v="0"/>
    <n v="5916"/>
    <n v="0"/>
    <n v="4866"/>
    <n v="0"/>
    <n v="0"/>
    <n v="5916"/>
    <n v="0"/>
    <n v="0"/>
    <n v="1"/>
    <x v="0"/>
    <n v="-4866"/>
    <x v="3"/>
  </r>
  <r>
    <x v="1890"/>
    <n v="50000"/>
    <x v="0"/>
    <x v="0"/>
    <x v="1"/>
    <x v="1"/>
    <n v="26"/>
    <x v="0"/>
    <x v="2"/>
    <x v="1"/>
    <x v="1"/>
    <x v="1"/>
    <x v="1"/>
    <x v="2"/>
    <n v="36806"/>
    <n v="38212"/>
    <n v="39141"/>
    <n v="35524"/>
    <n v="30842"/>
    <n v="17043"/>
    <n v="2000"/>
    <n v="2000"/>
    <n v="8156"/>
    <n v="30000"/>
    <n v="1644"/>
    <n v="1209"/>
    <n v="0"/>
    <x v="1"/>
    <n v="34806"/>
    <x v="1"/>
  </r>
  <r>
    <x v="1891"/>
    <n v="150000"/>
    <x v="1"/>
    <x v="1"/>
    <x v="1"/>
    <x v="0"/>
    <n v="30"/>
    <x v="1"/>
    <x v="4"/>
    <x v="2"/>
    <x v="2"/>
    <x v="0"/>
    <x v="2"/>
    <x v="3"/>
    <n v="-819"/>
    <n v="35457"/>
    <n v="819"/>
    <n v="2145"/>
    <n v="17000"/>
    <n v="23698"/>
    <n v="36276"/>
    <n v="0"/>
    <n v="2145"/>
    <n v="17000"/>
    <n v="23698"/>
    <n v="411"/>
    <n v="0"/>
    <x v="1"/>
    <n v="-37095"/>
    <x v="3"/>
  </r>
  <r>
    <x v="1892"/>
    <n v="80000"/>
    <x v="0"/>
    <x v="0"/>
    <x v="1"/>
    <x v="1"/>
    <n v="30"/>
    <x v="1"/>
    <x v="4"/>
    <x v="2"/>
    <x v="0"/>
    <x v="0"/>
    <x v="0"/>
    <x v="0"/>
    <n v="0"/>
    <n v="1313"/>
    <n v="880"/>
    <n v="0"/>
    <n v="0"/>
    <n v="0"/>
    <n v="1313"/>
    <n v="883"/>
    <n v="0"/>
    <n v="0"/>
    <n v="0"/>
    <n v="0"/>
    <n v="0"/>
    <x v="1"/>
    <n v="-1313"/>
    <x v="3"/>
  </r>
  <r>
    <x v="1893"/>
    <n v="130000"/>
    <x v="1"/>
    <x v="0"/>
    <x v="1"/>
    <x v="0"/>
    <n v="38"/>
    <x v="1"/>
    <x v="2"/>
    <x v="1"/>
    <x v="1"/>
    <x v="2"/>
    <x v="0"/>
    <x v="0"/>
    <n v="64942"/>
    <n v="66775"/>
    <n v="0"/>
    <n v="0"/>
    <n v="0"/>
    <n v="0"/>
    <n v="4000"/>
    <n v="0"/>
    <n v="0"/>
    <n v="0"/>
    <n v="0"/>
    <n v="0"/>
    <n v="1"/>
    <x v="0"/>
    <n v="60942"/>
    <x v="1"/>
  </r>
  <r>
    <x v="1894"/>
    <n v="100000"/>
    <x v="0"/>
    <x v="1"/>
    <x v="0"/>
    <x v="1"/>
    <n v="30"/>
    <x v="1"/>
    <x v="4"/>
    <x v="4"/>
    <x v="7"/>
    <x v="8"/>
    <x v="7"/>
    <x v="8"/>
    <n v="72652"/>
    <n v="90461"/>
    <n v="89011"/>
    <n v="96593"/>
    <n v="105083"/>
    <n v="103522"/>
    <n v="20000"/>
    <n v="0"/>
    <n v="10000"/>
    <n v="10000"/>
    <n v="0"/>
    <n v="0"/>
    <n v="1"/>
    <x v="0"/>
    <n v="52652"/>
    <x v="1"/>
  </r>
  <r>
    <x v="1895"/>
    <n v="160000"/>
    <x v="1"/>
    <x v="1"/>
    <x v="1"/>
    <x v="0"/>
    <n v="41"/>
    <x v="3"/>
    <x v="2"/>
    <x v="1"/>
    <x v="1"/>
    <x v="2"/>
    <x v="2"/>
    <x v="2"/>
    <n v="53935"/>
    <n v="57997"/>
    <n v="-3"/>
    <n v="-3"/>
    <n v="2987"/>
    <n v="1993"/>
    <n v="5000"/>
    <n v="0"/>
    <n v="0"/>
    <n v="2990"/>
    <n v="6"/>
    <n v="2409"/>
    <n v="0"/>
    <x v="1"/>
    <n v="48935"/>
    <x v="1"/>
  </r>
  <r>
    <x v="1896"/>
    <n v="250000"/>
    <x v="1"/>
    <x v="1"/>
    <x v="0"/>
    <x v="1"/>
    <n v="31"/>
    <x v="1"/>
    <x v="2"/>
    <x v="1"/>
    <x v="1"/>
    <x v="1"/>
    <x v="1"/>
    <x v="2"/>
    <n v="14451"/>
    <n v="15774"/>
    <n v="16780"/>
    <n v="16807"/>
    <n v="17158"/>
    <n v="17500"/>
    <n v="1504"/>
    <n v="1510"/>
    <n v="537"/>
    <n v="556"/>
    <n v="559"/>
    <n v="658"/>
    <n v="0"/>
    <x v="1"/>
    <n v="12947"/>
    <x v="0"/>
  </r>
  <r>
    <x v="1897"/>
    <n v="500000"/>
    <x v="2"/>
    <x v="0"/>
    <x v="0"/>
    <x v="0"/>
    <n v="42"/>
    <x v="3"/>
    <x v="2"/>
    <x v="1"/>
    <x v="1"/>
    <x v="1"/>
    <x v="1"/>
    <x v="3"/>
    <n v="60246"/>
    <n v="74832"/>
    <n v="126778"/>
    <n v="82611"/>
    <n v="71338"/>
    <n v="29756"/>
    <n v="40000"/>
    <n v="85000"/>
    <n v="139"/>
    <n v="20000"/>
    <n v="29761"/>
    <n v="70000"/>
    <n v="0"/>
    <x v="1"/>
    <n v="20246"/>
    <x v="0"/>
  </r>
  <r>
    <x v="1898"/>
    <n v="260000"/>
    <x v="1"/>
    <x v="1"/>
    <x v="0"/>
    <x v="1"/>
    <n v="32"/>
    <x v="1"/>
    <x v="2"/>
    <x v="1"/>
    <x v="1"/>
    <x v="1"/>
    <x v="1"/>
    <x v="2"/>
    <n v="106093"/>
    <n v="95060"/>
    <n v="90948"/>
    <n v="84986"/>
    <n v="84491"/>
    <n v="72248"/>
    <n v="4410"/>
    <n v="6500"/>
    <n v="9500"/>
    <n v="10000"/>
    <n v="9000"/>
    <n v="8000"/>
    <n v="0"/>
    <x v="1"/>
    <n v="101683"/>
    <x v="2"/>
  </r>
  <r>
    <x v="1899"/>
    <n v="50000"/>
    <x v="0"/>
    <x v="0"/>
    <x v="0"/>
    <x v="0"/>
    <n v="44"/>
    <x v="3"/>
    <x v="3"/>
    <x v="3"/>
    <x v="3"/>
    <x v="2"/>
    <x v="0"/>
    <x v="0"/>
    <n v="1473"/>
    <n v="390"/>
    <n v="390"/>
    <n v="390"/>
    <n v="390"/>
    <n v="0"/>
    <n v="390"/>
    <n v="390"/>
    <n v="390"/>
    <n v="390"/>
    <n v="0"/>
    <n v="780"/>
    <n v="0"/>
    <x v="1"/>
    <n v="1083"/>
    <x v="0"/>
  </r>
  <r>
    <x v="1900"/>
    <n v="30000"/>
    <x v="0"/>
    <x v="0"/>
    <x v="0"/>
    <x v="1"/>
    <n v="22"/>
    <x v="0"/>
    <x v="2"/>
    <x v="1"/>
    <x v="1"/>
    <x v="1"/>
    <x v="1"/>
    <x v="2"/>
    <n v="27388"/>
    <n v="29016"/>
    <n v="26941"/>
    <n v="27491"/>
    <n v="6726"/>
    <n v="0"/>
    <n v="2075"/>
    <n v="1000"/>
    <n v="550"/>
    <n v="135"/>
    <n v="0"/>
    <n v="0"/>
    <n v="0"/>
    <x v="1"/>
    <n v="25313"/>
    <x v="1"/>
  </r>
  <r>
    <x v="1901"/>
    <n v="110000"/>
    <x v="1"/>
    <x v="0"/>
    <x v="0"/>
    <x v="1"/>
    <n v="42"/>
    <x v="3"/>
    <x v="4"/>
    <x v="0"/>
    <x v="1"/>
    <x v="1"/>
    <x v="1"/>
    <x v="2"/>
    <n v="57046"/>
    <n v="51005"/>
    <n v="48572"/>
    <n v="49299"/>
    <n v="47126"/>
    <n v="48215"/>
    <n v="0"/>
    <n v="2100"/>
    <n v="2500"/>
    <n v="2000"/>
    <n v="2250"/>
    <n v="1200"/>
    <n v="0"/>
    <x v="1"/>
    <n v="57046"/>
    <x v="1"/>
  </r>
  <r>
    <x v="1902"/>
    <n v="500000"/>
    <x v="2"/>
    <x v="1"/>
    <x v="1"/>
    <x v="0"/>
    <n v="39"/>
    <x v="1"/>
    <x v="1"/>
    <x v="2"/>
    <x v="0"/>
    <x v="0"/>
    <x v="2"/>
    <x v="3"/>
    <n v="6057"/>
    <n v="9418"/>
    <n v="7667"/>
    <n v="6222"/>
    <n v="9435"/>
    <n v="7235"/>
    <n v="9418"/>
    <n v="7667"/>
    <n v="6222"/>
    <n v="9435"/>
    <n v="7235"/>
    <n v="8840"/>
    <n v="0"/>
    <x v="1"/>
    <n v="-3361"/>
    <x v="3"/>
  </r>
  <r>
    <x v="1903"/>
    <n v="310000"/>
    <x v="2"/>
    <x v="0"/>
    <x v="1"/>
    <x v="1"/>
    <n v="32"/>
    <x v="1"/>
    <x v="2"/>
    <x v="1"/>
    <x v="1"/>
    <x v="1"/>
    <x v="1"/>
    <x v="2"/>
    <n v="35064"/>
    <n v="38195"/>
    <n v="39233"/>
    <n v="39577"/>
    <n v="42996"/>
    <n v="46319"/>
    <n v="4000"/>
    <n v="2000"/>
    <n v="2000"/>
    <n v="4000"/>
    <n v="4000"/>
    <n v="4000"/>
    <n v="0"/>
    <x v="1"/>
    <n v="31064"/>
    <x v="1"/>
  </r>
  <r>
    <x v="1904"/>
    <n v="580000"/>
    <x v="2"/>
    <x v="1"/>
    <x v="0"/>
    <x v="0"/>
    <n v="37"/>
    <x v="1"/>
    <x v="2"/>
    <x v="1"/>
    <x v="1"/>
    <x v="1"/>
    <x v="2"/>
    <x v="3"/>
    <n v="110417"/>
    <n v="89301"/>
    <n v="82057"/>
    <n v="27666"/>
    <n v="20226"/>
    <n v="276422"/>
    <n v="3757"/>
    <n v="2299"/>
    <n v="618"/>
    <n v="2636"/>
    <n v="326889"/>
    <n v="8689"/>
    <n v="0"/>
    <x v="1"/>
    <n v="106660"/>
    <x v="2"/>
  </r>
  <r>
    <x v="1905"/>
    <n v="340000"/>
    <x v="2"/>
    <x v="0"/>
    <x v="1"/>
    <x v="0"/>
    <n v="36"/>
    <x v="1"/>
    <x v="2"/>
    <x v="1"/>
    <x v="1"/>
    <x v="1"/>
    <x v="1"/>
    <x v="2"/>
    <n v="185268"/>
    <n v="326074"/>
    <n v="276519"/>
    <n v="251815"/>
    <n v="218706"/>
    <n v="165666"/>
    <n v="160444"/>
    <n v="10143"/>
    <n v="7190"/>
    <n v="6283"/>
    <n v="5208"/>
    <n v="4177"/>
    <n v="0"/>
    <x v="1"/>
    <n v="24824"/>
    <x v="0"/>
  </r>
  <r>
    <x v="1906"/>
    <n v="360000"/>
    <x v="2"/>
    <x v="0"/>
    <x v="0"/>
    <x v="0"/>
    <n v="42"/>
    <x v="3"/>
    <x v="1"/>
    <x v="2"/>
    <x v="0"/>
    <x v="0"/>
    <x v="2"/>
    <x v="3"/>
    <n v="22237"/>
    <n v="5683"/>
    <n v="1632"/>
    <n v="1632"/>
    <n v="22379"/>
    <n v="8901"/>
    <n v="6695"/>
    <n v="1632"/>
    <n v="1632"/>
    <n v="22379"/>
    <n v="8901"/>
    <n v="4852"/>
    <n v="0"/>
    <x v="1"/>
    <n v="15542"/>
    <x v="0"/>
  </r>
  <r>
    <x v="1907"/>
    <n v="290000"/>
    <x v="1"/>
    <x v="0"/>
    <x v="1"/>
    <x v="1"/>
    <n v="29"/>
    <x v="0"/>
    <x v="1"/>
    <x v="2"/>
    <x v="0"/>
    <x v="0"/>
    <x v="2"/>
    <x v="3"/>
    <n v="578"/>
    <n v="7124"/>
    <n v="7620"/>
    <n v="0"/>
    <n v="4788"/>
    <n v="0"/>
    <n v="7129"/>
    <n v="7620"/>
    <n v="0"/>
    <n v="4788"/>
    <n v="0"/>
    <n v="7026"/>
    <n v="0"/>
    <x v="1"/>
    <n v="-6551"/>
    <x v="3"/>
  </r>
  <r>
    <x v="1908"/>
    <n v="30000"/>
    <x v="0"/>
    <x v="1"/>
    <x v="0"/>
    <x v="1"/>
    <n v="36"/>
    <x v="1"/>
    <x v="5"/>
    <x v="0"/>
    <x v="2"/>
    <x v="3"/>
    <x v="4"/>
    <x v="1"/>
    <n v="20424"/>
    <n v="19809"/>
    <n v="22478"/>
    <n v="24111"/>
    <n v="23447"/>
    <n v="24951"/>
    <n v="0"/>
    <n v="3000"/>
    <n v="2300"/>
    <n v="0"/>
    <n v="2500"/>
    <n v="0"/>
    <n v="0"/>
    <x v="1"/>
    <n v="20424"/>
    <x v="0"/>
  </r>
  <r>
    <x v="1909"/>
    <n v="80000"/>
    <x v="0"/>
    <x v="0"/>
    <x v="1"/>
    <x v="1"/>
    <n v="29"/>
    <x v="0"/>
    <x v="2"/>
    <x v="1"/>
    <x v="1"/>
    <x v="1"/>
    <x v="1"/>
    <x v="2"/>
    <n v="26524"/>
    <n v="23224"/>
    <n v="23141"/>
    <n v="22160"/>
    <n v="21478"/>
    <n v="20441"/>
    <n v="1500"/>
    <n v="1700"/>
    <n v="1000"/>
    <n v="1000"/>
    <n v="1000"/>
    <n v="1500"/>
    <n v="0"/>
    <x v="1"/>
    <n v="25024"/>
    <x v="1"/>
  </r>
  <r>
    <x v="1910"/>
    <n v="360000"/>
    <x v="2"/>
    <x v="1"/>
    <x v="1"/>
    <x v="0"/>
    <n v="38"/>
    <x v="1"/>
    <x v="1"/>
    <x v="2"/>
    <x v="0"/>
    <x v="0"/>
    <x v="2"/>
    <x v="3"/>
    <n v="780"/>
    <n v="0"/>
    <n v="390"/>
    <n v="390"/>
    <n v="390"/>
    <n v="390"/>
    <n v="0"/>
    <n v="390"/>
    <n v="390"/>
    <n v="390"/>
    <n v="390"/>
    <n v="390"/>
    <n v="1"/>
    <x v="0"/>
    <n v="780"/>
    <x v="0"/>
  </r>
  <r>
    <x v="1911"/>
    <n v="170000"/>
    <x v="1"/>
    <x v="0"/>
    <x v="1"/>
    <x v="1"/>
    <n v="31"/>
    <x v="1"/>
    <x v="1"/>
    <x v="2"/>
    <x v="0"/>
    <x v="0"/>
    <x v="2"/>
    <x v="3"/>
    <n v="1561"/>
    <n v="1239"/>
    <n v="7315"/>
    <n v="10730"/>
    <n v="1686"/>
    <n v="9445"/>
    <n v="1239"/>
    <n v="7352"/>
    <n v="10730"/>
    <n v="1686"/>
    <n v="9445"/>
    <n v="3444"/>
    <n v="0"/>
    <x v="1"/>
    <n v="322"/>
    <x v="0"/>
  </r>
  <r>
    <x v="1912"/>
    <n v="100000"/>
    <x v="0"/>
    <x v="1"/>
    <x v="0"/>
    <x v="0"/>
    <n v="42"/>
    <x v="3"/>
    <x v="2"/>
    <x v="1"/>
    <x v="1"/>
    <x v="1"/>
    <x v="3"/>
    <x v="2"/>
    <n v="56256"/>
    <n v="57685"/>
    <n v="58156"/>
    <n v="61103"/>
    <n v="59358"/>
    <n v="60060"/>
    <n v="3000"/>
    <n v="2688"/>
    <n v="5163"/>
    <n v="0"/>
    <n v="2358"/>
    <n v="2472"/>
    <n v="0"/>
    <x v="1"/>
    <n v="53256"/>
    <x v="1"/>
  </r>
  <r>
    <x v="1913"/>
    <n v="450000"/>
    <x v="2"/>
    <x v="1"/>
    <x v="0"/>
    <x v="1"/>
    <n v="37"/>
    <x v="1"/>
    <x v="2"/>
    <x v="1"/>
    <x v="0"/>
    <x v="0"/>
    <x v="1"/>
    <x v="2"/>
    <n v="457627"/>
    <n v="38692"/>
    <n v="4549"/>
    <n v="16885"/>
    <n v="6440"/>
    <n v="7440"/>
    <n v="1000"/>
    <n v="4549"/>
    <n v="16885"/>
    <n v="129"/>
    <n v="1000"/>
    <n v="0"/>
    <n v="0"/>
    <x v="1"/>
    <n v="456627"/>
    <x v="2"/>
  </r>
  <r>
    <x v="1914"/>
    <n v="260000"/>
    <x v="1"/>
    <x v="0"/>
    <x v="1"/>
    <x v="1"/>
    <n v="33"/>
    <x v="1"/>
    <x v="3"/>
    <x v="2"/>
    <x v="0"/>
    <x v="0"/>
    <x v="1"/>
    <x v="2"/>
    <n v="0"/>
    <n v="204"/>
    <n v="-810"/>
    <n v="2190"/>
    <n v="810"/>
    <n v="0"/>
    <n v="204"/>
    <n v="0"/>
    <n v="3000"/>
    <n v="0"/>
    <n v="0"/>
    <n v="0"/>
    <n v="0"/>
    <x v="1"/>
    <n v="-204"/>
    <x v="3"/>
  </r>
  <r>
    <x v="1915"/>
    <n v="240000"/>
    <x v="1"/>
    <x v="0"/>
    <x v="1"/>
    <x v="1"/>
    <n v="29"/>
    <x v="0"/>
    <x v="2"/>
    <x v="1"/>
    <x v="1"/>
    <x v="0"/>
    <x v="2"/>
    <x v="3"/>
    <n v="25700"/>
    <n v="28677"/>
    <n v="22081"/>
    <n v="3428"/>
    <n v="67"/>
    <n v="1832"/>
    <n v="5009"/>
    <n v="2000"/>
    <n v="5000"/>
    <n v="0"/>
    <n v="3332"/>
    <n v="0"/>
    <n v="0"/>
    <x v="1"/>
    <n v="20691"/>
    <x v="0"/>
  </r>
  <r>
    <x v="1916"/>
    <n v="110000"/>
    <x v="1"/>
    <x v="0"/>
    <x v="0"/>
    <x v="1"/>
    <n v="28"/>
    <x v="0"/>
    <x v="2"/>
    <x v="1"/>
    <x v="1"/>
    <x v="2"/>
    <x v="0"/>
    <x v="0"/>
    <n v="5660"/>
    <n v="1150"/>
    <n v="0"/>
    <n v="0"/>
    <n v="0"/>
    <n v="0"/>
    <n v="2000"/>
    <n v="0"/>
    <n v="0"/>
    <n v="0"/>
    <n v="0"/>
    <n v="0"/>
    <n v="0"/>
    <x v="1"/>
    <n v="3660"/>
    <x v="0"/>
  </r>
  <r>
    <x v="1917"/>
    <n v="240000"/>
    <x v="1"/>
    <x v="0"/>
    <x v="0"/>
    <x v="1"/>
    <n v="26"/>
    <x v="0"/>
    <x v="2"/>
    <x v="1"/>
    <x v="1"/>
    <x v="1"/>
    <x v="1"/>
    <x v="2"/>
    <n v="184501"/>
    <n v="177846"/>
    <n v="167934"/>
    <n v="169133"/>
    <n v="175175"/>
    <n v="146093"/>
    <n v="7627"/>
    <n v="6003"/>
    <n v="5504"/>
    <n v="10158"/>
    <n v="6000"/>
    <n v="6012"/>
    <n v="0"/>
    <x v="1"/>
    <n v="176874"/>
    <x v="2"/>
  </r>
  <r>
    <x v="1918"/>
    <n v="220000"/>
    <x v="1"/>
    <x v="0"/>
    <x v="0"/>
    <x v="1"/>
    <n v="35"/>
    <x v="1"/>
    <x v="2"/>
    <x v="1"/>
    <x v="1"/>
    <x v="1"/>
    <x v="1"/>
    <x v="2"/>
    <n v="34819"/>
    <n v="30937"/>
    <n v="30348"/>
    <n v="23459"/>
    <n v="23200"/>
    <n v="21281"/>
    <n v="2006"/>
    <n v="2022"/>
    <n v="1002"/>
    <n v="1007"/>
    <n v="1000"/>
    <n v="1008"/>
    <n v="0"/>
    <x v="1"/>
    <n v="32813"/>
    <x v="1"/>
  </r>
  <r>
    <x v="1919"/>
    <n v="20000"/>
    <x v="0"/>
    <x v="1"/>
    <x v="0"/>
    <x v="0"/>
    <n v="33"/>
    <x v="1"/>
    <x v="2"/>
    <x v="1"/>
    <x v="1"/>
    <x v="2"/>
    <x v="0"/>
    <x v="0"/>
    <n v="2508"/>
    <n v="3448"/>
    <n v="-202"/>
    <n v="-202"/>
    <n v="950"/>
    <n v="0"/>
    <n v="1000"/>
    <n v="202"/>
    <n v="0"/>
    <n v="1152"/>
    <n v="0"/>
    <n v="1000"/>
    <n v="0"/>
    <x v="1"/>
    <n v="1508"/>
    <x v="0"/>
  </r>
  <r>
    <x v="1920"/>
    <n v="100000"/>
    <x v="0"/>
    <x v="0"/>
    <x v="1"/>
    <x v="0"/>
    <n v="51"/>
    <x v="2"/>
    <x v="4"/>
    <x v="3"/>
    <x v="3"/>
    <x v="0"/>
    <x v="3"/>
    <x v="1"/>
    <n v="0"/>
    <n v="0"/>
    <n v="0"/>
    <n v="300"/>
    <n v="150"/>
    <n v="780"/>
    <n v="0"/>
    <n v="0"/>
    <n v="300"/>
    <n v="0"/>
    <n v="630"/>
    <n v="0"/>
    <n v="1"/>
    <x v="0"/>
    <n v="0"/>
    <x v="3"/>
  </r>
  <r>
    <x v="1921"/>
    <n v="300000"/>
    <x v="1"/>
    <x v="1"/>
    <x v="1"/>
    <x v="1"/>
    <n v="32"/>
    <x v="1"/>
    <x v="3"/>
    <x v="3"/>
    <x v="3"/>
    <x v="2"/>
    <x v="0"/>
    <x v="0"/>
    <n v="264"/>
    <n v="264"/>
    <n v="264"/>
    <n v="264"/>
    <n v="414"/>
    <n v="264"/>
    <n v="264"/>
    <n v="264"/>
    <n v="264"/>
    <n v="414"/>
    <n v="264"/>
    <n v="264"/>
    <n v="0"/>
    <x v="1"/>
    <n v="0"/>
    <x v="3"/>
  </r>
  <r>
    <x v="1922"/>
    <n v="20000"/>
    <x v="0"/>
    <x v="1"/>
    <x v="0"/>
    <x v="1"/>
    <n v="33"/>
    <x v="1"/>
    <x v="2"/>
    <x v="1"/>
    <x v="1"/>
    <x v="1"/>
    <x v="1"/>
    <x v="3"/>
    <n v="8488"/>
    <n v="10179"/>
    <n v="11901"/>
    <n v="11901"/>
    <n v="9336"/>
    <n v="9054"/>
    <n v="2000"/>
    <n v="2000"/>
    <n v="0"/>
    <n v="0"/>
    <n v="9054"/>
    <n v="2000"/>
    <n v="1"/>
    <x v="0"/>
    <n v="6488"/>
    <x v="0"/>
  </r>
  <r>
    <x v="1923"/>
    <n v="360000"/>
    <x v="2"/>
    <x v="0"/>
    <x v="1"/>
    <x v="1"/>
    <n v="30"/>
    <x v="1"/>
    <x v="2"/>
    <x v="1"/>
    <x v="1"/>
    <x v="1"/>
    <x v="1"/>
    <x v="2"/>
    <n v="139762"/>
    <n v="143515"/>
    <n v="147037"/>
    <n v="146117"/>
    <n v="145884"/>
    <n v="147645"/>
    <n v="6000"/>
    <n v="6000"/>
    <n v="4818"/>
    <n v="5000"/>
    <n v="5000"/>
    <n v="4500"/>
    <n v="0"/>
    <x v="1"/>
    <n v="133762"/>
    <x v="2"/>
  </r>
  <r>
    <x v="1924"/>
    <n v="220000"/>
    <x v="1"/>
    <x v="1"/>
    <x v="1"/>
    <x v="1"/>
    <n v="28"/>
    <x v="0"/>
    <x v="2"/>
    <x v="1"/>
    <x v="1"/>
    <x v="1"/>
    <x v="1"/>
    <x v="2"/>
    <n v="221268"/>
    <n v="219545"/>
    <n v="216317"/>
    <n v="181012"/>
    <n v="181435"/>
    <n v="183283"/>
    <n v="8700"/>
    <n v="8500"/>
    <n v="6300"/>
    <n v="6700"/>
    <n v="7200"/>
    <n v="5300"/>
    <n v="1"/>
    <x v="0"/>
    <n v="212568"/>
    <x v="2"/>
  </r>
  <r>
    <x v="1925"/>
    <n v="470000"/>
    <x v="2"/>
    <x v="0"/>
    <x v="0"/>
    <x v="1"/>
    <n v="26"/>
    <x v="0"/>
    <x v="2"/>
    <x v="1"/>
    <x v="1"/>
    <x v="1"/>
    <x v="1"/>
    <x v="2"/>
    <n v="169699"/>
    <n v="170309"/>
    <n v="167876"/>
    <n v="170610"/>
    <n v="173643"/>
    <n v="178083"/>
    <n v="6200"/>
    <n v="7000"/>
    <n v="5716"/>
    <n v="5982"/>
    <n v="7000"/>
    <n v="5500"/>
    <n v="0"/>
    <x v="1"/>
    <n v="163499"/>
    <x v="2"/>
  </r>
  <r>
    <x v="1926"/>
    <n v="70000"/>
    <x v="0"/>
    <x v="0"/>
    <x v="0"/>
    <x v="1"/>
    <n v="22"/>
    <x v="0"/>
    <x v="2"/>
    <x v="1"/>
    <x v="1"/>
    <x v="1"/>
    <x v="1"/>
    <x v="2"/>
    <n v="65793"/>
    <n v="26665"/>
    <n v="22630"/>
    <n v="14573"/>
    <n v="15127"/>
    <n v="12596"/>
    <n v="2000"/>
    <n v="1400"/>
    <n v="291"/>
    <n v="1500"/>
    <n v="5000"/>
    <n v="2000"/>
    <n v="0"/>
    <x v="1"/>
    <n v="63793"/>
    <x v="1"/>
  </r>
  <r>
    <x v="1927"/>
    <n v="120000"/>
    <x v="1"/>
    <x v="0"/>
    <x v="1"/>
    <x v="1"/>
    <n v="26"/>
    <x v="0"/>
    <x v="2"/>
    <x v="1"/>
    <x v="1"/>
    <x v="1"/>
    <x v="1"/>
    <x v="2"/>
    <n v="10172"/>
    <n v="12400"/>
    <n v="14256"/>
    <n v="16859"/>
    <n v="17477"/>
    <n v="21588"/>
    <n v="3000"/>
    <n v="3000"/>
    <n v="4000"/>
    <n v="4000"/>
    <n v="5000"/>
    <n v="5000"/>
    <n v="0"/>
    <x v="1"/>
    <n v="7172"/>
    <x v="0"/>
  </r>
  <r>
    <x v="1928"/>
    <n v="50000"/>
    <x v="0"/>
    <x v="1"/>
    <x v="0"/>
    <x v="1"/>
    <n v="35"/>
    <x v="1"/>
    <x v="2"/>
    <x v="1"/>
    <x v="1"/>
    <x v="1"/>
    <x v="1"/>
    <x v="2"/>
    <n v="18510"/>
    <n v="19418"/>
    <n v="21097"/>
    <n v="21759"/>
    <n v="22421"/>
    <n v="23061"/>
    <n v="1500"/>
    <n v="2000"/>
    <n v="1000"/>
    <n v="1000"/>
    <n v="1000"/>
    <n v="1203"/>
    <n v="0"/>
    <x v="1"/>
    <n v="17010"/>
    <x v="0"/>
  </r>
  <r>
    <x v="1929"/>
    <n v="470000"/>
    <x v="2"/>
    <x v="1"/>
    <x v="0"/>
    <x v="0"/>
    <n v="49"/>
    <x v="3"/>
    <x v="2"/>
    <x v="1"/>
    <x v="1"/>
    <x v="1"/>
    <x v="1"/>
    <x v="2"/>
    <n v="169260"/>
    <n v="161760"/>
    <n v="154424"/>
    <n v="147137"/>
    <n v="138240"/>
    <n v="125866"/>
    <n v="6600"/>
    <n v="6170"/>
    <n v="5100"/>
    <n v="4726"/>
    <n v="4555"/>
    <n v="4375"/>
    <n v="0"/>
    <x v="1"/>
    <n v="162660"/>
    <x v="2"/>
  </r>
  <r>
    <x v="1930"/>
    <n v="130000"/>
    <x v="1"/>
    <x v="1"/>
    <x v="0"/>
    <x v="0"/>
    <n v="49"/>
    <x v="3"/>
    <x v="2"/>
    <x v="1"/>
    <x v="1"/>
    <x v="1"/>
    <x v="2"/>
    <x v="3"/>
    <n v="24008"/>
    <n v="21231"/>
    <n v="14323"/>
    <n v="7722"/>
    <n v="4689"/>
    <n v="-3614"/>
    <n v="3000"/>
    <n v="5000"/>
    <n v="2822"/>
    <n v="5000"/>
    <n v="0"/>
    <n v="6500"/>
    <n v="0"/>
    <x v="1"/>
    <n v="21008"/>
    <x v="0"/>
  </r>
  <r>
    <x v="1931"/>
    <n v="20000"/>
    <x v="0"/>
    <x v="0"/>
    <x v="1"/>
    <x v="1"/>
    <n v="24"/>
    <x v="0"/>
    <x v="1"/>
    <x v="2"/>
    <x v="0"/>
    <x v="3"/>
    <x v="3"/>
    <x v="1"/>
    <n v="390"/>
    <n v="707"/>
    <n v="1320"/>
    <n v="930"/>
    <n v="780"/>
    <n v="240"/>
    <n v="1097"/>
    <n v="1003"/>
    <n v="0"/>
    <n v="240"/>
    <n v="0"/>
    <n v="780"/>
    <n v="1"/>
    <x v="0"/>
    <n v="-707"/>
    <x v="3"/>
  </r>
  <r>
    <x v="1932"/>
    <n v="260000"/>
    <x v="1"/>
    <x v="0"/>
    <x v="1"/>
    <x v="1"/>
    <n v="36"/>
    <x v="1"/>
    <x v="3"/>
    <x v="3"/>
    <x v="3"/>
    <x v="2"/>
    <x v="2"/>
    <x v="3"/>
    <n v="1891"/>
    <n v="2438"/>
    <n v="2280"/>
    <n v="746"/>
    <n v="1989"/>
    <n v="1668"/>
    <n v="2637"/>
    <n v="2280"/>
    <n v="746"/>
    <n v="1989"/>
    <n v="1668"/>
    <n v="2605"/>
    <n v="0"/>
    <x v="1"/>
    <n v="-746"/>
    <x v="3"/>
  </r>
  <r>
    <x v="1933"/>
    <n v="20000"/>
    <x v="0"/>
    <x v="1"/>
    <x v="1"/>
    <x v="0"/>
    <n v="39"/>
    <x v="1"/>
    <x v="1"/>
    <x v="2"/>
    <x v="0"/>
    <x v="0"/>
    <x v="2"/>
    <x v="3"/>
    <n v="628"/>
    <n v="662"/>
    <n v="596"/>
    <n v="630"/>
    <n v="664"/>
    <n v="598"/>
    <n v="700"/>
    <n v="600"/>
    <n v="700"/>
    <n v="700"/>
    <n v="600"/>
    <n v="1400"/>
    <n v="0"/>
    <x v="1"/>
    <n v="-72"/>
    <x v="3"/>
  </r>
  <r>
    <x v="1934"/>
    <n v="300000"/>
    <x v="1"/>
    <x v="0"/>
    <x v="1"/>
    <x v="1"/>
    <n v="28"/>
    <x v="0"/>
    <x v="0"/>
    <x v="2"/>
    <x v="0"/>
    <x v="1"/>
    <x v="1"/>
    <x v="0"/>
    <n v="1314"/>
    <n v="168"/>
    <n v="1080"/>
    <n v="1080"/>
    <n v="0"/>
    <n v="0"/>
    <n v="170"/>
    <n v="1080"/>
    <n v="0"/>
    <n v="0"/>
    <n v="0"/>
    <n v="2500"/>
    <n v="1"/>
    <x v="0"/>
    <n v="1144"/>
    <x v="0"/>
  </r>
  <r>
    <x v="1935"/>
    <n v="460000"/>
    <x v="2"/>
    <x v="0"/>
    <x v="0"/>
    <x v="1"/>
    <n v="35"/>
    <x v="1"/>
    <x v="2"/>
    <x v="1"/>
    <x v="1"/>
    <x v="1"/>
    <x v="1"/>
    <x v="2"/>
    <n v="449790"/>
    <n v="450047"/>
    <n v="453770"/>
    <n v="396600"/>
    <n v="392879"/>
    <n v="398478"/>
    <n v="17610"/>
    <n v="17500"/>
    <n v="13810"/>
    <n v="14100"/>
    <n v="14520"/>
    <n v="15000"/>
    <n v="0"/>
    <x v="1"/>
    <n v="432180"/>
    <x v="2"/>
  </r>
  <r>
    <x v="1936"/>
    <n v="20000"/>
    <x v="0"/>
    <x v="0"/>
    <x v="1"/>
    <x v="1"/>
    <n v="24"/>
    <x v="0"/>
    <x v="4"/>
    <x v="2"/>
    <x v="0"/>
    <x v="0"/>
    <x v="3"/>
    <x v="1"/>
    <n v="0"/>
    <n v="20087"/>
    <n v="2110"/>
    <n v="300"/>
    <n v="150"/>
    <n v="650"/>
    <n v="20087"/>
    <n v="2200"/>
    <n v="600"/>
    <n v="0"/>
    <n v="500"/>
    <n v="0"/>
    <n v="1"/>
    <x v="0"/>
    <n v="-20087"/>
    <x v="3"/>
  </r>
  <r>
    <x v="1937"/>
    <n v="360000"/>
    <x v="2"/>
    <x v="0"/>
    <x v="0"/>
    <x v="1"/>
    <n v="27"/>
    <x v="0"/>
    <x v="2"/>
    <x v="1"/>
    <x v="1"/>
    <x v="1"/>
    <x v="1"/>
    <x v="2"/>
    <n v="238971"/>
    <n v="245515"/>
    <n v="248969"/>
    <n v="253896"/>
    <n v="259403"/>
    <n v="264352"/>
    <n v="10381"/>
    <n v="9036"/>
    <n v="9066"/>
    <n v="9576"/>
    <n v="9426"/>
    <n v="9435"/>
    <n v="1"/>
    <x v="0"/>
    <n v="228590"/>
    <x v="2"/>
  </r>
  <r>
    <x v="1938"/>
    <n v="290000"/>
    <x v="1"/>
    <x v="1"/>
    <x v="1"/>
    <x v="0"/>
    <n v="40"/>
    <x v="3"/>
    <x v="2"/>
    <x v="1"/>
    <x v="1"/>
    <x v="1"/>
    <x v="1"/>
    <x v="2"/>
    <n v="98441"/>
    <n v="95169"/>
    <n v="93718"/>
    <n v="89712"/>
    <n v="82809"/>
    <n v="76334"/>
    <n v="4000"/>
    <n v="4250"/>
    <n v="5000"/>
    <n v="3241"/>
    <n v="3500"/>
    <n v="7000"/>
    <n v="0"/>
    <x v="1"/>
    <n v="94441"/>
    <x v="1"/>
  </r>
  <r>
    <x v="1939"/>
    <n v="90000"/>
    <x v="0"/>
    <x v="1"/>
    <x v="1"/>
    <x v="0"/>
    <n v="30"/>
    <x v="1"/>
    <x v="2"/>
    <x v="1"/>
    <x v="1"/>
    <x v="1"/>
    <x v="1"/>
    <x v="2"/>
    <n v="38921"/>
    <n v="45577"/>
    <n v="46496"/>
    <n v="40244"/>
    <n v="39903"/>
    <n v="8629"/>
    <n v="12000"/>
    <n v="5000"/>
    <n v="3000"/>
    <n v="10000"/>
    <n v="1000"/>
    <n v="1838"/>
    <n v="0"/>
    <x v="1"/>
    <n v="26921"/>
    <x v="1"/>
  </r>
  <r>
    <x v="1940"/>
    <n v="180000"/>
    <x v="1"/>
    <x v="0"/>
    <x v="1"/>
    <x v="1"/>
    <n v="26"/>
    <x v="0"/>
    <x v="1"/>
    <x v="2"/>
    <x v="0"/>
    <x v="0"/>
    <x v="2"/>
    <x v="3"/>
    <n v="2049"/>
    <n v="0"/>
    <n v="351"/>
    <n v="631"/>
    <n v="13359"/>
    <n v="384"/>
    <n v="0"/>
    <n v="351"/>
    <n v="631"/>
    <n v="13359"/>
    <n v="384"/>
    <n v="487"/>
    <n v="0"/>
    <x v="1"/>
    <n v="2049"/>
    <x v="0"/>
  </r>
  <r>
    <x v="1941"/>
    <n v="360000"/>
    <x v="2"/>
    <x v="1"/>
    <x v="2"/>
    <x v="0"/>
    <n v="53"/>
    <x v="2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942"/>
    <n v="120000"/>
    <x v="1"/>
    <x v="1"/>
    <x v="1"/>
    <x v="0"/>
    <n v="45"/>
    <x v="3"/>
    <x v="2"/>
    <x v="1"/>
    <x v="1"/>
    <x v="1"/>
    <x v="1"/>
    <x v="2"/>
    <n v="20877"/>
    <n v="21909"/>
    <n v="22922"/>
    <n v="23376"/>
    <n v="23866"/>
    <n v="24339"/>
    <n v="1369"/>
    <n v="1382"/>
    <n v="836"/>
    <n v="866"/>
    <n v="870"/>
    <n v="902"/>
    <n v="0"/>
    <x v="1"/>
    <n v="19508"/>
    <x v="0"/>
  </r>
  <r>
    <x v="1943"/>
    <n v="220000"/>
    <x v="1"/>
    <x v="1"/>
    <x v="0"/>
    <x v="1"/>
    <n v="30"/>
    <x v="1"/>
    <x v="2"/>
    <x v="1"/>
    <x v="1"/>
    <x v="1"/>
    <x v="1"/>
    <x v="2"/>
    <n v="217800"/>
    <n v="189016"/>
    <n v="137788"/>
    <n v="106713"/>
    <n v="96588"/>
    <n v="22743"/>
    <n v="7261"/>
    <n v="5170"/>
    <n v="4054"/>
    <n v="4500"/>
    <n v="1225"/>
    <n v="110000"/>
    <n v="0"/>
    <x v="1"/>
    <n v="210539"/>
    <x v="2"/>
  </r>
  <r>
    <x v="1944"/>
    <n v="220000"/>
    <x v="1"/>
    <x v="1"/>
    <x v="1"/>
    <x v="1"/>
    <n v="34"/>
    <x v="1"/>
    <x v="0"/>
    <x v="0"/>
    <x v="1"/>
    <x v="1"/>
    <x v="1"/>
    <x v="1"/>
    <n v="203101"/>
    <n v="185384"/>
    <n v="149839"/>
    <n v="142404"/>
    <n v="120918"/>
    <n v="87005"/>
    <n v="311"/>
    <n v="38024"/>
    <n v="8105"/>
    <n v="10117"/>
    <n v="37"/>
    <n v="5264"/>
    <n v="1"/>
    <x v="0"/>
    <n v="202790"/>
    <x v="2"/>
  </r>
  <r>
    <x v="1945"/>
    <n v="10000"/>
    <x v="0"/>
    <x v="0"/>
    <x v="1"/>
    <x v="1"/>
    <n v="27"/>
    <x v="0"/>
    <x v="1"/>
    <x v="2"/>
    <x v="3"/>
    <x v="2"/>
    <x v="0"/>
    <x v="0"/>
    <n v="499"/>
    <n v="0"/>
    <n v="0"/>
    <n v="0"/>
    <n v="0"/>
    <n v="0"/>
    <n v="0"/>
    <n v="0"/>
    <n v="0"/>
    <n v="0"/>
    <n v="0"/>
    <n v="0"/>
    <n v="1"/>
    <x v="0"/>
    <n v="499"/>
    <x v="0"/>
  </r>
  <r>
    <x v="1946"/>
    <n v="320000"/>
    <x v="2"/>
    <x v="0"/>
    <x v="0"/>
    <x v="1"/>
    <n v="31"/>
    <x v="1"/>
    <x v="2"/>
    <x v="1"/>
    <x v="1"/>
    <x v="1"/>
    <x v="1"/>
    <x v="2"/>
    <n v="104850"/>
    <n v="101705"/>
    <n v="93489"/>
    <n v="95033"/>
    <n v="96941"/>
    <n v="108463"/>
    <n v="3600"/>
    <n v="4277"/>
    <n v="4000"/>
    <n v="3600"/>
    <n v="13203"/>
    <n v="4500"/>
    <n v="0"/>
    <x v="1"/>
    <n v="101250"/>
    <x v="2"/>
  </r>
  <r>
    <x v="1947"/>
    <n v="320000"/>
    <x v="2"/>
    <x v="1"/>
    <x v="1"/>
    <x v="0"/>
    <n v="33"/>
    <x v="1"/>
    <x v="2"/>
    <x v="1"/>
    <x v="1"/>
    <x v="1"/>
    <x v="1"/>
    <x v="2"/>
    <n v="325445"/>
    <n v="202853"/>
    <n v="57051"/>
    <n v="161651"/>
    <n v="182265"/>
    <n v="0"/>
    <n v="10000"/>
    <n v="15000"/>
    <n v="105000"/>
    <n v="55000"/>
    <n v="0"/>
    <n v="0"/>
    <n v="0"/>
    <x v="1"/>
    <n v="315445"/>
    <x v="2"/>
  </r>
  <r>
    <x v="1948"/>
    <n v="90000"/>
    <x v="0"/>
    <x v="1"/>
    <x v="0"/>
    <x v="1"/>
    <n v="39"/>
    <x v="1"/>
    <x v="2"/>
    <x v="1"/>
    <x v="1"/>
    <x v="1"/>
    <x v="2"/>
    <x v="2"/>
    <n v="50477"/>
    <n v="22472"/>
    <n v="20148"/>
    <n v="4708"/>
    <n v="5000"/>
    <n v="5028"/>
    <n v="3000"/>
    <n v="5000"/>
    <n v="500"/>
    <n v="5000"/>
    <n v="500"/>
    <n v="500"/>
    <n v="0"/>
    <x v="1"/>
    <n v="47477"/>
    <x v="1"/>
  </r>
  <r>
    <x v="1949"/>
    <n v="180000"/>
    <x v="1"/>
    <x v="1"/>
    <x v="1"/>
    <x v="0"/>
    <n v="50"/>
    <x v="2"/>
    <x v="2"/>
    <x v="1"/>
    <x v="1"/>
    <x v="1"/>
    <x v="1"/>
    <x v="2"/>
    <n v="66114"/>
    <n v="69436"/>
    <n v="72560"/>
    <n v="76169"/>
    <n v="77988"/>
    <n v="69293"/>
    <n v="5000"/>
    <n v="5000"/>
    <n v="5000"/>
    <n v="3000"/>
    <n v="5000"/>
    <n v="5000"/>
    <n v="0"/>
    <x v="1"/>
    <n v="61114"/>
    <x v="1"/>
  </r>
  <r>
    <x v="1950"/>
    <n v="90000"/>
    <x v="0"/>
    <x v="0"/>
    <x v="1"/>
    <x v="1"/>
    <n v="28"/>
    <x v="0"/>
    <x v="2"/>
    <x v="1"/>
    <x v="1"/>
    <x v="1"/>
    <x v="1"/>
    <x v="3"/>
    <n v="88345"/>
    <n v="90260"/>
    <n v="87535"/>
    <n v="89335"/>
    <n v="19715"/>
    <n v="4709"/>
    <n v="3360"/>
    <n v="1947"/>
    <n v="2000"/>
    <n v="10000"/>
    <n v="4709"/>
    <n v="82400"/>
    <n v="0"/>
    <x v="1"/>
    <n v="84985"/>
    <x v="1"/>
  </r>
  <r>
    <x v="1951"/>
    <n v="100000"/>
    <x v="0"/>
    <x v="1"/>
    <x v="1"/>
    <x v="0"/>
    <n v="36"/>
    <x v="1"/>
    <x v="2"/>
    <x v="1"/>
    <x v="1"/>
    <x v="1"/>
    <x v="1"/>
    <x v="2"/>
    <n v="23070"/>
    <n v="18806"/>
    <n v="20183"/>
    <n v="21540"/>
    <n v="25775"/>
    <n v="0"/>
    <n v="1700"/>
    <n v="2000"/>
    <n v="2000"/>
    <n v="5000"/>
    <n v="0"/>
    <n v="0"/>
    <n v="0"/>
    <x v="1"/>
    <n v="21370"/>
    <x v="0"/>
  </r>
  <r>
    <x v="1952"/>
    <n v="340000"/>
    <x v="2"/>
    <x v="1"/>
    <x v="0"/>
    <x v="0"/>
    <n v="41"/>
    <x v="3"/>
    <x v="2"/>
    <x v="1"/>
    <x v="1"/>
    <x v="1"/>
    <x v="1"/>
    <x v="2"/>
    <n v="331003"/>
    <n v="332829"/>
    <n v="274467"/>
    <n v="275341"/>
    <n v="280913"/>
    <n v="270448"/>
    <n v="15110"/>
    <n v="11019"/>
    <n v="9502"/>
    <n v="9579"/>
    <n v="9026"/>
    <n v="8719"/>
    <n v="0"/>
    <x v="1"/>
    <n v="315893"/>
    <x v="2"/>
  </r>
  <r>
    <x v="1953"/>
    <n v="50000"/>
    <x v="0"/>
    <x v="1"/>
    <x v="1"/>
    <x v="1"/>
    <n v="22"/>
    <x v="0"/>
    <x v="2"/>
    <x v="1"/>
    <x v="2"/>
    <x v="1"/>
    <x v="1"/>
    <x v="2"/>
    <n v="47726"/>
    <n v="51161"/>
    <n v="48310"/>
    <n v="50332"/>
    <n v="47492"/>
    <n v="50782"/>
    <n v="5500"/>
    <n v="0"/>
    <n v="3000"/>
    <n v="3000"/>
    <n v="5000"/>
    <n v="0"/>
    <n v="1"/>
    <x v="0"/>
    <n v="42226"/>
    <x v="1"/>
  </r>
  <r>
    <x v="1954"/>
    <n v="240000"/>
    <x v="1"/>
    <x v="0"/>
    <x v="0"/>
    <x v="0"/>
    <n v="41"/>
    <x v="3"/>
    <x v="1"/>
    <x v="1"/>
    <x v="0"/>
    <x v="0"/>
    <x v="2"/>
    <x v="3"/>
    <n v="20272"/>
    <n v="11294"/>
    <n v="16873"/>
    <n v="1143"/>
    <n v="4317"/>
    <n v="14940"/>
    <n v="1000"/>
    <n v="16906"/>
    <n v="1143"/>
    <n v="4317"/>
    <n v="14940"/>
    <n v="0"/>
    <n v="0"/>
    <x v="1"/>
    <n v="19272"/>
    <x v="0"/>
  </r>
  <r>
    <x v="1955"/>
    <n v="10000"/>
    <x v="0"/>
    <x v="1"/>
    <x v="0"/>
    <x v="1"/>
    <n v="41"/>
    <x v="3"/>
    <x v="4"/>
    <x v="0"/>
    <x v="2"/>
    <x v="3"/>
    <x v="3"/>
    <x v="1"/>
    <n v="8722"/>
    <n v="9592"/>
    <n v="9289"/>
    <n v="10140"/>
    <n v="10417"/>
    <n v="10104"/>
    <n v="1157"/>
    <n v="0"/>
    <n v="1008"/>
    <n v="584"/>
    <n v="0"/>
    <n v="198"/>
    <n v="0"/>
    <x v="1"/>
    <n v="7565"/>
    <x v="0"/>
  </r>
  <r>
    <x v="1956"/>
    <n v="220000"/>
    <x v="1"/>
    <x v="0"/>
    <x v="1"/>
    <x v="0"/>
    <n v="42"/>
    <x v="3"/>
    <x v="0"/>
    <x v="0"/>
    <x v="2"/>
    <x v="3"/>
    <x v="3"/>
    <x v="1"/>
    <n v="2500"/>
    <n v="2500"/>
    <n v="2500"/>
    <n v="2500"/>
    <n v="2500"/>
    <n v="2500"/>
    <n v="0"/>
    <n v="0"/>
    <n v="0"/>
    <n v="0"/>
    <n v="0"/>
    <n v="0"/>
    <n v="1"/>
    <x v="0"/>
    <n v="2500"/>
    <x v="0"/>
  </r>
  <r>
    <x v="1957"/>
    <n v="100000"/>
    <x v="0"/>
    <x v="0"/>
    <x v="0"/>
    <x v="1"/>
    <n v="37"/>
    <x v="1"/>
    <x v="2"/>
    <x v="1"/>
    <x v="1"/>
    <x v="1"/>
    <x v="1"/>
    <x v="2"/>
    <n v="107669"/>
    <n v="107529"/>
    <n v="73323"/>
    <n v="51125"/>
    <n v="46879"/>
    <n v="45538"/>
    <n v="3536"/>
    <n v="2821"/>
    <n v="3963"/>
    <n v="3147"/>
    <n v="2670"/>
    <n v="725"/>
    <n v="0"/>
    <x v="1"/>
    <n v="104133"/>
    <x v="2"/>
  </r>
  <r>
    <x v="1958"/>
    <n v="220000"/>
    <x v="1"/>
    <x v="0"/>
    <x v="1"/>
    <x v="0"/>
    <n v="31"/>
    <x v="1"/>
    <x v="3"/>
    <x v="3"/>
    <x v="3"/>
    <x v="2"/>
    <x v="0"/>
    <x v="0"/>
    <n v="3785"/>
    <n v="1137"/>
    <n v="377"/>
    <n v="5763"/>
    <n v="3952"/>
    <n v="412"/>
    <n v="1142"/>
    <n v="377"/>
    <n v="5763"/>
    <n v="3952"/>
    <n v="412"/>
    <n v="1294"/>
    <n v="0"/>
    <x v="1"/>
    <n v="2643"/>
    <x v="0"/>
  </r>
  <r>
    <x v="1959"/>
    <n v="70000"/>
    <x v="0"/>
    <x v="0"/>
    <x v="2"/>
    <x v="0"/>
    <n v="57"/>
    <x v="2"/>
    <x v="2"/>
    <x v="1"/>
    <x v="1"/>
    <x v="1"/>
    <x v="1"/>
    <x v="2"/>
    <n v="67864"/>
    <n v="65062"/>
    <n v="66447"/>
    <n v="49103"/>
    <n v="45830"/>
    <n v="46769"/>
    <n v="2620"/>
    <n v="2730"/>
    <n v="1936"/>
    <n v="1700"/>
    <n v="1700"/>
    <n v="2000"/>
    <n v="0"/>
    <x v="1"/>
    <n v="65244"/>
    <x v="1"/>
  </r>
  <r>
    <x v="1960"/>
    <n v="30000"/>
    <x v="0"/>
    <x v="0"/>
    <x v="0"/>
    <x v="1"/>
    <n v="37"/>
    <x v="1"/>
    <x v="5"/>
    <x v="0"/>
    <x v="2"/>
    <x v="1"/>
    <x v="1"/>
    <x v="2"/>
    <n v="29657"/>
    <n v="30320"/>
    <n v="28991"/>
    <n v="29066"/>
    <n v="29340"/>
    <n v="30786"/>
    <n v="1763"/>
    <n v="0"/>
    <n v="1178"/>
    <n v="1223"/>
    <n v="2435"/>
    <n v="1200"/>
    <n v="1"/>
    <x v="0"/>
    <n v="27894"/>
    <x v="1"/>
  </r>
  <r>
    <x v="1961"/>
    <n v="130000"/>
    <x v="1"/>
    <x v="0"/>
    <x v="2"/>
    <x v="1"/>
    <n v="53"/>
    <x v="2"/>
    <x v="1"/>
    <x v="2"/>
    <x v="0"/>
    <x v="0"/>
    <x v="2"/>
    <x v="3"/>
    <n v="11085"/>
    <n v="45677"/>
    <n v="27951"/>
    <n v="17255"/>
    <n v="10400"/>
    <n v="18776"/>
    <n v="45697"/>
    <n v="27951"/>
    <n v="17307"/>
    <n v="10400"/>
    <n v="18776"/>
    <n v="2944"/>
    <n v="0"/>
    <x v="1"/>
    <n v="-34612"/>
    <x v="3"/>
  </r>
  <r>
    <x v="1962"/>
    <n v="140000"/>
    <x v="1"/>
    <x v="0"/>
    <x v="0"/>
    <x v="0"/>
    <n v="25"/>
    <x v="0"/>
    <x v="2"/>
    <x v="1"/>
    <x v="1"/>
    <x v="1"/>
    <x v="1"/>
    <x v="2"/>
    <n v="81960"/>
    <n v="81757"/>
    <n v="83046"/>
    <n v="84034"/>
    <n v="77659"/>
    <n v="77180"/>
    <n v="3005"/>
    <n v="3000"/>
    <n v="3000"/>
    <n v="3000"/>
    <n v="3000"/>
    <n v="5000"/>
    <n v="0"/>
    <x v="1"/>
    <n v="78955"/>
    <x v="1"/>
  </r>
  <r>
    <x v="1963"/>
    <n v="20000"/>
    <x v="0"/>
    <x v="1"/>
    <x v="0"/>
    <x v="1"/>
    <n v="32"/>
    <x v="1"/>
    <x v="2"/>
    <x v="1"/>
    <x v="0"/>
    <x v="1"/>
    <x v="1"/>
    <x v="2"/>
    <n v="4485"/>
    <n v="4843"/>
    <n v="15992"/>
    <n v="14897"/>
    <n v="12792"/>
    <n v="10042"/>
    <n v="1000"/>
    <n v="16000"/>
    <n v="600"/>
    <n v="1000"/>
    <n v="500"/>
    <n v="0"/>
    <n v="0"/>
    <x v="1"/>
    <n v="3485"/>
    <x v="0"/>
  </r>
  <r>
    <x v="1964"/>
    <n v="150000"/>
    <x v="1"/>
    <x v="0"/>
    <x v="1"/>
    <x v="0"/>
    <n v="38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965"/>
    <n v="50000"/>
    <x v="0"/>
    <x v="0"/>
    <x v="0"/>
    <x v="1"/>
    <n v="26"/>
    <x v="0"/>
    <x v="2"/>
    <x v="1"/>
    <x v="3"/>
    <x v="2"/>
    <x v="0"/>
    <x v="0"/>
    <n v="4136"/>
    <n v="0"/>
    <n v="0"/>
    <n v="0"/>
    <n v="0"/>
    <n v="0"/>
    <n v="0"/>
    <n v="0"/>
    <n v="0"/>
    <n v="0"/>
    <n v="0"/>
    <n v="0"/>
    <n v="0"/>
    <x v="1"/>
    <n v="4136"/>
    <x v="0"/>
  </r>
  <r>
    <x v="1966"/>
    <n v="90000"/>
    <x v="0"/>
    <x v="1"/>
    <x v="0"/>
    <x v="0"/>
    <n v="29"/>
    <x v="0"/>
    <x v="4"/>
    <x v="8"/>
    <x v="8"/>
    <x v="1"/>
    <x v="1"/>
    <x v="2"/>
    <n v="41073"/>
    <n v="43480"/>
    <n v="73960"/>
    <n v="2442"/>
    <n v="48063"/>
    <n v="48186"/>
    <n v="3100"/>
    <n v="1000"/>
    <n v="770"/>
    <n v="48012"/>
    <n v="1756"/>
    <n v="1894"/>
    <n v="0"/>
    <x v="1"/>
    <n v="37973"/>
    <x v="1"/>
  </r>
  <r>
    <x v="1967"/>
    <n v="170000"/>
    <x v="1"/>
    <x v="0"/>
    <x v="2"/>
    <x v="0"/>
    <n v="37"/>
    <x v="1"/>
    <x v="2"/>
    <x v="1"/>
    <x v="1"/>
    <x v="1"/>
    <x v="1"/>
    <x v="2"/>
    <n v="158920"/>
    <n v="164353"/>
    <n v="167455"/>
    <n v="99297"/>
    <n v="59888"/>
    <n v="44262"/>
    <n v="8000"/>
    <n v="7000"/>
    <n v="5000"/>
    <n v="5000"/>
    <n v="5000"/>
    <n v="20000"/>
    <n v="0"/>
    <x v="1"/>
    <n v="150920"/>
    <x v="2"/>
  </r>
  <r>
    <x v="1968"/>
    <n v="70000"/>
    <x v="0"/>
    <x v="1"/>
    <x v="1"/>
    <x v="1"/>
    <n v="30"/>
    <x v="1"/>
    <x v="0"/>
    <x v="0"/>
    <x v="1"/>
    <x v="1"/>
    <x v="1"/>
    <x v="2"/>
    <n v="34985"/>
    <n v="34146"/>
    <n v="35271"/>
    <n v="35986"/>
    <n v="36905"/>
    <n v="37641"/>
    <n v="0"/>
    <n v="2000"/>
    <n v="1300"/>
    <n v="1500"/>
    <n v="1500"/>
    <n v="1576"/>
    <n v="1"/>
    <x v="0"/>
    <n v="34985"/>
    <x v="1"/>
  </r>
  <r>
    <x v="1969"/>
    <n v="200000"/>
    <x v="1"/>
    <x v="0"/>
    <x v="1"/>
    <x v="1"/>
    <n v="43"/>
    <x v="3"/>
    <x v="3"/>
    <x v="3"/>
    <x v="3"/>
    <x v="2"/>
    <x v="0"/>
    <x v="0"/>
    <n v="830"/>
    <n v="-6"/>
    <n v="-6"/>
    <n v="657"/>
    <n v="2088"/>
    <n v="150"/>
    <n v="0"/>
    <n v="0"/>
    <n v="663"/>
    <n v="2088"/>
    <n v="150"/>
    <n v="594"/>
    <n v="0"/>
    <x v="1"/>
    <n v="830"/>
    <x v="0"/>
  </r>
  <r>
    <x v="1970"/>
    <n v="200000"/>
    <x v="1"/>
    <x v="1"/>
    <x v="1"/>
    <x v="0"/>
    <n v="42"/>
    <x v="3"/>
    <x v="2"/>
    <x v="2"/>
    <x v="1"/>
    <x v="1"/>
    <x v="2"/>
    <x v="3"/>
    <n v="19318"/>
    <n v="19067"/>
    <n v="17858"/>
    <n v="326"/>
    <n v="326"/>
    <n v="326"/>
    <n v="19067"/>
    <n v="5000"/>
    <n v="0"/>
    <n v="326"/>
    <n v="326"/>
    <n v="326"/>
    <n v="0"/>
    <x v="1"/>
    <n v="251"/>
    <x v="0"/>
  </r>
  <r>
    <x v="1971"/>
    <n v="20000"/>
    <x v="0"/>
    <x v="1"/>
    <x v="0"/>
    <x v="0"/>
    <n v="40"/>
    <x v="3"/>
    <x v="4"/>
    <x v="0"/>
    <x v="1"/>
    <x v="1"/>
    <x v="1"/>
    <x v="2"/>
    <n v="20498"/>
    <n v="19692"/>
    <n v="20498"/>
    <n v="19898"/>
    <n v="19906"/>
    <n v="18586"/>
    <n v="0"/>
    <n v="1600"/>
    <n v="0"/>
    <n v="398"/>
    <n v="0"/>
    <n v="0"/>
    <n v="1"/>
    <x v="0"/>
    <n v="20498"/>
    <x v="0"/>
  </r>
  <r>
    <x v="1972"/>
    <n v="200000"/>
    <x v="1"/>
    <x v="1"/>
    <x v="0"/>
    <x v="0"/>
    <n v="41"/>
    <x v="3"/>
    <x v="2"/>
    <x v="1"/>
    <x v="1"/>
    <x v="1"/>
    <x v="1"/>
    <x v="2"/>
    <n v="96910"/>
    <n v="92934"/>
    <n v="99528"/>
    <n v="100341"/>
    <n v="102585"/>
    <n v="108567"/>
    <n v="10000"/>
    <n v="7004"/>
    <n v="5000"/>
    <n v="5003"/>
    <n v="7345"/>
    <n v="7000"/>
    <n v="0"/>
    <x v="1"/>
    <n v="86910"/>
    <x v="1"/>
  </r>
  <r>
    <x v="1973"/>
    <n v="170000"/>
    <x v="1"/>
    <x v="1"/>
    <x v="0"/>
    <x v="1"/>
    <n v="26"/>
    <x v="0"/>
    <x v="3"/>
    <x v="3"/>
    <x v="3"/>
    <x v="2"/>
    <x v="0"/>
    <x v="0"/>
    <n v="0"/>
    <n v="0"/>
    <n v="0"/>
    <n v="0"/>
    <n v="0"/>
    <n v="0"/>
    <n v="0"/>
    <n v="0"/>
    <n v="0"/>
    <n v="0"/>
    <n v="0"/>
    <n v="0"/>
    <n v="0"/>
    <x v="1"/>
    <n v="0"/>
    <x v="3"/>
  </r>
  <r>
    <x v="1974"/>
    <n v="130000"/>
    <x v="1"/>
    <x v="1"/>
    <x v="1"/>
    <x v="1"/>
    <n v="25"/>
    <x v="0"/>
    <x v="4"/>
    <x v="3"/>
    <x v="3"/>
    <x v="2"/>
    <x v="0"/>
    <x v="0"/>
    <n v="-2000"/>
    <n v="-2000"/>
    <n v="-2000"/>
    <n v="-2000"/>
    <n v="-2000"/>
    <n v="-2000"/>
    <n v="0"/>
    <n v="0"/>
    <n v="0"/>
    <n v="0"/>
    <n v="0"/>
    <n v="0"/>
    <n v="1"/>
    <x v="0"/>
    <n v="-2000"/>
    <x v="3"/>
  </r>
  <r>
    <x v="1975"/>
    <n v="100000"/>
    <x v="0"/>
    <x v="0"/>
    <x v="1"/>
    <x v="1"/>
    <n v="27"/>
    <x v="0"/>
    <x v="2"/>
    <x v="1"/>
    <x v="1"/>
    <x v="1"/>
    <x v="3"/>
    <x v="2"/>
    <n v="90118"/>
    <n v="88435"/>
    <n v="90147"/>
    <n v="94425"/>
    <n v="92853"/>
    <n v="93816"/>
    <n v="4110"/>
    <n v="4101"/>
    <n v="6623"/>
    <n v="0"/>
    <n v="3503"/>
    <n v="3360"/>
    <n v="0"/>
    <x v="1"/>
    <n v="86008"/>
    <x v="1"/>
  </r>
  <r>
    <x v="1976"/>
    <n v="180000"/>
    <x v="1"/>
    <x v="1"/>
    <x v="0"/>
    <x v="1"/>
    <n v="31"/>
    <x v="1"/>
    <x v="2"/>
    <x v="1"/>
    <x v="1"/>
    <x v="3"/>
    <x v="1"/>
    <x v="2"/>
    <n v="28566"/>
    <n v="32876"/>
    <n v="39120"/>
    <n v="38339"/>
    <n v="42679"/>
    <n v="46953"/>
    <n v="5000"/>
    <n v="7000"/>
    <n v="0"/>
    <n v="5000"/>
    <n v="5000"/>
    <n v="5000"/>
    <n v="0"/>
    <x v="1"/>
    <n v="23566"/>
    <x v="0"/>
  </r>
  <r>
    <x v="1977"/>
    <n v="230000"/>
    <x v="1"/>
    <x v="0"/>
    <x v="2"/>
    <x v="1"/>
    <n v="26"/>
    <x v="0"/>
    <x v="3"/>
    <x v="2"/>
    <x v="1"/>
    <x v="1"/>
    <x v="1"/>
    <x v="2"/>
    <n v="1200"/>
    <n v="990"/>
    <n v="9079"/>
    <n v="11186"/>
    <n v="10159"/>
    <n v="11734"/>
    <n v="990"/>
    <n v="8089"/>
    <n v="2186"/>
    <n v="1159"/>
    <n v="1734"/>
    <n v="1200"/>
    <n v="0"/>
    <x v="1"/>
    <n v="210"/>
    <x v="0"/>
  </r>
  <r>
    <x v="1978"/>
    <n v="20000"/>
    <x v="0"/>
    <x v="1"/>
    <x v="2"/>
    <x v="1"/>
    <n v="50"/>
    <x v="2"/>
    <x v="1"/>
    <x v="2"/>
    <x v="0"/>
    <x v="0"/>
    <x v="2"/>
    <x v="2"/>
    <n v="2191"/>
    <n v="1140"/>
    <n v="12656"/>
    <n v="1693"/>
    <n v="303"/>
    <n v="12303"/>
    <n v="1140"/>
    <n v="12656"/>
    <n v="1700"/>
    <n v="500"/>
    <n v="12000"/>
    <n v="0"/>
    <n v="0"/>
    <x v="1"/>
    <n v="1051"/>
    <x v="0"/>
  </r>
  <r>
    <x v="1979"/>
    <n v="500000"/>
    <x v="2"/>
    <x v="0"/>
    <x v="1"/>
    <x v="0"/>
    <n v="35"/>
    <x v="1"/>
    <x v="2"/>
    <x v="1"/>
    <x v="1"/>
    <x v="1"/>
    <x v="1"/>
    <x v="2"/>
    <n v="35176"/>
    <n v="36193"/>
    <n v="44157"/>
    <n v="48322"/>
    <n v="21593"/>
    <n v="13866"/>
    <n v="2504"/>
    <n v="10004"/>
    <n v="5178"/>
    <n v="1047"/>
    <n v="2019"/>
    <n v="1004"/>
    <n v="1"/>
    <x v="0"/>
    <n v="32672"/>
    <x v="1"/>
  </r>
  <r>
    <x v="1980"/>
    <n v="150000"/>
    <x v="1"/>
    <x v="0"/>
    <x v="1"/>
    <x v="0"/>
    <n v="38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981"/>
    <n v="80000"/>
    <x v="0"/>
    <x v="0"/>
    <x v="2"/>
    <x v="1"/>
    <n v="40"/>
    <x v="3"/>
    <x v="5"/>
    <x v="0"/>
    <x v="2"/>
    <x v="3"/>
    <x v="3"/>
    <x v="1"/>
    <n v="38503"/>
    <n v="40118"/>
    <n v="41199"/>
    <n v="42264"/>
    <n v="43083"/>
    <n v="43471"/>
    <n v="2500"/>
    <n v="2000"/>
    <n v="2000"/>
    <n v="1600"/>
    <n v="1200"/>
    <n v="2000"/>
    <n v="1"/>
    <x v="0"/>
    <n v="36003"/>
    <x v="1"/>
  </r>
  <r>
    <x v="1982"/>
    <n v="230000"/>
    <x v="1"/>
    <x v="1"/>
    <x v="0"/>
    <x v="0"/>
    <n v="29"/>
    <x v="0"/>
    <x v="2"/>
    <x v="1"/>
    <x v="1"/>
    <x v="1"/>
    <x v="1"/>
    <x v="2"/>
    <n v="56171"/>
    <n v="60250"/>
    <n v="63574"/>
    <n v="71941"/>
    <n v="75882"/>
    <n v="75619"/>
    <n v="5000"/>
    <n v="5000"/>
    <n v="10000"/>
    <n v="5000"/>
    <n v="5000"/>
    <n v="5000"/>
    <n v="0"/>
    <x v="1"/>
    <n v="51171"/>
    <x v="1"/>
  </r>
  <r>
    <x v="1983"/>
    <n v="80000"/>
    <x v="0"/>
    <x v="1"/>
    <x v="1"/>
    <x v="1"/>
    <n v="37"/>
    <x v="1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984"/>
    <n v="230000"/>
    <x v="1"/>
    <x v="0"/>
    <x v="0"/>
    <x v="1"/>
    <n v="24"/>
    <x v="0"/>
    <x v="2"/>
    <x v="1"/>
    <x v="1"/>
    <x v="1"/>
    <x v="1"/>
    <x v="2"/>
    <n v="24973"/>
    <n v="24974"/>
    <n v="25566"/>
    <n v="23427"/>
    <n v="28229"/>
    <n v="31355"/>
    <n v="5000"/>
    <n v="5000"/>
    <n v="2100"/>
    <n v="5229"/>
    <n v="3355"/>
    <n v="4598"/>
    <n v="0"/>
    <x v="1"/>
    <n v="19973"/>
    <x v="0"/>
  </r>
  <r>
    <x v="1985"/>
    <n v="50000"/>
    <x v="0"/>
    <x v="0"/>
    <x v="0"/>
    <x v="1"/>
    <n v="49"/>
    <x v="3"/>
    <x v="0"/>
    <x v="1"/>
    <x v="0"/>
    <x v="0"/>
    <x v="2"/>
    <x v="2"/>
    <n v="38947"/>
    <n v="37799"/>
    <n v="3"/>
    <n v="18080"/>
    <n v="12227"/>
    <n v="13296"/>
    <n v="2000"/>
    <n v="1000"/>
    <n v="19000"/>
    <n v="12500"/>
    <n v="2000"/>
    <n v="2000"/>
    <n v="1"/>
    <x v="0"/>
    <n v="36947"/>
    <x v="1"/>
  </r>
  <r>
    <x v="1986"/>
    <n v="50000"/>
    <x v="0"/>
    <x v="1"/>
    <x v="0"/>
    <x v="1"/>
    <n v="35"/>
    <x v="1"/>
    <x v="2"/>
    <x v="1"/>
    <x v="1"/>
    <x v="1"/>
    <x v="1"/>
    <x v="2"/>
    <n v="48813"/>
    <n v="50789"/>
    <n v="49624"/>
    <n v="19880"/>
    <n v="20431"/>
    <n v="19559"/>
    <n v="5000"/>
    <n v="23000"/>
    <n v="838"/>
    <n v="1000"/>
    <n v="1000"/>
    <n v="1000"/>
    <n v="0"/>
    <x v="1"/>
    <n v="43813"/>
    <x v="1"/>
  </r>
  <r>
    <x v="1987"/>
    <n v="10000"/>
    <x v="0"/>
    <x v="0"/>
    <x v="1"/>
    <x v="1"/>
    <n v="25"/>
    <x v="0"/>
    <x v="4"/>
    <x v="4"/>
    <x v="2"/>
    <x v="1"/>
    <x v="1"/>
    <x v="2"/>
    <n v="10438"/>
    <n v="10130"/>
    <n v="9738"/>
    <n v="9178"/>
    <n v="8398"/>
    <n v="0"/>
    <n v="0"/>
    <n v="0"/>
    <n v="0"/>
    <n v="0"/>
    <n v="0"/>
    <n v="0"/>
    <n v="0"/>
    <x v="1"/>
    <n v="10438"/>
    <x v="0"/>
  </r>
  <r>
    <x v="1988"/>
    <n v="140000"/>
    <x v="1"/>
    <x v="1"/>
    <x v="0"/>
    <x v="1"/>
    <n v="34"/>
    <x v="1"/>
    <x v="0"/>
    <x v="0"/>
    <x v="2"/>
    <x v="3"/>
    <x v="3"/>
    <x v="1"/>
    <n v="135949"/>
    <n v="130625"/>
    <n v="117392"/>
    <n v="111478"/>
    <n v="109353"/>
    <n v="97612"/>
    <n v="8408"/>
    <n v="3500"/>
    <n v="3500"/>
    <n v="3600"/>
    <n v="0"/>
    <n v="3600"/>
    <n v="0"/>
    <x v="1"/>
    <n v="127541"/>
    <x v="2"/>
  </r>
  <r>
    <x v="1989"/>
    <n v="50000"/>
    <x v="0"/>
    <x v="1"/>
    <x v="0"/>
    <x v="1"/>
    <n v="42"/>
    <x v="3"/>
    <x v="2"/>
    <x v="1"/>
    <x v="1"/>
    <x v="1"/>
    <x v="1"/>
    <x v="2"/>
    <n v="39236"/>
    <n v="39729"/>
    <n v="27068"/>
    <n v="28604"/>
    <n v="28199"/>
    <n v="58428"/>
    <n v="2094"/>
    <n v="1451"/>
    <n v="1987"/>
    <n v="1039"/>
    <n v="1500"/>
    <n v="1200"/>
    <n v="1"/>
    <x v="0"/>
    <n v="37142"/>
    <x v="1"/>
  </r>
  <r>
    <x v="1990"/>
    <n v="180000"/>
    <x v="1"/>
    <x v="1"/>
    <x v="2"/>
    <x v="1"/>
    <n v="28"/>
    <x v="0"/>
    <x v="2"/>
    <x v="1"/>
    <x v="1"/>
    <x v="1"/>
    <x v="1"/>
    <x v="2"/>
    <n v="129719"/>
    <n v="133702"/>
    <n v="133758"/>
    <n v="80055"/>
    <n v="69672"/>
    <n v="33194"/>
    <n v="6070"/>
    <n v="3521"/>
    <n v="5000"/>
    <n v="5000"/>
    <n v="5004"/>
    <n v="5029"/>
    <n v="0"/>
    <x v="1"/>
    <n v="123649"/>
    <x v="2"/>
  </r>
  <r>
    <x v="1991"/>
    <n v="360000"/>
    <x v="2"/>
    <x v="1"/>
    <x v="1"/>
    <x v="1"/>
    <n v="65"/>
    <x v="2"/>
    <x v="4"/>
    <x v="3"/>
    <x v="3"/>
    <x v="2"/>
    <x v="0"/>
    <x v="0"/>
    <n v="0"/>
    <n v="0"/>
    <n v="0"/>
    <n v="0"/>
    <n v="0"/>
    <n v="0"/>
    <n v="0"/>
    <n v="0"/>
    <n v="0"/>
    <n v="0"/>
    <n v="0"/>
    <n v="0"/>
    <n v="1"/>
    <x v="0"/>
    <n v="0"/>
    <x v="3"/>
  </r>
  <r>
    <x v="1992"/>
    <n v="580000"/>
    <x v="2"/>
    <x v="1"/>
    <x v="2"/>
    <x v="0"/>
    <n v="67"/>
    <x v="2"/>
    <x v="0"/>
    <x v="0"/>
    <x v="4"/>
    <x v="4"/>
    <x v="6"/>
    <x v="5"/>
    <n v="453985"/>
    <n v="470915"/>
    <n v="471175"/>
    <n v="486776"/>
    <n v="503914"/>
    <n v="527711"/>
    <n v="25704"/>
    <n v="9464"/>
    <n v="25065"/>
    <n v="25703"/>
    <n v="33000"/>
    <n v="215"/>
    <n v="0"/>
    <x v="1"/>
    <n v="428281"/>
    <x v="2"/>
  </r>
  <r>
    <x v="1993"/>
    <n v="310000"/>
    <x v="2"/>
    <x v="0"/>
    <x v="1"/>
    <x v="0"/>
    <n v="43"/>
    <x v="3"/>
    <x v="3"/>
    <x v="3"/>
    <x v="3"/>
    <x v="2"/>
    <x v="0"/>
    <x v="0"/>
    <n v="14619"/>
    <n v="1881"/>
    <n v="13750"/>
    <n v="9837"/>
    <n v="7785"/>
    <n v="14460"/>
    <n v="12484"/>
    <n v="13961"/>
    <n v="9838"/>
    <n v="7785"/>
    <n v="14460"/>
    <n v="14195"/>
    <n v="0"/>
    <x v="1"/>
    <n v="2135"/>
    <x v="0"/>
  </r>
  <r>
    <x v="1994"/>
    <n v="20000"/>
    <x v="0"/>
    <x v="1"/>
    <x v="2"/>
    <x v="1"/>
    <n v="52"/>
    <x v="2"/>
    <x v="2"/>
    <x v="1"/>
    <x v="2"/>
    <x v="1"/>
    <x v="1"/>
    <x v="2"/>
    <n v="16735"/>
    <n v="20373"/>
    <n v="12071"/>
    <n v="12567"/>
    <n v="13949"/>
    <n v="14318"/>
    <n v="4008"/>
    <n v="0"/>
    <n v="1000"/>
    <n v="1600"/>
    <n v="600"/>
    <n v="532"/>
    <n v="0"/>
    <x v="1"/>
    <n v="12727"/>
    <x v="0"/>
  </r>
  <r>
    <x v="1995"/>
    <n v="180000"/>
    <x v="1"/>
    <x v="0"/>
    <x v="1"/>
    <x v="1"/>
    <n v="43"/>
    <x v="3"/>
    <x v="3"/>
    <x v="2"/>
    <x v="0"/>
    <x v="0"/>
    <x v="1"/>
    <x v="3"/>
    <n v="8657"/>
    <n v="6847"/>
    <n v="18762"/>
    <n v="22928"/>
    <n v="3129"/>
    <n v="2398"/>
    <n v="6847"/>
    <n v="18762"/>
    <n v="22928"/>
    <n v="0"/>
    <n v="2398"/>
    <n v="23149"/>
    <n v="0"/>
    <x v="1"/>
    <n v="1810"/>
    <x v="0"/>
  </r>
  <r>
    <x v="1996"/>
    <n v="60000"/>
    <x v="0"/>
    <x v="0"/>
    <x v="1"/>
    <x v="1"/>
    <n v="24"/>
    <x v="0"/>
    <x v="2"/>
    <x v="1"/>
    <x v="1"/>
    <x v="1"/>
    <x v="1"/>
    <x v="2"/>
    <n v="15050"/>
    <n v="16203"/>
    <n v="16891"/>
    <n v="15474"/>
    <n v="14612"/>
    <n v="16354"/>
    <n v="2000"/>
    <n v="1300"/>
    <n v="2000"/>
    <n v="1000"/>
    <n v="2000"/>
    <n v="1000"/>
    <n v="0"/>
    <x v="1"/>
    <n v="13050"/>
    <x v="0"/>
  </r>
  <r>
    <x v="1997"/>
    <n v="40000"/>
    <x v="0"/>
    <x v="0"/>
    <x v="2"/>
    <x v="0"/>
    <n v="59"/>
    <x v="2"/>
    <x v="2"/>
    <x v="1"/>
    <x v="1"/>
    <x v="1"/>
    <x v="1"/>
    <x v="1"/>
    <n v="14769"/>
    <n v="15271"/>
    <n v="15383"/>
    <n v="14548"/>
    <n v="16274"/>
    <n v="15650"/>
    <n v="1573"/>
    <n v="1512"/>
    <n v="504"/>
    <n v="2770"/>
    <n v="613"/>
    <n v="14"/>
    <n v="0"/>
    <x v="1"/>
    <n v="13196"/>
    <x v="0"/>
  </r>
  <r>
    <x v="1998"/>
    <n v="140000"/>
    <x v="1"/>
    <x v="0"/>
    <x v="0"/>
    <x v="0"/>
    <n v="34"/>
    <x v="1"/>
    <x v="2"/>
    <x v="1"/>
    <x v="2"/>
    <x v="1"/>
    <x v="1"/>
    <x v="2"/>
    <n v="121374"/>
    <n v="125965"/>
    <n v="102527"/>
    <n v="103337"/>
    <n v="105942"/>
    <n v="101830"/>
    <n v="8200"/>
    <n v="3000"/>
    <n v="4000"/>
    <n v="4500"/>
    <n v="4000"/>
    <n v="4200"/>
    <n v="0"/>
    <x v="1"/>
    <n v="113174"/>
    <x v="2"/>
  </r>
  <r>
    <x v="1999"/>
    <n v="220000"/>
    <x v="1"/>
    <x v="1"/>
    <x v="0"/>
    <x v="0"/>
    <n v="32"/>
    <x v="1"/>
    <x v="2"/>
    <x v="2"/>
    <x v="0"/>
    <x v="0"/>
    <x v="2"/>
    <x v="3"/>
    <n v="8000"/>
    <n v="8288"/>
    <n v="8000"/>
    <n v="0"/>
    <n v="8000"/>
    <n v="0"/>
    <n v="8288"/>
    <n v="8000"/>
    <n v="0"/>
    <n v="8000"/>
    <n v="0"/>
    <n v="0"/>
    <n v="0"/>
    <x v="1"/>
    <n v="-28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23636-17C2-4794-A645-17A13B4DD5AA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3:D73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3"/>
        <item x="1"/>
        <item x="2"/>
        <item x="4"/>
        <item x="0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8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0">
    <format dxfId="9">
      <pivotArea type="all" dataOnly="0" outline="0" fieldPosition="0"/>
    </format>
    <format dxfId="8">
      <pivotArea outline="0" collapsedLevelsAreSubtotals="1" fieldPosition="0"/>
    </format>
    <format dxfId="7">
      <pivotArea type="origin" dataOnly="0" labelOnly="1" outline="0" fieldPosition="0"/>
    </format>
    <format dxfId="6">
      <pivotArea field="27" type="button" dataOnly="0" labelOnly="1" outline="0" axis="axisCol" fieldPosition="0"/>
    </format>
    <format dxfId="5">
      <pivotArea type="topRight" dataOnly="0" labelOnly="1" outline="0" fieldPosition="0"/>
    </format>
    <format dxfId="4">
      <pivotArea field="8" type="button" dataOnly="0" labelOnly="1" outline="0" axis="axisRow" fieldPosition="0"/>
    </format>
    <format dxfId="3">
      <pivotArea dataOnly="0" labelOnly="1" fieldPosition="0">
        <references count="1">
          <reference field="8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27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96F226-B776-4A1D-B933-E4F7F513236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0:D130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2"/>
        <item x="0"/>
        <item x="1"/>
        <item x="3"/>
        <item x="4"/>
        <item x="5"/>
        <item x="6"/>
        <item x="8"/>
        <item x="7"/>
        <item t="default"/>
      </items>
    </pivotField>
    <pivotField axis="axisRow" showAll="0">
      <items count="9">
        <item x="0"/>
        <item x="2"/>
        <item x="1"/>
        <item x="3"/>
        <item x="4"/>
        <item x="6"/>
        <item x="5"/>
        <item x="7"/>
        <item t="default"/>
      </items>
    </pivotField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1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9">
    <format dxfId="28">
      <pivotArea type="all" dataOnly="0" outline="0" fieldPosition="0"/>
    </format>
    <format dxfId="27">
      <pivotArea outline="0" collapsedLevelsAreSubtotals="1" fieldPosition="0"/>
    </format>
    <format dxfId="26">
      <pivotArea type="origin" dataOnly="0" labelOnly="1" outline="0" fieldPosition="0"/>
    </format>
    <format dxfId="25">
      <pivotArea field="27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11" type="button" dataOnly="0" labelOnly="1" outline="0"/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27" count="0"/>
        </references>
      </pivotArea>
    </format>
    <format dxfId="20">
      <pivotArea dataOnly="0" labelOnly="1" grandCol="1" outline="0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27" type="button" dataOnly="0" labelOnly="1" outline="0" axis="axisCol" fieldPosition="0"/>
    </format>
    <format dxfId="15">
      <pivotArea type="topRight" dataOnly="0" labelOnly="1" outline="0" fieldPosition="0"/>
    </format>
    <format dxfId="14">
      <pivotArea field="12" type="button" dataOnly="0" labelOnly="1" outline="0" axis="axisRow" fieldPosition="0"/>
    </format>
    <format dxfId="13">
      <pivotArea dataOnly="0" labelOnly="1" fieldPosition="0">
        <references count="1">
          <reference field="12" count="0"/>
        </references>
      </pivotArea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27" count="0"/>
        </references>
      </pivotArea>
    </format>
    <format dxfId="1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6D0FB-FAB4-4CB2-B07F-47D7A050DF1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D14" firstHeaderRow="1" firstDataRow="2" firstDataCol="1"/>
  <pivotFields count="30">
    <pivotField dataField="1" showAll="0"/>
    <pivotField numFmtId="16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2" baseItem="0"/>
  </dataFields>
  <formats count="10">
    <format dxfId="38">
      <pivotArea type="all" dataOnly="0" outline="0" fieldPosition="0"/>
    </format>
    <format dxfId="37">
      <pivotArea outline="0" collapsedLevelsAreSubtotals="1" fieldPosition="0"/>
    </format>
    <format dxfId="36">
      <pivotArea type="origin" dataOnly="0" labelOnly="1" outline="0" fieldPosition="0"/>
    </format>
    <format dxfId="35">
      <pivotArea field="27" type="button" dataOnly="0" labelOnly="1" outline="0" axis="axisCol" fieldPosition="0"/>
    </format>
    <format dxfId="34">
      <pivotArea type="topRight" dataOnly="0" labelOnly="1" outline="0" fieldPosition="0"/>
    </format>
    <format dxfId="33">
      <pivotArea field="3" type="button" dataOnly="0" labelOnly="1" outline="0" axis="axisRow" fieldPosition="0"/>
    </format>
    <format dxfId="32">
      <pivotArea dataOnly="0" labelOnly="1" fieldPosition="0">
        <references count="1">
          <reference field="3" count="0"/>
        </references>
      </pivotArea>
    </format>
    <format dxfId="31">
      <pivotArea dataOnly="0" labelOnly="1" grandRow="1" outline="0" fieldPosition="0"/>
    </format>
    <format dxfId="30">
      <pivotArea dataOnly="0" labelOnly="1" fieldPosition="0">
        <references count="1">
          <reference field="27" count="0"/>
        </references>
      </pivotArea>
    </format>
    <format dxfId="2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EE3AE-57B6-467A-BC40-593CEE623706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6:D88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2"/>
        <item x="1"/>
        <item x="8"/>
        <item x="0"/>
        <item x="4"/>
        <item x="7"/>
        <item x="5"/>
        <item x="9"/>
        <item x="6"/>
        <item t="default"/>
      </items>
    </pivotField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0">
    <format dxfId="48">
      <pivotArea type="all" dataOnly="0" outline="0" fieldPosition="0"/>
    </format>
    <format dxfId="47">
      <pivotArea outline="0" collapsedLevelsAreSubtotals="1" fieldPosition="0"/>
    </format>
    <format dxfId="46">
      <pivotArea type="origin" dataOnly="0" labelOnly="1" outline="0" fieldPosition="0"/>
    </format>
    <format dxfId="45">
      <pivotArea field="27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9" type="button" dataOnly="0" labelOnly="1" outline="0" axis="axisRow" fieldPosition="0"/>
    </format>
    <format dxfId="42">
      <pivotArea dataOnly="0" labelOnly="1" fieldPosition="0">
        <references count="1">
          <reference field="9" count="0"/>
        </references>
      </pivotArea>
    </format>
    <format dxfId="41">
      <pivotArea dataOnly="0" labelOnly="1" grandRow="1" outline="0" fieldPosition="0"/>
    </format>
    <format dxfId="40">
      <pivotArea dataOnly="0" labelOnly="1" fieldPosition="0">
        <references count="1">
          <reference field="27" count="0"/>
        </references>
      </pivotArea>
    </format>
    <format dxfId="39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E192CC-06AF-4414-B9F8-98A84FAAFBB6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0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Row" showAll="0">
      <items count="3">
        <item x="0"/>
        <item x="1"/>
        <item t="default"/>
      </items>
    </pivotField>
    <pivotField numFmtId="164" showAll="0"/>
    <pivotField showAll="0"/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26" baseItem="0"/>
  </dataFields>
  <formats count="6">
    <format dxfId="54">
      <pivotArea type="all" dataOnly="0" outline="0" fieldPosition="0"/>
    </format>
    <format dxfId="53">
      <pivotArea outline="0" collapsedLevelsAreSubtotals="1" fieldPosition="0"/>
    </format>
    <format dxfId="52">
      <pivotArea field="27" type="button" dataOnly="0" labelOnly="1" outline="0" axis="axisRow" fieldPosition="0"/>
    </format>
    <format dxfId="51">
      <pivotArea dataOnly="0" labelOnly="1" fieldPosition="0">
        <references count="1">
          <reference field="27" count="0"/>
        </references>
      </pivotArea>
    </format>
    <format dxfId="50">
      <pivotArea dataOnly="0" labelOnly="1" grandRow="1" outline="0" fieldPosition="0"/>
    </format>
    <format dxfId="4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FC949-8422-4B11-BA70-C221764B4A1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0:D46" firstHeaderRow="1" firstDataRow="2" firstDataCol="1"/>
  <pivotFields count="30">
    <pivotField dataField="1" showAll="0"/>
    <pivotField numFmtId="164" showAll="0"/>
    <pivotField showAll="0"/>
    <pivotField showAll="0"/>
    <pivotField showAll="0"/>
    <pivotField axis="axisRow" showAll="0">
      <items count="6">
        <item x="0"/>
        <item x="3"/>
        <item x="1"/>
        <item m="1"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5"/>
  </rowFields>
  <rowItems count="5">
    <i>
      <x/>
    </i>
    <i>
      <x v="1"/>
    </i>
    <i>
      <x v="2"/>
    </i>
    <i>
      <x v="4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3" baseItem="0"/>
  </dataFields>
  <formats count="10">
    <format dxfId="64">
      <pivotArea type="all" dataOnly="0" outline="0" fieldPosition="0"/>
    </format>
    <format dxfId="63">
      <pivotArea outline="0" collapsedLevelsAreSubtotals="1" fieldPosition="0"/>
    </format>
    <format dxfId="62">
      <pivotArea type="origin" dataOnly="0" labelOnly="1" outline="0" fieldPosition="0"/>
    </format>
    <format dxfId="61">
      <pivotArea field="27" type="button" dataOnly="0" labelOnly="1" outline="0" axis="axisCol" fieldPosition="0"/>
    </format>
    <format dxfId="60">
      <pivotArea type="topRight" dataOnly="0" labelOnly="1" outline="0" fieldPosition="0"/>
    </format>
    <format dxfId="59">
      <pivotArea field="5" type="button" dataOnly="0" labelOnly="1" outline="0" axis="axisRow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dataOnly="0" labelOnly="1" grandRow="1" outline="0" fieldPosition="0"/>
    </format>
    <format dxfId="56">
      <pivotArea dataOnly="0" labelOnly="1" fieldPosition="0">
        <references count="1">
          <reference field="27" count="0"/>
        </references>
      </pivotArea>
    </format>
    <format dxfId="5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1C6861-F6DA-4558-8232-05090BF4467E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D35" firstHeaderRow="1" firstDataRow="2" firstDataCol="1"/>
  <pivotFields count="30">
    <pivotField dataField="1" showAll="0"/>
    <pivotField numFmtId="164" showAll="0"/>
    <pivotField showAll="0"/>
    <pivotField showAll="0"/>
    <pivotField axis="axisRow" showAll="0">
      <items count="6">
        <item x="1"/>
        <item x="2"/>
        <item x="3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3" baseItem="0"/>
  </dataFields>
  <formats count="10">
    <format dxfId="74">
      <pivotArea type="all" dataOnly="0" outline="0" fieldPosition="0"/>
    </format>
    <format dxfId="73">
      <pivotArea outline="0" collapsedLevelsAreSubtotals="1" fieldPosition="0"/>
    </format>
    <format dxfId="72">
      <pivotArea type="origin" dataOnly="0" labelOnly="1" outline="0" fieldPosition="0"/>
    </format>
    <format dxfId="71">
      <pivotArea field="27" type="button" dataOnly="0" labelOnly="1" outline="0" axis="axisCol" fieldPosition="0"/>
    </format>
    <format dxfId="70">
      <pivotArea type="topRight" dataOnly="0" labelOnly="1" outline="0" fieldPosition="0"/>
    </format>
    <format dxfId="69">
      <pivotArea field="4" type="button" dataOnly="0" labelOnly="1" outline="0" axis="axisRow" fieldPosition="0"/>
    </format>
    <format dxfId="68">
      <pivotArea dataOnly="0" labelOnly="1" fieldPosition="0">
        <references count="1">
          <reference field="4" count="0"/>
        </references>
      </pivotArea>
    </format>
    <format dxfId="67">
      <pivotArea dataOnly="0" labelOnly="1" grandRow="1" outline="0" fieldPosition="0"/>
    </format>
    <format dxfId="66">
      <pivotArea dataOnly="0" labelOnly="1" fieldPosition="0">
        <references count="1">
          <reference field="27" count="0"/>
        </references>
      </pivotArea>
    </format>
    <format dxfId="6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C417E3-5D44-4656-BC90-3F1432E4E57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3:D144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3"/>
        <item x="2"/>
        <item x="1"/>
        <item x="4"/>
        <item x="6"/>
        <item x="5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1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0">
    <format dxfId="84">
      <pivotArea type="all" dataOnly="0" outline="0" fieldPosition="0"/>
    </format>
    <format dxfId="83">
      <pivotArea outline="0" collapsedLevelsAreSubtotals="1" fieldPosition="0"/>
    </format>
    <format dxfId="82">
      <pivotArea type="origin" dataOnly="0" labelOnly="1" outline="0" fieldPosition="0"/>
    </format>
    <format dxfId="81">
      <pivotArea field="27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13" type="button" dataOnly="0" labelOnly="1" outline="0" axis="axisRow" fieldPosition="0"/>
    </format>
    <format dxfId="78">
      <pivotArea dataOnly="0" labelOnly="1" fieldPosition="0">
        <references count="1">
          <reference field="13" count="0"/>
        </references>
      </pivotArea>
    </format>
    <format dxfId="77">
      <pivotArea dataOnly="0" labelOnly="1" grandRow="1" outline="0" fieldPosition="0"/>
    </format>
    <format dxfId="76">
      <pivotArea dataOnly="0" labelOnly="1" fieldPosition="0">
        <references count="1">
          <reference field="27" count="0"/>
        </references>
      </pivotArea>
    </format>
    <format dxfId="7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14E377-04C9-437D-AB4D-8DD3E1090143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D56" firstHeaderRow="1" firstDataRow="2" firstDataCol="1"/>
  <pivotFields count="30">
    <pivotField dataField="1" showAll="0"/>
    <pivotField numFmtId="164" showAll="0"/>
    <pivotField axis="axisRow" showAll="0">
      <items count="5">
        <item x="2"/>
        <item x="0"/>
        <item x="1"/>
        <item m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3" baseItem="0"/>
  </dataFields>
  <formats count="20">
    <format dxfId="104">
      <pivotArea type="all" dataOnly="0" outline="0" fieldPosition="0"/>
    </format>
    <format dxfId="103">
      <pivotArea outline="0" collapsedLevelsAreSubtotals="1" fieldPosition="0"/>
    </format>
    <format dxfId="102">
      <pivotArea type="origin" dataOnly="0" labelOnly="1" outline="0" fieldPosition="0"/>
    </format>
    <format dxfId="101">
      <pivotArea field="27" type="button" dataOnly="0" labelOnly="1" outline="0" axis="axisCol" fieldPosition="0"/>
    </format>
    <format dxfId="100">
      <pivotArea type="topRight" dataOnly="0" labelOnly="1" outline="0" fieldPosition="0"/>
    </format>
    <format dxfId="99">
      <pivotArea field="2" type="button" dataOnly="0" labelOnly="1" outline="0" axis="axisRow" fieldPosition="0"/>
    </format>
    <format dxfId="98">
      <pivotArea dataOnly="0" labelOnly="1" fieldPosition="0">
        <references count="1">
          <reference field="2" count="0"/>
        </references>
      </pivotArea>
    </format>
    <format dxfId="97">
      <pivotArea dataOnly="0" labelOnly="1" grandRow="1" outline="0" fieldPosition="0"/>
    </format>
    <format dxfId="96">
      <pivotArea dataOnly="0" labelOnly="1" fieldPosition="0">
        <references count="1">
          <reference field="27" count="0"/>
        </references>
      </pivotArea>
    </format>
    <format dxfId="95">
      <pivotArea dataOnly="0" labelOnly="1" grandCol="1" outline="0" fieldPosition="0"/>
    </format>
    <format dxfId="94">
      <pivotArea type="all" dataOnly="0" outline="0" fieldPosition="0"/>
    </format>
    <format dxfId="93">
      <pivotArea outline="0" collapsedLevelsAreSubtotals="1" fieldPosition="0"/>
    </format>
    <format dxfId="92">
      <pivotArea type="origin" dataOnly="0" labelOnly="1" outline="0" fieldPosition="0"/>
    </format>
    <format dxfId="91">
      <pivotArea field="27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2" type="button" dataOnly="0" labelOnly="1" outline="0" axis="axisRow" fieldPosition="0"/>
    </format>
    <format dxfId="88">
      <pivotArea dataOnly="0" labelOnly="1" fieldPosition="0">
        <references count="1">
          <reference field="2" count="0"/>
        </references>
      </pivotArea>
    </format>
    <format dxfId="87">
      <pivotArea dataOnly="0" labelOnly="1" grandRow="1" outline="0" fieldPosition="0"/>
    </format>
    <format dxfId="86">
      <pivotArea dataOnly="0" labelOnly="1" fieldPosition="0">
        <references count="1">
          <reference field="27" count="0"/>
        </references>
      </pivotArea>
    </format>
    <format dxfId="8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F3F0FA-C243-496F-829D-A70F826FF77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1:D103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3"/>
        <item x="0"/>
        <item x="1"/>
        <item x="8"/>
        <item x="2"/>
        <item x="4"/>
        <item x="5"/>
        <item x="9"/>
        <item x="6"/>
        <item x="7"/>
        <item t="default"/>
      </items>
    </pivotField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0">
    <format dxfId="114">
      <pivotArea type="all" dataOnly="0" outline="0" fieldPosition="0"/>
    </format>
    <format dxfId="113">
      <pivotArea outline="0" collapsedLevelsAreSubtotals="1" fieldPosition="0"/>
    </format>
    <format dxfId="112">
      <pivotArea type="origin" dataOnly="0" labelOnly="1" outline="0" fieldPosition="0"/>
    </format>
    <format dxfId="111">
      <pivotArea field="27" type="button" dataOnly="0" labelOnly="1" outline="0" axis="axisCol" fieldPosition="0"/>
    </format>
    <format dxfId="110">
      <pivotArea type="topRight" dataOnly="0" labelOnly="1" outline="0" fieldPosition="0"/>
    </format>
    <format dxfId="109">
      <pivotArea field="10" type="button" dataOnly="0" labelOnly="1" outline="0" axis="axisRow" fieldPosition="0"/>
    </format>
    <format dxfId="108">
      <pivotArea dataOnly="0" labelOnly="1" fieldPosition="0">
        <references count="1">
          <reference field="10" count="0"/>
        </references>
      </pivotArea>
    </format>
    <format dxfId="107">
      <pivotArea dataOnly="0" labelOnly="1" grandRow="1" outline="0" fieldPosition="0"/>
    </format>
    <format dxfId="106">
      <pivotArea dataOnly="0" labelOnly="1" fieldPosition="0">
        <references count="1">
          <reference field="27" count="0"/>
        </references>
      </pivotArea>
    </format>
    <format dxfId="10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6129CC-6A66-432C-A5D2-5816A6B0B81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7:D153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">
        <item x="0"/>
        <item x="3"/>
        <item x="2"/>
        <item x="1"/>
        <item x="4"/>
        <item x="6"/>
        <item x="5"/>
        <item x="7"/>
        <item x="8"/>
        <item t="default"/>
      </items>
    </pivotField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axis="axisRow" showAll="0">
      <items count="5">
        <item x="2"/>
        <item x="0"/>
        <item x="1"/>
        <item x="3"/>
        <item t="default"/>
      </items>
    </pivotField>
  </pivotFields>
  <rowFields count="1">
    <field x="29"/>
  </rowFields>
  <rowItems count="5">
    <i>
      <x/>
    </i>
    <i>
      <x v="1"/>
    </i>
    <i>
      <x v="2"/>
    </i>
    <i>
      <x v="3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0">
    <format dxfId="124">
      <pivotArea type="all" dataOnly="0" outline="0" fieldPosition="0"/>
    </format>
    <format dxfId="123">
      <pivotArea outline="0" collapsedLevelsAreSubtotals="1" fieldPosition="0"/>
    </format>
    <format dxfId="122">
      <pivotArea type="origin" dataOnly="0" labelOnly="1" outline="0" fieldPosition="0"/>
    </format>
    <format dxfId="121">
      <pivotArea field="27" type="button" dataOnly="0" labelOnly="1" outline="0" axis="axisCol" fieldPosition="0"/>
    </format>
    <format dxfId="120">
      <pivotArea type="topRight" dataOnly="0" labelOnly="1" outline="0" fieldPosition="0"/>
    </format>
    <format dxfId="119">
      <pivotArea field="29" type="button" dataOnly="0" labelOnly="1" outline="0" axis="axisRow" fieldPosition="0"/>
    </format>
    <format dxfId="118">
      <pivotArea dataOnly="0" labelOnly="1" fieldPosition="0">
        <references count="1">
          <reference field="29" count="0"/>
        </references>
      </pivotArea>
    </format>
    <format dxfId="117">
      <pivotArea dataOnly="0" labelOnly="1" grandRow="1" outline="0" fieldPosition="0"/>
    </format>
    <format dxfId="116">
      <pivotArea dataOnly="0" labelOnly="1" fieldPosition="0">
        <references count="1">
          <reference field="27" count="0"/>
        </references>
      </pivotArea>
    </format>
    <format dxfId="11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E54E79-8E04-4BC1-9CBD-8D8F102C2D4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8:D24" firstHeaderRow="1" firstDataRow="2" firstDataCol="1"/>
  <pivotFields count="30">
    <pivotField dataField="1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umFmtId="164"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0"/>
        <item m="1" x="4"/>
        <item t="default"/>
      </items>
    </pivotField>
    <pivotField showAll="0"/>
    <pivotField showAll="0"/>
    <pivotField showAll="0"/>
    <pivotField showAll="0"/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6" baseItem="0"/>
  </dataFields>
  <formats count="10"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27" type="button" dataOnly="0" labelOnly="1" outline="0" axis="axisCol" fieldPosition="0"/>
    </format>
    <format dxfId="130">
      <pivotArea type="topRight" dataOnly="0" labelOnly="1" outline="0" fieldPosition="0"/>
    </format>
    <format dxfId="129">
      <pivotArea field="7" type="button" dataOnly="0" labelOnly="1" outline="0" axis="axisRow" fieldPosition="0"/>
    </format>
    <format dxfId="128">
      <pivotArea dataOnly="0" labelOnly="1" fieldPosition="0">
        <references count="1">
          <reference field="7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27" count="0"/>
        </references>
      </pivotArea>
    </format>
    <format dxfId="12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C09A7-B8EC-470B-8C00-DBC92BC37F2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6:D117" firstHeaderRow="1" firstDataRow="2" firstDataCol="1"/>
  <pivotFields count="30">
    <pivotField dataField="1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0"/>
        <item x="1"/>
        <item x="3"/>
        <item x="4"/>
        <item x="5"/>
        <item x="6"/>
        <item x="8"/>
        <item x="7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showAll="0"/>
    <pivotField axis="axisCol" showAll="0">
      <items count="3">
        <item x="0"/>
        <item x="1"/>
        <item t="default"/>
      </items>
    </pivotField>
    <pivotField numFmtId="164" showAll="0"/>
    <pivotField showAll="0"/>
  </pivotFields>
  <rowFields count="1">
    <field x="1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27"/>
  </colFields>
  <colItems count="3">
    <i>
      <x/>
    </i>
    <i>
      <x v="1"/>
    </i>
    <i t="grand">
      <x/>
    </i>
  </colItems>
  <dataFields count="1">
    <dataField name="Count of ID" fld="0" subtotal="count" baseField="8" baseItem="0"/>
  </dataFields>
  <formats count="10">
    <format dxfId="144">
      <pivotArea type="all" dataOnly="0" outline="0" fieldPosition="0"/>
    </format>
    <format dxfId="143">
      <pivotArea outline="0" collapsedLevelsAreSubtotals="1" fieldPosition="0"/>
    </format>
    <format dxfId="142">
      <pivotArea type="origin" dataOnly="0" labelOnly="1" outline="0" fieldPosition="0"/>
    </format>
    <format dxfId="141">
      <pivotArea field="27" type="button" dataOnly="0" labelOnly="1" outline="0" axis="axisCol" fieldPosition="0"/>
    </format>
    <format dxfId="140">
      <pivotArea type="topRight" dataOnly="0" labelOnly="1" outline="0" fieldPosition="0"/>
    </format>
    <format dxfId="139">
      <pivotArea field="11" type="button" dataOnly="0" labelOnly="1" outline="0" axis="axisRow" fieldPosition="0"/>
    </format>
    <format dxfId="138">
      <pivotArea dataOnly="0" labelOnly="1" fieldPosition="0">
        <references count="1">
          <reference field="11" count="0"/>
        </references>
      </pivotArea>
    </format>
    <format dxfId="137">
      <pivotArea dataOnly="0" labelOnly="1" grandRow="1" outline="0" fieldPosition="0"/>
    </format>
    <format dxfId="136">
      <pivotArea dataOnly="0" labelOnly="1" fieldPosition="0">
        <references count="1">
          <reference field="27" count="0"/>
        </references>
      </pivotArea>
    </format>
    <format dxfId="135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7F6FE73-188F-4363-9CD3-ED7CB4758FF6}" name="Table2" displayName="Table2" ref="A1:AD2001" totalsRowShown="0" headerRowDxfId="162">
  <autoFilter ref="A1:AD2001" xr:uid="{D7F6FE73-188F-4363-9CD3-ED7CB4758FF6}"/>
  <tableColumns count="30">
    <tableColumn id="1" xr3:uid="{A8561A9E-8E68-4831-9728-C69E286B2345}" name="ID"/>
    <tableColumn id="2" xr3:uid="{81CEF525-484D-4FE2-B33D-E4FF3B0A0ACD}" name="LIMIT_BAL" dataDxfId="161"/>
    <tableColumn id="28" xr3:uid="{E94568AF-DFCE-4D50-B197-D47994EF1E1F}" name="LIMIT_BAL_GROUP" dataDxfId="160">
      <calculatedColumnFormula array="1">_xlfn.IFS(Table2[[#This Row],[LIMIT_BAL]]&lt;=100000,"Low",Table2[[#This Row],[LIMIT_BAL]]&lt;=300000,"Medium",
TRUE,"High"
)</calculatedColumnFormula>
    </tableColumn>
    <tableColumn id="3" xr3:uid="{75080B22-B916-4DEE-9789-EE9CBA0E49DD}" name="SEX"/>
    <tableColumn id="4" xr3:uid="{67E8C476-A777-478B-9556-04E8ECAE0A32}" name="EDUCATION"/>
    <tableColumn id="5" xr3:uid="{0CDE169A-AEE0-4B1F-8E5A-7F65A356F893}" name="MARRIAGE"/>
    <tableColumn id="6" xr3:uid="{F74223FC-5342-419C-AB38-23CE315E9EA8}" name="AGE"/>
    <tableColumn id="7" xr3:uid="{4D9DC2A2-F985-4622-8B87-82736CE23C64}" name="AGE GROUP" dataDxfId="159">
      <calculatedColumnFormula array="1">_xlfn.IFS(
Table2[[#This Row],[AGE]]&lt;30,"Young",
Table2[[#This Row],[AGE]]&lt;40,"Middle Age",
Table2[[#This Row],[AGE]]&lt;50,"Senior",
TRUE,"Super Senior"
)</calculatedColumnFormula>
    </tableColumn>
    <tableColumn id="8" xr3:uid="{053CF9F6-517E-426D-80C1-9C2E3F640E42}" name="PAY_1"/>
    <tableColumn id="9" xr3:uid="{0834FC9E-0BC8-4E17-A3C6-0D989F9A34E5}" name="PAY_2"/>
    <tableColumn id="10" xr3:uid="{D8343964-A660-4872-8751-99666E65759F}" name="PAY_3"/>
    <tableColumn id="11" xr3:uid="{8DE7F9C6-6F0B-4358-AB63-172478B5EF1C}" name="PAY_4"/>
    <tableColumn id="12" xr3:uid="{5DE74E29-0635-4210-9E13-32B2500898EE}" name="PAY_5"/>
    <tableColumn id="13" xr3:uid="{5E77C40B-D148-4EAD-8450-6D2981DD0595}" name="PAY_6"/>
    <tableColumn id="14" xr3:uid="{62D7A1D2-5965-4A85-88E7-036F3DBE25CC}" name="BILL_AMT1" dataDxfId="158"/>
    <tableColumn id="15" xr3:uid="{2002127F-9F6D-49AA-B586-8CC9DC3AE8A0}" name="BILL_AMT2" dataDxfId="157"/>
    <tableColumn id="16" xr3:uid="{62A7B929-1366-453F-BE04-71E3BFC5AAB0}" name="BILL_AMT3" dataDxfId="156"/>
    <tableColumn id="17" xr3:uid="{13BEFE26-F35A-4B27-B3DA-0592A7754953}" name="BILL_AMT4" dataDxfId="155"/>
    <tableColumn id="18" xr3:uid="{739DB523-F4FA-484C-82BB-67E8E78F6E76}" name="BILL_AMT5" dataDxfId="154"/>
    <tableColumn id="19" xr3:uid="{17830019-A1F5-44D5-B5AB-74CE3362C7C7}" name="BILL_AMT6" dataDxfId="153"/>
    <tableColumn id="20" xr3:uid="{0F9A51E8-4B32-42F1-A3AE-F4F0DA7D0BC2}" name="PAY_AMT1" dataDxfId="152"/>
    <tableColumn id="21" xr3:uid="{FF9E1AEE-5CC9-4599-979A-42F7FF936CDF}" name="PAY_AMT2" dataDxfId="151"/>
    <tableColumn id="22" xr3:uid="{4BD4AE2A-569F-4699-8465-AC80189231E9}" name="PAY_AMT3" dataDxfId="150"/>
    <tableColumn id="23" xr3:uid="{266956BF-1B16-4CA7-A17F-B277CF915EE0}" name="PAY_AMT4" dataDxfId="149"/>
    <tableColumn id="24" xr3:uid="{99E61055-ECE9-4340-8AA1-2FDAD048741C}" name="PAY_AMT5" dataDxfId="148"/>
    <tableColumn id="25" xr3:uid="{F22B566F-CF74-4202-AC60-B93C0E603B5B}" name="PAY_AMT6" dataDxfId="147"/>
    <tableColumn id="26" xr3:uid="{7CD8E3BB-699B-45FC-A1BC-4E88503C3B55}" name="default payment next month"/>
    <tableColumn id="27" xr3:uid="{78A2F911-3E52-41AF-B62F-9804270AE3F3}" name="Defaulter/ Not Defaluter">
      <calculatedColumnFormula>IF(AA2=1,"Defaulter","Not Defaulter")</calculatedColumnFormula>
    </tableColumn>
    <tableColumn id="29" xr3:uid="{40CFC8D5-F7F8-4A4F-AD15-A39136E94BE7}" name="PAYMENT GAP" dataDxfId="146">
      <calculatedColumnFormula>Table2[[#This Row],[BILL_AMT1]]-Table2[[#This Row],[PAY_AMT1]]</calculatedColumnFormula>
    </tableColumn>
    <tableColumn id="31" xr3:uid="{39306A9B-7D2C-4DBA-B038-32D6CD668682}" name="PAYMENT GAP GROUP" dataDxfId="145">
      <calculatedColumnFormula array="1">_xlfn.IFS(Table2[[#This Row],[PAYMENT GAP]]&lt;=0,"No Gap / Overpaid",Table2[[#This Row],[PAYMENT GAP]]&lt;=25000,"Low Gap",Table2[[#This Row],[PAYMENT GAP]]&lt;=100000,"Medium Gap",
TRUE,"High Gap"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11CA-4A80-46F8-8302-172FB8BAD500}">
  <dimension ref="A1:A2001"/>
  <sheetViews>
    <sheetView topLeftCell="A239" zoomScale="93" workbookViewId="0">
      <selection activeCell="F262" sqref="F26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603C-C8F6-4E39-B995-2A7710CEEC0E}">
  <dimension ref="A1:Y2001"/>
  <sheetViews>
    <sheetView workbookViewId="0">
      <selection activeCell="H14" sqref="H14"/>
    </sheetView>
  </sheetViews>
  <sheetFormatPr defaultRowHeight="14.4" x14ac:dyDescent="0.3"/>
  <sheetData>
    <row r="1" spans="1:25" x14ac:dyDescent="0.3">
      <c r="A1" t="s">
        <v>2001</v>
      </c>
      <c r="B1" t="s">
        <v>2002</v>
      </c>
      <c r="C1" t="s">
        <v>2003</v>
      </c>
      <c r="D1" t="s">
        <v>2004</v>
      </c>
      <c r="E1" t="s">
        <v>2005</v>
      </c>
      <c r="F1" t="s">
        <v>2006</v>
      </c>
      <c r="G1" t="s">
        <v>2007</v>
      </c>
      <c r="H1" t="s">
        <v>2008</v>
      </c>
      <c r="I1" t="s">
        <v>2009</v>
      </c>
      <c r="J1" t="s">
        <v>2010</v>
      </c>
      <c r="K1" t="s">
        <v>2011</v>
      </c>
      <c r="L1" t="s">
        <v>2012</v>
      </c>
      <c r="M1" t="s">
        <v>2013</v>
      </c>
      <c r="N1" t="s">
        <v>2014</v>
      </c>
      <c r="O1" t="s">
        <v>2015</v>
      </c>
      <c r="P1" t="s">
        <v>2016</v>
      </c>
      <c r="Q1" t="s">
        <v>2017</v>
      </c>
      <c r="R1" t="s">
        <v>2018</v>
      </c>
      <c r="S1" t="s">
        <v>2019</v>
      </c>
      <c r="T1" t="s">
        <v>2020</v>
      </c>
      <c r="U1" t="s">
        <v>2021</v>
      </c>
      <c r="V1" t="s">
        <v>2022</v>
      </c>
      <c r="W1" t="s">
        <v>2023</v>
      </c>
      <c r="X1" t="s">
        <v>2024</v>
      </c>
      <c r="Y1" t="s">
        <v>2025</v>
      </c>
    </row>
    <row r="2" spans="1:25" x14ac:dyDescent="0.3">
      <c r="A2">
        <v>1</v>
      </c>
      <c r="B2">
        <v>20000</v>
      </c>
      <c r="C2">
        <v>2</v>
      </c>
      <c r="D2">
        <v>2</v>
      </c>
      <c r="E2">
        <v>1</v>
      </c>
      <c r="F2">
        <v>24</v>
      </c>
      <c r="G2">
        <v>2</v>
      </c>
      <c r="H2">
        <v>2</v>
      </c>
      <c r="I2">
        <v>-1</v>
      </c>
      <c r="J2">
        <v>-1</v>
      </c>
      <c r="K2">
        <v>-2</v>
      </c>
      <c r="L2">
        <v>-2</v>
      </c>
      <c r="M2">
        <v>3913</v>
      </c>
      <c r="N2">
        <v>3102</v>
      </c>
      <c r="O2">
        <v>689</v>
      </c>
      <c r="P2">
        <v>0</v>
      </c>
      <c r="Q2">
        <v>0</v>
      </c>
      <c r="R2">
        <v>0</v>
      </c>
      <c r="S2">
        <v>0</v>
      </c>
      <c r="T2">
        <v>689</v>
      </c>
      <c r="U2">
        <v>0</v>
      </c>
      <c r="V2">
        <v>0</v>
      </c>
      <c r="W2">
        <v>0</v>
      </c>
      <c r="X2">
        <v>0</v>
      </c>
      <c r="Y2">
        <v>1</v>
      </c>
    </row>
    <row r="3" spans="1:25" x14ac:dyDescent="0.3">
      <c r="A3">
        <v>2</v>
      </c>
      <c r="B3">
        <v>120000</v>
      </c>
      <c r="C3">
        <v>2</v>
      </c>
      <c r="D3">
        <v>2</v>
      </c>
      <c r="E3">
        <v>2</v>
      </c>
      <c r="F3">
        <v>26</v>
      </c>
      <c r="G3">
        <v>-1</v>
      </c>
      <c r="H3">
        <v>2</v>
      </c>
      <c r="I3">
        <v>0</v>
      </c>
      <c r="J3">
        <v>0</v>
      </c>
      <c r="K3">
        <v>0</v>
      </c>
      <c r="L3">
        <v>2</v>
      </c>
      <c r="M3">
        <v>2682</v>
      </c>
      <c r="N3">
        <v>1725</v>
      </c>
      <c r="O3">
        <v>2682</v>
      </c>
      <c r="P3">
        <v>3272</v>
      </c>
      <c r="Q3">
        <v>3455</v>
      </c>
      <c r="R3">
        <v>3261</v>
      </c>
      <c r="S3">
        <v>0</v>
      </c>
      <c r="T3">
        <v>1000</v>
      </c>
      <c r="U3">
        <v>1000</v>
      </c>
      <c r="V3">
        <v>1000</v>
      </c>
      <c r="W3">
        <v>0</v>
      </c>
      <c r="X3">
        <v>2000</v>
      </c>
      <c r="Y3">
        <v>1</v>
      </c>
    </row>
    <row r="4" spans="1:25" x14ac:dyDescent="0.3">
      <c r="A4">
        <v>3</v>
      </c>
      <c r="B4">
        <v>90000</v>
      </c>
      <c r="C4">
        <v>2</v>
      </c>
      <c r="D4">
        <v>2</v>
      </c>
      <c r="E4">
        <v>2</v>
      </c>
      <c r="F4">
        <v>34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29239</v>
      </c>
      <c r="N4">
        <v>14027</v>
      </c>
      <c r="O4">
        <v>13559</v>
      </c>
      <c r="P4">
        <v>14331</v>
      </c>
      <c r="Q4">
        <v>14948</v>
      </c>
      <c r="R4">
        <v>15549</v>
      </c>
      <c r="S4">
        <v>1518</v>
      </c>
      <c r="T4">
        <v>1500</v>
      </c>
      <c r="U4">
        <v>1000</v>
      </c>
      <c r="V4">
        <v>1000</v>
      </c>
      <c r="W4">
        <v>1000</v>
      </c>
      <c r="X4">
        <v>5000</v>
      </c>
      <c r="Y4">
        <v>0</v>
      </c>
    </row>
    <row r="5" spans="1:25" x14ac:dyDescent="0.3">
      <c r="A5">
        <v>4</v>
      </c>
      <c r="B5">
        <v>50000</v>
      </c>
      <c r="C5">
        <v>2</v>
      </c>
      <c r="D5">
        <v>2</v>
      </c>
      <c r="E5">
        <v>1</v>
      </c>
      <c r="F5">
        <v>37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46990</v>
      </c>
      <c r="N5">
        <v>48233</v>
      </c>
      <c r="O5">
        <v>49291</v>
      </c>
      <c r="P5">
        <v>28314</v>
      </c>
      <c r="Q5">
        <v>28959</v>
      </c>
      <c r="R5">
        <v>29547</v>
      </c>
      <c r="S5">
        <v>2000</v>
      </c>
      <c r="T5">
        <v>2019</v>
      </c>
      <c r="U5">
        <v>1200</v>
      </c>
      <c r="V5">
        <v>1100</v>
      </c>
      <c r="W5">
        <v>1069</v>
      </c>
      <c r="X5">
        <v>1000</v>
      </c>
      <c r="Y5">
        <v>0</v>
      </c>
    </row>
    <row r="6" spans="1:25" x14ac:dyDescent="0.3">
      <c r="A6">
        <v>5</v>
      </c>
      <c r="B6">
        <v>50000</v>
      </c>
      <c r="C6">
        <v>1</v>
      </c>
      <c r="D6">
        <v>2</v>
      </c>
      <c r="E6">
        <v>1</v>
      </c>
      <c r="F6">
        <v>57</v>
      </c>
      <c r="G6">
        <v>-1</v>
      </c>
      <c r="H6">
        <v>0</v>
      </c>
      <c r="I6">
        <v>-1</v>
      </c>
      <c r="J6">
        <v>0</v>
      </c>
      <c r="K6">
        <v>0</v>
      </c>
      <c r="L6">
        <v>0</v>
      </c>
      <c r="M6">
        <v>8617</v>
      </c>
      <c r="N6">
        <v>5670</v>
      </c>
      <c r="O6">
        <v>35835</v>
      </c>
      <c r="P6">
        <v>20940</v>
      </c>
      <c r="Q6">
        <v>19146</v>
      </c>
      <c r="R6">
        <v>19131</v>
      </c>
      <c r="S6">
        <v>2000</v>
      </c>
      <c r="T6">
        <v>36681</v>
      </c>
      <c r="U6">
        <v>10000</v>
      </c>
      <c r="V6">
        <v>9000</v>
      </c>
      <c r="W6">
        <v>689</v>
      </c>
      <c r="X6">
        <v>679</v>
      </c>
      <c r="Y6">
        <v>0</v>
      </c>
    </row>
    <row r="7" spans="1:25" x14ac:dyDescent="0.3">
      <c r="A7">
        <v>6</v>
      </c>
      <c r="B7">
        <v>50000</v>
      </c>
      <c r="C7">
        <v>1</v>
      </c>
      <c r="D7">
        <v>1</v>
      </c>
      <c r="E7">
        <v>2</v>
      </c>
      <c r="F7">
        <v>37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64400</v>
      </c>
      <c r="N7">
        <v>57069</v>
      </c>
      <c r="O7">
        <v>57608</v>
      </c>
      <c r="P7">
        <v>19394</v>
      </c>
      <c r="Q7">
        <v>19619</v>
      </c>
      <c r="R7">
        <v>20024</v>
      </c>
      <c r="S7">
        <v>2500</v>
      </c>
      <c r="T7">
        <v>1815</v>
      </c>
      <c r="U7">
        <v>657</v>
      </c>
      <c r="V7">
        <v>1000</v>
      </c>
      <c r="W7">
        <v>1000</v>
      </c>
      <c r="X7">
        <v>800</v>
      </c>
      <c r="Y7">
        <v>0</v>
      </c>
    </row>
    <row r="8" spans="1:25" x14ac:dyDescent="0.3">
      <c r="A8">
        <v>7</v>
      </c>
      <c r="B8">
        <v>500000</v>
      </c>
      <c r="C8">
        <v>1</v>
      </c>
      <c r="D8">
        <v>1</v>
      </c>
      <c r="E8">
        <v>2</v>
      </c>
      <c r="F8">
        <v>29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367965</v>
      </c>
      <c r="N8">
        <v>412023</v>
      </c>
      <c r="O8">
        <v>445007</v>
      </c>
      <c r="P8">
        <v>542653</v>
      </c>
      <c r="Q8">
        <v>483003</v>
      </c>
      <c r="R8">
        <v>473944</v>
      </c>
      <c r="S8">
        <v>55000</v>
      </c>
      <c r="T8">
        <v>40000</v>
      </c>
      <c r="U8">
        <v>38000</v>
      </c>
      <c r="V8">
        <v>20239</v>
      </c>
      <c r="W8">
        <v>13750</v>
      </c>
      <c r="X8">
        <v>13770</v>
      </c>
      <c r="Y8">
        <v>0</v>
      </c>
    </row>
    <row r="9" spans="1:25" x14ac:dyDescent="0.3">
      <c r="A9">
        <v>8</v>
      </c>
      <c r="B9">
        <v>100000</v>
      </c>
      <c r="C9">
        <v>2</v>
      </c>
      <c r="D9">
        <v>2</v>
      </c>
      <c r="E9">
        <v>2</v>
      </c>
      <c r="F9">
        <v>23</v>
      </c>
      <c r="G9">
        <v>0</v>
      </c>
      <c r="H9">
        <v>-1</v>
      </c>
      <c r="I9">
        <v>-1</v>
      </c>
      <c r="J9">
        <v>0</v>
      </c>
      <c r="K9">
        <v>0</v>
      </c>
      <c r="L9">
        <v>-1</v>
      </c>
      <c r="M9">
        <v>11876</v>
      </c>
      <c r="N9">
        <v>380</v>
      </c>
      <c r="O9">
        <v>601</v>
      </c>
      <c r="P9">
        <v>221</v>
      </c>
      <c r="Q9">
        <v>-159</v>
      </c>
      <c r="R9">
        <v>567</v>
      </c>
      <c r="S9">
        <v>380</v>
      </c>
      <c r="T9">
        <v>601</v>
      </c>
      <c r="U9">
        <v>0</v>
      </c>
      <c r="V9">
        <v>581</v>
      </c>
      <c r="W9">
        <v>1687</v>
      </c>
      <c r="X9">
        <v>1542</v>
      </c>
      <c r="Y9">
        <v>0</v>
      </c>
    </row>
    <row r="10" spans="1:25" x14ac:dyDescent="0.3">
      <c r="A10">
        <v>9</v>
      </c>
      <c r="B10">
        <v>140000</v>
      </c>
      <c r="C10">
        <v>2</v>
      </c>
      <c r="D10">
        <v>3</v>
      </c>
      <c r="E10">
        <v>1</v>
      </c>
      <c r="F10">
        <v>28</v>
      </c>
      <c r="G10">
        <v>0</v>
      </c>
      <c r="H10">
        <v>0</v>
      </c>
      <c r="I10">
        <v>2</v>
      </c>
      <c r="J10">
        <v>0</v>
      </c>
      <c r="K10">
        <v>0</v>
      </c>
      <c r="L10">
        <v>0</v>
      </c>
      <c r="M10">
        <v>11285</v>
      </c>
      <c r="N10">
        <v>14096</v>
      </c>
      <c r="O10">
        <v>12108</v>
      </c>
      <c r="P10">
        <v>12211</v>
      </c>
      <c r="Q10">
        <v>11793</v>
      </c>
      <c r="R10">
        <v>3719</v>
      </c>
      <c r="S10">
        <v>3329</v>
      </c>
      <c r="T10">
        <v>0</v>
      </c>
      <c r="U10">
        <v>432</v>
      </c>
      <c r="V10">
        <v>1000</v>
      </c>
      <c r="W10">
        <v>1000</v>
      </c>
      <c r="X10">
        <v>1000</v>
      </c>
      <c r="Y10">
        <v>0</v>
      </c>
    </row>
    <row r="11" spans="1:25" x14ac:dyDescent="0.3">
      <c r="A11">
        <v>10</v>
      </c>
      <c r="B11">
        <v>20000</v>
      </c>
      <c r="C11">
        <v>1</v>
      </c>
      <c r="D11">
        <v>3</v>
      </c>
      <c r="E11">
        <v>2</v>
      </c>
      <c r="F11">
        <v>35</v>
      </c>
      <c r="G11">
        <v>-2</v>
      </c>
      <c r="H11">
        <v>-2</v>
      </c>
      <c r="I11">
        <v>-2</v>
      </c>
      <c r="J11">
        <v>-2</v>
      </c>
      <c r="K11">
        <v>-1</v>
      </c>
      <c r="L11">
        <v>-1</v>
      </c>
      <c r="M11">
        <v>0</v>
      </c>
      <c r="N11">
        <v>0</v>
      </c>
      <c r="O11">
        <v>0</v>
      </c>
      <c r="P11">
        <v>0</v>
      </c>
      <c r="Q11">
        <v>13007</v>
      </c>
      <c r="R11">
        <v>13912</v>
      </c>
      <c r="S11">
        <v>0</v>
      </c>
      <c r="T11">
        <v>0</v>
      </c>
      <c r="U11">
        <v>0</v>
      </c>
      <c r="V11">
        <v>13007</v>
      </c>
      <c r="W11">
        <v>1122</v>
      </c>
      <c r="X11">
        <v>0</v>
      </c>
      <c r="Y11">
        <v>0</v>
      </c>
    </row>
    <row r="12" spans="1:25" x14ac:dyDescent="0.3">
      <c r="A12">
        <v>11</v>
      </c>
      <c r="B12">
        <v>200000</v>
      </c>
      <c r="C12">
        <v>2</v>
      </c>
      <c r="D12">
        <v>3</v>
      </c>
      <c r="E12">
        <v>2</v>
      </c>
      <c r="F12">
        <v>34</v>
      </c>
      <c r="G12">
        <v>0</v>
      </c>
      <c r="H12">
        <v>0</v>
      </c>
      <c r="I12">
        <v>2</v>
      </c>
      <c r="J12">
        <v>0</v>
      </c>
      <c r="K12">
        <v>0</v>
      </c>
      <c r="L12">
        <v>-1</v>
      </c>
      <c r="M12">
        <v>11073</v>
      </c>
      <c r="N12">
        <v>9787</v>
      </c>
      <c r="O12">
        <v>5535</v>
      </c>
      <c r="P12">
        <v>2513</v>
      </c>
      <c r="Q12">
        <v>1828</v>
      </c>
      <c r="R12">
        <v>3731</v>
      </c>
      <c r="S12">
        <v>2306</v>
      </c>
      <c r="T12">
        <v>12</v>
      </c>
      <c r="U12">
        <v>50</v>
      </c>
      <c r="V12">
        <v>300</v>
      </c>
      <c r="W12">
        <v>3738</v>
      </c>
      <c r="X12">
        <v>66</v>
      </c>
      <c r="Y12">
        <v>0</v>
      </c>
    </row>
    <row r="13" spans="1:25" x14ac:dyDescent="0.3">
      <c r="A13">
        <v>12</v>
      </c>
      <c r="B13">
        <v>260000</v>
      </c>
      <c r="C13">
        <v>2</v>
      </c>
      <c r="D13">
        <v>1</v>
      </c>
      <c r="E13">
        <v>2</v>
      </c>
      <c r="F13">
        <v>51</v>
      </c>
      <c r="G13">
        <v>-1</v>
      </c>
      <c r="H13">
        <v>-1</v>
      </c>
      <c r="I13">
        <v>-1</v>
      </c>
      <c r="J13">
        <v>-1</v>
      </c>
      <c r="K13">
        <v>-1</v>
      </c>
      <c r="L13">
        <v>2</v>
      </c>
      <c r="M13">
        <v>12261</v>
      </c>
      <c r="N13">
        <v>21670</v>
      </c>
      <c r="O13">
        <v>9966</v>
      </c>
      <c r="P13">
        <v>8517</v>
      </c>
      <c r="Q13">
        <v>22287</v>
      </c>
      <c r="R13">
        <v>13668</v>
      </c>
      <c r="S13">
        <v>21818</v>
      </c>
      <c r="T13">
        <v>9966</v>
      </c>
      <c r="U13">
        <v>8583</v>
      </c>
      <c r="V13">
        <v>22301</v>
      </c>
      <c r="W13">
        <v>0</v>
      </c>
      <c r="X13">
        <v>3640</v>
      </c>
      <c r="Y13">
        <v>0</v>
      </c>
    </row>
    <row r="14" spans="1:25" x14ac:dyDescent="0.3">
      <c r="A14">
        <v>13</v>
      </c>
      <c r="B14">
        <v>630000</v>
      </c>
      <c r="C14">
        <v>2</v>
      </c>
      <c r="D14">
        <v>2</v>
      </c>
      <c r="E14">
        <v>2</v>
      </c>
      <c r="F14">
        <v>41</v>
      </c>
      <c r="G14">
        <v>-1</v>
      </c>
      <c r="H14">
        <v>0</v>
      </c>
      <c r="I14">
        <v>-1</v>
      </c>
      <c r="J14">
        <v>-1</v>
      </c>
      <c r="K14">
        <v>-1</v>
      </c>
      <c r="L14">
        <v>-1</v>
      </c>
      <c r="M14">
        <v>12137</v>
      </c>
      <c r="N14">
        <v>6500</v>
      </c>
      <c r="O14">
        <v>6500</v>
      </c>
      <c r="P14">
        <v>6500</v>
      </c>
      <c r="Q14">
        <v>6500</v>
      </c>
      <c r="R14">
        <v>2870</v>
      </c>
      <c r="S14">
        <v>1000</v>
      </c>
      <c r="T14">
        <v>6500</v>
      </c>
      <c r="U14">
        <v>6500</v>
      </c>
      <c r="V14">
        <v>6500</v>
      </c>
      <c r="W14">
        <v>2870</v>
      </c>
      <c r="X14">
        <v>0</v>
      </c>
      <c r="Y14">
        <v>0</v>
      </c>
    </row>
    <row r="15" spans="1:25" x14ac:dyDescent="0.3">
      <c r="A15">
        <v>14</v>
      </c>
      <c r="B15">
        <v>70000</v>
      </c>
      <c r="C15">
        <v>1</v>
      </c>
      <c r="D15">
        <v>2</v>
      </c>
      <c r="E15">
        <v>2</v>
      </c>
      <c r="F15">
        <v>30</v>
      </c>
      <c r="G15">
        <v>1</v>
      </c>
      <c r="H15">
        <v>2</v>
      </c>
      <c r="I15">
        <v>2</v>
      </c>
      <c r="J15">
        <v>0</v>
      </c>
      <c r="K15">
        <v>0</v>
      </c>
      <c r="L15">
        <v>2</v>
      </c>
      <c r="M15">
        <v>65802</v>
      </c>
      <c r="N15">
        <v>67369</v>
      </c>
      <c r="O15">
        <v>65701</v>
      </c>
      <c r="P15">
        <v>66782</v>
      </c>
      <c r="Q15">
        <v>36137</v>
      </c>
      <c r="R15">
        <v>36894</v>
      </c>
      <c r="S15">
        <v>3200</v>
      </c>
      <c r="T15">
        <v>0</v>
      </c>
      <c r="U15">
        <v>3000</v>
      </c>
      <c r="V15">
        <v>3000</v>
      </c>
      <c r="W15">
        <v>1500</v>
      </c>
      <c r="X15">
        <v>0</v>
      </c>
      <c r="Y15">
        <v>1</v>
      </c>
    </row>
    <row r="16" spans="1:25" x14ac:dyDescent="0.3">
      <c r="A16">
        <v>15</v>
      </c>
      <c r="B16">
        <v>250000</v>
      </c>
      <c r="C16">
        <v>1</v>
      </c>
      <c r="D16">
        <v>1</v>
      </c>
      <c r="E16">
        <v>2</v>
      </c>
      <c r="F16">
        <v>29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70887</v>
      </c>
      <c r="N16">
        <v>67060</v>
      </c>
      <c r="O16">
        <v>63561</v>
      </c>
      <c r="P16">
        <v>59696</v>
      </c>
      <c r="Q16">
        <v>56875</v>
      </c>
      <c r="R16">
        <v>55512</v>
      </c>
      <c r="S16">
        <v>3000</v>
      </c>
      <c r="T16">
        <v>3000</v>
      </c>
      <c r="U16">
        <v>3000</v>
      </c>
      <c r="V16">
        <v>3000</v>
      </c>
      <c r="W16">
        <v>3000</v>
      </c>
      <c r="X16">
        <v>3000</v>
      </c>
      <c r="Y16">
        <v>0</v>
      </c>
    </row>
    <row r="17" spans="1:25" x14ac:dyDescent="0.3">
      <c r="A17">
        <v>16</v>
      </c>
      <c r="B17">
        <v>50000</v>
      </c>
      <c r="C17">
        <v>2</v>
      </c>
      <c r="D17">
        <v>3</v>
      </c>
      <c r="E17">
        <v>3</v>
      </c>
      <c r="F17">
        <v>23</v>
      </c>
      <c r="G17">
        <v>1</v>
      </c>
      <c r="H17">
        <v>2</v>
      </c>
      <c r="I17">
        <v>0</v>
      </c>
      <c r="J17">
        <v>0</v>
      </c>
      <c r="K17">
        <v>0</v>
      </c>
      <c r="L17">
        <v>0</v>
      </c>
      <c r="M17">
        <v>50614</v>
      </c>
      <c r="N17">
        <v>29173</v>
      </c>
      <c r="O17">
        <v>28116</v>
      </c>
      <c r="P17">
        <v>28771</v>
      </c>
      <c r="Q17">
        <v>29531</v>
      </c>
      <c r="R17">
        <v>30211</v>
      </c>
      <c r="S17">
        <v>0</v>
      </c>
      <c r="T17">
        <v>1500</v>
      </c>
      <c r="U17">
        <v>1100</v>
      </c>
      <c r="V17">
        <v>1200</v>
      </c>
      <c r="W17">
        <v>1300</v>
      </c>
      <c r="X17">
        <v>1100</v>
      </c>
      <c r="Y17">
        <v>0</v>
      </c>
    </row>
    <row r="18" spans="1:25" x14ac:dyDescent="0.3">
      <c r="A18">
        <v>17</v>
      </c>
      <c r="B18">
        <v>20000</v>
      </c>
      <c r="C18">
        <v>1</v>
      </c>
      <c r="D18">
        <v>1</v>
      </c>
      <c r="E18">
        <v>2</v>
      </c>
      <c r="F18">
        <v>24</v>
      </c>
      <c r="G18">
        <v>0</v>
      </c>
      <c r="H18">
        <v>0</v>
      </c>
      <c r="I18">
        <v>2</v>
      </c>
      <c r="J18">
        <v>2</v>
      </c>
      <c r="K18">
        <v>2</v>
      </c>
      <c r="L18">
        <v>2</v>
      </c>
      <c r="M18">
        <v>15376</v>
      </c>
      <c r="N18">
        <v>18010</v>
      </c>
      <c r="O18">
        <v>17428</v>
      </c>
      <c r="P18">
        <v>18338</v>
      </c>
      <c r="Q18">
        <v>17905</v>
      </c>
      <c r="R18">
        <v>19104</v>
      </c>
      <c r="S18">
        <v>3200</v>
      </c>
      <c r="T18">
        <v>0</v>
      </c>
      <c r="U18">
        <v>1500</v>
      </c>
      <c r="V18">
        <v>0</v>
      </c>
      <c r="W18">
        <v>1650</v>
      </c>
      <c r="X18">
        <v>0</v>
      </c>
      <c r="Y18">
        <v>1</v>
      </c>
    </row>
    <row r="19" spans="1:25" x14ac:dyDescent="0.3">
      <c r="A19">
        <v>18</v>
      </c>
      <c r="B19">
        <v>320000</v>
      </c>
      <c r="C19">
        <v>1</v>
      </c>
      <c r="D19">
        <v>1</v>
      </c>
      <c r="E19">
        <v>1</v>
      </c>
      <c r="F19">
        <v>49</v>
      </c>
      <c r="G19">
        <v>0</v>
      </c>
      <c r="H19">
        <v>0</v>
      </c>
      <c r="I19">
        <v>0</v>
      </c>
      <c r="J19">
        <v>-1</v>
      </c>
      <c r="K19">
        <v>-1</v>
      </c>
      <c r="L19">
        <v>-1</v>
      </c>
      <c r="M19">
        <v>253286</v>
      </c>
      <c r="N19">
        <v>246536</v>
      </c>
      <c r="O19">
        <v>194663</v>
      </c>
      <c r="P19">
        <v>70074</v>
      </c>
      <c r="Q19">
        <v>5856</v>
      </c>
      <c r="R19">
        <v>195599</v>
      </c>
      <c r="S19">
        <v>10358</v>
      </c>
      <c r="T19">
        <v>10000</v>
      </c>
      <c r="U19">
        <v>75940</v>
      </c>
      <c r="V19">
        <v>20000</v>
      </c>
      <c r="W19">
        <v>195599</v>
      </c>
      <c r="X19">
        <v>50000</v>
      </c>
      <c r="Y19">
        <v>0</v>
      </c>
    </row>
    <row r="20" spans="1:25" x14ac:dyDescent="0.3">
      <c r="A20">
        <v>19</v>
      </c>
      <c r="B20">
        <v>360000</v>
      </c>
      <c r="C20">
        <v>2</v>
      </c>
      <c r="D20">
        <v>1</v>
      </c>
      <c r="E20">
        <v>1</v>
      </c>
      <c r="F20">
        <v>49</v>
      </c>
      <c r="G20">
        <v>1</v>
      </c>
      <c r="H20">
        <v>-2</v>
      </c>
      <c r="I20">
        <v>-2</v>
      </c>
      <c r="J20">
        <v>-2</v>
      </c>
      <c r="K20">
        <v>-2</v>
      </c>
      <c r="L20">
        <v>-2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:25" x14ac:dyDescent="0.3">
      <c r="A21">
        <v>20</v>
      </c>
      <c r="B21">
        <v>180000</v>
      </c>
      <c r="C21">
        <v>2</v>
      </c>
      <c r="D21">
        <v>1</v>
      </c>
      <c r="E21">
        <v>2</v>
      </c>
      <c r="F21">
        <v>29</v>
      </c>
      <c r="G21">
        <v>1</v>
      </c>
      <c r="H21">
        <v>-2</v>
      </c>
      <c r="I21">
        <v>-2</v>
      </c>
      <c r="J21">
        <v>-2</v>
      </c>
      <c r="K21">
        <v>-2</v>
      </c>
      <c r="L21">
        <v>-2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</row>
    <row r="22" spans="1:25" x14ac:dyDescent="0.3">
      <c r="A22">
        <v>21</v>
      </c>
      <c r="B22">
        <v>130000</v>
      </c>
      <c r="C22">
        <v>2</v>
      </c>
      <c r="D22">
        <v>3</v>
      </c>
      <c r="E22">
        <v>2</v>
      </c>
      <c r="F22">
        <v>39</v>
      </c>
      <c r="G22">
        <v>0</v>
      </c>
      <c r="H22">
        <v>0</v>
      </c>
      <c r="I22">
        <v>0</v>
      </c>
      <c r="J22">
        <v>0</v>
      </c>
      <c r="K22">
        <v>0</v>
      </c>
      <c r="L22">
        <v>-1</v>
      </c>
      <c r="M22">
        <v>38358</v>
      </c>
      <c r="N22">
        <v>27688</v>
      </c>
      <c r="O22">
        <v>24489</v>
      </c>
      <c r="P22">
        <v>20616</v>
      </c>
      <c r="Q22">
        <v>11802</v>
      </c>
      <c r="R22">
        <v>930</v>
      </c>
      <c r="S22">
        <v>3000</v>
      </c>
      <c r="T22">
        <v>1537</v>
      </c>
      <c r="U22">
        <v>1000</v>
      </c>
      <c r="V22">
        <v>2000</v>
      </c>
      <c r="W22">
        <v>930</v>
      </c>
      <c r="X22">
        <v>33764</v>
      </c>
      <c r="Y22">
        <v>0</v>
      </c>
    </row>
    <row r="23" spans="1:25" x14ac:dyDescent="0.3">
      <c r="A23">
        <v>22</v>
      </c>
      <c r="B23">
        <v>120000</v>
      </c>
      <c r="C23">
        <v>2</v>
      </c>
      <c r="D23">
        <v>2</v>
      </c>
      <c r="E23">
        <v>1</v>
      </c>
      <c r="F23">
        <v>39</v>
      </c>
      <c r="G23">
        <v>-1</v>
      </c>
      <c r="H23">
        <v>-1</v>
      </c>
      <c r="I23">
        <v>-1</v>
      </c>
      <c r="J23">
        <v>-1</v>
      </c>
      <c r="K23">
        <v>-1</v>
      </c>
      <c r="L23">
        <v>-1</v>
      </c>
      <c r="M23">
        <v>316</v>
      </c>
      <c r="N23">
        <v>316</v>
      </c>
      <c r="O23">
        <v>316</v>
      </c>
      <c r="P23">
        <v>0</v>
      </c>
      <c r="Q23">
        <v>632</v>
      </c>
      <c r="R23">
        <v>316</v>
      </c>
      <c r="S23">
        <v>316</v>
      </c>
      <c r="T23">
        <v>316</v>
      </c>
      <c r="U23">
        <v>0</v>
      </c>
      <c r="V23">
        <v>632</v>
      </c>
      <c r="W23">
        <v>316</v>
      </c>
      <c r="X23">
        <v>0</v>
      </c>
      <c r="Y23">
        <v>1</v>
      </c>
    </row>
    <row r="24" spans="1:25" x14ac:dyDescent="0.3">
      <c r="A24">
        <v>23</v>
      </c>
      <c r="B24">
        <v>70000</v>
      </c>
      <c r="C24">
        <v>2</v>
      </c>
      <c r="D24">
        <v>2</v>
      </c>
      <c r="E24">
        <v>2</v>
      </c>
      <c r="F24">
        <v>26</v>
      </c>
      <c r="G24">
        <v>2</v>
      </c>
      <c r="H24">
        <v>0</v>
      </c>
      <c r="I24">
        <v>0</v>
      </c>
      <c r="J24">
        <v>2</v>
      </c>
      <c r="K24">
        <v>2</v>
      </c>
      <c r="L24">
        <v>2</v>
      </c>
      <c r="M24">
        <v>41087</v>
      </c>
      <c r="N24">
        <v>42445</v>
      </c>
      <c r="O24">
        <v>45020</v>
      </c>
      <c r="P24">
        <v>44006</v>
      </c>
      <c r="Q24">
        <v>46905</v>
      </c>
      <c r="R24">
        <v>46012</v>
      </c>
      <c r="S24">
        <v>2007</v>
      </c>
      <c r="T24">
        <v>3582</v>
      </c>
      <c r="U24">
        <v>0</v>
      </c>
      <c r="V24">
        <v>3601</v>
      </c>
      <c r="W24">
        <v>0</v>
      </c>
      <c r="X24">
        <v>1820</v>
      </c>
      <c r="Y24">
        <v>1</v>
      </c>
    </row>
    <row r="25" spans="1:25" x14ac:dyDescent="0.3">
      <c r="A25">
        <v>24</v>
      </c>
      <c r="B25">
        <v>450000</v>
      </c>
      <c r="C25">
        <v>2</v>
      </c>
      <c r="D25">
        <v>1</v>
      </c>
      <c r="E25">
        <v>1</v>
      </c>
      <c r="F25">
        <v>40</v>
      </c>
      <c r="G25">
        <v>-2</v>
      </c>
      <c r="H25">
        <v>-2</v>
      </c>
      <c r="I25">
        <v>-2</v>
      </c>
      <c r="J25">
        <v>-2</v>
      </c>
      <c r="K25">
        <v>-2</v>
      </c>
      <c r="L25">
        <v>-2</v>
      </c>
      <c r="M25">
        <v>5512</v>
      </c>
      <c r="N25">
        <v>19420</v>
      </c>
      <c r="O25">
        <v>1473</v>
      </c>
      <c r="P25">
        <v>560</v>
      </c>
      <c r="Q25">
        <v>0</v>
      </c>
      <c r="R25">
        <v>0</v>
      </c>
      <c r="S25">
        <v>19428</v>
      </c>
      <c r="T25">
        <v>1473</v>
      </c>
      <c r="U25">
        <v>560</v>
      </c>
      <c r="V25">
        <v>0</v>
      </c>
      <c r="W25">
        <v>0</v>
      </c>
      <c r="X25">
        <v>1128</v>
      </c>
      <c r="Y25">
        <v>1</v>
      </c>
    </row>
    <row r="26" spans="1:25" x14ac:dyDescent="0.3">
      <c r="A26">
        <v>25</v>
      </c>
      <c r="B26">
        <v>90000</v>
      </c>
      <c r="C26">
        <v>1</v>
      </c>
      <c r="D26">
        <v>1</v>
      </c>
      <c r="E26">
        <v>2</v>
      </c>
      <c r="F26">
        <v>23</v>
      </c>
      <c r="G26">
        <v>0</v>
      </c>
      <c r="H26">
        <v>0</v>
      </c>
      <c r="I26">
        <v>0</v>
      </c>
      <c r="J26">
        <v>-1</v>
      </c>
      <c r="K26">
        <v>0</v>
      </c>
      <c r="L26">
        <v>0</v>
      </c>
      <c r="M26">
        <v>4744</v>
      </c>
      <c r="N26">
        <v>7070</v>
      </c>
      <c r="O26">
        <v>0</v>
      </c>
      <c r="P26">
        <v>5398</v>
      </c>
      <c r="Q26">
        <v>6360</v>
      </c>
      <c r="R26">
        <v>8292</v>
      </c>
      <c r="S26">
        <v>5757</v>
      </c>
      <c r="T26">
        <v>0</v>
      </c>
      <c r="U26">
        <v>5398</v>
      </c>
      <c r="V26">
        <v>1200</v>
      </c>
      <c r="W26">
        <v>2045</v>
      </c>
      <c r="X26">
        <v>2000</v>
      </c>
      <c r="Y26">
        <v>0</v>
      </c>
    </row>
    <row r="27" spans="1:25" x14ac:dyDescent="0.3">
      <c r="A27">
        <v>26</v>
      </c>
      <c r="B27">
        <v>50000</v>
      </c>
      <c r="C27">
        <v>1</v>
      </c>
      <c r="D27">
        <v>3</v>
      </c>
      <c r="E27">
        <v>2</v>
      </c>
      <c r="F27">
        <v>23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47620</v>
      </c>
      <c r="N27">
        <v>41810</v>
      </c>
      <c r="O27">
        <v>36023</v>
      </c>
      <c r="P27">
        <v>28967</v>
      </c>
      <c r="Q27">
        <v>29829</v>
      </c>
      <c r="R27">
        <v>30046</v>
      </c>
      <c r="S27">
        <v>1973</v>
      </c>
      <c r="T27">
        <v>1426</v>
      </c>
      <c r="U27">
        <v>1001</v>
      </c>
      <c r="V27">
        <v>1432</v>
      </c>
      <c r="W27">
        <v>1062</v>
      </c>
      <c r="X27">
        <v>997</v>
      </c>
      <c r="Y27">
        <v>0</v>
      </c>
    </row>
    <row r="28" spans="1:25" x14ac:dyDescent="0.3">
      <c r="A28">
        <v>27</v>
      </c>
      <c r="B28">
        <v>60000</v>
      </c>
      <c r="C28">
        <v>1</v>
      </c>
      <c r="D28">
        <v>1</v>
      </c>
      <c r="E28">
        <v>2</v>
      </c>
      <c r="F28">
        <v>27</v>
      </c>
      <c r="G28">
        <v>1</v>
      </c>
      <c r="H28">
        <v>-2</v>
      </c>
      <c r="I28">
        <v>-1</v>
      </c>
      <c r="J28">
        <v>-1</v>
      </c>
      <c r="K28">
        <v>-1</v>
      </c>
      <c r="L28">
        <v>-1</v>
      </c>
      <c r="M28">
        <v>-109</v>
      </c>
      <c r="N28">
        <v>-425</v>
      </c>
      <c r="O28">
        <v>259</v>
      </c>
      <c r="P28">
        <v>-57</v>
      </c>
      <c r="Q28">
        <v>127</v>
      </c>
      <c r="R28">
        <v>-189</v>
      </c>
      <c r="S28">
        <v>0</v>
      </c>
      <c r="T28">
        <v>1000</v>
      </c>
      <c r="U28">
        <v>0</v>
      </c>
      <c r="V28">
        <v>500</v>
      </c>
      <c r="W28">
        <v>0</v>
      </c>
      <c r="X28">
        <v>1000</v>
      </c>
      <c r="Y28">
        <v>1</v>
      </c>
    </row>
    <row r="29" spans="1:25" x14ac:dyDescent="0.3">
      <c r="A29">
        <v>28</v>
      </c>
      <c r="B29">
        <v>50000</v>
      </c>
      <c r="C29">
        <v>2</v>
      </c>
      <c r="D29">
        <v>3</v>
      </c>
      <c r="E29">
        <v>2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22541</v>
      </c>
      <c r="N29">
        <v>16138</v>
      </c>
      <c r="O29">
        <v>17163</v>
      </c>
      <c r="P29">
        <v>17878</v>
      </c>
      <c r="Q29">
        <v>18931</v>
      </c>
      <c r="R29">
        <v>19617</v>
      </c>
      <c r="S29">
        <v>1300</v>
      </c>
      <c r="T29">
        <v>1300</v>
      </c>
      <c r="U29">
        <v>1000</v>
      </c>
      <c r="V29">
        <v>1500</v>
      </c>
      <c r="W29">
        <v>1000</v>
      </c>
      <c r="X29">
        <v>1012</v>
      </c>
      <c r="Y29">
        <v>0</v>
      </c>
    </row>
    <row r="30" spans="1:25" x14ac:dyDescent="0.3">
      <c r="A30">
        <v>29</v>
      </c>
      <c r="B30">
        <v>50000</v>
      </c>
      <c r="C30">
        <v>2</v>
      </c>
      <c r="D30">
        <v>3</v>
      </c>
      <c r="E30">
        <v>1</v>
      </c>
      <c r="F30">
        <v>47</v>
      </c>
      <c r="G30">
        <v>-1</v>
      </c>
      <c r="H30">
        <v>-1</v>
      </c>
      <c r="I30">
        <v>-1</v>
      </c>
      <c r="J30">
        <v>-1</v>
      </c>
      <c r="K30">
        <v>-1</v>
      </c>
      <c r="L30">
        <v>-1</v>
      </c>
      <c r="M30">
        <v>650</v>
      </c>
      <c r="N30">
        <v>3415</v>
      </c>
      <c r="O30">
        <v>3416</v>
      </c>
      <c r="P30">
        <v>2040</v>
      </c>
      <c r="Q30">
        <v>30430</v>
      </c>
      <c r="R30">
        <v>257</v>
      </c>
      <c r="S30">
        <v>3415</v>
      </c>
      <c r="T30">
        <v>3421</v>
      </c>
      <c r="U30">
        <v>2044</v>
      </c>
      <c r="V30">
        <v>30430</v>
      </c>
      <c r="W30">
        <v>257</v>
      </c>
      <c r="X30">
        <v>0</v>
      </c>
      <c r="Y30">
        <v>0</v>
      </c>
    </row>
    <row r="31" spans="1:25" x14ac:dyDescent="0.3">
      <c r="A31">
        <v>30</v>
      </c>
      <c r="B31">
        <v>50000</v>
      </c>
      <c r="C31">
        <v>1</v>
      </c>
      <c r="D31">
        <v>1</v>
      </c>
      <c r="E31">
        <v>2</v>
      </c>
      <c r="F31">
        <v>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15329</v>
      </c>
      <c r="N31">
        <v>16575</v>
      </c>
      <c r="O31">
        <v>17496</v>
      </c>
      <c r="P31">
        <v>17907</v>
      </c>
      <c r="Q31">
        <v>18375</v>
      </c>
      <c r="R31">
        <v>11400</v>
      </c>
      <c r="S31">
        <v>1500</v>
      </c>
      <c r="T31">
        <v>1500</v>
      </c>
      <c r="U31">
        <v>1000</v>
      </c>
      <c r="V31">
        <v>1000</v>
      </c>
      <c r="W31">
        <v>1600</v>
      </c>
      <c r="X31">
        <v>0</v>
      </c>
      <c r="Y31">
        <v>0</v>
      </c>
    </row>
    <row r="32" spans="1:25" x14ac:dyDescent="0.3">
      <c r="A32">
        <v>31</v>
      </c>
      <c r="B32">
        <v>230000</v>
      </c>
      <c r="C32">
        <v>2</v>
      </c>
      <c r="D32">
        <v>1</v>
      </c>
      <c r="E32">
        <v>2</v>
      </c>
      <c r="F32">
        <v>27</v>
      </c>
      <c r="G32">
        <v>-1</v>
      </c>
      <c r="H32">
        <v>-1</v>
      </c>
      <c r="I32">
        <v>-1</v>
      </c>
      <c r="J32">
        <v>-1</v>
      </c>
      <c r="K32">
        <v>-1</v>
      </c>
      <c r="L32">
        <v>-1</v>
      </c>
      <c r="M32">
        <v>16646</v>
      </c>
      <c r="N32">
        <v>17265</v>
      </c>
      <c r="O32">
        <v>13266</v>
      </c>
      <c r="P32">
        <v>15339</v>
      </c>
      <c r="Q32">
        <v>14307</v>
      </c>
      <c r="R32">
        <v>36923</v>
      </c>
      <c r="S32">
        <v>17270</v>
      </c>
      <c r="T32">
        <v>13281</v>
      </c>
      <c r="U32">
        <v>15339</v>
      </c>
      <c r="V32">
        <v>14307</v>
      </c>
      <c r="W32">
        <v>37292</v>
      </c>
      <c r="X32">
        <v>0</v>
      </c>
      <c r="Y32">
        <v>0</v>
      </c>
    </row>
    <row r="33" spans="1:25" x14ac:dyDescent="0.3">
      <c r="A33">
        <v>32</v>
      </c>
      <c r="B33">
        <v>50000</v>
      </c>
      <c r="C33">
        <v>1</v>
      </c>
      <c r="D33">
        <v>2</v>
      </c>
      <c r="E33">
        <v>2</v>
      </c>
      <c r="F33">
        <v>33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30518</v>
      </c>
      <c r="N33">
        <v>29618</v>
      </c>
      <c r="O33">
        <v>22102</v>
      </c>
      <c r="P33">
        <v>22734</v>
      </c>
      <c r="Q33">
        <v>23217</v>
      </c>
      <c r="R33">
        <v>23680</v>
      </c>
      <c r="S33">
        <v>1718</v>
      </c>
      <c r="T33">
        <v>1500</v>
      </c>
      <c r="U33">
        <v>1000</v>
      </c>
      <c r="V33">
        <v>1000</v>
      </c>
      <c r="W33">
        <v>1000</v>
      </c>
      <c r="X33">
        <v>716</v>
      </c>
      <c r="Y33">
        <v>1</v>
      </c>
    </row>
    <row r="34" spans="1:25" x14ac:dyDescent="0.3">
      <c r="A34">
        <v>33</v>
      </c>
      <c r="B34">
        <v>100000</v>
      </c>
      <c r="C34">
        <v>1</v>
      </c>
      <c r="D34">
        <v>1</v>
      </c>
      <c r="E34">
        <v>2</v>
      </c>
      <c r="F34">
        <v>32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93036</v>
      </c>
      <c r="N34">
        <v>84071</v>
      </c>
      <c r="O34">
        <v>82880</v>
      </c>
      <c r="P34">
        <v>80958</v>
      </c>
      <c r="Q34">
        <v>78703</v>
      </c>
      <c r="R34">
        <v>75589</v>
      </c>
      <c r="S34">
        <v>3023</v>
      </c>
      <c r="T34">
        <v>3511</v>
      </c>
      <c r="U34">
        <v>3302</v>
      </c>
      <c r="V34">
        <v>3204</v>
      </c>
      <c r="W34">
        <v>3200</v>
      </c>
      <c r="X34">
        <v>2504</v>
      </c>
      <c r="Y34">
        <v>0</v>
      </c>
    </row>
    <row r="35" spans="1:25" x14ac:dyDescent="0.3">
      <c r="A35">
        <v>34</v>
      </c>
      <c r="B35">
        <v>500000</v>
      </c>
      <c r="C35">
        <v>2</v>
      </c>
      <c r="D35">
        <v>2</v>
      </c>
      <c r="E35">
        <v>1</v>
      </c>
      <c r="F35">
        <v>54</v>
      </c>
      <c r="G35">
        <v>-2</v>
      </c>
      <c r="H35">
        <v>-2</v>
      </c>
      <c r="I35">
        <v>-2</v>
      </c>
      <c r="J35">
        <v>-2</v>
      </c>
      <c r="K35">
        <v>-2</v>
      </c>
      <c r="L35">
        <v>-2</v>
      </c>
      <c r="M35">
        <v>10929</v>
      </c>
      <c r="N35">
        <v>4152</v>
      </c>
      <c r="O35">
        <v>22722</v>
      </c>
      <c r="P35">
        <v>7521</v>
      </c>
      <c r="Q35">
        <v>71439</v>
      </c>
      <c r="R35">
        <v>8981</v>
      </c>
      <c r="S35">
        <v>4152</v>
      </c>
      <c r="T35">
        <v>22827</v>
      </c>
      <c r="U35">
        <v>7521</v>
      </c>
      <c r="V35">
        <v>71439</v>
      </c>
      <c r="W35">
        <v>981</v>
      </c>
      <c r="X35">
        <v>51582</v>
      </c>
      <c r="Y35">
        <v>0</v>
      </c>
    </row>
    <row r="36" spans="1:25" x14ac:dyDescent="0.3">
      <c r="A36">
        <v>35</v>
      </c>
      <c r="B36">
        <v>500000</v>
      </c>
      <c r="C36">
        <v>1</v>
      </c>
      <c r="D36">
        <v>1</v>
      </c>
      <c r="E36">
        <v>1</v>
      </c>
      <c r="F36">
        <v>58</v>
      </c>
      <c r="G36">
        <v>-2</v>
      </c>
      <c r="H36">
        <v>-2</v>
      </c>
      <c r="I36">
        <v>-2</v>
      </c>
      <c r="J36">
        <v>-2</v>
      </c>
      <c r="K36">
        <v>-2</v>
      </c>
      <c r="L36">
        <v>-2</v>
      </c>
      <c r="M36">
        <v>13709</v>
      </c>
      <c r="N36">
        <v>5006</v>
      </c>
      <c r="O36">
        <v>31130</v>
      </c>
      <c r="P36">
        <v>3180</v>
      </c>
      <c r="Q36">
        <v>0</v>
      </c>
      <c r="R36">
        <v>5293</v>
      </c>
      <c r="S36">
        <v>5006</v>
      </c>
      <c r="T36">
        <v>31178</v>
      </c>
      <c r="U36">
        <v>3180</v>
      </c>
      <c r="V36">
        <v>0</v>
      </c>
      <c r="W36">
        <v>5293</v>
      </c>
      <c r="X36">
        <v>768</v>
      </c>
      <c r="Y36">
        <v>0</v>
      </c>
    </row>
    <row r="37" spans="1:25" x14ac:dyDescent="0.3">
      <c r="A37">
        <v>36</v>
      </c>
      <c r="B37">
        <v>160000</v>
      </c>
      <c r="C37">
        <v>1</v>
      </c>
      <c r="D37">
        <v>1</v>
      </c>
      <c r="E37">
        <v>2</v>
      </c>
      <c r="F37">
        <v>30</v>
      </c>
      <c r="G37">
        <v>-1</v>
      </c>
      <c r="H37">
        <v>-1</v>
      </c>
      <c r="I37">
        <v>-2</v>
      </c>
      <c r="J37">
        <v>-2</v>
      </c>
      <c r="K37">
        <v>-2</v>
      </c>
      <c r="L37">
        <v>-1</v>
      </c>
      <c r="M37">
        <v>30265</v>
      </c>
      <c r="N37">
        <v>-131</v>
      </c>
      <c r="O37">
        <v>-527</v>
      </c>
      <c r="P37">
        <v>-923</v>
      </c>
      <c r="Q37">
        <v>-1488</v>
      </c>
      <c r="R37">
        <v>-1884</v>
      </c>
      <c r="S37">
        <v>131</v>
      </c>
      <c r="T37">
        <v>396</v>
      </c>
      <c r="U37">
        <v>396</v>
      </c>
      <c r="V37">
        <v>565</v>
      </c>
      <c r="W37">
        <v>792</v>
      </c>
      <c r="X37">
        <v>0</v>
      </c>
      <c r="Y37">
        <v>0</v>
      </c>
    </row>
    <row r="38" spans="1:25" x14ac:dyDescent="0.3">
      <c r="A38">
        <v>37</v>
      </c>
      <c r="B38">
        <v>280000</v>
      </c>
      <c r="C38">
        <v>1</v>
      </c>
      <c r="D38">
        <v>2</v>
      </c>
      <c r="E38">
        <v>1</v>
      </c>
      <c r="F38">
        <v>40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186503</v>
      </c>
      <c r="N38">
        <v>181328</v>
      </c>
      <c r="O38">
        <v>180422</v>
      </c>
      <c r="P38">
        <v>170410</v>
      </c>
      <c r="Q38">
        <v>173901</v>
      </c>
      <c r="R38">
        <v>177413</v>
      </c>
      <c r="S38">
        <v>8026</v>
      </c>
      <c r="T38">
        <v>8060</v>
      </c>
      <c r="U38">
        <v>6300</v>
      </c>
      <c r="V38">
        <v>6400</v>
      </c>
      <c r="W38">
        <v>6400</v>
      </c>
      <c r="X38">
        <v>6737</v>
      </c>
      <c r="Y38">
        <v>0</v>
      </c>
    </row>
    <row r="39" spans="1:25" x14ac:dyDescent="0.3">
      <c r="A39">
        <v>38</v>
      </c>
      <c r="B39">
        <v>60000</v>
      </c>
      <c r="C39">
        <v>2</v>
      </c>
      <c r="D39">
        <v>2</v>
      </c>
      <c r="E39">
        <v>2</v>
      </c>
      <c r="F39">
        <v>22</v>
      </c>
      <c r="G39">
        <v>0</v>
      </c>
      <c r="H39">
        <v>0</v>
      </c>
      <c r="I39">
        <v>0</v>
      </c>
      <c r="J39">
        <v>0</v>
      </c>
      <c r="K39">
        <v>0</v>
      </c>
      <c r="L39">
        <v>-1</v>
      </c>
      <c r="M39">
        <v>15054</v>
      </c>
      <c r="N39">
        <v>9806</v>
      </c>
      <c r="O39">
        <v>11068</v>
      </c>
      <c r="P39">
        <v>6026</v>
      </c>
      <c r="Q39">
        <v>-28335</v>
      </c>
      <c r="R39">
        <v>18660</v>
      </c>
      <c r="S39">
        <v>1500</v>
      </c>
      <c r="T39">
        <v>1518</v>
      </c>
      <c r="U39">
        <v>2043</v>
      </c>
      <c r="V39">
        <v>0</v>
      </c>
      <c r="W39">
        <v>47671</v>
      </c>
      <c r="X39">
        <v>617</v>
      </c>
      <c r="Y39">
        <v>0</v>
      </c>
    </row>
    <row r="40" spans="1:25" x14ac:dyDescent="0.3">
      <c r="A40">
        <v>39</v>
      </c>
      <c r="B40">
        <v>50000</v>
      </c>
      <c r="C40">
        <v>1</v>
      </c>
      <c r="D40">
        <v>1</v>
      </c>
      <c r="E40">
        <v>2</v>
      </c>
      <c r="F40">
        <v>25</v>
      </c>
      <c r="G40">
        <v>1</v>
      </c>
      <c r="H40">
        <v>-1</v>
      </c>
      <c r="I40">
        <v>-1</v>
      </c>
      <c r="J40">
        <v>-2</v>
      </c>
      <c r="K40">
        <v>-2</v>
      </c>
      <c r="L40">
        <v>-2</v>
      </c>
      <c r="M40">
        <v>0</v>
      </c>
      <c r="N40">
        <v>780</v>
      </c>
      <c r="O40">
        <v>0</v>
      </c>
      <c r="P40">
        <v>0</v>
      </c>
      <c r="Q40">
        <v>0</v>
      </c>
      <c r="R40">
        <v>0</v>
      </c>
      <c r="S40">
        <v>780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</row>
    <row r="41" spans="1:25" x14ac:dyDescent="0.3">
      <c r="A41">
        <v>40</v>
      </c>
      <c r="B41">
        <v>280000</v>
      </c>
      <c r="C41">
        <v>1</v>
      </c>
      <c r="D41">
        <v>1</v>
      </c>
      <c r="E41">
        <v>2</v>
      </c>
      <c r="F41">
        <v>31</v>
      </c>
      <c r="G41">
        <v>-1</v>
      </c>
      <c r="H41">
        <v>-1</v>
      </c>
      <c r="I41">
        <v>2</v>
      </c>
      <c r="J41">
        <v>-1</v>
      </c>
      <c r="K41">
        <v>0</v>
      </c>
      <c r="L41">
        <v>-1</v>
      </c>
      <c r="M41">
        <v>498</v>
      </c>
      <c r="N41">
        <v>9075</v>
      </c>
      <c r="O41">
        <v>4641</v>
      </c>
      <c r="P41">
        <v>9976</v>
      </c>
      <c r="Q41">
        <v>17976</v>
      </c>
      <c r="R41">
        <v>9477</v>
      </c>
      <c r="S41">
        <v>9075</v>
      </c>
      <c r="T41">
        <v>0</v>
      </c>
      <c r="U41">
        <v>9976</v>
      </c>
      <c r="V41">
        <v>8000</v>
      </c>
      <c r="W41">
        <v>9525</v>
      </c>
      <c r="X41">
        <v>781</v>
      </c>
      <c r="Y41">
        <v>0</v>
      </c>
    </row>
    <row r="42" spans="1:25" x14ac:dyDescent="0.3">
      <c r="A42">
        <v>41</v>
      </c>
      <c r="B42">
        <v>360000</v>
      </c>
      <c r="C42">
        <v>1</v>
      </c>
      <c r="D42">
        <v>1</v>
      </c>
      <c r="E42">
        <v>2</v>
      </c>
      <c r="F42">
        <v>33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218668</v>
      </c>
      <c r="N42">
        <v>221296</v>
      </c>
      <c r="O42">
        <v>206895</v>
      </c>
      <c r="P42">
        <v>628699</v>
      </c>
      <c r="Q42">
        <v>195969</v>
      </c>
      <c r="R42">
        <v>179224</v>
      </c>
      <c r="S42">
        <v>10000</v>
      </c>
      <c r="T42">
        <v>7000</v>
      </c>
      <c r="U42">
        <v>6000</v>
      </c>
      <c r="V42">
        <v>188840</v>
      </c>
      <c r="W42">
        <v>28000</v>
      </c>
      <c r="X42">
        <v>4000</v>
      </c>
      <c r="Y42">
        <v>0</v>
      </c>
    </row>
    <row r="43" spans="1:25" x14ac:dyDescent="0.3">
      <c r="A43">
        <v>42</v>
      </c>
      <c r="B43">
        <v>70000</v>
      </c>
      <c r="C43">
        <v>2</v>
      </c>
      <c r="D43">
        <v>1</v>
      </c>
      <c r="E43">
        <v>2</v>
      </c>
      <c r="F43">
        <v>25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67521</v>
      </c>
      <c r="N43">
        <v>66999</v>
      </c>
      <c r="O43">
        <v>63949</v>
      </c>
      <c r="P43">
        <v>63699</v>
      </c>
      <c r="Q43">
        <v>64718</v>
      </c>
      <c r="R43">
        <v>65970</v>
      </c>
      <c r="S43">
        <v>3000</v>
      </c>
      <c r="T43">
        <v>4500</v>
      </c>
      <c r="U43">
        <v>4042</v>
      </c>
      <c r="V43">
        <v>2500</v>
      </c>
      <c r="W43">
        <v>2800</v>
      </c>
      <c r="X43">
        <v>2500</v>
      </c>
      <c r="Y43">
        <v>0</v>
      </c>
    </row>
    <row r="44" spans="1:25" x14ac:dyDescent="0.3">
      <c r="A44">
        <v>43</v>
      </c>
      <c r="B44">
        <v>10000</v>
      </c>
      <c r="C44">
        <v>1</v>
      </c>
      <c r="D44">
        <v>2</v>
      </c>
      <c r="E44">
        <v>2</v>
      </c>
      <c r="F44">
        <v>22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1877</v>
      </c>
      <c r="N44">
        <v>3184</v>
      </c>
      <c r="O44">
        <v>6003</v>
      </c>
      <c r="P44">
        <v>3576</v>
      </c>
      <c r="Q44">
        <v>3670</v>
      </c>
      <c r="R44">
        <v>4451</v>
      </c>
      <c r="S44">
        <v>1500</v>
      </c>
      <c r="T44">
        <v>2927</v>
      </c>
      <c r="U44">
        <v>1000</v>
      </c>
      <c r="V44">
        <v>300</v>
      </c>
      <c r="W44">
        <v>1000</v>
      </c>
      <c r="X44">
        <v>500</v>
      </c>
      <c r="Y44">
        <v>0</v>
      </c>
    </row>
    <row r="45" spans="1:25" x14ac:dyDescent="0.3">
      <c r="A45">
        <v>44</v>
      </c>
      <c r="B45">
        <v>140000</v>
      </c>
      <c r="C45">
        <v>2</v>
      </c>
      <c r="D45">
        <v>2</v>
      </c>
      <c r="E45">
        <v>1</v>
      </c>
      <c r="F45">
        <v>37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59504</v>
      </c>
      <c r="N45">
        <v>61544</v>
      </c>
      <c r="O45">
        <v>62925</v>
      </c>
      <c r="P45">
        <v>64280</v>
      </c>
      <c r="Q45">
        <v>67079</v>
      </c>
      <c r="R45">
        <v>69802</v>
      </c>
      <c r="S45">
        <v>3000</v>
      </c>
      <c r="T45">
        <v>3000</v>
      </c>
      <c r="U45">
        <v>3000</v>
      </c>
      <c r="V45">
        <v>4000</v>
      </c>
      <c r="W45">
        <v>4000</v>
      </c>
      <c r="X45">
        <v>3000</v>
      </c>
      <c r="Y45">
        <v>0</v>
      </c>
    </row>
    <row r="46" spans="1:25" x14ac:dyDescent="0.3">
      <c r="A46">
        <v>45</v>
      </c>
      <c r="B46">
        <v>40000</v>
      </c>
      <c r="C46">
        <v>2</v>
      </c>
      <c r="D46">
        <v>1</v>
      </c>
      <c r="E46">
        <v>2</v>
      </c>
      <c r="F46">
        <v>30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18927</v>
      </c>
      <c r="N46">
        <v>21295</v>
      </c>
      <c r="O46">
        <v>25921</v>
      </c>
      <c r="P46">
        <v>25209</v>
      </c>
      <c r="Q46">
        <v>26636</v>
      </c>
      <c r="R46">
        <v>29197</v>
      </c>
      <c r="S46">
        <v>3000</v>
      </c>
      <c r="T46">
        <v>5000</v>
      </c>
      <c r="U46">
        <v>0</v>
      </c>
      <c r="V46">
        <v>2000</v>
      </c>
      <c r="W46">
        <v>3000</v>
      </c>
      <c r="X46">
        <v>0</v>
      </c>
      <c r="Y46">
        <v>0</v>
      </c>
    </row>
    <row r="47" spans="1:25" x14ac:dyDescent="0.3">
      <c r="A47">
        <v>46</v>
      </c>
      <c r="B47">
        <v>210000</v>
      </c>
      <c r="C47">
        <v>1</v>
      </c>
      <c r="D47">
        <v>1</v>
      </c>
      <c r="E47">
        <v>2</v>
      </c>
      <c r="F47">
        <v>29</v>
      </c>
      <c r="G47">
        <v>-2</v>
      </c>
      <c r="H47">
        <v>-2</v>
      </c>
      <c r="I47">
        <v>-2</v>
      </c>
      <c r="J47">
        <v>-2</v>
      </c>
      <c r="K47">
        <v>-2</v>
      </c>
      <c r="L47">
        <v>-2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</row>
    <row r="48" spans="1:25" x14ac:dyDescent="0.3">
      <c r="A48">
        <v>47</v>
      </c>
      <c r="B48">
        <v>20000</v>
      </c>
      <c r="C48">
        <v>2</v>
      </c>
      <c r="D48">
        <v>1</v>
      </c>
      <c r="E48">
        <v>2</v>
      </c>
      <c r="F48">
        <v>22</v>
      </c>
      <c r="G48">
        <v>0</v>
      </c>
      <c r="H48">
        <v>0</v>
      </c>
      <c r="I48">
        <v>2</v>
      </c>
      <c r="J48">
        <v>-1</v>
      </c>
      <c r="K48">
        <v>0</v>
      </c>
      <c r="L48">
        <v>0</v>
      </c>
      <c r="M48">
        <v>14028</v>
      </c>
      <c r="N48">
        <v>16484</v>
      </c>
      <c r="O48">
        <v>15800</v>
      </c>
      <c r="P48">
        <v>16341</v>
      </c>
      <c r="Q48">
        <v>16675</v>
      </c>
      <c r="R48">
        <v>0</v>
      </c>
      <c r="S48">
        <v>3000</v>
      </c>
      <c r="T48">
        <v>0</v>
      </c>
      <c r="U48">
        <v>16741</v>
      </c>
      <c r="V48">
        <v>334</v>
      </c>
      <c r="W48">
        <v>0</v>
      </c>
      <c r="X48">
        <v>0</v>
      </c>
      <c r="Y48">
        <v>1</v>
      </c>
    </row>
    <row r="49" spans="1:25" x14ac:dyDescent="0.3">
      <c r="A49">
        <v>48</v>
      </c>
      <c r="B49">
        <v>150000</v>
      </c>
      <c r="C49">
        <v>2</v>
      </c>
      <c r="D49">
        <v>5</v>
      </c>
      <c r="E49">
        <v>2</v>
      </c>
      <c r="F49">
        <v>46</v>
      </c>
      <c r="G49">
        <v>0</v>
      </c>
      <c r="H49">
        <v>0</v>
      </c>
      <c r="I49">
        <v>-1</v>
      </c>
      <c r="J49">
        <v>0</v>
      </c>
      <c r="K49">
        <v>0</v>
      </c>
      <c r="L49">
        <v>-2</v>
      </c>
      <c r="M49">
        <v>4463</v>
      </c>
      <c r="N49">
        <v>3034</v>
      </c>
      <c r="O49">
        <v>1170</v>
      </c>
      <c r="P49">
        <v>1170</v>
      </c>
      <c r="Q49">
        <v>0</v>
      </c>
      <c r="R49">
        <v>0</v>
      </c>
      <c r="S49">
        <v>1013</v>
      </c>
      <c r="T49">
        <v>1170</v>
      </c>
      <c r="U49">
        <v>0</v>
      </c>
      <c r="V49">
        <v>0</v>
      </c>
      <c r="W49">
        <v>0</v>
      </c>
      <c r="X49">
        <v>0</v>
      </c>
      <c r="Y49">
        <v>1</v>
      </c>
    </row>
    <row r="50" spans="1:25" x14ac:dyDescent="0.3">
      <c r="A50">
        <v>49</v>
      </c>
      <c r="B50">
        <v>380000</v>
      </c>
      <c r="C50">
        <v>1</v>
      </c>
      <c r="D50">
        <v>2</v>
      </c>
      <c r="E50">
        <v>2</v>
      </c>
      <c r="F50">
        <v>32</v>
      </c>
      <c r="G50">
        <v>-1</v>
      </c>
      <c r="H50">
        <v>-1</v>
      </c>
      <c r="I50">
        <v>-1</v>
      </c>
      <c r="J50">
        <v>-1</v>
      </c>
      <c r="K50">
        <v>-1</v>
      </c>
      <c r="L50">
        <v>-1</v>
      </c>
      <c r="M50">
        <v>22401</v>
      </c>
      <c r="N50">
        <v>21540</v>
      </c>
      <c r="O50">
        <v>15134</v>
      </c>
      <c r="P50">
        <v>32018</v>
      </c>
      <c r="Q50">
        <v>11849</v>
      </c>
      <c r="R50">
        <v>11873</v>
      </c>
      <c r="S50">
        <v>21540</v>
      </c>
      <c r="T50">
        <v>15138</v>
      </c>
      <c r="U50">
        <v>24677</v>
      </c>
      <c r="V50">
        <v>11851</v>
      </c>
      <c r="W50">
        <v>11875</v>
      </c>
      <c r="X50">
        <v>8251</v>
      </c>
      <c r="Y50">
        <v>0</v>
      </c>
    </row>
    <row r="51" spans="1:25" x14ac:dyDescent="0.3">
      <c r="A51">
        <v>50</v>
      </c>
      <c r="B51">
        <v>20000</v>
      </c>
      <c r="C51">
        <v>1</v>
      </c>
      <c r="D51">
        <v>1</v>
      </c>
      <c r="E51">
        <v>2</v>
      </c>
      <c r="F51">
        <v>24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17447</v>
      </c>
      <c r="N51">
        <v>18479</v>
      </c>
      <c r="O51">
        <v>19476</v>
      </c>
      <c r="P51">
        <v>19865</v>
      </c>
      <c r="Q51">
        <v>20480</v>
      </c>
      <c r="R51">
        <v>20063</v>
      </c>
      <c r="S51">
        <v>1318</v>
      </c>
      <c r="T51">
        <v>1315</v>
      </c>
      <c r="U51">
        <v>704</v>
      </c>
      <c r="V51">
        <v>928</v>
      </c>
      <c r="W51">
        <v>912</v>
      </c>
      <c r="X51">
        <v>1069</v>
      </c>
      <c r="Y51">
        <v>0</v>
      </c>
    </row>
    <row r="52" spans="1:25" x14ac:dyDescent="0.3">
      <c r="A52">
        <v>51</v>
      </c>
      <c r="B52">
        <v>70000</v>
      </c>
      <c r="C52">
        <v>1</v>
      </c>
      <c r="D52">
        <v>3</v>
      </c>
      <c r="E52">
        <v>2</v>
      </c>
      <c r="F52">
        <v>42</v>
      </c>
      <c r="G52">
        <v>1</v>
      </c>
      <c r="H52">
        <v>2</v>
      </c>
      <c r="I52">
        <v>2</v>
      </c>
      <c r="J52">
        <v>2</v>
      </c>
      <c r="K52">
        <v>2</v>
      </c>
      <c r="L52">
        <v>0</v>
      </c>
      <c r="M52">
        <v>37042</v>
      </c>
      <c r="N52">
        <v>36171</v>
      </c>
      <c r="O52">
        <v>38355</v>
      </c>
      <c r="P52">
        <v>39423</v>
      </c>
      <c r="Q52">
        <v>38659</v>
      </c>
      <c r="R52">
        <v>39362</v>
      </c>
      <c r="S52">
        <v>0</v>
      </c>
      <c r="T52">
        <v>3100</v>
      </c>
      <c r="U52">
        <v>2000</v>
      </c>
      <c r="V52">
        <v>0</v>
      </c>
      <c r="W52">
        <v>1500</v>
      </c>
      <c r="X52">
        <v>1500</v>
      </c>
      <c r="Y52">
        <v>1</v>
      </c>
    </row>
    <row r="53" spans="1:25" x14ac:dyDescent="0.3">
      <c r="A53">
        <v>52</v>
      </c>
      <c r="B53">
        <v>100000</v>
      </c>
      <c r="C53">
        <v>2</v>
      </c>
      <c r="D53">
        <v>3</v>
      </c>
      <c r="E53">
        <v>3</v>
      </c>
      <c r="F53">
        <v>43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61559</v>
      </c>
      <c r="N53">
        <v>51163</v>
      </c>
      <c r="O53">
        <v>43824</v>
      </c>
      <c r="P53">
        <v>39619</v>
      </c>
      <c r="Q53">
        <v>35762</v>
      </c>
      <c r="R53">
        <v>33258</v>
      </c>
      <c r="S53">
        <v>2000</v>
      </c>
      <c r="T53">
        <v>1606</v>
      </c>
      <c r="U53">
        <v>1500</v>
      </c>
      <c r="V53">
        <v>2000</v>
      </c>
      <c r="W53">
        <v>1500</v>
      </c>
      <c r="X53">
        <v>1000</v>
      </c>
      <c r="Y53">
        <v>0</v>
      </c>
    </row>
    <row r="54" spans="1:25" x14ac:dyDescent="0.3">
      <c r="A54">
        <v>53</v>
      </c>
      <c r="B54">
        <v>310000</v>
      </c>
      <c r="C54">
        <v>2</v>
      </c>
      <c r="D54">
        <v>2</v>
      </c>
      <c r="E54">
        <v>1</v>
      </c>
      <c r="F54">
        <v>49</v>
      </c>
      <c r="G54">
        <v>-2</v>
      </c>
      <c r="H54">
        <v>-2</v>
      </c>
      <c r="I54">
        <v>-2</v>
      </c>
      <c r="J54">
        <v>-2</v>
      </c>
      <c r="K54">
        <v>-2</v>
      </c>
      <c r="L54">
        <v>-2</v>
      </c>
      <c r="M54">
        <v>13465</v>
      </c>
      <c r="N54">
        <v>7867</v>
      </c>
      <c r="O54">
        <v>7600</v>
      </c>
      <c r="P54">
        <v>11185</v>
      </c>
      <c r="Q54">
        <v>3544</v>
      </c>
      <c r="R54">
        <v>464</v>
      </c>
      <c r="S54">
        <v>7875</v>
      </c>
      <c r="T54">
        <v>7600</v>
      </c>
      <c r="U54">
        <v>11185</v>
      </c>
      <c r="V54">
        <v>3544</v>
      </c>
      <c r="W54">
        <v>464</v>
      </c>
      <c r="X54">
        <v>0</v>
      </c>
      <c r="Y54">
        <v>0</v>
      </c>
    </row>
    <row r="55" spans="1:25" x14ac:dyDescent="0.3">
      <c r="A55">
        <v>54</v>
      </c>
      <c r="B55">
        <v>180000</v>
      </c>
      <c r="C55">
        <v>2</v>
      </c>
      <c r="D55">
        <v>1</v>
      </c>
      <c r="E55">
        <v>2</v>
      </c>
      <c r="F55">
        <v>25</v>
      </c>
      <c r="G55">
        <v>1</v>
      </c>
      <c r="H55">
        <v>2</v>
      </c>
      <c r="I55">
        <v>0</v>
      </c>
      <c r="J55">
        <v>0</v>
      </c>
      <c r="K55">
        <v>0</v>
      </c>
      <c r="L55">
        <v>0</v>
      </c>
      <c r="M55">
        <v>41402</v>
      </c>
      <c r="N55">
        <v>41742</v>
      </c>
      <c r="O55">
        <v>42758</v>
      </c>
      <c r="P55">
        <v>43510</v>
      </c>
      <c r="Q55">
        <v>44420</v>
      </c>
      <c r="R55">
        <v>45319</v>
      </c>
      <c r="S55">
        <v>1300</v>
      </c>
      <c r="T55">
        <v>2010</v>
      </c>
      <c r="U55">
        <v>1762</v>
      </c>
      <c r="V55">
        <v>1762</v>
      </c>
      <c r="W55">
        <v>1790</v>
      </c>
      <c r="X55">
        <v>1622</v>
      </c>
      <c r="Y55">
        <v>0</v>
      </c>
    </row>
    <row r="56" spans="1:25" x14ac:dyDescent="0.3">
      <c r="A56">
        <v>55</v>
      </c>
      <c r="B56">
        <v>150000</v>
      </c>
      <c r="C56">
        <v>2</v>
      </c>
      <c r="D56">
        <v>1</v>
      </c>
      <c r="E56">
        <v>2</v>
      </c>
      <c r="F56">
        <v>29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46224</v>
      </c>
      <c r="N56">
        <v>34993</v>
      </c>
      <c r="O56">
        <v>31434</v>
      </c>
      <c r="P56">
        <v>26518</v>
      </c>
      <c r="Q56">
        <v>21042</v>
      </c>
      <c r="R56">
        <v>16540</v>
      </c>
      <c r="S56">
        <v>1600</v>
      </c>
      <c r="T56">
        <v>1718</v>
      </c>
      <c r="U56">
        <v>1049</v>
      </c>
      <c r="V56">
        <v>1500</v>
      </c>
      <c r="W56">
        <v>2000</v>
      </c>
      <c r="X56">
        <v>5000</v>
      </c>
      <c r="Y56">
        <v>0</v>
      </c>
    </row>
    <row r="57" spans="1:25" x14ac:dyDescent="0.3">
      <c r="A57">
        <v>56</v>
      </c>
      <c r="B57">
        <v>500000</v>
      </c>
      <c r="C57">
        <v>2</v>
      </c>
      <c r="D57">
        <v>1</v>
      </c>
      <c r="E57">
        <v>1</v>
      </c>
      <c r="F57">
        <v>45</v>
      </c>
      <c r="G57">
        <v>-2</v>
      </c>
      <c r="H57">
        <v>-2</v>
      </c>
      <c r="I57">
        <v>-2</v>
      </c>
      <c r="J57">
        <v>-2</v>
      </c>
      <c r="K57">
        <v>-2</v>
      </c>
      <c r="L57">
        <v>-2</v>
      </c>
      <c r="M57">
        <v>1905</v>
      </c>
      <c r="N57">
        <v>3640</v>
      </c>
      <c r="O57">
        <v>162</v>
      </c>
      <c r="P57">
        <v>0</v>
      </c>
      <c r="Q57">
        <v>151</v>
      </c>
      <c r="R57">
        <v>2530</v>
      </c>
      <c r="S57">
        <v>3640</v>
      </c>
      <c r="T57">
        <v>162</v>
      </c>
      <c r="U57">
        <v>0</v>
      </c>
      <c r="V57">
        <v>151</v>
      </c>
      <c r="W57">
        <v>2530</v>
      </c>
      <c r="X57">
        <v>0</v>
      </c>
      <c r="Y57">
        <v>0</v>
      </c>
    </row>
    <row r="58" spans="1:25" x14ac:dyDescent="0.3">
      <c r="A58">
        <v>57</v>
      </c>
      <c r="B58">
        <v>180000</v>
      </c>
      <c r="C58">
        <v>2</v>
      </c>
      <c r="D58">
        <v>3</v>
      </c>
      <c r="E58">
        <v>1</v>
      </c>
      <c r="F58">
        <v>34</v>
      </c>
      <c r="G58">
        <v>0</v>
      </c>
      <c r="H58">
        <v>0</v>
      </c>
      <c r="I58">
        <v>0</v>
      </c>
      <c r="J58">
        <v>-1</v>
      </c>
      <c r="K58">
        <v>-1</v>
      </c>
      <c r="L58">
        <v>-1</v>
      </c>
      <c r="M58">
        <v>16386</v>
      </c>
      <c r="N58">
        <v>15793</v>
      </c>
      <c r="O58">
        <v>8441</v>
      </c>
      <c r="P58">
        <v>7142</v>
      </c>
      <c r="Q58">
        <v>-679</v>
      </c>
      <c r="R58">
        <v>8321</v>
      </c>
      <c r="S58">
        <v>8500</v>
      </c>
      <c r="T58">
        <v>1500</v>
      </c>
      <c r="U58">
        <v>7500</v>
      </c>
      <c r="V58">
        <v>679</v>
      </c>
      <c r="W58">
        <v>9000</v>
      </c>
      <c r="X58">
        <v>2000</v>
      </c>
      <c r="Y58">
        <v>0</v>
      </c>
    </row>
    <row r="59" spans="1:25" x14ac:dyDescent="0.3">
      <c r="A59">
        <v>58</v>
      </c>
      <c r="B59">
        <v>180000</v>
      </c>
      <c r="C59">
        <v>2</v>
      </c>
      <c r="D59">
        <v>2</v>
      </c>
      <c r="E59">
        <v>1</v>
      </c>
      <c r="F59">
        <v>34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175886</v>
      </c>
      <c r="N59">
        <v>173440</v>
      </c>
      <c r="O59">
        <v>172308</v>
      </c>
      <c r="P59">
        <v>168608</v>
      </c>
      <c r="Q59">
        <v>132202</v>
      </c>
      <c r="R59">
        <v>129918</v>
      </c>
      <c r="S59">
        <v>8083</v>
      </c>
      <c r="T59">
        <v>7296</v>
      </c>
      <c r="U59">
        <v>5253</v>
      </c>
      <c r="V59">
        <v>4814</v>
      </c>
      <c r="W59">
        <v>4816</v>
      </c>
      <c r="X59">
        <v>3800</v>
      </c>
      <c r="Y59">
        <v>0</v>
      </c>
    </row>
    <row r="60" spans="1:25" x14ac:dyDescent="0.3">
      <c r="A60">
        <v>59</v>
      </c>
      <c r="B60">
        <v>200000</v>
      </c>
      <c r="C60">
        <v>2</v>
      </c>
      <c r="D60">
        <v>1</v>
      </c>
      <c r="E60">
        <v>2</v>
      </c>
      <c r="F60">
        <v>34</v>
      </c>
      <c r="G60">
        <v>-1</v>
      </c>
      <c r="H60">
        <v>3</v>
      </c>
      <c r="I60">
        <v>2</v>
      </c>
      <c r="J60">
        <v>2</v>
      </c>
      <c r="K60">
        <v>2</v>
      </c>
      <c r="L60">
        <v>2</v>
      </c>
      <c r="M60">
        <v>1587</v>
      </c>
      <c r="N60">
        <v>1098</v>
      </c>
      <c r="O60">
        <v>782</v>
      </c>
      <c r="P60">
        <v>1166</v>
      </c>
      <c r="Q60">
        <v>700</v>
      </c>
      <c r="R60">
        <v>1414</v>
      </c>
      <c r="S60">
        <v>0</v>
      </c>
      <c r="T60">
        <v>0</v>
      </c>
      <c r="U60">
        <v>700</v>
      </c>
      <c r="V60">
        <v>0</v>
      </c>
      <c r="W60">
        <v>1200</v>
      </c>
      <c r="X60">
        <v>0</v>
      </c>
      <c r="Y60">
        <v>0</v>
      </c>
    </row>
    <row r="61" spans="1:25" x14ac:dyDescent="0.3">
      <c r="A61">
        <v>60</v>
      </c>
      <c r="B61">
        <v>400000</v>
      </c>
      <c r="C61">
        <v>2</v>
      </c>
      <c r="D61">
        <v>2</v>
      </c>
      <c r="E61">
        <v>1</v>
      </c>
      <c r="F61">
        <v>29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400134</v>
      </c>
      <c r="N61">
        <v>398857</v>
      </c>
      <c r="O61">
        <v>404205</v>
      </c>
      <c r="P61">
        <v>360199</v>
      </c>
      <c r="Q61">
        <v>356656</v>
      </c>
      <c r="R61">
        <v>364089</v>
      </c>
      <c r="S61">
        <v>17000</v>
      </c>
      <c r="T61">
        <v>15029</v>
      </c>
      <c r="U61">
        <v>30000</v>
      </c>
      <c r="V61">
        <v>12000</v>
      </c>
      <c r="W61">
        <v>12000</v>
      </c>
      <c r="X61">
        <v>23000</v>
      </c>
      <c r="Y61">
        <v>0</v>
      </c>
    </row>
    <row r="62" spans="1:25" x14ac:dyDescent="0.3">
      <c r="A62">
        <v>61</v>
      </c>
      <c r="B62">
        <v>500000</v>
      </c>
      <c r="C62">
        <v>2</v>
      </c>
      <c r="D62">
        <v>3</v>
      </c>
      <c r="E62">
        <v>1</v>
      </c>
      <c r="F62">
        <v>28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22848</v>
      </c>
      <c r="N62">
        <v>23638</v>
      </c>
      <c r="O62">
        <v>18878</v>
      </c>
      <c r="P62">
        <v>14937</v>
      </c>
      <c r="Q62">
        <v>13827</v>
      </c>
      <c r="R62">
        <v>15571</v>
      </c>
      <c r="S62">
        <v>1516</v>
      </c>
      <c r="T62">
        <v>1300</v>
      </c>
      <c r="U62">
        <v>1000</v>
      </c>
      <c r="V62">
        <v>1000</v>
      </c>
      <c r="W62">
        <v>2000</v>
      </c>
      <c r="X62">
        <v>2000</v>
      </c>
      <c r="Y62">
        <v>1</v>
      </c>
    </row>
    <row r="63" spans="1:25" x14ac:dyDescent="0.3">
      <c r="A63">
        <v>62</v>
      </c>
      <c r="B63">
        <v>70000</v>
      </c>
      <c r="C63">
        <v>1</v>
      </c>
      <c r="D63">
        <v>2</v>
      </c>
      <c r="E63">
        <v>1</v>
      </c>
      <c r="F63">
        <v>39</v>
      </c>
      <c r="G63">
        <v>0</v>
      </c>
      <c r="H63">
        <v>0</v>
      </c>
      <c r="I63">
        <v>0</v>
      </c>
      <c r="J63">
        <v>0</v>
      </c>
      <c r="K63">
        <v>0</v>
      </c>
      <c r="L63">
        <v>-1</v>
      </c>
      <c r="M63">
        <v>70800</v>
      </c>
      <c r="N63">
        <v>72060</v>
      </c>
      <c r="O63">
        <v>69938</v>
      </c>
      <c r="P63">
        <v>16518</v>
      </c>
      <c r="Q63">
        <v>14096</v>
      </c>
      <c r="R63">
        <v>830</v>
      </c>
      <c r="S63">
        <v>4025</v>
      </c>
      <c r="T63">
        <v>2095</v>
      </c>
      <c r="U63">
        <v>1000</v>
      </c>
      <c r="V63">
        <v>2000</v>
      </c>
      <c r="W63">
        <v>3000</v>
      </c>
      <c r="X63">
        <v>0</v>
      </c>
      <c r="Y63">
        <v>0</v>
      </c>
    </row>
    <row r="64" spans="1:25" x14ac:dyDescent="0.3">
      <c r="A64">
        <v>63</v>
      </c>
      <c r="B64">
        <v>50000</v>
      </c>
      <c r="C64">
        <v>1</v>
      </c>
      <c r="D64">
        <v>1</v>
      </c>
      <c r="E64">
        <v>2</v>
      </c>
      <c r="F64">
        <v>29</v>
      </c>
      <c r="G64">
        <v>2</v>
      </c>
      <c r="H64">
        <v>2</v>
      </c>
      <c r="I64">
        <v>2</v>
      </c>
      <c r="J64">
        <v>2</v>
      </c>
      <c r="K64">
        <v>2</v>
      </c>
      <c r="L64">
        <v>2</v>
      </c>
      <c r="M64">
        <v>24987</v>
      </c>
      <c r="N64">
        <v>24300</v>
      </c>
      <c r="O64">
        <v>26591</v>
      </c>
      <c r="P64">
        <v>25865</v>
      </c>
      <c r="Q64">
        <v>27667</v>
      </c>
      <c r="R64">
        <v>28264</v>
      </c>
      <c r="S64">
        <v>0</v>
      </c>
      <c r="T64">
        <v>2700</v>
      </c>
      <c r="U64">
        <v>0</v>
      </c>
      <c r="V64">
        <v>2225</v>
      </c>
      <c r="W64">
        <v>1200</v>
      </c>
      <c r="X64">
        <v>0</v>
      </c>
      <c r="Y64">
        <v>1</v>
      </c>
    </row>
    <row r="65" spans="1:25" x14ac:dyDescent="0.3">
      <c r="A65">
        <v>64</v>
      </c>
      <c r="B65">
        <v>50000</v>
      </c>
      <c r="C65">
        <v>2</v>
      </c>
      <c r="D65">
        <v>2</v>
      </c>
      <c r="E65">
        <v>1</v>
      </c>
      <c r="F65">
        <v>46</v>
      </c>
      <c r="G65">
        <v>0</v>
      </c>
      <c r="H65">
        <v>0</v>
      </c>
      <c r="I65">
        <v>0</v>
      </c>
      <c r="J65">
        <v>-2</v>
      </c>
      <c r="K65">
        <v>-2</v>
      </c>
      <c r="L65">
        <v>-2</v>
      </c>
      <c r="M65">
        <v>28718</v>
      </c>
      <c r="N65">
        <v>29166</v>
      </c>
      <c r="O65">
        <v>0</v>
      </c>
      <c r="P65">
        <v>0</v>
      </c>
      <c r="Q65">
        <v>0</v>
      </c>
      <c r="R65">
        <v>0</v>
      </c>
      <c r="S65">
        <v>1000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</row>
    <row r="66" spans="1:25" x14ac:dyDescent="0.3">
      <c r="A66">
        <v>65</v>
      </c>
      <c r="B66">
        <v>130000</v>
      </c>
      <c r="C66">
        <v>2</v>
      </c>
      <c r="D66">
        <v>2</v>
      </c>
      <c r="E66">
        <v>1</v>
      </c>
      <c r="F66">
        <v>51</v>
      </c>
      <c r="G66">
        <v>-1</v>
      </c>
      <c r="H66">
        <v>-1</v>
      </c>
      <c r="I66">
        <v>-2</v>
      </c>
      <c r="J66">
        <v>-2</v>
      </c>
      <c r="K66">
        <v>-1</v>
      </c>
      <c r="L66">
        <v>-1</v>
      </c>
      <c r="M66">
        <v>99</v>
      </c>
      <c r="N66">
        <v>0</v>
      </c>
      <c r="O66">
        <v>0</v>
      </c>
      <c r="P66">
        <v>0</v>
      </c>
      <c r="Q66">
        <v>2353</v>
      </c>
      <c r="R66">
        <v>0</v>
      </c>
      <c r="S66">
        <v>0</v>
      </c>
      <c r="T66">
        <v>0</v>
      </c>
      <c r="U66">
        <v>0</v>
      </c>
      <c r="V66">
        <v>2353</v>
      </c>
      <c r="W66">
        <v>0</v>
      </c>
      <c r="X66">
        <v>0</v>
      </c>
      <c r="Y66">
        <v>0</v>
      </c>
    </row>
    <row r="67" spans="1:25" x14ac:dyDescent="0.3">
      <c r="A67">
        <v>66</v>
      </c>
      <c r="B67">
        <v>200000</v>
      </c>
      <c r="C67">
        <v>1</v>
      </c>
      <c r="D67">
        <v>1</v>
      </c>
      <c r="E67">
        <v>1</v>
      </c>
      <c r="F67">
        <v>57</v>
      </c>
      <c r="G67">
        <v>-2</v>
      </c>
      <c r="H67">
        <v>-2</v>
      </c>
      <c r="I67">
        <v>-2</v>
      </c>
      <c r="J67">
        <v>-1</v>
      </c>
      <c r="K67">
        <v>2</v>
      </c>
      <c r="L67">
        <v>2</v>
      </c>
      <c r="M67">
        <v>152519</v>
      </c>
      <c r="N67">
        <v>148751</v>
      </c>
      <c r="O67">
        <v>144076</v>
      </c>
      <c r="P67">
        <v>8174</v>
      </c>
      <c r="Q67">
        <v>8198</v>
      </c>
      <c r="R67">
        <v>7918</v>
      </c>
      <c r="S67">
        <v>0</v>
      </c>
      <c r="T67">
        <v>0</v>
      </c>
      <c r="U67">
        <v>8222</v>
      </c>
      <c r="V67">
        <v>300</v>
      </c>
      <c r="W67">
        <v>0</v>
      </c>
      <c r="X67">
        <v>1000</v>
      </c>
      <c r="Y67">
        <v>1</v>
      </c>
    </row>
    <row r="68" spans="1:25" x14ac:dyDescent="0.3">
      <c r="A68">
        <v>67</v>
      </c>
      <c r="B68">
        <v>10000</v>
      </c>
      <c r="C68">
        <v>1</v>
      </c>
      <c r="D68">
        <v>2</v>
      </c>
      <c r="E68">
        <v>1</v>
      </c>
      <c r="F68">
        <v>56</v>
      </c>
      <c r="G68">
        <v>2</v>
      </c>
      <c r="H68">
        <v>2</v>
      </c>
      <c r="I68">
        <v>2</v>
      </c>
      <c r="J68">
        <v>0</v>
      </c>
      <c r="K68">
        <v>0</v>
      </c>
      <c r="L68">
        <v>0</v>
      </c>
      <c r="M68">
        <v>2097</v>
      </c>
      <c r="N68">
        <v>4193</v>
      </c>
      <c r="O68">
        <v>3978</v>
      </c>
      <c r="P68">
        <v>4062</v>
      </c>
      <c r="Q68">
        <v>4196</v>
      </c>
      <c r="R68">
        <v>4326</v>
      </c>
      <c r="S68">
        <v>2300</v>
      </c>
      <c r="T68">
        <v>0</v>
      </c>
      <c r="U68">
        <v>150</v>
      </c>
      <c r="V68">
        <v>200</v>
      </c>
      <c r="W68">
        <v>200</v>
      </c>
      <c r="X68">
        <v>160</v>
      </c>
      <c r="Y68">
        <v>1</v>
      </c>
    </row>
    <row r="69" spans="1:25" x14ac:dyDescent="0.3">
      <c r="A69">
        <v>68</v>
      </c>
      <c r="B69">
        <v>210000</v>
      </c>
      <c r="C69">
        <v>2</v>
      </c>
      <c r="D69">
        <v>1</v>
      </c>
      <c r="E69">
        <v>2</v>
      </c>
      <c r="F69">
        <v>30</v>
      </c>
      <c r="G69">
        <v>2</v>
      </c>
      <c r="H69">
        <v>-1</v>
      </c>
      <c r="I69">
        <v>-1</v>
      </c>
      <c r="J69">
        <v>-1</v>
      </c>
      <c r="K69">
        <v>-1</v>
      </c>
      <c r="L69">
        <v>-1</v>
      </c>
      <c r="M69">
        <v>300</v>
      </c>
      <c r="N69">
        <v>300</v>
      </c>
      <c r="O69">
        <v>1159</v>
      </c>
      <c r="P69">
        <v>2280</v>
      </c>
      <c r="Q69">
        <v>300</v>
      </c>
      <c r="R69">
        <v>4250</v>
      </c>
      <c r="S69">
        <v>300</v>
      </c>
      <c r="T69">
        <v>1159</v>
      </c>
      <c r="U69">
        <v>2280</v>
      </c>
      <c r="V69">
        <v>300</v>
      </c>
      <c r="W69">
        <v>4250</v>
      </c>
      <c r="X69">
        <v>909</v>
      </c>
      <c r="Y69">
        <v>0</v>
      </c>
    </row>
    <row r="70" spans="1:25" x14ac:dyDescent="0.3">
      <c r="A70">
        <v>69</v>
      </c>
      <c r="B70">
        <v>130000</v>
      </c>
      <c r="C70">
        <v>2</v>
      </c>
      <c r="D70">
        <v>3</v>
      </c>
      <c r="E70">
        <v>2</v>
      </c>
      <c r="F70">
        <v>29</v>
      </c>
      <c r="G70">
        <v>1</v>
      </c>
      <c r="H70">
        <v>-2</v>
      </c>
      <c r="I70">
        <v>-2</v>
      </c>
      <c r="J70">
        <v>-1</v>
      </c>
      <c r="K70">
        <v>2</v>
      </c>
      <c r="L70">
        <v>-1</v>
      </c>
      <c r="M70">
        <v>-190</v>
      </c>
      <c r="N70">
        <v>-9850</v>
      </c>
      <c r="O70">
        <v>-9850</v>
      </c>
      <c r="P70">
        <v>10311</v>
      </c>
      <c r="Q70">
        <v>10161</v>
      </c>
      <c r="R70">
        <v>7319</v>
      </c>
      <c r="S70">
        <v>0</v>
      </c>
      <c r="T70">
        <v>0</v>
      </c>
      <c r="U70">
        <v>20161</v>
      </c>
      <c r="V70">
        <v>0</v>
      </c>
      <c r="W70">
        <v>7319</v>
      </c>
      <c r="X70">
        <v>13899</v>
      </c>
      <c r="Y70">
        <v>0</v>
      </c>
    </row>
    <row r="71" spans="1:25" x14ac:dyDescent="0.3">
      <c r="A71">
        <v>70</v>
      </c>
      <c r="B71">
        <v>20000</v>
      </c>
      <c r="C71">
        <v>1</v>
      </c>
      <c r="D71">
        <v>5</v>
      </c>
      <c r="E71">
        <v>2</v>
      </c>
      <c r="F71">
        <v>22</v>
      </c>
      <c r="G71">
        <v>2</v>
      </c>
      <c r="H71">
        <v>0</v>
      </c>
      <c r="I71">
        <v>0</v>
      </c>
      <c r="J71">
        <v>0</v>
      </c>
      <c r="K71">
        <v>0</v>
      </c>
      <c r="L71">
        <v>0</v>
      </c>
      <c r="M71">
        <v>18565</v>
      </c>
      <c r="N71">
        <v>17204</v>
      </c>
      <c r="O71">
        <v>17285</v>
      </c>
      <c r="P71">
        <v>18085</v>
      </c>
      <c r="Q71">
        <v>11205</v>
      </c>
      <c r="R71">
        <v>5982</v>
      </c>
      <c r="S71">
        <v>0</v>
      </c>
      <c r="T71">
        <v>1200</v>
      </c>
      <c r="U71">
        <v>1000</v>
      </c>
      <c r="V71">
        <v>500</v>
      </c>
      <c r="W71">
        <v>1000</v>
      </c>
      <c r="X71">
        <v>0</v>
      </c>
      <c r="Y71">
        <v>0</v>
      </c>
    </row>
    <row r="72" spans="1:25" x14ac:dyDescent="0.3">
      <c r="A72">
        <v>71</v>
      </c>
      <c r="B72">
        <v>80000</v>
      </c>
      <c r="C72">
        <v>1</v>
      </c>
      <c r="D72">
        <v>1</v>
      </c>
      <c r="E72">
        <v>2</v>
      </c>
      <c r="F72">
        <v>31</v>
      </c>
      <c r="G72">
        <v>-1</v>
      </c>
      <c r="H72">
        <v>-1</v>
      </c>
      <c r="I72">
        <v>-1</v>
      </c>
      <c r="J72">
        <v>-1</v>
      </c>
      <c r="K72">
        <v>-1</v>
      </c>
      <c r="L72">
        <v>-1</v>
      </c>
      <c r="M72">
        <v>780</v>
      </c>
      <c r="N72">
        <v>0</v>
      </c>
      <c r="O72">
        <v>390</v>
      </c>
      <c r="P72">
        <v>390</v>
      </c>
      <c r="Q72">
        <v>390</v>
      </c>
      <c r="R72">
        <v>390</v>
      </c>
      <c r="S72">
        <v>0</v>
      </c>
      <c r="T72">
        <v>390</v>
      </c>
      <c r="U72">
        <v>390</v>
      </c>
      <c r="V72">
        <v>390</v>
      </c>
      <c r="W72">
        <v>390</v>
      </c>
      <c r="X72">
        <v>390</v>
      </c>
      <c r="Y72">
        <v>0</v>
      </c>
    </row>
    <row r="73" spans="1:25" x14ac:dyDescent="0.3">
      <c r="A73">
        <v>72</v>
      </c>
      <c r="B73">
        <v>320000</v>
      </c>
      <c r="C73">
        <v>1</v>
      </c>
      <c r="D73">
        <v>2</v>
      </c>
      <c r="E73">
        <v>2</v>
      </c>
      <c r="F73">
        <v>29</v>
      </c>
      <c r="G73">
        <v>2</v>
      </c>
      <c r="H73">
        <v>2</v>
      </c>
      <c r="I73">
        <v>2</v>
      </c>
      <c r="J73">
        <v>2</v>
      </c>
      <c r="K73">
        <v>2</v>
      </c>
      <c r="L73">
        <v>2</v>
      </c>
      <c r="M73">
        <v>58267</v>
      </c>
      <c r="N73">
        <v>59246</v>
      </c>
      <c r="O73">
        <v>60184</v>
      </c>
      <c r="P73">
        <v>58622</v>
      </c>
      <c r="Q73">
        <v>62307</v>
      </c>
      <c r="R73">
        <v>63526</v>
      </c>
      <c r="S73">
        <v>2500</v>
      </c>
      <c r="T73">
        <v>2500</v>
      </c>
      <c r="U73">
        <v>0</v>
      </c>
      <c r="V73">
        <v>4800</v>
      </c>
      <c r="W73">
        <v>2400</v>
      </c>
      <c r="X73">
        <v>1600</v>
      </c>
      <c r="Y73">
        <v>1</v>
      </c>
    </row>
    <row r="74" spans="1:25" x14ac:dyDescent="0.3">
      <c r="A74">
        <v>73</v>
      </c>
      <c r="B74">
        <v>200000</v>
      </c>
      <c r="C74">
        <v>2</v>
      </c>
      <c r="D74">
        <v>2</v>
      </c>
      <c r="E74">
        <v>1</v>
      </c>
      <c r="F74">
        <v>32</v>
      </c>
      <c r="G74">
        <v>-1</v>
      </c>
      <c r="H74">
        <v>-1</v>
      </c>
      <c r="I74">
        <v>-1</v>
      </c>
      <c r="J74">
        <v>-1</v>
      </c>
      <c r="K74">
        <v>2</v>
      </c>
      <c r="L74">
        <v>-1</v>
      </c>
      <c r="M74">
        <v>9076</v>
      </c>
      <c r="N74">
        <v>5787</v>
      </c>
      <c r="O74">
        <v>-684</v>
      </c>
      <c r="P74">
        <v>5247</v>
      </c>
      <c r="Q74">
        <v>3848</v>
      </c>
      <c r="R74">
        <v>3151</v>
      </c>
      <c r="S74">
        <v>5818</v>
      </c>
      <c r="T74">
        <v>15</v>
      </c>
      <c r="U74">
        <v>9102</v>
      </c>
      <c r="V74">
        <v>17</v>
      </c>
      <c r="W74">
        <v>3165</v>
      </c>
      <c r="X74">
        <v>1395</v>
      </c>
      <c r="Y74">
        <v>0</v>
      </c>
    </row>
    <row r="75" spans="1:25" x14ac:dyDescent="0.3">
      <c r="A75">
        <v>74</v>
      </c>
      <c r="B75">
        <v>290000</v>
      </c>
      <c r="C75">
        <v>2</v>
      </c>
      <c r="D75">
        <v>1</v>
      </c>
      <c r="E75">
        <v>2</v>
      </c>
      <c r="F75">
        <v>37</v>
      </c>
      <c r="G75">
        <v>1</v>
      </c>
      <c r="H75">
        <v>-2</v>
      </c>
      <c r="I75">
        <v>-1</v>
      </c>
      <c r="J75">
        <v>-1</v>
      </c>
      <c r="K75">
        <v>-1</v>
      </c>
      <c r="L75">
        <v>-1</v>
      </c>
      <c r="M75">
        <v>0</v>
      </c>
      <c r="N75">
        <v>0</v>
      </c>
      <c r="O75">
        <v>3155</v>
      </c>
      <c r="P75">
        <v>0</v>
      </c>
      <c r="Q75">
        <v>2359</v>
      </c>
      <c r="R75">
        <v>0</v>
      </c>
      <c r="S75">
        <v>0</v>
      </c>
      <c r="T75">
        <v>3155</v>
      </c>
      <c r="U75">
        <v>0</v>
      </c>
      <c r="V75">
        <v>2359</v>
      </c>
      <c r="W75">
        <v>0</v>
      </c>
      <c r="X75">
        <v>0</v>
      </c>
      <c r="Y75">
        <v>0</v>
      </c>
    </row>
    <row r="76" spans="1:25" x14ac:dyDescent="0.3">
      <c r="A76">
        <v>75</v>
      </c>
      <c r="B76">
        <v>340000</v>
      </c>
      <c r="C76">
        <v>1</v>
      </c>
      <c r="D76">
        <v>1</v>
      </c>
      <c r="E76">
        <v>2</v>
      </c>
      <c r="F76">
        <v>32</v>
      </c>
      <c r="G76">
        <v>-1</v>
      </c>
      <c r="H76">
        <v>-1</v>
      </c>
      <c r="I76">
        <v>-1</v>
      </c>
      <c r="J76">
        <v>-1</v>
      </c>
      <c r="K76">
        <v>-1</v>
      </c>
      <c r="L76">
        <v>-1</v>
      </c>
      <c r="M76">
        <v>3048</v>
      </c>
      <c r="N76">
        <v>5550</v>
      </c>
      <c r="O76">
        <v>23337</v>
      </c>
      <c r="P76">
        <v>4291</v>
      </c>
      <c r="Q76">
        <v>80153</v>
      </c>
      <c r="R76">
        <v>25820</v>
      </c>
      <c r="S76">
        <v>5713</v>
      </c>
      <c r="T76">
        <v>23453</v>
      </c>
      <c r="U76">
        <v>4314</v>
      </c>
      <c r="V76">
        <v>80552</v>
      </c>
      <c r="W76">
        <v>25949</v>
      </c>
      <c r="X76">
        <v>2016</v>
      </c>
      <c r="Y76">
        <v>0</v>
      </c>
    </row>
    <row r="77" spans="1:25" x14ac:dyDescent="0.3">
      <c r="A77">
        <v>76</v>
      </c>
      <c r="B77">
        <v>20000</v>
      </c>
      <c r="C77">
        <v>1</v>
      </c>
      <c r="D77">
        <v>2</v>
      </c>
      <c r="E77">
        <v>2</v>
      </c>
      <c r="F77">
        <v>24</v>
      </c>
      <c r="G77">
        <v>0</v>
      </c>
      <c r="H77">
        <v>0</v>
      </c>
      <c r="I77">
        <v>2</v>
      </c>
      <c r="J77">
        <v>0</v>
      </c>
      <c r="K77">
        <v>0</v>
      </c>
      <c r="L77">
        <v>0</v>
      </c>
      <c r="M77">
        <v>14619</v>
      </c>
      <c r="N77">
        <v>17216</v>
      </c>
      <c r="O77">
        <v>16642</v>
      </c>
      <c r="P77">
        <v>16976</v>
      </c>
      <c r="Q77">
        <v>17332</v>
      </c>
      <c r="R77">
        <v>18543</v>
      </c>
      <c r="S77">
        <v>2850</v>
      </c>
      <c r="T77">
        <v>0</v>
      </c>
      <c r="U77">
        <v>610</v>
      </c>
      <c r="V77">
        <v>630</v>
      </c>
      <c r="W77">
        <v>1500</v>
      </c>
      <c r="X77">
        <v>0</v>
      </c>
      <c r="Y77">
        <v>0</v>
      </c>
    </row>
    <row r="78" spans="1:25" x14ac:dyDescent="0.3">
      <c r="A78">
        <v>77</v>
      </c>
      <c r="B78">
        <v>50000</v>
      </c>
      <c r="C78">
        <v>1</v>
      </c>
      <c r="D78">
        <v>3</v>
      </c>
      <c r="E78">
        <v>2</v>
      </c>
      <c r="F78">
        <v>25</v>
      </c>
      <c r="G78">
        <v>-1</v>
      </c>
      <c r="H78">
        <v>0</v>
      </c>
      <c r="I78">
        <v>0</v>
      </c>
      <c r="J78">
        <v>0</v>
      </c>
      <c r="K78">
        <v>0</v>
      </c>
      <c r="L78">
        <v>0</v>
      </c>
      <c r="M78">
        <v>42838</v>
      </c>
      <c r="N78">
        <v>37225</v>
      </c>
      <c r="O78">
        <v>36087</v>
      </c>
      <c r="P78">
        <v>9636</v>
      </c>
      <c r="Q78">
        <v>9590</v>
      </c>
      <c r="R78">
        <v>10030</v>
      </c>
      <c r="S78">
        <v>1759</v>
      </c>
      <c r="T78">
        <v>1779</v>
      </c>
      <c r="U78">
        <v>320</v>
      </c>
      <c r="V78">
        <v>500</v>
      </c>
      <c r="W78">
        <v>1000</v>
      </c>
      <c r="X78">
        <v>1000</v>
      </c>
      <c r="Y78">
        <v>0</v>
      </c>
    </row>
    <row r="79" spans="1:25" x14ac:dyDescent="0.3">
      <c r="A79">
        <v>78</v>
      </c>
      <c r="B79">
        <v>300000</v>
      </c>
      <c r="C79">
        <v>2</v>
      </c>
      <c r="D79">
        <v>1</v>
      </c>
      <c r="E79">
        <v>1</v>
      </c>
      <c r="F79">
        <v>45</v>
      </c>
      <c r="G79">
        <v>-1</v>
      </c>
      <c r="H79">
        <v>-1</v>
      </c>
      <c r="I79">
        <v>-1</v>
      </c>
      <c r="J79">
        <v>-1</v>
      </c>
      <c r="K79">
        <v>-1</v>
      </c>
      <c r="L79">
        <v>-1</v>
      </c>
      <c r="M79">
        <v>291</v>
      </c>
      <c r="N79">
        <v>291</v>
      </c>
      <c r="O79">
        <v>291</v>
      </c>
      <c r="P79">
        <v>291</v>
      </c>
      <c r="Q79">
        <v>291</v>
      </c>
      <c r="R79">
        <v>291</v>
      </c>
      <c r="S79">
        <v>291</v>
      </c>
      <c r="T79">
        <v>291</v>
      </c>
      <c r="U79">
        <v>291</v>
      </c>
      <c r="V79">
        <v>291</v>
      </c>
      <c r="W79">
        <v>291</v>
      </c>
      <c r="X79">
        <v>291</v>
      </c>
      <c r="Y79">
        <v>0</v>
      </c>
    </row>
    <row r="80" spans="1:25" x14ac:dyDescent="0.3">
      <c r="A80">
        <v>79</v>
      </c>
      <c r="B80">
        <v>30000</v>
      </c>
      <c r="C80">
        <v>2</v>
      </c>
      <c r="D80">
        <v>2</v>
      </c>
      <c r="E80">
        <v>2</v>
      </c>
      <c r="F80">
        <v>22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28387</v>
      </c>
      <c r="N80">
        <v>29612</v>
      </c>
      <c r="O80">
        <v>30326</v>
      </c>
      <c r="P80">
        <v>28004</v>
      </c>
      <c r="Q80">
        <v>26446</v>
      </c>
      <c r="R80">
        <v>6411</v>
      </c>
      <c r="S80">
        <v>1686</v>
      </c>
      <c r="T80">
        <v>1400</v>
      </c>
      <c r="U80">
        <v>560</v>
      </c>
      <c r="V80">
        <v>3000</v>
      </c>
      <c r="W80">
        <v>1765</v>
      </c>
      <c r="X80">
        <v>0</v>
      </c>
      <c r="Y80">
        <v>1</v>
      </c>
    </row>
    <row r="81" spans="1:25" x14ac:dyDescent="0.3">
      <c r="A81">
        <v>80</v>
      </c>
      <c r="B81">
        <v>240000</v>
      </c>
      <c r="C81">
        <v>2</v>
      </c>
      <c r="D81">
        <v>2</v>
      </c>
      <c r="E81">
        <v>2</v>
      </c>
      <c r="F81">
        <v>44</v>
      </c>
      <c r="G81">
        <v>1</v>
      </c>
      <c r="H81">
        <v>-2</v>
      </c>
      <c r="I81">
        <v>-2</v>
      </c>
      <c r="J81">
        <v>-2</v>
      </c>
      <c r="K81">
        <v>-2</v>
      </c>
      <c r="L81">
        <v>-2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</row>
    <row r="82" spans="1:25" x14ac:dyDescent="0.3">
      <c r="A82">
        <v>81</v>
      </c>
      <c r="B82">
        <v>470000</v>
      </c>
      <c r="C82">
        <v>2</v>
      </c>
      <c r="D82">
        <v>3</v>
      </c>
      <c r="E82">
        <v>3</v>
      </c>
      <c r="F82">
        <v>33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165254</v>
      </c>
      <c r="N82">
        <v>157784</v>
      </c>
      <c r="O82">
        <v>162702</v>
      </c>
      <c r="P82">
        <v>69923</v>
      </c>
      <c r="Q82">
        <v>29271</v>
      </c>
      <c r="R82">
        <v>29889</v>
      </c>
      <c r="S82">
        <v>6400</v>
      </c>
      <c r="T82">
        <v>7566</v>
      </c>
      <c r="U82">
        <v>3000</v>
      </c>
      <c r="V82">
        <v>960</v>
      </c>
      <c r="W82">
        <v>1000</v>
      </c>
      <c r="X82">
        <v>3000</v>
      </c>
      <c r="Y82">
        <v>0</v>
      </c>
    </row>
    <row r="83" spans="1:25" x14ac:dyDescent="0.3">
      <c r="A83">
        <v>82</v>
      </c>
      <c r="B83">
        <v>360000</v>
      </c>
      <c r="C83">
        <v>2</v>
      </c>
      <c r="D83">
        <v>1</v>
      </c>
      <c r="E83">
        <v>2</v>
      </c>
      <c r="F83">
        <v>26</v>
      </c>
      <c r="G83">
        <v>0</v>
      </c>
      <c r="H83">
        <v>0</v>
      </c>
      <c r="I83">
        <v>0</v>
      </c>
      <c r="J83">
        <v>0</v>
      </c>
      <c r="K83">
        <v>0</v>
      </c>
      <c r="L83">
        <v>-1</v>
      </c>
      <c r="M83">
        <v>23411</v>
      </c>
      <c r="N83">
        <v>27796</v>
      </c>
      <c r="O83">
        <v>30400</v>
      </c>
      <c r="P83">
        <v>33100</v>
      </c>
      <c r="Q83">
        <v>180000</v>
      </c>
      <c r="R83">
        <v>196</v>
      </c>
      <c r="S83">
        <v>4796</v>
      </c>
      <c r="T83">
        <v>3400</v>
      </c>
      <c r="U83">
        <v>3100</v>
      </c>
      <c r="V83">
        <v>146900</v>
      </c>
      <c r="W83">
        <v>196</v>
      </c>
      <c r="X83">
        <v>2963</v>
      </c>
      <c r="Y83">
        <v>0</v>
      </c>
    </row>
    <row r="84" spans="1:25" x14ac:dyDescent="0.3">
      <c r="A84">
        <v>83</v>
      </c>
      <c r="B84">
        <v>60000</v>
      </c>
      <c r="C84">
        <v>1</v>
      </c>
      <c r="D84">
        <v>3</v>
      </c>
      <c r="E84">
        <v>2</v>
      </c>
      <c r="F84">
        <v>30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26324</v>
      </c>
      <c r="N84">
        <v>27471</v>
      </c>
      <c r="O84">
        <v>28108</v>
      </c>
      <c r="P84">
        <v>21993</v>
      </c>
      <c r="Q84">
        <v>19899</v>
      </c>
      <c r="R84">
        <v>19771</v>
      </c>
      <c r="S84">
        <v>1576</v>
      </c>
      <c r="T84">
        <v>1213</v>
      </c>
      <c r="U84">
        <v>648</v>
      </c>
      <c r="V84">
        <v>768</v>
      </c>
      <c r="W84">
        <v>1140</v>
      </c>
      <c r="X84">
        <v>0</v>
      </c>
      <c r="Y84">
        <v>1</v>
      </c>
    </row>
    <row r="85" spans="1:25" x14ac:dyDescent="0.3">
      <c r="A85">
        <v>84</v>
      </c>
      <c r="B85">
        <v>400000</v>
      </c>
      <c r="C85">
        <v>2</v>
      </c>
      <c r="D85">
        <v>2</v>
      </c>
      <c r="E85">
        <v>1</v>
      </c>
      <c r="F85">
        <v>44</v>
      </c>
      <c r="G85">
        <v>0</v>
      </c>
      <c r="H85">
        <v>0</v>
      </c>
      <c r="I85">
        <v>2</v>
      </c>
      <c r="J85">
        <v>0</v>
      </c>
      <c r="K85">
        <v>0</v>
      </c>
      <c r="L85">
        <v>0</v>
      </c>
      <c r="M85">
        <v>131595</v>
      </c>
      <c r="N85">
        <v>139060</v>
      </c>
      <c r="O85">
        <v>126819</v>
      </c>
      <c r="P85">
        <v>104430</v>
      </c>
      <c r="Q85">
        <v>104990</v>
      </c>
      <c r="R85">
        <v>94058</v>
      </c>
      <c r="S85">
        <v>10700</v>
      </c>
      <c r="T85">
        <v>3</v>
      </c>
      <c r="U85">
        <v>3050</v>
      </c>
      <c r="V85">
        <v>3000</v>
      </c>
      <c r="W85">
        <v>3200</v>
      </c>
      <c r="X85">
        <v>2800</v>
      </c>
      <c r="Y85">
        <v>0</v>
      </c>
    </row>
    <row r="86" spans="1:25" x14ac:dyDescent="0.3">
      <c r="A86">
        <v>85</v>
      </c>
      <c r="B86">
        <v>50000</v>
      </c>
      <c r="C86">
        <v>2</v>
      </c>
      <c r="D86">
        <v>3</v>
      </c>
      <c r="E86">
        <v>2</v>
      </c>
      <c r="F86">
        <v>49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48909</v>
      </c>
      <c r="N86">
        <v>47863</v>
      </c>
      <c r="O86">
        <v>21489</v>
      </c>
      <c r="P86">
        <v>20414</v>
      </c>
      <c r="Q86">
        <v>19342</v>
      </c>
      <c r="R86">
        <v>19482</v>
      </c>
      <c r="S86">
        <v>1676</v>
      </c>
      <c r="T86">
        <v>1302</v>
      </c>
      <c r="U86">
        <v>700</v>
      </c>
      <c r="V86">
        <v>699</v>
      </c>
      <c r="W86">
        <v>849</v>
      </c>
      <c r="X86">
        <v>826</v>
      </c>
      <c r="Y86">
        <v>0</v>
      </c>
    </row>
    <row r="87" spans="1:25" x14ac:dyDescent="0.3">
      <c r="A87">
        <v>86</v>
      </c>
      <c r="B87">
        <v>160000</v>
      </c>
      <c r="C87">
        <v>1</v>
      </c>
      <c r="D87">
        <v>2</v>
      </c>
      <c r="E87">
        <v>2</v>
      </c>
      <c r="F87">
        <v>33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130028</v>
      </c>
      <c r="N87">
        <v>107808</v>
      </c>
      <c r="O87">
        <v>71934</v>
      </c>
      <c r="P87">
        <v>118418</v>
      </c>
      <c r="Q87">
        <v>118407</v>
      </c>
      <c r="R87">
        <v>120418</v>
      </c>
      <c r="S87">
        <v>4400</v>
      </c>
      <c r="T87">
        <v>3547</v>
      </c>
      <c r="U87">
        <v>80000</v>
      </c>
      <c r="V87">
        <v>4500</v>
      </c>
      <c r="W87">
        <v>4800</v>
      </c>
      <c r="X87">
        <v>4500</v>
      </c>
      <c r="Y87">
        <v>0</v>
      </c>
    </row>
    <row r="88" spans="1:25" x14ac:dyDescent="0.3">
      <c r="A88">
        <v>87</v>
      </c>
      <c r="B88">
        <v>360000</v>
      </c>
      <c r="C88">
        <v>2</v>
      </c>
      <c r="D88">
        <v>1</v>
      </c>
      <c r="E88">
        <v>1</v>
      </c>
      <c r="F88">
        <v>45</v>
      </c>
      <c r="G88">
        <v>-1</v>
      </c>
      <c r="H88">
        <v>-1</v>
      </c>
      <c r="I88">
        <v>2</v>
      </c>
      <c r="J88">
        <v>0</v>
      </c>
      <c r="K88">
        <v>-1</v>
      </c>
      <c r="L88">
        <v>-1</v>
      </c>
      <c r="M88">
        <v>390</v>
      </c>
      <c r="N88">
        <v>1170</v>
      </c>
      <c r="O88">
        <v>780</v>
      </c>
      <c r="P88">
        <v>390</v>
      </c>
      <c r="Q88">
        <v>390</v>
      </c>
      <c r="R88">
        <v>390</v>
      </c>
      <c r="S88">
        <v>1170</v>
      </c>
      <c r="T88">
        <v>0</v>
      </c>
      <c r="U88">
        <v>0</v>
      </c>
      <c r="V88">
        <v>390</v>
      </c>
      <c r="W88">
        <v>390</v>
      </c>
      <c r="X88">
        <v>390</v>
      </c>
      <c r="Y88">
        <v>1</v>
      </c>
    </row>
    <row r="89" spans="1:25" x14ac:dyDescent="0.3">
      <c r="A89">
        <v>88</v>
      </c>
      <c r="B89">
        <v>160000</v>
      </c>
      <c r="C89">
        <v>2</v>
      </c>
      <c r="D89">
        <v>2</v>
      </c>
      <c r="E89">
        <v>2</v>
      </c>
      <c r="F89">
        <v>32</v>
      </c>
      <c r="G89">
        <v>0</v>
      </c>
      <c r="H89">
        <v>0</v>
      </c>
      <c r="I89">
        <v>0</v>
      </c>
      <c r="J89">
        <v>0</v>
      </c>
      <c r="K89">
        <v>0</v>
      </c>
      <c r="L89">
        <v>-1</v>
      </c>
      <c r="M89">
        <v>3826</v>
      </c>
      <c r="N89">
        <v>4751</v>
      </c>
      <c r="O89">
        <v>6604</v>
      </c>
      <c r="P89">
        <v>8604</v>
      </c>
      <c r="Q89">
        <v>7072</v>
      </c>
      <c r="R89">
        <v>766</v>
      </c>
      <c r="S89">
        <v>1147</v>
      </c>
      <c r="T89">
        <v>2000</v>
      </c>
      <c r="U89">
        <v>2000</v>
      </c>
      <c r="V89">
        <v>0</v>
      </c>
      <c r="W89">
        <v>766</v>
      </c>
      <c r="X89">
        <v>2303</v>
      </c>
      <c r="Y89">
        <v>0</v>
      </c>
    </row>
    <row r="90" spans="1:25" x14ac:dyDescent="0.3">
      <c r="A90">
        <v>89</v>
      </c>
      <c r="B90">
        <v>130000</v>
      </c>
      <c r="C90">
        <v>2</v>
      </c>
      <c r="D90">
        <v>1</v>
      </c>
      <c r="E90">
        <v>1</v>
      </c>
      <c r="F90">
        <v>35</v>
      </c>
      <c r="G90">
        <v>0</v>
      </c>
      <c r="H90">
        <v>0</v>
      </c>
      <c r="I90">
        <v>0</v>
      </c>
      <c r="J90">
        <v>-1</v>
      </c>
      <c r="K90">
        <v>-1</v>
      </c>
      <c r="L90">
        <v>-1</v>
      </c>
      <c r="M90">
        <v>81313</v>
      </c>
      <c r="N90">
        <v>117866</v>
      </c>
      <c r="O90">
        <v>17740</v>
      </c>
      <c r="P90">
        <v>1330</v>
      </c>
      <c r="Q90">
        <v>7095</v>
      </c>
      <c r="R90">
        <v>1190</v>
      </c>
      <c r="S90">
        <v>40000</v>
      </c>
      <c r="T90">
        <v>5000</v>
      </c>
      <c r="U90">
        <v>1330</v>
      </c>
      <c r="V90">
        <v>7095</v>
      </c>
      <c r="W90">
        <v>1190</v>
      </c>
      <c r="X90">
        <v>2090</v>
      </c>
      <c r="Y90">
        <v>0</v>
      </c>
    </row>
    <row r="91" spans="1:25" x14ac:dyDescent="0.3">
      <c r="A91">
        <v>90</v>
      </c>
      <c r="B91">
        <v>20000</v>
      </c>
      <c r="C91">
        <v>1</v>
      </c>
      <c r="D91">
        <v>3</v>
      </c>
      <c r="E91">
        <v>2</v>
      </c>
      <c r="F91">
        <v>44</v>
      </c>
      <c r="G91">
        <v>2</v>
      </c>
      <c r="H91">
        <v>2</v>
      </c>
      <c r="I91">
        <v>0</v>
      </c>
      <c r="J91">
        <v>0</v>
      </c>
      <c r="K91">
        <v>0</v>
      </c>
      <c r="L91">
        <v>2</v>
      </c>
      <c r="M91">
        <v>8583</v>
      </c>
      <c r="N91">
        <v>8303</v>
      </c>
      <c r="O91">
        <v>9651</v>
      </c>
      <c r="P91">
        <v>10488</v>
      </c>
      <c r="Q91">
        <v>12314</v>
      </c>
      <c r="R91">
        <v>11970</v>
      </c>
      <c r="S91">
        <v>0</v>
      </c>
      <c r="T91">
        <v>1651</v>
      </c>
      <c r="U91">
        <v>1000</v>
      </c>
      <c r="V91">
        <v>2000</v>
      </c>
      <c r="W91">
        <v>0</v>
      </c>
      <c r="X91">
        <v>1500</v>
      </c>
      <c r="Y91">
        <v>0</v>
      </c>
    </row>
    <row r="92" spans="1:25" x14ac:dyDescent="0.3">
      <c r="A92">
        <v>91</v>
      </c>
      <c r="B92">
        <v>200000</v>
      </c>
      <c r="C92">
        <v>1</v>
      </c>
      <c r="D92">
        <v>1</v>
      </c>
      <c r="E92">
        <v>1</v>
      </c>
      <c r="F92">
        <v>53</v>
      </c>
      <c r="G92">
        <v>2</v>
      </c>
      <c r="H92">
        <v>2</v>
      </c>
      <c r="I92">
        <v>2</v>
      </c>
      <c r="J92">
        <v>2</v>
      </c>
      <c r="K92">
        <v>2</v>
      </c>
      <c r="L92">
        <v>2</v>
      </c>
      <c r="M92">
        <v>138180</v>
      </c>
      <c r="N92">
        <v>140774</v>
      </c>
      <c r="O92">
        <v>142460</v>
      </c>
      <c r="P92">
        <v>144098</v>
      </c>
      <c r="Q92">
        <v>147124</v>
      </c>
      <c r="R92">
        <v>149531</v>
      </c>
      <c r="S92">
        <v>6300</v>
      </c>
      <c r="T92">
        <v>5500</v>
      </c>
      <c r="U92">
        <v>5500</v>
      </c>
      <c r="V92">
        <v>5500</v>
      </c>
      <c r="W92">
        <v>5000</v>
      </c>
      <c r="X92">
        <v>5000</v>
      </c>
      <c r="Y92">
        <v>1</v>
      </c>
    </row>
    <row r="93" spans="1:25" x14ac:dyDescent="0.3">
      <c r="A93">
        <v>92</v>
      </c>
      <c r="B93">
        <v>280000</v>
      </c>
      <c r="C93">
        <v>2</v>
      </c>
      <c r="D93">
        <v>1</v>
      </c>
      <c r="E93">
        <v>2</v>
      </c>
      <c r="F93">
        <v>39</v>
      </c>
      <c r="G93">
        <v>-1</v>
      </c>
      <c r="H93">
        <v>-1</v>
      </c>
      <c r="I93">
        <v>-1</v>
      </c>
      <c r="J93">
        <v>0</v>
      </c>
      <c r="K93">
        <v>0</v>
      </c>
      <c r="L93">
        <v>-2</v>
      </c>
      <c r="M93">
        <v>7524</v>
      </c>
      <c r="N93">
        <v>0</v>
      </c>
      <c r="O93">
        <v>3968</v>
      </c>
      <c r="P93">
        <v>3868</v>
      </c>
      <c r="Q93">
        <v>0</v>
      </c>
      <c r="R93">
        <v>0</v>
      </c>
      <c r="S93">
        <v>0</v>
      </c>
      <c r="T93">
        <v>3968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3">
      <c r="A94">
        <v>93</v>
      </c>
      <c r="B94">
        <v>100000</v>
      </c>
      <c r="C94">
        <v>2</v>
      </c>
      <c r="D94">
        <v>1</v>
      </c>
      <c r="E94">
        <v>2</v>
      </c>
      <c r="F94">
        <v>27</v>
      </c>
      <c r="G94">
        <v>-2</v>
      </c>
      <c r="H94">
        <v>-2</v>
      </c>
      <c r="I94">
        <v>-2</v>
      </c>
      <c r="J94">
        <v>-2</v>
      </c>
      <c r="K94">
        <v>-2</v>
      </c>
      <c r="L94">
        <v>-2</v>
      </c>
      <c r="M94">
        <v>-2000</v>
      </c>
      <c r="N94">
        <v>5555</v>
      </c>
      <c r="O94">
        <v>0</v>
      </c>
      <c r="P94">
        <v>0</v>
      </c>
      <c r="Q94">
        <v>0</v>
      </c>
      <c r="R94">
        <v>0</v>
      </c>
      <c r="S94">
        <v>7555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3">
      <c r="A95">
        <v>94</v>
      </c>
      <c r="B95">
        <v>160000</v>
      </c>
      <c r="C95">
        <v>2</v>
      </c>
      <c r="D95">
        <v>2</v>
      </c>
      <c r="E95">
        <v>1</v>
      </c>
      <c r="F95">
        <v>37</v>
      </c>
      <c r="G95">
        <v>-1</v>
      </c>
      <c r="H95">
        <v>-1</v>
      </c>
      <c r="I95">
        <v>-1</v>
      </c>
      <c r="J95">
        <v>-1</v>
      </c>
      <c r="K95">
        <v>-1</v>
      </c>
      <c r="L95">
        <v>-2</v>
      </c>
      <c r="M95">
        <v>880</v>
      </c>
      <c r="N95">
        <v>1602</v>
      </c>
      <c r="O95">
        <v>840</v>
      </c>
      <c r="P95">
        <v>840</v>
      </c>
      <c r="Q95">
        <v>0</v>
      </c>
      <c r="R95">
        <v>0</v>
      </c>
      <c r="S95">
        <v>1602</v>
      </c>
      <c r="T95">
        <v>840</v>
      </c>
      <c r="U95">
        <v>840</v>
      </c>
      <c r="V95">
        <v>0</v>
      </c>
      <c r="W95">
        <v>0</v>
      </c>
      <c r="X95">
        <v>7736</v>
      </c>
      <c r="Y95">
        <v>0</v>
      </c>
    </row>
    <row r="96" spans="1:25" x14ac:dyDescent="0.3">
      <c r="A96">
        <v>95</v>
      </c>
      <c r="B96">
        <v>60000</v>
      </c>
      <c r="C96">
        <v>2</v>
      </c>
      <c r="D96">
        <v>2</v>
      </c>
      <c r="E96">
        <v>2</v>
      </c>
      <c r="F96">
        <v>23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45648</v>
      </c>
      <c r="N96">
        <v>46850</v>
      </c>
      <c r="O96">
        <v>47214</v>
      </c>
      <c r="P96">
        <v>19595</v>
      </c>
      <c r="Q96">
        <v>19209</v>
      </c>
      <c r="R96">
        <v>19323</v>
      </c>
      <c r="S96">
        <v>1937</v>
      </c>
      <c r="T96">
        <v>1301</v>
      </c>
      <c r="U96">
        <v>682</v>
      </c>
      <c r="V96">
        <v>690</v>
      </c>
      <c r="W96">
        <v>816</v>
      </c>
      <c r="X96">
        <v>835</v>
      </c>
      <c r="Y96">
        <v>0</v>
      </c>
    </row>
    <row r="97" spans="1:25" x14ac:dyDescent="0.3">
      <c r="A97">
        <v>96</v>
      </c>
      <c r="B97">
        <v>90000</v>
      </c>
      <c r="C97">
        <v>1</v>
      </c>
      <c r="D97">
        <v>2</v>
      </c>
      <c r="E97">
        <v>2</v>
      </c>
      <c r="F97">
        <v>35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83725</v>
      </c>
      <c r="N97">
        <v>85996</v>
      </c>
      <c r="O97">
        <v>87653</v>
      </c>
      <c r="P97">
        <v>35565</v>
      </c>
      <c r="Q97">
        <v>30942</v>
      </c>
      <c r="R97">
        <v>30835</v>
      </c>
      <c r="S97">
        <v>3621</v>
      </c>
      <c r="T97">
        <v>3597</v>
      </c>
      <c r="U97">
        <v>1179</v>
      </c>
      <c r="V97">
        <v>1112</v>
      </c>
      <c r="W97">
        <v>1104</v>
      </c>
      <c r="X97">
        <v>1143</v>
      </c>
      <c r="Y97">
        <v>0</v>
      </c>
    </row>
    <row r="98" spans="1:25" x14ac:dyDescent="0.3">
      <c r="A98">
        <v>97</v>
      </c>
      <c r="B98">
        <v>360000</v>
      </c>
      <c r="C98">
        <v>1</v>
      </c>
      <c r="D98">
        <v>1</v>
      </c>
      <c r="E98">
        <v>1</v>
      </c>
      <c r="F98">
        <v>43</v>
      </c>
      <c r="G98">
        <v>-1</v>
      </c>
      <c r="H98">
        <v>-1</v>
      </c>
      <c r="I98">
        <v>-1</v>
      </c>
      <c r="J98">
        <v>-1</v>
      </c>
      <c r="K98">
        <v>-1</v>
      </c>
      <c r="L98">
        <v>0</v>
      </c>
      <c r="M98">
        <v>3967</v>
      </c>
      <c r="N98">
        <v>8322</v>
      </c>
      <c r="O98">
        <v>3394</v>
      </c>
      <c r="P98">
        <v>6451</v>
      </c>
      <c r="Q98">
        <v>26370</v>
      </c>
      <c r="R98">
        <v>9956</v>
      </c>
      <c r="S98">
        <v>8339</v>
      </c>
      <c r="T98">
        <v>3394</v>
      </c>
      <c r="U98">
        <v>12902</v>
      </c>
      <c r="V98">
        <v>27000</v>
      </c>
      <c r="W98">
        <v>0</v>
      </c>
      <c r="X98">
        <v>68978</v>
      </c>
      <c r="Y98">
        <v>0</v>
      </c>
    </row>
    <row r="99" spans="1:25" x14ac:dyDescent="0.3">
      <c r="A99">
        <v>98</v>
      </c>
      <c r="B99">
        <v>150000</v>
      </c>
      <c r="C99">
        <v>1</v>
      </c>
      <c r="D99">
        <v>1</v>
      </c>
      <c r="E99">
        <v>2</v>
      </c>
      <c r="F99">
        <v>27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86009</v>
      </c>
      <c r="N99">
        <v>86108</v>
      </c>
      <c r="O99">
        <v>89006</v>
      </c>
      <c r="P99">
        <v>89775</v>
      </c>
      <c r="Q99">
        <v>87725</v>
      </c>
      <c r="R99">
        <v>40788</v>
      </c>
      <c r="S99">
        <v>4031</v>
      </c>
      <c r="T99">
        <v>10006</v>
      </c>
      <c r="U99">
        <v>3266</v>
      </c>
      <c r="V99">
        <v>4040</v>
      </c>
      <c r="W99">
        <v>1698</v>
      </c>
      <c r="X99">
        <v>800</v>
      </c>
      <c r="Y99">
        <v>0</v>
      </c>
    </row>
    <row r="100" spans="1:25" x14ac:dyDescent="0.3">
      <c r="A100">
        <v>99</v>
      </c>
      <c r="B100">
        <v>50000</v>
      </c>
      <c r="C100">
        <v>2</v>
      </c>
      <c r="D100">
        <v>3</v>
      </c>
      <c r="E100">
        <v>1</v>
      </c>
      <c r="F100">
        <v>22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18722</v>
      </c>
      <c r="N100">
        <v>18160</v>
      </c>
      <c r="O100">
        <v>16997</v>
      </c>
      <c r="P100">
        <v>13150</v>
      </c>
      <c r="Q100">
        <v>8866</v>
      </c>
      <c r="R100">
        <v>7899</v>
      </c>
      <c r="S100">
        <v>1411</v>
      </c>
      <c r="T100">
        <v>1194</v>
      </c>
      <c r="U100">
        <v>379</v>
      </c>
      <c r="V100">
        <v>281</v>
      </c>
      <c r="W100">
        <v>321</v>
      </c>
      <c r="X100">
        <v>197</v>
      </c>
      <c r="Y100">
        <v>0</v>
      </c>
    </row>
    <row r="101" spans="1:25" x14ac:dyDescent="0.3">
      <c r="A101">
        <v>100</v>
      </c>
      <c r="B101">
        <v>20000</v>
      </c>
      <c r="C101">
        <v>1</v>
      </c>
      <c r="D101">
        <v>2</v>
      </c>
      <c r="E101">
        <v>1</v>
      </c>
      <c r="F101">
        <v>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-1</v>
      </c>
      <c r="M101">
        <v>17973</v>
      </c>
      <c r="N101">
        <v>19367</v>
      </c>
      <c r="O101">
        <v>19559</v>
      </c>
      <c r="P101">
        <v>18240</v>
      </c>
      <c r="Q101">
        <v>17928</v>
      </c>
      <c r="R101">
        <v>150</v>
      </c>
      <c r="S101">
        <v>1699</v>
      </c>
      <c r="T101">
        <v>1460</v>
      </c>
      <c r="U101">
        <v>626</v>
      </c>
      <c r="V101">
        <v>1750</v>
      </c>
      <c r="W101">
        <v>150</v>
      </c>
      <c r="X101">
        <v>0</v>
      </c>
      <c r="Y101">
        <v>1</v>
      </c>
    </row>
    <row r="102" spans="1:25" x14ac:dyDescent="0.3">
      <c r="A102">
        <v>101</v>
      </c>
      <c r="B102">
        <v>140000</v>
      </c>
      <c r="C102">
        <v>1</v>
      </c>
      <c r="D102">
        <v>1</v>
      </c>
      <c r="E102">
        <v>2</v>
      </c>
      <c r="F102">
        <v>32</v>
      </c>
      <c r="G102">
        <v>-2</v>
      </c>
      <c r="H102">
        <v>-2</v>
      </c>
      <c r="I102">
        <v>-2</v>
      </c>
      <c r="J102">
        <v>-2</v>
      </c>
      <c r="K102">
        <v>-2</v>
      </c>
      <c r="L102">
        <v>-2</v>
      </c>
      <c r="M102">
        <v>672</v>
      </c>
      <c r="N102">
        <v>10212</v>
      </c>
      <c r="O102">
        <v>850</v>
      </c>
      <c r="P102">
        <v>415</v>
      </c>
      <c r="Q102">
        <v>100</v>
      </c>
      <c r="R102">
        <v>1430</v>
      </c>
      <c r="S102">
        <v>10212</v>
      </c>
      <c r="T102">
        <v>850</v>
      </c>
      <c r="U102">
        <v>415</v>
      </c>
      <c r="V102">
        <v>100</v>
      </c>
      <c r="W102">
        <v>1430</v>
      </c>
      <c r="X102">
        <v>0</v>
      </c>
      <c r="Y102">
        <v>0</v>
      </c>
    </row>
    <row r="103" spans="1:25" x14ac:dyDescent="0.3">
      <c r="A103">
        <v>102</v>
      </c>
      <c r="B103">
        <v>380000</v>
      </c>
      <c r="C103">
        <v>2</v>
      </c>
      <c r="D103">
        <v>1</v>
      </c>
      <c r="E103">
        <v>2</v>
      </c>
      <c r="F103">
        <v>30</v>
      </c>
      <c r="G103">
        <v>-2</v>
      </c>
      <c r="H103">
        <v>-2</v>
      </c>
      <c r="I103">
        <v>-1</v>
      </c>
      <c r="J103">
        <v>0</v>
      </c>
      <c r="K103">
        <v>0</v>
      </c>
      <c r="L103">
        <v>0</v>
      </c>
      <c r="M103">
        <v>-81</v>
      </c>
      <c r="N103">
        <v>-303</v>
      </c>
      <c r="O103">
        <v>32475</v>
      </c>
      <c r="P103">
        <v>32891</v>
      </c>
      <c r="Q103">
        <v>33564</v>
      </c>
      <c r="R103">
        <v>34056</v>
      </c>
      <c r="S103">
        <v>223</v>
      </c>
      <c r="T103">
        <v>33178</v>
      </c>
      <c r="U103">
        <v>1171</v>
      </c>
      <c r="V103">
        <v>1197</v>
      </c>
      <c r="W103">
        <v>1250</v>
      </c>
      <c r="X103">
        <v>5000</v>
      </c>
      <c r="Y103">
        <v>0</v>
      </c>
    </row>
    <row r="104" spans="1:25" x14ac:dyDescent="0.3">
      <c r="A104">
        <v>103</v>
      </c>
      <c r="B104">
        <v>480000</v>
      </c>
      <c r="C104">
        <v>1</v>
      </c>
      <c r="D104">
        <v>1</v>
      </c>
      <c r="E104">
        <v>1</v>
      </c>
      <c r="F104">
        <v>63</v>
      </c>
      <c r="G104">
        <v>0</v>
      </c>
      <c r="H104">
        <v>0</v>
      </c>
      <c r="I104">
        <v>0</v>
      </c>
      <c r="J104">
        <v>2</v>
      </c>
      <c r="K104">
        <v>2</v>
      </c>
      <c r="L104">
        <v>0</v>
      </c>
      <c r="M104">
        <v>422069</v>
      </c>
      <c r="N104">
        <v>431342</v>
      </c>
      <c r="O104">
        <v>479432</v>
      </c>
      <c r="P104">
        <v>487066</v>
      </c>
      <c r="Q104">
        <v>471145</v>
      </c>
      <c r="R104">
        <v>469961</v>
      </c>
      <c r="S104">
        <v>16078</v>
      </c>
      <c r="T104">
        <v>55693</v>
      </c>
      <c r="U104">
        <v>17000</v>
      </c>
      <c r="V104">
        <v>0</v>
      </c>
      <c r="W104">
        <v>18000</v>
      </c>
      <c r="X104">
        <v>24200</v>
      </c>
      <c r="Y104">
        <v>0</v>
      </c>
    </row>
    <row r="105" spans="1:25" x14ac:dyDescent="0.3">
      <c r="A105">
        <v>104</v>
      </c>
      <c r="B105">
        <v>50000</v>
      </c>
      <c r="C105">
        <v>2</v>
      </c>
      <c r="D105">
        <v>3</v>
      </c>
      <c r="E105">
        <v>2</v>
      </c>
      <c r="F105">
        <v>22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44698</v>
      </c>
      <c r="N105">
        <v>42254</v>
      </c>
      <c r="O105">
        <v>38347</v>
      </c>
      <c r="P105">
        <v>32496</v>
      </c>
      <c r="Q105">
        <v>23477</v>
      </c>
      <c r="R105">
        <v>24094</v>
      </c>
      <c r="S105">
        <v>1767</v>
      </c>
      <c r="T105">
        <v>1362</v>
      </c>
      <c r="U105">
        <v>1002</v>
      </c>
      <c r="V105">
        <v>840</v>
      </c>
      <c r="W105">
        <v>995</v>
      </c>
      <c r="X105">
        <v>904</v>
      </c>
      <c r="Y105">
        <v>1</v>
      </c>
    </row>
    <row r="106" spans="1:25" x14ac:dyDescent="0.3">
      <c r="A106">
        <v>105</v>
      </c>
      <c r="B106">
        <v>60000</v>
      </c>
      <c r="C106">
        <v>2</v>
      </c>
      <c r="D106">
        <v>2</v>
      </c>
      <c r="E106">
        <v>2</v>
      </c>
      <c r="F106">
        <v>26</v>
      </c>
      <c r="G106">
        <v>2</v>
      </c>
      <c r="H106">
        <v>2</v>
      </c>
      <c r="I106">
        <v>2</v>
      </c>
      <c r="J106">
        <v>2</v>
      </c>
      <c r="K106">
        <v>2</v>
      </c>
      <c r="L106">
        <v>0</v>
      </c>
      <c r="M106">
        <v>56685</v>
      </c>
      <c r="N106">
        <v>55208</v>
      </c>
      <c r="O106">
        <v>59175</v>
      </c>
      <c r="P106">
        <v>60218</v>
      </c>
      <c r="Q106">
        <v>55447</v>
      </c>
      <c r="R106">
        <v>55305</v>
      </c>
      <c r="S106">
        <v>0</v>
      </c>
      <c r="T106">
        <v>5000</v>
      </c>
      <c r="U106">
        <v>2511</v>
      </c>
      <c r="V106">
        <v>6</v>
      </c>
      <c r="W106">
        <v>3000</v>
      </c>
      <c r="X106">
        <v>3000</v>
      </c>
      <c r="Y106">
        <v>0</v>
      </c>
    </row>
    <row r="107" spans="1:25" x14ac:dyDescent="0.3">
      <c r="A107">
        <v>106</v>
      </c>
      <c r="B107">
        <v>70000</v>
      </c>
      <c r="C107">
        <v>2</v>
      </c>
      <c r="D107">
        <v>2</v>
      </c>
      <c r="E107">
        <v>2</v>
      </c>
      <c r="F107">
        <v>24</v>
      </c>
      <c r="G107">
        <v>-1</v>
      </c>
      <c r="H107">
        <v>-1</v>
      </c>
      <c r="I107">
        <v>-2</v>
      </c>
      <c r="J107">
        <v>-2</v>
      </c>
      <c r="K107">
        <v>-2</v>
      </c>
      <c r="L107">
        <v>-1</v>
      </c>
      <c r="M107">
        <v>5580</v>
      </c>
      <c r="N107">
        <v>0</v>
      </c>
      <c r="O107">
        <v>0</v>
      </c>
      <c r="P107">
        <v>0</v>
      </c>
      <c r="Q107">
        <v>0</v>
      </c>
      <c r="R107">
        <v>26529</v>
      </c>
      <c r="S107">
        <v>0</v>
      </c>
      <c r="T107">
        <v>0</v>
      </c>
      <c r="U107">
        <v>0</v>
      </c>
      <c r="V107">
        <v>0</v>
      </c>
      <c r="W107">
        <v>26529</v>
      </c>
      <c r="X107">
        <v>2000</v>
      </c>
      <c r="Y107">
        <v>0</v>
      </c>
    </row>
    <row r="108" spans="1:25" x14ac:dyDescent="0.3">
      <c r="A108">
        <v>107</v>
      </c>
      <c r="B108">
        <v>80000</v>
      </c>
      <c r="C108">
        <v>2</v>
      </c>
      <c r="D108">
        <v>2</v>
      </c>
      <c r="E108">
        <v>1</v>
      </c>
      <c r="F108">
        <v>36</v>
      </c>
      <c r="G108">
        <v>-1</v>
      </c>
      <c r="H108">
        <v>-1</v>
      </c>
      <c r="I108">
        <v>-1</v>
      </c>
      <c r="J108">
        <v>-1</v>
      </c>
      <c r="K108">
        <v>-1</v>
      </c>
      <c r="L108">
        <v>-1</v>
      </c>
      <c r="M108">
        <v>6108</v>
      </c>
      <c r="N108">
        <v>2861</v>
      </c>
      <c r="O108">
        <v>3277</v>
      </c>
      <c r="P108">
        <v>3319</v>
      </c>
      <c r="Q108">
        <v>1150</v>
      </c>
      <c r="R108">
        <v>1150</v>
      </c>
      <c r="S108">
        <v>2861</v>
      </c>
      <c r="T108">
        <v>3279</v>
      </c>
      <c r="U108">
        <v>3319</v>
      </c>
      <c r="V108">
        <v>1150</v>
      </c>
      <c r="W108">
        <v>1150</v>
      </c>
      <c r="X108">
        <v>1035</v>
      </c>
      <c r="Y108">
        <v>0</v>
      </c>
    </row>
    <row r="109" spans="1:25" x14ac:dyDescent="0.3">
      <c r="A109">
        <v>108</v>
      </c>
      <c r="B109">
        <v>350000</v>
      </c>
      <c r="C109">
        <v>1</v>
      </c>
      <c r="D109">
        <v>1</v>
      </c>
      <c r="E109">
        <v>2</v>
      </c>
      <c r="F109">
        <v>52</v>
      </c>
      <c r="G109">
        <v>-1</v>
      </c>
      <c r="H109">
        <v>-1</v>
      </c>
      <c r="I109">
        <v>-1</v>
      </c>
      <c r="J109">
        <v>-1</v>
      </c>
      <c r="K109">
        <v>-1</v>
      </c>
      <c r="L109">
        <v>-1</v>
      </c>
      <c r="M109">
        <v>713</v>
      </c>
      <c r="N109">
        <v>2272</v>
      </c>
      <c r="O109">
        <v>722</v>
      </c>
      <c r="P109">
        <v>867</v>
      </c>
      <c r="Q109">
        <v>1150</v>
      </c>
      <c r="R109">
        <v>5263</v>
      </c>
      <c r="S109">
        <v>2272</v>
      </c>
      <c r="T109">
        <v>722</v>
      </c>
      <c r="U109">
        <v>867</v>
      </c>
      <c r="V109">
        <v>1150</v>
      </c>
      <c r="W109">
        <v>5263</v>
      </c>
      <c r="X109">
        <v>5011</v>
      </c>
      <c r="Y109">
        <v>0</v>
      </c>
    </row>
    <row r="110" spans="1:25" x14ac:dyDescent="0.3">
      <c r="A110">
        <v>109</v>
      </c>
      <c r="B110">
        <v>130000</v>
      </c>
      <c r="C110">
        <v>1</v>
      </c>
      <c r="D110">
        <v>2</v>
      </c>
      <c r="E110">
        <v>2</v>
      </c>
      <c r="F110">
        <v>38</v>
      </c>
      <c r="G110">
        <v>0</v>
      </c>
      <c r="H110">
        <v>0</v>
      </c>
      <c r="I110">
        <v>0</v>
      </c>
      <c r="J110">
        <v>-1</v>
      </c>
      <c r="K110">
        <v>-1</v>
      </c>
      <c r="L110">
        <v>-1</v>
      </c>
      <c r="M110">
        <v>171438</v>
      </c>
      <c r="N110">
        <v>178382</v>
      </c>
      <c r="O110">
        <v>39940</v>
      </c>
      <c r="P110">
        <v>120483</v>
      </c>
      <c r="Q110">
        <v>44127</v>
      </c>
      <c r="R110">
        <v>126568</v>
      </c>
      <c r="S110">
        <v>10908</v>
      </c>
      <c r="T110">
        <v>0</v>
      </c>
      <c r="U110">
        <v>133657</v>
      </c>
      <c r="V110">
        <v>4566</v>
      </c>
      <c r="W110">
        <v>133841</v>
      </c>
      <c r="X110">
        <v>4796</v>
      </c>
      <c r="Y110">
        <v>0</v>
      </c>
    </row>
    <row r="111" spans="1:25" x14ac:dyDescent="0.3">
      <c r="A111">
        <v>110</v>
      </c>
      <c r="B111">
        <v>360000</v>
      </c>
      <c r="C111">
        <v>1</v>
      </c>
      <c r="D111">
        <v>2</v>
      </c>
      <c r="E111">
        <v>1</v>
      </c>
      <c r="F111">
        <v>35</v>
      </c>
      <c r="G111">
        <v>1</v>
      </c>
      <c r="H111">
        <v>-2</v>
      </c>
      <c r="I111">
        <v>-2</v>
      </c>
      <c r="J111">
        <v>-2</v>
      </c>
      <c r="K111">
        <v>-2</v>
      </c>
      <c r="L111">
        <v>-2</v>
      </c>
      <c r="M111">
        <v>-103</v>
      </c>
      <c r="N111">
        <v>-103</v>
      </c>
      <c r="O111">
        <v>-103</v>
      </c>
      <c r="P111">
        <v>-103</v>
      </c>
      <c r="Q111">
        <v>-103</v>
      </c>
      <c r="R111">
        <v>-103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3">
      <c r="A112">
        <v>111</v>
      </c>
      <c r="B112">
        <v>330000</v>
      </c>
      <c r="C112">
        <v>2</v>
      </c>
      <c r="D112">
        <v>1</v>
      </c>
      <c r="E112">
        <v>1</v>
      </c>
      <c r="F112">
        <v>31</v>
      </c>
      <c r="G112">
        <v>0</v>
      </c>
      <c r="H112">
        <v>0</v>
      </c>
      <c r="I112">
        <v>2</v>
      </c>
      <c r="J112">
        <v>0</v>
      </c>
      <c r="K112">
        <v>0</v>
      </c>
      <c r="L112">
        <v>0</v>
      </c>
      <c r="M112">
        <v>105879</v>
      </c>
      <c r="N112">
        <v>108431</v>
      </c>
      <c r="O112">
        <v>105594</v>
      </c>
      <c r="P112">
        <v>105896</v>
      </c>
      <c r="Q112">
        <v>106491</v>
      </c>
      <c r="R112">
        <v>107289</v>
      </c>
      <c r="S112">
        <v>9260</v>
      </c>
      <c r="T112">
        <v>0</v>
      </c>
      <c r="U112">
        <v>3593</v>
      </c>
      <c r="V112">
        <v>4100</v>
      </c>
      <c r="W112">
        <v>15794</v>
      </c>
      <c r="X112">
        <v>0</v>
      </c>
      <c r="Y112">
        <v>0</v>
      </c>
    </row>
    <row r="113" spans="1:25" x14ac:dyDescent="0.3">
      <c r="A113">
        <v>112</v>
      </c>
      <c r="B113">
        <v>50000</v>
      </c>
      <c r="C113">
        <v>1</v>
      </c>
      <c r="D113">
        <v>3</v>
      </c>
      <c r="E113">
        <v>1</v>
      </c>
      <c r="F113">
        <v>47</v>
      </c>
      <c r="G113">
        <v>0</v>
      </c>
      <c r="H113">
        <v>0</v>
      </c>
      <c r="I113">
        <v>2</v>
      </c>
      <c r="J113">
        <v>0</v>
      </c>
      <c r="K113">
        <v>0</v>
      </c>
      <c r="L113">
        <v>0</v>
      </c>
      <c r="M113">
        <v>13244</v>
      </c>
      <c r="N113">
        <v>14722</v>
      </c>
      <c r="O113">
        <v>15181</v>
      </c>
      <c r="P113">
        <v>15928</v>
      </c>
      <c r="Q113">
        <v>16671</v>
      </c>
      <c r="R113">
        <v>17393</v>
      </c>
      <c r="S113">
        <v>2000</v>
      </c>
      <c r="T113">
        <v>1000</v>
      </c>
      <c r="U113">
        <v>1000</v>
      </c>
      <c r="V113">
        <v>1000</v>
      </c>
      <c r="W113">
        <v>1000</v>
      </c>
      <c r="X113">
        <v>1000</v>
      </c>
      <c r="Y113">
        <v>0</v>
      </c>
    </row>
    <row r="114" spans="1:25" x14ac:dyDescent="0.3">
      <c r="A114">
        <v>113</v>
      </c>
      <c r="B114">
        <v>280000</v>
      </c>
      <c r="C114">
        <v>1</v>
      </c>
      <c r="D114">
        <v>2</v>
      </c>
      <c r="E114">
        <v>1</v>
      </c>
      <c r="F114">
        <v>41</v>
      </c>
      <c r="G114">
        <v>2</v>
      </c>
      <c r="H114">
        <v>2</v>
      </c>
      <c r="I114">
        <v>2</v>
      </c>
      <c r="J114">
        <v>2</v>
      </c>
      <c r="K114">
        <v>2</v>
      </c>
      <c r="L114">
        <v>3</v>
      </c>
      <c r="M114">
        <v>135673</v>
      </c>
      <c r="N114">
        <v>138532</v>
      </c>
      <c r="O114">
        <v>134813</v>
      </c>
      <c r="P114">
        <v>144401</v>
      </c>
      <c r="Q114">
        <v>152174</v>
      </c>
      <c r="R114">
        <v>149415</v>
      </c>
      <c r="S114">
        <v>6500</v>
      </c>
      <c r="T114">
        <v>0</v>
      </c>
      <c r="U114">
        <v>14254</v>
      </c>
      <c r="V114">
        <v>14850</v>
      </c>
      <c r="W114">
        <v>0</v>
      </c>
      <c r="X114">
        <v>5000</v>
      </c>
      <c r="Y114">
        <v>0</v>
      </c>
    </row>
    <row r="115" spans="1:25" x14ac:dyDescent="0.3">
      <c r="A115">
        <v>114</v>
      </c>
      <c r="B115">
        <v>100000</v>
      </c>
      <c r="C115">
        <v>2</v>
      </c>
      <c r="D115">
        <v>1</v>
      </c>
      <c r="E115">
        <v>2</v>
      </c>
      <c r="F115">
        <v>24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52128</v>
      </c>
      <c r="N115">
        <v>52692</v>
      </c>
      <c r="O115">
        <v>54477</v>
      </c>
      <c r="P115">
        <v>56076</v>
      </c>
      <c r="Q115">
        <v>60100</v>
      </c>
      <c r="R115">
        <v>59713</v>
      </c>
      <c r="S115">
        <v>2000</v>
      </c>
      <c r="T115">
        <v>2677</v>
      </c>
      <c r="U115">
        <v>3076</v>
      </c>
      <c r="V115">
        <v>5080</v>
      </c>
      <c r="W115">
        <v>3000</v>
      </c>
      <c r="X115">
        <v>2033</v>
      </c>
      <c r="Y115">
        <v>0</v>
      </c>
    </row>
    <row r="116" spans="1:25" x14ac:dyDescent="0.3">
      <c r="A116">
        <v>115</v>
      </c>
      <c r="B116">
        <v>50000</v>
      </c>
      <c r="C116">
        <v>1</v>
      </c>
      <c r="D116">
        <v>2</v>
      </c>
      <c r="E116">
        <v>2</v>
      </c>
      <c r="F116">
        <v>41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19015</v>
      </c>
      <c r="N116">
        <v>19294</v>
      </c>
      <c r="O116">
        <v>20259</v>
      </c>
      <c r="P116">
        <v>20274</v>
      </c>
      <c r="Q116">
        <v>20311</v>
      </c>
      <c r="R116">
        <v>19957</v>
      </c>
      <c r="S116">
        <v>1340</v>
      </c>
      <c r="T116">
        <v>1305</v>
      </c>
      <c r="U116">
        <v>700</v>
      </c>
      <c r="V116">
        <v>718</v>
      </c>
      <c r="W116">
        <v>724</v>
      </c>
      <c r="X116">
        <v>684</v>
      </c>
      <c r="Y116">
        <v>0</v>
      </c>
    </row>
    <row r="117" spans="1:25" x14ac:dyDescent="0.3">
      <c r="A117">
        <v>116</v>
      </c>
      <c r="B117">
        <v>30000</v>
      </c>
      <c r="C117">
        <v>1</v>
      </c>
      <c r="D117">
        <v>1</v>
      </c>
      <c r="E117">
        <v>2</v>
      </c>
      <c r="F117">
        <v>24</v>
      </c>
      <c r="G117">
        <v>-1</v>
      </c>
      <c r="H117">
        <v>2</v>
      </c>
      <c r="I117">
        <v>0</v>
      </c>
      <c r="J117">
        <v>0</v>
      </c>
      <c r="K117">
        <v>3</v>
      </c>
      <c r="L117">
        <v>2</v>
      </c>
      <c r="M117">
        <v>18199</v>
      </c>
      <c r="N117">
        <v>17618</v>
      </c>
      <c r="O117">
        <v>18631</v>
      </c>
      <c r="P117">
        <v>21319</v>
      </c>
      <c r="Q117">
        <v>20692</v>
      </c>
      <c r="R117">
        <v>21201</v>
      </c>
      <c r="S117">
        <v>0</v>
      </c>
      <c r="T117">
        <v>1312</v>
      </c>
      <c r="U117">
        <v>3000</v>
      </c>
      <c r="V117">
        <v>0</v>
      </c>
      <c r="W117">
        <v>1000</v>
      </c>
      <c r="X117">
        <v>1000</v>
      </c>
      <c r="Y117">
        <v>1</v>
      </c>
    </row>
    <row r="118" spans="1:25" x14ac:dyDescent="0.3">
      <c r="A118">
        <v>117</v>
      </c>
      <c r="B118">
        <v>240000</v>
      </c>
      <c r="C118">
        <v>1</v>
      </c>
      <c r="D118">
        <v>1</v>
      </c>
      <c r="E118">
        <v>2</v>
      </c>
      <c r="F118">
        <v>28</v>
      </c>
      <c r="G118">
        <v>-1</v>
      </c>
      <c r="H118">
        <v>-1</v>
      </c>
      <c r="I118">
        <v>-1</v>
      </c>
      <c r="J118">
        <v>-1</v>
      </c>
      <c r="K118">
        <v>-1</v>
      </c>
      <c r="L118">
        <v>-1</v>
      </c>
      <c r="M118">
        <v>326</v>
      </c>
      <c r="N118">
        <v>326</v>
      </c>
      <c r="O118">
        <v>326</v>
      </c>
      <c r="P118">
        <v>5676</v>
      </c>
      <c r="Q118">
        <v>476</v>
      </c>
      <c r="R118">
        <v>326</v>
      </c>
      <c r="S118">
        <v>326</v>
      </c>
      <c r="T118">
        <v>326</v>
      </c>
      <c r="U118">
        <v>5676</v>
      </c>
      <c r="V118">
        <v>476</v>
      </c>
      <c r="W118">
        <v>326</v>
      </c>
      <c r="X118">
        <v>526</v>
      </c>
      <c r="Y118">
        <v>0</v>
      </c>
    </row>
    <row r="119" spans="1:25" x14ac:dyDescent="0.3">
      <c r="A119">
        <v>118</v>
      </c>
      <c r="B119">
        <v>80000</v>
      </c>
      <c r="C119">
        <v>1</v>
      </c>
      <c r="D119">
        <v>2</v>
      </c>
      <c r="E119">
        <v>2</v>
      </c>
      <c r="F119">
        <v>26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14029</v>
      </c>
      <c r="N119">
        <v>15493</v>
      </c>
      <c r="O119">
        <v>16630</v>
      </c>
      <c r="P119">
        <v>17055</v>
      </c>
      <c r="Q119">
        <v>17629</v>
      </c>
      <c r="R119">
        <v>18186</v>
      </c>
      <c r="S119">
        <v>2000</v>
      </c>
      <c r="T119">
        <v>1700</v>
      </c>
      <c r="U119">
        <v>1000</v>
      </c>
      <c r="V119">
        <v>1000</v>
      </c>
      <c r="W119">
        <v>1000</v>
      </c>
      <c r="X119">
        <v>1000</v>
      </c>
      <c r="Y119">
        <v>1</v>
      </c>
    </row>
    <row r="120" spans="1:25" x14ac:dyDescent="0.3">
      <c r="A120">
        <v>119</v>
      </c>
      <c r="B120">
        <v>400000</v>
      </c>
      <c r="C120">
        <v>1</v>
      </c>
      <c r="D120">
        <v>2</v>
      </c>
      <c r="E120">
        <v>1</v>
      </c>
      <c r="F120">
        <v>34</v>
      </c>
      <c r="G120">
        <v>-1</v>
      </c>
      <c r="H120">
        <v>-1</v>
      </c>
      <c r="I120">
        <v>-1</v>
      </c>
      <c r="J120">
        <v>-1</v>
      </c>
      <c r="K120">
        <v>-1</v>
      </c>
      <c r="L120">
        <v>-1</v>
      </c>
      <c r="M120">
        <v>19660</v>
      </c>
      <c r="N120">
        <v>9666</v>
      </c>
      <c r="O120">
        <v>11867</v>
      </c>
      <c r="P120">
        <v>7839</v>
      </c>
      <c r="Q120">
        <v>14837</v>
      </c>
      <c r="R120">
        <v>7959</v>
      </c>
      <c r="S120">
        <v>9677</v>
      </c>
      <c r="T120">
        <v>11867</v>
      </c>
      <c r="U120">
        <v>7839</v>
      </c>
      <c r="V120">
        <v>14837</v>
      </c>
      <c r="W120">
        <v>7959</v>
      </c>
      <c r="X120">
        <v>5712</v>
      </c>
      <c r="Y120">
        <v>0</v>
      </c>
    </row>
    <row r="121" spans="1:25" x14ac:dyDescent="0.3">
      <c r="A121">
        <v>120</v>
      </c>
      <c r="B121">
        <v>240000</v>
      </c>
      <c r="C121">
        <v>2</v>
      </c>
      <c r="D121">
        <v>2</v>
      </c>
      <c r="E121">
        <v>2</v>
      </c>
      <c r="F121">
        <v>38</v>
      </c>
      <c r="G121">
        <v>0</v>
      </c>
      <c r="H121">
        <v>0</v>
      </c>
      <c r="I121">
        <v>0</v>
      </c>
      <c r="J121">
        <v>0</v>
      </c>
      <c r="K121">
        <v>-1</v>
      </c>
      <c r="L121">
        <v>-1</v>
      </c>
      <c r="M121">
        <v>50254</v>
      </c>
      <c r="N121">
        <v>51445</v>
      </c>
      <c r="O121">
        <v>53015</v>
      </c>
      <c r="P121">
        <v>52479</v>
      </c>
      <c r="Q121">
        <v>1307</v>
      </c>
      <c r="R121">
        <v>1203</v>
      </c>
      <c r="S121">
        <v>2000</v>
      </c>
      <c r="T121">
        <v>3000</v>
      </c>
      <c r="U121">
        <v>3000</v>
      </c>
      <c r="V121">
        <v>1307</v>
      </c>
      <c r="W121">
        <v>1203</v>
      </c>
      <c r="X121">
        <v>563</v>
      </c>
      <c r="Y121">
        <v>0</v>
      </c>
    </row>
    <row r="122" spans="1:25" x14ac:dyDescent="0.3">
      <c r="A122">
        <v>121</v>
      </c>
      <c r="B122">
        <v>50000</v>
      </c>
      <c r="C122">
        <v>1</v>
      </c>
      <c r="D122">
        <v>3</v>
      </c>
      <c r="E122">
        <v>2</v>
      </c>
      <c r="F122">
        <v>37</v>
      </c>
      <c r="G122">
        <v>2</v>
      </c>
      <c r="H122">
        <v>2</v>
      </c>
      <c r="I122">
        <v>2</v>
      </c>
      <c r="J122">
        <v>3</v>
      </c>
      <c r="K122">
        <v>2</v>
      </c>
      <c r="L122">
        <v>2</v>
      </c>
      <c r="M122">
        <v>46004</v>
      </c>
      <c r="N122">
        <v>45976</v>
      </c>
      <c r="O122">
        <v>48953</v>
      </c>
      <c r="P122">
        <v>48851</v>
      </c>
      <c r="Q122">
        <v>49318</v>
      </c>
      <c r="R122">
        <v>51143</v>
      </c>
      <c r="S122">
        <v>1000</v>
      </c>
      <c r="T122">
        <v>4035</v>
      </c>
      <c r="U122">
        <v>1000</v>
      </c>
      <c r="V122">
        <v>1400</v>
      </c>
      <c r="W122">
        <v>2800</v>
      </c>
      <c r="X122">
        <v>0</v>
      </c>
      <c r="Y122">
        <v>1</v>
      </c>
    </row>
    <row r="123" spans="1:25" x14ac:dyDescent="0.3">
      <c r="A123">
        <v>122</v>
      </c>
      <c r="B123">
        <v>450000</v>
      </c>
      <c r="C123">
        <v>1</v>
      </c>
      <c r="D123">
        <v>1</v>
      </c>
      <c r="E123">
        <v>1</v>
      </c>
      <c r="F123">
        <v>40</v>
      </c>
      <c r="G123">
        <v>1</v>
      </c>
      <c r="H123">
        <v>-2</v>
      </c>
      <c r="I123">
        <v>-2</v>
      </c>
      <c r="J123">
        <v>-2</v>
      </c>
      <c r="K123">
        <v>-2</v>
      </c>
      <c r="L123">
        <v>-2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</v>
      </c>
    </row>
    <row r="124" spans="1:25" x14ac:dyDescent="0.3">
      <c r="A124">
        <v>123</v>
      </c>
      <c r="B124">
        <v>110000</v>
      </c>
      <c r="C124">
        <v>2</v>
      </c>
      <c r="D124">
        <v>1</v>
      </c>
      <c r="E124">
        <v>1</v>
      </c>
      <c r="F124">
        <v>48</v>
      </c>
      <c r="G124">
        <v>1</v>
      </c>
      <c r="H124">
        <v>-2</v>
      </c>
      <c r="I124">
        <v>-2</v>
      </c>
      <c r="J124">
        <v>-2</v>
      </c>
      <c r="K124">
        <v>-2</v>
      </c>
      <c r="L124">
        <v>-2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3">
      <c r="A125">
        <v>124</v>
      </c>
      <c r="B125">
        <v>310000</v>
      </c>
      <c r="C125">
        <v>2</v>
      </c>
      <c r="D125">
        <v>2</v>
      </c>
      <c r="E125">
        <v>1</v>
      </c>
      <c r="F125">
        <v>35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304991</v>
      </c>
      <c r="N125">
        <v>311243</v>
      </c>
      <c r="O125">
        <v>306314</v>
      </c>
      <c r="P125">
        <v>258610</v>
      </c>
      <c r="Q125">
        <v>246491</v>
      </c>
      <c r="R125">
        <v>198889</v>
      </c>
      <c r="S125">
        <v>13019</v>
      </c>
      <c r="T125">
        <v>11128</v>
      </c>
      <c r="U125">
        <v>8407</v>
      </c>
      <c r="V125">
        <v>8599</v>
      </c>
      <c r="W125">
        <v>6833</v>
      </c>
      <c r="X125">
        <v>5987</v>
      </c>
      <c r="Y125">
        <v>1</v>
      </c>
    </row>
    <row r="126" spans="1:25" x14ac:dyDescent="0.3">
      <c r="A126">
        <v>125</v>
      </c>
      <c r="B126">
        <v>20000</v>
      </c>
      <c r="C126">
        <v>1</v>
      </c>
      <c r="D126">
        <v>1</v>
      </c>
      <c r="E126">
        <v>2</v>
      </c>
      <c r="F126">
        <v>27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19115</v>
      </c>
      <c r="N126">
        <v>18962</v>
      </c>
      <c r="O126">
        <v>19298</v>
      </c>
      <c r="P126">
        <v>19378</v>
      </c>
      <c r="Q126">
        <v>19717</v>
      </c>
      <c r="R126">
        <v>15630</v>
      </c>
      <c r="S126">
        <v>1404</v>
      </c>
      <c r="T126">
        <v>1130</v>
      </c>
      <c r="U126">
        <v>600</v>
      </c>
      <c r="V126">
        <v>861</v>
      </c>
      <c r="W126">
        <v>313</v>
      </c>
      <c r="X126">
        <v>0</v>
      </c>
      <c r="Y126">
        <v>0</v>
      </c>
    </row>
    <row r="127" spans="1:25" x14ac:dyDescent="0.3">
      <c r="A127">
        <v>126</v>
      </c>
      <c r="B127">
        <v>20000</v>
      </c>
      <c r="C127">
        <v>1</v>
      </c>
      <c r="D127">
        <v>2</v>
      </c>
      <c r="E127">
        <v>2</v>
      </c>
      <c r="F127">
        <v>23</v>
      </c>
      <c r="G127">
        <v>1</v>
      </c>
      <c r="H127">
        <v>-2</v>
      </c>
      <c r="I127">
        <v>-2</v>
      </c>
      <c r="J127">
        <v>-2</v>
      </c>
      <c r="K127">
        <v>-2</v>
      </c>
      <c r="L127">
        <v>-2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3">
      <c r="A128">
        <v>127</v>
      </c>
      <c r="B128">
        <v>200000</v>
      </c>
      <c r="C128">
        <v>1</v>
      </c>
      <c r="D128">
        <v>3</v>
      </c>
      <c r="E128">
        <v>2</v>
      </c>
      <c r="F128">
        <v>52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110151</v>
      </c>
      <c r="N128">
        <v>99530</v>
      </c>
      <c r="O128">
        <v>98951</v>
      </c>
      <c r="P128">
        <v>100914</v>
      </c>
      <c r="Q128">
        <v>103146</v>
      </c>
      <c r="R128">
        <v>104993</v>
      </c>
      <c r="S128">
        <v>3568</v>
      </c>
      <c r="T128">
        <v>3585</v>
      </c>
      <c r="U128">
        <v>3602</v>
      </c>
      <c r="V128">
        <v>3848</v>
      </c>
      <c r="W128">
        <v>3669</v>
      </c>
      <c r="X128">
        <v>3784</v>
      </c>
      <c r="Y128">
        <v>0</v>
      </c>
    </row>
    <row r="129" spans="1:25" x14ac:dyDescent="0.3">
      <c r="A129">
        <v>128</v>
      </c>
      <c r="B129">
        <v>180000</v>
      </c>
      <c r="C129">
        <v>1</v>
      </c>
      <c r="D129">
        <v>1</v>
      </c>
      <c r="E129">
        <v>1</v>
      </c>
      <c r="F129">
        <v>36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163736</v>
      </c>
      <c r="N129">
        <v>116422</v>
      </c>
      <c r="O129">
        <v>99278</v>
      </c>
      <c r="P129">
        <v>95766</v>
      </c>
      <c r="Q129">
        <v>97753</v>
      </c>
      <c r="R129">
        <v>95927</v>
      </c>
      <c r="S129">
        <v>4655</v>
      </c>
      <c r="T129">
        <v>2690</v>
      </c>
      <c r="U129">
        <v>2067</v>
      </c>
      <c r="V129">
        <v>2142</v>
      </c>
      <c r="W129">
        <v>2217</v>
      </c>
      <c r="X129">
        <v>1000</v>
      </c>
      <c r="Y129">
        <v>1</v>
      </c>
    </row>
    <row r="130" spans="1:25" x14ac:dyDescent="0.3">
      <c r="A130">
        <v>129</v>
      </c>
      <c r="B130">
        <v>50000</v>
      </c>
      <c r="C130">
        <v>1</v>
      </c>
      <c r="D130">
        <v>2</v>
      </c>
      <c r="E130">
        <v>1</v>
      </c>
      <c r="F130">
        <v>51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3347</v>
      </c>
      <c r="N130">
        <v>3899</v>
      </c>
      <c r="O130">
        <v>4503</v>
      </c>
      <c r="P130">
        <v>5347</v>
      </c>
      <c r="Q130">
        <v>6375</v>
      </c>
      <c r="R130">
        <v>7077</v>
      </c>
      <c r="S130">
        <v>1000</v>
      </c>
      <c r="T130">
        <v>1066</v>
      </c>
      <c r="U130">
        <v>1300</v>
      </c>
      <c r="V130">
        <v>1500</v>
      </c>
      <c r="W130">
        <v>1200</v>
      </c>
      <c r="X130">
        <v>134</v>
      </c>
      <c r="Y130">
        <v>1</v>
      </c>
    </row>
    <row r="131" spans="1:25" x14ac:dyDescent="0.3">
      <c r="A131">
        <v>130</v>
      </c>
      <c r="B131">
        <v>60000</v>
      </c>
      <c r="C131">
        <v>1</v>
      </c>
      <c r="D131">
        <v>3</v>
      </c>
      <c r="E131">
        <v>1</v>
      </c>
      <c r="F131">
        <v>55</v>
      </c>
      <c r="G131">
        <v>3</v>
      </c>
      <c r="H131">
        <v>2</v>
      </c>
      <c r="I131">
        <v>2</v>
      </c>
      <c r="J131">
        <v>0</v>
      </c>
      <c r="K131">
        <v>0</v>
      </c>
      <c r="L131">
        <v>0</v>
      </c>
      <c r="M131">
        <v>60521</v>
      </c>
      <c r="N131">
        <v>61450</v>
      </c>
      <c r="O131">
        <v>57244</v>
      </c>
      <c r="P131">
        <v>28853</v>
      </c>
      <c r="Q131">
        <v>29510</v>
      </c>
      <c r="R131">
        <v>26547</v>
      </c>
      <c r="S131">
        <v>2504</v>
      </c>
      <c r="T131">
        <v>7</v>
      </c>
      <c r="U131">
        <v>1200</v>
      </c>
      <c r="V131">
        <v>1200</v>
      </c>
      <c r="W131">
        <v>1100</v>
      </c>
      <c r="X131">
        <v>1500</v>
      </c>
      <c r="Y131">
        <v>0</v>
      </c>
    </row>
    <row r="132" spans="1:25" x14ac:dyDescent="0.3">
      <c r="A132">
        <v>131</v>
      </c>
      <c r="B132">
        <v>30000</v>
      </c>
      <c r="C132">
        <v>2</v>
      </c>
      <c r="D132">
        <v>1</v>
      </c>
      <c r="E132">
        <v>2</v>
      </c>
      <c r="F132">
        <v>23</v>
      </c>
      <c r="G132">
        <v>1</v>
      </c>
      <c r="H132">
        <v>-2</v>
      </c>
      <c r="I132">
        <v>-2</v>
      </c>
      <c r="J132">
        <v>-2</v>
      </c>
      <c r="K132">
        <v>-1</v>
      </c>
      <c r="L132">
        <v>-1</v>
      </c>
      <c r="M132">
        <v>4000</v>
      </c>
      <c r="N132">
        <v>5645</v>
      </c>
      <c r="O132">
        <v>3508</v>
      </c>
      <c r="P132">
        <v>-27</v>
      </c>
      <c r="Q132">
        <v>13744</v>
      </c>
      <c r="R132">
        <v>5906</v>
      </c>
      <c r="S132">
        <v>5645</v>
      </c>
      <c r="T132">
        <v>3508</v>
      </c>
      <c r="U132">
        <v>27</v>
      </c>
      <c r="V132">
        <v>13771</v>
      </c>
      <c r="W132">
        <v>5911</v>
      </c>
      <c r="X132">
        <v>3024</v>
      </c>
      <c r="Y132">
        <v>0</v>
      </c>
    </row>
    <row r="133" spans="1:25" x14ac:dyDescent="0.3">
      <c r="A133">
        <v>132</v>
      </c>
      <c r="B133">
        <v>240000</v>
      </c>
      <c r="C133">
        <v>1</v>
      </c>
      <c r="D133">
        <v>1</v>
      </c>
      <c r="E133">
        <v>2</v>
      </c>
      <c r="F133">
        <v>41</v>
      </c>
      <c r="G133">
        <v>1</v>
      </c>
      <c r="H133">
        <v>-1</v>
      </c>
      <c r="I133">
        <v>-1</v>
      </c>
      <c r="J133">
        <v>0</v>
      </c>
      <c r="K133">
        <v>0</v>
      </c>
      <c r="L133">
        <v>-1</v>
      </c>
      <c r="M133">
        <v>95</v>
      </c>
      <c r="N133">
        <v>2622</v>
      </c>
      <c r="O133">
        <v>3301</v>
      </c>
      <c r="P133">
        <v>3164</v>
      </c>
      <c r="Q133">
        <v>360</v>
      </c>
      <c r="R133">
        <v>1737</v>
      </c>
      <c r="S133">
        <v>2622</v>
      </c>
      <c r="T133">
        <v>3301</v>
      </c>
      <c r="U133">
        <v>0</v>
      </c>
      <c r="V133">
        <v>360</v>
      </c>
      <c r="W133">
        <v>1737</v>
      </c>
      <c r="X133">
        <v>924</v>
      </c>
      <c r="Y133">
        <v>0</v>
      </c>
    </row>
    <row r="134" spans="1:25" x14ac:dyDescent="0.3">
      <c r="A134">
        <v>133</v>
      </c>
      <c r="B134">
        <v>420000</v>
      </c>
      <c r="C134">
        <v>1</v>
      </c>
      <c r="D134">
        <v>2</v>
      </c>
      <c r="E134">
        <v>1</v>
      </c>
      <c r="F134">
        <v>34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253454</v>
      </c>
      <c r="N134">
        <v>247743</v>
      </c>
      <c r="O134">
        <v>229049</v>
      </c>
      <c r="P134">
        <v>220951</v>
      </c>
      <c r="Q134">
        <v>210606</v>
      </c>
      <c r="R134">
        <v>188108</v>
      </c>
      <c r="S134">
        <v>9744</v>
      </c>
      <c r="T134">
        <v>9553</v>
      </c>
      <c r="U134">
        <v>7603</v>
      </c>
      <c r="V134">
        <v>7830</v>
      </c>
      <c r="W134">
        <v>7253</v>
      </c>
      <c r="X134">
        <v>11326</v>
      </c>
      <c r="Y134">
        <v>0</v>
      </c>
    </row>
    <row r="135" spans="1:25" x14ac:dyDescent="0.3">
      <c r="A135">
        <v>134</v>
      </c>
      <c r="B135">
        <v>330000</v>
      </c>
      <c r="C135">
        <v>1</v>
      </c>
      <c r="D135">
        <v>3</v>
      </c>
      <c r="E135">
        <v>1</v>
      </c>
      <c r="F135">
        <v>46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227389</v>
      </c>
      <c r="N135">
        <v>228719</v>
      </c>
      <c r="O135">
        <v>229644</v>
      </c>
      <c r="P135">
        <v>227587</v>
      </c>
      <c r="Q135">
        <v>227775</v>
      </c>
      <c r="R135">
        <v>228203</v>
      </c>
      <c r="S135">
        <v>8210</v>
      </c>
      <c r="T135">
        <v>8095</v>
      </c>
      <c r="U135">
        <v>8025</v>
      </c>
      <c r="V135">
        <v>8175</v>
      </c>
      <c r="W135">
        <v>8391</v>
      </c>
      <c r="X135">
        <v>8200</v>
      </c>
      <c r="Y135">
        <v>0</v>
      </c>
    </row>
    <row r="136" spans="1:25" x14ac:dyDescent="0.3">
      <c r="A136">
        <v>135</v>
      </c>
      <c r="B136">
        <v>30000</v>
      </c>
      <c r="C136">
        <v>2</v>
      </c>
      <c r="D136">
        <v>2</v>
      </c>
      <c r="E136">
        <v>2</v>
      </c>
      <c r="F136">
        <v>22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28452</v>
      </c>
      <c r="N136">
        <v>26145</v>
      </c>
      <c r="O136">
        <v>26712</v>
      </c>
      <c r="P136">
        <v>25350</v>
      </c>
      <c r="Q136">
        <v>17603</v>
      </c>
      <c r="R136">
        <v>-780</v>
      </c>
      <c r="S136">
        <v>2000</v>
      </c>
      <c r="T136">
        <v>1400</v>
      </c>
      <c r="U136">
        <v>0</v>
      </c>
      <c r="V136">
        <v>500</v>
      </c>
      <c r="W136">
        <v>0</v>
      </c>
      <c r="X136">
        <v>1560</v>
      </c>
      <c r="Y136">
        <v>0</v>
      </c>
    </row>
    <row r="137" spans="1:25" x14ac:dyDescent="0.3">
      <c r="A137">
        <v>136</v>
      </c>
      <c r="B137">
        <v>240000</v>
      </c>
      <c r="C137">
        <v>1</v>
      </c>
      <c r="D137">
        <v>2</v>
      </c>
      <c r="E137">
        <v>1</v>
      </c>
      <c r="F137">
        <v>34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2</v>
      </c>
      <c r="M137">
        <v>10674</v>
      </c>
      <c r="N137">
        <v>12035</v>
      </c>
      <c r="O137">
        <v>13681</v>
      </c>
      <c r="P137">
        <v>13269</v>
      </c>
      <c r="Q137">
        <v>14158</v>
      </c>
      <c r="R137">
        <v>13891</v>
      </c>
      <c r="S137">
        <v>1500</v>
      </c>
      <c r="T137">
        <v>1800</v>
      </c>
      <c r="U137">
        <v>0</v>
      </c>
      <c r="V137">
        <v>1000</v>
      </c>
      <c r="W137">
        <v>0</v>
      </c>
      <c r="X137">
        <v>327</v>
      </c>
      <c r="Y137">
        <v>0</v>
      </c>
    </row>
    <row r="138" spans="1:25" x14ac:dyDescent="0.3">
      <c r="A138">
        <v>137</v>
      </c>
      <c r="B138">
        <v>150000</v>
      </c>
      <c r="C138">
        <v>1</v>
      </c>
      <c r="D138">
        <v>1</v>
      </c>
      <c r="E138">
        <v>2</v>
      </c>
      <c r="F138">
        <v>27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17444</v>
      </c>
      <c r="N138">
        <v>19342</v>
      </c>
      <c r="O138">
        <v>22000</v>
      </c>
      <c r="P138">
        <v>24614</v>
      </c>
      <c r="Q138">
        <v>27200</v>
      </c>
      <c r="R138">
        <v>30229</v>
      </c>
      <c r="S138">
        <v>2500</v>
      </c>
      <c r="T138">
        <v>3000</v>
      </c>
      <c r="U138">
        <v>3000</v>
      </c>
      <c r="V138">
        <v>3000</v>
      </c>
      <c r="W138">
        <v>3500</v>
      </c>
      <c r="X138">
        <v>5000</v>
      </c>
      <c r="Y138">
        <v>0</v>
      </c>
    </row>
    <row r="139" spans="1:25" x14ac:dyDescent="0.3">
      <c r="A139">
        <v>138</v>
      </c>
      <c r="B139">
        <v>210000</v>
      </c>
      <c r="C139">
        <v>2</v>
      </c>
      <c r="D139">
        <v>2</v>
      </c>
      <c r="E139">
        <v>1</v>
      </c>
      <c r="F139">
        <v>33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7166</v>
      </c>
      <c r="N139">
        <v>7997</v>
      </c>
      <c r="O139">
        <v>8792</v>
      </c>
      <c r="P139">
        <v>9189</v>
      </c>
      <c r="Q139">
        <v>4404</v>
      </c>
      <c r="R139">
        <v>5708</v>
      </c>
      <c r="S139">
        <v>1500</v>
      </c>
      <c r="T139">
        <v>1500</v>
      </c>
      <c r="U139">
        <v>1000</v>
      </c>
      <c r="V139">
        <v>500</v>
      </c>
      <c r="W139">
        <v>2000</v>
      </c>
      <c r="X139">
        <v>546</v>
      </c>
      <c r="Y139">
        <v>0</v>
      </c>
    </row>
    <row r="140" spans="1:25" x14ac:dyDescent="0.3">
      <c r="A140">
        <v>139</v>
      </c>
      <c r="B140">
        <v>50000</v>
      </c>
      <c r="C140">
        <v>2</v>
      </c>
      <c r="D140">
        <v>3</v>
      </c>
      <c r="E140">
        <v>1</v>
      </c>
      <c r="F140">
        <v>51</v>
      </c>
      <c r="G140">
        <v>-1</v>
      </c>
      <c r="H140">
        <v>-1</v>
      </c>
      <c r="I140">
        <v>-1</v>
      </c>
      <c r="J140">
        <v>-1</v>
      </c>
      <c r="K140">
        <v>-2</v>
      </c>
      <c r="L140">
        <v>-2</v>
      </c>
      <c r="M140">
        <v>752</v>
      </c>
      <c r="N140">
        <v>300</v>
      </c>
      <c r="O140">
        <v>5880</v>
      </c>
      <c r="P140">
        <v>0</v>
      </c>
      <c r="Q140">
        <v>0</v>
      </c>
      <c r="R140">
        <v>0</v>
      </c>
      <c r="S140">
        <v>300</v>
      </c>
      <c r="T140">
        <v>5880</v>
      </c>
      <c r="U140">
        <v>0</v>
      </c>
      <c r="V140">
        <v>0</v>
      </c>
      <c r="W140">
        <v>0</v>
      </c>
      <c r="X140">
        <v>0</v>
      </c>
      <c r="Y140">
        <v>1</v>
      </c>
    </row>
    <row r="141" spans="1:25" x14ac:dyDescent="0.3">
      <c r="A141">
        <v>140</v>
      </c>
      <c r="B141">
        <v>50000</v>
      </c>
      <c r="C141">
        <v>1</v>
      </c>
      <c r="D141">
        <v>1</v>
      </c>
      <c r="E141">
        <v>2</v>
      </c>
      <c r="F141">
        <v>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50801</v>
      </c>
      <c r="N141">
        <v>50143</v>
      </c>
      <c r="O141">
        <v>49586</v>
      </c>
      <c r="P141">
        <v>19430</v>
      </c>
      <c r="Q141">
        <v>19375</v>
      </c>
      <c r="R141">
        <v>18995</v>
      </c>
      <c r="S141">
        <v>2360</v>
      </c>
      <c r="T141">
        <v>1700</v>
      </c>
      <c r="U141">
        <v>1000</v>
      </c>
      <c r="V141">
        <v>900</v>
      </c>
      <c r="W141">
        <v>870</v>
      </c>
      <c r="X141">
        <v>2130</v>
      </c>
      <c r="Y141">
        <v>0</v>
      </c>
    </row>
    <row r="142" spans="1:25" x14ac:dyDescent="0.3">
      <c r="A142">
        <v>141</v>
      </c>
      <c r="B142">
        <v>240000</v>
      </c>
      <c r="C142">
        <v>1</v>
      </c>
      <c r="D142">
        <v>1</v>
      </c>
      <c r="E142">
        <v>2</v>
      </c>
      <c r="F142">
        <v>47</v>
      </c>
      <c r="G142">
        <v>1</v>
      </c>
      <c r="H142">
        <v>-2</v>
      </c>
      <c r="I142">
        <v>-2</v>
      </c>
      <c r="J142">
        <v>-2</v>
      </c>
      <c r="K142">
        <v>-2</v>
      </c>
      <c r="L142">
        <v>-2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</row>
    <row r="143" spans="1:25" x14ac:dyDescent="0.3">
      <c r="A143">
        <v>142</v>
      </c>
      <c r="B143">
        <v>180000</v>
      </c>
      <c r="C143">
        <v>1</v>
      </c>
      <c r="D143">
        <v>2</v>
      </c>
      <c r="E143">
        <v>2</v>
      </c>
      <c r="F143">
        <v>28</v>
      </c>
      <c r="G143">
        <v>-1</v>
      </c>
      <c r="H143">
        <v>-1</v>
      </c>
      <c r="I143">
        <v>-1</v>
      </c>
      <c r="J143">
        <v>-1</v>
      </c>
      <c r="K143">
        <v>-1</v>
      </c>
      <c r="L143">
        <v>-1</v>
      </c>
      <c r="M143">
        <v>1832</v>
      </c>
      <c r="N143">
        <v>0</v>
      </c>
      <c r="O143">
        <v>832</v>
      </c>
      <c r="P143">
        <v>332</v>
      </c>
      <c r="Q143">
        <v>416</v>
      </c>
      <c r="R143">
        <v>416</v>
      </c>
      <c r="S143">
        <v>0</v>
      </c>
      <c r="T143">
        <v>416</v>
      </c>
      <c r="U143">
        <v>332</v>
      </c>
      <c r="V143">
        <v>500</v>
      </c>
      <c r="W143">
        <v>3500</v>
      </c>
      <c r="X143">
        <v>832</v>
      </c>
      <c r="Y143">
        <v>0</v>
      </c>
    </row>
    <row r="144" spans="1:25" x14ac:dyDescent="0.3">
      <c r="A144">
        <v>143</v>
      </c>
      <c r="B144">
        <v>50000</v>
      </c>
      <c r="C144">
        <v>1</v>
      </c>
      <c r="D144">
        <v>2</v>
      </c>
      <c r="E144">
        <v>2</v>
      </c>
      <c r="F144">
        <v>23</v>
      </c>
      <c r="G144">
        <v>1</v>
      </c>
      <c r="H144">
        <v>2</v>
      </c>
      <c r="I144">
        <v>2</v>
      </c>
      <c r="J144">
        <v>2</v>
      </c>
      <c r="K144">
        <v>0</v>
      </c>
      <c r="L144">
        <v>0</v>
      </c>
      <c r="M144">
        <v>10131</v>
      </c>
      <c r="N144">
        <v>10833</v>
      </c>
      <c r="O144">
        <v>20583</v>
      </c>
      <c r="P144">
        <v>19996</v>
      </c>
      <c r="Q144">
        <v>19879</v>
      </c>
      <c r="R144">
        <v>18065</v>
      </c>
      <c r="S144">
        <v>1000</v>
      </c>
      <c r="T144">
        <v>10000</v>
      </c>
      <c r="U144">
        <v>400</v>
      </c>
      <c r="V144">
        <v>700</v>
      </c>
      <c r="W144">
        <v>800</v>
      </c>
      <c r="X144">
        <v>600</v>
      </c>
      <c r="Y144">
        <v>0</v>
      </c>
    </row>
    <row r="145" spans="1:25" x14ac:dyDescent="0.3">
      <c r="A145">
        <v>144</v>
      </c>
      <c r="B145">
        <v>170000</v>
      </c>
      <c r="C145">
        <v>1</v>
      </c>
      <c r="D145">
        <v>2</v>
      </c>
      <c r="E145">
        <v>2</v>
      </c>
      <c r="F145">
        <v>29</v>
      </c>
      <c r="G145">
        <v>-2</v>
      </c>
      <c r="H145">
        <v>-2</v>
      </c>
      <c r="I145">
        <v>-2</v>
      </c>
      <c r="J145">
        <v>-2</v>
      </c>
      <c r="K145">
        <v>-2</v>
      </c>
      <c r="L145">
        <v>-2</v>
      </c>
      <c r="M145">
        <v>12159</v>
      </c>
      <c r="N145">
        <v>10000</v>
      </c>
      <c r="O145">
        <v>10000</v>
      </c>
      <c r="P145">
        <v>10000</v>
      </c>
      <c r="Q145">
        <v>9983</v>
      </c>
      <c r="R145">
        <v>15846</v>
      </c>
      <c r="S145">
        <v>10000</v>
      </c>
      <c r="T145">
        <v>10000</v>
      </c>
      <c r="U145">
        <v>10000</v>
      </c>
      <c r="V145">
        <v>9983</v>
      </c>
      <c r="W145">
        <v>15863</v>
      </c>
      <c r="X145">
        <v>10000</v>
      </c>
      <c r="Y145">
        <v>0</v>
      </c>
    </row>
    <row r="146" spans="1:25" x14ac:dyDescent="0.3">
      <c r="A146">
        <v>145</v>
      </c>
      <c r="B146">
        <v>20000</v>
      </c>
      <c r="C146">
        <v>1</v>
      </c>
      <c r="D146">
        <v>1</v>
      </c>
      <c r="E146">
        <v>2</v>
      </c>
      <c r="F146">
        <v>29</v>
      </c>
      <c r="G146">
        <v>-1</v>
      </c>
      <c r="H146">
        <v>-1</v>
      </c>
      <c r="I146">
        <v>-1</v>
      </c>
      <c r="J146">
        <v>-1</v>
      </c>
      <c r="K146">
        <v>0</v>
      </c>
      <c r="L146">
        <v>-1</v>
      </c>
      <c r="M146">
        <v>1199</v>
      </c>
      <c r="N146">
        <v>15586</v>
      </c>
      <c r="O146">
        <v>344</v>
      </c>
      <c r="P146">
        <v>2340</v>
      </c>
      <c r="Q146">
        <v>6702</v>
      </c>
      <c r="R146">
        <v>339</v>
      </c>
      <c r="S146">
        <v>15586</v>
      </c>
      <c r="T146">
        <v>344</v>
      </c>
      <c r="U146">
        <v>2340</v>
      </c>
      <c r="V146">
        <v>4702</v>
      </c>
      <c r="W146">
        <v>339</v>
      </c>
      <c r="X146">
        <v>330</v>
      </c>
      <c r="Y146">
        <v>0</v>
      </c>
    </row>
    <row r="147" spans="1:25" x14ac:dyDescent="0.3">
      <c r="A147">
        <v>146</v>
      </c>
      <c r="B147">
        <v>50000</v>
      </c>
      <c r="C147">
        <v>1</v>
      </c>
      <c r="D147">
        <v>1</v>
      </c>
      <c r="E147">
        <v>2</v>
      </c>
      <c r="F147">
        <v>28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</v>
      </c>
      <c r="M147">
        <v>4999</v>
      </c>
      <c r="N147">
        <v>5913</v>
      </c>
      <c r="O147">
        <v>7315</v>
      </c>
      <c r="P147">
        <v>9195</v>
      </c>
      <c r="Q147">
        <v>10624</v>
      </c>
      <c r="R147">
        <v>10138</v>
      </c>
      <c r="S147">
        <v>1000</v>
      </c>
      <c r="T147">
        <v>1500</v>
      </c>
      <c r="U147">
        <v>2000</v>
      </c>
      <c r="V147">
        <v>1583</v>
      </c>
      <c r="W147">
        <v>1100</v>
      </c>
      <c r="X147">
        <v>0</v>
      </c>
      <c r="Y147">
        <v>0</v>
      </c>
    </row>
    <row r="148" spans="1:25" x14ac:dyDescent="0.3">
      <c r="A148">
        <v>147</v>
      </c>
      <c r="B148">
        <v>170000</v>
      </c>
      <c r="C148">
        <v>2</v>
      </c>
      <c r="D148">
        <v>2</v>
      </c>
      <c r="E148">
        <v>2</v>
      </c>
      <c r="F148">
        <v>27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19269</v>
      </c>
      <c r="N148">
        <v>20313</v>
      </c>
      <c r="O148">
        <v>20852</v>
      </c>
      <c r="P148">
        <v>17560</v>
      </c>
      <c r="Q148">
        <v>17918</v>
      </c>
      <c r="R148">
        <v>9100</v>
      </c>
      <c r="S148">
        <v>1661</v>
      </c>
      <c r="T148">
        <v>1200</v>
      </c>
      <c r="U148">
        <v>351</v>
      </c>
      <c r="V148">
        <v>358</v>
      </c>
      <c r="W148">
        <v>182</v>
      </c>
      <c r="X148">
        <v>0</v>
      </c>
      <c r="Y148">
        <v>1</v>
      </c>
    </row>
    <row r="149" spans="1:25" x14ac:dyDescent="0.3">
      <c r="A149">
        <v>148</v>
      </c>
      <c r="B149">
        <v>200000</v>
      </c>
      <c r="C149">
        <v>1</v>
      </c>
      <c r="D149">
        <v>1</v>
      </c>
      <c r="E149">
        <v>2</v>
      </c>
      <c r="F149">
        <v>34</v>
      </c>
      <c r="G149">
        <v>1</v>
      </c>
      <c r="H149">
        <v>2</v>
      </c>
      <c r="I149">
        <v>0</v>
      </c>
      <c r="J149">
        <v>0</v>
      </c>
      <c r="K149">
        <v>0</v>
      </c>
      <c r="L149">
        <v>0</v>
      </c>
      <c r="M149">
        <v>197236</v>
      </c>
      <c r="N149">
        <v>176192</v>
      </c>
      <c r="O149">
        <v>93069</v>
      </c>
      <c r="P149">
        <v>135668</v>
      </c>
      <c r="Q149">
        <v>132233</v>
      </c>
      <c r="R149">
        <v>59875</v>
      </c>
      <c r="S149">
        <v>8000</v>
      </c>
      <c r="T149">
        <v>5000</v>
      </c>
      <c r="U149">
        <v>55500</v>
      </c>
      <c r="V149">
        <v>5000</v>
      </c>
      <c r="W149">
        <v>5000</v>
      </c>
      <c r="X149">
        <v>8500</v>
      </c>
      <c r="Y149">
        <v>0</v>
      </c>
    </row>
    <row r="150" spans="1:25" x14ac:dyDescent="0.3">
      <c r="A150">
        <v>149</v>
      </c>
      <c r="B150">
        <v>80000</v>
      </c>
      <c r="C150">
        <v>2</v>
      </c>
      <c r="D150">
        <v>2</v>
      </c>
      <c r="E150">
        <v>1</v>
      </c>
      <c r="F150">
        <v>23</v>
      </c>
      <c r="G150">
        <v>1</v>
      </c>
      <c r="H150">
        <v>2</v>
      </c>
      <c r="I150">
        <v>3</v>
      </c>
      <c r="J150">
        <v>2</v>
      </c>
      <c r="K150">
        <v>0</v>
      </c>
      <c r="L150">
        <v>0</v>
      </c>
      <c r="M150">
        <v>9168</v>
      </c>
      <c r="N150">
        <v>10522</v>
      </c>
      <c r="O150">
        <v>10205</v>
      </c>
      <c r="P150">
        <v>9898</v>
      </c>
      <c r="Q150">
        <v>10123</v>
      </c>
      <c r="R150">
        <v>12034</v>
      </c>
      <c r="S150">
        <v>1650</v>
      </c>
      <c r="T150">
        <v>0</v>
      </c>
      <c r="U150">
        <v>0</v>
      </c>
      <c r="V150">
        <v>379</v>
      </c>
      <c r="W150">
        <v>2091</v>
      </c>
      <c r="X150">
        <v>1</v>
      </c>
      <c r="Y150">
        <v>0</v>
      </c>
    </row>
    <row r="151" spans="1:25" x14ac:dyDescent="0.3">
      <c r="A151">
        <v>150</v>
      </c>
      <c r="B151">
        <v>260000</v>
      </c>
      <c r="C151">
        <v>2</v>
      </c>
      <c r="D151">
        <v>1</v>
      </c>
      <c r="E151">
        <v>1</v>
      </c>
      <c r="F151">
        <v>60</v>
      </c>
      <c r="G151">
        <v>1</v>
      </c>
      <c r="H151">
        <v>-2</v>
      </c>
      <c r="I151">
        <v>-1</v>
      </c>
      <c r="J151">
        <v>-1</v>
      </c>
      <c r="K151">
        <v>-1</v>
      </c>
      <c r="L151">
        <v>-1</v>
      </c>
      <c r="M151">
        <v>-1100</v>
      </c>
      <c r="N151">
        <v>-1100</v>
      </c>
      <c r="O151">
        <v>21400</v>
      </c>
      <c r="P151">
        <v>0</v>
      </c>
      <c r="Q151">
        <v>969</v>
      </c>
      <c r="R151">
        <v>869</v>
      </c>
      <c r="S151">
        <v>0</v>
      </c>
      <c r="T151">
        <v>22500</v>
      </c>
      <c r="U151">
        <v>0</v>
      </c>
      <c r="V151">
        <v>969</v>
      </c>
      <c r="W151">
        <v>1000</v>
      </c>
      <c r="X151">
        <v>0</v>
      </c>
      <c r="Y151">
        <v>0</v>
      </c>
    </row>
    <row r="152" spans="1:25" x14ac:dyDescent="0.3">
      <c r="A152">
        <v>151</v>
      </c>
      <c r="B152">
        <v>140000</v>
      </c>
      <c r="C152">
        <v>1</v>
      </c>
      <c r="D152">
        <v>2</v>
      </c>
      <c r="E152">
        <v>1</v>
      </c>
      <c r="F152">
        <v>32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0</v>
      </c>
      <c r="M152">
        <v>86627</v>
      </c>
      <c r="N152">
        <v>78142</v>
      </c>
      <c r="O152">
        <v>68336</v>
      </c>
      <c r="P152">
        <v>64648</v>
      </c>
      <c r="Q152">
        <v>58319</v>
      </c>
      <c r="R152">
        <v>55251</v>
      </c>
      <c r="S152">
        <v>3455</v>
      </c>
      <c r="T152">
        <v>3110</v>
      </c>
      <c r="U152">
        <v>5000</v>
      </c>
      <c r="V152">
        <v>0</v>
      </c>
      <c r="W152">
        <v>2100</v>
      </c>
      <c r="X152">
        <v>2602</v>
      </c>
      <c r="Y152">
        <v>0</v>
      </c>
    </row>
    <row r="153" spans="1:25" x14ac:dyDescent="0.3">
      <c r="A153">
        <v>152</v>
      </c>
      <c r="B153">
        <v>80000</v>
      </c>
      <c r="C153">
        <v>1</v>
      </c>
      <c r="D153">
        <v>1</v>
      </c>
      <c r="E153">
        <v>2</v>
      </c>
      <c r="F153">
        <v>25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42444</v>
      </c>
      <c r="N153">
        <v>55744</v>
      </c>
      <c r="O153">
        <v>43476</v>
      </c>
      <c r="P153">
        <v>41087</v>
      </c>
      <c r="Q153">
        <v>41951</v>
      </c>
      <c r="R153">
        <v>31826</v>
      </c>
      <c r="S153">
        <v>30000</v>
      </c>
      <c r="T153">
        <v>3000</v>
      </c>
      <c r="U153">
        <v>6000</v>
      </c>
      <c r="V153">
        <v>8000</v>
      </c>
      <c r="W153">
        <v>2000</v>
      </c>
      <c r="X153">
        <v>14000</v>
      </c>
      <c r="Y153">
        <v>0</v>
      </c>
    </row>
    <row r="154" spans="1:25" x14ac:dyDescent="0.3">
      <c r="A154">
        <v>153</v>
      </c>
      <c r="B154">
        <v>350000</v>
      </c>
      <c r="C154">
        <v>1</v>
      </c>
      <c r="D154">
        <v>1</v>
      </c>
      <c r="E154">
        <v>2</v>
      </c>
      <c r="F154">
        <v>41</v>
      </c>
      <c r="G154">
        <v>1</v>
      </c>
      <c r="H154">
        <v>-1</v>
      </c>
      <c r="I154">
        <v>-1</v>
      </c>
      <c r="J154">
        <v>-1</v>
      </c>
      <c r="K154">
        <v>-1</v>
      </c>
      <c r="L154">
        <v>-2</v>
      </c>
      <c r="M154">
        <v>208</v>
      </c>
      <c r="N154">
        <v>2906</v>
      </c>
      <c r="O154">
        <v>1000</v>
      </c>
      <c r="P154">
        <v>630</v>
      </c>
      <c r="Q154">
        <v>0</v>
      </c>
      <c r="R154">
        <v>0</v>
      </c>
      <c r="S154">
        <v>2906</v>
      </c>
      <c r="T154">
        <v>1000</v>
      </c>
      <c r="U154">
        <v>630</v>
      </c>
      <c r="V154">
        <v>0</v>
      </c>
      <c r="W154">
        <v>0</v>
      </c>
      <c r="X154">
        <v>0</v>
      </c>
      <c r="Y154">
        <v>0</v>
      </c>
    </row>
    <row r="155" spans="1:25" x14ac:dyDescent="0.3">
      <c r="A155">
        <v>154</v>
      </c>
      <c r="B155">
        <v>280000</v>
      </c>
      <c r="C155">
        <v>2</v>
      </c>
      <c r="D155">
        <v>2</v>
      </c>
      <c r="E155">
        <v>1</v>
      </c>
      <c r="F155">
        <v>56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208775</v>
      </c>
      <c r="N155">
        <v>182350</v>
      </c>
      <c r="O155">
        <v>132257</v>
      </c>
      <c r="P155">
        <v>101783</v>
      </c>
      <c r="Q155">
        <v>177145</v>
      </c>
      <c r="R155">
        <v>169311</v>
      </c>
      <c r="S155">
        <v>8042</v>
      </c>
      <c r="T155">
        <v>6700</v>
      </c>
      <c r="U155">
        <v>5137</v>
      </c>
      <c r="V155">
        <v>100000</v>
      </c>
      <c r="W155">
        <v>7000</v>
      </c>
      <c r="X155">
        <v>6321</v>
      </c>
      <c r="Y155">
        <v>0</v>
      </c>
    </row>
    <row r="156" spans="1:25" x14ac:dyDescent="0.3">
      <c r="A156">
        <v>155</v>
      </c>
      <c r="B156">
        <v>30000</v>
      </c>
      <c r="C156">
        <v>2</v>
      </c>
      <c r="D156">
        <v>3</v>
      </c>
      <c r="E156">
        <v>2</v>
      </c>
      <c r="F156">
        <v>26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9014</v>
      </c>
      <c r="N156">
        <v>10406</v>
      </c>
      <c r="O156">
        <v>11427</v>
      </c>
      <c r="P156">
        <v>11935</v>
      </c>
      <c r="Q156">
        <v>13084</v>
      </c>
      <c r="R156">
        <v>14206</v>
      </c>
      <c r="S156">
        <v>1700</v>
      </c>
      <c r="T156">
        <v>1500</v>
      </c>
      <c r="U156">
        <v>1000</v>
      </c>
      <c r="V156">
        <v>1500</v>
      </c>
      <c r="W156">
        <v>1500</v>
      </c>
      <c r="X156">
        <v>1500</v>
      </c>
      <c r="Y156">
        <v>0</v>
      </c>
    </row>
    <row r="157" spans="1:25" x14ac:dyDescent="0.3">
      <c r="A157">
        <v>156</v>
      </c>
      <c r="B157">
        <v>140000</v>
      </c>
      <c r="C157">
        <v>1</v>
      </c>
      <c r="D157">
        <v>1</v>
      </c>
      <c r="E157">
        <v>1</v>
      </c>
      <c r="F157">
        <v>34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23944</v>
      </c>
      <c r="N157">
        <v>28049</v>
      </c>
      <c r="O157">
        <v>32073</v>
      </c>
      <c r="P157">
        <v>43129</v>
      </c>
      <c r="Q157">
        <v>47086</v>
      </c>
      <c r="R157">
        <v>48699</v>
      </c>
      <c r="S157">
        <v>5000</v>
      </c>
      <c r="T157">
        <v>5000</v>
      </c>
      <c r="U157">
        <v>11885</v>
      </c>
      <c r="V157">
        <v>5000</v>
      </c>
      <c r="W157">
        <v>3000</v>
      </c>
      <c r="X157">
        <v>5504</v>
      </c>
      <c r="Y157">
        <v>0</v>
      </c>
    </row>
    <row r="158" spans="1:25" x14ac:dyDescent="0.3">
      <c r="A158">
        <v>157</v>
      </c>
      <c r="B158">
        <v>200000</v>
      </c>
      <c r="C158">
        <v>2</v>
      </c>
      <c r="D158">
        <v>1</v>
      </c>
      <c r="E158">
        <v>2</v>
      </c>
      <c r="F158">
        <v>37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105420</v>
      </c>
      <c r="N158">
        <v>102870</v>
      </c>
      <c r="O158">
        <v>89643</v>
      </c>
      <c r="P158">
        <v>90938</v>
      </c>
      <c r="Q158">
        <v>92505</v>
      </c>
      <c r="R158">
        <v>94031</v>
      </c>
      <c r="S158">
        <v>4000</v>
      </c>
      <c r="T158">
        <v>3250</v>
      </c>
      <c r="U158">
        <v>3250</v>
      </c>
      <c r="V158">
        <v>3500</v>
      </c>
      <c r="W158">
        <v>3560</v>
      </c>
      <c r="X158">
        <v>5000</v>
      </c>
      <c r="Y158">
        <v>0</v>
      </c>
    </row>
    <row r="159" spans="1:25" x14ac:dyDescent="0.3">
      <c r="A159">
        <v>158</v>
      </c>
      <c r="B159">
        <v>200000</v>
      </c>
      <c r="C159">
        <v>2</v>
      </c>
      <c r="D159">
        <v>3</v>
      </c>
      <c r="E159">
        <v>2</v>
      </c>
      <c r="F159">
        <v>30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196031</v>
      </c>
      <c r="N159">
        <v>196143</v>
      </c>
      <c r="O159">
        <v>189524</v>
      </c>
      <c r="P159">
        <v>167163</v>
      </c>
      <c r="Q159">
        <v>146975</v>
      </c>
      <c r="R159">
        <v>122324</v>
      </c>
      <c r="S159">
        <v>7300</v>
      </c>
      <c r="T159">
        <v>7108</v>
      </c>
      <c r="U159">
        <v>7680</v>
      </c>
      <c r="V159">
        <v>6200</v>
      </c>
      <c r="W159">
        <v>5000</v>
      </c>
      <c r="X159">
        <v>4500</v>
      </c>
      <c r="Y159">
        <v>0</v>
      </c>
    </row>
    <row r="160" spans="1:25" x14ac:dyDescent="0.3">
      <c r="A160">
        <v>159</v>
      </c>
      <c r="B160">
        <v>210000</v>
      </c>
      <c r="C160">
        <v>1</v>
      </c>
      <c r="D160">
        <v>3</v>
      </c>
      <c r="E160">
        <v>1</v>
      </c>
      <c r="F160">
        <v>45</v>
      </c>
      <c r="G160">
        <v>2</v>
      </c>
      <c r="H160">
        <v>3</v>
      </c>
      <c r="I160">
        <v>4</v>
      </c>
      <c r="J160">
        <v>4</v>
      </c>
      <c r="K160">
        <v>5</v>
      </c>
      <c r="L160">
        <v>6</v>
      </c>
      <c r="M160">
        <v>115785</v>
      </c>
      <c r="N160">
        <v>122904</v>
      </c>
      <c r="O160">
        <v>129847</v>
      </c>
      <c r="P160">
        <v>137277</v>
      </c>
      <c r="Q160">
        <v>145533</v>
      </c>
      <c r="R160">
        <v>154105</v>
      </c>
      <c r="S160">
        <v>10478</v>
      </c>
      <c r="T160">
        <v>10478</v>
      </c>
      <c r="U160">
        <v>11078</v>
      </c>
      <c r="V160">
        <v>11078</v>
      </c>
      <c r="W160">
        <v>11678</v>
      </c>
      <c r="X160">
        <v>10478</v>
      </c>
      <c r="Y160">
        <v>1</v>
      </c>
    </row>
    <row r="161" spans="1:25" x14ac:dyDescent="0.3">
      <c r="A161">
        <v>160</v>
      </c>
      <c r="B161">
        <v>50000</v>
      </c>
      <c r="C161">
        <v>1</v>
      </c>
      <c r="D161">
        <v>3</v>
      </c>
      <c r="E161">
        <v>1</v>
      </c>
      <c r="F161">
        <v>57</v>
      </c>
      <c r="G161">
        <v>3</v>
      </c>
      <c r="H161">
        <v>2</v>
      </c>
      <c r="I161">
        <v>0</v>
      </c>
      <c r="J161">
        <v>0</v>
      </c>
      <c r="K161">
        <v>0</v>
      </c>
      <c r="L161">
        <v>0</v>
      </c>
      <c r="M161">
        <v>12854</v>
      </c>
      <c r="N161">
        <v>12362</v>
      </c>
      <c r="O161">
        <v>13447</v>
      </c>
      <c r="P161">
        <v>13427</v>
      </c>
      <c r="Q161">
        <v>13711</v>
      </c>
      <c r="R161">
        <v>14083</v>
      </c>
      <c r="S161">
        <v>0</v>
      </c>
      <c r="T161">
        <v>1600</v>
      </c>
      <c r="U161">
        <v>500</v>
      </c>
      <c r="V161">
        <v>500</v>
      </c>
      <c r="W161">
        <v>600</v>
      </c>
      <c r="X161">
        <v>600</v>
      </c>
      <c r="Y161">
        <v>0</v>
      </c>
    </row>
    <row r="162" spans="1:25" x14ac:dyDescent="0.3">
      <c r="A162">
        <v>161</v>
      </c>
      <c r="B162">
        <v>30000</v>
      </c>
      <c r="C162">
        <v>1</v>
      </c>
      <c r="D162">
        <v>1</v>
      </c>
      <c r="E162">
        <v>2</v>
      </c>
      <c r="F162">
        <v>41</v>
      </c>
      <c r="G162">
        <v>2</v>
      </c>
      <c r="H162">
        <v>2</v>
      </c>
      <c r="I162">
        <v>2</v>
      </c>
      <c r="J162">
        <v>2</v>
      </c>
      <c r="K162">
        <v>2</v>
      </c>
      <c r="L162">
        <v>0</v>
      </c>
      <c r="M162">
        <v>24357</v>
      </c>
      <c r="N162">
        <v>27453</v>
      </c>
      <c r="O162">
        <v>26718</v>
      </c>
      <c r="P162">
        <v>28168</v>
      </c>
      <c r="Q162">
        <v>27579</v>
      </c>
      <c r="R162">
        <v>28321</v>
      </c>
      <c r="S162">
        <v>3500</v>
      </c>
      <c r="T162">
        <v>0</v>
      </c>
      <c r="U162">
        <v>2200</v>
      </c>
      <c r="V162">
        <v>0</v>
      </c>
      <c r="W162">
        <v>1200</v>
      </c>
      <c r="X162">
        <v>1250</v>
      </c>
      <c r="Y162">
        <v>0</v>
      </c>
    </row>
    <row r="163" spans="1:25" x14ac:dyDescent="0.3">
      <c r="A163">
        <v>162</v>
      </c>
      <c r="B163">
        <v>50000</v>
      </c>
      <c r="C163">
        <v>1</v>
      </c>
      <c r="D163">
        <v>2</v>
      </c>
      <c r="E163">
        <v>2</v>
      </c>
      <c r="F163">
        <v>27</v>
      </c>
      <c r="G163">
        <v>2</v>
      </c>
      <c r="H163">
        <v>-1</v>
      </c>
      <c r="I163">
        <v>-1</v>
      </c>
      <c r="J163">
        <v>-1</v>
      </c>
      <c r="K163">
        <v>-1</v>
      </c>
      <c r="L163">
        <v>2</v>
      </c>
      <c r="M163">
        <v>390</v>
      </c>
      <c r="N163">
        <v>390</v>
      </c>
      <c r="O163">
        <v>780</v>
      </c>
      <c r="P163">
        <v>216</v>
      </c>
      <c r="Q163">
        <v>1080</v>
      </c>
      <c r="R163">
        <v>540</v>
      </c>
      <c r="S163">
        <v>390</v>
      </c>
      <c r="T163">
        <v>780</v>
      </c>
      <c r="U163">
        <v>216</v>
      </c>
      <c r="V163">
        <v>864</v>
      </c>
      <c r="W163">
        <v>0</v>
      </c>
      <c r="X163">
        <v>390</v>
      </c>
      <c r="Y163">
        <v>0</v>
      </c>
    </row>
    <row r="164" spans="1:25" x14ac:dyDescent="0.3">
      <c r="A164">
        <v>163</v>
      </c>
      <c r="B164">
        <v>290000</v>
      </c>
      <c r="C164">
        <v>1</v>
      </c>
      <c r="D164">
        <v>3</v>
      </c>
      <c r="E164">
        <v>1</v>
      </c>
      <c r="F164">
        <v>47</v>
      </c>
      <c r="G164">
        <v>-1</v>
      </c>
      <c r="H164">
        <v>-1</v>
      </c>
      <c r="I164">
        <v>-1</v>
      </c>
      <c r="J164">
        <v>-1</v>
      </c>
      <c r="K164">
        <v>0</v>
      </c>
      <c r="L164">
        <v>-1</v>
      </c>
      <c r="M164">
        <v>1234</v>
      </c>
      <c r="N164">
        <v>396</v>
      </c>
      <c r="O164">
        <v>396</v>
      </c>
      <c r="P164">
        <v>792</v>
      </c>
      <c r="Q164">
        <v>396</v>
      </c>
      <c r="R164">
        <v>423</v>
      </c>
      <c r="S164">
        <v>396</v>
      </c>
      <c r="T164">
        <v>396</v>
      </c>
      <c r="U164">
        <v>792</v>
      </c>
      <c r="V164">
        <v>0</v>
      </c>
      <c r="W164">
        <v>423</v>
      </c>
      <c r="X164">
        <v>369</v>
      </c>
      <c r="Y164">
        <v>0</v>
      </c>
    </row>
    <row r="165" spans="1:25" x14ac:dyDescent="0.3">
      <c r="A165">
        <v>164</v>
      </c>
      <c r="B165">
        <v>250000</v>
      </c>
      <c r="C165">
        <v>2</v>
      </c>
      <c r="D165">
        <v>1</v>
      </c>
      <c r="E165">
        <v>1</v>
      </c>
      <c r="F165">
        <v>34</v>
      </c>
      <c r="G165">
        <v>0</v>
      </c>
      <c r="H165">
        <v>0</v>
      </c>
      <c r="I165">
        <v>2</v>
      </c>
      <c r="J165">
        <v>0</v>
      </c>
      <c r="K165">
        <v>0</v>
      </c>
      <c r="L165">
        <v>0</v>
      </c>
      <c r="M165">
        <v>141223</v>
      </c>
      <c r="N165">
        <v>156858</v>
      </c>
      <c r="O165">
        <v>151841</v>
      </c>
      <c r="P165">
        <v>152803</v>
      </c>
      <c r="Q165">
        <v>155997</v>
      </c>
      <c r="R165">
        <v>160220</v>
      </c>
      <c r="S165">
        <v>17994</v>
      </c>
      <c r="T165">
        <v>0</v>
      </c>
      <c r="U165">
        <v>5469</v>
      </c>
      <c r="V165">
        <v>5656</v>
      </c>
      <c r="W165">
        <v>6811</v>
      </c>
      <c r="X165">
        <v>3920</v>
      </c>
      <c r="Y165">
        <v>0</v>
      </c>
    </row>
    <row r="166" spans="1:25" x14ac:dyDescent="0.3">
      <c r="A166">
        <v>165</v>
      </c>
      <c r="B166">
        <v>60000</v>
      </c>
      <c r="C166">
        <v>2</v>
      </c>
      <c r="D166">
        <v>2</v>
      </c>
      <c r="E166">
        <v>1</v>
      </c>
      <c r="F166">
        <v>46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21148</v>
      </c>
      <c r="N166">
        <v>23803</v>
      </c>
      <c r="O166">
        <v>24908</v>
      </c>
      <c r="P166">
        <v>26034</v>
      </c>
      <c r="Q166">
        <v>26655</v>
      </c>
      <c r="R166">
        <v>27756</v>
      </c>
      <c r="S166">
        <v>3000</v>
      </c>
      <c r="T166">
        <v>1500</v>
      </c>
      <c r="U166">
        <v>1500</v>
      </c>
      <c r="V166">
        <v>1000</v>
      </c>
      <c r="W166">
        <v>1500</v>
      </c>
      <c r="X166">
        <v>1500</v>
      </c>
      <c r="Y166">
        <v>0</v>
      </c>
    </row>
    <row r="167" spans="1:25" x14ac:dyDescent="0.3">
      <c r="A167">
        <v>166</v>
      </c>
      <c r="B167">
        <v>110000</v>
      </c>
      <c r="C167">
        <v>2</v>
      </c>
      <c r="D167">
        <v>1</v>
      </c>
      <c r="E167">
        <v>2</v>
      </c>
      <c r="F167">
        <v>27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101640</v>
      </c>
      <c r="N167">
        <v>104795</v>
      </c>
      <c r="O167">
        <v>104855</v>
      </c>
      <c r="P167">
        <v>74737</v>
      </c>
      <c r="Q167">
        <v>76058</v>
      </c>
      <c r="R167">
        <v>77254</v>
      </c>
      <c r="S167">
        <v>5500</v>
      </c>
      <c r="T167">
        <v>3900</v>
      </c>
      <c r="U167">
        <v>3000</v>
      </c>
      <c r="V167">
        <v>2900</v>
      </c>
      <c r="W167">
        <v>3000</v>
      </c>
      <c r="X167">
        <v>2800</v>
      </c>
      <c r="Y167">
        <v>0</v>
      </c>
    </row>
    <row r="168" spans="1:25" x14ac:dyDescent="0.3">
      <c r="A168">
        <v>167</v>
      </c>
      <c r="B168">
        <v>370000</v>
      </c>
      <c r="C168">
        <v>1</v>
      </c>
      <c r="D168">
        <v>1</v>
      </c>
      <c r="E168">
        <v>2</v>
      </c>
      <c r="F168">
        <v>50</v>
      </c>
      <c r="G168">
        <v>-2</v>
      </c>
      <c r="H168">
        <v>-2</v>
      </c>
      <c r="I168">
        <v>-2</v>
      </c>
      <c r="J168">
        <v>-2</v>
      </c>
      <c r="K168">
        <v>-2</v>
      </c>
      <c r="L168">
        <v>-2</v>
      </c>
      <c r="M168">
        <v>6093</v>
      </c>
      <c r="N168">
        <v>15130</v>
      </c>
      <c r="O168">
        <v>8204</v>
      </c>
      <c r="P168">
        <v>15398</v>
      </c>
      <c r="Q168">
        <v>4792</v>
      </c>
      <c r="R168">
        <v>13453</v>
      </c>
      <c r="S168">
        <v>15383</v>
      </c>
      <c r="T168">
        <v>8204</v>
      </c>
      <c r="U168">
        <v>15413</v>
      </c>
      <c r="V168">
        <v>4792</v>
      </c>
      <c r="W168">
        <v>13453</v>
      </c>
      <c r="X168">
        <v>4699</v>
      </c>
      <c r="Y168">
        <v>0</v>
      </c>
    </row>
    <row r="169" spans="1:25" x14ac:dyDescent="0.3">
      <c r="A169">
        <v>168</v>
      </c>
      <c r="B169">
        <v>100000</v>
      </c>
      <c r="C169">
        <v>1</v>
      </c>
      <c r="D169">
        <v>2</v>
      </c>
      <c r="E169">
        <v>1</v>
      </c>
      <c r="F169">
        <v>27</v>
      </c>
      <c r="G169">
        <v>-1</v>
      </c>
      <c r="H169">
        <v>2</v>
      </c>
      <c r="I169">
        <v>2</v>
      </c>
      <c r="J169">
        <v>0</v>
      </c>
      <c r="K169">
        <v>0</v>
      </c>
      <c r="L169">
        <v>0</v>
      </c>
      <c r="M169">
        <v>102349</v>
      </c>
      <c r="N169">
        <v>96847</v>
      </c>
      <c r="O169">
        <v>58824</v>
      </c>
      <c r="P169">
        <v>29336</v>
      </c>
      <c r="Q169">
        <v>22979</v>
      </c>
      <c r="R169">
        <v>-246</v>
      </c>
      <c r="S169">
        <v>3166</v>
      </c>
      <c r="T169">
        <v>0</v>
      </c>
      <c r="U169">
        <v>1330</v>
      </c>
      <c r="V169">
        <v>1398</v>
      </c>
      <c r="W169">
        <v>12</v>
      </c>
      <c r="X169">
        <v>50000</v>
      </c>
      <c r="Y169">
        <v>0</v>
      </c>
    </row>
    <row r="170" spans="1:25" x14ac:dyDescent="0.3">
      <c r="A170">
        <v>169</v>
      </c>
      <c r="B170">
        <v>90000</v>
      </c>
      <c r="C170">
        <v>2</v>
      </c>
      <c r="D170">
        <v>2</v>
      </c>
      <c r="E170">
        <v>1</v>
      </c>
      <c r="F170">
        <v>35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</v>
      </c>
      <c r="M170">
        <v>72112</v>
      </c>
      <c r="N170">
        <v>73854</v>
      </c>
      <c r="O170">
        <v>75526</v>
      </c>
      <c r="P170">
        <v>77317</v>
      </c>
      <c r="Q170">
        <v>85852</v>
      </c>
      <c r="R170">
        <v>88290</v>
      </c>
      <c r="S170">
        <v>3500</v>
      </c>
      <c r="T170">
        <v>3500</v>
      </c>
      <c r="U170">
        <v>3652</v>
      </c>
      <c r="V170">
        <v>10000</v>
      </c>
      <c r="W170">
        <v>4000</v>
      </c>
      <c r="X170">
        <v>0</v>
      </c>
      <c r="Y170">
        <v>0</v>
      </c>
    </row>
    <row r="171" spans="1:25" x14ac:dyDescent="0.3">
      <c r="A171">
        <v>170</v>
      </c>
      <c r="B171">
        <v>50000</v>
      </c>
      <c r="C171">
        <v>2</v>
      </c>
      <c r="D171">
        <v>2</v>
      </c>
      <c r="E171">
        <v>2</v>
      </c>
      <c r="F171">
        <v>22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28040</v>
      </c>
      <c r="N171">
        <v>29092</v>
      </c>
      <c r="O171">
        <v>29366</v>
      </c>
      <c r="P171">
        <v>27737</v>
      </c>
      <c r="Q171">
        <v>28318</v>
      </c>
      <c r="R171">
        <v>28806</v>
      </c>
      <c r="S171">
        <v>1510</v>
      </c>
      <c r="T171">
        <v>1442</v>
      </c>
      <c r="U171">
        <v>982</v>
      </c>
      <c r="V171">
        <v>1017</v>
      </c>
      <c r="W171">
        <v>1277</v>
      </c>
      <c r="X171">
        <v>567</v>
      </c>
      <c r="Y171">
        <v>0</v>
      </c>
    </row>
    <row r="172" spans="1:25" x14ac:dyDescent="0.3">
      <c r="A172">
        <v>171</v>
      </c>
      <c r="B172">
        <v>270000</v>
      </c>
      <c r="C172">
        <v>1</v>
      </c>
      <c r="D172">
        <v>2</v>
      </c>
      <c r="E172">
        <v>2</v>
      </c>
      <c r="F172">
        <v>37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37695</v>
      </c>
      <c r="N172">
        <v>33397</v>
      </c>
      <c r="O172">
        <v>30534</v>
      </c>
      <c r="P172">
        <v>27598</v>
      </c>
      <c r="Q172">
        <v>26344</v>
      </c>
      <c r="R172">
        <v>24641</v>
      </c>
      <c r="S172">
        <v>5000</v>
      </c>
      <c r="T172">
        <v>2000</v>
      </c>
      <c r="U172">
        <v>3000</v>
      </c>
      <c r="V172">
        <v>4000</v>
      </c>
      <c r="W172">
        <v>3000</v>
      </c>
      <c r="X172">
        <v>2000</v>
      </c>
      <c r="Y172">
        <v>0</v>
      </c>
    </row>
    <row r="173" spans="1:25" x14ac:dyDescent="0.3">
      <c r="A173">
        <v>172</v>
      </c>
      <c r="B173">
        <v>300000</v>
      </c>
      <c r="C173">
        <v>2</v>
      </c>
      <c r="D173">
        <v>1</v>
      </c>
      <c r="E173">
        <v>2</v>
      </c>
      <c r="F173">
        <v>30</v>
      </c>
      <c r="G173">
        <v>-1</v>
      </c>
      <c r="H173">
        <v>-1</v>
      </c>
      <c r="I173">
        <v>-1</v>
      </c>
      <c r="J173">
        <v>-1</v>
      </c>
      <c r="K173">
        <v>-1</v>
      </c>
      <c r="L173">
        <v>-1</v>
      </c>
      <c r="M173">
        <v>688</v>
      </c>
      <c r="N173">
        <v>3280</v>
      </c>
      <c r="O173">
        <v>0</v>
      </c>
      <c r="P173">
        <v>4340</v>
      </c>
      <c r="Q173">
        <v>2672</v>
      </c>
      <c r="R173">
        <v>800</v>
      </c>
      <c r="S173">
        <v>3288</v>
      </c>
      <c r="T173">
        <v>0</v>
      </c>
      <c r="U173">
        <v>4340</v>
      </c>
      <c r="V173">
        <v>2672</v>
      </c>
      <c r="W173">
        <v>800</v>
      </c>
      <c r="X173">
        <v>746</v>
      </c>
      <c r="Y173">
        <v>0</v>
      </c>
    </row>
    <row r="174" spans="1:25" x14ac:dyDescent="0.3">
      <c r="A174">
        <v>173</v>
      </c>
      <c r="B174">
        <v>50000</v>
      </c>
      <c r="C174">
        <v>2</v>
      </c>
      <c r="D174">
        <v>2</v>
      </c>
      <c r="E174">
        <v>2</v>
      </c>
      <c r="F174">
        <v>22</v>
      </c>
      <c r="G174">
        <v>-1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8567</v>
      </c>
      <c r="N174">
        <v>15273</v>
      </c>
      <c r="O174">
        <v>11650</v>
      </c>
      <c r="P174">
        <v>7457</v>
      </c>
      <c r="Q174">
        <v>3115</v>
      </c>
      <c r="R174">
        <v>7725</v>
      </c>
      <c r="S174">
        <v>15000</v>
      </c>
      <c r="T174">
        <v>1000</v>
      </c>
      <c r="U174">
        <v>149</v>
      </c>
      <c r="V174">
        <v>0</v>
      </c>
      <c r="W174">
        <v>5000</v>
      </c>
      <c r="X174">
        <v>10000</v>
      </c>
      <c r="Y174">
        <v>0</v>
      </c>
    </row>
    <row r="175" spans="1:25" x14ac:dyDescent="0.3">
      <c r="A175">
        <v>174</v>
      </c>
      <c r="B175">
        <v>50000</v>
      </c>
      <c r="C175">
        <v>2</v>
      </c>
      <c r="D175">
        <v>1</v>
      </c>
      <c r="E175">
        <v>2</v>
      </c>
      <c r="F175">
        <v>24</v>
      </c>
      <c r="G175">
        <v>1</v>
      </c>
      <c r="H175">
        <v>-2</v>
      </c>
      <c r="I175">
        <v>-2</v>
      </c>
      <c r="J175">
        <v>-2</v>
      </c>
      <c r="K175">
        <v>-2</v>
      </c>
      <c r="L175">
        <v>-2</v>
      </c>
      <c r="M175">
        <v>-709</v>
      </c>
      <c r="N175">
        <v>-709</v>
      </c>
      <c r="O175">
        <v>-709</v>
      </c>
      <c r="P175">
        <v>-2898</v>
      </c>
      <c r="Q175">
        <v>-3272</v>
      </c>
      <c r="R175">
        <v>-3272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</row>
    <row r="176" spans="1:25" x14ac:dyDescent="0.3">
      <c r="A176">
        <v>175</v>
      </c>
      <c r="B176">
        <v>360000</v>
      </c>
      <c r="C176">
        <v>1</v>
      </c>
      <c r="D176">
        <v>1</v>
      </c>
      <c r="E176">
        <v>2</v>
      </c>
      <c r="F176">
        <v>29</v>
      </c>
      <c r="G176">
        <v>1</v>
      </c>
      <c r="H176">
        <v>-2</v>
      </c>
      <c r="I176">
        <v>-1</v>
      </c>
      <c r="J176">
        <v>-1</v>
      </c>
      <c r="K176">
        <v>-2</v>
      </c>
      <c r="L176">
        <v>-2</v>
      </c>
      <c r="M176">
        <v>0</v>
      </c>
      <c r="N176">
        <v>0</v>
      </c>
      <c r="O176">
        <v>77</v>
      </c>
      <c r="P176">
        <v>0</v>
      </c>
      <c r="Q176">
        <v>0</v>
      </c>
      <c r="R176">
        <v>0</v>
      </c>
      <c r="S176">
        <v>0</v>
      </c>
      <c r="T176">
        <v>77</v>
      </c>
      <c r="U176">
        <v>0</v>
      </c>
      <c r="V176">
        <v>0</v>
      </c>
      <c r="W176">
        <v>0</v>
      </c>
      <c r="X176">
        <v>0</v>
      </c>
      <c r="Y176">
        <v>0</v>
      </c>
    </row>
    <row r="177" spans="1:25" x14ac:dyDescent="0.3">
      <c r="A177">
        <v>176</v>
      </c>
      <c r="B177">
        <v>130000</v>
      </c>
      <c r="C177">
        <v>1</v>
      </c>
      <c r="D177">
        <v>3</v>
      </c>
      <c r="E177">
        <v>1</v>
      </c>
      <c r="F177">
        <v>56</v>
      </c>
      <c r="G177">
        <v>1</v>
      </c>
      <c r="H177">
        <v>2</v>
      </c>
      <c r="I177">
        <v>2</v>
      </c>
      <c r="J177">
        <v>2</v>
      </c>
      <c r="K177">
        <v>2</v>
      </c>
      <c r="L177">
        <v>3</v>
      </c>
      <c r="M177">
        <v>64617</v>
      </c>
      <c r="N177">
        <v>65978</v>
      </c>
      <c r="O177">
        <v>67282</v>
      </c>
      <c r="P177">
        <v>68557</v>
      </c>
      <c r="Q177">
        <v>72796</v>
      </c>
      <c r="R177">
        <v>71345</v>
      </c>
      <c r="S177">
        <v>3000</v>
      </c>
      <c r="T177">
        <v>3000</v>
      </c>
      <c r="U177">
        <v>3000</v>
      </c>
      <c r="V177">
        <v>5500</v>
      </c>
      <c r="W177">
        <v>0</v>
      </c>
      <c r="X177">
        <v>0</v>
      </c>
      <c r="Y177">
        <v>1</v>
      </c>
    </row>
    <row r="178" spans="1:25" x14ac:dyDescent="0.3">
      <c r="A178">
        <v>177</v>
      </c>
      <c r="B178">
        <v>80000</v>
      </c>
      <c r="C178">
        <v>1</v>
      </c>
      <c r="D178">
        <v>1</v>
      </c>
      <c r="E178">
        <v>2</v>
      </c>
      <c r="F178">
        <v>30</v>
      </c>
      <c r="G178">
        <v>-2</v>
      </c>
      <c r="H178">
        <v>-1</v>
      </c>
      <c r="I178">
        <v>0</v>
      </c>
      <c r="J178">
        <v>0</v>
      </c>
      <c r="K178">
        <v>0</v>
      </c>
      <c r="L178">
        <v>0</v>
      </c>
      <c r="M178">
        <v>6187</v>
      </c>
      <c r="N178">
        <v>100</v>
      </c>
      <c r="O178">
        <v>600</v>
      </c>
      <c r="P178">
        <v>1438</v>
      </c>
      <c r="Q178">
        <v>1919</v>
      </c>
      <c r="R178">
        <v>5380</v>
      </c>
      <c r="S178">
        <v>504</v>
      </c>
      <c r="T178">
        <v>500</v>
      </c>
      <c r="U178">
        <v>1000</v>
      </c>
      <c r="V178">
        <v>500</v>
      </c>
      <c r="W178">
        <v>3500</v>
      </c>
      <c r="X178">
        <v>0</v>
      </c>
      <c r="Y178">
        <v>0</v>
      </c>
    </row>
    <row r="179" spans="1:25" x14ac:dyDescent="0.3">
      <c r="A179">
        <v>178</v>
      </c>
      <c r="B179">
        <v>50000</v>
      </c>
      <c r="C179">
        <v>1</v>
      </c>
      <c r="D179">
        <v>2</v>
      </c>
      <c r="E179">
        <v>2</v>
      </c>
      <c r="F179">
        <v>30</v>
      </c>
      <c r="G179">
        <v>1</v>
      </c>
      <c r="H179">
        <v>2</v>
      </c>
      <c r="I179">
        <v>0</v>
      </c>
      <c r="J179">
        <v>0</v>
      </c>
      <c r="K179">
        <v>0</v>
      </c>
      <c r="L179">
        <v>2</v>
      </c>
      <c r="M179">
        <v>48860</v>
      </c>
      <c r="N179">
        <v>47801</v>
      </c>
      <c r="O179">
        <v>48363</v>
      </c>
      <c r="P179">
        <v>30221</v>
      </c>
      <c r="Q179">
        <v>22877</v>
      </c>
      <c r="R179">
        <v>22361</v>
      </c>
      <c r="S179">
        <v>0</v>
      </c>
      <c r="T179">
        <v>1500</v>
      </c>
      <c r="U179">
        <v>1000</v>
      </c>
      <c r="V179">
        <v>2000</v>
      </c>
      <c r="W179">
        <v>0</v>
      </c>
      <c r="X179">
        <v>2000</v>
      </c>
      <c r="Y179">
        <v>0</v>
      </c>
    </row>
    <row r="180" spans="1:25" x14ac:dyDescent="0.3">
      <c r="A180">
        <v>179</v>
      </c>
      <c r="B180">
        <v>20000</v>
      </c>
      <c r="C180">
        <v>2</v>
      </c>
      <c r="D180">
        <v>2</v>
      </c>
      <c r="E180">
        <v>2</v>
      </c>
      <c r="F180">
        <v>22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16001</v>
      </c>
      <c r="N180">
        <v>12622</v>
      </c>
      <c r="O180">
        <v>13221</v>
      </c>
      <c r="P180">
        <v>13130</v>
      </c>
      <c r="Q180">
        <v>14034</v>
      </c>
      <c r="R180">
        <v>14906</v>
      </c>
      <c r="S180">
        <v>1212</v>
      </c>
      <c r="T180">
        <v>1201</v>
      </c>
      <c r="U180">
        <v>500</v>
      </c>
      <c r="V180">
        <v>1500</v>
      </c>
      <c r="W180">
        <v>1500</v>
      </c>
      <c r="X180">
        <v>1000</v>
      </c>
      <c r="Y180">
        <v>0</v>
      </c>
    </row>
    <row r="181" spans="1:25" x14ac:dyDescent="0.3">
      <c r="A181">
        <v>180</v>
      </c>
      <c r="B181">
        <v>80000</v>
      </c>
      <c r="C181">
        <v>2</v>
      </c>
      <c r="D181">
        <v>2</v>
      </c>
      <c r="E181">
        <v>1</v>
      </c>
      <c r="F181">
        <v>29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0</v>
      </c>
      <c r="M181">
        <v>77883</v>
      </c>
      <c r="N181">
        <v>81811</v>
      </c>
      <c r="O181">
        <v>80250</v>
      </c>
      <c r="P181">
        <v>61467</v>
      </c>
      <c r="Q181">
        <v>10662</v>
      </c>
      <c r="R181">
        <v>11486</v>
      </c>
      <c r="S181">
        <v>5800</v>
      </c>
      <c r="T181">
        <v>1000</v>
      </c>
      <c r="U181">
        <v>600</v>
      </c>
      <c r="V181">
        <v>400</v>
      </c>
      <c r="W181">
        <v>1000</v>
      </c>
      <c r="X181">
        <v>0</v>
      </c>
      <c r="Y181">
        <v>0</v>
      </c>
    </row>
    <row r="182" spans="1:25" x14ac:dyDescent="0.3">
      <c r="A182">
        <v>181</v>
      </c>
      <c r="B182">
        <v>240000</v>
      </c>
      <c r="C182">
        <v>1</v>
      </c>
      <c r="D182">
        <v>1</v>
      </c>
      <c r="E182">
        <v>2</v>
      </c>
      <c r="F182">
        <v>37</v>
      </c>
      <c r="G182">
        <v>-1</v>
      </c>
      <c r="H182">
        <v>-1</v>
      </c>
      <c r="I182">
        <v>2</v>
      </c>
      <c r="J182">
        <v>0</v>
      </c>
      <c r="K182">
        <v>0</v>
      </c>
      <c r="L182">
        <v>-1</v>
      </c>
      <c r="M182">
        <v>12212</v>
      </c>
      <c r="N182">
        <v>26578</v>
      </c>
      <c r="O182">
        <v>25331</v>
      </c>
      <c r="P182">
        <v>26605</v>
      </c>
      <c r="Q182">
        <v>26279</v>
      </c>
      <c r="R182">
        <v>1256</v>
      </c>
      <c r="S182">
        <v>15000</v>
      </c>
      <c r="T182">
        <v>0</v>
      </c>
      <c r="U182">
        <v>2000</v>
      </c>
      <c r="V182">
        <v>0</v>
      </c>
      <c r="W182">
        <v>1256</v>
      </c>
      <c r="X182">
        <v>65935</v>
      </c>
      <c r="Y182">
        <v>0</v>
      </c>
    </row>
    <row r="183" spans="1:25" x14ac:dyDescent="0.3">
      <c r="A183">
        <v>182</v>
      </c>
      <c r="B183">
        <v>80000</v>
      </c>
      <c r="C183">
        <v>2</v>
      </c>
      <c r="D183">
        <v>3</v>
      </c>
      <c r="E183">
        <v>2</v>
      </c>
      <c r="F183">
        <v>35</v>
      </c>
      <c r="G183">
        <v>0</v>
      </c>
      <c r="H183">
        <v>-1</v>
      </c>
      <c r="I183">
        <v>0</v>
      </c>
      <c r="J183">
        <v>0</v>
      </c>
      <c r="K183">
        <v>0</v>
      </c>
      <c r="L183">
        <v>0</v>
      </c>
      <c r="M183">
        <v>49608</v>
      </c>
      <c r="N183">
        <v>12412</v>
      </c>
      <c r="O183">
        <v>14873</v>
      </c>
      <c r="P183">
        <v>17364</v>
      </c>
      <c r="Q183">
        <v>17770</v>
      </c>
      <c r="R183">
        <v>17460</v>
      </c>
      <c r="S183">
        <v>12500</v>
      </c>
      <c r="T183">
        <v>6500</v>
      </c>
      <c r="U183">
        <v>3000</v>
      </c>
      <c r="V183">
        <v>2000</v>
      </c>
      <c r="W183">
        <v>3000</v>
      </c>
      <c r="X183">
        <v>2000</v>
      </c>
      <c r="Y183">
        <v>0</v>
      </c>
    </row>
    <row r="184" spans="1:25" x14ac:dyDescent="0.3">
      <c r="A184">
        <v>183</v>
      </c>
      <c r="B184">
        <v>500000</v>
      </c>
      <c r="C184">
        <v>2</v>
      </c>
      <c r="D184">
        <v>1</v>
      </c>
      <c r="E184">
        <v>1</v>
      </c>
      <c r="F184">
        <v>47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56422</v>
      </c>
      <c r="N184">
        <v>110616</v>
      </c>
      <c r="O184">
        <v>110340</v>
      </c>
      <c r="P184">
        <v>122967</v>
      </c>
      <c r="Q184">
        <v>108834</v>
      </c>
      <c r="R184">
        <v>70064</v>
      </c>
      <c r="S184">
        <v>70010</v>
      </c>
      <c r="T184">
        <v>30357</v>
      </c>
      <c r="U184">
        <v>30000</v>
      </c>
      <c r="V184">
        <v>20000</v>
      </c>
      <c r="W184">
        <v>52183</v>
      </c>
      <c r="X184">
        <v>20000</v>
      </c>
      <c r="Y184">
        <v>0</v>
      </c>
    </row>
    <row r="185" spans="1:25" x14ac:dyDescent="0.3">
      <c r="A185">
        <v>184</v>
      </c>
      <c r="B185">
        <v>60000</v>
      </c>
      <c r="C185">
        <v>2</v>
      </c>
      <c r="D185">
        <v>2</v>
      </c>
      <c r="E185">
        <v>1</v>
      </c>
      <c r="F185">
        <v>24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58024</v>
      </c>
      <c r="N185">
        <v>57891</v>
      </c>
      <c r="O185">
        <v>48839</v>
      </c>
      <c r="P185">
        <v>18971</v>
      </c>
      <c r="Q185">
        <v>19323</v>
      </c>
      <c r="R185">
        <v>19395</v>
      </c>
      <c r="S185">
        <v>2500</v>
      </c>
      <c r="T185">
        <v>1600</v>
      </c>
      <c r="U185">
        <v>3000</v>
      </c>
      <c r="V185">
        <v>1000</v>
      </c>
      <c r="W185">
        <v>737</v>
      </c>
      <c r="X185">
        <v>2000</v>
      </c>
      <c r="Y185">
        <v>1</v>
      </c>
    </row>
    <row r="186" spans="1:25" x14ac:dyDescent="0.3">
      <c r="A186">
        <v>185</v>
      </c>
      <c r="B186">
        <v>20000</v>
      </c>
      <c r="C186">
        <v>1</v>
      </c>
      <c r="D186">
        <v>2</v>
      </c>
      <c r="E186">
        <v>2</v>
      </c>
      <c r="F186">
        <v>25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-1</v>
      </c>
      <c r="M186">
        <v>10642</v>
      </c>
      <c r="N186">
        <v>11677</v>
      </c>
      <c r="O186">
        <v>13070</v>
      </c>
      <c r="P186">
        <v>12280</v>
      </c>
      <c r="Q186">
        <v>1615</v>
      </c>
      <c r="R186">
        <v>1620</v>
      </c>
      <c r="S186">
        <v>1200</v>
      </c>
      <c r="T186">
        <v>1593</v>
      </c>
      <c r="U186">
        <v>601</v>
      </c>
      <c r="V186">
        <v>135</v>
      </c>
      <c r="W186">
        <v>1824</v>
      </c>
      <c r="X186">
        <v>0</v>
      </c>
      <c r="Y186">
        <v>0</v>
      </c>
    </row>
    <row r="187" spans="1:25" x14ac:dyDescent="0.3">
      <c r="A187">
        <v>186</v>
      </c>
      <c r="B187">
        <v>100000</v>
      </c>
      <c r="C187">
        <v>2</v>
      </c>
      <c r="D187">
        <v>2</v>
      </c>
      <c r="E187">
        <v>1</v>
      </c>
      <c r="F187">
        <v>38</v>
      </c>
      <c r="G187">
        <v>1</v>
      </c>
      <c r="H187">
        <v>2</v>
      </c>
      <c r="I187">
        <v>0</v>
      </c>
      <c r="J187">
        <v>0</v>
      </c>
      <c r="K187">
        <v>2</v>
      </c>
      <c r="L187">
        <v>0</v>
      </c>
      <c r="M187">
        <v>14483</v>
      </c>
      <c r="N187">
        <v>13961</v>
      </c>
      <c r="O187">
        <v>15323</v>
      </c>
      <c r="P187">
        <v>16268</v>
      </c>
      <c r="Q187">
        <v>15868</v>
      </c>
      <c r="R187">
        <v>16448</v>
      </c>
      <c r="S187">
        <v>0</v>
      </c>
      <c r="T187">
        <v>1600</v>
      </c>
      <c r="U187">
        <v>1500</v>
      </c>
      <c r="V187">
        <v>0</v>
      </c>
      <c r="W187">
        <v>1000</v>
      </c>
      <c r="X187">
        <v>1500</v>
      </c>
      <c r="Y187">
        <v>1</v>
      </c>
    </row>
    <row r="188" spans="1:25" x14ac:dyDescent="0.3">
      <c r="A188">
        <v>187</v>
      </c>
      <c r="B188">
        <v>360000</v>
      </c>
      <c r="C188">
        <v>2</v>
      </c>
      <c r="D188">
        <v>1</v>
      </c>
      <c r="E188">
        <v>2</v>
      </c>
      <c r="F188">
        <v>32</v>
      </c>
      <c r="G188">
        <v>1</v>
      </c>
      <c r="H188">
        <v>-1</v>
      </c>
      <c r="I188">
        <v>-1</v>
      </c>
      <c r="J188">
        <v>-1</v>
      </c>
      <c r="K188">
        <v>-1</v>
      </c>
      <c r="L188">
        <v>-1</v>
      </c>
      <c r="M188">
        <v>2616</v>
      </c>
      <c r="N188">
        <v>57077</v>
      </c>
      <c r="O188">
        <v>5287</v>
      </c>
      <c r="P188">
        <v>68445</v>
      </c>
      <c r="Q188">
        <v>13881</v>
      </c>
      <c r="R188">
        <v>16240</v>
      </c>
      <c r="S188">
        <v>57087</v>
      </c>
      <c r="T188">
        <v>5295</v>
      </c>
      <c r="U188">
        <v>68454</v>
      </c>
      <c r="V188">
        <v>13889</v>
      </c>
      <c r="W188">
        <v>16250</v>
      </c>
      <c r="X188">
        <v>38313</v>
      </c>
      <c r="Y188">
        <v>0</v>
      </c>
    </row>
    <row r="189" spans="1:25" x14ac:dyDescent="0.3">
      <c r="A189">
        <v>188</v>
      </c>
      <c r="B189">
        <v>200000</v>
      </c>
      <c r="C189">
        <v>2</v>
      </c>
      <c r="D189">
        <v>3</v>
      </c>
      <c r="E189">
        <v>2</v>
      </c>
      <c r="F189">
        <v>47</v>
      </c>
      <c r="G189">
        <v>2</v>
      </c>
      <c r="H189">
        <v>2</v>
      </c>
      <c r="I189">
        <v>2</v>
      </c>
      <c r="J189">
        <v>2</v>
      </c>
      <c r="K189">
        <v>2</v>
      </c>
      <c r="L189">
        <v>2</v>
      </c>
      <c r="M189">
        <v>199436</v>
      </c>
      <c r="N189">
        <v>202947</v>
      </c>
      <c r="O189">
        <v>193936</v>
      </c>
      <c r="P189">
        <v>196186</v>
      </c>
      <c r="Q189">
        <v>200162</v>
      </c>
      <c r="R189">
        <v>189915</v>
      </c>
      <c r="S189">
        <v>8214</v>
      </c>
      <c r="T189">
        <v>7000</v>
      </c>
      <c r="U189">
        <v>6800</v>
      </c>
      <c r="V189">
        <v>7134</v>
      </c>
      <c r="W189">
        <v>0</v>
      </c>
      <c r="X189">
        <v>6836</v>
      </c>
      <c r="Y189">
        <v>1</v>
      </c>
    </row>
    <row r="190" spans="1:25" x14ac:dyDescent="0.3">
      <c r="A190">
        <v>189</v>
      </c>
      <c r="B190">
        <v>130000</v>
      </c>
      <c r="C190">
        <v>2</v>
      </c>
      <c r="D190">
        <v>2</v>
      </c>
      <c r="E190">
        <v>1</v>
      </c>
      <c r="F190">
        <v>34</v>
      </c>
      <c r="G190">
        <v>1</v>
      </c>
      <c r="H190">
        <v>-1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5396</v>
      </c>
      <c r="O190">
        <v>10270</v>
      </c>
      <c r="P190">
        <v>13576</v>
      </c>
      <c r="Q190">
        <v>13864</v>
      </c>
      <c r="R190">
        <v>14636</v>
      </c>
      <c r="S190">
        <v>5396</v>
      </c>
      <c r="T190">
        <v>5000</v>
      </c>
      <c r="U190">
        <v>3500</v>
      </c>
      <c r="V190">
        <v>501</v>
      </c>
      <c r="W190">
        <v>1000</v>
      </c>
      <c r="X190">
        <v>2000</v>
      </c>
      <c r="Y190">
        <v>0</v>
      </c>
    </row>
    <row r="191" spans="1:25" x14ac:dyDescent="0.3">
      <c r="A191">
        <v>190</v>
      </c>
      <c r="B191">
        <v>20000</v>
      </c>
      <c r="C191">
        <v>2</v>
      </c>
      <c r="D191">
        <v>2</v>
      </c>
      <c r="E191">
        <v>2</v>
      </c>
      <c r="F191">
        <v>31</v>
      </c>
      <c r="G191">
        <v>1</v>
      </c>
      <c r="H191">
        <v>5</v>
      </c>
      <c r="I191">
        <v>4</v>
      </c>
      <c r="J191">
        <v>4</v>
      </c>
      <c r="K191">
        <v>3</v>
      </c>
      <c r="L191">
        <v>2</v>
      </c>
      <c r="M191">
        <v>21703</v>
      </c>
      <c r="N191">
        <v>21087</v>
      </c>
      <c r="O191">
        <v>21461</v>
      </c>
      <c r="P191">
        <v>20835</v>
      </c>
      <c r="Q191">
        <v>20219</v>
      </c>
      <c r="R191">
        <v>20487</v>
      </c>
      <c r="S191">
        <v>0</v>
      </c>
      <c r="T191">
        <v>1000</v>
      </c>
      <c r="U191">
        <v>0</v>
      </c>
      <c r="V191">
        <v>0</v>
      </c>
      <c r="W191">
        <v>760</v>
      </c>
      <c r="X191">
        <v>0</v>
      </c>
      <c r="Y191">
        <v>0</v>
      </c>
    </row>
    <row r="192" spans="1:25" x14ac:dyDescent="0.3">
      <c r="A192">
        <v>191</v>
      </c>
      <c r="B192">
        <v>310000</v>
      </c>
      <c r="C192">
        <v>1</v>
      </c>
      <c r="D192">
        <v>1</v>
      </c>
      <c r="E192">
        <v>2</v>
      </c>
      <c r="F192">
        <v>32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59901</v>
      </c>
      <c r="N192">
        <v>62147</v>
      </c>
      <c r="O192">
        <v>62102</v>
      </c>
      <c r="P192">
        <v>65875</v>
      </c>
      <c r="Q192">
        <v>60387</v>
      </c>
      <c r="R192">
        <v>43328</v>
      </c>
      <c r="S192">
        <v>10020</v>
      </c>
      <c r="T192">
        <v>6031</v>
      </c>
      <c r="U192">
        <v>10057</v>
      </c>
      <c r="V192">
        <v>5028</v>
      </c>
      <c r="W192">
        <v>5060</v>
      </c>
      <c r="X192">
        <v>4223</v>
      </c>
      <c r="Y192">
        <v>0</v>
      </c>
    </row>
    <row r="193" spans="1:25" x14ac:dyDescent="0.3">
      <c r="A193">
        <v>192</v>
      </c>
      <c r="B193">
        <v>60000</v>
      </c>
      <c r="C193">
        <v>2</v>
      </c>
      <c r="D193">
        <v>1</v>
      </c>
      <c r="E193">
        <v>2</v>
      </c>
      <c r="F193">
        <v>27</v>
      </c>
      <c r="G193">
        <v>2</v>
      </c>
      <c r="H193">
        <v>0</v>
      </c>
      <c r="I193">
        <v>0</v>
      </c>
      <c r="J193">
        <v>0</v>
      </c>
      <c r="K193">
        <v>2</v>
      </c>
      <c r="L193">
        <v>0</v>
      </c>
      <c r="M193">
        <v>19625</v>
      </c>
      <c r="N193">
        <v>20347</v>
      </c>
      <c r="O193">
        <v>21669</v>
      </c>
      <c r="P193">
        <v>23005</v>
      </c>
      <c r="Q193">
        <v>22499</v>
      </c>
      <c r="R193">
        <v>22873</v>
      </c>
      <c r="S193">
        <v>1342</v>
      </c>
      <c r="T193">
        <v>1664</v>
      </c>
      <c r="U193">
        <v>2000</v>
      </c>
      <c r="V193">
        <v>0</v>
      </c>
      <c r="W193">
        <v>900</v>
      </c>
      <c r="X193">
        <v>846</v>
      </c>
      <c r="Y193">
        <v>1</v>
      </c>
    </row>
    <row r="194" spans="1:25" x14ac:dyDescent="0.3">
      <c r="A194">
        <v>193</v>
      </c>
      <c r="B194">
        <v>180000</v>
      </c>
      <c r="C194">
        <v>2</v>
      </c>
      <c r="D194">
        <v>1</v>
      </c>
      <c r="E194">
        <v>2</v>
      </c>
      <c r="F194">
        <v>29</v>
      </c>
      <c r="G194">
        <v>-1</v>
      </c>
      <c r="H194">
        <v>-1</v>
      </c>
      <c r="I194">
        <v>-1</v>
      </c>
      <c r="J194">
        <v>-2</v>
      </c>
      <c r="K194">
        <v>-1</v>
      </c>
      <c r="L194">
        <v>0</v>
      </c>
      <c r="M194">
        <v>11386</v>
      </c>
      <c r="N194">
        <v>199</v>
      </c>
      <c r="O194">
        <v>0</v>
      </c>
      <c r="P194">
        <v>0</v>
      </c>
      <c r="Q194">
        <v>17227</v>
      </c>
      <c r="R194">
        <v>17042</v>
      </c>
      <c r="S194">
        <v>199</v>
      </c>
      <c r="T194">
        <v>0</v>
      </c>
      <c r="U194">
        <v>0</v>
      </c>
      <c r="V194">
        <v>17227</v>
      </c>
      <c r="W194">
        <v>341</v>
      </c>
      <c r="X194">
        <v>5114</v>
      </c>
      <c r="Y194">
        <v>0</v>
      </c>
    </row>
    <row r="195" spans="1:25" x14ac:dyDescent="0.3">
      <c r="A195">
        <v>194</v>
      </c>
      <c r="B195">
        <v>180000</v>
      </c>
      <c r="C195">
        <v>2</v>
      </c>
      <c r="D195">
        <v>1</v>
      </c>
      <c r="E195">
        <v>2</v>
      </c>
      <c r="F195">
        <v>24</v>
      </c>
      <c r="G195">
        <v>-1</v>
      </c>
      <c r="H195">
        <v>-1</v>
      </c>
      <c r="I195">
        <v>2</v>
      </c>
      <c r="J195">
        <v>0</v>
      </c>
      <c r="K195">
        <v>0</v>
      </c>
      <c r="L195">
        <v>-2</v>
      </c>
      <c r="M195">
        <v>14670</v>
      </c>
      <c r="N195">
        <v>22087</v>
      </c>
      <c r="O195">
        <v>21282</v>
      </c>
      <c r="P195">
        <v>10200</v>
      </c>
      <c r="Q195">
        <v>0</v>
      </c>
      <c r="R195">
        <v>0</v>
      </c>
      <c r="S195">
        <v>37867</v>
      </c>
      <c r="T195">
        <v>0</v>
      </c>
      <c r="U195">
        <v>200</v>
      </c>
      <c r="V195">
        <v>0</v>
      </c>
      <c r="W195">
        <v>0</v>
      </c>
      <c r="X195">
        <v>0</v>
      </c>
      <c r="Y195">
        <v>0</v>
      </c>
    </row>
    <row r="196" spans="1:25" x14ac:dyDescent="0.3">
      <c r="A196">
        <v>195</v>
      </c>
      <c r="B196">
        <v>50000</v>
      </c>
      <c r="C196">
        <v>1</v>
      </c>
      <c r="D196">
        <v>2</v>
      </c>
      <c r="E196">
        <v>1</v>
      </c>
      <c r="F196">
        <v>36</v>
      </c>
      <c r="G196">
        <v>0</v>
      </c>
      <c r="H196">
        <v>0</v>
      </c>
      <c r="I196">
        <v>0</v>
      </c>
      <c r="J196">
        <v>0</v>
      </c>
      <c r="K196">
        <v>-1</v>
      </c>
      <c r="L196">
        <v>-1</v>
      </c>
      <c r="M196">
        <v>47790</v>
      </c>
      <c r="N196">
        <v>18114</v>
      </c>
      <c r="O196">
        <v>18250</v>
      </c>
      <c r="P196">
        <v>-14</v>
      </c>
      <c r="Q196">
        <v>72</v>
      </c>
      <c r="R196">
        <v>658</v>
      </c>
      <c r="S196">
        <v>2000</v>
      </c>
      <c r="T196">
        <v>1000</v>
      </c>
      <c r="U196">
        <v>2000</v>
      </c>
      <c r="V196">
        <v>500</v>
      </c>
      <c r="W196">
        <v>1000</v>
      </c>
      <c r="X196">
        <v>20011</v>
      </c>
      <c r="Y196">
        <v>0</v>
      </c>
    </row>
    <row r="197" spans="1:25" x14ac:dyDescent="0.3">
      <c r="A197">
        <v>196</v>
      </c>
      <c r="B197">
        <v>50000</v>
      </c>
      <c r="C197">
        <v>2</v>
      </c>
      <c r="D197">
        <v>1</v>
      </c>
      <c r="E197">
        <v>2</v>
      </c>
      <c r="F197">
        <v>24</v>
      </c>
      <c r="G197">
        <v>1</v>
      </c>
      <c r="H197">
        <v>2</v>
      </c>
      <c r="I197">
        <v>2</v>
      </c>
      <c r="J197">
        <v>2</v>
      </c>
      <c r="K197">
        <v>2</v>
      </c>
      <c r="L197">
        <v>2</v>
      </c>
      <c r="M197">
        <v>36166</v>
      </c>
      <c r="N197">
        <v>37188</v>
      </c>
      <c r="O197">
        <v>37680</v>
      </c>
      <c r="P197">
        <v>38462</v>
      </c>
      <c r="Q197">
        <v>39228</v>
      </c>
      <c r="R197">
        <v>40035</v>
      </c>
      <c r="S197">
        <v>1900</v>
      </c>
      <c r="T197">
        <v>1400</v>
      </c>
      <c r="U197">
        <v>1700</v>
      </c>
      <c r="V197">
        <v>1532</v>
      </c>
      <c r="W197">
        <v>1600</v>
      </c>
      <c r="X197">
        <v>0</v>
      </c>
      <c r="Y197">
        <v>1</v>
      </c>
    </row>
    <row r="198" spans="1:25" x14ac:dyDescent="0.3">
      <c r="A198">
        <v>197</v>
      </c>
      <c r="B198">
        <v>150000</v>
      </c>
      <c r="C198">
        <v>2</v>
      </c>
      <c r="D198">
        <v>2</v>
      </c>
      <c r="E198">
        <v>1</v>
      </c>
      <c r="F198">
        <v>34</v>
      </c>
      <c r="G198">
        <v>-2</v>
      </c>
      <c r="H198">
        <v>-2</v>
      </c>
      <c r="I198">
        <v>-2</v>
      </c>
      <c r="J198">
        <v>-2</v>
      </c>
      <c r="K198">
        <v>-2</v>
      </c>
      <c r="L198">
        <v>-2</v>
      </c>
      <c r="M198">
        <v>0</v>
      </c>
      <c r="N198">
        <v>0</v>
      </c>
      <c r="O198">
        <v>0</v>
      </c>
      <c r="P198">
        <v>116</v>
      </c>
      <c r="Q198">
        <v>0</v>
      </c>
      <c r="R198">
        <v>1500</v>
      </c>
      <c r="S198">
        <v>0</v>
      </c>
      <c r="T198">
        <v>0</v>
      </c>
      <c r="U198">
        <v>116</v>
      </c>
      <c r="V198">
        <v>0</v>
      </c>
      <c r="W198">
        <v>1500</v>
      </c>
      <c r="X198">
        <v>0</v>
      </c>
      <c r="Y198">
        <v>0</v>
      </c>
    </row>
    <row r="199" spans="1:25" x14ac:dyDescent="0.3">
      <c r="A199">
        <v>198</v>
      </c>
      <c r="B199">
        <v>20000</v>
      </c>
      <c r="C199">
        <v>2</v>
      </c>
      <c r="D199">
        <v>1</v>
      </c>
      <c r="E199">
        <v>2</v>
      </c>
      <c r="F199">
        <v>22</v>
      </c>
      <c r="G199">
        <v>0</v>
      </c>
      <c r="H199">
        <v>0</v>
      </c>
      <c r="I199">
        <v>0</v>
      </c>
      <c r="J199">
        <v>0</v>
      </c>
      <c r="K199">
        <v>-1</v>
      </c>
      <c r="L199">
        <v>0</v>
      </c>
      <c r="M199">
        <v>18553</v>
      </c>
      <c r="N199">
        <v>19446</v>
      </c>
      <c r="O199">
        <v>19065</v>
      </c>
      <c r="P199">
        <v>8332</v>
      </c>
      <c r="Q199">
        <v>18868</v>
      </c>
      <c r="R199">
        <v>19247</v>
      </c>
      <c r="S199">
        <v>1500</v>
      </c>
      <c r="T199">
        <v>1032</v>
      </c>
      <c r="U199">
        <v>541</v>
      </c>
      <c r="V199">
        <v>20000</v>
      </c>
      <c r="W199">
        <v>693</v>
      </c>
      <c r="X199">
        <v>1000</v>
      </c>
      <c r="Y199">
        <v>0</v>
      </c>
    </row>
    <row r="200" spans="1:25" x14ac:dyDescent="0.3">
      <c r="A200">
        <v>199</v>
      </c>
      <c r="B200">
        <v>500000</v>
      </c>
      <c r="C200">
        <v>2</v>
      </c>
      <c r="D200">
        <v>1</v>
      </c>
      <c r="E200">
        <v>1</v>
      </c>
      <c r="F200">
        <v>34</v>
      </c>
      <c r="G200">
        <v>-2</v>
      </c>
      <c r="H200">
        <v>-2</v>
      </c>
      <c r="I200">
        <v>-2</v>
      </c>
      <c r="J200">
        <v>-1</v>
      </c>
      <c r="K200">
        <v>-1</v>
      </c>
      <c r="L200">
        <v>-1</v>
      </c>
      <c r="M200">
        <v>412</v>
      </c>
      <c r="N200">
        <v>138</v>
      </c>
      <c r="O200">
        <v>2299</v>
      </c>
      <c r="P200">
        <v>1251</v>
      </c>
      <c r="Q200">
        <v>1206</v>
      </c>
      <c r="R200">
        <v>1151</v>
      </c>
      <c r="S200">
        <v>138</v>
      </c>
      <c r="T200">
        <v>2299</v>
      </c>
      <c r="U200">
        <v>1251</v>
      </c>
      <c r="V200">
        <v>1206</v>
      </c>
      <c r="W200">
        <v>1151</v>
      </c>
      <c r="X200">
        <v>15816</v>
      </c>
      <c r="Y200">
        <v>0</v>
      </c>
    </row>
    <row r="201" spans="1:25" x14ac:dyDescent="0.3">
      <c r="A201">
        <v>200</v>
      </c>
      <c r="B201">
        <v>30000</v>
      </c>
      <c r="C201">
        <v>2</v>
      </c>
      <c r="D201">
        <v>3</v>
      </c>
      <c r="E201">
        <v>2</v>
      </c>
      <c r="F201">
        <v>22</v>
      </c>
      <c r="G201">
        <v>1</v>
      </c>
      <c r="H201">
        <v>2</v>
      </c>
      <c r="I201">
        <v>2</v>
      </c>
      <c r="J201">
        <v>0</v>
      </c>
      <c r="K201">
        <v>0</v>
      </c>
      <c r="L201">
        <v>0</v>
      </c>
      <c r="M201">
        <v>29010</v>
      </c>
      <c r="N201">
        <v>29256</v>
      </c>
      <c r="O201">
        <v>28122</v>
      </c>
      <c r="P201">
        <v>29836</v>
      </c>
      <c r="Q201">
        <v>1630</v>
      </c>
      <c r="R201">
        <v>0</v>
      </c>
      <c r="S201">
        <v>1000</v>
      </c>
      <c r="T201">
        <v>85</v>
      </c>
      <c r="U201">
        <v>1714</v>
      </c>
      <c r="V201">
        <v>104</v>
      </c>
      <c r="W201">
        <v>0</v>
      </c>
      <c r="X201">
        <v>0</v>
      </c>
      <c r="Y201">
        <v>1</v>
      </c>
    </row>
    <row r="202" spans="1:25" x14ac:dyDescent="0.3">
      <c r="A202">
        <v>201</v>
      </c>
      <c r="B202">
        <v>180000</v>
      </c>
      <c r="C202">
        <v>2</v>
      </c>
      <c r="D202">
        <v>1</v>
      </c>
      <c r="E202">
        <v>1</v>
      </c>
      <c r="F202">
        <v>38</v>
      </c>
      <c r="G202">
        <v>-2</v>
      </c>
      <c r="H202">
        <v>-2</v>
      </c>
      <c r="I202">
        <v>-2</v>
      </c>
      <c r="J202">
        <v>-2</v>
      </c>
      <c r="K202">
        <v>-2</v>
      </c>
      <c r="L202">
        <v>-2</v>
      </c>
      <c r="M202">
        <v>750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</row>
    <row r="203" spans="1:25" x14ac:dyDescent="0.3">
      <c r="A203">
        <v>202</v>
      </c>
      <c r="B203">
        <v>140000</v>
      </c>
      <c r="C203">
        <v>1</v>
      </c>
      <c r="D203">
        <v>1</v>
      </c>
      <c r="E203">
        <v>2</v>
      </c>
      <c r="F203">
        <v>31</v>
      </c>
      <c r="G203">
        <v>0</v>
      </c>
      <c r="H203">
        <v>0</v>
      </c>
      <c r="I203">
        <v>2</v>
      </c>
      <c r="J203">
        <v>0</v>
      </c>
      <c r="K203">
        <v>0</v>
      </c>
      <c r="L203">
        <v>2</v>
      </c>
      <c r="M203">
        <v>27123</v>
      </c>
      <c r="N203">
        <v>27299</v>
      </c>
      <c r="O203">
        <v>17985</v>
      </c>
      <c r="P203">
        <v>20225</v>
      </c>
      <c r="Q203">
        <v>27407</v>
      </c>
      <c r="R203">
        <v>10833</v>
      </c>
      <c r="S203">
        <v>25000</v>
      </c>
      <c r="T203">
        <v>0</v>
      </c>
      <c r="U203">
        <v>3000</v>
      </c>
      <c r="V203">
        <v>7800</v>
      </c>
      <c r="W203">
        <v>0</v>
      </c>
      <c r="X203">
        <v>2500</v>
      </c>
      <c r="Y203">
        <v>0</v>
      </c>
    </row>
    <row r="204" spans="1:25" x14ac:dyDescent="0.3">
      <c r="A204">
        <v>203</v>
      </c>
      <c r="B204">
        <v>140000</v>
      </c>
      <c r="C204">
        <v>2</v>
      </c>
      <c r="D204">
        <v>1</v>
      </c>
      <c r="E204">
        <v>2</v>
      </c>
      <c r="F204">
        <v>26</v>
      </c>
      <c r="G204">
        <v>-1</v>
      </c>
      <c r="H204">
        <v>0</v>
      </c>
      <c r="I204">
        <v>-1</v>
      </c>
      <c r="J204">
        <v>-1</v>
      </c>
      <c r="K204">
        <v>-1</v>
      </c>
      <c r="L204">
        <v>-1</v>
      </c>
      <c r="M204">
        <v>13424</v>
      </c>
      <c r="N204">
        <v>18000</v>
      </c>
      <c r="O204">
        <v>13001</v>
      </c>
      <c r="P204">
        <v>5818</v>
      </c>
      <c r="Q204">
        <v>13506</v>
      </c>
      <c r="R204">
        <v>487</v>
      </c>
      <c r="S204">
        <v>10000</v>
      </c>
      <c r="T204">
        <v>13001</v>
      </c>
      <c r="U204">
        <v>5841</v>
      </c>
      <c r="V204">
        <v>13506</v>
      </c>
      <c r="W204">
        <v>487</v>
      </c>
      <c r="X204">
        <v>7004</v>
      </c>
      <c r="Y204">
        <v>0</v>
      </c>
    </row>
    <row r="205" spans="1:25" x14ac:dyDescent="0.3">
      <c r="A205">
        <v>204</v>
      </c>
      <c r="B205">
        <v>120000</v>
      </c>
      <c r="C205">
        <v>1</v>
      </c>
      <c r="D205">
        <v>2</v>
      </c>
      <c r="E205">
        <v>2</v>
      </c>
      <c r="F205">
        <v>26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107314</v>
      </c>
      <c r="N205">
        <v>110578</v>
      </c>
      <c r="O205">
        <v>113736</v>
      </c>
      <c r="P205">
        <v>116000</v>
      </c>
      <c r="Q205">
        <v>119131</v>
      </c>
      <c r="R205">
        <v>122135</v>
      </c>
      <c r="S205">
        <v>5000</v>
      </c>
      <c r="T205">
        <v>5000</v>
      </c>
      <c r="U205">
        <v>4152</v>
      </c>
      <c r="V205">
        <v>5000</v>
      </c>
      <c r="W205">
        <v>5000</v>
      </c>
      <c r="X205">
        <v>5000</v>
      </c>
      <c r="Y205">
        <v>0</v>
      </c>
    </row>
    <row r="206" spans="1:25" x14ac:dyDescent="0.3">
      <c r="A206">
        <v>205</v>
      </c>
      <c r="B206">
        <v>360000</v>
      </c>
      <c r="C206">
        <v>2</v>
      </c>
      <c r="D206">
        <v>2</v>
      </c>
      <c r="E206">
        <v>1</v>
      </c>
      <c r="F206">
        <v>48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226430</v>
      </c>
      <c r="N206">
        <v>231878</v>
      </c>
      <c r="O206">
        <v>234192</v>
      </c>
      <c r="P206">
        <v>190211</v>
      </c>
      <c r="Q206">
        <v>173557</v>
      </c>
      <c r="R206">
        <v>146511</v>
      </c>
      <c r="S206">
        <v>9100</v>
      </c>
      <c r="T206">
        <v>7300</v>
      </c>
      <c r="U206">
        <v>5800</v>
      </c>
      <c r="V206">
        <v>5600</v>
      </c>
      <c r="W206">
        <v>5600</v>
      </c>
      <c r="X206">
        <v>4100</v>
      </c>
      <c r="Y206">
        <v>0</v>
      </c>
    </row>
    <row r="207" spans="1:25" x14ac:dyDescent="0.3">
      <c r="A207">
        <v>206</v>
      </c>
      <c r="B207">
        <v>20000</v>
      </c>
      <c r="C207">
        <v>1</v>
      </c>
      <c r="D207">
        <v>3</v>
      </c>
      <c r="E207">
        <v>1</v>
      </c>
      <c r="F207">
        <v>43</v>
      </c>
      <c r="G207">
        <v>-1</v>
      </c>
      <c r="H207">
        <v>-1</v>
      </c>
      <c r="I207">
        <v>0</v>
      </c>
      <c r="J207">
        <v>0</v>
      </c>
      <c r="K207">
        <v>0</v>
      </c>
      <c r="L207">
        <v>0</v>
      </c>
      <c r="M207">
        <v>227</v>
      </c>
      <c r="N207">
        <v>20351</v>
      </c>
      <c r="O207">
        <v>20237</v>
      </c>
      <c r="P207">
        <v>19339</v>
      </c>
      <c r="Q207">
        <v>19450</v>
      </c>
      <c r="R207">
        <v>19337</v>
      </c>
      <c r="S207">
        <v>22359</v>
      </c>
      <c r="T207">
        <v>1305</v>
      </c>
      <c r="U207">
        <v>1258</v>
      </c>
      <c r="V207">
        <v>1459</v>
      </c>
      <c r="W207">
        <v>3457</v>
      </c>
      <c r="X207">
        <v>1700</v>
      </c>
      <c r="Y207">
        <v>0</v>
      </c>
    </row>
    <row r="208" spans="1:25" x14ac:dyDescent="0.3">
      <c r="A208">
        <v>207</v>
      </c>
      <c r="B208">
        <v>100000</v>
      </c>
      <c r="C208">
        <v>1</v>
      </c>
      <c r="D208">
        <v>1</v>
      </c>
      <c r="E208">
        <v>1</v>
      </c>
      <c r="F208">
        <v>47</v>
      </c>
      <c r="G208">
        <v>-1</v>
      </c>
      <c r="H208">
        <v>-1</v>
      </c>
      <c r="I208">
        <v>-1</v>
      </c>
      <c r="J208">
        <v>-1</v>
      </c>
      <c r="K208">
        <v>-1</v>
      </c>
      <c r="L208">
        <v>-1</v>
      </c>
      <c r="M208">
        <v>390</v>
      </c>
      <c r="N208">
        <v>1473</v>
      </c>
      <c r="O208">
        <v>390</v>
      </c>
      <c r="P208">
        <v>390</v>
      </c>
      <c r="Q208">
        <v>390</v>
      </c>
      <c r="R208">
        <v>0</v>
      </c>
      <c r="S208">
        <v>1473</v>
      </c>
      <c r="T208">
        <v>390</v>
      </c>
      <c r="U208">
        <v>390</v>
      </c>
      <c r="V208">
        <v>390</v>
      </c>
      <c r="W208">
        <v>0</v>
      </c>
      <c r="X208">
        <v>2380</v>
      </c>
      <c r="Y208">
        <v>0</v>
      </c>
    </row>
    <row r="209" spans="1:25" x14ac:dyDescent="0.3">
      <c r="A209">
        <v>208</v>
      </c>
      <c r="B209">
        <v>210000</v>
      </c>
      <c r="C209">
        <v>2</v>
      </c>
      <c r="D209">
        <v>2</v>
      </c>
      <c r="E209">
        <v>1</v>
      </c>
      <c r="F209">
        <v>41</v>
      </c>
      <c r="G209">
        <v>-1</v>
      </c>
      <c r="H209">
        <v>-1</v>
      </c>
      <c r="I209">
        <v>-1</v>
      </c>
      <c r="J209">
        <v>-1</v>
      </c>
      <c r="K209">
        <v>-1</v>
      </c>
      <c r="L209">
        <v>-1</v>
      </c>
      <c r="M209">
        <v>3088</v>
      </c>
      <c r="N209">
        <v>1586</v>
      </c>
      <c r="O209">
        <v>343</v>
      </c>
      <c r="P209">
        <v>3763</v>
      </c>
      <c r="Q209">
        <v>877</v>
      </c>
      <c r="R209">
        <v>0</v>
      </c>
      <c r="S209">
        <v>1586</v>
      </c>
      <c r="T209">
        <v>343</v>
      </c>
      <c r="U209">
        <v>3763</v>
      </c>
      <c r="V209">
        <v>877</v>
      </c>
      <c r="W209">
        <v>0</v>
      </c>
      <c r="X209">
        <v>419</v>
      </c>
      <c r="Y209">
        <v>1</v>
      </c>
    </row>
    <row r="210" spans="1:25" x14ac:dyDescent="0.3">
      <c r="A210">
        <v>209</v>
      </c>
      <c r="B210">
        <v>80000</v>
      </c>
      <c r="C210">
        <v>2</v>
      </c>
      <c r="D210">
        <v>2</v>
      </c>
      <c r="E210">
        <v>2</v>
      </c>
      <c r="F210">
        <v>24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81625</v>
      </c>
      <c r="N210">
        <v>81554</v>
      </c>
      <c r="O210">
        <v>79599</v>
      </c>
      <c r="P210">
        <v>49552</v>
      </c>
      <c r="Q210">
        <v>49509</v>
      </c>
      <c r="R210">
        <v>49568</v>
      </c>
      <c r="S210">
        <v>3200</v>
      </c>
      <c r="T210">
        <v>3000</v>
      </c>
      <c r="U210">
        <v>2038</v>
      </c>
      <c r="V210">
        <v>2000</v>
      </c>
      <c r="W210">
        <v>1800</v>
      </c>
      <c r="X210">
        <v>1800</v>
      </c>
      <c r="Y210">
        <v>1</v>
      </c>
    </row>
    <row r="211" spans="1:25" x14ac:dyDescent="0.3">
      <c r="A211">
        <v>210</v>
      </c>
      <c r="B211">
        <v>330000</v>
      </c>
      <c r="C211">
        <v>2</v>
      </c>
      <c r="D211">
        <v>1</v>
      </c>
      <c r="E211">
        <v>1</v>
      </c>
      <c r="F211">
        <v>50</v>
      </c>
      <c r="G211">
        <v>-1</v>
      </c>
      <c r="H211">
        <v>-1</v>
      </c>
      <c r="I211">
        <v>-1</v>
      </c>
      <c r="J211">
        <v>-1</v>
      </c>
      <c r="K211">
        <v>-2</v>
      </c>
      <c r="L211">
        <v>-2</v>
      </c>
      <c r="M211">
        <v>8872</v>
      </c>
      <c r="N211">
        <v>4337</v>
      </c>
      <c r="O211">
        <v>2854</v>
      </c>
      <c r="P211">
        <v>1690</v>
      </c>
      <c r="Q211">
        <v>0</v>
      </c>
      <c r="R211">
        <v>1709</v>
      </c>
      <c r="S211">
        <v>4345</v>
      </c>
      <c r="T211">
        <v>2854</v>
      </c>
      <c r="U211">
        <v>1702</v>
      </c>
      <c r="V211">
        <v>0</v>
      </c>
      <c r="W211">
        <v>1709</v>
      </c>
      <c r="X211">
        <v>258</v>
      </c>
      <c r="Y211">
        <v>0</v>
      </c>
    </row>
    <row r="212" spans="1:25" x14ac:dyDescent="0.3">
      <c r="A212">
        <v>211</v>
      </c>
      <c r="B212">
        <v>220000</v>
      </c>
      <c r="C212">
        <v>1</v>
      </c>
      <c r="D212">
        <v>1</v>
      </c>
      <c r="E212">
        <v>2</v>
      </c>
      <c r="F212">
        <v>24</v>
      </c>
      <c r="G212">
        <v>0</v>
      </c>
      <c r="H212">
        <v>0</v>
      </c>
      <c r="I212">
        <v>0</v>
      </c>
      <c r="J212">
        <v>-1</v>
      </c>
      <c r="K212">
        <v>-1</v>
      </c>
      <c r="L212">
        <v>-1</v>
      </c>
      <c r="M212">
        <v>105607</v>
      </c>
      <c r="N212">
        <v>108917</v>
      </c>
      <c r="O212">
        <v>111520</v>
      </c>
      <c r="P212">
        <v>8303</v>
      </c>
      <c r="Q212">
        <v>0</v>
      </c>
      <c r="R212">
        <v>85632</v>
      </c>
      <c r="S212">
        <v>5000</v>
      </c>
      <c r="T212">
        <v>5050</v>
      </c>
      <c r="U212">
        <v>8303</v>
      </c>
      <c r="V212">
        <v>0</v>
      </c>
      <c r="W212">
        <v>85632</v>
      </c>
      <c r="X212">
        <v>0</v>
      </c>
      <c r="Y212">
        <v>0</v>
      </c>
    </row>
    <row r="213" spans="1:25" x14ac:dyDescent="0.3">
      <c r="A213">
        <v>212</v>
      </c>
      <c r="B213">
        <v>210000</v>
      </c>
      <c r="C213">
        <v>2</v>
      </c>
      <c r="D213">
        <v>1</v>
      </c>
      <c r="E213">
        <v>1</v>
      </c>
      <c r="F213">
        <v>38</v>
      </c>
      <c r="G213">
        <v>1</v>
      </c>
      <c r="H213">
        <v>-2</v>
      </c>
      <c r="I213">
        <v>-1</v>
      </c>
      <c r="J213">
        <v>0</v>
      </c>
      <c r="K213">
        <v>-1</v>
      </c>
      <c r="L213">
        <v>-1</v>
      </c>
      <c r="M213">
        <v>0</v>
      </c>
      <c r="N213">
        <v>0</v>
      </c>
      <c r="O213">
        <v>250</v>
      </c>
      <c r="P213">
        <v>123</v>
      </c>
      <c r="Q213">
        <v>789</v>
      </c>
      <c r="R213">
        <v>1222</v>
      </c>
      <c r="S213">
        <v>0</v>
      </c>
      <c r="T213">
        <v>250</v>
      </c>
      <c r="U213">
        <v>0</v>
      </c>
      <c r="V213">
        <v>789</v>
      </c>
      <c r="W213">
        <v>1222</v>
      </c>
      <c r="X213">
        <v>9616</v>
      </c>
      <c r="Y213">
        <v>1</v>
      </c>
    </row>
    <row r="214" spans="1:25" x14ac:dyDescent="0.3">
      <c r="A214">
        <v>213</v>
      </c>
      <c r="B214">
        <v>40000</v>
      </c>
      <c r="C214">
        <v>2</v>
      </c>
      <c r="D214">
        <v>3</v>
      </c>
      <c r="E214">
        <v>1</v>
      </c>
      <c r="F214">
        <v>43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38257</v>
      </c>
      <c r="N214">
        <v>38901</v>
      </c>
      <c r="O214">
        <v>38103</v>
      </c>
      <c r="P214">
        <v>36207</v>
      </c>
      <c r="Q214">
        <v>33138</v>
      </c>
      <c r="R214">
        <v>31339</v>
      </c>
      <c r="S214">
        <v>1700</v>
      </c>
      <c r="T214">
        <v>1504</v>
      </c>
      <c r="U214">
        <v>1200</v>
      </c>
      <c r="V214">
        <v>1500</v>
      </c>
      <c r="W214">
        <v>1500</v>
      </c>
      <c r="X214">
        <v>1000</v>
      </c>
      <c r="Y214">
        <v>0</v>
      </c>
    </row>
    <row r="215" spans="1:25" x14ac:dyDescent="0.3">
      <c r="A215">
        <v>214</v>
      </c>
      <c r="B215">
        <v>30000</v>
      </c>
      <c r="C215">
        <v>1</v>
      </c>
      <c r="D215">
        <v>2</v>
      </c>
      <c r="E215">
        <v>2</v>
      </c>
      <c r="F215">
        <v>39</v>
      </c>
      <c r="G215">
        <v>0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28347</v>
      </c>
      <c r="N215">
        <v>28108</v>
      </c>
      <c r="O215">
        <v>18388</v>
      </c>
      <c r="P215">
        <v>12992</v>
      </c>
      <c r="Q215">
        <v>7736</v>
      </c>
      <c r="R215">
        <v>8032</v>
      </c>
      <c r="S215">
        <v>3036</v>
      </c>
      <c r="T215">
        <v>2309</v>
      </c>
      <c r="U215">
        <v>0</v>
      </c>
      <c r="V215">
        <v>1000</v>
      </c>
      <c r="W215">
        <v>2000</v>
      </c>
      <c r="X215">
        <v>148</v>
      </c>
      <c r="Y215">
        <v>0</v>
      </c>
    </row>
    <row r="216" spans="1:25" x14ac:dyDescent="0.3">
      <c r="A216">
        <v>215</v>
      </c>
      <c r="B216">
        <v>470000</v>
      </c>
      <c r="C216">
        <v>1</v>
      </c>
      <c r="D216">
        <v>2</v>
      </c>
      <c r="E216">
        <v>2</v>
      </c>
      <c r="F216">
        <v>27</v>
      </c>
      <c r="G216">
        <v>2</v>
      </c>
      <c r="H216">
        <v>2</v>
      </c>
      <c r="I216">
        <v>2</v>
      </c>
      <c r="J216">
        <v>2</v>
      </c>
      <c r="K216">
        <v>0</v>
      </c>
      <c r="L216">
        <v>0</v>
      </c>
      <c r="M216">
        <v>296573</v>
      </c>
      <c r="N216">
        <v>303320</v>
      </c>
      <c r="O216">
        <v>307843</v>
      </c>
      <c r="P216">
        <v>479978</v>
      </c>
      <c r="Q216">
        <v>305145</v>
      </c>
      <c r="R216">
        <v>309959</v>
      </c>
      <c r="S216">
        <v>13000</v>
      </c>
      <c r="T216">
        <v>11001</v>
      </c>
      <c r="U216">
        <v>0</v>
      </c>
      <c r="V216">
        <v>10484</v>
      </c>
      <c r="W216">
        <v>10838</v>
      </c>
      <c r="X216">
        <v>10367</v>
      </c>
      <c r="Y216">
        <v>0</v>
      </c>
    </row>
    <row r="217" spans="1:25" x14ac:dyDescent="0.3">
      <c r="A217">
        <v>216</v>
      </c>
      <c r="B217">
        <v>30000</v>
      </c>
      <c r="C217">
        <v>1</v>
      </c>
      <c r="D217">
        <v>3</v>
      </c>
      <c r="E217">
        <v>1</v>
      </c>
      <c r="F217">
        <v>42</v>
      </c>
      <c r="G217">
        <v>-1</v>
      </c>
      <c r="H217">
        <v>-1</v>
      </c>
      <c r="I217">
        <v>-1</v>
      </c>
      <c r="J217">
        <v>-1</v>
      </c>
      <c r="K217">
        <v>-1</v>
      </c>
      <c r="L217">
        <v>2</v>
      </c>
      <c r="M217">
        <v>390</v>
      </c>
      <c r="N217">
        <v>390</v>
      </c>
      <c r="O217">
        <v>390</v>
      </c>
      <c r="P217">
        <v>240</v>
      </c>
      <c r="Q217">
        <v>1320</v>
      </c>
      <c r="R217">
        <v>780</v>
      </c>
      <c r="S217">
        <v>390</v>
      </c>
      <c r="T217">
        <v>390</v>
      </c>
      <c r="U217">
        <v>240</v>
      </c>
      <c r="V217">
        <v>1470</v>
      </c>
      <c r="W217">
        <v>0</v>
      </c>
      <c r="X217">
        <v>0</v>
      </c>
      <c r="Y217">
        <v>0</v>
      </c>
    </row>
    <row r="218" spans="1:25" x14ac:dyDescent="0.3">
      <c r="A218">
        <v>217</v>
      </c>
      <c r="B218">
        <v>240000</v>
      </c>
      <c r="C218">
        <v>2</v>
      </c>
      <c r="D218">
        <v>2</v>
      </c>
      <c r="E218">
        <v>1</v>
      </c>
      <c r="F218">
        <v>36</v>
      </c>
      <c r="G218">
        <v>1</v>
      </c>
      <c r="H218">
        <v>-2</v>
      </c>
      <c r="I218">
        <v>-2</v>
      </c>
      <c r="J218">
        <v>-2</v>
      </c>
      <c r="K218">
        <v>-2</v>
      </c>
      <c r="L218">
        <v>-2</v>
      </c>
      <c r="M218">
        <v>-946</v>
      </c>
      <c r="N218">
        <v>-946</v>
      </c>
      <c r="O218">
        <v>-946</v>
      </c>
      <c r="P218">
        <v>-946</v>
      </c>
      <c r="Q218">
        <v>-946</v>
      </c>
      <c r="R218">
        <v>-946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</row>
    <row r="219" spans="1:25" x14ac:dyDescent="0.3">
      <c r="A219">
        <v>218</v>
      </c>
      <c r="B219">
        <v>80000</v>
      </c>
      <c r="C219">
        <v>1</v>
      </c>
      <c r="D219">
        <v>2</v>
      </c>
      <c r="E219">
        <v>2</v>
      </c>
      <c r="F219">
        <v>36</v>
      </c>
      <c r="G219">
        <v>2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79278</v>
      </c>
      <c r="N219">
        <v>78501</v>
      </c>
      <c r="O219">
        <v>78534</v>
      </c>
      <c r="P219">
        <v>80016</v>
      </c>
      <c r="Q219">
        <v>76235</v>
      </c>
      <c r="R219">
        <v>78245</v>
      </c>
      <c r="S219">
        <v>3100</v>
      </c>
      <c r="T219">
        <v>3500</v>
      </c>
      <c r="U219">
        <v>3400</v>
      </c>
      <c r="V219">
        <v>3000</v>
      </c>
      <c r="W219">
        <v>3500</v>
      </c>
      <c r="X219">
        <v>3000</v>
      </c>
      <c r="Y219">
        <v>0</v>
      </c>
    </row>
    <row r="220" spans="1:25" x14ac:dyDescent="0.3">
      <c r="A220">
        <v>219</v>
      </c>
      <c r="B220">
        <v>110000</v>
      </c>
      <c r="C220">
        <v>2</v>
      </c>
      <c r="D220">
        <v>3</v>
      </c>
      <c r="E220">
        <v>0</v>
      </c>
      <c r="F220">
        <v>31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89989</v>
      </c>
      <c r="N220">
        <v>84229</v>
      </c>
      <c r="O220">
        <v>79288</v>
      </c>
      <c r="P220">
        <v>73315</v>
      </c>
      <c r="Q220">
        <v>63818</v>
      </c>
      <c r="R220">
        <v>63208</v>
      </c>
      <c r="S220">
        <v>4000</v>
      </c>
      <c r="T220">
        <v>5000</v>
      </c>
      <c r="U220">
        <v>3000</v>
      </c>
      <c r="V220">
        <v>3000</v>
      </c>
      <c r="W220">
        <v>3000</v>
      </c>
      <c r="X220">
        <v>8954</v>
      </c>
      <c r="Y220">
        <v>0</v>
      </c>
    </row>
    <row r="221" spans="1:25" x14ac:dyDescent="0.3">
      <c r="A221">
        <v>220</v>
      </c>
      <c r="B221">
        <v>310000</v>
      </c>
      <c r="C221">
        <v>2</v>
      </c>
      <c r="D221">
        <v>1</v>
      </c>
      <c r="E221">
        <v>2</v>
      </c>
      <c r="F221">
        <v>38</v>
      </c>
      <c r="G221">
        <v>-1</v>
      </c>
      <c r="H221">
        <v>-1</v>
      </c>
      <c r="I221">
        <v>-1</v>
      </c>
      <c r="J221">
        <v>-1</v>
      </c>
      <c r="K221">
        <v>-2</v>
      </c>
      <c r="L221">
        <v>-2</v>
      </c>
      <c r="M221">
        <v>1424</v>
      </c>
      <c r="N221">
        <v>4542</v>
      </c>
      <c r="O221">
        <v>126</v>
      </c>
      <c r="P221">
        <v>0</v>
      </c>
      <c r="Q221">
        <v>0</v>
      </c>
      <c r="R221">
        <v>0</v>
      </c>
      <c r="S221">
        <v>4542</v>
      </c>
      <c r="T221">
        <v>126</v>
      </c>
      <c r="U221">
        <v>0</v>
      </c>
      <c r="V221">
        <v>0</v>
      </c>
      <c r="W221">
        <v>0</v>
      </c>
      <c r="X221">
        <v>0</v>
      </c>
      <c r="Y221">
        <v>0</v>
      </c>
    </row>
    <row r="222" spans="1:25" x14ac:dyDescent="0.3">
      <c r="A222">
        <v>221</v>
      </c>
      <c r="B222">
        <v>360000</v>
      </c>
      <c r="C222">
        <v>2</v>
      </c>
      <c r="D222">
        <v>1</v>
      </c>
      <c r="E222">
        <v>1</v>
      </c>
      <c r="F222">
        <v>40</v>
      </c>
      <c r="G222">
        <v>2</v>
      </c>
      <c r="H222">
        <v>2</v>
      </c>
      <c r="I222">
        <v>2</v>
      </c>
      <c r="J222">
        <v>0</v>
      </c>
      <c r="K222">
        <v>0</v>
      </c>
      <c r="L222">
        <v>0</v>
      </c>
      <c r="M222">
        <v>105167</v>
      </c>
      <c r="N222">
        <v>115468</v>
      </c>
      <c r="O222">
        <v>112157</v>
      </c>
      <c r="P222">
        <v>114690</v>
      </c>
      <c r="Q222">
        <v>117845</v>
      </c>
      <c r="R222">
        <v>120238</v>
      </c>
      <c r="S222">
        <v>12000</v>
      </c>
      <c r="T222">
        <v>0</v>
      </c>
      <c r="U222">
        <v>5900</v>
      </c>
      <c r="V222">
        <v>5000</v>
      </c>
      <c r="W222">
        <v>4500</v>
      </c>
      <c r="X222">
        <v>4700</v>
      </c>
      <c r="Y222">
        <v>1</v>
      </c>
    </row>
    <row r="223" spans="1:25" x14ac:dyDescent="0.3">
      <c r="A223">
        <v>222</v>
      </c>
      <c r="B223">
        <v>330000</v>
      </c>
      <c r="C223">
        <v>2</v>
      </c>
      <c r="D223">
        <v>3</v>
      </c>
      <c r="E223">
        <v>2</v>
      </c>
      <c r="F223">
        <v>45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335196</v>
      </c>
      <c r="N223">
        <v>334954</v>
      </c>
      <c r="O223">
        <v>335527</v>
      </c>
      <c r="P223">
        <v>333860</v>
      </c>
      <c r="Q223">
        <v>335760</v>
      </c>
      <c r="R223">
        <v>330121</v>
      </c>
      <c r="S223">
        <v>12388</v>
      </c>
      <c r="T223">
        <v>12378</v>
      </c>
      <c r="U223">
        <v>12116</v>
      </c>
      <c r="V223">
        <v>12450</v>
      </c>
      <c r="W223">
        <v>12213</v>
      </c>
      <c r="X223">
        <v>11678</v>
      </c>
      <c r="Y223">
        <v>0</v>
      </c>
    </row>
    <row r="224" spans="1:25" x14ac:dyDescent="0.3">
      <c r="A224">
        <v>223</v>
      </c>
      <c r="B224">
        <v>300000</v>
      </c>
      <c r="C224">
        <v>2</v>
      </c>
      <c r="D224">
        <v>2</v>
      </c>
      <c r="E224">
        <v>2</v>
      </c>
      <c r="F224">
        <v>35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291619</v>
      </c>
      <c r="N224">
        <v>297268</v>
      </c>
      <c r="O224">
        <v>205629</v>
      </c>
      <c r="P224">
        <v>215827</v>
      </c>
      <c r="Q224">
        <v>208464</v>
      </c>
      <c r="R224">
        <v>212508</v>
      </c>
      <c r="S224">
        <v>12019</v>
      </c>
      <c r="T224">
        <v>9006</v>
      </c>
      <c r="U224">
        <v>17000</v>
      </c>
      <c r="V224">
        <v>12000</v>
      </c>
      <c r="W224">
        <v>9557</v>
      </c>
      <c r="X224">
        <v>15000</v>
      </c>
      <c r="Y224">
        <v>0</v>
      </c>
    </row>
    <row r="225" spans="1:25" x14ac:dyDescent="0.3">
      <c r="A225">
        <v>224</v>
      </c>
      <c r="B225">
        <v>320000</v>
      </c>
      <c r="C225">
        <v>2</v>
      </c>
      <c r="D225">
        <v>2</v>
      </c>
      <c r="E225">
        <v>2</v>
      </c>
      <c r="F225">
        <v>33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91653</v>
      </c>
      <c r="N225">
        <v>94037</v>
      </c>
      <c r="O225">
        <v>108597</v>
      </c>
      <c r="P225">
        <v>65913</v>
      </c>
      <c r="Q225">
        <v>43805</v>
      </c>
      <c r="R225">
        <v>33263</v>
      </c>
      <c r="S225">
        <v>10042</v>
      </c>
      <c r="T225">
        <v>18832</v>
      </c>
      <c r="U225">
        <v>2117</v>
      </c>
      <c r="V225">
        <v>2076</v>
      </c>
      <c r="W225">
        <v>5045</v>
      </c>
      <c r="X225">
        <v>3754</v>
      </c>
      <c r="Y225">
        <v>0</v>
      </c>
    </row>
    <row r="226" spans="1:25" x14ac:dyDescent="0.3">
      <c r="A226">
        <v>225</v>
      </c>
      <c r="B226">
        <v>50000</v>
      </c>
      <c r="C226">
        <v>2</v>
      </c>
      <c r="D226">
        <v>3</v>
      </c>
      <c r="E226">
        <v>2</v>
      </c>
      <c r="F226">
        <v>37</v>
      </c>
      <c r="G226">
        <v>1</v>
      </c>
      <c r="H226">
        <v>3</v>
      </c>
      <c r="I226">
        <v>2</v>
      </c>
      <c r="J226">
        <v>0</v>
      </c>
      <c r="K226">
        <v>0</v>
      </c>
      <c r="L226">
        <v>0</v>
      </c>
      <c r="M226">
        <v>52626</v>
      </c>
      <c r="N226">
        <v>51537</v>
      </c>
      <c r="O226">
        <v>49205</v>
      </c>
      <c r="P226">
        <v>30394</v>
      </c>
      <c r="Q226">
        <v>30249</v>
      </c>
      <c r="R226">
        <v>29957</v>
      </c>
      <c r="S226">
        <v>0</v>
      </c>
      <c r="T226">
        <v>24</v>
      </c>
      <c r="U226">
        <v>1500</v>
      </c>
      <c r="V226">
        <v>1000</v>
      </c>
      <c r="W226">
        <v>1201</v>
      </c>
      <c r="X226">
        <v>30592</v>
      </c>
      <c r="Y226">
        <v>1</v>
      </c>
    </row>
    <row r="227" spans="1:25" x14ac:dyDescent="0.3">
      <c r="A227">
        <v>226</v>
      </c>
      <c r="B227">
        <v>170000</v>
      </c>
      <c r="C227">
        <v>2</v>
      </c>
      <c r="D227">
        <v>1</v>
      </c>
      <c r="E227">
        <v>2</v>
      </c>
      <c r="F227">
        <v>28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130370</v>
      </c>
      <c r="N227">
        <v>131199</v>
      </c>
      <c r="O227">
        <v>128900</v>
      </c>
      <c r="P227">
        <v>125514</v>
      </c>
      <c r="Q227">
        <v>127280</v>
      </c>
      <c r="R227">
        <v>128839</v>
      </c>
      <c r="S227">
        <v>6530</v>
      </c>
      <c r="T227">
        <v>4860</v>
      </c>
      <c r="U227">
        <v>22500</v>
      </c>
      <c r="V227">
        <v>4820</v>
      </c>
      <c r="W227">
        <v>4877</v>
      </c>
      <c r="X227">
        <v>4962</v>
      </c>
      <c r="Y227">
        <v>0</v>
      </c>
    </row>
    <row r="228" spans="1:25" x14ac:dyDescent="0.3">
      <c r="A228">
        <v>227</v>
      </c>
      <c r="B228">
        <v>350000</v>
      </c>
      <c r="C228">
        <v>1</v>
      </c>
      <c r="D228">
        <v>3</v>
      </c>
      <c r="E228">
        <v>1</v>
      </c>
      <c r="F228">
        <v>44</v>
      </c>
      <c r="G228">
        <v>-1</v>
      </c>
      <c r="H228">
        <v>-1</v>
      </c>
      <c r="I228">
        <v>-1</v>
      </c>
      <c r="J228">
        <v>-1</v>
      </c>
      <c r="K228">
        <v>-1</v>
      </c>
      <c r="L228">
        <v>-2</v>
      </c>
      <c r="M228">
        <v>3265</v>
      </c>
      <c r="N228">
        <v>2686</v>
      </c>
      <c r="O228">
        <v>1864</v>
      </c>
      <c r="P228">
        <v>569</v>
      </c>
      <c r="Q228">
        <v>0</v>
      </c>
      <c r="R228">
        <v>0</v>
      </c>
      <c r="S228">
        <v>2686</v>
      </c>
      <c r="T228">
        <v>1864</v>
      </c>
      <c r="U228">
        <v>569</v>
      </c>
      <c r="V228">
        <v>0</v>
      </c>
      <c r="W228">
        <v>0</v>
      </c>
      <c r="X228">
        <v>0</v>
      </c>
      <c r="Y228">
        <v>0</v>
      </c>
    </row>
    <row r="229" spans="1:25" x14ac:dyDescent="0.3">
      <c r="A229">
        <v>228</v>
      </c>
      <c r="B229">
        <v>20000</v>
      </c>
      <c r="C229">
        <v>1</v>
      </c>
      <c r="D229">
        <v>2</v>
      </c>
      <c r="E229">
        <v>1</v>
      </c>
      <c r="F229">
        <v>37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16455</v>
      </c>
      <c r="N229">
        <v>16511</v>
      </c>
      <c r="O229">
        <v>18902</v>
      </c>
      <c r="P229">
        <v>18768</v>
      </c>
      <c r="Q229">
        <v>18650</v>
      </c>
      <c r="R229">
        <v>19175</v>
      </c>
      <c r="S229">
        <v>1609</v>
      </c>
      <c r="T229">
        <v>3000</v>
      </c>
      <c r="U229">
        <v>663</v>
      </c>
      <c r="V229">
        <v>676</v>
      </c>
      <c r="W229">
        <v>834</v>
      </c>
      <c r="X229">
        <v>782</v>
      </c>
      <c r="Y229">
        <v>0</v>
      </c>
    </row>
    <row r="230" spans="1:25" x14ac:dyDescent="0.3">
      <c r="A230">
        <v>229</v>
      </c>
      <c r="B230">
        <v>50000</v>
      </c>
      <c r="C230">
        <v>1</v>
      </c>
      <c r="D230">
        <v>2</v>
      </c>
      <c r="E230">
        <v>2</v>
      </c>
      <c r="F230">
        <v>23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49758</v>
      </c>
      <c r="N230">
        <v>48456</v>
      </c>
      <c r="O230">
        <v>44116</v>
      </c>
      <c r="P230">
        <v>21247</v>
      </c>
      <c r="Q230">
        <v>20066</v>
      </c>
      <c r="R230">
        <v>18858</v>
      </c>
      <c r="S230">
        <v>2401</v>
      </c>
      <c r="T230">
        <v>2254</v>
      </c>
      <c r="U230">
        <v>2004</v>
      </c>
      <c r="V230">
        <v>704</v>
      </c>
      <c r="W230">
        <v>707</v>
      </c>
      <c r="X230">
        <v>1004</v>
      </c>
      <c r="Y230">
        <v>1</v>
      </c>
    </row>
    <row r="231" spans="1:25" x14ac:dyDescent="0.3">
      <c r="A231">
        <v>230</v>
      </c>
      <c r="B231">
        <v>20000</v>
      </c>
      <c r="C231">
        <v>2</v>
      </c>
      <c r="D231">
        <v>3</v>
      </c>
      <c r="E231">
        <v>2</v>
      </c>
      <c r="F231">
        <v>24</v>
      </c>
      <c r="G231">
        <v>1</v>
      </c>
      <c r="H231">
        <v>2</v>
      </c>
      <c r="I231">
        <v>0</v>
      </c>
      <c r="J231">
        <v>0</v>
      </c>
      <c r="K231">
        <v>0</v>
      </c>
      <c r="L231">
        <v>0</v>
      </c>
      <c r="M231">
        <v>19154</v>
      </c>
      <c r="N231">
        <v>18165</v>
      </c>
      <c r="O231">
        <v>17233</v>
      </c>
      <c r="P231">
        <v>7630</v>
      </c>
      <c r="Q231">
        <v>1730</v>
      </c>
      <c r="R231">
        <v>0</v>
      </c>
      <c r="S231">
        <v>0</v>
      </c>
      <c r="T231">
        <v>1333</v>
      </c>
      <c r="U231">
        <v>500</v>
      </c>
      <c r="V231">
        <v>100</v>
      </c>
      <c r="W231">
        <v>0</v>
      </c>
      <c r="X231">
        <v>3200</v>
      </c>
      <c r="Y231">
        <v>0</v>
      </c>
    </row>
    <row r="232" spans="1:25" x14ac:dyDescent="0.3">
      <c r="A232">
        <v>231</v>
      </c>
      <c r="B232">
        <v>50000</v>
      </c>
      <c r="C232">
        <v>2</v>
      </c>
      <c r="D232">
        <v>1</v>
      </c>
      <c r="E232">
        <v>2</v>
      </c>
      <c r="F232">
        <v>24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35084</v>
      </c>
      <c r="N232">
        <v>35796</v>
      </c>
      <c r="O232">
        <v>30937</v>
      </c>
      <c r="P232">
        <v>19420</v>
      </c>
      <c r="Q232">
        <v>10385</v>
      </c>
      <c r="R232">
        <v>1308</v>
      </c>
      <c r="S232">
        <v>2090</v>
      </c>
      <c r="T232">
        <v>2002</v>
      </c>
      <c r="U232">
        <v>1002</v>
      </c>
      <c r="V232">
        <v>238</v>
      </c>
      <c r="W232">
        <v>1011</v>
      </c>
      <c r="X232">
        <v>389</v>
      </c>
      <c r="Y232">
        <v>0</v>
      </c>
    </row>
    <row r="233" spans="1:25" x14ac:dyDescent="0.3">
      <c r="A233">
        <v>232</v>
      </c>
      <c r="B233">
        <v>20000</v>
      </c>
      <c r="C233">
        <v>1</v>
      </c>
      <c r="D233">
        <v>2</v>
      </c>
      <c r="E233">
        <v>2</v>
      </c>
      <c r="F233">
        <v>23</v>
      </c>
      <c r="G233">
        <v>1</v>
      </c>
      <c r="H233">
        <v>2</v>
      </c>
      <c r="I233">
        <v>0</v>
      </c>
      <c r="J233">
        <v>0</v>
      </c>
      <c r="K233">
        <v>2</v>
      </c>
      <c r="L233">
        <v>0</v>
      </c>
      <c r="M233">
        <v>20235</v>
      </c>
      <c r="N233">
        <v>17132</v>
      </c>
      <c r="O233">
        <v>16856</v>
      </c>
      <c r="P233">
        <v>16875</v>
      </c>
      <c r="Q233">
        <v>13454</v>
      </c>
      <c r="R233">
        <v>10104</v>
      </c>
      <c r="S233">
        <v>0</v>
      </c>
      <c r="T233">
        <v>1200</v>
      </c>
      <c r="U233">
        <v>1000</v>
      </c>
      <c r="V233">
        <v>0</v>
      </c>
      <c r="W233">
        <v>1000</v>
      </c>
      <c r="X233">
        <v>10000</v>
      </c>
      <c r="Y233">
        <v>1</v>
      </c>
    </row>
    <row r="234" spans="1:25" x14ac:dyDescent="0.3">
      <c r="A234">
        <v>233</v>
      </c>
      <c r="B234">
        <v>50000</v>
      </c>
      <c r="C234">
        <v>1</v>
      </c>
      <c r="D234">
        <v>2</v>
      </c>
      <c r="E234">
        <v>1</v>
      </c>
      <c r="F234">
        <v>26</v>
      </c>
      <c r="G234">
        <v>0</v>
      </c>
      <c r="H234">
        <v>0</v>
      </c>
      <c r="I234">
        <v>-2</v>
      </c>
      <c r="J234">
        <v>-1</v>
      </c>
      <c r="K234">
        <v>-1</v>
      </c>
      <c r="L234">
        <v>0</v>
      </c>
      <c r="M234">
        <v>102800</v>
      </c>
      <c r="N234">
        <v>0</v>
      </c>
      <c r="O234">
        <v>0</v>
      </c>
      <c r="P234">
        <v>2624</v>
      </c>
      <c r="Q234">
        <v>45567</v>
      </c>
      <c r="R234">
        <v>46557</v>
      </c>
      <c r="S234">
        <v>0</v>
      </c>
      <c r="T234">
        <v>0</v>
      </c>
      <c r="U234">
        <v>2624</v>
      </c>
      <c r="V234">
        <v>45567</v>
      </c>
      <c r="W234">
        <v>1747</v>
      </c>
      <c r="X234">
        <v>2000</v>
      </c>
      <c r="Y234">
        <v>0</v>
      </c>
    </row>
    <row r="235" spans="1:25" x14ac:dyDescent="0.3">
      <c r="A235">
        <v>234</v>
      </c>
      <c r="B235">
        <v>190000</v>
      </c>
      <c r="C235">
        <v>1</v>
      </c>
      <c r="D235">
        <v>2</v>
      </c>
      <c r="E235">
        <v>2</v>
      </c>
      <c r="F235">
        <v>34</v>
      </c>
      <c r="G235">
        <v>2</v>
      </c>
      <c r="H235">
        <v>0</v>
      </c>
      <c r="I235">
        <v>0</v>
      </c>
      <c r="J235">
        <v>0</v>
      </c>
      <c r="K235">
        <v>2</v>
      </c>
      <c r="L235">
        <v>2</v>
      </c>
      <c r="M235">
        <v>129801</v>
      </c>
      <c r="N235">
        <v>131383</v>
      </c>
      <c r="O235">
        <v>134379</v>
      </c>
      <c r="P235">
        <v>142323</v>
      </c>
      <c r="Q235">
        <v>140120</v>
      </c>
      <c r="R235">
        <v>150052</v>
      </c>
      <c r="S235">
        <v>5000</v>
      </c>
      <c r="T235">
        <v>5000</v>
      </c>
      <c r="U235">
        <v>10000</v>
      </c>
      <c r="V235">
        <v>0</v>
      </c>
      <c r="W235">
        <v>12118</v>
      </c>
      <c r="X235">
        <v>2769</v>
      </c>
      <c r="Y235">
        <v>1</v>
      </c>
    </row>
    <row r="236" spans="1:25" x14ac:dyDescent="0.3">
      <c r="A236">
        <v>235</v>
      </c>
      <c r="B236">
        <v>60000</v>
      </c>
      <c r="C236">
        <v>2</v>
      </c>
      <c r="D236">
        <v>2</v>
      </c>
      <c r="E236">
        <v>1</v>
      </c>
      <c r="F236">
        <v>33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58203</v>
      </c>
      <c r="N236">
        <v>36367</v>
      </c>
      <c r="O236">
        <v>20934</v>
      </c>
      <c r="P236">
        <v>20694</v>
      </c>
      <c r="Q236">
        <v>20175</v>
      </c>
      <c r="R236">
        <v>19421</v>
      </c>
      <c r="S236">
        <v>1506</v>
      </c>
      <c r="T236">
        <v>1298</v>
      </c>
      <c r="U236">
        <v>1000</v>
      </c>
      <c r="V236">
        <v>721</v>
      </c>
      <c r="W236">
        <v>811</v>
      </c>
      <c r="X236">
        <v>599</v>
      </c>
      <c r="Y236">
        <v>0</v>
      </c>
    </row>
    <row r="237" spans="1:25" x14ac:dyDescent="0.3">
      <c r="A237">
        <v>236</v>
      </c>
      <c r="B237">
        <v>80000</v>
      </c>
      <c r="C237">
        <v>1</v>
      </c>
      <c r="D237">
        <v>1</v>
      </c>
      <c r="E237">
        <v>2</v>
      </c>
      <c r="F237">
        <v>35</v>
      </c>
      <c r="G237">
        <v>-1</v>
      </c>
      <c r="H237">
        <v>-1</v>
      </c>
      <c r="I237">
        <v>-1</v>
      </c>
      <c r="J237">
        <v>-1</v>
      </c>
      <c r="K237">
        <v>-1</v>
      </c>
      <c r="L237">
        <v>-1</v>
      </c>
      <c r="M237">
        <v>7988</v>
      </c>
      <c r="N237">
        <v>3977</v>
      </c>
      <c r="O237">
        <v>6848</v>
      </c>
      <c r="P237">
        <v>1719</v>
      </c>
      <c r="Q237">
        <v>1378</v>
      </c>
      <c r="R237">
        <v>19942</v>
      </c>
      <c r="S237">
        <v>3983</v>
      </c>
      <c r="T237">
        <v>6853</v>
      </c>
      <c r="U237">
        <v>1719</v>
      </c>
      <c r="V237">
        <v>1378</v>
      </c>
      <c r="W237">
        <v>19942</v>
      </c>
      <c r="X237">
        <v>2418</v>
      </c>
      <c r="Y237">
        <v>0</v>
      </c>
    </row>
    <row r="238" spans="1:25" x14ac:dyDescent="0.3">
      <c r="A238">
        <v>237</v>
      </c>
      <c r="B238">
        <v>150000</v>
      </c>
      <c r="C238">
        <v>2</v>
      </c>
      <c r="D238">
        <v>2</v>
      </c>
      <c r="E238">
        <v>2</v>
      </c>
      <c r="F238">
        <v>27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127402</v>
      </c>
      <c r="N238">
        <v>110050</v>
      </c>
      <c r="O238">
        <v>51547</v>
      </c>
      <c r="P238">
        <v>44384</v>
      </c>
      <c r="Q238">
        <v>36900</v>
      </c>
      <c r="R238">
        <v>29497</v>
      </c>
      <c r="S238">
        <v>4500</v>
      </c>
      <c r="T238">
        <v>1745</v>
      </c>
      <c r="U238">
        <v>1566</v>
      </c>
      <c r="V238">
        <v>1208</v>
      </c>
      <c r="W238">
        <v>1077</v>
      </c>
      <c r="X238">
        <v>2529</v>
      </c>
      <c r="Y238">
        <v>0</v>
      </c>
    </row>
    <row r="239" spans="1:25" x14ac:dyDescent="0.3">
      <c r="A239">
        <v>238</v>
      </c>
      <c r="B239">
        <v>210000</v>
      </c>
      <c r="C239">
        <v>2</v>
      </c>
      <c r="D239">
        <v>1</v>
      </c>
      <c r="E239">
        <v>2</v>
      </c>
      <c r="F239">
        <v>31</v>
      </c>
      <c r="G239">
        <v>-2</v>
      </c>
      <c r="H239">
        <v>-2</v>
      </c>
      <c r="I239">
        <v>-2</v>
      </c>
      <c r="J239">
        <v>-2</v>
      </c>
      <c r="K239">
        <v>-1</v>
      </c>
      <c r="L239">
        <v>-1</v>
      </c>
      <c r="M239">
        <v>1440</v>
      </c>
      <c r="N239">
        <v>0</v>
      </c>
      <c r="O239">
        <v>7422</v>
      </c>
      <c r="P239">
        <v>893</v>
      </c>
      <c r="Q239">
        <v>6082</v>
      </c>
      <c r="R239">
        <v>2293</v>
      </c>
      <c r="S239">
        <v>0</v>
      </c>
      <c r="T239">
        <v>7422</v>
      </c>
      <c r="U239">
        <v>893</v>
      </c>
      <c r="V239">
        <v>6082</v>
      </c>
      <c r="W239">
        <v>2293</v>
      </c>
      <c r="X239">
        <v>3299</v>
      </c>
      <c r="Y239">
        <v>0</v>
      </c>
    </row>
    <row r="240" spans="1:25" x14ac:dyDescent="0.3">
      <c r="A240">
        <v>239</v>
      </c>
      <c r="B240">
        <v>240000</v>
      </c>
      <c r="C240">
        <v>2</v>
      </c>
      <c r="D240">
        <v>3</v>
      </c>
      <c r="E240">
        <v>1</v>
      </c>
      <c r="F240">
        <v>50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234205</v>
      </c>
      <c r="N240">
        <v>231669</v>
      </c>
      <c r="O240">
        <v>214642</v>
      </c>
      <c r="P240">
        <v>207642</v>
      </c>
      <c r="Q240">
        <v>210375</v>
      </c>
      <c r="R240">
        <v>214694</v>
      </c>
      <c r="S240">
        <v>10116</v>
      </c>
      <c r="T240">
        <v>9150</v>
      </c>
      <c r="U240">
        <v>8008</v>
      </c>
      <c r="V240">
        <v>8000</v>
      </c>
      <c r="W240">
        <v>8009</v>
      </c>
      <c r="X240">
        <v>7714</v>
      </c>
      <c r="Y240">
        <v>1</v>
      </c>
    </row>
    <row r="241" spans="1:25" x14ac:dyDescent="0.3">
      <c r="A241">
        <v>240</v>
      </c>
      <c r="B241">
        <v>140000</v>
      </c>
      <c r="C241">
        <v>2</v>
      </c>
      <c r="D241">
        <v>2</v>
      </c>
      <c r="E241">
        <v>3</v>
      </c>
      <c r="F241">
        <v>41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19346</v>
      </c>
      <c r="N241">
        <v>21708</v>
      </c>
      <c r="O241">
        <v>22940</v>
      </c>
      <c r="P241">
        <v>19068</v>
      </c>
      <c r="Q241">
        <v>16409</v>
      </c>
      <c r="R241">
        <v>16383</v>
      </c>
      <c r="S241">
        <v>3000</v>
      </c>
      <c r="T241">
        <v>2000</v>
      </c>
      <c r="U241">
        <v>2198</v>
      </c>
      <c r="V241">
        <v>1000</v>
      </c>
      <c r="W241">
        <v>3000</v>
      </c>
      <c r="X241">
        <v>2399</v>
      </c>
      <c r="Y241">
        <v>1</v>
      </c>
    </row>
    <row r="242" spans="1:25" x14ac:dyDescent="0.3">
      <c r="A242">
        <v>241</v>
      </c>
      <c r="B242">
        <v>60000</v>
      </c>
      <c r="C242">
        <v>2</v>
      </c>
      <c r="D242">
        <v>1</v>
      </c>
      <c r="E242">
        <v>2</v>
      </c>
      <c r="F242">
        <v>28</v>
      </c>
      <c r="G242">
        <v>1</v>
      </c>
      <c r="H242">
        <v>2</v>
      </c>
      <c r="I242">
        <v>2</v>
      </c>
      <c r="J242">
        <v>-2</v>
      </c>
      <c r="K242">
        <v>-2</v>
      </c>
      <c r="L242">
        <v>-1</v>
      </c>
      <c r="M242">
        <v>21501</v>
      </c>
      <c r="N242">
        <v>20650</v>
      </c>
      <c r="O242">
        <v>0</v>
      </c>
      <c r="P242">
        <v>0</v>
      </c>
      <c r="Q242">
        <v>0</v>
      </c>
      <c r="R242">
        <v>2285</v>
      </c>
      <c r="S242">
        <v>0</v>
      </c>
      <c r="T242">
        <v>0</v>
      </c>
      <c r="U242">
        <v>0</v>
      </c>
      <c r="V242">
        <v>0</v>
      </c>
      <c r="W242">
        <v>2285</v>
      </c>
      <c r="X242">
        <v>0</v>
      </c>
      <c r="Y242">
        <v>0</v>
      </c>
    </row>
    <row r="243" spans="1:25" x14ac:dyDescent="0.3">
      <c r="A243">
        <v>242</v>
      </c>
      <c r="B243">
        <v>50000</v>
      </c>
      <c r="C243">
        <v>1</v>
      </c>
      <c r="D243">
        <v>1</v>
      </c>
      <c r="E243">
        <v>2</v>
      </c>
      <c r="F243">
        <v>39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47174</v>
      </c>
      <c r="N243">
        <v>47974</v>
      </c>
      <c r="O243">
        <v>48630</v>
      </c>
      <c r="P243">
        <v>50803</v>
      </c>
      <c r="Q243">
        <v>30789</v>
      </c>
      <c r="R243">
        <v>15874</v>
      </c>
      <c r="S243">
        <v>1800</v>
      </c>
      <c r="T243">
        <v>2000</v>
      </c>
      <c r="U243">
        <v>3000</v>
      </c>
      <c r="V243">
        <v>2000</v>
      </c>
      <c r="W243">
        <v>2000</v>
      </c>
      <c r="X243">
        <v>2000</v>
      </c>
      <c r="Y243">
        <v>0</v>
      </c>
    </row>
    <row r="244" spans="1:25" x14ac:dyDescent="0.3">
      <c r="A244">
        <v>243</v>
      </c>
      <c r="B244">
        <v>50000</v>
      </c>
      <c r="C244">
        <v>2</v>
      </c>
      <c r="D244">
        <v>2</v>
      </c>
      <c r="E244">
        <v>2</v>
      </c>
      <c r="F244">
        <v>27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26655</v>
      </c>
      <c r="N244">
        <v>27724</v>
      </c>
      <c r="O244">
        <v>28676</v>
      </c>
      <c r="P244">
        <v>27990</v>
      </c>
      <c r="Q244">
        <v>28790</v>
      </c>
      <c r="R244">
        <v>29399</v>
      </c>
      <c r="S244">
        <v>1800</v>
      </c>
      <c r="T244">
        <v>1750</v>
      </c>
      <c r="U244">
        <v>900</v>
      </c>
      <c r="V244">
        <v>1200</v>
      </c>
      <c r="W244">
        <v>1200</v>
      </c>
      <c r="X244">
        <v>1100</v>
      </c>
      <c r="Y244">
        <v>0</v>
      </c>
    </row>
    <row r="245" spans="1:25" x14ac:dyDescent="0.3">
      <c r="A245">
        <v>244</v>
      </c>
      <c r="B245">
        <v>180000</v>
      </c>
      <c r="C245">
        <v>2</v>
      </c>
      <c r="D245">
        <v>1</v>
      </c>
      <c r="E245">
        <v>2</v>
      </c>
      <c r="F245">
        <v>32</v>
      </c>
      <c r="G245">
        <v>-1</v>
      </c>
      <c r="H245">
        <v>-1</v>
      </c>
      <c r="I245">
        <v>2</v>
      </c>
      <c r="J245">
        <v>2</v>
      </c>
      <c r="K245">
        <v>-1</v>
      </c>
      <c r="L245">
        <v>-1</v>
      </c>
      <c r="M245">
        <v>3139</v>
      </c>
      <c r="N245">
        <v>5853</v>
      </c>
      <c r="O245">
        <v>2821</v>
      </c>
      <c r="P245">
        <v>0</v>
      </c>
      <c r="Q245">
        <v>2821</v>
      </c>
      <c r="R245">
        <v>0</v>
      </c>
      <c r="S245">
        <v>2821</v>
      </c>
      <c r="T245">
        <v>0</v>
      </c>
      <c r="U245">
        <v>0</v>
      </c>
      <c r="V245">
        <v>2821</v>
      </c>
      <c r="W245">
        <v>0</v>
      </c>
      <c r="X245">
        <v>176</v>
      </c>
      <c r="Y245">
        <v>0</v>
      </c>
    </row>
    <row r="246" spans="1:25" x14ac:dyDescent="0.3">
      <c r="A246">
        <v>245</v>
      </c>
      <c r="B246">
        <v>30000</v>
      </c>
      <c r="C246">
        <v>2</v>
      </c>
      <c r="D246">
        <v>1</v>
      </c>
      <c r="E246">
        <v>2</v>
      </c>
      <c r="F246">
        <v>40</v>
      </c>
      <c r="G246">
        <v>-1</v>
      </c>
      <c r="H246">
        <v>-1</v>
      </c>
      <c r="I246">
        <v>2</v>
      </c>
      <c r="J246">
        <v>2</v>
      </c>
      <c r="K246">
        <v>2</v>
      </c>
      <c r="L246">
        <v>2</v>
      </c>
      <c r="M246">
        <v>142</v>
      </c>
      <c r="N246">
        <v>215</v>
      </c>
      <c r="O246">
        <v>139</v>
      </c>
      <c r="P246">
        <v>19</v>
      </c>
      <c r="Q246">
        <v>19</v>
      </c>
      <c r="R246">
        <v>79</v>
      </c>
      <c r="S246">
        <v>355</v>
      </c>
      <c r="T246">
        <v>120</v>
      </c>
      <c r="U246">
        <v>0</v>
      </c>
      <c r="V246">
        <v>0</v>
      </c>
      <c r="W246">
        <v>60</v>
      </c>
      <c r="X246">
        <v>60</v>
      </c>
      <c r="Y246">
        <v>0</v>
      </c>
    </row>
    <row r="247" spans="1:25" x14ac:dyDescent="0.3">
      <c r="A247">
        <v>246</v>
      </c>
      <c r="B247">
        <v>20000</v>
      </c>
      <c r="C247">
        <v>2</v>
      </c>
      <c r="D247">
        <v>2</v>
      </c>
      <c r="E247">
        <v>2</v>
      </c>
      <c r="F247">
        <v>40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-2</v>
      </c>
      <c r="M247">
        <v>19816</v>
      </c>
      <c r="N247">
        <v>20396</v>
      </c>
      <c r="O247">
        <v>20102</v>
      </c>
      <c r="P247">
        <v>19575</v>
      </c>
      <c r="Q247">
        <v>0</v>
      </c>
      <c r="R247">
        <v>0</v>
      </c>
      <c r="S247">
        <v>1601</v>
      </c>
      <c r="T247">
        <v>2203</v>
      </c>
      <c r="U247">
        <v>2114</v>
      </c>
      <c r="V247">
        <v>0</v>
      </c>
      <c r="W247">
        <v>0</v>
      </c>
      <c r="X247">
        <v>0</v>
      </c>
      <c r="Y247">
        <v>0</v>
      </c>
    </row>
    <row r="248" spans="1:25" x14ac:dyDescent="0.3">
      <c r="A248">
        <v>247</v>
      </c>
      <c r="B248">
        <v>250000</v>
      </c>
      <c r="C248">
        <v>2</v>
      </c>
      <c r="D248">
        <v>2</v>
      </c>
      <c r="E248">
        <v>1</v>
      </c>
      <c r="F248">
        <v>75</v>
      </c>
      <c r="G248">
        <v>0</v>
      </c>
      <c r="H248">
        <v>-1</v>
      </c>
      <c r="I248">
        <v>-1</v>
      </c>
      <c r="J248">
        <v>-1</v>
      </c>
      <c r="K248">
        <v>-1</v>
      </c>
      <c r="L248">
        <v>-1</v>
      </c>
      <c r="M248">
        <v>52874</v>
      </c>
      <c r="N248">
        <v>1631</v>
      </c>
      <c r="O248">
        <v>1536</v>
      </c>
      <c r="P248">
        <v>1010</v>
      </c>
      <c r="Q248">
        <v>5572</v>
      </c>
      <c r="R248">
        <v>794</v>
      </c>
      <c r="S248">
        <v>1631</v>
      </c>
      <c r="T248">
        <v>1536</v>
      </c>
      <c r="U248">
        <v>1010</v>
      </c>
      <c r="V248">
        <v>5572</v>
      </c>
      <c r="W248">
        <v>794</v>
      </c>
      <c r="X248">
        <v>1184</v>
      </c>
      <c r="Y248">
        <v>0</v>
      </c>
    </row>
    <row r="249" spans="1:25" x14ac:dyDescent="0.3">
      <c r="A249">
        <v>248</v>
      </c>
      <c r="B249">
        <v>100000</v>
      </c>
      <c r="C249">
        <v>2</v>
      </c>
      <c r="D249">
        <v>2</v>
      </c>
      <c r="E249">
        <v>2</v>
      </c>
      <c r="F249">
        <v>27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37767</v>
      </c>
      <c r="N249">
        <v>34457</v>
      </c>
      <c r="O249">
        <v>30036</v>
      </c>
      <c r="P249">
        <v>30337</v>
      </c>
      <c r="Q249">
        <v>30997</v>
      </c>
      <c r="R249">
        <v>32904</v>
      </c>
      <c r="S249">
        <v>1788</v>
      </c>
      <c r="T249">
        <v>1799</v>
      </c>
      <c r="U249">
        <v>1100</v>
      </c>
      <c r="V249">
        <v>1150</v>
      </c>
      <c r="W249">
        <v>2423</v>
      </c>
      <c r="X249">
        <v>0</v>
      </c>
      <c r="Y249">
        <v>0</v>
      </c>
    </row>
    <row r="250" spans="1:25" x14ac:dyDescent="0.3">
      <c r="A250">
        <v>249</v>
      </c>
      <c r="B250">
        <v>330000</v>
      </c>
      <c r="C250">
        <v>1</v>
      </c>
      <c r="D250">
        <v>1</v>
      </c>
      <c r="E250">
        <v>2</v>
      </c>
      <c r="F250">
        <v>25</v>
      </c>
      <c r="G250">
        <v>0</v>
      </c>
      <c r="H250">
        <v>0</v>
      </c>
      <c r="I250">
        <v>0</v>
      </c>
      <c r="J250">
        <v>0</v>
      </c>
      <c r="K250">
        <v>2</v>
      </c>
      <c r="L250">
        <v>0</v>
      </c>
      <c r="M250">
        <v>46140</v>
      </c>
      <c r="N250">
        <v>45781</v>
      </c>
      <c r="O250">
        <v>48139</v>
      </c>
      <c r="P250">
        <v>51137</v>
      </c>
      <c r="Q250">
        <v>39450</v>
      </c>
      <c r="R250">
        <v>25358</v>
      </c>
      <c r="S250">
        <v>2504</v>
      </c>
      <c r="T250">
        <v>4007</v>
      </c>
      <c r="U250">
        <v>5056</v>
      </c>
      <c r="V250">
        <v>74</v>
      </c>
      <c r="W250">
        <v>1023</v>
      </c>
      <c r="X250">
        <v>2566</v>
      </c>
      <c r="Y250">
        <v>0</v>
      </c>
    </row>
    <row r="251" spans="1:25" x14ac:dyDescent="0.3">
      <c r="A251">
        <v>250</v>
      </c>
      <c r="B251">
        <v>50000</v>
      </c>
      <c r="C251">
        <v>1</v>
      </c>
      <c r="D251">
        <v>3</v>
      </c>
      <c r="E251">
        <v>1</v>
      </c>
      <c r="F251">
        <v>46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35713</v>
      </c>
      <c r="N251">
        <v>15392</v>
      </c>
      <c r="O251">
        <v>16099</v>
      </c>
      <c r="P251">
        <v>16418</v>
      </c>
      <c r="Q251">
        <v>16765</v>
      </c>
      <c r="R251">
        <v>17484</v>
      </c>
      <c r="S251">
        <v>1561</v>
      </c>
      <c r="T251">
        <v>1268</v>
      </c>
      <c r="U251">
        <v>587</v>
      </c>
      <c r="V251">
        <v>611</v>
      </c>
      <c r="W251">
        <v>1000</v>
      </c>
      <c r="X251">
        <v>2000</v>
      </c>
      <c r="Y251">
        <v>0</v>
      </c>
    </row>
    <row r="252" spans="1:25" x14ac:dyDescent="0.3">
      <c r="A252">
        <v>251</v>
      </c>
      <c r="B252">
        <v>50000</v>
      </c>
      <c r="C252">
        <v>2</v>
      </c>
      <c r="D252">
        <v>2</v>
      </c>
      <c r="E252">
        <v>2</v>
      </c>
      <c r="F252">
        <v>26</v>
      </c>
      <c r="G252">
        <v>1</v>
      </c>
      <c r="H252">
        <v>2</v>
      </c>
      <c r="I252">
        <v>2</v>
      </c>
      <c r="J252">
        <v>0</v>
      </c>
      <c r="K252">
        <v>0</v>
      </c>
      <c r="L252">
        <v>0</v>
      </c>
      <c r="M252">
        <v>50867</v>
      </c>
      <c r="N252">
        <v>51486</v>
      </c>
      <c r="O252">
        <v>48869</v>
      </c>
      <c r="P252">
        <v>30115</v>
      </c>
      <c r="Q252">
        <v>29527</v>
      </c>
      <c r="R252">
        <v>29998</v>
      </c>
      <c r="S252">
        <v>1710</v>
      </c>
      <c r="T252">
        <v>136</v>
      </c>
      <c r="U252">
        <v>1206</v>
      </c>
      <c r="V252">
        <v>2002</v>
      </c>
      <c r="W252">
        <v>2005</v>
      </c>
      <c r="X252">
        <v>3003</v>
      </c>
      <c r="Y252">
        <v>0</v>
      </c>
    </row>
    <row r="253" spans="1:25" x14ac:dyDescent="0.3">
      <c r="A253">
        <v>252</v>
      </c>
      <c r="B253">
        <v>30000</v>
      </c>
      <c r="C253">
        <v>1</v>
      </c>
      <c r="D253">
        <v>2</v>
      </c>
      <c r="E253">
        <v>2</v>
      </c>
      <c r="F253">
        <v>28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29242</v>
      </c>
      <c r="N253">
        <v>29507</v>
      </c>
      <c r="O253">
        <v>29155</v>
      </c>
      <c r="P253">
        <v>25255</v>
      </c>
      <c r="Q253">
        <v>22001</v>
      </c>
      <c r="R253">
        <v>0</v>
      </c>
      <c r="S253">
        <v>5006</v>
      </c>
      <c r="T253">
        <v>1244</v>
      </c>
      <c r="U253">
        <v>851</v>
      </c>
      <c r="V253">
        <v>955</v>
      </c>
      <c r="W253">
        <v>0</v>
      </c>
      <c r="X253">
        <v>0</v>
      </c>
      <c r="Y253">
        <v>0</v>
      </c>
    </row>
    <row r="254" spans="1:25" x14ac:dyDescent="0.3">
      <c r="A254">
        <v>253</v>
      </c>
      <c r="B254">
        <v>140000</v>
      </c>
      <c r="C254">
        <v>2</v>
      </c>
      <c r="D254">
        <v>2</v>
      </c>
      <c r="E254">
        <v>2</v>
      </c>
      <c r="F254">
        <v>26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101551</v>
      </c>
      <c r="N254">
        <v>105246</v>
      </c>
      <c r="O254">
        <v>104781</v>
      </c>
      <c r="P254">
        <v>105334</v>
      </c>
      <c r="Q254">
        <v>107699</v>
      </c>
      <c r="R254">
        <v>106828</v>
      </c>
      <c r="S254">
        <v>5366</v>
      </c>
      <c r="T254">
        <v>5087</v>
      </c>
      <c r="U254">
        <v>3605</v>
      </c>
      <c r="V254">
        <v>3894</v>
      </c>
      <c r="W254">
        <v>3785</v>
      </c>
      <c r="X254">
        <v>3304</v>
      </c>
      <c r="Y254">
        <v>1</v>
      </c>
    </row>
    <row r="255" spans="1:25" x14ac:dyDescent="0.3">
      <c r="A255">
        <v>254</v>
      </c>
      <c r="B255">
        <v>160000</v>
      </c>
      <c r="C255">
        <v>2</v>
      </c>
      <c r="D255">
        <v>1</v>
      </c>
      <c r="E255">
        <v>2</v>
      </c>
      <c r="F255">
        <v>28</v>
      </c>
      <c r="G255">
        <v>0</v>
      </c>
      <c r="H255">
        <v>0</v>
      </c>
      <c r="I255">
        <v>0</v>
      </c>
      <c r="J255">
        <v>0</v>
      </c>
      <c r="K255">
        <v>-1</v>
      </c>
      <c r="L255">
        <v>0</v>
      </c>
      <c r="M255">
        <v>70243</v>
      </c>
      <c r="N255">
        <v>47779</v>
      </c>
      <c r="O255">
        <v>28052</v>
      </c>
      <c r="P255">
        <v>7222</v>
      </c>
      <c r="Q255">
        <v>99669</v>
      </c>
      <c r="R255">
        <v>84426</v>
      </c>
      <c r="S255">
        <v>7042</v>
      </c>
      <c r="T255">
        <v>2000</v>
      </c>
      <c r="U255">
        <v>1000</v>
      </c>
      <c r="V255">
        <v>99669</v>
      </c>
      <c r="W255">
        <v>12600</v>
      </c>
      <c r="X255">
        <v>10000</v>
      </c>
      <c r="Y255">
        <v>0</v>
      </c>
    </row>
    <row r="256" spans="1:25" x14ac:dyDescent="0.3">
      <c r="A256">
        <v>255</v>
      </c>
      <c r="B256">
        <v>400000</v>
      </c>
      <c r="C256">
        <v>2</v>
      </c>
      <c r="D256">
        <v>2</v>
      </c>
      <c r="E256">
        <v>2</v>
      </c>
      <c r="F256">
        <v>29</v>
      </c>
      <c r="G256">
        <v>-1</v>
      </c>
      <c r="H256">
        <v>0</v>
      </c>
      <c r="I256">
        <v>-1</v>
      </c>
      <c r="J256">
        <v>-1</v>
      </c>
      <c r="K256">
        <v>-1</v>
      </c>
      <c r="L256">
        <v>-1</v>
      </c>
      <c r="M256">
        <v>19532</v>
      </c>
      <c r="N256">
        <v>3719</v>
      </c>
      <c r="O256">
        <v>1453</v>
      </c>
      <c r="P256">
        <v>4944</v>
      </c>
      <c r="Q256">
        <v>1896</v>
      </c>
      <c r="R256">
        <v>2486</v>
      </c>
      <c r="S256">
        <v>3127</v>
      </c>
      <c r="T256">
        <v>1469</v>
      </c>
      <c r="U256">
        <v>4968</v>
      </c>
      <c r="V256">
        <v>1905</v>
      </c>
      <c r="W256">
        <v>2494</v>
      </c>
      <c r="X256">
        <v>862</v>
      </c>
      <c r="Y256">
        <v>0</v>
      </c>
    </row>
    <row r="257" spans="1:25" x14ac:dyDescent="0.3">
      <c r="A257">
        <v>256</v>
      </c>
      <c r="B257">
        <v>50000</v>
      </c>
      <c r="C257">
        <v>1</v>
      </c>
      <c r="D257">
        <v>2</v>
      </c>
      <c r="E257">
        <v>1</v>
      </c>
      <c r="F257">
        <v>25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27699</v>
      </c>
      <c r="N257">
        <v>28513</v>
      </c>
      <c r="O257">
        <v>29341</v>
      </c>
      <c r="P257">
        <v>29928</v>
      </c>
      <c r="Q257">
        <v>29533</v>
      </c>
      <c r="R257">
        <v>28538</v>
      </c>
      <c r="S257">
        <v>1565</v>
      </c>
      <c r="T257">
        <v>1393</v>
      </c>
      <c r="U257">
        <v>980</v>
      </c>
      <c r="V257">
        <v>994</v>
      </c>
      <c r="W257">
        <v>1024</v>
      </c>
      <c r="X257">
        <v>886</v>
      </c>
      <c r="Y257">
        <v>0</v>
      </c>
    </row>
    <row r="258" spans="1:25" x14ac:dyDescent="0.3">
      <c r="A258">
        <v>257</v>
      </c>
      <c r="B258">
        <v>140000</v>
      </c>
      <c r="C258">
        <v>2</v>
      </c>
      <c r="D258">
        <v>2</v>
      </c>
      <c r="E258">
        <v>1</v>
      </c>
      <c r="F258">
        <v>48</v>
      </c>
      <c r="G258">
        <v>0</v>
      </c>
      <c r="H258">
        <v>-1</v>
      </c>
      <c r="I258">
        <v>-1</v>
      </c>
      <c r="J258">
        <v>-1</v>
      </c>
      <c r="K258">
        <v>-1</v>
      </c>
      <c r="L258">
        <v>-1</v>
      </c>
      <c r="M258">
        <v>1154</v>
      </c>
      <c r="N258">
        <v>1233</v>
      </c>
      <c r="O258">
        <v>862</v>
      </c>
      <c r="P258">
        <v>1355</v>
      </c>
      <c r="Q258">
        <v>1130</v>
      </c>
      <c r="R258">
        <v>21361</v>
      </c>
      <c r="S258">
        <v>1233</v>
      </c>
      <c r="T258">
        <v>1075</v>
      </c>
      <c r="U258">
        <v>1355</v>
      </c>
      <c r="V258">
        <v>1130</v>
      </c>
      <c r="W258">
        <v>21361</v>
      </c>
      <c r="X258">
        <v>1347</v>
      </c>
      <c r="Y258">
        <v>0</v>
      </c>
    </row>
    <row r="259" spans="1:25" x14ac:dyDescent="0.3">
      <c r="A259">
        <v>258</v>
      </c>
      <c r="B259">
        <v>160000</v>
      </c>
      <c r="C259">
        <v>2</v>
      </c>
      <c r="D259">
        <v>2</v>
      </c>
      <c r="E259">
        <v>1</v>
      </c>
      <c r="F259">
        <v>33</v>
      </c>
      <c r="G259">
        <v>-1</v>
      </c>
      <c r="H259">
        <v>-1</v>
      </c>
      <c r="I259">
        <v>-1</v>
      </c>
      <c r="J259">
        <v>-1</v>
      </c>
      <c r="K259">
        <v>0</v>
      </c>
      <c r="L259">
        <v>-1</v>
      </c>
      <c r="M259">
        <v>8015</v>
      </c>
      <c r="N259">
        <v>2453</v>
      </c>
      <c r="O259">
        <v>9624</v>
      </c>
      <c r="P259">
        <v>52572</v>
      </c>
      <c r="Q259">
        <v>7333</v>
      </c>
      <c r="R259">
        <v>2210</v>
      </c>
      <c r="S259">
        <v>2453</v>
      </c>
      <c r="T259">
        <v>9880</v>
      </c>
      <c r="U259">
        <v>52572</v>
      </c>
      <c r="V259">
        <v>1546</v>
      </c>
      <c r="W259">
        <v>2210</v>
      </c>
      <c r="X259">
        <v>0</v>
      </c>
      <c r="Y259">
        <v>0</v>
      </c>
    </row>
    <row r="260" spans="1:25" x14ac:dyDescent="0.3">
      <c r="A260">
        <v>259</v>
      </c>
      <c r="B260">
        <v>100000</v>
      </c>
      <c r="C260">
        <v>2</v>
      </c>
      <c r="D260">
        <v>3</v>
      </c>
      <c r="E260">
        <v>1</v>
      </c>
      <c r="F260">
        <v>43</v>
      </c>
      <c r="G260">
        <v>0</v>
      </c>
      <c r="H260">
        <v>0</v>
      </c>
      <c r="I260">
        <v>-2</v>
      </c>
      <c r="J260">
        <v>-2</v>
      </c>
      <c r="K260">
        <v>-2</v>
      </c>
      <c r="L260">
        <v>-2</v>
      </c>
      <c r="M260">
        <v>62170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</row>
    <row r="261" spans="1:25" x14ac:dyDescent="0.3">
      <c r="A261">
        <v>260</v>
      </c>
      <c r="B261">
        <v>220000</v>
      </c>
      <c r="C261">
        <v>1</v>
      </c>
      <c r="D261">
        <v>1</v>
      </c>
      <c r="E261">
        <v>1</v>
      </c>
      <c r="F261">
        <v>48</v>
      </c>
      <c r="G261">
        <v>2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210380</v>
      </c>
      <c r="N261">
        <v>213522</v>
      </c>
      <c r="O261">
        <v>201852</v>
      </c>
      <c r="P261">
        <v>169115</v>
      </c>
      <c r="Q261">
        <v>172169</v>
      </c>
      <c r="R261">
        <v>162402</v>
      </c>
      <c r="S261">
        <v>10000</v>
      </c>
      <c r="T261">
        <v>9020</v>
      </c>
      <c r="U261">
        <v>6000</v>
      </c>
      <c r="V261">
        <v>5500</v>
      </c>
      <c r="W261">
        <v>6000</v>
      </c>
      <c r="X261">
        <v>5500</v>
      </c>
      <c r="Y261">
        <v>1</v>
      </c>
    </row>
    <row r="262" spans="1:25" x14ac:dyDescent="0.3">
      <c r="A262">
        <v>261</v>
      </c>
      <c r="B262">
        <v>510000</v>
      </c>
      <c r="C262">
        <v>2</v>
      </c>
      <c r="D262">
        <v>1</v>
      </c>
      <c r="E262">
        <v>2</v>
      </c>
      <c r="F262">
        <v>29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78331</v>
      </c>
      <c r="N262">
        <v>99414</v>
      </c>
      <c r="O262">
        <v>107686</v>
      </c>
      <c r="P262">
        <v>103776</v>
      </c>
      <c r="Q262">
        <v>87265</v>
      </c>
      <c r="R262">
        <v>36739</v>
      </c>
      <c r="S262">
        <v>40010</v>
      </c>
      <c r="T262">
        <v>20094</v>
      </c>
      <c r="U262">
        <v>5000</v>
      </c>
      <c r="V262">
        <v>5001</v>
      </c>
      <c r="W262">
        <v>25365</v>
      </c>
      <c r="X262">
        <v>65000</v>
      </c>
      <c r="Y262">
        <v>0</v>
      </c>
    </row>
    <row r="263" spans="1:25" x14ac:dyDescent="0.3">
      <c r="A263">
        <v>262</v>
      </c>
      <c r="B263">
        <v>50000</v>
      </c>
      <c r="C263">
        <v>1</v>
      </c>
      <c r="D263">
        <v>2</v>
      </c>
      <c r="E263">
        <v>2</v>
      </c>
      <c r="F263">
        <v>29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49276</v>
      </c>
      <c r="N263">
        <v>35100</v>
      </c>
      <c r="O263">
        <v>32563</v>
      </c>
      <c r="P263">
        <v>27823</v>
      </c>
      <c r="Q263">
        <v>29130</v>
      </c>
      <c r="R263">
        <v>28309</v>
      </c>
      <c r="S263">
        <v>1602</v>
      </c>
      <c r="T263">
        <v>1400</v>
      </c>
      <c r="U263">
        <v>3000</v>
      </c>
      <c r="V263">
        <v>3130</v>
      </c>
      <c r="W263">
        <v>1062</v>
      </c>
      <c r="X263">
        <v>6318</v>
      </c>
      <c r="Y263">
        <v>0</v>
      </c>
    </row>
    <row r="264" spans="1:25" x14ac:dyDescent="0.3">
      <c r="A264">
        <v>263</v>
      </c>
      <c r="B264">
        <v>160000</v>
      </c>
      <c r="C264">
        <v>2</v>
      </c>
      <c r="D264">
        <v>1</v>
      </c>
      <c r="E264">
        <v>1</v>
      </c>
      <c r="F264">
        <v>38</v>
      </c>
      <c r="G264">
        <v>-1</v>
      </c>
      <c r="H264">
        <v>-1</v>
      </c>
      <c r="I264">
        <v>-1</v>
      </c>
      <c r="J264">
        <v>-1</v>
      </c>
      <c r="K264">
        <v>2</v>
      </c>
      <c r="L264">
        <v>-1</v>
      </c>
      <c r="M264">
        <v>4473</v>
      </c>
      <c r="N264">
        <v>4664</v>
      </c>
      <c r="O264">
        <v>5969</v>
      </c>
      <c r="P264">
        <v>18941</v>
      </c>
      <c r="Q264">
        <v>16578</v>
      </c>
      <c r="R264">
        <v>12652</v>
      </c>
      <c r="S264">
        <v>4664</v>
      </c>
      <c r="T264">
        <v>5969</v>
      </c>
      <c r="U264">
        <v>18941</v>
      </c>
      <c r="V264">
        <v>0</v>
      </c>
      <c r="W264">
        <v>12652</v>
      </c>
      <c r="X264">
        <v>1916</v>
      </c>
      <c r="Y264">
        <v>0</v>
      </c>
    </row>
    <row r="265" spans="1:25" x14ac:dyDescent="0.3">
      <c r="A265">
        <v>264</v>
      </c>
      <c r="B265">
        <v>230000</v>
      </c>
      <c r="C265">
        <v>2</v>
      </c>
      <c r="D265">
        <v>1</v>
      </c>
      <c r="E265">
        <v>2</v>
      </c>
      <c r="F265">
        <v>37</v>
      </c>
      <c r="G265">
        <v>-2</v>
      </c>
      <c r="H265">
        <v>-2</v>
      </c>
      <c r="I265">
        <v>-2</v>
      </c>
      <c r="J265">
        <v>-2</v>
      </c>
      <c r="K265">
        <v>-2</v>
      </c>
      <c r="L265">
        <v>-2</v>
      </c>
      <c r="M265">
        <v>2283</v>
      </c>
      <c r="N265">
        <v>50815</v>
      </c>
      <c r="O265">
        <v>0</v>
      </c>
      <c r="P265">
        <v>0</v>
      </c>
      <c r="Q265">
        <v>299</v>
      </c>
      <c r="R265">
        <v>338</v>
      </c>
      <c r="S265">
        <v>51315</v>
      </c>
      <c r="T265">
        <v>0</v>
      </c>
      <c r="U265">
        <v>0</v>
      </c>
      <c r="V265">
        <v>299</v>
      </c>
      <c r="W265">
        <v>338</v>
      </c>
      <c r="X265">
        <v>0</v>
      </c>
      <c r="Y265">
        <v>0</v>
      </c>
    </row>
    <row r="266" spans="1:25" x14ac:dyDescent="0.3">
      <c r="A266">
        <v>265</v>
      </c>
      <c r="B266">
        <v>80000</v>
      </c>
      <c r="C266">
        <v>2</v>
      </c>
      <c r="D266">
        <v>1</v>
      </c>
      <c r="E266">
        <v>2</v>
      </c>
      <c r="F266">
        <v>37</v>
      </c>
      <c r="G266">
        <v>-1</v>
      </c>
      <c r="H266">
        <v>-1</v>
      </c>
      <c r="I266">
        <v>-1</v>
      </c>
      <c r="J266">
        <v>-1</v>
      </c>
      <c r="K266">
        <v>-1</v>
      </c>
      <c r="L266">
        <v>-1</v>
      </c>
      <c r="M266">
        <v>10115</v>
      </c>
      <c r="N266">
        <v>249</v>
      </c>
      <c r="O266">
        <v>5986</v>
      </c>
      <c r="P266">
        <v>188</v>
      </c>
      <c r="Q266">
        <v>1644</v>
      </c>
      <c r="R266">
        <v>16872</v>
      </c>
      <c r="S266">
        <v>258</v>
      </c>
      <c r="T266">
        <v>5995</v>
      </c>
      <c r="U266">
        <v>188</v>
      </c>
      <c r="V266">
        <v>1644</v>
      </c>
      <c r="W266">
        <v>16872</v>
      </c>
      <c r="X266">
        <v>4000</v>
      </c>
      <c r="Y266">
        <v>0</v>
      </c>
    </row>
    <row r="267" spans="1:25" x14ac:dyDescent="0.3">
      <c r="A267">
        <v>266</v>
      </c>
      <c r="B267">
        <v>150000</v>
      </c>
      <c r="C267">
        <v>2</v>
      </c>
      <c r="D267">
        <v>2</v>
      </c>
      <c r="E267">
        <v>1</v>
      </c>
      <c r="F267">
        <v>25</v>
      </c>
      <c r="G267">
        <v>-1</v>
      </c>
      <c r="H267">
        <v>-1</v>
      </c>
      <c r="I267">
        <v>-2</v>
      </c>
      <c r="J267">
        <v>-1</v>
      </c>
      <c r="K267">
        <v>-1</v>
      </c>
      <c r="L267">
        <v>-1</v>
      </c>
      <c r="M267">
        <v>6156</v>
      </c>
      <c r="N267">
        <v>0</v>
      </c>
      <c r="O267">
        <v>0</v>
      </c>
      <c r="P267">
        <v>316</v>
      </c>
      <c r="Q267">
        <v>316</v>
      </c>
      <c r="R267">
        <v>316</v>
      </c>
      <c r="S267">
        <v>0</v>
      </c>
      <c r="T267">
        <v>0</v>
      </c>
      <c r="U267">
        <v>316</v>
      </c>
      <c r="V267">
        <v>316</v>
      </c>
      <c r="W267">
        <v>316</v>
      </c>
      <c r="X267">
        <v>316</v>
      </c>
      <c r="Y267">
        <v>0</v>
      </c>
    </row>
    <row r="268" spans="1:25" x14ac:dyDescent="0.3">
      <c r="A268">
        <v>267</v>
      </c>
      <c r="B268">
        <v>10000</v>
      </c>
      <c r="C268">
        <v>1</v>
      </c>
      <c r="D268">
        <v>3</v>
      </c>
      <c r="E268">
        <v>2</v>
      </c>
      <c r="F268">
        <v>23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6974</v>
      </c>
      <c r="N268">
        <v>7838</v>
      </c>
      <c r="O268">
        <v>9002</v>
      </c>
      <c r="P268">
        <v>9182</v>
      </c>
      <c r="Q268">
        <v>9729</v>
      </c>
      <c r="R268">
        <v>9411</v>
      </c>
      <c r="S268">
        <v>1134</v>
      </c>
      <c r="T268">
        <v>1298</v>
      </c>
      <c r="U268">
        <v>478</v>
      </c>
      <c r="V268">
        <v>847</v>
      </c>
      <c r="W268">
        <v>0</v>
      </c>
      <c r="X268">
        <v>175</v>
      </c>
      <c r="Y268">
        <v>0</v>
      </c>
    </row>
    <row r="269" spans="1:25" x14ac:dyDescent="0.3">
      <c r="A269">
        <v>268</v>
      </c>
      <c r="B269">
        <v>130000</v>
      </c>
      <c r="C269">
        <v>2</v>
      </c>
      <c r="D269">
        <v>3</v>
      </c>
      <c r="E269">
        <v>2</v>
      </c>
      <c r="F269">
        <v>49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89003</v>
      </c>
      <c r="N269">
        <v>91362</v>
      </c>
      <c r="O269">
        <v>72197</v>
      </c>
      <c r="P269">
        <v>49654</v>
      </c>
      <c r="Q269">
        <v>28065</v>
      </c>
      <c r="R269">
        <v>27500</v>
      </c>
      <c r="S269">
        <v>4100</v>
      </c>
      <c r="T269">
        <v>3095</v>
      </c>
      <c r="U269">
        <v>1630</v>
      </c>
      <c r="V269">
        <v>561</v>
      </c>
      <c r="W269">
        <v>600</v>
      </c>
      <c r="X269">
        <v>0</v>
      </c>
      <c r="Y269">
        <v>1</v>
      </c>
    </row>
    <row r="270" spans="1:25" x14ac:dyDescent="0.3">
      <c r="A270">
        <v>269</v>
      </c>
      <c r="B270">
        <v>40000</v>
      </c>
      <c r="C270">
        <v>2</v>
      </c>
      <c r="D270">
        <v>1</v>
      </c>
      <c r="E270">
        <v>2</v>
      </c>
      <c r="F270">
        <v>48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34871</v>
      </c>
      <c r="N270">
        <v>34449</v>
      </c>
      <c r="O270">
        <v>33634</v>
      </c>
      <c r="P270">
        <v>34586</v>
      </c>
      <c r="Q270">
        <v>34762</v>
      </c>
      <c r="R270">
        <v>35673</v>
      </c>
      <c r="S270">
        <v>1600</v>
      </c>
      <c r="T270">
        <v>1600</v>
      </c>
      <c r="U270">
        <v>1500</v>
      </c>
      <c r="V270">
        <v>1500</v>
      </c>
      <c r="W270">
        <v>1500</v>
      </c>
      <c r="X270">
        <v>1500</v>
      </c>
      <c r="Y270">
        <v>0</v>
      </c>
    </row>
    <row r="271" spans="1:25" x14ac:dyDescent="0.3">
      <c r="A271">
        <v>270</v>
      </c>
      <c r="B271">
        <v>50000</v>
      </c>
      <c r="C271">
        <v>1</v>
      </c>
      <c r="D271">
        <v>2</v>
      </c>
      <c r="E271">
        <v>2</v>
      </c>
      <c r="F271">
        <v>27</v>
      </c>
      <c r="G271">
        <v>3</v>
      </c>
      <c r="H271">
        <v>2</v>
      </c>
      <c r="I271">
        <v>2</v>
      </c>
      <c r="J271">
        <v>0</v>
      </c>
      <c r="K271">
        <v>0</v>
      </c>
      <c r="L271">
        <v>-1</v>
      </c>
      <c r="M271">
        <v>13694</v>
      </c>
      <c r="N271">
        <v>14880</v>
      </c>
      <c r="O271">
        <v>14242</v>
      </c>
      <c r="P271">
        <v>13968</v>
      </c>
      <c r="Q271">
        <v>14319</v>
      </c>
      <c r="R271">
        <v>2614</v>
      </c>
      <c r="S271">
        <v>1700</v>
      </c>
      <c r="T271">
        <v>0</v>
      </c>
      <c r="U271">
        <v>426</v>
      </c>
      <c r="V271">
        <v>501</v>
      </c>
      <c r="W271">
        <v>2614</v>
      </c>
      <c r="X271">
        <v>1390</v>
      </c>
      <c r="Y271">
        <v>1</v>
      </c>
    </row>
    <row r="272" spans="1:25" x14ac:dyDescent="0.3">
      <c r="A272">
        <v>271</v>
      </c>
      <c r="B272">
        <v>100000</v>
      </c>
      <c r="C272">
        <v>1</v>
      </c>
      <c r="D272">
        <v>3</v>
      </c>
      <c r="E272">
        <v>2</v>
      </c>
      <c r="F272">
        <v>32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70003</v>
      </c>
      <c r="N272">
        <v>31545</v>
      </c>
      <c r="O272">
        <v>20974</v>
      </c>
      <c r="P272">
        <v>19713</v>
      </c>
      <c r="Q272">
        <v>19848</v>
      </c>
      <c r="R272">
        <v>18126</v>
      </c>
      <c r="S272">
        <v>2035</v>
      </c>
      <c r="T272">
        <v>2004</v>
      </c>
      <c r="U272">
        <v>616</v>
      </c>
      <c r="V272">
        <v>2007</v>
      </c>
      <c r="W272">
        <v>1009</v>
      </c>
      <c r="X272">
        <v>2015</v>
      </c>
      <c r="Y272">
        <v>0</v>
      </c>
    </row>
    <row r="273" spans="1:25" x14ac:dyDescent="0.3">
      <c r="A273">
        <v>272</v>
      </c>
      <c r="B273">
        <v>120000</v>
      </c>
      <c r="C273">
        <v>1</v>
      </c>
      <c r="D273">
        <v>1</v>
      </c>
      <c r="E273">
        <v>1</v>
      </c>
      <c r="F273">
        <v>34</v>
      </c>
      <c r="G273">
        <v>-1</v>
      </c>
      <c r="H273">
        <v>2</v>
      </c>
      <c r="I273">
        <v>-1</v>
      </c>
      <c r="J273">
        <v>0</v>
      </c>
      <c r="K273">
        <v>0</v>
      </c>
      <c r="L273">
        <v>0</v>
      </c>
      <c r="M273">
        <v>1082</v>
      </c>
      <c r="N273">
        <v>632</v>
      </c>
      <c r="O273">
        <v>1350</v>
      </c>
      <c r="P273">
        <v>900</v>
      </c>
      <c r="Q273">
        <v>450</v>
      </c>
      <c r="R273">
        <v>0</v>
      </c>
      <c r="S273">
        <v>0</v>
      </c>
      <c r="T273">
        <v>1350</v>
      </c>
      <c r="U273">
        <v>0</v>
      </c>
      <c r="V273">
        <v>0</v>
      </c>
      <c r="W273">
        <v>0</v>
      </c>
      <c r="X273">
        <v>450</v>
      </c>
      <c r="Y273">
        <v>0</v>
      </c>
    </row>
    <row r="274" spans="1:25" x14ac:dyDescent="0.3">
      <c r="A274">
        <v>273</v>
      </c>
      <c r="B274">
        <v>260000</v>
      </c>
      <c r="C274">
        <v>2</v>
      </c>
      <c r="D274">
        <v>1</v>
      </c>
      <c r="E274">
        <v>2</v>
      </c>
      <c r="F274">
        <v>58</v>
      </c>
      <c r="G274">
        <v>1</v>
      </c>
      <c r="H274">
        <v>-2</v>
      </c>
      <c r="I274">
        <v>-2</v>
      </c>
      <c r="J274">
        <v>-2</v>
      </c>
      <c r="K274">
        <v>-2</v>
      </c>
      <c r="L274">
        <v>-2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</row>
    <row r="275" spans="1:25" x14ac:dyDescent="0.3">
      <c r="A275">
        <v>274</v>
      </c>
      <c r="B275">
        <v>200000</v>
      </c>
      <c r="C275">
        <v>2</v>
      </c>
      <c r="D275">
        <v>2</v>
      </c>
      <c r="E275">
        <v>2</v>
      </c>
      <c r="F275">
        <v>33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11253</v>
      </c>
      <c r="N275">
        <v>12852</v>
      </c>
      <c r="O275">
        <v>14024</v>
      </c>
      <c r="P275">
        <v>14512</v>
      </c>
      <c r="Q275">
        <v>16325</v>
      </c>
      <c r="R275">
        <v>11905</v>
      </c>
      <c r="S275">
        <v>2000</v>
      </c>
      <c r="T275">
        <v>1322</v>
      </c>
      <c r="U275">
        <v>2000</v>
      </c>
      <c r="V275">
        <v>2000</v>
      </c>
      <c r="W275">
        <v>1200</v>
      </c>
      <c r="X275">
        <v>3000</v>
      </c>
      <c r="Y275">
        <v>0</v>
      </c>
    </row>
    <row r="276" spans="1:25" x14ac:dyDescent="0.3">
      <c r="A276">
        <v>275</v>
      </c>
      <c r="B276">
        <v>360000</v>
      </c>
      <c r="C276">
        <v>2</v>
      </c>
      <c r="D276">
        <v>2</v>
      </c>
      <c r="E276">
        <v>2</v>
      </c>
      <c r="F276">
        <v>28</v>
      </c>
      <c r="G276">
        <v>-2</v>
      </c>
      <c r="H276">
        <v>-2</v>
      </c>
      <c r="I276">
        <v>-2</v>
      </c>
      <c r="J276">
        <v>-2</v>
      </c>
      <c r="K276">
        <v>-2</v>
      </c>
      <c r="L276">
        <v>-2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1</v>
      </c>
    </row>
    <row r="277" spans="1:25" x14ac:dyDescent="0.3">
      <c r="A277">
        <v>276</v>
      </c>
      <c r="B277">
        <v>70000</v>
      </c>
      <c r="C277">
        <v>2</v>
      </c>
      <c r="D277">
        <v>2</v>
      </c>
      <c r="E277">
        <v>2</v>
      </c>
      <c r="F277">
        <v>36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68699</v>
      </c>
      <c r="N277">
        <v>69120</v>
      </c>
      <c r="O277">
        <v>68376</v>
      </c>
      <c r="P277">
        <v>30163</v>
      </c>
      <c r="Q277">
        <v>14310</v>
      </c>
      <c r="R277">
        <v>15085</v>
      </c>
      <c r="S277">
        <v>4483</v>
      </c>
      <c r="T277">
        <v>12496</v>
      </c>
      <c r="U277">
        <v>3268</v>
      </c>
      <c r="V277">
        <v>3000</v>
      </c>
      <c r="W277">
        <v>3000</v>
      </c>
      <c r="X277">
        <v>2000</v>
      </c>
      <c r="Y277">
        <v>0</v>
      </c>
    </row>
    <row r="278" spans="1:25" x14ac:dyDescent="0.3">
      <c r="A278">
        <v>277</v>
      </c>
      <c r="B278">
        <v>460000</v>
      </c>
      <c r="C278">
        <v>1</v>
      </c>
      <c r="D278">
        <v>1</v>
      </c>
      <c r="E278">
        <v>1</v>
      </c>
      <c r="F278">
        <v>40</v>
      </c>
      <c r="G278">
        <v>2</v>
      </c>
      <c r="H278">
        <v>-1</v>
      </c>
      <c r="I278">
        <v>-1</v>
      </c>
      <c r="J278">
        <v>-1</v>
      </c>
      <c r="K278">
        <v>-1</v>
      </c>
      <c r="L278">
        <v>-1</v>
      </c>
      <c r="M278">
        <v>171</v>
      </c>
      <c r="N278">
        <v>2715</v>
      </c>
      <c r="O278">
        <v>-13</v>
      </c>
      <c r="P278">
        <v>2641</v>
      </c>
      <c r="Q278">
        <v>-10</v>
      </c>
      <c r="R278">
        <v>22535</v>
      </c>
      <c r="S278">
        <v>2728</v>
      </c>
      <c r="T278">
        <v>0</v>
      </c>
      <c r="U278">
        <v>2654</v>
      </c>
      <c r="V278">
        <v>0</v>
      </c>
      <c r="W278">
        <v>22545</v>
      </c>
      <c r="X278">
        <v>0</v>
      </c>
      <c r="Y278">
        <v>1</v>
      </c>
    </row>
    <row r="279" spans="1:25" x14ac:dyDescent="0.3">
      <c r="A279">
        <v>278</v>
      </c>
      <c r="B279">
        <v>50000</v>
      </c>
      <c r="C279">
        <v>2</v>
      </c>
      <c r="D279">
        <v>1</v>
      </c>
      <c r="E279">
        <v>2</v>
      </c>
      <c r="F279">
        <v>26</v>
      </c>
      <c r="G279">
        <v>-1</v>
      </c>
      <c r="H279">
        <v>-1</v>
      </c>
      <c r="I279">
        <v>-1</v>
      </c>
      <c r="J279">
        <v>-1</v>
      </c>
      <c r="K279">
        <v>-1</v>
      </c>
      <c r="L279">
        <v>-1</v>
      </c>
      <c r="M279">
        <v>1156</v>
      </c>
      <c r="N279">
        <v>316</v>
      </c>
      <c r="O279">
        <v>316</v>
      </c>
      <c r="P279">
        <v>316</v>
      </c>
      <c r="Q279">
        <v>316</v>
      </c>
      <c r="R279">
        <v>316</v>
      </c>
      <c r="S279">
        <v>316</v>
      </c>
      <c r="T279">
        <v>316</v>
      </c>
      <c r="U279">
        <v>316</v>
      </c>
      <c r="V279">
        <v>316</v>
      </c>
      <c r="W279">
        <v>316</v>
      </c>
      <c r="X279">
        <v>316</v>
      </c>
      <c r="Y279">
        <v>0</v>
      </c>
    </row>
    <row r="280" spans="1:25" x14ac:dyDescent="0.3">
      <c r="A280">
        <v>279</v>
      </c>
      <c r="B280">
        <v>50000</v>
      </c>
      <c r="C280">
        <v>1</v>
      </c>
      <c r="D280">
        <v>3</v>
      </c>
      <c r="E280">
        <v>1</v>
      </c>
      <c r="F280">
        <v>33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50859</v>
      </c>
      <c r="N280">
        <v>50462</v>
      </c>
      <c r="O280">
        <v>50654</v>
      </c>
      <c r="P280">
        <v>20046</v>
      </c>
      <c r="Q280">
        <v>20067</v>
      </c>
      <c r="R280">
        <v>19703</v>
      </c>
      <c r="S280">
        <v>2007</v>
      </c>
      <c r="T280">
        <v>2199</v>
      </c>
      <c r="U280">
        <v>691</v>
      </c>
      <c r="V280">
        <v>707</v>
      </c>
      <c r="W280">
        <v>703</v>
      </c>
      <c r="X280">
        <v>697</v>
      </c>
      <c r="Y280">
        <v>0</v>
      </c>
    </row>
    <row r="281" spans="1:25" x14ac:dyDescent="0.3">
      <c r="A281">
        <v>280</v>
      </c>
      <c r="B281">
        <v>250000</v>
      </c>
      <c r="C281">
        <v>2</v>
      </c>
      <c r="D281">
        <v>2</v>
      </c>
      <c r="E281">
        <v>1</v>
      </c>
      <c r="F281">
        <v>31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103109</v>
      </c>
      <c r="N281">
        <v>102594</v>
      </c>
      <c r="O281">
        <v>97109</v>
      </c>
      <c r="P281">
        <v>99029</v>
      </c>
      <c r="Q281">
        <v>100871</v>
      </c>
      <c r="R281">
        <v>101299</v>
      </c>
      <c r="S281">
        <v>4000</v>
      </c>
      <c r="T281">
        <v>4500</v>
      </c>
      <c r="U281">
        <v>5000</v>
      </c>
      <c r="V281">
        <v>4000</v>
      </c>
      <c r="W281">
        <v>5000</v>
      </c>
      <c r="X281">
        <v>4400</v>
      </c>
      <c r="Y281">
        <v>0</v>
      </c>
    </row>
    <row r="282" spans="1:25" x14ac:dyDescent="0.3">
      <c r="A282">
        <v>281</v>
      </c>
      <c r="B282">
        <v>30000</v>
      </c>
      <c r="C282">
        <v>2</v>
      </c>
      <c r="D282">
        <v>1</v>
      </c>
      <c r="E282">
        <v>2</v>
      </c>
      <c r="F282">
        <v>27</v>
      </c>
      <c r="G282">
        <v>0</v>
      </c>
      <c r="H282">
        <v>0</v>
      </c>
      <c r="I282">
        <v>-1</v>
      </c>
      <c r="J282">
        <v>0</v>
      </c>
      <c r="K282">
        <v>0</v>
      </c>
      <c r="L282">
        <v>-2</v>
      </c>
      <c r="M282">
        <v>1512</v>
      </c>
      <c r="N282">
        <v>2458</v>
      </c>
      <c r="O282">
        <v>664</v>
      </c>
      <c r="P282">
        <v>1814</v>
      </c>
      <c r="Q282">
        <v>0</v>
      </c>
      <c r="R282">
        <v>0</v>
      </c>
      <c r="S282">
        <v>1000</v>
      </c>
      <c r="T282">
        <v>664</v>
      </c>
      <c r="U282">
        <v>1500</v>
      </c>
      <c r="V282">
        <v>0</v>
      </c>
      <c r="W282">
        <v>0</v>
      </c>
      <c r="X282">
        <v>0</v>
      </c>
      <c r="Y282">
        <v>0</v>
      </c>
    </row>
    <row r="283" spans="1:25" x14ac:dyDescent="0.3">
      <c r="A283">
        <v>282</v>
      </c>
      <c r="B283">
        <v>270000</v>
      </c>
      <c r="C283">
        <v>1</v>
      </c>
      <c r="D283">
        <v>2</v>
      </c>
      <c r="E283">
        <v>1</v>
      </c>
      <c r="F283">
        <v>44</v>
      </c>
      <c r="G283">
        <v>0</v>
      </c>
      <c r="H283">
        <v>0</v>
      </c>
      <c r="I283">
        <v>0</v>
      </c>
      <c r="J283">
        <v>0</v>
      </c>
      <c r="K283">
        <v>-1</v>
      </c>
      <c r="L283">
        <v>-1</v>
      </c>
      <c r="M283">
        <v>127543</v>
      </c>
      <c r="N283">
        <v>109189</v>
      </c>
      <c r="O283">
        <v>92630</v>
      </c>
      <c r="P283">
        <v>69669</v>
      </c>
      <c r="Q283">
        <v>44149</v>
      </c>
      <c r="R283">
        <v>43414</v>
      </c>
      <c r="S283">
        <v>10063</v>
      </c>
      <c r="T283">
        <v>5162</v>
      </c>
      <c r="U283">
        <v>10150</v>
      </c>
      <c r="V283">
        <v>44299</v>
      </c>
      <c r="W283">
        <v>43509</v>
      </c>
      <c r="X283">
        <v>31031</v>
      </c>
      <c r="Y283">
        <v>0</v>
      </c>
    </row>
    <row r="284" spans="1:25" x14ac:dyDescent="0.3">
      <c r="A284">
        <v>283</v>
      </c>
      <c r="B284">
        <v>180000</v>
      </c>
      <c r="C284">
        <v>2</v>
      </c>
      <c r="D284">
        <v>3</v>
      </c>
      <c r="E284">
        <v>2</v>
      </c>
      <c r="F284">
        <v>30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163935</v>
      </c>
      <c r="N284">
        <v>153152</v>
      </c>
      <c r="O284">
        <v>147032</v>
      </c>
      <c r="P284">
        <v>122196</v>
      </c>
      <c r="Q284">
        <v>103692</v>
      </c>
      <c r="R284">
        <v>70204</v>
      </c>
      <c r="S284">
        <v>7722</v>
      </c>
      <c r="T284">
        <v>6091</v>
      </c>
      <c r="U284">
        <v>3563</v>
      </c>
      <c r="V284">
        <v>3605</v>
      </c>
      <c r="W284">
        <v>3000</v>
      </c>
      <c r="X284">
        <v>3211</v>
      </c>
      <c r="Y284">
        <v>0</v>
      </c>
    </row>
    <row r="285" spans="1:25" x14ac:dyDescent="0.3">
      <c r="A285">
        <v>284</v>
      </c>
      <c r="B285">
        <v>100000</v>
      </c>
      <c r="C285">
        <v>2</v>
      </c>
      <c r="D285">
        <v>1</v>
      </c>
      <c r="E285">
        <v>2</v>
      </c>
      <c r="F285">
        <v>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53494</v>
      </c>
      <c r="N285">
        <v>52656</v>
      </c>
      <c r="O285">
        <v>52600</v>
      </c>
      <c r="P285">
        <v>52336</v>
      </c>
      <c r="Q285">
        <v>55831</v>
      </c>
      <c r="R285">
        <v>56265</v>
      </c>
      <c r="S285">
        <v>4173</v>
      </c>
      <c r="T285">
        <v>3000</v>
      </c>
      <c r="U285">
        <v>2025</v>
      </c>
      <c r="V285">
        <v>5000</v>
      </c>
      <c r="W285">
        <v>3000</v>
      </c>
      <c r="X285">
        <v>3000</v>
      </c>
      <c r="Y285">
        <v>0</v>
      </c>
    </row>
    <row r="286" spans="1:25" x14ac:dyDescent="0.3">
      <c r="A286">
        <v>285</v>
      </c>
      <c r="B286">
        <v>230000</v>
      </c>
      <c r="C286">
        <v>2</v>
      </c>
      <c r="D286">
        <v>3</v>
      </c>
      <c r="E286">
        <v>1</v>
      </c>
      <c r="F286">
        <v>32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195126</v>
      </c>
      <c r="N286">
        <v>88743</v>
      </c>
      <c r="O286">
        <v>92195</v>
      </c>
      <c r="P286">
        <v>94814</v>
      </c>
      <c r="Q286">
        <v>98182</v>
      </c>
      <c r="R286">
        <v>98457</v>
      </c>
      <c r="S286">
        <v>5000</v>
      </c>
      <c r="T286">
        <v>5000</v>
      </c>
      <c r="U286">
        <v>5000</v>
      </c>
      <c r="V286">
        <v>5000</v>
      </c>
      <c r="W286">
        <v>4000</v>
      </c>
      <c r="X286">
        <v>5000</v>
      </c>
      <c r="Y286">
        <v>0</v>
      </c>
    </row>
    <row r="287" spans="1:25" x14ac:dyDescent="0.3">
      <c r="A287">
        <v>286</v>
      </c>
      <c r="B287">
        <v>210000</v>
      </c>
      <c r="C287">
        <v>2</v>
      </c>
      <c r="D287">
        <v>1</v>
      </c>
      <c r="E287">
        <v>1</v>
      </c>
      <c r="F287">
        <v>46</v>
      </c>
      <c r="G287">
        <v>-1</v>
      </c>
      <c r="H287">
        <v>-1</v>
      </c>
      <c r="I287">
        <v>-1</v>
      </c>
      <c r="J287">
        <v>-1</v>
      </c>
      <c r="K287">
        <v>-1</v>
      </c>
      <c r="L287">
        <v>-1</v>
      </c>
      <c r="M287">
        <v>110346</v>
      </c>
      <c r="N287">
        <v>41986</v>
      </c>
      <c r="O287">
        <v>21874</v>
      </c>
      <c r="P287">
        <v>20076</v>
      </c>
      <c r="Q287">
        <v>16171</v>
      </c>
      <c r="R287">
        <v>586</v>
      </c>
      <c r="S287">
        <v>41986</v>
      </c>
      <c r="T287">
        <v>21874</v>
      </c>
      <c r="U287">
        <v>20076</v>
      </c>
      <c r="V287">
        <v>16171</v>
      </c>
      <c r="W287">
        <v>586</v>
      </c>
      <c r="X287">
        <v>19777</v>
      </c>
      <c r="Y287">
        <v>0</v>
      </c>
    </row>
    <row r="288" spans="1:25" x14ac:dyDescent="0.3">
      <c r="A288">
        <v>287</v>
      </c>
      <c r="B288">
        <v>210000</v>
      </c>
      <c r="C288">
        <v>1</v>
      </c>
      <c r="D288">
        <v>1</v>
      </c>
      <c r="E288">
        <v>2</v>
      </c>
      <c r="F288">
        <v>38</v>
      </c>
      <c r="G288">
        <v>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60502</v>
      </c>
      <c r="N288">
        <v>62804</v>
      </c>
      <c r="O288">
        <v>62769</v>
      </c>
      <c r="P288">
        <v>62683</v>
      </c>
      <c r="Q288">
        <v>63663</v>
      </c>
      <c r="R288">
        <v>46549</v>
      </c>
      <c r="S288">
        <v>3276</v>
      </c>
      <c r="T288">
        <v>2026</v>
      </c>
      <c r="U288">
        <v>2000</v>
      </c>
      <c r="V288">
        <v>2000</v>
      </c>
      <c r="W288">
        <v>2000</v>
      </c>
      <c r="X288">
        <v>2502</v>
      </c>
      <c r="Y288">
        <v>0</v>
      </c>
    </row>
    <row r="289" spans="1:25" x14ac:dyDescent="0.3">
      <c r="A289">
        <v>288</v>
      </c>
      <c r="B289">
        <v>440000</v>
      </c>
      <c r="C289">
        <v>2</v>
      </c>
      <c r="D289">
        <v>2</v>
      </c>
      <c r="E289">
        <v>1</v>
      </c>
      <c r="F289">
        <v>46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180641</v>
      </c>
      <c r="N289">
        <v>181557</v>
      </c>
      <c r="O289">
        <v>149944</v>
      </c>
      <c r="P289">
        <v>113135</v>
      </c>
      <c r="Q289">
        <v>105280</v>
      </c>
      <c r="R289">
        <v>97622</v>
      </c>
      <c r="S289">
        <v>8610</v>
      </c>
      <c r="T289">
        <v>6907</v>
      </c>
      <c r="U289">
        <v>3727</v>
      </c>
      <c r="V289">
        <v>3800</v>
      </c>
      <c r="W289">
        <v>4001</v>
      </c>
      <c r="X289">
        <v>2701</v>
      </c>
      <c r="Y289">
        <v>0</v>
      </c>
    </row>
    <row r="290" spans="1:25" x14ac:dyDescent="0.3">
      <c r="A290">
        <v>289</v>
      </c>
      <c r="B290">
        <v>100000</v>
      </c>
      <c r="C290">
        <v>2</v>
      </c>
      <c r="D290">
        <v>2</v>
      </c>
      <c r="E290">
        <v>2</v>
      </c>
      <c r="F290">
        <v>25</v>
      </c>
      <c r="G290">
        <v>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70896</v>
      </c>
      <c r="N290">
        <v>71678</v>
      </c>
      <c r="O290">
        <v>70125</v>
      </c>
      <c r="P290">
        <v>69856</v>
      </c>
      <c r="Q290">
        <v>69718</v>
      </c>
      <c r="R290">
        <v>51365</v>
      </c>
      <c r="S290">
        <v>3472</v>
      </c>
      <c r="T290">
        <v>2092</v>
      </c>
      <c r="U290">
        <v>2000</v>
      </c>
      <c r="V290">
        <v>2127</v>
      </c>
      <c r="W290">
        <v>1960</v>
      </c>
      <c r="X290">
        <v>1559</v>
      </c>
      <c r="Y290">
        <v>1</v>
      </c>
    </row>
    <row r="291" spans="1:25" x14ac:dyDescent="0.3">
      <c r="A291">
        <v>290</v>
      </c>
      <c r="B291">
        <v>240000</v>
      </c>
      <c r="C291">
        <v>2</v>
      </c>
      <c r="D291">
        <v>2</v>
      </c>
      <c r="E291">
        <v>1</v>
      </c>
      <c r="F291">
        <v>46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8751</v>
      </c>
      <c r="N291">
        <v>9900</v>
      </c>
      <c r="O291">
        <v>10605</v>
      </c>
      <c r="P291">
        <v>10765</v>
      </c>
      <c r="Q291">
        <v>11765</v>
      </c>
      <c r="R291">
        <v>4311</v>
      </c>
      <c r="S291">
        <v>1295</v>
      </c>
      <c r="T291">
        <v>1000</v>
      </c>
      <c r="U291">
        <v>1000</v>
      </c>
      <c r="V291">
        <v>1000</v>
      </c>
      <c r="W291">
        <v>1000</v>
      </c>
      <c r="X291">
        <v>1000</v>
      </c>
      <c r="Y291">
        <v>0</v>
      </c>
    </row>
    <row r="292" spans="1:25" x14ac:dyDescent="0.3">
      <c r="A292">
        <v>291</v>
      </c>
      <c r="B292">
        <v>280000</v>
      </c>
      <c r="C292">
        <v>1</v>
      </c>
      <c r="D292">
        <v>1</v>
      </c>
      <c r="E292">
        <v>2</v>
      </c>
      <c r="F292">
        <v>33</v>
      </c>
      <c r="G292">
        <v>-1</v>
      </c>
      <c r="H292">
        <v>-1</v>
      </c>
      <c r="I292">
        <v>-1</v>
      </c>
      <c r="J292">
        <v>-1</v>
      </c>
      <c r="K292">
        <v>-1</v>
      </c>
      <c r="L292">
        <v>-1</v>
      </c>
      <c r="M292">
        <v>898</v>
      </c>
      <c r="N292">
        <v>898</v>
      </c>
      <c r="O292">
        <v>325</v>
      </c>
      <c r="P292">
        <v>898</v>
      </c>
      <c r="Q292">
        <v>325</v>
      </c>
      <c r="R292">
        <v>-339603</v>
      </c>
      <c r="S292">
        <v>898</v>
      </c>
      <c r="T292">
        <v>325</v>
      </c>
      <c r="U292">
        <v>898</v>
      </c>
      <c r="V292">
        <v>325</v>
      </c>
      <c r="W292">
        <v>0</v>
      </c>
      <c r="X292">
        <v>345293</v>
      </c>
      <c r="Y292">
        <v>1</v>
      </c>
    </row>
    <row r="293" spans="1:25" x14ac:dyDescent="0.3">
      <c r="A293">
        <v>292</v>
      </c>
      <c r="B293">
        <v>50000</v>
      </c>
      <c r="C293">
        <v>2</v>
      </c>
      <c r="D293">
        <v>2</v>
      </c>
      <c r="E293">
        <v>2</v>
      </c>
      <c r="F293">
        <v>22</v>
      </c>
      <c r="G293">
        <v>1</v>
      </c>
      <c r="H293">
        <v>-2</v>
      </c>
      <c r="I293">
        <v>-2</v>
      </c>
      <c r="J293">
        <v>-2</v>
      </c>
      <c r="K293">
        <v>-2</v>
      </c>
      <c r="L293">
        <v>-2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</row>
    <row r="294" spans="1:25" x14ac:dyDescent="0.3">
      <c r="A294">
        <v>293</v>
      </c>
      <c r="B294">
        <v>30000</v>
      </c>
      <c r="C294">
        <v>1</v>
      </c>
      <c r="D294">
        <v>2</v>
      </c>
      <c r="E294">
        <v>1</v>
      </c>
      <c r="F294">
        <v>43</v>
      </c>
      <c r="G294">
        <v>3</v>
      </c>
      <c r="H294">
        <v>2</v>
      </c>
      <c r="I294">
        <v>2</v>
      </c>
      <c r="J294">
        <v>2</v>
      </c>
      <c r="K294">
        <v>2</v>
      </c>
      <c r="L294">
        <v>2</v>
      </c>
      <c r="M294">
        <v>1700</v>
      </c>
      <c r="N294">
        <v>2610</v>
      </c>
      <c r="O294">
        <v>1914</v>
      </c>
      <c r="P294">
        <v>2182</v>
      </c>
      <c r="Q294">
        <v>2000</v>
      </c>
      <c r="R294">
        <v>2566</v>
      </c>
      <c r="S294">
        <v>1100</v>
      </c>
      <c r="T294">
        <v>0</v>
      </c>
      <c r="U294">
        <v>300</v>
      </c>
      <c r="V294">
        <v>0</v>
      </c>
      <c r="W294">
        <v>600</v>
      </c>
      <c r="X294">
        <v>0</v>
      </c>
      <c r="Y294">
        <v>0</v>
      </c>
    </row>
    <row r="295" spans="1:25" x14ac:dyDescent="0.3">
      <c r="A295">
        <v>294</v>
      </c>
      <c r="B295">
        <v>10000</v>
      </c>
      <c r="C295">
        <v>1</v>
      </c>
      <c r="D295">
        <v>2</v>
      </c>
      <c r="E295">
        <v>2</v>
      </c>
      <c r="F295">
        <v>27</v>
      </c>
      <c r="G295">
        <v>0</v>
      </c>
      <c r="H295">
        <v>0</v>
      </c>
      <c r="I295">
        <v>2</v>
      </c>
      <c r="J295">
        <v>0</v>
      </c>
      <c r="K295">
        <v>0</v>
      </c>
      <c r="L295">
        <v>0</v>
      </c>
      <c r="M295">
        <v>7015</v>
      </c>
      <c r="N295">
        <v>10227</v>
      </c>
      <c r="O295">
        <v>9560</v>
      </c>
      <c r="P295">
        <v>9901</v>
      </c>
      <c r="Q295">
        <v>9963</v>
      </c>
      <c r="R295">
        <v>10182</v>
      </c>
      <c r="S295">
        <v>3507</v>
      </c>
      <c r="T295">
        <v>0</v>
      </c>
      <c r="U295">
        <v>500</v>
      </c>
      <c r="V295">
        <v>370</v>
      </c>
      <c r="W295">
        <v>393</v>
      </c>
      <c r="X295">
        <v>700</v>
      </c>
      <c r="Y295">
        <v>1</v>
      </c>
    </row>
    <row r="296" spans="1:25" x14ac:dyDescent="0.3">
      <c r="A296">
        <v>295</v>
      </c>
      <c r="B296">
        <v>130000</v>
      </c>
      <c r="C296">
        <v>1</v>
      </c>
      <c r="D296">
        <v>1</v>
      </c>
      <c r="E296">
        <v>2</v>
      </c>
      <c r="F296">
        <v>29</v>
      </c>
      <c r="G296">
        <v>1</v>
      </c>
      <c r="H296">
        <v>-2</v>
      </c>
      <c r="I296">
        <v>-2</v>
      </c>
      <c r="J296">
        <v>-2</v>
      </c>
      <c r="K296">
        <v>-2</v>
      </c>
      <c r="L296">
        <v>-2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1500</v>
      </c>
      <c r="Y296">
        <v>0</v>
      </c>
    </row>
    <row r="297" spans="1:25" x14ac:dyDescent="0.3">
      <c r="A297">
        <v>296</v>
      </c>
      <c r="B297">
        <v>200000</v>
      </c>
      <c r="C297">
        <v>1</v>
      </c>
      <c r="D297">
        <v>1</v>
      </c>
      <c r="E297">
        <v>2</v>
      </c>
      <c r="F297">
        <v>31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194353</v>
      </c>
      <c r="N297">
        <v>197344</v>
      </c>
      <c r="O297">
        <v>186292</v>
      </c>
      <c r="P297">
        <v>133345</v>
      </c>
      <c r="Q297">
        <v>133634</v>
      </c>
      <c r="R297">
        <v>133990</v>
      </c>
      <c r="S297">
        <v>9000</v>
      </c>
      <c r="T297">
        <v>7465</v>
      </c>
      <c r="U297">
        <v>4715</v>
      </c>
      <c r="V297">
        <v>4804</v>
      </c>
      <c r="W297">
        <v>5141</v>
      </c>
      <c r="X297">
        <v>5300</v>
      </c>
      <c r="Y297">
        <v>0</v>
      </c>
    </row>
    <row r="298" spans="1:25" x14ac:dyDescent="0.3">
      <c r="A298">
        <v>297</v>
      </c>
      <c r="B298">
        <v>120000</v>
      </c>
      <c r="C298">
        <v>2</v>
      </c>
      <c r="D298">
        <v>2</v>
      </c>
      <c r="E298">
        <v>1</v>
      </c>
      <c r="F298">
        <v>29</v>
      </c>
      <c r="G298">
        <v>-1</v>
      </c>
      <c r="H298">
        <v>-1</v>
      </c>
      <c r="I298">
        <v>-1</v>
      </c>
      <c r="J298">
        <v>-1</v>
      </c>
      <c r="K298">
        <v>-1</v>
      </c>
      <c r="L298">
        <v>-1</v>
      </c>
      <c r="M298">
        <v>1686</v>
      </c>
      <c r="N298">
        <v>657</v>
      </c>
      <c r="O298">
        <v>2179</v>
      </c>
      <c r="P298">
        <v>1423</v>
      </c>
      <c r="Q298">
        <v>0</v>
      </c>
      <c r="R298">
        <v>1820</v>
      </c>
      <c r="S298">
        <v>657</v>
      </c>
      <c r="T298">
        <v>2319</v>
      </c>
      <c r="U298">
        <v>1423</v>
      </c>
      <c r="V298">
        <v>0</v>
      </c>
      <c r="W298">
        <v>1820</v>
      </c>
      <c r="X298">
        <v>2496</v>
      </c>
      <c r="Y298">
        <v>0</v>
      </c>
    </row>
    <row r="299" spans="1:25" x14ac:dyDescent="0.3">
      <c r="A299">
        <v>298</v>
      </c>
      <c r="B299">
        <v>210000</v>
      </c>
      <c r="C299">
        <v>2</v>
      </c>
      <c r="D299">
        <v>2</v>
      </c>
      <c r="E299">
        <v>1</v>
      </c>
      <c r="F299">
        <v>36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143225</v>
      </c>
      <c r="N299">
        <v>142996</v>
      </c>
      <c r="O299">
        <v>144415</v>
      </c>
      <c r="P299">
        <v>148190</v>
      </c>
      <c r="Q299">
        <v>147993</v>
      </c>
      <c r="R299">
        <v>131629</v>
      </c>
      <c r="S299">
        <v>6483</v>
      </c>
      <c r="T299">
        <v>5082</v>
      </c>
      <c r="U299">
        <v>6000</v>
      </c>
      <c r="V299">
        <v>5900</v>
      </c>
      <c r="W299">
        <v>4544</v>
      </c>
      <c r="X299">
        <v>4700</v>
      </c>
      <c r="Y299">
        <v>0</v>
      </c>
    </row>
    <row r="300" spans="1:25" x14ac:dyDescent="0.3">
      <c r="A300">
        <v>299</v>
      </c>
      <c r="B300">
        <v>280000</v>
      </c>
      <c r="C300">
        <v>2</v>
      </c>
      <c r="D300">
        <v>1</v>
      </c>
      <c r="E300">
        <v>1</v>
      </c>
      <c r="F300">
        <v>36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58983</v>
      </c>
      <c r="N300">
        <v>60788</v>
      </c>
      <c r="O300">
        <v>63225</v>
      </c>
      <c r="P300">
        <v>29701</v>
      </c>
      <c r="Q300">
        <v>30172</v>
      </c>
      <c r="R300">
        <v>30771</v>
      </c>
      <c r="S300">
        <v>2755</v>
      </c>
      <c r="T300">
        <v>3463</v>
      </c>
      <c r="U300">
        <v>1300</v>
      </c>
      <c r="V300">
        <v>1100</v>
      </c>
      <c r="W300">
        <v>1100</v>
      </c>
      <c r="X300">
        <v>2000</v>
      </c>
      <c r="Y300">
        <v>0</v>
      </c>
    </row>
    <row r="301" spans="1:25" x14ac:dyDescent="0.3">
      <c r="A301">
        <v>300</v>
      </c>
      <c r="B301">
        <v>300000</v>
      </c>
      <c r="C301">
        <v>1</v>
      </c>
      <c r="D301">
        <v>1</v>
      </c>
      <c r="E301">
        <v>2</v>
      </c>
      <c r="F301">
        <v>34</v>
      </c>
      <c r="G301">
        <v>1</v>
      </c>
      <c r="H301">
        <v>-2</v>
      </c>
      <c r="I301">
        <v>-1</v>
      </c>
      <c r="J301">
        <v>0</v>
      </c>
      <c r="K301">
        <v>-1</v>
      </c>
      <c r="L301">
        <v>-1</v>
      </c>
      <c r="M301">
        <v>0</v>
      </c>
      <c r="N301">
        <v>0</v>
      </c>
      <c r="O301">
        <v>13001</v>
      </c>
      <c r="P301">
        <v>12601</v>
      </c>
      <c r="Q301">
        <v>19595</v>
      </c>
      <c r="R301">
        <v>203</v>
      </c>
      <c r="S301">
        <v>0</v>
      </c>
      <c r="T301">
        <v>13001</v>
      </c>
      <c r="U301">
        <v>0</v>
      </c>
      <c r="V301">
        <v>19595</v>
      </c>
      <c r="W301">
        <v>203</v>
      </c>
      <c r="X301">
        <v>0</v>
      </c>
      <c r="Y301">
        <v>1</v>
      </c>
    </row>
    <row r="302" spans="1:25" x14ac:dyDescent="0.3">
      <c r="A302">
        <v>301</v>
      </c>
      <c r="B302">
        <v>100000</v>
      </c>
      <c r="C302">
        <v>1</v>
      </c>
      <c r="D302">
        <v>2</v>
      </c>
      <c r="E302">
        <v>2</v>
      </c>
      <c r="F302">
        <v>37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99209</v>
      </c>
      <c r="N302">
        <v>98222</v>
      </c>
      <c r="O302">
        <v>67185</v>
      </c>
      <c r="P302">
        <v>66926</v>
      </c>
      <c r="Q302">
        <v>66796</v>
      </c>
      <c r="R302">
        <v>64513</v>
      </c>
      <c r="S302">
        <v>3490</v>
      </c>
      <c r="T302">
        <v>2332</v>
      </c>
      <c r="U302">
        <v>2314</v>
      </c>
      <c r="V302">
        <v>2365</v>
      </c>
      <c r="W302">
        <v>2497</v>
      </c>
      <c r="X302">
        <v>2305</v>
      </c>
      <c r="Y302">
        <v>0</v>
      </c>
    </row>
    <row r="303" spans="1:25" x14ac:dyDescent="0.3">
      <c r="A303">
        <v>302</v>
      </c>
      <c r="B303">
        <v>440000</v>
      </c>
      <c r="C303">
        <v>2</v>
      </c>
      <c r="D303">
        <v>1</v>
      </c>
      <c r="E303">
        <v>2</v>
      </c>
      <c r="F303">
        <v>36</v>
      </c>
      <c r="G303">
        <v>-2</v>
      </c>
      <c r="H303">
        <v>-2</v>
      </c>
      <c r="I303">
        <v>-2</v>
      </c>
      <c r="J303">
        <v>-2</v>
      </c>
      <c r="K303">
        <v>-2</v>
      </c>
      <c r="L303">
        <v>-2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162000</v>
      </c>
      <c r="X303">
        <v>0</v>
      </c>
      <c r="Y303">
        <v>0</v>
      </c>
    </row>
    <row r="304" spans="1:25" x14ac:dyDescent="0.3">
      <c r="A304">
        <v>303</v>
      </c>
      <c r="B304">
        <v>50000</v>
      </c>
      <c r="C304">
        <v>2</v>
      </c>
      <c r="D304">
        <v>3</v>
      </c>
      <c r="E304">
        <v>1</v>
      </c>
      <c r="F304">
        <v>40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49941</v>
      </c>
      <c r="N304">
        <v>51213</v>
      </c>
      <c r="O304">
        <v>12104</v>
      </c>
      <c r="P304">
        <v>12898</v>
      </c>
      <c r="Q304">
        <v>13687</v>
      </c>
      <c r="R304">
        <v>14458</v>
      </c>
      <c r="S304">
        <v>2400</v>
      </c>
      <c r="T304">
        <v>1206</v>
      </c>
      <c r="U304">
        <v>1000</v>
      </c>
      <c r="V304">
        <v>1000</v>
      </c>
      <c r="W304">
        <v>1000</v>
      </c>
      <c r="X304">
        <v>1000</v>
      </c>
      <c r="Y304">
        <v>0</v>
      </c>
    </row>
    <row r="305" spans="1:25" x14ac:dyDescent="0.3">
      <c r="A305">
        <v>304</v>
      </c>
      <c r="B305">
        <v>20000</v>
      </c>
      <c r="C305">
        <v>2</v>
      </c>
      <c r="D305">
        <v>1</v>
      </c>
      <c r="E305">
        <v>2</v>
      </c>
      <c r="F305">
        <v>25</v>
      </c>
      <c r="G305">
        <v>0</v>
      </c>
      <c r="H305">
        <v>0</v>
      </c>
      <c r="I305">
        <v>2</v>
      </c>
      <c r="J305">
        <v>0</v>
      </c>
      <c r="K305">
        <v>0</v>
      </c>
      <c r="L305">
        <v>0</v>
      </c>
      <c r="M305">
        <v>11968</v>
      </c>
      <c r="N305">
        <v>14564</v>
      </c>
      <c r="O305">
        <v>27820</v>
      </c>
      <c r="P305">
        <v>15824</v>
      </c>
      <c r="Q305">
        <v>15761</v>
      </c>
      <c r="R305">
        <v>12510</v>
      </c>
      <c r="S305">
        <v>2800</v>
      </c>
      <c r="T305">
        <v>0</v>
      </c>
      <c r="U305">
        <v>4000</v>
      </c>
      <c r="V305">
        <v>1700</v>
      </c>
      <c r="W305">
        <v>1000</v>
      </c>
      <c r="X305">
        <v>2000</v>
      </c>
      <c r="Y305">
        <v>1</v>
      </c>
    </row>
    <row r="306" spans="1:25" x14ac:dyDescent="0.3">
      <c r="A306">
        <v>305</v>
      </c>
      <c r="B306">
        <v>200000</v>
      </c>
      <c r="C306">
        <v>2</v>
      </c>
      <c r="D306">
        <v>1</v>
      </c>
      <c r="E306">
        <v>2</v>
      </c>
      <c r="F306">
        <v>27</v>
      </c>
      <c r="G306">
        <v>-1</v>
      </c>
      <c r="H306">
        <v>-1</v>
      </c>
      <c r="I306">
        <v>-1</v>
      </c>
      <c r="J306">
        <v>0</v>
      </c>
      <c r="K306">
        <v>0</v>
      </c>
      <c r="L306">
        <v>0</v>
      </c>
      <c r="M306">
        <v>871</v>
      </c>
      <c r="N306">
        <v>665</v>
      </c>
      <c r="O306">
        <v>960</v>
      </c>
      <c r="P306">
        <v>4242</v>
      </c>
      <c r="Q306">
        <v>4084</v>
      </c>
      <c r="R306">
        <v>7414</v>
      </c>
      <c r="S306">
        <v>665</v>
      </c>
      <c r="T306">
        <v>960</v>
      </c>
      <c r="U306">
        <v>3908</v>
      </c>
      <c r="V306">
        <v>1014</v>
      </c>
      <c r="W306">
        <v>3500</v>
      </c>
      <c r="X306">
        <v>2880</v>
      </c>
      <c r="Y306">
        <v>0</v>
      </c>
    </row>
    <row r="307" spans="1:25" x14ac:dyDescent="0.3">
      <c r="A307">
        <v>306</v>
      </c>
      <c r="B307">
        <v>110000</v>
      </c>
      <c r="C307">
        <v>2</v>
      </c>
      <c r="D307">
        <v>2</v>
      </c>
      <c r="E307">
        <v>2</v>
      </c>
      <c r="F307">
        <v>26</v>
      </c>
      <c r="G307">
        <v>-2</v>
      </c>
      <c r="H307">
        <v>-2</v>
      </c>
      <c r="I307">
        <v>-2</v>
      </c>
      <c r="J307">
        <v>-2</v>
      </c>
      <c r="K307">
        <v>-2</v>
      </c>
      <c r="L307">
        <v>-2</v>
      </c>
      <c r="M307">
        <v>432</v>
      </c>
      <c r="N307">
        <v>3220</v>
      </c>
      <c r="O307">
        <v>5704</v>
      </c>
      <c r="P307">
        <v>1256</v>
      </c>
      <c r="Q307">
        <v>1848</v>
      </c>
      <c r="R307">
        <v>400</v>
      </c>
      <c r="S307">
        <v>3220</v>
      </c>
      <c r="T307">
        <v>5904</v>
      </c>
      <c r="U307">
        <v>0</v>
      </c>
      <c r="V307">
        <v>3000</v>
      </c>
      <c r="W307">
        <v>0</v>
      </c>
      <c r="X307">
        <v>0</v>
      </c>
      <c r="Y307">
        <v>0</v>
      </c>
    </row>
    <row r="308" spans="1:25" x14ac:dyDescent="0.3">
      <c r="A308">
        <v>307</v>
      </c>
      <c r="B308">
        <v>500000</v>
      </c>
      <c r="C308">
        <v>2</v>
      </c>
      <c r="D308">
        <v>2</v>
      </c>
      <c r="E308">
        <v>1</v>
      </c>
      <c r="F308">
        <v>36</v>
      </c>
      <c r="G308">
        <v>-1</v>
      </c>
      <c r="H308">
        <v>-1</v>
      </c>
      <c r="I308">
        <v>-1</v>
      </c>
      <c r="J308">
        <v>-1</v>
      </c>
      <c r="K308">
        <v>-1</v>
      </c>
      <c r="L308">
        <v>-1</v>
      </c>
      <c r="M308">
        <v>10483</v>
      </c>
      <c r="N308">
        <v>23956</v>
      </c>
      <c r="O308">
        <v>0</v>
      </c>
      <c r="P308">
        <v>8500</v>
      </c>
      <c r="Q308">
        <v>4590</v>
      </c>
      <c r="R308">
        <v>0</v>
      </c>
      <c r="S308">
        <v>23962</v>
      </c>
      <c r="T308">
        <v>0</v>
      </c>
      <c r="U308">
        <v>8500</v>
      </c>
      <c r="V308">
        <v>4590</v>
      </c>
      <c r="W308">
        <v>0</v>
      </c>
      <c r="X308">
        <v>0</v>
      </c>
      <c r="Y308">
        <v>0</v>
      </c>
    </row>
    <row r="309" spans="1:25" x14ac:dyDescent="0.3">
      <c r="A309">
        <v>308</v>
      </c>
      <c r="B309">
        <v>300000</v>
      </c>
      <c r="C309">
        <v>2</v>
      </c>
      <c r="D309">
        <v>2</v>
      </c>
      <c r="E309">
        <v>1</v>
      </c>
      <c r="F309">
        <v>27</v>
      </c>
      <c r="G309">
        <v>1</v>
      </c>
      <c r="H309">
        <v>-1</v>
      </c>
      <c r="I309">
        <v>-1</v>
      </c>
      <c r="J309">
        <v>-2</v>
      </c>
      <c r="K309">
        <v>-2</v>
      </c>
      <c r="L309">
        <v>-2</v>
      </c>
      <c r="M309">
        <v>0</v>
      </c>
      <c r="N309">
        <v>5215</v>
      </c>
      <c r="O309">
        <v>0</v>
      </c>
      <c r="P309">
        <v>0</v>
      </c>
      <c r="Q309">
        <v>0</v>
      </c>
      <c r="R309">
        <v>0</v>
      </c>
      <c r="S309">
        <v>5215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</row>
    <row r="310" spans="1:25" x14ac:dyDescent="0.3">
      <c r="A310">
        <v>309</v>
      </c>
      <c r="B310">
        <v>30000</v>
      </c>
      <c r="C310">
        <v>1</v>
      </c>
      <c r="D310">
        <v>3</v>
      </c>
      <c r="E310">
        <v>1</v>
      </c>
      <c r="F310">
        <v>55</v>
      </c>
      <c r="G310">
        <v>2</v>
      </c>
      <c r="H310">
        <v>2</v>
      </c>
      <c r="I310">
        <v>2</v>
      </c>
      <c r="J310">
        <v>3</v>
      </c>
      <c r="K310">
        <v>3</v>
      </c>
      <c r="L310">
        <v>4</v>
      </c>
      <c r="M310">
        <v>9720</v>
      </c>
      <c r="N310">
        <v>10613</v>
      </c>
      <c r="O310">
        <v>11339</v>
      </c>
      <c r="P310">
        <v>12841</v>
      </c>
      <c r="Q310">
        <v>13836</v>
      </c>
      <c r="R310">
        <v>14514</v>
      </c>
      <c r="S310">
        <v>1200</v>
      </c>
      <c r="T310">
        <v>1200</v>
      </c>
      <c r="U310">
        <v>2000</v>
      </c>
      <c r="V310">
        <v>1500</v>
      </c>
      <c r="W310">
        <v>1500</v>
      </c>
      <c r="X310">
        <v>1500</v>
      </c>
      <c r="Y310">
        <v>1</v>
      </c>
    </row>
    <row r="311" spans="1:25" x14ac:dyDescent="0.3">
      <c r="A311">
        <v>310</v>
      </c>
      <c r="B311">
        <v>60000</v>
      </c>
      <c r="C311">
        <v>2</v>
      </c>
      <c r="D311">
        <v>1</v>
      </c>
      <c r="E311">
        <v>2</v>
      </c>
      <c r="F311">
        <v>27</v>
      </c>
      <c r="G311">
        <v>-1</v>
      </c>
      <c r="H311">
        <v>-1</v>
      </c>
      <c r="I311">
        <v>-1</v>
      </c>
      <c r="J311">
        <v>-1</v>
      </c>
      <c r="K311">
        <v>-1</v>
      </c>
      <c r="L311">
        <v>-1</v>
      </c>
      <c r="M311">
        <v>20847</v>
      </c>
      <c r="N311">
        <v>13801</v>
      </c>
      <c r="O311">
        <v>14366</v>
      </c>
      <c r="P311">
        <v>4889</v>
      </c>
      <c r="Q311">
        <v>273</v>
      </c>
      <c r="R311">
        <v>11736</v>
      </c>
      <c r="S311">
        <v>13809</v>
      </c>
      <c r="T311">
        <v>14583</v>
      </c>
      <c r="U311">
        <v>4889</v>
      </c>
      <c r="V311">
        <v>273</v>
      </c>
      <c r="W311">
        <v>13557</v>
      </c>
      <c r="X311">
        <v>0</v>
      </c>
      <c r="Y311">
        <v>0</v>
      </c>
    </row>
    <row r="312" spans="1:25" x14ac:dyDescent="0.3">
      <c r="A312">
        <v>311</v>
      </c>
      <c r="B312">
        <v>400000</v>
      </c>
      <c r="C312">
        <v>2</v>
      </c>
      <c r="D312">
        <v>2</v>
      </c>
      <c r="E312">
        <v>1</v>
      </c>
      <c r="F312">
        <v>38</v>
      </c>
      <c r="G312">
        <v>-1</v>
      </c>
      <c r="H312">
        <v>0</v>
      </c>
      <c r="I312">
        <v>-1</v>
      </c>
      <c r="J312">
        <v>-1</v>
      </c>
      <c r="K312">
        <v>0</v>
      </c>
      <c r="L312">
        <v>-1</v>
      </c>
      <c r="M312">
        <v>3697</v>
      </c>
      <c r="N312">
        <v>3600</v>
      </c>
      <c r="O312">
        <v>1354</v>
      </c>
      <c r="P312">
        <v>5322</v>
      </c>
      <c r="Q312">
        <v>5103</v>
      </c>
      <c r="R312">
        <v>2077</v>
      </c>
      <c r="S312">
        <v>1000</v>
      </c>
      <c r="T312">
        <v>1354</v>
      </c>
      <c r="U312">
        <v>5322</v>
      </c>
      <c r="V312">
        <v>6</v>
      </c>
      <c r="W312">
        <v>2386</v>
      </c>
      <c r="X312">
        <v>9085</v>
      </c>
      <c r="Y312">
        <v>0</v>
      </c>
    </row>
    <row r="313" spans="1:25" x14ac:dyDescent="0.3">
      <c r="A313">
        <v>312</v>
      </c>
      <c r="B313">
        <v>180000</v>
      </c>
      <c r="C313">
        <v>2</v>
      </c>
      <c r="D313">
        <v>2</v>
      </c>
      <c r="E313">
        <v>1</v>
      </c>
      <c r="F313">
        <v>34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143301</v>
      </c>
      <c r="N313">
        <v>146333</v>
      </c>
      <c r="O313">
        <v>147042</v>
      </c>
      <c r="P313">
        <v>127814</v>
      </c>
      <c r="Q313">
        <v>130331</v>
      </c>
      <c r="R313">
        <v>132845</v>
      </c>
      <c r="S313">
        <v>7000</v>
      </c>
      <c r="T313">
        <v>5000</v>
      </c>
      <c r="U313">
        <v>5000</v>
      </c>
      <c r="V313">
        <v>4900</v>
      </c>
      <c r="W313">
        <v>5000</v>
      </c>
      <c r="X313">
        <v>5100</v>
      </c>
      <c r="Y313">
        <v>0</v>
      </c>
    </row>
    <row r="314" spans="1:25" x14ac:dyDescent="0.3">
      <c r="A314">
        <v>313</v>
      </c>
      <c r="B314">
        <v>20000</v>
      </c>
      <c r="C314">
        <v>1</v>
      </c>
      <c r="D314">
        <v>1</v>
      </c>
      <c r="E314">
        <v>2</v>
      </c>
      <c r="F314">
        <v>40</v>
      </c>
      <c r="G314">
        <v>0</v>
      </c>
      <c r="H314">
        <v>0</v>
      </c>
      <c r="I314">
        <v>0</v>
      </c>
      <c r="J314">
        <v>2</v>
      </c>
      <c r="K314">
        <v>0</v>
      </c>
      <c r="L314">
        <v>0</v>
      </c>
      <c r="M314">
        <v>10934</v>
      </c>
      <c r="N314">
        <v>13738</v>
      </c>
      <c r="O314">
        <v>16567</v>
      </c>
      <c r="P314">
        <v>10411</v>
      </c>
      <c r="Q314">
        <v>13057</v>
      </c>
      <c r="R314">
        <v>14340</v>
      </c>
      <c r="S314">
        <v>3000</v>
      </c>
      <c r="T314">
        <v>3100</v>
      </c>
      <c r="U314">
        <v>0</v>
      </c>
      <c r="V314">
        <v>3000</v>
      </c>
      <c r="W314">
        <v>1500</v>
      </c>
      <c r="X314">
        <v>0</v>
      </c>
      <c r="Y314">
        <v>0</v>
      </c>
    </row>
    <row r="315" spans="1:25" x14ac:dyDescent="0.3">
      <c r="A315">
        <v>314</v>
      </c>
      <c r="B315">
        <v>200000</v>
      </c>
      <c r="C315">
        <v>2</v>
      </c>
      <c r="D315">
        <v>3</v>
      </c>
      <c r="E315">
        <v>1</v>
      </c>
      <c r="F315">
        <v>49</v>
      </c>
      <c r="G315">
        <v>-1</v>
      </c>
      <c r="H315">
        <v>2</v>
      </c>
      <c r="I315">
        <v>2</v>
      </c>
      <c r="J315">
        <v>2</v>
      </c>
      <c r="K315">
        <v>0</v>
      </c>
      <c r="L315">
        <v>0</v>
      </c>
      <c r="M315">
        <v>52439</v>
      </c>
      <c r="N315">
        <v>51040</v>
      </c>
      <c r="O315">
        <v>56205</v>
      </c>
      <c r="P315">
        <v>54723</v>
      </c>
      <c r="Q315">
        <v>58657</v>
      </c>
      <c r="R315">
        <v>59983</v>
      </c>
      <c r="S315">
        <v>0</v>
      </c>
      <c r="T315">
        <v>6000</v>
      </c>
      <c r="U315">
        <v>0</v>
      </c>
      <c r="V315">
        <v>5000</v>
      </c>
      <c r="W315">
        <v>2286</v>
      </c>
      <c r="X315">
        <v>3000</v>
      </c>
      <c r="Y315">
        <v>1</v>
      </c>
    </row>
    <row r="316" spans="1:25" x14ac:dyDescent="0.3">
      <c r="A316">
        <v>315</v>
      </c>
      <c r="B316">
        <v>100000</v>
      </c>
      <c r="C316">
        <v>1</v>
      </c>
      <c r="D316">
        <v>1</v>
      </c>
      <c r="E316">
        <v>2</v>
      </c>
      <c r="F316">
        <v>27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55734</v>
      </c>
      <c r="N316">
        <v>52557</v>
      </c>
      <c r="O316">
        <v>33415</v>
      </c>
      <c r="P316">
        <v>28776</v>
      </c>
      <c r="Q316">
        <v>17580</v>
      </c>
      <c r="R316">
        <v>6441</v>
      </c>
      <c r="S316">
        <v>1631</v>
      </c>
      <c r="T316">
        <v>1286</v>
      </c>
      <c r="U316">
        <v>200</v>
      </c>
      <c r="V316">
        <v>645</v>
      </c>
      <c r="W316">
        <v>909</v>
      </c>
      <c r="X316">
        <v>200</v>
      </c>
      <c r="Y316">
        <v>0</v>
      </c>
    </row>
    <row r="317" spans="1:25" x14ac:dyDescent="0.3">
      <c r="A317">
        <v>316</v>
      </c>
      <c r="B317">
        <v>60000</v>
      </c>
      <c r="C317">
        <v>1</v>
      </c>
      <c r="D317">
        <v>2</v>
      </c>
      <c r="E317">
        <v>2</v>
      </c>
      <c r="F317">
        <v>23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49507</v>
      </c>
      <c r="N317">
        <v>33282</v>
      </c>
      <c r="O317">
        <v>34312</v>
      </c>
      <c r="P317">
        <v>17277</v>
      </c>
      <c r="Q317">
        <v>17808</v>
      </c>
      <c r="R317">
        <v>19346</v>
      </c>
      <c r="S317">
        <v>1970</v>
      </c>
      <c r="T317">
        <v>2000</v>
      </c>
      <c r="U317">
        <v>618</v>
      </c>
      <c r="V317">
        <v>809</v>
      </c>
      <c r="W317">
        <v>2000</v>
      </c>
      <c r="X317">
        <v>616</v>
      </c>
      <c r="Y317">
        <v>1</v>
      </c>
    </row>
    <row r="318" spans="1:25" x14ac:dyDescent="0.3">
      <c r="A318">
        <v>317</v>
      </c>
      <c r="B318">
        <v>110000</v>
      </c>
      <c r="C318">
        <v>2</v>
      </c>
      <c r="D318">
        <v>2</v>
      </c>
      <c r="E318">
        <v>2</v>
      </c>
      <c r="F318">
        <v>36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47819</v>
      </c>
      <c r="N318">
        <v>48947</v>
      </c>
      <c r="O318">
        <v>50330</v>
      </c>
      <c r="P318">
        <v>50894</v>
      </c>
      <c r="Q318">
        <v>52175</v>
      </c>
      <c r="R318">
        <v>53652</v>
      </c>
      <c r="S318">
        <v>2200</v>
      </c>
      <c r="T318">
        <v>2500</v>
      </c>
      <c r="U318">
        <v>2000</v>
      </c>
      <c r="V318">
        <v>2100</v>
      </c>
      <c r="W318">
        <v>2500</v>
      </c>
      <c r="X318">
        <v>2200</v>
      </c>
      <c r="Y318">
        <v>0</v>
      </c>
    </row>
    <row r="319" spans="1:25" x14ac:dyDescent="0.3">
      <c r="A319">
        <v>318</v>
      </c>
      <c r="B319">
        <v>260000</v>
      </c>
      <c r="C319">
        <v>2</v>
      </c>
      <c r="D319">
        <v>3</v>
      </c>
      <c r="E319">
        <v>1</v>
      </c>
      <c r="F319">
        <v>53</v>
      </c>
      <c r="G319">
        <v>1</v>
      </c>
      <c r="H319">
        <v>-1</v>
      </c>
      <c r="I319">
        <v>-1</v>
      </c>
      <c r="J319">
        <v>-2</v>
      </c>
      <c r="K319">
        <v>-2</v>
      </c>
      <c r="L319">
        <v>-1</v>
      </c>
      <c r="M319">
        <v>0</v>
      </c>
      <c r="N319">
        <v>165</v>
      </c>
      <c r="O319">
        <v>526</v>
      </c>
      <c r="P319">
        <v>452</v>
      </c>
      <c r="Q319">
        <v>397</v>
      </c>
      <c r="R319">
        <v>485</v>
      </c>
      <c r="S319">
        <v>165</v>
      </c>
      <c r="T319">
        <v>526</v>
      </c>
      <c r="U319">
        <v>452</v>
      </c>
      <c r="V319">
        <v>397</v>
      </c>
      <c r="W319">
        <v>485</v>
      </c>
      <c r="X319">
        <v>459</v>
      </c>
      <c r="Y319">
        <v>0</v>
      </c>
    </row>
    <row r="320" spans="1:25" x14ac:dyDescent="0.3">
      <c r="A320">
        <v>319</v>
      </c>
      <c r="B320">
        <v>50000</v>
      </c>
      <c r="C320">
        <v>2</v>
      </c>
      <c r="D320">
        <v>3</v>
      </c>
      <c r="E320">
        <v>1</v>
      </c>
      <c r="F320">
        <v>46</v>
      </c>
      <c r="G320">
        <v>3</v>
      </c>
      <c r="H320">
        <v>2</v>
      </c>
      <c r="I320">
        <v>2</v>
      </c>
      <c r="J320">
        <v>0</v>
      </c>
      <c r="K320">
        <v>0</v>
      </c>
      <c r="L320">
        <v>0</v>
      </c>
      <c r="M320">
        <v>48522</v>
      </c>
      <c r="N320">
        <v>50955</v>
      </c>
      <c r="O320">
        <v>29516</v>
      </c>
      <c r="P320">
        <v>29742</v>
      </c>
      <c r="Q320">
        <v>29898</v>
      </c>
      <c r="R320">
        <v>24883</v>
      </c>
      <c r="S320">
        <v>3754</v>
      </c>
      <c r="T320">
        <v>1</v>
      </c>
      <c r="U320">
        <v>1070</v>
      </c>
      <c r="V320">
        <v>1030</v>
      </c>
      <c r="W320">
        <v>863</v>
      </c>
      <c r="X320">
        <v>654</v>
      </c>
      <c r="Y320">
        <v>0</v>
      </c>
    </row>
    <row r="321" spans="1:25" x14ac:dyDescent="0.3">
      <c r="A321">
        <v>320</v>
      </c>
      <c r="B321">
        <v>180000</v>
      </c>
      <c r="C321">
        <v>1</v>
      </c>
      <c r="D321">
        <v>2</v>
      </c>
      <c r="E321">
        <v>2</v>
      </c>
      <c r="F321">
        <v>29</v>
      </c>
      <c r="G321">
        <v>1</v>
      </c>
      <c r="H321">
        <v>-2</v>
      </c>
      <c r="I321">
        <v>-2</v>
      </c>
      <c r="J321">
        <v>-2</v>
      </c>
      <c r="K321">
        <v>-2</v>
      </c>
      <c r="L321">
        <v>-2</v>
      </c>
      <c r="M321">
        <v>-2</v>
      </c>
      <c r="N321">
        <v>-2</v>
      </c>
      <c r="O321">
        <v>-2</v>
      </c>
      <c r="P321">
        <v>-2</v>
      </c>
      <c r="Q321">
        <v>-2</v>
      </c>
      <c r="R321">
        <v>-2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</row>
    <row r="322" spans="1:25" x14ac:dyDescent="0.3">
      <c r="A322">
        <v>321</v>
      </c>
      <c r="B322">
        <v>110000</v>
      </c>
      <c r="C322">
        <v>1</v>
      </c>
      <c r="D322">
        <v>2</v>
      </c>
      <c r="E322">
        <v>2</v>
      </c>
      <c r="F322">
        <v>29</v>
      </c>
      <c r="G322">
        <v>1</v>
      </c>
      <c r="H322">
        <v>2</v>
      </c>
      <c r="I322">
        <v>2</v>
      </c>
      <c r="J322">
        <v>0</v>
      </c>
      <c r="K322">
        <v>0</v>
      </c>
      <c r="L322">
        <v>0</v>
      </c>
      <c r="M322">
        <v>58362</v>
      </c>
      <c r="N322">
        <v>56598</v>
      </c>
      <c r="O322">
        <v>51908</v>
      </c>
      <c r="P322">
        <v>48647</v>
      </c>
      <c r="Q322">
        <v>47862</v>
      </c>
      <c r="R322">
        <v>47969</v>
      </c>
      <c r="S322">
        <v>2500</v>
      </c>
      <c r="T322">
        <v>0</v>
      </c>
      <c r="U322">
        <v>2000</v>
      </c>
      <c r="V322">
        <v>2000</v>
      </c>
      <c r="W322">
        <v>1854</v>
      </c>
      <c r="X322">
        <v>2000</v>
      </c>
      <c r="Y322">
        <v>1</v>
      </c>
    </row>
    <row r="323" spans="1:25" x14ac:dyDescent="0.3">
      <c r="A323">
        <v>322</v>
      </c>
      <c r="B323">
        <v>340000</v>
      </c>
      <c r="C323">
        <v>2</v>
      </c>
      <c r="D323">
        <v>1</v>
      </c>
      <c r="E323">
        <v>2</v>
      </c>
      <c r="F323">
        <v>27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172180</v>
      </c>
      <c r="N323">
        <v>180140</v>
      </c>
      <c r="O323">
        <v>166281</v>
      </c>
      <c r="P323">
        <v>155628</v>
      </c>
      <c r="Q323">
        <v>145645</v>
      </c>
      <c r="R323">
        <v>103263</v>
      </c>
      <c r="S323">
        <v>21105</v>
      </c>
      <c r="T323">
        <v>5461</v>
      </c>
      <c r="U323">
        <v>5000</v>
      </c>
      <c r="V323">
        <v>5849</v>
      </c>
      <c r="W323">
        <v>2732</v>
      </c>
      <c r="X323">
        <v>50000</v>
      </c>
      <c r="Y323">
        <v>0</v>
      </c>
    </row>
    <row r="324" spans="1:25" x14ac:dyDescent="0.3">
      <c r="A324">
        <v>323</v>
      </c>
      <c r="B324">
        <v>50000</v>
      </c>
      <c r="C324">
        <v>1</v>
      </c>
      <c r="D324">
        <v>2</v>
      </c>
      <c r="E324">
        <v>2</v>
      </c>
      <c r="F324">
        <v>24</v>
      </c>
      <c r="G324">
        <v>-1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1399</v>
      </c>
      <c r="N324">
        <v>2441</v>
      </c>
      <c r="O324">
        <v>3865</v>
      </c>
      <c r="P324">
        <v>7476</v>
      </c>
      <c r="Q324">
        <v>8384</v>
      </c>
      <c r="R324">
        <v>8085</v>
      </c>
      <c r="S324">
        <v>1070</v>
      </c>
      <c r="T324">
        <v>1500</v>
      </c>
      <c r="U324">
        <v>3666</v>
      </c>
      <c r="V324">
        <v>2477</v>
      </c>
      <c r="W324">
        <v>1306</v>
      </c>
      <c r="X324">
        <v>1000</v>
      </c>
      <c r="Y324">
        <v>0</v>
      </c>
    </row>
    <row r="325" spans="1:25" x14ac:dyDescent="0.3">
      <c r="A325">
        <v>324</v>
      </c>
      <c r="B325">
        <v>230000</v>
      </c>
      <c r="C325">
        <v>2</v>
      </c>
      <c r="D325">
        <v>2</v>
      </c>
      <c r="E325">
        <v>1</v>
      </c>
      <c r="F325">
        <v>28</v>
      </c>
      <c r="G325">
        <v>0</v>
      </c>
      <c r="H325">
        <v>0</v>
      </c>
      <c r="I325">
        <v>0</v>
      </c>
      <c r="J325">
        <v>-2</v>
      </c>
      <c r="K325">
        <v>-1</v>
      </c>
      <c r="L325">
        <v>-1</v>
      </c>
      <c r="M325">
        <v>26361</v>
      </c>
      <c r="N325">
        <v>18826</v>
      </c>
      <c r="O325">
        <v>1100</v>
      </c>
      <c r="P325">
        <v>2100</v>
      </c>
      <c r="Q325">
        <v>767</v>
      </c>
      <c r="R325">
        <v>6173</v>
      </c>
      <c r="S325">
        <v>1710</v>
      </c>
      <c r="T325">
        <v>1100</v>
      </c>
      <c r="U325">
        <v>1000</v>
      </c>
      <c r="V325">
        <v>767</v>
      </c>
      <c r="W325">
        <v>6173</v>
      </c>
      <c r="X325">
        <v>1000</v>
      </c>
      <c r="Y325">
        <v>1</v>
      </c>
    </row>
    <row r="326" spans="1:25" x14ac:dyDescent="0.3">
      <c r="A326">
        <v>325</v>
      </c>
      <c r="B326">
        <v>360000</v>
      </c>
      <c r="C326">
        <v>2</v>
      </c>
      <c r="D326">
        <v>2</v>
      </c>
      <c r="E326">
        <v>2</v>
      </c>
      <c r="F326">
        <v>32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93029</v>
      </c>
      <c r="N326">
        <v>94054</v>
      </c>
      <c r="O326">
        <v>91834</v>
      </c>
      <c r="P326">
        <v>95631</v>
      </c>
      <c r="Q326">
        <v>100123</v>
      </c>
      <c r="R326">
        <v>100738</v>
      </c>
      <c r="S326">
        <v>10000</v>
      </c>
      <c r="T326">
        <v>7000</v>
      </c>
      <c r="U326">
        <v>10000</v>
      </c>
      <c r="V326">
        <v>10000</v>
      </c>
      <c r="W326">
        <v>10000</v>
      </c>
      <c r="X326">
        <v>10000</v>
      </c>
      <c r="Y326">
        <v>0</v>
      </c>
    </row>
    <row r="327" spans="1:25" x14ac:dyDescent="0.3">
      <c r="A327">
        <v>326</v>
      </c>
      <c r="B327">
        <v>210000</v>
      </c>
      <c r="C327">
        <v>1</v>
      </c>
      <c r="D327">
        <v>2</v>
      </c>
      <c r="E327">
        <v>2</v>
      </c>
      <c r="F327">
        <v>43</v>
      </c>
      <c r="G327">
        <v>1</v>
      </c>
      <c r="H327">
        <v>-2</v>
      </c>
      <c r="I327">
        <v>-1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38013</v>
      </c>
      <c r="P327">
        <v>40555</v>
      </c>
      <c r="Q327">
        <v>45075</v>
      </c>
      <c r="R327">
        <v>37056</v>
      </c>
      <c r="S327">
        <v>0</v>
      </c>
      <c r="T327">
        <v>38013</v>
      </c>
      <c r="U327">
        <v>3000</v>
      </c>
      <c r="V327">
        <v>5000</v>
      </c>
      <c r="W327">
        <v>3000</v>
      </c>
      <c r="X327">
        <v>3000</v>
      </c>
      <c r="Y327">
        <v>0</v>
      </c>
    </row>
    <row r="328" spans="1:25" x14ac:dyDescent="0.3">
      <c r="A328">
        <v>327</v>
      </c>
      <c r="B328">
        <v>220000</v>
      </c>
      <c r="C328">
        <v>2</v>
      </c>
      <c r="D328">
        <v>2</v>
      </c>
      <c r="E328">
        <v>1</v>
      </c>
      <c r="F328">
        <v>41</v>
      </c>
      <c r="G328">
        <v>-1</v>
      </c>
      <c r="H328">
        <v>2</v>
      </c>
      <c r="I328">
        <v>2</v>
      </c>
      <c r="J328">
        <v>-1</v>
      </c>
      <c r="K328">
        <v>2</v>
      </c>
      <c r="L328">
        <v>-1</v>
      </c>
      <c r="M328">
        <v>650</v>
      </c>
      <c r="N328">
        <v>650</v>
      </c>
      <c r="O328">
        <v>325</v>
      </c>
      <c r="P328">
        <v>950</v>
      </c>
      <c r="Q328">
        <v>475</v>
      </c>
      <c r="R328">
        <v>325</v>
      </c>
      <c r="S328">
        <v>325</v>
      </c>
      <c r="T328">
        <v>0</v>
      </c>
      <c r="U328">
        <v>950</v>
      </c>
      <c r="V328">
        <v>0</v>
      </c>
      <c r="W328">
        <v>325</v>
      </c>
      <c r="X328">
        <v>325</v>
      </c>
      <c r="Y328">
        <v>1</v>
      </c>
    </row>
    <row r="329" spans="1:25" x14ac:dyDescent="0.3">
      <c r="A329">
        <v>328</v>
      </c>
      <c r="B329">
        <v>60000</v>
      </c>
      <c r="C329">
        <v>2</v>
      </c>
      <c r="D329">
        <v>2</v>
      </c>
      <c r="E329">
        <v>1</v>
      </c>
      <c r="F329">
        <v>34</v>
      </c>
      <c r="G329">
        <v>2</v>
      </c>
      <c r="H329">
        <v>2</v>
      </c>
      <c r="I329">
        <v>2</v>
      </c>
      <c r="J329">
        <v>2</v>
      </c>
      <c r="K329">
        <v>2</v>
      </c>
      <c r="L329">
        <v>0</v>
      </c>
      <c r="M329">
        <v>24898</v>
      </c>
      <c r="N329">
        <v>27976</v>
      </c>
      <c r="O329">
        <v>27233</v>
      </c>
      <c r="P329">
        <v>30184</v>
      </c>
      <c r="Q329">
        <v>29566</v>
      </c>
      <c r="R329">
        <v>30225</v>
      </c>
      <c r="S329">
        <v>3800</v>
      </c>
      <c r="T329">
        <v>0</v>
      </c>
      <c r="U329">
        <v>3720</v>
      </c>
      <c r="V329">
        <v>0</v>
      </c>
      <c r="W329">
        <v>1300</v>
      </c>
      <c r="X329">
        <v>1291</v>
      </c>
      <c r="Y329">
        <v>1</v>
      </c>
    </row>
    <row r="330" spans="1:25" x14ac:dyDescent="0.3">
      <c r="A330">
        <v>329</v>
      </c>
      <c r="B330">
        <v>340000</v>
      </c>
      <c r="C330">
        <v>1</v>
      </c>
      <c r="D330">
        <v>2</v>
      </c>
      <c r="E330">
        <v>1</v>
      </c>
      <c r="F330">
        <v>55</v>
      </c>
      <c r="G330">
        <v>-2</v>
      </c>
      <c r="H330">
        <v>-1</v>
      </c>
      <c r="I330">
        <v>-1</v>
      </c>
      <c r="J330">
        <v>-2</v>
      </c>
      <c r="K330">
        <v>-2</v>
      </c>
      <c r="L330">
        <v>-2</v>
      </c>
      <c r="M330">
        <v>50396</v>
      </c>
      <c r="N330">
        <v>44665</v>
      </c>
      <c r="O330">
        <v>8300</v>
      </c>
      <c r="P330">
        <v>2190</v>
      </c>
      <c r="Q330">
        <v>24599</v>
      </c>
      <c r="R330">
        <v>7416</v>
      </c>
      <c r="S330">
        <v>44665</v>
      </c>
      <c r="T330">
        <v>8321</v>
      </c>
      <c r="U330">
        <v>2190</v>
      </c>
      <c r="V330">
        <v>24599</v>
      </c>
      <c r="W330">
        <v>7416</v>
      </c>
      <c r="X330">
        <v>77195</v>
      </c>
      <c r="Y330">
        <v>0</v>
      </c>
    </row>
    <row r="331" spans="1:25" x14ac:dyDescent="0.3">
      <c r="A331">
        <v>330</v>
      </c>
      <c r="B331">
        <v>150000</v>
      </c>
      <c r="C331">
        <v>1</v>
      </c>
      <c r="D331">
        <v>1</v>
      </c>
      <c r="E331">
        <v>1</v>
      </c>
      <c r="F331">
        <v>40</v>
      </c>
      <c r="G331">
        <v>2</v>
      </c>
      <c r="H331">
        <v>2</v>
      </c>
      <c r="I331">
        <v>2</v>
      </c>
      <c r="J331">
        <v>2</v>
      </c>
      <c r="K331">
        <v>2</v>
      </c>
      <c r="L331">
        <v>2</v>
      </c>
      <c r="M331">
        <v>99855</v>
      </c>
      <c r="N331">
        <v>102586</v>
      </c>
      <c r="O331">
        <v>100064</v>
      </c>
      <c r="P331">
        <v>104975</v>
      </c>
      <c r="Q331">
        <v>107147</v>
      </c>
      <c r="R331">
        <v>109428</v>
      </c>
      <c r="S331">
        <v>5200</v>
      </c>
      <c r="T331">
        <v>0</v>
      </c>
      <c r="U331">
        <v>8100</v>
      </c>
      <c r="V331">
        <v>4000</v>
      </c>
      <c r="W331">
        <v>4200</v>
      </c>
      <c r="X331">
        <v>4200</v>
      </c>
      <c r="Y331">
        <v>0</v>
      </c>
    </row>
    <row r="332" spans="1:25" x14ac:dyDescent="0.3">
      <c r="A332">
        <v>331</v>
      </c>
      <c r="B332">
        <v>200000</v>
      </c>
      <c r="C332">
        <v>2</v>
      </c>
      <c r="D332">
        <v>2</v>
      </c>
      <c r="E332">
        <v>1</v>
      </c>
      <c r="F332">
        <v>37</v>
      </c>
      <c r="G332">
        <v>1</v>
      </c>
      <c r="H332">
        <v>-1</v>
      </c>
      <c r="I332">
        <v>2</v>
      </c>
      <c r="J332">
        <v>-1</v>
      </c>
      <c r="K332">
        <v>-1</v>
      </c>
      <c r="L332">
        <v>-1</v>
      </c>
      <c r="M332">
        <v>-179</v>
      </c>
      <c r="N332">
        <v>505</v>
      </c>
      <c r="O332">
        <v>189</v>
      </c>
      <c r="P332">
        <v>6773</v>
      </c>
      <c r="Q332">
        <v>23209</v>
      </c>
      <c r="R332">
        <v>16893</v>
      </c>
      <c r="S332">
        <v>1000</v>
      </c>
      <c r="T332">
        <v>0</v>
      </c>
      <c r="U332">
        <v>6900</v>
      </c>
      <c r="V332">
        <v>24000</v>
      </c>
      <c r="W332">
        <v>17000</v>
      </c>
      <c r="X332">
        <v>2500</v>
      </c>
      <c r="Y332">
        <v>1</v>
      </c>
    </row>
    <row r="333" spans="1:25" x14ac:dyDescent="0.3">
      <c r="A333">
        <v>332</v>
      </c>
      <c r="B333">
        <v>130000</v>
      </c>
      <c r="C333">
        <v>2</v>
      </c>
      <c r="D333">
        <v>2</v>
      </c>
      <c r="E333">
        <v>2</v>
      </c>
      <c r="F333">
        <v>40</v>
      </c>
      <c r="G333">
        <v>0</v>
      </c>
      <c r="H333">
        <v>0</v>
      </c>
      <c r="I333">
        <v>2</v>
      </c>
      <c r="J333">
        <v>0</v>
      </c>
      <c r="K333">
        <v>0</v>
      </c>
      <c r="L333">
        <v>0</v>
      </c>
      <c r="M333">
        <v>9559</v>
      </c>
      <c r="N333">
        <v>12394</v>
      </c>
      <c r="O333">
        <v>11883</v>
      </c>
      <c r="P333">
        <v>9826</v>
      </c>
      <c r="Q333">
        <v>10167</v>
      </c>
      <c r="R333">
        <v>12685</v>
      </c>
      <c r="S333">
        <v>3000</v>
      </c>
      <c r="T333">
        <v>0</v>
      </c>
      <c r="U333">
        <v>500</v>
      </c>
      <c r="V333">
        <v>500</v>
      </c>
      <c r="W333">
        <v>2700</v>
      </c>
      <c r="X333">
        <v>500</v>
      </c>
      <c r="Y333">
        <v>1</v>
      </c>
    </row>
    <row r="334" spans="1:25" x14ac:dyDescent="0.3">
      <c r="A334">
        <v>333</v>
      </c>
      <c r="B334">
        <v>60000</v>
      </c>
      <c r="C334">
        <v>2</v>
      </c>
      <c r="D334">
        <v>1</v>
      </c>
      <c r="E334">
        <v>2</v>
      </c>
      <c r="F334">
        <v>28</v>
      </c>
      <c r="G334">
        <v>1</v>
      </c>
      <c r="H334">
        <v>2</v>
      </c>
      <c r="I334">
        <v>0</v>
      </c>
      <c r="J334">
        <v>0</v>
      </c>
      <c r="K334">
        <v>0</v>
      </c>
      <c r="L334">
        <v>0</v>
      </c>
      <c r="M334">
        <v>10540</v>
      </c>
      <c r="N334">
        <v>10232</v>
      </c>
      <c r="O334">
        <v>11237</v>
      </c>
      <c r="P334">
        <v>11427</v>
      </c>
      <c r="Q334">
        <v>20973</v>
      </c>
      <c r="R334">
        <v>31857</v>
      </c>
      <c r="S334">
        <v>0</v>
      </c>
      <c r="T334">
        <v>1483</v>
      </c>
      <c r="U334">
        <v>673</v>
      </c>
      <c r="V334">
        <v>10000</v>
      </c>
      <c r="W334">
        <v>11540</v>
      </c>
      <c r="X334">
        <v>7000</v>
      </c>
      <c r="Y334">
        <v>0</v>
      </c>
    </row>
    <row r="335" spans="1:25" x14ac:dyDescent="0.3">
      <c r="A335">
        <v>334</v>
      </c>
      <c r="B335">
        <v>400000</v>
      </c>
      <c r="C335">
        <v>2</v>
      </c>
      <c r="D335">
        <v>2</v>
      </c>
      <c r="E335">
        <v>1</v>
      </c>
      <c r="F335">
        <v>43</v>
      </c>
      <c r="G335">
        <v>1</v>
      </c>
      <c r="H335">
        <v>-2</v>
      </c>
      <c r="I335">
        <v>-2</v>
      </c>
      <c r="J335">
        <v>-2</v>
      </c>
      <c r="K335">
        <v>-1</v>
      </c>
      <c r="L335">
        <v>-1</v>
      </c>
      <c r="M335">
        <v>0</v>
      </c>
      <c r="N335">
        <v>0</v>
      </c>
      <c r="O335">
        <v>0</v>
      </c>
      <c r="P335">
        <v>0</v>
      </c>
      <c r="Q335">
        <v>1600</v>
      </c>
      <c r="R335">
        <v>78388</v>
      </c>
      <c r="S335">
        <v>0</v>
      </c>
      <c r="T335">
        <v>0</v>
      </c>
      <c r="U335">
        <v>0</v>
      </c>
      <c r="V335">
        <v>1600</v>
      </c>
      <c r="W335">
        <v>78388</v>
      </c>
      <c r="X335">
        <v>0</v>
      </c>
      <c r="Y335">
        <v>0</v>
      </c>
    </row>
    <row r="336" spans="1:25" x14ac:dyDescent="0.3">
      <c r="A336">
        <v>335</v>
      </c>
      <c r="B336">
        <v>20000</v>
      </c>
      <c r="C336">
        <v>1</v>
      </c>
      <c r="D336">
        <v>1</v>
      </c>
      <c r="E336">
        <v>2</v>
      </c>
      <c r="F336">
        <v>27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20571</v>
      </c>
      <c r="N336">
        <v>19089</v>
      </c>
      <c r="O336">
        <v>19658</v>
      </c>
      <c r="P336">
        <v>19453</v>
      </c>
      <c r="Q336">
        <v>19108</v>
      </c>
      <c r="R336">
        <v>18868</v>
      </c>
      <c r="S336">
        <v>1323</v>
      </c>
      <c r="T336">
        <v>1600</v>
      </c>
      <c r="U336">
        <v>830</v>
      </c>
      <c r="V336">
        <v>700</v>
      </c>
      <c r="W336">
        <v>674</v>
      </c>
      <c r="X336">
        <v>376</v>
      </c>
      <c r="Y336">
        <v>0</v>
      </c>
    </row>
    <row r="337" spans="1:25" x14ac:dyDescent="0.3">
      <c r="A337">
        <v>336</v>
      </c>
      <c r="B337">
        <v>190000</v>
      </c>
      <c r="C337">
        <v>2</v>
      </c>
      <c r="D337">
        <v>1</v>
      </c>
      <c r="E337">
        <v>2</v>
      </c>
      <c r="F337">
        <v>28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143464</v>
      </c>
      <c r="N337">
        <v>146943</v>
      </c>
      <c r="O337">
        <v>151905</v>
      </c>
      <c r="P337">
        <v>153538</v>
      </c>
      <c r="Q337">
        <v>156664</v>
      </c>
      <c r="R337">
        <v>160361</v>
      </c>
      <c r="S337">
        <v>5795</v>
      </c>
      <c r="T337">
        <v>7408</v>
      </c>
      <c r="U337">
        <v>5645</v>
      </c>
      <c r="V337">
        <v>5753</v>
      </c>
      <c r="W337">
        <v>6370</v>
      </c>
      <c r="X337">
        <v>5865</v>
      </c>
      <c r="Y337">
        <v>0</v>
      </c>
    </row>
    <row r="338" spans="1:25" x14ac:dyDescent="0.3">
      <c r="A338">
        <v>337</v>
      </c>
      <c r="B338">
        <v>260000</v>
      </c>
      <c r="C338">
        <v>2</v>
      </c>
      <c r="D338">
        <v>1</v>
      </c>
      <c r="E338">
        <v>2</v>
      </c>
      <c r="F338">
        <v>30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156882</v>
      </c>
      <c r="N338">
        <v>160246</v>
      </c>
      <c r="O338">
        <v>159988</v>
      </c>
      <c r="P338">
        <v>158114</v>
      </c>
      <c r="Q338">
        <v>158762</v>
      </c>
      <c r="R338">
        <v>159108</v>
      </c>
      <c r="S338">
        <v>10000</v>
      </c>
      <c r="T338">
        <v>8000</v>
      </c>
      <c r="U338">
        <v>6000</v>
      </c>
      <c r="V338">
        <v>7000</v>
      </c>
      <c r="W338">
        <v>7000</v>
      </c>
      <c r="X338">
        <v>6000</v>
      </c>
      <c r="Y338">
        <v>0</v>
      </c>
    </row>
    <row r="339" spans="1:25" x14ac:dyDescent="0.3">
      <c r="A339">
        <v>338</v>
      </c>
      <c r="B339">
        <v>140000</v>
      </c>
      <c r="C339">
        <v>2</v>
      </c>
      <c r="D339">
        <v>2</v>
      </c>
      <c r="E339">
        <v>2</v>
      </c>
      <c r="F339">
        <v>31</v>
      </c>
      <c r="G339">
        <v>-2</v>
      </c>
      <c r="H339">
        <v>-2</v>
      </c>
      <c r="I339">
        <v>-2</v>
      </c>
      <c r="J339">
        <v>-2</v>
      </c>
      <c r="K339">
        <v>-2</v>
      </c>
      <c r="L339">
        <v>-2</v>
      </c>
      <c r="M339">
        <v>390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</row>
    <row r="340" spans="1:25" x14ac:dyDescent="0.3">
      <c r="A340">
        <v>339</v>
      </c>
      <c r="B340">
        <v>50000</v>
      </c>
      <c r="C340">
        <v>2</v>
      </c>
      <c r="D340">
        <v>2</v>
      </c>
      <c r="E340">
        <v>1</v>
      </c>
      <c r="F340">
        <v>31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46512</v>
      </c>
      <c r="N340">
        <v>47716</v>
      </c>
      <c r="O340">
        <v>49675</v>
      </c>
      <c r="P340">
        <v>30929</v>
      </c>
      <c r="Q340">
        <v>30078</v>
      </c>
      <c r="R340">
        <v>29170</v>
      </c>
      <c r="S340">
        <v>1974</v>
      </c>
      <c r="T340">
        <v>4406</v>
      </c>
      <c r="U340">
        <v>1061</v>
      </c>
      <c r="V340">
        <v>1073</v>
      </c>
      <c r="W340">
        <v>1046</v>
      </c>
      <c r="X340">
        <v>1047</v>
      </c>
      <c r="Y340">
        <v>1</v>
      </c>
    </row>
    <row r="341" spans="1:25" x14ac:dyDescent="0.3">
      <c r="A341">
        <v>340</v>
      </c>
      <c r="B341">
        <v>120000</v>
      </c>
      <c r="C341">
        <v>2</v>
      </c>
      <c r="D341">
        <v>1</v>
      </c>
      <c r="E341">
        <v>2</v>
      </c>
      <c r="F341">
        <v>34</v>
      </c>
      <c r="G341">
        <v>-1</v>
      </c>
      <c r="H341">
        <v>-1</v>
      </c>
      <c r="I341">
        <v>0</v>
      </c>
      <c r="J341">
        <v>-1</v>
      </c>
      <c r="K341">
        <v>-1</v>
      </c>
      <c r="L341">
        <v>-1</v>
      </c>
      <c r="M341">
        <v>882</v>
      </c>
      <c r="N341">
        <v>6531</v>
      </c>
      <c r="O341">
        <v>6313</v>
      </c>
      <c r="P341">
        <v>1100</v>
      </c>
      <c r="Q341">
        <v>1330</v>
      </c>
      <c r="R341">
        <v>830</v>
      </c>
      <c r="S341">
        <v>6900</v>
      </c>
      <c r="T341">
        <v>5037</v>
      </c>
      <c r="U341">
        <v>1100</v>
      </c>
      <c r="V341">
        <v>1330</v>
      </c>
      <c r="W341">
        <v>3800</v>
      </c>
      <c r="X341">
        <v>2037</v>
      </c>
      <c r="Y341">
        <v>0</v>
      </c>
    </row>
    <row r="342" spans="1:25" x14ac:dyDescent="0.3">
      <c r="A342">
        <v>341</v>
      </c>
      <c r="B342">
        <v>240000</v>
      </c>
      <c r="C342">
        <v>2</v>
      </c>
      <c r="D342">
        <v>2</v>
      </c>
      <c r="E342">
        <v>2</v>
      </c>
      <c r="F342">
        <v>30</v>
      </c>
      <c r="G342">
        <v>-2</v>
      </c>
      <c r="H342">
        <v>-2</v>
      </c>
      <c r="I342">
        <v>-2</v>
      </c>
      <c r="J342">
        <v>-2</v>
      </c>
      <c r="K342">
        <v>-2</v>
      </c>
      <c r="L342">
        <v>-2</v>
      </c>
      <c r="M342">
        <v>92</v>
      </c>
      <c r="N342">
        <v>92</v>
      </c>
      <c r="O342">
        <v>92</v>
      </c>
      <c r="P342">
        <v>0</v>
      </c>
      <c r="Q342">
        <v>92</v>
      </c>
      <c r="R342">
        <v>0</v>
      </c>
      <c r="S342">
        <v>92</v>
      </c>
      <c r="T342">
        <v>92</v>
      </c>
      <c r="U342">
        <v>0</v>
      </c>
      <c r="V342">
        <v>92</v>
      </c>
      <c r="W342">
        <v>0</v>
      </c>
      <c r="X342">
        <v>1883</v>
      </c>
      <c r="Y342">
        <v>0</v>
      </c>
    </row>
    <row r="343" spans="1:25" x14ac:dyDescent="0.3">
      <c r="A343">
        <v>342</v>
      </c>
      <c r="B343">
        <v>50000</v>
      </c>
      <c r="C343">
        <v>1</v>
      </c>
      <c r="D343">
        <v>2</v>
      </c>
      <c r="E343">
        <v>2</v>
      </c>
      <c r="F343">
        <v>36</v>
      </c>
      <c r="G343">
        <v>0</v>
      </c>
      <c r="H343">
        <v>0</v>
      </c>
      <c r="I343">
        <v>0</v>
      </c>
      <c r="J343">
        <v>0</v>
      </c>
      <c r="K343">
        <v>-1</v>
      </c>
      <c r="L343">
        <v>0</v>
      </c>
      <c r="M343">
        <v>5916</v>
      </c>
      <c r="N343">
        <v>6172</v>
      </c>
      <c r="O343">
        <v>4123</v>
      </c>
      <c r="P343">
        <v>680</v>
      </c>
      <c r="Q343">
        <v>978</v>
      </c>
      <c r="R343">
        <v>978</v>
      </c>
      <c r="S343">
        <v>1212</v>
      </c>
      <c r="T343">
        <v>1200</v>
      </c>
      <c r="U343">
        <v>0</v>
      </c>
      <c r="V343">
        <v>978</v>
      </c>
      <c r="W343">
        <v>0</v>
      </c>
      <c r="X343">
        <v>0</v>
      </c>
      <c r="Y343">
        <v>0</v>
      </c>
    </row>
    <row r="344" spans="1:25" x14ac:dyDescent="0.3">
      <c r="A344">
        <v>343</v>
      </c>
      <c r="B344">
        <v>200000</v>
      </c>
      <c r="C344">
        <v>2</v>
      </c>
      <c r="D344">
        <v>1</v>
      </c>
      <c r="E344">
        <v>2</v>
      </c>
      <c r="F344">
        <v>29</v>
      </c>
      <c r="G344">
        <v>-1</v>
      </c>
      <c r="H344">
        <v>2</v>
      </c>
      <c r="I344">
        <v>-1</v>
      </c>
      <c r="J344">
        <v>-1</v>
      </c>
      <c r="K344">
        <v>-1</v>
      </c>
      <c r="L344">
        <v>2</v>
      </c>
      <c r="M344">
        <v>2393</v>
      </c>
      <c r="N344">
        <v>183</v>
      </c>
      <c r="O344">
        <v>4847</v>
      </c>
      <c r="P344">
        <v>20183</v>
      </c>
      <c r="Q344">
        <v>24815</v>
      </c>
      <c r="R344">
        <v>24248</v>
      </c>
      <c r="S344">
        <v>0</v>
      </c>
      <c r="T344">
        <v>4872</v>
      </c>
      <c r="U344">
        <v>20183</v>
      </c>
      <c r="V344">
        <v>5000</v>
      </c>
      <c r="W344">
        <v>0</v>
      </c>
      <c r="X344">
        <v>1000</v>
      </c>
      <c r="Y344">
        <v>0</v>
      </c>
    </row>
    <row r="345" spans="1:25" x14ac:dyDescent="0.3">
      <c r="A345">
        <v>344</v>
      </c>
      <c r="B345">
        <v>180000</v>
      </c>
      <c r="C345">
        <v>1</v>
      </c>
      <c r="D345">
        <v>1</v>
      </c>
      <c r="E345">
        <v>1</v>
      </c>
      <c r="F345">
        <v>39</v>
      </c>
      <c r="G345">
        <v>0</v>
      </c>
      <c r="H345">
        <v>0</v>
      </c>
      <c r="I345">
        <v>-1</v>
      </c>
      <c r="J345">
        <v>0</v>
      </c>
      <c r="K345">
        <v>0</v>
      </c>
      <c r="L345">
        <v>-1</v>
      </c>
      <c r="M345">
        <v>274731</v>
      </c>
      <c r="N345">
        <v>281713</v>
      </c>
      <c r="O345">
        <v>242063</v>
      </c>
      <c r="P345">
        <v>122295</v>
      </c>
      <c r="Q345">
        <v>-1005</v>
      </c>
      <c r="R345">
        <v>1005</v>
      </c>
      <c r="S345">
        <v>11000</v>
      </c>
      <c r="T345">
        <v>145000</v>
      </c>
      <c r="U345">
        <v>26000</v>
      </c>
      <c r="V345">
        <v>0</v>
      </c>
      <c r="W345">
        <v>101005</v>
      </c>
      <c r="X345">
        <v>1898</v>
      </c>
      <c r="Y345">
        <v>0</v>
      </c>
    </row>
    <row r="346" spans="1:25" x14ac:dyDescent="0.3">
      <c r="A346">
        <v>345</v>
      </c>
      <c r="B346">
        <v>180000</v>
      </c>
      <c r="C346">
        <v>2</v>
      </c>
      <c r="D346">
        <v>1</v>
      </c>
      <c r="E346">
        <v>2</v>
      </c>
      <c r="F346">
        <v>26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145403</v>
      </c>
      <c r="N346">
        <v>138232</v>
      </c>
      <c r="O346">
        <v>130553</v>
      </c>
      <c r="P346">
        <v>105894</v>
      </c>
      <c r="Q346">
        <v>108248</v>
      </c>
      <c r="R346">
        <v>106517</v>
      </c>
      <c r="S346">
        <v>5440</v>
      </c>
      <c r="T346">
        <v>5051</v>
      </c>
      <c r="U346">
        <v>3835</v>
      </c>
      <c r="V346">
        <v>4106</v>
      </c>
      <c r="W346">
        <v>4250</v>
      </c>
      <c r="X346">
        <v>4028</v>
      </c>
      <c r="Y346">
        <v>0</v>
      </c>
    </row>
    <row r="347" spans="1:25" x14ac:dyDescent="0.3">
      <c r="A347">
        <v>346</v>
      </c>
      <c r="B347">
        <v>160000</v>
      </c>
      <c r="C347">
        <v>2</v>
      </c>
      <c r="D347">
        <v>1</v>
      </c>
      <c r="E347">
        <v>2</v>
      </c>
      <c r="F347">
        <v>29</v>
      </c>
      <c r="G347">
        <v>-1</v>
      </c>
      <c r="H347">
        <v>-1</v>
      </c>
      <c r="I347">
        <v>-2</v>
      </c>
      <c r="J347">
        <v>-1</v>
      </c>
      <c r="K347">
        <v>0</v>
      </c>
      <c r="L347">
        <v>0</v>
      </c>
      <c r="M347">
        <v>3097</v>
      </c>
      <c r="N347">
        <v>-707</v>
      </c>
      <c r="O347">
        <v>-2697</v>
      </c>
      <c r="P347">
        <v>2303</v>
      </c>
      <c r="Q347">
        <v>6182</v>
      </c>
      <c r="R347">
        <v>1654</v>
      </c>
      <c r="S347">
        <v>0</v>
      </c>
      <c r="T347">
        <v>0</v>
      </c>
      <c r="U347">
        <v>5000</v>
      </c>
      <c r="V347">
        <v>5000</v>
      </c>
      <c r="W347">
        <v>1500</v>
      </c>
      <c r="X347">
        <v>13000</v>
      </c>
      <c r="Y347">
        <v>0</v>
      </c>
    </row>
    <row r="348" spans="1:25" x14ac:dyDescent="0.3">
      <c r="A348">
        <v>347</v>
      </c>
      <c r="B348">
        <v>100000</v>
      </c>
      <c r="C348">
        <v>2</v>
      </c>
      <c r="D348">
        <v>2</v>
      </c>
      <c r="E348">
        <v>2</v>
      </c>
      <c r="F348">
        <v>26</v>
      </c>
      <c r="G348">
        <v>-1</v>
      </c>
      <c r="H348">
        <v>-1</v>
      </c>
      <c r="I348">
        <v>-1</v>
      </c>
      <c r="J348">
        <v>0</v>
      </c>
      <c r="K348">
        <v>0</v>
      </c>
      <c r="L348">
        <v>0</v>
      </c>
      <c r="M348">
        <v>1370</v>
      </c>
      <c r="N348">
        <v>4192</v>
      </c>
      <c r="O348">
        <v>4159</v>
      </c>
      <c r="P348">
        <v>3542</v>
      </c>
      <c r="Q348">
        <v>1980</v>
      </c>
      <c r="R348">
        <v>3980</v>
      </c>
      <c r="S348">
        <v>4210</v>
      </c>
      <c r="T348">
        <v>4159</v>
      </c>
      <c r="U348">
        <v>1000</v>
      </c>
      <c r="V348">
        <v>1080</v>
      </c>
      <c r="W348">
        <v>2000</v>
      </c>
      <c r="X348">
        <v>1525</v>
      </c>
      <c r="Y348">
        <v>0</v>
      </c>
    </row>
    <row r="349" spans="1:25" x14ac:dyDescent="0.3">
      <c r="A349">
        <v>348</v>
      </c>
      <c r="B349">
        <v>50000</v>
      </c>
      <c r="C349">
        <v>2</v>
      </c>
      <c r="D349">
        <v>2</v>
      </c>
      <c r="E349">
        <v>2</v>
      </c>
      <c r="F349">
        <v>29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47081</v>
      </c>
      <c r="N349">
        <v>49316</v>
      </c>
      <c r="O349">
        <v>50409</v>
      </c>
      <c r="P349">
        <v>45545</v>
      </c>
      <c r="Q349">
        <v>39963</v>
      </c>
      <c r="R349">
        <v>41145</v>
      </c>
      <c r="S349">
        <v>3000</v>
      </c>
      <c r="T349">
        <v>2000</v>
      </c>
      <c r="U349">
        <v>2000</v>
      </c>
      <c r="V349">
        <v>2000</v>
      </c>
      <c r="W349">
        <v>2000</v>
      </c>
      <c r="X349">
        <v>2000</v>
      </c>
      <c r="Y349">
        <v>1</v>
      </c>
    </row>
    <row r="350" spans="1:25" x14ac:dyDescent="0.3">
      <c r="A350">
        <v>349</v>
      </c>
      <c r="B350">
        <v>140000</v>
      </c>
      <c r="C350">
        <v>2</v>
      </c>
      <c r="D350">
        <v>2</v>
      </c>
      <c r="E350">
        <v>2</v>
      </c>
      <c r="F350">
        <v>31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138119</v>
      </c>
      <c r="N350">
        <v>137950</v>
      </c>
      <c r="O350">
        <v>140254</v>
      </c>
      <c r="P350">
        <v>139679</v>
      </c>
      <c r="Q350">
        <v>141748</v>
      </c>
      <c r="R350">
        <v>142174</v>
      </c>
      <c r="S350">
        <v>6600</v>
      </c>
      <c r="T350">
        <v>6500</v>
      </c>
      <c r="U350">
        <v>5100</v>
      </c>
      <c r="V350">
        <v>5300</v>
      </c>
      <c r="W350">
        <v>6000</v>
      </c>
      <c r="X350">
        <v>5000</v>
      </c>
      <c r="Y350">
        <v>0</v>
      </c>
    </row>
    <row r="351" spans="1:25" x14ac:dyDescent="0.3">
      <c r="A351">
        <v>350</v>
      </c>
      <c r="B351">
        <v>30000</v>
      </c>
      <c r="C351">
        <v>2</v>
      </c>
      <c r="D351">
        <v>2</v>
      </c>
      <c r="E351">
        <v>2</v>
      </c>
      <c r="F351">
        <v>26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17893</v>
      </c>
      <c r="N351">
        <v>19012</v>
      </c>
      <c r="O351">
        <v>20123</v>
      </c>
      <c r="P351">
        <v>20222</v>
      </c>
      <c r="Q351">
        <v>20796</v>
      </c>
      <c r="R351">
        <v>19844</v>
      </c>
      <c r="S351">
        <v>1411</v>
      </c>
      <c r="T351">
        <v>1522</v>
      </c>
      <c r="U351">
        <v>621</v>
      </c>
      <c r="V351">
        <v>795</v>
      </c>
      <c r="W351">
        <v>715</v>
      </c>
      <c r="X351">
        <v>1000</v>
      </c>
      <c r="Y351">
        <v>1</v>
      </c>
    </row>
    <row r="352" spans="1:25" x14ac:dyDescent="0.3">
      <c r="A352">
        <v>351</v>
      </c>
      <c r="B352">
        <v>90000</v>
      </c>
      <c r="C352">
        <v>1</v>
      </c>
      <c r="D352">
        <v>1</v>
      </c>
      <c r="E352">
        <v>2</v>
      </c>
      <c r="F352">
        <v>26</v>
      </c>
      <c r="G352">
        <v>0</v>
      </c>
      <c r="H352">
        <v>0</v>
      </c>
      <c r="I352">
        <v>-1</v>
      </c>
      <c r="J352">
        <v>0</v>
      </c>
      <c r="K352">
        <v>0</v>
      </c>
      <c r="L352">
        <v>-1</v>
      </c>
      <c r="M352">
        <v>39128</v>
      </c>
      <c r="N352">
        <v>20473</v>
      </c>
      <c r="O352">
        <v>1940</v>
      </c>
      <c r="P352">
        <v>1940</v>
      </c>
      <c r="Q352">
        <v>0</v>
      </c>
      <c r="R352">
        <v>23101</v>
      </c>
      <c r="S352">
        <v>1541</v>
      </c>
      <c r="T352">
        <v>4200</v>
      </c>
      <c r="U352">
        <v>0</v>
      </c>
      <c r="V352">
        <v>0</v>
      </c>
      <c r="W352">
        <v>23101</v>
      </c>
      <c r="X352">
        <v>3000</v>
      </c>
      <c r="Y352">
        <v>0</v>
      </c>
    </row>
    <row r="353" spans="1:25" x14ac:dyDescent="0.3">
      <c r="A353">
        <v>352</v>
      </c>
      <c r="B353">
        <v>200000</v>
      </c>
      <c r="C353">
        <v>1</v>
      </c>
      <c r="D353">
        <v>1</v>
      </c>
      <c r="E353">
        <v>1</v>
      </c>
      <c r="F353">
        <v>36</v>
      </c>
      <c r="G353">
        <v>1</v>
      </c>
      <c r="H353">
        <v>-2</v>
      </c>
      <c r="I353">
        <v>-1</v>
      </c>
      <c r="J353">
        <v>-1</v>
      </c>
      <c r="K353">
        <v>-2</v>
      </c>
      <c r="L353">
        <v>-1</v>
      </c>
      <c r="M353">
        <v>-14386</v>
      </c>
      <c r="N353">
        <v>-13543</v>
      </c>
      <c r="O353">
        <v>3432</v>
      </c>
      <c r="P353">
        <v>-3684</v>
      </c>
      <c r="Q353">
        <v>0</v>
      </c>
      <c r="R353">
        <v>1386</v>
      </c>
      <c r="S353">
        <v>10118</v>
      </c>
      <c r="T353">
        <v>47015</v>
      </c>
      <c r="U353">
        <v>0</v>
      </c>
      <c r="V353">
        <v>4000</v>
      </c>
      <c r="W353">
        <v>100000</v>
      </c>
      <c r="X353">
        <v>10000</v>
      </c>
      <c r="Y353">
        <v>0</v>
      </c>
    </row>
    <row r="354" spans="1:25" x14ac:dyDescent="0.3">
      <c r="A354">
        <v>353</v>
      </c>
      <c r="B354">
        <v>380000</v>
      </c>
      <c r="C354">
        <v>1</v>
      </c>
      <c r="D354">
        <v>1</v>
      </c>
      <c r="E354">
        <v>2</v>
      </c>
      <c r="F354">
        <v>30</v>
      </c>
      <c r="G354">
        <v>1</v>
      </c>
      <c r="H354">
        <v>-2</v>
      </c>
      <c r="I354">
        <v>-2</v>
      </c>
      <c r="J354">
        <v>-2</v>
      </c>
      <c r="K354">
        <v>-2</v>
      </c>
      <c r="L354">
        <v>-2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1</v>
      </c>
    </row>
    <row r="355" spans="1:25" x14ac:dyDescent="0.3">
      <c r="A355">
        <v>354</v>
      </c>
      <c r="B355">
        <v>80000</v>
      </c>
      <c r="C355">
        <v>2</v>
      </c>
      <c r="D355">
        <v>2</v>
      </c>
      <c r="E355">
        <v>2</v>
      </c>
      <c r="F355">
        <v>43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77057</v>
      </c>
      <c r="N355">
        <v>78102</v>
      </c>
      <c r="O355">
        <v>58501</v>
      </c>
      <c r="P355">
        <v>51042</v>
      </c>
      <c r="Q355">
        <v>19036</v>
      </c>
      <c r="R355">
        <v>19414</v>
      </c>
      <c r="S355">
        <v>3177</v>
      </c>
      <c r="T355">
        <v>2600</v>
      </c>
      <c r="U355">
        <v>3000</v>
      </c>
      <c r="V355">
        <v>1691</v>
      </c>
      <c r="W355">
        <v>695</v>
      </c>
      <c r="X355">
        <v>882</v>
      </c>
      <c r="Y355">
        <v>0</v>
      </c>
    </row>
    <row r="356" spans="1:25" x14ac:dyDescent="0.3">
      <c r="A356">
        <v>355</v>
      </c>
      <c r="B356">
        <v>50000</v>
      </c>
      <c r="C356">
        <v>1</v>
      </c>
      <c r="D356">
        <v>3</v>
      </c>
      <c r="E356">
        <v>1</v>
      </c>
      <c r="F356">
        <v>58</v>
      </c>
      <c r="G356">
        <v>2</v>
      </c>
      <c r="H356">
        <v>2</v>
      </c>
      <c r="I356">
        <v>2</v>
      </c>
      <c r="J356">
        <v>0</v>
      </c>
      <c r="K356">
        <v>0</v>
      </c>
      <c r="L356">
        <v>2</v>
      </c>
      <c r="M356">
        <v>15899</v>
      </c>
      <c r="N356">
        <v>18720</v>
      </c>
      <c r="O356">
        <v>18122</v>
      </c>
      <c r="P356">
        <v>18530</v>
      </c>
      <c r="Q356">
        <v>19089</v>
      </c>
      <c r="R356">
        <v>18856</v>
      </c>
      <c r="S356">
        <v>3400</v>
      </c>
      <c r="T356">
        <v>0</v>
      </c>
      <c r="U356">
        <v>1000</v>
      </c>
      <c r="V356">
        <v>1001</v>
      </c>
      <c r="W356">
        <v>634</v>
      </c>
      <c r="X356">
        <v>638</v>
      </c>
      <c r="Y356">
        <v>0</v>
      </c>
    </row>
    <row r="357" spans="1:25" x14ac:dyDescent="0.3">
      <c r="A357">
        <v>356</v>
      </c>
      <c r="B357">
        <v>180000</v>
      </c>
      <c r="C357">
        <v>1</v>
      </c>
      <c r="D357">
        <v>2</v>
      </c>
      <c r="E357">
        <v>1</v>
      </c>
      <c r="F357">
        <v>45</v>
      </c>
      <c r="G357">
        <v>-1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27679</v>
      </c>
      <c r="N357">
        <v>28422</v>
      </c>
      <c r="O357">
        <v>29650</v>
      </c>
      <c r="P357">
        <v>29981</v>
      </c>
      <c r="Q357">
        <v>30419</v>
      </c>
      <c r="R357">
        <v>31127</v>
      </c>
      <c r="S357">
        <v>1481</v>
      </c>
      <c r="T357">
        <v>2000</v>
      </c>
      <c r="U357">
        <v>1100</v>
      </c>
      <c r="V357">
        <v>1200</v>
      </c>
      <c r="W357">
        <v>1500</v>
      </c>
      <c r="X357">
        <v>1500</v>
      </c>
      <c r="Y357">
        <v>1</v>
      </c>
    </row>
    <row r="358" spans="1:25" x14ac:dyDescent="0.3">
      <c r="A358">
        <v>357</v>
      </c>
      <c r="B358">
        <v>240000</v>
      </c>
      <c r="C358">
        <v>2</v>
      </c>
      <c r="D358">
        <v>2</v>
      </c>
      <c r="E358">
        <v>2</v>
      </c>
      <c r="F358">
        <v>26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141315</v>
      </c>
      <c r="N358">
        <v>128940</v>
      </c>
      <c r="O358">
        <v>124226</v>
      </c>
      <c r="P358">
        <v>113133</v>
      </c>
      <c r="Q358">
        <v>113966</v>
      </c>
      <c r="R358">
        <v>103360</v>
      </c>
      <c r="S358">
        <v>6349</v>
      </c>
      <c r="T358">
        <v>5834</v>
      </c>
      <c r="U358">
        <v>3870</v>
      </c>
      <c r="V358">
        <v>4000</v>
      </c>
      <c r="W358">
        <v>3825</v>
      </c>
      <c r="X358">
        <v>3520</v>
      </c>
      <c r="Y358">
        <v>0</v>
      </c>
    </row>
    <row r="359" spans="1:25" x14ac:dyDescent="0.3">
      <c r="A359">
        <v>358</v>
      </c>
      <c r="B359">
        <v>380000</v>
      </c>
      <c r="C359">
        <v>1</v>
      </c>
      <c r="D359">
        <v>2</v>
      </c>
      <c r="E359">
        <v>2</v>
      </c>
      <c r="F359">
        <v>34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194314</v>
      </c>
      <c r="N359">
        <v>179206</v>
      </c>
      <c r="O359">
        <v>193992</v>
      </c>
      <c r="P359">
        <v>174675</v>
      </c>
      <c r="Q359">
        <v>171253</v>
      </c>
      <c r="R359">
        <v>169121</v>
      </c>
      <c r="S359">
        <v>9010</v>
      </c>
      <c r="T359">
        <v>35000</v>
      </c>
      <c r="U359">
        <v>5000</v>
      </c>
      <c r="V359">
        <v>6000</v>
      </c>
      <c r="W359">
        <v>5000</v>
      </c>
      <c r="X359">
        <v>4400</v>
      </c>
      <c r="Y359">
        <v>0</v>
      </c>
    </row>
    <row r="360" spans="1:25" x14ac:dyDescent="0.3">
      <c r="A360">
        <v>359</v>
      </c>
      <c r="B360">
        <v>110000</v>
      </c>
      <c r="C360">
        <v>2</v>
      </c>
      <c r="D360">
        <v>4</v>
      </c>
      <c r="E360">
        <v>2</v>
      </c>
      <c r="F360">
        <v>24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83755</v>
      </c>
      <c r="N360">
        <v>77431</v>
      </c>
      <c r="O360">
        <v>79044</v>
      </c>
      <c r="P360">
        <v>80631</v>
      </c>
      <c r="Q360">
        <v>82333</v>
      </c>
      <c r="R360">
        <v>84462</v>
      </c>
      <c r="S360">
        <v>3000</v>
      </c>
      <c r="T360">
        <v>2900</v>
      </c>
      <c r="U360">
        <v>2900</v>
      </c>
      <c r="V360">
        <v>3000</v>
      </c>
      <c r="W360">
        <v>3500</v>
      </c>
      <c r="X360">
        <v>4000</v>
      </c>
      <c r="Y360">
        <v>0</v>
      </c>
    </row>
    <row r="361" spans="1:25" x14ac:dyDescent="0.3">
      <c r="A361">
        <v>360</v>
      </c>
      <c r="B361">
        <v>260000</v>
      </c>
      <c r="C361">
        <v>1</v>
      </c>
      <c r="D361">
        <v>1</v>
      </c>
      <c r="E361">
        <v>1</v>
      </c>
      <c r="F361">
        <v>34</v>
      </c>
      <c r="G361">
        <v>-1</v>
      </c>
      <c r="H361">
        <v>-1</v>
      </c>
      <c r="I361">
        <v>-1</v>
      </c>
      <c r="J361">
        <v>-1</v>
      </c>
      <c r="K361">
        <v>-1</v>
      </c>
      <c r="L361">
        <v>-1</v>
      </c>
      <c r="M361">
        <v>49657</v>
      </c>
      <c r="N361">
        <v>291</v>
      </c>
      <c r="O361">
        <v>51058</v>
      </c>
      <c r="P361">
        <v>2351</v>
      </c>
      <c r="Q361">
        <v>34039</v>
      </c>
      <c r="R361">
        <v>291</v>
      </c>
      <c r="S361">
        <v>291</v>
      </c>
      <c r="T361">
        <v>51058</v>
      </c>
      <c r="U361">
        <v>35696</v>
      </c>
      <c r="V361">
        <v>34039</v>
      </c>
      <c r="W361">
        <v>291</v>
      </c>
      <c r="X361">
        <v>291</v>
      </c>
      <c r="Y361">
        <v>0</v>
      </c>
    </row>
    <row r="362" spans="1:25" x14ac:dyDescent="0.3">
      <c r="A362">
        <v>361</v>
      </c>
      <c r="B362">
        <v>500000</v>
      </c>
      <c r="C362">
        <v>2</v>
      </c>
      <c r="D362">
        <v>2</v>
      </c>
      <c r="E362">
        <v>2</v>
      </c>
      <c r="F362">
        <v>23</v>
      </c>
      <c r="G362">
        <v>4</v>
      </c>
      <c r="H362">
        <v>3</v>
      </c>
      <c r="I362">
        <v>2</v>
      </c>
      <c r="J362">
        <v>0</v>
      </c>
      <c r="K362">
        <v>0</v>
      </c>
      <c r="L362">
        <v>0</v>
      </c>
      <c r="M362">
        <v>507726</v>
      </c>
      <c r="N362">
        <v>509229</v>
      </c>
      <c r="O362">
        <v>499936</v>
      </c>
      <c r="P362">
        <v>505507</v>
      </c>
      <c r="Q362">
        <v>484612</v>
      </c>
      <c r="R362">
        <v>419643</v>
      </c>
      <c r="S362">
        <v>10000</v>
      </c>
      <c r="T362">
        <v>0</v>
      </c>
      <c r="U362">
        <v>14000</v>
      </c>
      <c r="V362">
        <v>16500</v>
      </c>
      <c r="W362">
        <v>16000</v>
      </c>
      <c r="X362">
        <v>19000</v>
      </c>
      <c r="Y362">
        <v>1</v>
      </c>
    </row>
    <row r="363" spans="1:25" x14ac:dyDescent="0.3">
      <c r="A363">
        <v>362</v>
      </c>
      <c r="B363">
        <v>320000</v>
      </c>
      <c r="C363">
        <v>2</v>
      </c>
      <c r="D363">
        <v>2</v>
      </c>
      <c r="E363">
        <v>2</v>
      </c>
      <c r="F363">
        <v>30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71305</v>
      </c>
      <c r="N363">
        <v>71151</v>
      </c>
      <c r="O363">
        <v>72029</v>
      </c>
      <c r="P363">
        <v>72849</v>
      </c>
      <c r="Q363">
        <v>74374</v>
      </c>
      <c r="R363">
        <v>74610</v>
      </c>
      <c r="S363">
        <v>2589</v>
      </c>
      <c r="T363">
        <v>2568</v>
      </c>
      <c r="U363">
        <v>2570</v>
      </c>
      <c r="V363">
        <v>2661</v>
      </c>
      <c r="W363">
        <v>2781</v>
      </c>
      <c r="X363">
        <v>2500</v>
      </c>
      <c r="Y363">
        <v>0</v>
      </c>
    </row>
    <row r="364" spans="1:25" x14ac:dyDescent="0.3">
      <c r="A364">
        <v>363</v>
      </c>
      <c r="B364">
        <v>50000</v>
      </c>
      <c r="C364">
        <v>1</v>
      </c>
      <c r="D364">
        <v>2</v>
      </c>
      <c r="E364">
        <v>2</v>
      </c>
      <c r="F364">
        <v>32</v>
      </c>
      <c r="G364">
        <v>4</v>
      </c>
      <c r="H364">
        <v>3</v>
      </c>
      <c r="I364">
        <v>2</v>
      </c>
      <c r="J364">
        <v>0</v>
      </c>
      <c r="K364">
        <v>0</v>
      </c>
      <c r="L364">
        <v>0</v>
      </c>
      <c r="M364">
        <v>45734</v>
      </c>
      <c r="N364">
        <v>44741</v>
      </c>
      <c r="O364">
        <v>43562</v>
      </c>
      <c r="P364">
        <v>44039</v>
      </c>
      <c r="Q364">
        <v>45008</v>
      </c>
      <c r="R364">
        <v>25775</v>
      </c>
      <c r="S364">
        <v>0</v>
      </c>
      <c r="T364">
        <v>0</v>
      </c>
      <c r="U364">
        <v>1262</v>
      </c>
      <c r="V364">
        <v>1358</v>
      </c>
      <c r="W364">
        <v>1275</v>
      </c>
      <c r="X364">
        <v>1590</v>
      </c>
      <c r="Y364">
        <v>0</v>
      </c>
    </row>
    <row r="365" spans="1:25" x14ac:dyDescent="0.3">
      <c r="A365">
        <v>364</v>
      </c>
      <c r="B365">
        <v>110000</v>
      </c>
      <c r="C365">
        <v>1</v>
      </c>
      <c r="D365">
        <v>1</v>
      </c>
      <c r="E365">
        <v>1</v>
      </c>
      <c r="F365">
        <v>40</v>
      </c>
      <c r="G365">
        <v>1</v>
      </c>
      <c r="H365">
        <v>-2</v>
      </c>
      <c r="I365">
        <v>-1</v>
      </c>
      <c r="J365">
        <v>0</v>
      </c>
      <c r="K365">
        <v>-1</v>
      </c>
      <c r="L365">
        <v>-1</v>
      </c>
      <c r="M365">
        <v>0</v>
      </c>
      <c r="N365">
        <v>0</v>
      </c>
      <c r="O365">
        <v>2066</v>
      </c>
      <c r="P365">
        <v>2000</v>
      </c>
      <c r="Q365">
        <v>216</v>
      </c>
      <c r="R365">
        <v>216</v>
      </c>
      <c r="S365">
        <v>0</v>
      </c>
      <c r="T365">
        <v>2066</v>
      </c>
      <c r="U365">
        <v>0</v>
      </c>
      <c r="V365">
        <v>216</v>
      </c>
      <c r="W365">
        <v>216</v>
      </c>
      <c r="X365">
        <v>66</v>
      </c>
      <c r="Y365">
        <v>1</v>
      </c>
    </row>
    <row r="366" spans="1:25" x14ac:dyDescent="0.3">
      <c r="A366">
        <v>365</v>
      </c>
      <c r="B366">
        <v>230000</v>
      </c>
      <c r="C366">
        <v>2</v>
      </c>
      <c r="D366">
        <v>1</v>
      </c>
      <c r="E366">
        <v>2</v>
      </c>
      <c r="F366">
        <v>35</v>
      </c>
      <c r="G366">
        <v>-2</v>
      </c>
      <c r="H366">
        <v>-2</v>
      </c>
      <c r="I366">
        <v>-2</v>
      </c>
      <c r="J366">
        <v>-2</v>
      </c>
      <c r="K366">
        <v>-2</v>
      </c>
      <c r="L366">
        <v>-2</v>
      </c>
      <c r="M366">
        <v>761</v>
      </c>
      <c r="N366">
        <v>300</v>
      </c>
      <c r="O366">
        <v>399</v>
      </c>
      <c r="P366">
        <v>665</v>
      </c>
      <c r="Q366">
        <v>576</v>
      </c>
      <c r="R366">
        <v>613</v>
      </c>
      <c r="S366">
        <v>300</v>
      </c>
      <c r="T366">
        <v>399</v>
      </c>
      <c r="U366">
        <v>665</v>
      </c>
      <c r="V366">
        <v>576</v>
      </c>
      <c r="W366">
        <v>613</v>
      </c>
      <c r="X366">
        <v>520</v>
      </c>
      <c r="Y366">
        <v>0</v>
      </c>
    </row>
    <row r="367" spans="1:25" x14ac:dyDescent="0.3">
      <c r="A367">
        <v>366</v>
      </c>
      <c r="B367">
        <v>330000</v>
      </c>
      <c r="C367">
        <v>2</v>
      </c>
      <c r="D367">
        <v>2</v>
      </c>
      <c r="E367">
        <v>1</v>
      </c>
      <c r="F367">
        <v>56</v>
      </c>
      <c r="G367">
        <v>1</v>
      </c>
      <c r="H367">
        <v>-1</v>
      </c>
      <c r="I367">
        <v>-1</v>
      </c>
      <c r="J367">
        <v>-2</v>
      </c>
      <c r="K367">
        <v>-1</v>
      </c>
      <c r="L367">
        <v>-1</v>
      </c>
      <c r="M367">
        <v>-9</v>
      </c>
      <c r="N367">
        <v>1520</v>
      </c>
      <c r="O367">
        <v>1488</v>
      </c>
      <c r="P367">
        <v>0</v>
      </c>
      <c r="Q367">
        <v>3965</v>
      </c>
      <c r="R367">
        <v>8676</v>
      </c>
      <c r="S367">
        <v>1529</v>
      </c>
      <c r="T367">
        <v>1507</v>
      </c>
      <c r="U367">
        <v>0</v>
      </c>
      <c r="V367">
        <v>3965</v>
      </c>
      <c r="W367">
        <v>8676</v>
      </c>
      <c r="X367">
        <v>384</v>
      </c>
      <c r="Y367">
        <v>0</v>
      </c>
    </row>
    <row r="368" spans="1:25" x14ac:dyDescent="0.3">
      <c r="A368">
        <v>367</v>
      </c>
      <c r="B368">
        <v>50000</v>
      </c>
      <c r="C368">
        <v>2</v>
      </c>
      <c r="D368">
        <v>2</v>
      </c>
      <c r="E368">
        <v>1</v>
      </c>
      <c r="F368">
        <v>61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47166</v>
      </c>
      <c r="N368">
        <v>49396</v>
      </c>
      <c r="O368">
        <v>50476</v>
      </c>
      <c r="P368">
        <v>23319</v>
      </c>
      <c r="Q368">
        <v>23171</v>
      </c>
      <c r="R368">
        <v>24774</v>
      </c>
      <c r="S368">
        <v>3000</v>
      </c>
      <c r="T368">
        <v>2237</v>
      </c>
      <c r="U368">
        <v>975</v>
      </c>
      <c r="V368">
        <v>1000</v>
      </c>
      <c r="W368">
        <v>2000</v>
      </c>
      <c r="X368">
        <v>1039</v>
      </c>
      <c r="Y368">
        <v>0</v>
      </c>
    </row>
    <row r="369" spans="1:25" x14ac:dyDescent="0.3">
      <c r="A369">
        <v>368</v>
      </c>
      <c r="B369">
        <v>10000</v>
      </c>
      <c r="C369">
        <v>1</v>
      </c>
      <c r="D369">
        <v>2</v>
      </c>
      <c r="E369">
        <v>2</v>
      </c>
      <c r="F369">
        <v>24</v>
      </c>
      <c r="G369">
        <v>-1</v>
      </c>
      <c r="H369">
        <v>2</v>
      </c>
      <c r="I369">
        <v>2</v>
      </c>
      <c r="J369">
        <v>2</v>
      </c>
      <c r="K369">
        <v>0</v>
      </c>
      <c r="L369">
        <v>0</v>
      </c>
      <c r="M369">
        <v>2887</v>
      </c>
      <c r="N369">
        <v>1923</v>
      </c>
      <c r="O369">
        <v>2989</v>
      </c>
      <c r="P369">
        <v>2813</v>
      </c>
      <c r="Q369">
        <v>2008</v>
      </c>
      <c r="R369">
        <v>2132</v>
      </c>
      <c r="S369">
        <v>0</v>
      </c>
      <c r="T369">
        <v>1500</v>
      </c>
      <c r="U369">
        <v>0</v>
      </c>
      <c r="V369">
        <v>0</v>
      </c>
      <c r="W369">
        <v>150</v>
      </c>
      <c r="X369">
        <v>0</v>
      </c>
      <c r="Y369">
        <v>0</v>
      </c>
    </row>
    <row r="370" spans="1:25" x14ac:dyDescent="0.3">
      <c r="A370">
        <v>369</v>
      </c>
      <c r="B370">
        <v>300000</v>
      </c>
      <c r="C370">
        <v>1</v>
      </c>
      <c r="D370">
        <v>1</v>
      </c>
      <c r="E370">
        <v>1</v>
      </c>
      <c r="F370">
        <v>40</v>
      </c>
      <c r="G370">
        <v>1</v>
      </c>
      <c r="H370">
        <v>-2</v>
      </c>
      <c r="I370">
        <v>-2</v>
      </c>
      <c r="J370">
        <v>-2</v>
      </c>
      <c r="K370">
        <v>-2</v>
      </c>
      <c r="L370">
        <v>-2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</row>
    <row r="371" spans="1:25" x14ac:dyDescent="0.3">
      <c r="A371">
        <v>370</v>
      </c>
      <c r="B371">
        <v>20000</v>
      </c>
      <c r="C371">
        <v>2</v>
      </c>
      <c r="D371">
        <v>2</v>
      </c>
      <c r="E371">
        <v>1</v>
      </c>
      <c r="F371">
        <v>32</v>
      </c>
      <c r="G371">
        <v>3</v>
      </c>
      <c r="H371">
        <v>2</v>
      </c>
      <c r="I371">
        <v>0</v>
      </c>
      <c r="J371">
        <v>0</v>
      </c>
      <c r="K371">
        <v>0</v>
      </c>
      <c r="L371">
        <v>0</v>
      </c>
      <c r="M371">
        <v>20631</v>
      </c>
      <c r="N371">
        <v>20010</v>
      </c>
      <c r="O371">
        <v>19703</v>
      </c>
      <c r="P371">
        <v>11084</v>
      </c>
      <c r="Q371">
        <v>10918</v>
      </c>
      <c r="R371">
        <v>10985</v>
      </c>
      <c r="S371">
        <v>0</v>
      </c>
      <c r="T371">
        <v>1168</v>
      </c>
      <c r="U371">
        <v>384</v>
      </c>
      <c r="V371">
        <v>390</v>
      </c>
      <c r="W371">
        <v>632</v>
      </c>
      <c r="X371">
        <v>616</v>
      </c>
      <c r="Y371">
        <v>1</v>
      </c>
    </row>
    <row r="372" spans="1:25" x14ac:dyDescent="0.3">
      <c r="A372">
        <v>371</v>
      </c>
      <c r="B372">
        <v>180000</v>
      </c>
      <c r="C372">
        <v>1</v>
      </c>
      <c r="D372">
        <v>2</v>
      </c>
      <c r="E372">
        <v>1</v>
      </c>
      <c r="F372">
        <v>36</v>
      </c>
      <c r="G372">
        <v>2</v>
      </c>
      <c r="H372">
        <v>2</v>
      </c>
      <c r="I372">
        <v>-2</v>
      </c>
      <c r="J372">
        <v>-2</v>
      </c>
      <c r="K372">
        <v>-2</v>
      </c>
      <c r="L372">
        <v>-2</v>
      </c>
      <c r="M372">
        <v>83538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</row>
    <row r="373" spans="1:25" x14ac:dyDescent="0.3">
      <c r="A373">
        <v>372</v>
      </c>
      <c r="B373">
        <v>160000</v>
      </c>
      <c r="C373">
        <v>1</v>
      </c>
      <c r="D373">
        <v>1</v>
      </c>
      <c r="E373">
        <v>2</v>
      </c>
      <c r="F373">
        <v>30</v>
      </c>
      <c r="G373">
        <v>-1</v>
      </c>
      <c r="H373">
        <v>-1</v>
      </c>
      <c r="I373">
        <v>-1</v>
      </c>
      <c r="J373">
        <v>-1</v>
      </c>
      <c r="K373">
        <v>-1</v>
      </c>
      <c r="L373">
        <v>-1</v>
      </c>
      <c r="M373">
        <v>99</v>
      </c>
      <c r="N373">
        <v>2977</v>
      </c>
      <c r="O373">
        <v>15086</v>
      </c>
      <c r="P373">
        <v>8578</v>
      </c>
      <c r="Q373">
        <v>13028</v>
      </c>
      <c r="R373">
        <v>21712</v>
      </c>
      <c r="S373">
        <v>2977</v>
      </c>
      <c r="T373">
        <v>15086</v>
      </c>
      <c r="U373">
        <v>9123</v>
      </c>
      <c r="V373">
        <v>13028</v>
      </c>
      <c r="W373">
        <v>29712</v>
      </c>
      <c r="X373">
        <v>50000</v>
      </c>
      <c r="Y373">
        <v>0</v>
      </c>
    </row>
    <row r="374" spans="1:25" x14ac:dyDescent="0.3">
      <c r="A374">
        <v>373</v>
      </c>
      <c r="B374">
        <v>90000</v>
      </c>
      <c r="C374">
        <v>2</v>
      </c>
      <c r="D374">
        <v>1</v>
      </c>
      <c r="E374">
        <v>2</v>
      </c>
      <c r="F374">
        <v>34</v>
      </c>
      <c r="G374">
        <v>0</v>
      </c>
      <c r="H374">
        <v>0</v>
      </c>
      <c r="I374">
        <v>0</v>
      </c>
      <c r="J374">
        <v>2</v>
      </c>
      <c r="K374">
        <v>2</v>
      </c>
      <c r="L374">
        <v>2</v>
      </c>
      <c r="M374">
        <v>34302</v>
      </c>
      <c r="N374">
        <v>35089</v>
      </c>
      <c r="O374">
        <v>43449</v>
      </c>
      <c r="P374">
        <v>42451</v>
      </c>
      <c r="Q374">
        <v>49718</v>
      </c>
      <c r="R374">
        <v>48767</v>
      </c>
      <c r="S374">
        <v>1640</v>
      </c>
      <c r="T374">
        <v>9000</v>
      </c>
      <c r="U374">
        <v>0</v>
      </c>
      <c r="V374">
        <v>8000</v>
      </c>
      <c r="W374">
        <v>0</v>
      </c>
      <c r="X374">
        <v>2000</v>
      </c>
      <c r="Y374">
        <v>0</v>
      </c>
    </row>
    <row r="375" spans="1:25" x14ac:dyDescent="0.3">
      <c r="A375">
        <v>374</v>
      </c>
      <c r="B375">
        <v>30000</v>
      </c>
      <c r="C375">
        <v>1</v>
      </c>
      <c r="D375">
        <v>3</v>
      </c>
      <c r="E375">
        <v>3</v>
      </c>
      <c r="F375">
        <v>54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22987</v>
      </c>
      <c r="N375">
        <v>22298</v>
      </c>
      <c r="O375">
        <v>22352</v>
      </c>
      <c r="P375">
        <v>23221</v>
      </c>
      <c r="Q375">
        <v>24339</v>
      </c>
      <c r="R375">
        <v>25943</v>
      </c>
      <c r="S375">
        <v>2500</v>
      </c>
      <c r="T375">
        <v>2000</v>
      </c>
      <c r="U375">
        <v>1500</v>
      </c>
      <c r="V375">
        <v>4000</v>
      </c>
      <c r="W375">
        <v>2000</v>
      </c>
      <c r="X375">
        <v>0</v>
      </c>
      <c r="Y375">
        <v>0</v>
      </c>
    </row>
    <row r="376" spans="1:25" x14ac:dyDescent="0.3">
      <c r="A376">
        <v>375</v>
      </c>
      <c r="B376">
        <v>180000</v>
      </c>
      <c r="C376">
        <v>1</v>
      </c>
      <c r="D376">
        <v>1</v>
      </c>
      <c r="E376">
        <v>1</v>
      </c>
      <c r="F376">
        <v>46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173267</v>
      </c>
      <c r="N376">
        <v>174590</v>
      </c>
      <c r="O376">
        <v>175233</v>
      </c>
      <c r="P376">
        <v>106288</v>
      </c>
      <c r="Q376">
        <v>28089</v>
      </c>
      <c r="R376">
        <v>178719</v>
      </c>
      <c r="S376">
        <v>8100</v>
      </c>
      <c r="T376">
        <v>5299</v>
      </c>
      <c r="U376">
        <v>3305</v>
      </c>
      <c r="V376">
        <v>5040</v>
      </c>
      <c r="W376">
        <v>160719</v>
      </c>
      <c r="X376">
        <v>7000</v>
      </c>
      <c r="Y376">
        <v>0</v>
      </c>
    </row>
    <row r="377" spans="1:25" x14ac:dyDescent="0.3">
      <c r="A377">
        <v>376</v>
      </c>
      <c r="B377">
        <v>30000</v>
      </c>
      <c r="C377">
        <v>1</v>
      </c>
      <c r="D377">
        <v>3</v>
      </c>
      <c r="E377">
        <v>1</v>
      </c>
      <c r="F377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19143</v>
      </c>
      <c r="N377">
        <v>20168</v>
      </c>
      <c r="O377">
        <v>21229</v>
      </c>
      <c r="P377">
        <v>21495</v>
      </c>
      <c r="Q377">
        <v>21800</v>
      </c>
      <c r="R377">
        <v>22437</v>
      </c>
      <c r="S377">
        <v>1640</v>
      </c>
      <c r="T377">
        <v>1700</v>
      </c>
      <c r="U377">
        <v>915</v>
      </c>
      <c r="V377">
        <v>800</v>
      </c>
      <c r="W377">
        <v>1000</v>
      </c>
      <c r="X377">
        <v>1961</v>
      </c>
      <c r="Y377">
        <v>0</v>
      </c>
    </row>
    <row r="378" spans="1:25" x14ac:dyDescent="0.3">
      <c r="A378">
        <v>377</v>
      </c>
      <c r="B378">
        <v>30000</v>
      </c>
      <c r="C378">
        <v>1</v>
      </c>
      <c r="D378">
        <v>2</v>
      </c>
      <c r="E378">
        <v>1</v>
      </c>
      <c r="F378">
        <v>43</v>
      </c>
      <c r="G378">
        <v>1</v>
      </c>
      <c r="H378">
        <v>2</v>
      </c>
      <c r="I378">
        <v>0</v>
      </c>
      <c r="J378">
        <v>0</v>
      </c>
      <c r="K378">
        <v>0</v>
      </c>
      <c r="L378">
        <v>2</v>
      </c>
      <c r="M378">
        <v>20518</v>
      </c>
      <c r="N378">
        <v>19901</v>
      </c>
      <c r="O378">
        <v>20905</v>
      </c>
      <c r="P378">
        <v>21509</v>
      </c>
      <c r="Q378">
        <v>25183</v>
      </c>
      <c r="R378">
        <v>24242</v>
      </c>
      <c r="S378">
        <v>0</v>
      </c>
      <c r="T378">
        <v>1342</v>
      </c>
      <c r="U378">
        <v>946</v>
      </c>
      <c r="V378">
        <v>4200</v>
      </c>
      <c r="W378">
        <v>0</v>
      </c>
      <c r="X378">
        <v>1000</v>
      </c>
      <c r="Y378">
        <v>0</v>
      </c>
    </row>
    <row r="379" spans="1:25" x14ac:dyDescent="0.3">
      <c r="A379">
        <v>378</v>
      </c>
      <c r="B379">
        <v>140000</v>
      </c>
      <c r="C379">
        <v>2</v>
      </c>
      <c r="D379">
        <v>1</v>
      </c>
      <c r="E379">
        <v>2</v>
      </c>
      <c r="F379">
        <v>28</v>
      </c>
      <c r="G379">
        <v>-1</v>
      </c>
      <c r="H379">
        <v>0</v>
      </c>
      <c r="I379">
        <v>0</v>
      </c>
      <c r="J379">
        <v>-1</v>
      </c>
      <c r="K379">
        <v>-1</v>
      </c>
      <c r="L379">
        <v>-1</v>
      </c>
      <c r="M379">
        <v>10833</v>
      </c>
      <c r="N379">
        <v>14446</v>
      </c>
      <c r="O379">
        <v>7609</v>
      </c>
      <c r="P379">
        <v>4991</v>
      </c>
      <c r="Q379">
        <v>3400</v>
      </c>
      <c r="R379">
        <v>3745</v>
      </c>
      <c r="S379">
        <v>14000</v>
      </c>
      <c r="T379">
        <v>3855</v>
      </c>
      <c r="U379">
        <v>4991</v>
      </c>
      <c r="V379">
        <v>3600</v>
      </c>
      <c r="W379">
        <v>5500</v>
      </c>
      <c r="X379">
        <v>4000</v>
      </c>
      <c r="Y379">
        <v>0</v>
      </c>
    </row>
    <row r="380" spans="1:25" x14ac:dyDescent="0.3">
      <c r="A380">
        <v>379</v>
      </c>
      <c r="B380">
        <v>210000</v>
      </c>
      <c r="C380">
        <v>1</v>
      </c>
      <c r="D380">
        <v>1</v>
      </c>
      <c r="E380">
        <v>2</v>
      </c>
      <c r="F380">
        <v>30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69937</v>
      </c>
      <c r="N380">
        <v>71906</v>
      </c>
      <c r="O380">
        <v>43308</v>
      </c>
      <c r="P380">
        <v>44584</v>
      </c>
      <c r="Q380">
        <v>47842</v>
      </c>
      <c r="R380">
        <v>49888</v>
      </c>
      <c r="S380">
        <v>3500</v>
      </c>
      <c r="T380">
        <v>3000</v>
      </c>
      <c r="U380">
        <v>2000</v>
      </c>
      <c r="V380">
        <v>4000</v>
      </c>
      <c r="W380">
        <v>3000</v>
      </c>
      <c r="X380">
        <v>10000</v>
      </c>
      <c r="Y380">
        <v>0</v>
      </c>
    </row>
    <row r="381" spans="1:25" x14ac:dyDescent="0.3">
      <c r="A381">
        <v>380</v>
      </c>
      <c r="B381">
        <v>50000</v>
      </c>
      <c r="C381">
        <v>1</v>
      </c>
      <c r="D381">
        <v>2</v>
      </c>
      <c r="E381">
        <v>2</v>
      </c>
      <c r="F381">
        <v>31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20526</v>
      </c>
      <c r="N381">
        <v>15129</v>
      </c>
      <c r="O381">
        <v>15093</v>
      </c>
      <c r="P381">
        <v>9577</v>
      </c>
      <c r="Q381">
        <v>11139</v>
      </c>
      <c r="R381">
        <v>12487</v>
      </c>
      <c r="S381">
        <v>2000</v>
      </c>
      <c r="T381">
        <v>3000</v>
      </c>
      <c r="U381">
        <v>327</v>
      </c>
      <c r="V381">
        <v>3000</v>
      </c>
      <c r="W381">
        <v>3000</v>
      </c>
      <c r="X381">
        <v>5000</v>
      </c>
      <c r="Y381">
        <v>1</v>
      </c>
    </row>
    <row r="382" spans="1:25" x14ac:dyDescent="0.3">
      <c r="A382">
        <v>381</v>
      </c>
      <c r="B382">
        <v>130000</v>
      </c>
      <c r="C382">
        <v>2</v>
      </c>
      <c r="D382">
        <v>2</v>
      </c>
      <c r="E382">
        <v>2</v>
      </c>
      <c r="F382">
        <v>29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89055</v>
      </c>
      <c r="N382">
        <v>90780</v>
      </c>
      <c r="O382">
        <v>70947</v>
      </c>
      <c r="P382">
        <v>72367</v>
      </c>
      <c r="Q382">
        <v>73875</v>
      </c>
      <c r="R382">
        <v>75355</v>
      </c>
      <c r="S382">
        <v>4200</v>
      </c>
      <c r="T382">
        <v>2575</v>
      </c>
      <c r="U382">
        <v>2600</v>
      </c>
      <c r="V382">
        <v>2674</v>
      </c>
      <c r="W382">
        <v>2701</v>
      </c>
      <c r="X382">
        <v>5750</v>
      </c>
      <c r="Y382">
        <v>0</v>
      </c>
    </row>
    <row r="383" spans="1:25" x14ac:dyDescent="0.3">
      <c r="A383">
        <v>382</v>
      </c>
      <c r="B383">
        <v>50000</v>
      </c>
      <c r="C383">
        <v>2</v>
      </c>
      <c r="D383">
        <v>2</v>
      </c>
      <c r="E383">
        <v>1</v>
      </c>
      <c r="F383">
        <v>37</v>
      </c>
      <c r="G383">
        <v>2</v>
      </c>
      <c r="H383">
        <v>2</v>
      </c>
      <c r="I383">
        <v>2</v>
      </c>
      <c r="J383">
        <v>0</v>
      </c>
      <c r="K383">
        <v>0</v>
      </c>
      <c r="L383">
        <v>0</v>
      </c>
      <c r="M383">
        <v>1894</v>
      </c>
      <c r="N383">
        <v>3200</v>
      </c>
      <c r="O383">
        <v>3381</v>
      </c>
      <c r="P383">
        <v>3559</v>
      </c>
      <c r="Q383">
        <v>1948</v>
      </c>
      <c r="R383">
        <v>2415</v>
      </c>
      <c r="S383">
        <v>1500</v>
      </c>
      <c r="T383">
        <v>400</v>
      </c>
      <c r="U383">
        <v>200</v>
      </c>
      <c r="V383">
        <v>500</v>
      </c>
      <c r="W383">
        <v>500</v>
      </c>
      <c r="X383">
        <v>400</v>
      </c>
      <c r="Y383">
        <v>1</v>
      </c>
    </row>
    <row r="384" spans="1:25" x14ac:dyDescent="0.3">
      <c r="A384">
        <v>383</v>
      </c>
      <c r="B384">
        <v>140000</v>
      </c>
      <c r="C384">
        <v>1</v>
      </c>
      <c r="D384">
        <v>3</v>
      </c>
      <c r="E384">
        <v>1</v>
      </c>
      <c r="F384">
        <v>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100594</v>
      </c>
      <c r="N384">
        <v>78372</v>
      </c>
      <c r="O384">
        <v>91502</v>
      </c>
      <c r="P384">
        <v>90859</v>
      </c>
      <c r="Q384">
        <v>88616</v>
      </c>
      <c r="R384">
        <v>88450</v>
      </c>
      <c r="S384">
        <v>3000</v>
      </c>
      <c r="T384">
        <v>30000</v>
      </c>
      <c r="U384">
        <v>4000</v>
      </c>
      <c r="V384">
        <v>4000</v>
      </c>
      <c r="W384">
        <v>3400</v>
      </c>
      <c r="X384">
        <v>3300</v>
      </c>
      <c r="Y384">
        <v>0</v>
      </c>
    </row>
    <row r="385" spans="1:25" x14ac:dyDescent="0.3">
      <c r="A385">
        <v>384</v>
      </c>
      <c r="B385">
        <v>170000</v>
      </c>
      <c r="C385">
        <v>2</v>
      </c>
      <c r="D385">
        <v>2</v>
      </c>
      <c r="E385">
        <v>2</v>
      </c>
      <c r="F385">
        <v>28</v>
      </c>
      <c r="G385">
        <v>-1</v>
      </c>
      <c r="H385">
        <v>0</v>
      </c>
      <c r="I385">
        <v>0</v>
      </c>
      <c r="J385">
        <v>2</v>
      </c>
      <c r="K385">
        <v>0</v>
      </c>
      <c r="L385">
        <v>0</v>
      </c>
      <c r="M385">
        <v>2948</v>
      </c>
      <c r="N385">
        <v>3848</v>
      </c>
      <c r="O385">
        <v>5646</v>
      </c>
      <c r="P385">
        <v>5464</v>
      </c>
      <c r="Q385">
        <v>5577</v>
      </c>
      <c r="R385">
        <v>5889</v>
      </c>
      <c r="S385">
        <v>1105</v>
      </c>
      <c r="T385">
        <v>1903</v>
      </c>
      <c r="U385">
        <v>0</v>
      </c>
      <c r="V385">
        <v>296</v>
      </c>
      <c r="W385">
        <v>500</v>
      </c>
      <c r="X385">
        <v>95</v>
      </c>
      <c r="Y385">
        <v>1</v>
      </c>
    </row>
    <row r="386" spans="1:25" x14ac:dyDescent="0.3">
      <c r="A386">
        <v>385</v>
      </c>
      <c r="B386">
        <v>80000</v>
      </c>
      <c r="C386">
        <v>1</v>
      </c>
      <c r="D386">
        <v>2</v>
      </c>
      <c r="E386">
        <v>2</v>
      </c>
      <c r="F386">
        <v>25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-2</v>
      </c>
      <c r="M386">
        <v>22619</v>
      </c>
      <c r="N386">
        <v>31429</v>
      </c>
      <c r="O386">
        <v>27923</v>
      </c>
      <c r="P386">
        <v>25280</v>
      </c>
      <c r="Q386">
        <v>0</v>
      </c>
      <c r="R386">
        <v>0</v>
      </c>
      <c r="S386">
        <v>10010</v>
      </c>
      <c r="T386">
        <v>1209</v>
      </c>
      <c r="U386">
        <v>579</v>
      </c>
      <c r="V386">
        <v>0</v>
      </c>
      <c r="W386">
        <v>0</v>
      </c>
      <c r="X386">
        <v>6305</v>
      </c>
      <c r="Y386">
        <v>0</v>
      </c>
    </row>
    <row r="387" spans="1:25" x14ac:dyDescent="0.3">
      <c r="A387">
        <v>386</v>
      </c>
      <c r="B387">
        <v>410000</v>
      </c>
      <c r="C387">
        <v>2</v>
      </c>
      <c r="D387">
        <v>5</v>
      </c>
      <c r="E387">
        <v>1</v>
      </c>
      <c r="F387">
        <v>42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338106</v>
      </c>
      <c r="N387">
        <v>342904</v>
      </c>
      <c r="O387">
        <v>344464</v>
      </c>
      <c r="P387">
        <v>240865</v>
      </c>
      <c r="Q387">
        <v>234939</v>
      </c>
      <c r="R387">
        <v>240176</v>
      </c>
      <c r="S387">
        <v>15000</v>
      </c>
      <c r="T387">
        <v>14000</v>
      </c>
      <c r="U387">
        <v>9000</v>
      </c>
      <c r="V387">
        <v>8500</v>
      </c>
      <c r="W387">
        <v>9000</v>
      </c>
      <c r="X387">
        <v>8300</v>
      </c>
      <c r="Y387">
        <v>0</v>
      </c>
    </row>
    <row r="388" spans="1:25" x14ac:dyDescent="0.3">
      <c r="A388">
        <v>387</v>
      </c>
      <c r="B388">
        <v>80000</v>
      </c>
      <c r="C388">
        <v>2</v>
      </c>
      <c r="D388">
        <v>1</v>
      </c>
      <c r="E388">
        <v>2</v>
      </c>
      <c r="F388">
        <v>29</v>
      </c>
      <c r="G388">
        <v>1</v>
      </c>
      <c r="H388">
        <v>-1</v>
      </c>
      <c r="I388">
        <v>-1</v>
      </c>
      <c r="J388">
        <v>-2</v>
      </c>
      <c r="K388">
        <v>-2</v>
      </c>
      <c r="L388">
        <v>-2</v>
      </c>
      <c r="M388">
        <v>0</v>
      </c>
      <c r="N388">
        <v>80000</v>
      </c>
      <c r="O388">
        <v>0</v>
      </c>
      <c r="P388">
        <v>0</v>
      </c>
      <c r="Q388">
        <v>0</v>
      </c>
      <c r="R388">
        <v>0</v>
      </c>
      <c r="S388">
        <v>80000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</row>
    <row r="389" spans="1:25" x14ac:dyDescent="0.3">
      <c r="A389">
        <v>388</v>
      </c>
      <c r="B389">
        <v>80000</v>
      </c>
      <c r="C389">
        <v>1</v>
      </c>
      <c r="D389">
        <v>3</v>
      </c>
      <c r="E389">
        <v>1</v>
      </c>
      <c r="F389">
        <v>73</v>
      </c>
      <c r="G389">
        <v>-1</v>
      </c>
      <c r="H389">
        <v>0</v>
      </c>
      <c r="I389">
        <v>0</v>
      </c>
      <c r="J389">
        <v>2</v>
      </c>
      <c r="K389">
        <v>2</v>
      </c>
      <c r="L389">
        <v>2</v>
      </c>
      <c r="M389">
        <v>63144</v>
      </c>
      <c r="N389">
        <v>65631</v>
      </c>
      <c r="O389">
        <v>68875</v>
      </c>
      <c r="P389">
        <v>70646</v>
      </c>
      <c r="Q389">
        <v>72870</v>
      </c>
      <c r="R389">
        <v>75018</v>
      </c>
      <c r="S389">
        <v>3500</v>
      </c>
      <c r="T389">
        <v>4330</v>
      </c>
      <c r="U389">
        <v>3500</v>
      </c>
      <c r="V389">
        <v>3500</v>
      </c>
      <c r="W389">
        <v>3500</v>
      </c>
      <c r="X389">
        <v>5100</v>
      </c>
      <c r="Y389">
        <v>1</v>
      </c>
    </row>
    <row r="390" spans="1:25" x14ac:dyDescent="0.3">
      <c r="A390">
        <v>389</v>
      </c>
      <c r="B390">
        <v>150000</v>
      </c>
      <c r="C390">
        <v>1</v>
      </c>
      <c r="D390">
        <v>2</v>
      </c>
      <c r="E390">
        <v>1</v>
      </c>
      <c r="F390">
        <v>43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153249</v>
      </c>
      <c r="N390">
        <v>154049</v>
      </c>
      <c r="O390">
        <v>156523</v>
      </c>
      <c r="P390">
        <v>159653</v>
      </c>
      <c r="Q390">
        <v>162866</v>
      </c>
      <c r="R390">
        <v>157759</v>
      </c>
      <c r="S390">
        <v>7900</v>
      </c>
      <c r="T390">
        <v>6500</v>
      </c>
      <c r="U390">
        <v>5700</v>
      </c>
      <c r="V390">
        <v>5700</v>
      </c>
      <c r="W390">
        <v>5700</v>
      </c>
      <c r="X390">
        <v>5334</v>
      </c>
      <c r="Y390">
        <v>0</v>
      </c>
    </row>
    <row r="391" spans="1:25" x14ac:dyDescent="0.3">
      <c r="A391">
        <v>390</v>
      </c>
      <c r="B391">
        <v>260000</v>
      </c>
      <c r="C391">
        <v>1</v>
      </c>
      <c r="D391">
        <v>1</v>
      </c>
      <c r="E391">
        <v>1</v>
      </c>
      <c r="F391">
        <v>30</v>
      </c>
      <c r="G391">
        <v>-1</v>
      </c>
      <c r="H391">
        <v>-1</v>
      </c>
      <c r="I391">
        <v>-1</v>
      </c>
      <c r="J391">
        <v>0</v>
      </c>
      <c r="K391">
        <v>0</v>
      </c>
      <c r="L391">
        <v>-1</v>
      </c>
      <c r="M391">
        <v>1131</v>
      </c>
      <c r="N391">
        <v>291</v>
      </c>
      <c r="O391">
        <v>582</v>
      </c>
      <c r="P391">
        <v>291</v>
      </c>
      <c r="Q391">
        <v>0</v>
      </c>
      <c r="R391">
        <v>291</v>
      </c>
      <c r="S391">
        <v>291</v>
      </c>
      <c r="T391">
        <v>582</v>
      </c>
      <c r="U391">
        <v>0</v>
      </c>
      <c r="V391">
        <v>0</v>
      </c>
      <c r="W391">
        <v>130291</v>
      </c>
      <c r="X391">
        <v>651</v>
      </c>
      <c r="Y391">
        <v>1</v>
      </c>
    </row>
    <row r="392" spans="1:25" x14ac:dyDescent="0.3">
      <c r="A392">
        <v>391</v>
      </c>
      <c r="B392">
        <v>350000</v>
      </c>
      <c r="C392">
        <v>1</v>
      </c>
      <c r="D392">
        <v>1</v>
      </c>
      <c r="E392">
        <v>1</v>
      </c>
      <c r="F392">
        <v>38</v>
      </c>
      <c r="G392">
        <v>1</v>
      </c>
      <c r="H392">
        <v>-2</v>
      </c>
      <c r="I392">
        <v>-2</v>
      </c>
      <c r="J392">
        <v>-2</v>
      </c>
      <c r="K392">
        <v>-2</v>
      </c>
      <c r="L392">
        <v>-2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</row>
    <row r="393" spans="1:25" x14ac:dyDescent="0.3">
      <c r="A393">
        <v>392</v>
      </c>
      <c r="B393">
        <v>280000</v>
      </c>
      <c r="C393">
        <v>2</v>
      </c>
      <c r="D393">
        <v>2</v>
      </c>
      <c r="E393">
        <v>1</v>
      </c>
      <c r="F393">
        <v>39</v>
      </c>
      <c r="G393">
        <v>1</v>
      </c>
      <c r="H393">
        <v>-1</v>
      </c>
      <c r="I393">
        <v>0</v>
      </c>
      <c r="J393">
        <v>0</v>
      </c>
      <c r="K393">
        <v>0</v>
      </c>
      <c r="L393">
        <v>0</v>
      </c>
      <c r="M393">
        <v>-1312</v>
      </c>
      <c r="N393">
        <v>35918</v>
      </c>
      <c r="O393">
        <v>37297</v>
      </c>
      <c r="P393">
        <v>37154</v>
      </c>
      <c r="Q393">
        <v>32581</v>
      </c>
      <c r="R393">
        <v>33316</v>
      </c>
      <c r="S393">
        <v>38621</v>
      </c>
      <c r="T393">
        <v>2000</v>
      </c>
      <c r="U393">
        <v>1130</v>
      </c>
      <c r="V393">
        <v>922</v>
      </c>
      <c r="W393">
        <v>1011</v>
      </c>
      <c r="X393">
        <v>5000</v>
      </c>
      <c r="Y393">
        <v>1</v>
      </c>
    </row>
    <row r="394" spans="1:25" x14ac:dyDescent="0.3">
      <c r="A394">
        <v>393</v>
      </c>
      <c r="B394">
        <v>310000</v>
      </c>
      <c r="C394">
        <v>1</v>
      </c>
      <c r="D394">
        <v>2</v>
      </c>
      <c r="E394">
        <v>1</v>
      </c>
      <c r="F394">
        <v>44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103797</v>
      </c>
      <c r="N394">
        <v>91989</v>
      </c>
      <c r="O394">
        <v>87720</v>
      </c>
      <c r="P394">
        <v>76218</v>
      </c>
      <c r="Q394">
        <v>72090</v>
      </c>
      <c r="R394">
        <v>71620</v>
      </c>
      <c r="S394">
        <v>4400</v>
      </c>
      <c r="T394">
        <v>4013</v>
      </c>
      <c r="U394">
        <v>3011</v>
      </c>
      <c r="V394">
        <v>3000</v>
      </c>
      <c r="W394">
        <v>3001</v>
      </c>
      <c r="X394">
        <v>2653</v>
      </c>
      <c r="Y394">
        <v>0</v>
      </c>
    </row>
    <row r="395" spans="1:25" x14ac:dyDescent="0.3">
      <c r="A395">
        <v>394</v>
      </c>
      <c r="B395">
        <v>140000</v>
      </c>
      <c r="C395">
        <v>2</v>
      </c>
      <c r="D395">
        <v>2</v>
      </c>
      <c r="E395">
        <v>2</v>
      </c>
      <c r="F395">
        <v>29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20110</v>
      </c>
      <c r="N395">
        <v>17102</v>
      </c>
      <c r="O395">
        <v>18862</v>
      </c>
      <c r="P395">
        <v>19996</v>
      </c>
      <c r="Q395">
        <v>21214</v>
      </c>
      <c r="R395">
        <v>21085</v>
      </c>
      <c r="S395">
        <v>3000</v>
      </c>
      <c r="T395">
        <v>3000</v>
      </c>
      <c r="U395">
        <v>3000</v>
      </c>
      <c r="V395">
        <v>3500</v>
      </c>
      <c r="W395">
        <v>2000</v>
      </c>
      <c r="X395">
        <v>2000</v>
      </c>
      <c r="Y395">
        <v>0</v>
      </c>
    </row>
    <row r="396" spans="1:25" x14ac:dyDescent="0.3">
      <c r="A396">
        <v>395</v>
      </c>
      <c r="B396">
        <v>360000</v>
      </c>
      <c r="C396">
        <v>1</v>
      </c>
      <c r="D396">
        <v>1</v>
      </c>
      <c r="E396">
        <v>1</v>
      </c>
      <c r="F396">
        <v>51</v>
      </c>
      <c r="G396">
        <v>-1</v>
      </c>
      <c r="H396">
        <v>-1</v>
      </c>
      <c r="I396">
        <v>-1</v>
      </c>
      <c r="J396">
        <v>-2</v>
      </c>
      <c r="K396">
        <v>-2</v>
      </c>
      <c r="L396">
        <v>-2</v>
      </c>
      <c r="M396">
        <v>38000</v>
      </c>
      <c r="N396">
        <v>25000</v>
      </c>
      <c r="O396">
        <v>0</v>
      </c>
      <c r="P396">
        <v>0</v>
      </c>
      <c r="Q396">
        <v>0</v>
      </c>
      <c r="R396">
        <v>0</v>
      </c>
      <c r="S396">
        <v>25000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</row>
    <row r="397" spans="1:25" x14ac:dyDescent="0.3">
      <c r="A397">
        <v>396</v>
      </c>
      <c r="B397">
        <v>140000</v>
      </c>
      <c r="C397">
        <v>2</v>
      </c>
      <c r="D397">
        <v>1</v>
      </c>
      <c r="E397">
        <v>2</v>
      </c>
      <c r="F397">
        <v>27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142428</v>
      </c>
      <c r="N397">
        <v>144105</v>
      </c>
      <c r="O397">
        <v>143952</v>
      </c>
      <c r="P397">
        <v>142590</v>
      </c>
      <c r="Q397">
        <v>142650</v>
      </c>
      <c r="R397">
        <v>142620</v>
      </c>
      <c r="S397">
        <v>10000</v>
      </c>
      <c r="T397">
        <v>10000</v>
      </c>
      <c r="U397">
        <v>6000</v>
      </c>
      <c r="V397">
        <v>6000</v>
      </c>
      <c r="W397">
        <v>6000</v>
      </c>
      <c r="X397">
        <v>5600</v>
      </c>
      <c r="Y397">
        <v>0</v>
      </c>
    </row>
    <row r="398" spans="1:25" x14ac:dyDescent="0.3">
      <c r="A398">
        <v>397</v>
      </c>
      <c r="B398">
        <v>100000</v>
      </c>
      <c r="C398">
        <v>1</v>
      </c>
      <c r="D398">
        <v>1</v>
      </c>
      <c r="E398">
        <v>2</v>
      </c>
      <c r="F398">
        <v>38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40810</v>
      </c>
      <c r="N398">
        <v>42653</v>
      </c>
      <c r="O398">
        <v>42351</v>
      </c>
      <c r="P398">
        <v>43011</v>
      </c>
      <c r="Q398">
        <v>43011</v>
      </c>
      <c r="R398">
        <v>28947</v>
      </c>
      <c r="S398">
        <v>2502</v>
      </c>
      <c r="T398">
        <v>1200</v>
      </c>
      <c r="U398">
        <v>860</v>
      </c>
      <c r="V398">
        <v>0</v>
      </c>
      <c r="W398">
        <v>579</v>
      </c>
      <c r="X398">
        <v>0</v>
      </c>
      <c r="Y398">
        <v>0</v>
      </c>
    </row>
    <row r="399" spans="1:25" x14ac:dyDescent="0.3">
      <c r="A399">
        <v>398</v>
      </c>
      <c r="B399">
        <v>50000</v>
      </c>
      <c r="C399">
        <v>2</v>
      </c>
      <c r="D399">
        <v>2</v>
      </c>
      <c r="E399">
        <v>2</v>
      </c>
      <c r="F399">
        <v>22</v>
      </c>
      <c r="G399">
        <v>-2</v>
      </c>
      <c r="H399">
        <v>-2</v>
      </c>
      <c r="I399">
        <v>-2</v>
      </c>
      <c r="J399">
        <v>-2</v>
      </c>
      <c r="K399">
        <v>-2</v>
      </c>
      <c r="L399">
        <v>-2</v>
      </c>
      <c r="M399">
        <v>0</v>
      </c>
      <c r="N399">
        <v>0</v>
      </c>
      <c r="O399">
        <v>0</v>
      </c>
      <c r="P399">
        <v>848</v>
      </c>
      <c r="Q399">
        <v>0</v>
      </c>
      <c r="R399">
        <v>632</v>
      </c>
      <c r="S399">
        <v>0</v>
      </c>
      <c r="T399">
        <v>0</v>
      </c>
      <c r="U399">
        <v>848</v>
      </c>
      <c r="V399">
        <v>0</v>
      </c>
      <c r="W399">
        <v>632</v>
      </c>
      <c r="X399">
        <v>0</v>
      </c>
      <c r="Y399">
        <v>0</v>
      </c>
    </row>
    <row r="400" spans="1:25" x14ac:dyDescent="0.3">
      <c r="A400">
        <v>399</v>
      </c>
      <c r="B400">
        <v>210000</v>
      </c>
      <c r="C400">
        <v>2</v>
      </c>
      <c r="D400">
        <v>2</v>
      </c>
      <c r="E400">
        <v>1</v>
      </c>
      <c r="F400">
        <v>30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104701</v>
      </c>
      <c r="N400">
        <v>106134</v>
      </c>
      <c r="O400">
        <v>108423</v>
      </c>
      <c r="P400">
        <v>91143</v>
      </c>
      <c r="Q400">
        <v>82733</v>
      </c>
      <c r="R400">
        <v>74125</v>
      </c>
      <c r="S400">
        <v>4002</v>
      </c>
      <c r="T400">
        <v>5000</v>
      </c>
      <c r="U400">
        <v>3500</v>
      </c>
      <c r="V400">
        <v>3000</v>
      </c>
      <c r="W400">
        <v>2700</v>
      </c>
      <c r="X400">
        <v>5000</v>
      </c>
      <c r="Y400">
        <v>0</v>
      </c>
    </row>
    <row r="401" spans="1:25" x14ac:dyDescent="0.3">
      <c r="A401">
        <v>400</v>
      </c>
      <c r="B401">
        <v>120000</v>
      </c>
      <c r="C401">
        <v>2</v>
      </c>
      <c r="D401">
        <v>2</v>
      </c>
      <c r="E401">
        <v>2</v>
      </c>
      <c r="F401">
        <v>25</v>
      </c>
      <c r="G401">
        <v>2</v>
      </c>
      <c r="H401">
        <v>2</v>
      </c>
      <c r="I401">
        <v>2</v>
      </c>
      <c r="J401">
        <v>2</v>
      </c>
      <c r="K401">
        <v>2</v>
      </c>
      <c r="L401">
        <v>2</v>
      </c>
      <c r="M401">
        <v>120298</v>
      </c>
      <c r="N401">
        <v>120822</v>
      </c>
      <c r="O401">
        <v>109887</v>
      </c>
      <c r="P401">
        <v>116313</v>
      </c>
      <c r="Q401">
        <v>119311</v>
      </c>
      <c r="R401">
        <v>117167</v>
      </c>
      <c r="S401">
        <v>4007</v>
      </c>
      <c r="T401">
        <v>0</v>
      </c>
      <c r="U401">
        <v>8272</v>
      </c>
      <c r="V401">
        <v>5000</v>
      </c>
      <c r="W401">
        <v>0</v>
      </c>
      <c r="X401">
        <v>4400</v>
      </c>
      <c r="Y401">
        <v>0</v>
      </c>
    </row>
    <row r="402" spans="1:25" x14ac:dyDescent="0.3">
      <c r="A402">
        <v>401</v>
      </c>
      <c r="B402">
        <v>240000</v>
      </c>
      <c r="C402">
        <v>1</v>
      </c>
      <c r="D402">
        <v>1</v>
      </c>
      <c r="E402">
        <v>2</v>
      </c>
      <c r="F402">
        <v>29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-1</v>
      </c>
      <c r="M402">
        <v>156362</v>
      </c>
      <c r="N402">
        <v>132280</v>
      </c>
      <c r="O402">
        <v>99174</v>
      </c>
      <c r="P402">
        <v>65372</v>
      </c>
      <c r="Q402">
        <v>28797</v>
      </c>
      <c r="R402">
        <v>184922</v>
      </c>
      <c r="S402">
        <v>5233</v>
      </c>
      <c r="T402">
        <v>3289</v>
      </c>
      <c r="U402">
        <v>2072</v>
      </c>
      <c r="V402">
        <v>3018</v>
      </c>
      <c r="W402">
        <v>184922</v>
      </c>
      <c r="X402">
        <v>6100</v>
      </c>
      <c r="Y402">
        <v>0</v>
      </c>
    </row>
    <row r="403" spans="1:25" x14ac:dyDescent="0.3">
      <c r="A403">
        <v>402</v>
      </c>
      <c r="B403">
        <v>60000</v>
      </c>
      <c r="C403">
        <v>2</v>
      </c>
      <c r="D403">
        <v>3</v>
      </c>
      <c r="E403">
        <v>3</v>
      </c>
      <c r="F403">
        <v>42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41322</v>
      </c>
      <c r="N403">
        <v>29091</v>
      </c>
      <c r="O403">
        <v>28097</v>
      </c>
      <c r="P403">
        <v>28665</v>
      </c>
      <c r="Q403">
        <v>28768</v>
      </c>
      <c r="R403">
        <v>29064</v>
      </c>
      <c r="S403">
        <v>1488</v>
      </c>
      <c r="T403">
        <v>1394</v>
      </c>
      <c r="U403">
        <v>962</v>
      </c>
      <c r="V403">
        <v>1500</v>
      </c>
      <c r="W403">
        <v>2541</v>
      </c>
      <c r="X403">
        <v>2000</v>
      </c>
      <c r="Y403">
        <v>0</v>
      </c>
    </row>
    <row r="404" spans="1:25" x14ac:dyDescent="0.3">
      <c r="A404">
        <v>403</v>
      </c>
      <c r="B404">
        <v>150000</v>
      </c>
      <c r="C404">
        <v>1</v>
      </c>
      <c r="D404">
        <v>1</v>
      </c>
      <c r="E404">
        <v>2</v>
      </c>
      <c r="F404">
        <v>41</v>
      </c>
      <c r="G404">
        <v>-1</v>
      </c>
      <c r="H404">
        <v>-1</v>
      </c>
      <c r="I404">
        <v>-1</v>
      </c>
      <c r="J404">
        <v>-1</v>
      </c>
      <c r="K404">
        <v>-1</v>
      </c>
      <c r="L404">
        <v>2</v>
      </c>
      <c r="M404">
        <v>1464</v>
      </c>
      <c r="N404">
        <v>2084</v>
      </c>
      <c r="O404">
        <v>384</v>
      </c>
      <c r="P404">
        <v>0</v>
      </c>
      <c r="Q404">
        <v>2344</v>
      </c>
      <c r="R404">
        <v>822</v>
      </c>
      <c r="S404">
        <v>2091</v>
      </c>
      <c r="T404">
        <v>384</v>
      </c>
      <c r="U404">
        <v>0</v>
      </c>
      <c r="V404">
        <v>2344</v>
      </c>
      <c r="W404">
        <v>0</v>
      </c>
      <c r="X404">
        <v>472</v>
      </c>
      <c r="Y404">
        <v>1</v>
      </c>
    </row>
    <row r="405" spans="1:25" x14ac:dyDescent="0.3">
      <c r="A405">
        <v>404</v>
      </c>
      <c r="B405">
        <v>30000</v>
      </c>
      <c r="C405">
        <v>1</v>
      </c>
      <c r="D405">
        <v>2</v>
      </c>
      <c r="E405">
        <v>1</v>
      </c>
      <c r="F405">
        <v>48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27879</v>
      </c>
      <c r="N405">
        <v>28870</v>
      </c>
      <c r="O405">
        <v>27806</v>
      </c>
      <c r="P405">
        <v>25142</v>
      </c>
      <c r="Q405">
        <v>25667</v>
      </c>
      <c r="R405">
        <v>26179</v>
      </c>
      <c r="S405">
        <v>1774</v>
      </c>
      <c r="T405">
        <v>1710</v>
      </c>
      <c r="U405">
        <v>1046</v>
      </c>
      <c r="V405">
        <v>1079</v>
      </c>
      <c r="W405">
        <v>1089</v>
      </c>
      <c r="X405">
        <v>2244</v>
      </c>
      <c r="Y405">
        <v>0</v>
      </c>
    </row>
    <row r="406" spans="1:25" x14ac:dyDescent="0.3">
      <c r="A406">
        <v>405</v>
      </c>
      <c r="B406">
        <v>160000</v>
      </c>
      <c r="C406">
        <v>2</v>
      </c>
      <c r="D406">
        <v>1</v>
      </c>
      <c r="E406">
        <v>2</v>
      </c>
      <c r="F406">
        <v>29</v>
      </c>
      <c r="G406">
        <v>2</v>
      </c>
      <c r="H406">
        <v>2</v>
      </c>
      <c r="I406">
        <v>2</v>
      </c>
      <c r="J406">
        <v>2</v>
      </c>
      <c r="K406">
        <v>2</v>
      </c>
      <c r="L406">
        <v>2</v>
      </c>
      <c r="M406">
        <v>160432</v>
      </c>
      <c r="N406">
        <v>163916</v>
      </c>
      <c r="O406">
        <v>159676</v>
      </c>
      <c r="P406">
        <v>166893</v>
      </c>
      <c r="Q406">
        <v>170098</v>
      </c>
      <c r="R406">
        <v>153800</v>
      </c>
      <c r="S406">
        <v>7500</v>
      </c>
      <c r="T406">
        <v>0</v>
      </c>
      <c r="U406">
        <v>11558</v>
      </c>
      <c r="V406">
        <v>5800</v>
      </c>
      <c r="W406">
        <v>0</v>
      </c>
      <c r="X406">
        <v>5654</v>
      </c>
      <c r="Y406">
        <v>1</v>
      </c>
    </row>
    <row r="407" spans="1:25" x14ac:dyDescent="0.3">
      <c r="A407">
        <v>406</v>
      </c>
      <c r="B407">
        <v>200000</v>
      </c>
      <c r="C407">
        <v>1</v>
      </c>
      <c r="D407">
        <v>1</v>
      </c>
      <c r="E407">
        <v>1</v>
      </c>
      <c r="F407">
        <v>52</v>
      </c>
      <c r="G407">
        <v>-2</v>
      </c>
      <c r="H407">
        <v>-2</v>
      </c>
      <c r="I407">
        <v>-2</v>
      </c>
      <c r="J407">
        <v>-2</v>
      </c>
      <c r="K407">
        <v>-2</v>
      </c>
      <c r="L407">
        <v>-2</v>
      </c>
      <c r="M407">
        <v>3858</v>
      </c>
      <c r="N407">
        <v>2690</v>
      </c>
      <c r="O407">
        <v>3410</v>
      </c>
      <c r="P407">
        <v>0</v>
      </c>
      <c r="Q407">
        <v>0</v>
      </c>
      <c r="R407">
        <v>82150</v>
      </c>
      <c r="S407">
        <v>2690</v>
      </c>
      <c r="T407">
        <v>3487</v>
      </c>
      <c r="U407">
        <v>0</v>
      </c>
      <c r="V407">
        <v>0</v>
      </c>
      <c r="W407">
        <v>85900</v>
      </c>
      <c r="X407">
        <v>396</v>
      </c>
      <c r="Y407">
        <v>0</v>
      </c>
    </row>
    <row r="408" spans="1:25" x14ac:dyDescent="0.3">
      <c r="A408">
        <v>407</v>
      </c>
      <c r="B408">
        <v>120000</v>
      </c>
      <c r="C408">
        <v>2</v>
      </c>
      <c r="D408">
        <v>2</v>
      </c>
      <c r="E408">
        <v>1</v>
      </c>
      <c r="F408">
        <v>25</v>
      </c>
      <c r="G408">
        <v>0</v>
      </c>
      <c r="H408">
        <v>0</v>
      </c>
      <c r="I408">
        <v>0</v>
      </c>
      <c r="J408">
        <v>-2</v>
      </c>
      <c r="K408">
        <v>-2</v>
      </c>
      <c r="L408">
        <v>-2</v>
      </c>
      <c r="M408">
        <v>26476</v>
      </c>
      <c r="N408">
        <v>21393</v>
      </c>
      <c r="O408">
        <v>0</v>
      </c>
      <c r="P408">
        <v>0</v>
      </c>
      <c r="Q408">
        <v>0</v>
      </c>
      <c r="R408">
        <v>0</v>
      </c>
      <c r="S408">
        <v>6000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</row>
    <row r="409" spans="1:25" x14ac:dyDescent="0.3">
      <c r="A409">
        <v>408</v>
      </c>
      <c r="B409">
        <v>500000</v>
      </c>
      <c r="C409">
        <v>1</v>
      </c>
      <c r="D409">
        <v>1</v>
      </c>
      <c r="E409">
        <v>1</v>
      </c>
      <c r="F409">
        <v>37</v>
      </c>
      <c r="G409">
        <v>1</v>
      </c>
      <c r="H409">
        <v>2</v>
      </c>
      <c r="I409">
        <v>0</v>
      </c>
      <c r="J409">
        <v>0</v>
      </c>
      <c r="K409">
        <v>0</v>
      </c>
      <c r="L409">
        <v>0</v>
      </c>
      <c r="M409">
        <v>507062</v>
      </c>
      <c r="N409">
        <v>491956</v>
      </c>
      <c r="O409">
        <v>430637</v>
      </c>
      <c r="P409">
        <v>376657</v>
      </c>
      <c r="Q409">
        <v>356636</v>
      </c>
      <c r="R409">
        <v>303510</v>
      </c>
      <c r="S409">
        <v>325</v>
      </c>
      <c r="T409">
        <v>15296</v>
      </c>
      <c r="U409">
        <v>12137</v>
      </c>
      <c r="V409">
        <v>12312</v>
      </c>
      <c r="W409">
        <v>14113</v>
      </c>
      <c r="X409">
        <v>10526</v>
      </c>
      <c r="Y409">
        <v>0</v>
      </c>
    </row>
    <row r="410" spans="1:25" x14ac:dyDescent="0.3">
      <c r="A410">
        <v>409</v>
      </c>
      <c r="B410">
        <v>320000</v>
      </c>
      <c r="C410">
        <v>2</v>
      </c>
      <c r="D410">
        <v>1</v>
      </c>
      <c r="E410">
        <v>2</v>
      </c>
      <c r="F410">
        <v>27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55607</v>
      </c>
      <c r="N410">
        <v>62893</v>
      </c>
      <c r="O410">
        <v>59001</v>
      </c>
      <c r="P410">
        <v>61565</v>
      </c>
      <c r="Q410">
        <v>59508</v>
      </c>
      <c r="R410">
        <v>66541</v>
      </c>
      <c r="S410">
        <v>11404</v>
      </c>
      <c r="T410">
        <v>8232</v>
      </c>
      <c r="U410">
        <v>10450</v>
      </c>
      <c r="V410">
        <v>9697</v>
      </c>
      <c r="W410">
        <v>16477</v>
      </c>
      <c r="X410">
        <v>11341</v>
      </c>
      <c r="Y410">
        <v>0</v>
      </c>
    </row>
    <row r="411" spans="1:25" x14ac:dyDescent="0.3">
      <c r="A411">
        <v>410</v>
      </c>
      <c r="B411">
        <v>280000</v>
      </c>
      <c r="C411">
        <v>1</v>
      </c>
      <c r="D411">
        <v>1</v>
      </c>
      <c r="E411">
        <v>2</v>
      </c>
      <c r="F411">
        <v>31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168382</v>
      </c>
      <c r="N411">
        <v>175646</v>
      </c>
      <c r="O411">
        <v>180650</v>
      </c>
      <c r="P411">
        <v>182672</v>
      </c>
      <c r="Q411">
        <v>168399</v>
      </c>
      <c r="R411">
        <v>167983</v>
      </c>
      <c r="S411">
        <v>10000</v>
      </c>
      <c r="T411">
        <v>8000</v>
      </c>
      <c r="U411">
        <v>6371</v>
      </c>
      <c r="V411">
        <v>6217</v>
      </c>
      <c r="W411">
        <v>5947</v>
      </c>
      <c r="X411">
        <v>6288</v>
      </c>
      <c r="Y411">
        <v>0</v>
      </c>
    </row>
    <row r="412" spans="1:25" x14ac:dyDescent="0.3">
      <c r="A412">
        <v>411</v>
      </c>
      <c r="B412">
        <v>60000</v>
      </c>
      <c r="C412">
        <v>2</v>
      </c>
      <c r="D412">
        <v>1</v>
      </c>
      <c r="E412">
        <v>2</v>
      </c>
      <c r="F412">
        <v>23</v>
      </c>
      <c r="G412">
        <v>1</v>
      </c>
      <c r="H412">
        <v>2</v>
      </c>
      <c r="I412">
        <v>2</v>
      </c>
      <c r="J412">
        <v>2</v>
      </c>
      <c r="K412">
        <v>2</v>
      </c>
      <c r="L412">
        <v>2</v>
      </c>
      <c r="M412">
        <v>29332</v>
      </c>
      <c r="N412">
        <v>28577</v>
      </c>
      <c r="O412">
        <v>30805</v>
      </c>
      <c r="P412">
        <v>31601</v>
      </c>
      <c r="Q412">
        <v>32349</v>
      </c>
      <c r="R412">
        <v>32965</v>
      </c>
      <c r="S412">
        <v>0</v>
      </c>
      <c r="T412">
        <v>2709</v>
      </c>
      <c r="U412">
        <v>1600</v>
      </c>
      <c r="V412">
        <v>1400</v>
      </c>
      <c r="W412">
        <v>1300</v>
      </c>
      <c r="X412">
        <v>1200</v>
      </c>
      <c r="Y412">
        <v>1</v>
      </c>
    </row>
    <row r="413" spans="1:25" x14ac:dyDescent="0.3">
      <c r="A413">
        <v>412</v>
      </c>
      <c r="B413">
        <v>200000</v>
      </c>
      <c r="C413">
        <v>2</v>
      </c>
      <c r="D413">
        <v>1</v>
      </c>
      <c r="E413">
        <v>1</v>
      </c>
      <c r="F413">
        <v>38</v>
      </c>
      <c r="G413">
        <v>-1</v>
      </c>
      <c r="H413">
        <v>-1</v>
      </c>
      <c r="I413">
        <v>-2</v>
      </c>
      <c r="J413">
        <v>-1</v>
      </c>
      <c r="K413">
        <v>-1</v>
      </c>
      <c r="L413">
        <v>-2</v>
      </c>
      <c r="M413">
        <v>190</v>
      </c>
      <c r="N413">
        <v>0</v>
      </c>
      <c r="O413">
        <v>0</v>
      </c>
      <c r="P413">
        <v>367</v>
      </c>
      <c r="Q413">
        <v>-150</v>
      </c>
      <c r="R413">
        <v>-150</v>
      </c>
      <c r="S413">
        <v>0</v>
      </c>
      <c r="T413">
        <v>0</v>
      </c>
      <c r="U413">
        <v>367</v>
      </c>
      <c r="V413">
        <v>150</v>
      </c>
      <c r="W413">
        <v>0</v>
      </c>
      <c r="X413">
        <v>0</v>
      </c>
      <c r="Y413">
        <v>0</v>
      </c>
    </row>
    <row r="414" spans="1:25" x14ac:dyDescent="0.3">
      <c r="A414">
        <v>413</v>
      </c>
      <c r="B414">
        <v>230000</v>
      </c>
      <c r="C414">
        <v>2</v>
      </c>
      <c r="D414">
        <v>1</v>
      </c>
      <c r="E414">
        <v>1</v>
      </c>
      <c r="F414">
        <v>32</v>
      </c>
      <c r="G414">
        <v>1</v>
      </c>
      <c r="H414">
        <v>-2</v>
      </c>
      <c r="I414">
        <v>-1</v>
      </c>
      <c r="J414">
        <v>-1</v>
      </c>
      <c r="K414">
        <v>-1</v>
      </c>
      <c r="L414">
        <v>-1</v>
      </c>
      <c r="M414">
        <v>0</v>
      </c>
      <c r="N414">
        <v>0</v>
      </c>
      <c r="O414">
        <v>2809</v>
      </c>
      <c r="P414">
        <v>4595</v>
      </c>
      <c r="Q414">
        <v>792</v>
      </c>
      <c r="R414">
        <v>3404</v>
      </c>
      <c r="S414">
        <v>0</v>
      </c>
      <c r="T414">
        <v>2809</v>
      </c>
      <c r="U414">
        <v>4606</v>
      </c>
      <c r="V414">
        <v>792</v>
      </c>
      <c r="W414">
        <v>3404</v>
      </c>
      <c r="X414">
        <v>0</v>
      </c>
      <c r="Y414">
        <v>0</v>
      </c>
    </row>
    <row r="415" spans="1:25" x14ac:dyDescent="0.3">
      <c r="A415">
        <v>414</v>
      </c>
      <c r="B415">
        <v>230000</v>
      </c>
      <c r="C415">
        <v>2</v>
      </c>
      <c r="D415">
        <v>2</v>
      </c>
      <c r="E415">
        <v>2</v>
      </c>
      <c r="F415">
        <v>27</v>
      </c>
      <c r="G415">
        <v>1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13668</v>
      </c>
      <c r="N415">
        <v>12647</v>
      </c>
      <c r="O415">
        <v>13135</v>
      </c>
      <c r="P415">
        <v>10596</v>
      </c>
      <c r="Q415">
        <v>9218</v>
      </c>
      <c r="R415">
        <v>5068</v>
      </c>
      <c r="S415">
        <v>0</v>
      </c>
      <c r="T415">
        <v>1064</v>
      </c>
      <c r="U415">
        <v>423</v>
      </c>
      <c r="V415">
        <v>313</v>
      </c>
      <c r="W415">
        <v>1000</v>
      </c>
      <c r="X415">
        <v>4641</v>
      </c>
      <c r="Y415">
        <v>1</v>
      </c>
    </row>
    <row r="416" spans="1:25" x14ac:dyDescent="0.3">
      <c r="A416">
        <v>415</v>
      </c>
      <c r="B416">
        <v>480000</v>
      </c>
      <c r="C416">
        <v>2</v>
      </c>
      <c r="D416">
        <v>3</v>
      </c>
      <c r="E416">
        <v>1</v>
      </c>
      <c r="F416">
        <v>41</v>
      </c>
      <c r="G416">
        <v>-2</v>
      </c>
      <c r="H416">
        <v>-2</v>
      </c>
      <c r="I416">
        <v>-2</v>
      </c>
      <c r="J416">
        <v>-2</v>
      </c>
      <c r="K416">
        <v>-2</v>
      </c>
      <c r="L416">
        <v>-2</v>
      </c>
      <c r="M416">
        <v>14867</v>
      </c>
      <c r="N416">
        <v>26665</v>
      </c>
      <c r="O416">
        <v>199960</v>
      </c>
      <c r="P416">
        <v>9033</v>
      </c>
      <c r="Q416">
        <v>19371</v>
      </c>
      <c r="R416">
        <v>22593</v>
      </c>
      <c r="S416">
        <v>26734</v>
      </c>
      <c r="T416">
        <v>199982</v>
      </c>
      <c r="U416">
        <v>9033</v>
      </c>
      <c r="V416">
        <v>19371</v>
      </c>
      <c r="W416">
        <v>22593</v>
      </c>
      <c r="X416">
        <v>2000</v>
      </c>
      <c r="Y416">
        <v>0</v>
      </c>
    </row>
    <row r="417" spans="1:25" x14ac:dyDescent="0.3">
      <c r="A417">
        <v>416</v>
      </c>
      <c r="B417">
        <v>50000</v>
      </c>
      <c r="C417">
        <v>2</v>
      </c>
      <c r="D417">
        <v>3</v>
      </c>
      <c r="E417">
        <v>1</v>
      </c>
      <c r="F417">
        <v>35</v>
      </c>
      <c r="G417">
        <v>-1</v>
      </c>
      <c r="H417">
        <v>-1</v>
      </c>
      <c r="I417">
        <v>-1</v>
      </c>
      <c r="J417">
        <v>-2</v>
      </c>
      <c r="K417">
        <v>-2</v>
      </c>
      <c r="L417">
        <v>-2</v>
      </c>
      <c r="M417">
        <v>22500</v>
      </c>
      <c r="N417">
        <v>5000</v>
      </c>
      <c r="O417">
        <v>0</v>
      </c>
      <c r="P417">
        <v>0</v>
      </c>
      <c r="Q417">
        <v>0</v>
      </c>
      <c r="R417">
        <v>0</v>
      </c>
      <c r="S417">
        <v>5000</v>
      </c>
      <c r="T417">
        <v>0</v>
      </c>
      <c r="U417">
        <v>0</v>
      </c>
      <c r="V417">
        <v>0</v>
      </c>
      <c r="W417">
        <v>0</v>
      </c>
      <c r="X417">
        <v>640</v>
      </c>
      <c r="Y417">
        <v>0</v>
      </c>
    </row>
    <row r="418" spans="1:25" x14ac:dyDescent="0.3">
      <c r="A418">
        <v>417</v>
      </c>
      <c r="B418">
        <v>200000</v>
      </c>
      <c r="C418">
        <v>2</v>
      </c>
      <c r="D418">
        <v>1</v>
      </c>
      <c r="E418">
        <v>2</v>
      </c>
      <c r="F418">
        <v>31</v>
      </c>
      <c r="G418">
        <v>-2</v>
      </c>
      <c r="H418">
        <v>-2</v>
      </c>
      <c r="I418">
        <v>-2</v>
      </c>
      <c r="J418">
        <v>-2</v>
      </c>
      <c r="K418">
        <v>-2</v>
      </c>
      <c r="L418">
        <v>-2</v>
      </c>
      <c r="M418">
        <v>7184</v>
      </c>
      <c r="N418">
        <v>14845</v>
      </c>
      <c r="O418">
        <v>1097</v>
      </c>
      <c r="P418">
        <v>0</v>
      </c>
      <c r="Q418">
        <v>0</v>
      </c>
      <c r="R418">
        <v>160</v>
      </c>
      <c r="S418">
        <v>17507</v>
      </c>
      <c r="T418">
        <v>1102</v>
      </c>
      <c r="U418">
        <v>0</v>
      </c>
      <c r="V418">
        <v>0</v>
      </c>
      <c r="W418">
        <v>160</v>
      </c>
      <c r="X418">
        <v>1103</v>
      </c>
      <c r="Y418">
        <v>0</v>
      </c>
    </row>
    <row r="419" spans="1:25" x14ac:dyDescent="0.3">
      <c r="A419">
        <v>418</v>
      </c>
      <c r="B419">
        <v>50000</v>
      </c>
      <c r="C419">
        <v>2</v>
      </c>
      <c r="D419">
        <v>1</v>
      </c>
      <c r="E419">
        <v>2</v>
      </c>
      <c r="F419">
        <v>30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2</v>
      </c>
      <c r="M419">
        <v>14811</v>
      </c>
      <c r="N419">
        <v>16262</v>
      </c>
      <c r="O419">
        <v>17286</v>
      </c>
      <c r="P419">
        <v>17895</v>
      </c>
      <c r="Q419">
        <v>19450</v>
      </c>
      <c r="R419">
        <v>18990</v>
      </c>
      <c r="S419">
        <v>2000</v>
      </c>
      <c r="T419">
        <v>1600</v>
      </c>
      <c r="U419">
        <v>1200</v>
      </c>
      <c r="V419">
        <v>2000</v>
      </c>
      <c r="W419">
        <v>0</v>
      </c>
      <c r="X419">
        <v>1000</v>
      </c>
      <c r="Y419">
        <v>0</v>
      </c>
    </row>
    <row r="420" spans="1:25" x14ac:dyDescent="0.3">
      <c r="A420">
        <v>419</v>
      </c>
      <c r="B420">
        <v>50000</v>
      </c>
      <c r="C420">
        <v>1</v>
      </c>
      <c r="D420">
        <v>2</v>
      </c>
      <c r="E420">
        <v>1</v>
      </c>
      <c r="F420">
        <v>48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44338</v>
      </c>
      <c r="N420">
        <v>43048</v>
      </c>
      <c r="O420">
        <v>35639</v>
      </c>
      <c r="P420">
        <v>18753</v>
      </c>
      <c r="Q420">
        <v>19091</v>
      </c>
      <c r="R420">
        <v>19548</v>
      </c>
      <c r="S420">
        <v>3629</v>
      </c>
      <c r="T420">
        <v>3332</v>
      </c>
      <c r="U420">
        <v>2000</v>
      </c>
      <c r="V420">
        <v>2000</v>
      </c>
      <c r="W420">
        <v>2000</v>
      </c>
      <c r="X420">
        <v>2500</v>
      </c>
      <c r="Y420">
        <v>0</v>
      </c>
    </row>
    <row r="421" spans="1:25" x14ac:dyDescent="0.3">
      <c r="A421">
        <v>420</v>
      </c>
      <c r="B421">
        <v>260000</v>
      </c>
      <c r="C421">
        <v>2</v>
      </c>
      <c r="D421">
        <v>1</v>
      </c>
      <c r="E421">
        <v>2</v>
      </c>
      <c r="F421">
        <v>36</v>
      </c>
      <c r="G421">
        <v>1</v>
      </c>
      <c r="H421">
        <v>-2</v>
      </c>
      <c r="I421">
        <v>-2</v>
      </c>
      <c r="J421">
        <v>-2</v>
      </c>
      <c r="K421">
        <v>-2</v>
      </c>
      <c r="L421">
        <v>-2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</row>
    <row r="422" spans="1:25" x14ac:dyDescent="0.3">
      <c r="A422">
        <v>421</v>
      </c>
      <c r="B422">
        <v>30000</v>
      </c>
      <c r="C422">
        <v>1</v>
      </c>
      <c r="D422">
        <v>1</v>
      </c>
      <c r="E422">
        <v>2</v>
      </c>
      <c r="F422">
        <v>24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2</v>
      </c>
      <c r="M422">
        <v>25265</v>
      </c>
      <c r="N422">
        <v>26354</v>
      </c>
      <c r="O422">
        <v>27710</v>
      </c>
      <c r="P422">
        <v>27959</v>
      </c>
      <c r="Q422">
        <v>30002</v>
      </c>
      <c r="R422">
        <v>29371</v>
      </c>
      <c r="S422">
        <v>1500</v>
      </c>
      <c r="T422">
        <v>1800</v>
      </c>
      <c r="U422">
        <v>1007</v>
      </c>
      <c r="V422">
        <v>2500</v>
      </c>
      <c r="W422">
        <v>0</v>
      </c>
      <c r="X422">
        <v>1800</v>
      </c>
      <c r="Y422">
        <v>0</v>
      </c>
    </row>
    <row r="423" spans="1:25" x14ac:dyDescent="0.3">
      <c r="A423">
        <v>422</v>
      </c>
      <c r="B423">
        <v>440000</v>
      </c>
      <c r="C423">
        <v>2</v>
      </c>
      <c r="D423">
        <v>1</v>
      </c>
      <c r="E423">
        <v>2</v>
      </c>
      <c r="F423">
        <v>29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169661</v>
      </c>
      <c r="N423">
        <v>167199</v>
      </c>
      <c r="O423">
        <v>158520</v>
      </c>
      <c r="P423">
        <v>156977</v>
      </c>
      <c r="Q423">
        <v>157963</v>
      </c>
      <c r="R423">
        <v>151936</v>
      </c>
      <c r="S423">
        <v>8071</v>
      </c>
      <c r="T423">
        <v>9021</v>
      </c>
      <c r="U423">
        <v>7013</v>
      </c>
      <c r="V423">
        <v>6013</v>
      </c>
      <c r="W423">
        <v>6028</v>
      </c>
      <c r="X423">
        <v>6010</v>
      </c>
      <c r="Y423">
        <v>0</v>
      </c>
    </row>
    <row r="424" spans="1:25" x14ac:dyDescent="0.3">
      <c r="A424">
        <v>423</v>
      </c>
      <c r="B424">
        <v>230000</v>
      </c>
      <c r="C424">
        <v>2</v>
      </c>
      <c r="D424">
        <v>2</v>
      </c>
      <c r="E424">
        <v>2</v>
      </c>
      <c r="F424">
        <v>38</v>
      </c>
      <c r="G424">
        <v>-1</v>
      </c>
      <c r="H424">
        <v>-1</v>
      </c>
      <c r="I424">
        <v>-1</v>
      </c>
      <c r="J424">
        <v>-1</v>
      </c>
      <c r="K424">
        <v>-1</v>
      </c>
      <c r="L424">
        <v>-1</v>
      </c>
      <c r="M424">
        <v>10237</v>
      </c>
      <c r="N424">
        <v>2795</v>
      </c>
      <c r="O424">
        <v>1350</v>
      </c>
      <c r="P424">
        <v>371</v>
      </c>
      <c r="Q424">
        <v>2980</v>
      </c>
      <c r="R424">
        <v>0</v>
      </c>
      <c r="S424">
        <v>2795</v>
      </c>
      <c r="T424">
        <v>1350</v>
      </c>
      <c r="U424">
        <v>371</v>
      </c>
      <c r="V424">
        <v>2980</v>
      </c>
      <c r="W424">
        <v>0</v>
      </c>
      <c r="X424">
        <v>2213</v>
      </c>
      <c r="Y424">
        <v>0</v>
      </c>
    </row>
    <row r="425" spans="1:25" x14ac:dyDescent="0.3">
      <c r="A425">
        <v>424</v>
      </c>
      <c r="B425">
        <v>200000</v>
      </c>
      <c r="C425">
        <v>1</v>
      </c>
      <c r="D425">
        <v>2</v>
      </c>
      <c r="E425">
        <v>1</v>
      </c>
      <c r="F425">
        <v>38</v>
      </c>
      <c r="G425">
        <v>2</v>
      </c>
      <c r="H425">
        <v>2</v>
      </c>
      <c r="I425">
        <v>2</v>
      </c>
      <c r="J425">
        <v>0</v>
      </c>
      <c r="K425">
        <v>0</v>
      </c>
      <c r="L425">
        <v>0</v>
      </c>
      <c r="M425">
        <v>104978</v>
      </c>
      <c r="N425">
        <v>105924</v>
      </c>
      <c r="O425">
        <v>102663</v>
      </c>
      <c r="P425">
        <v>97090</v>
      </c>
      <c r="Q425">
        <v>98045</v>
      </c>
      <c r="R425">
        <v>105253</v>
      </c>
      <c r="S425">
        <v>4500</v>
      </c>
      <c r="T425">
        <v>0</v>
      </c>
      <c r="U425">
        <v>3500</v>
      </c>
      <c r="V425">
        <v>3500</v>
      </c>
      <c r="W425">
        <v>9000</v>
      </c>
      <c r="X425">
        <v>0</v>
      </c>
      <c r="Y425">
        <v>1</v>
      </c>
    </row>
    <row r="426" spans="1:25" x14ac:dyDescent="0.3">
      <c r="A426">
        <v>425</v>
      </c>
      <c r="B426">
        <v>490000</v>
      </c>
      <c r="C426">
        <v>2</v>
      </c>
      <c r="D426">
        <v>2</v>
      </c>
      <c r="E426">
        <v>1</v>
      </c>
      <c r="F426">
        <v>30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192586</v>
      </c>
      <c r="N426">
        <v>197967</v>
      </c>
      <c r="O426">
        <v>201666</v>
      </c>
      <c r="P426">
        <v>205798</v>
      </c>
      <c r="Q426">
        <v>196698</v>
      </c>
      <c r="R426">
        <v>190306</v>
      </c>
      <c r="S426">
        <v>10000</v>
      </c>
      <c r="T426">
        <v>7143</v>
      </c>
      <c r="U426">
        <v>7306</v>
      </c>
      <c r="V426">
        <v>6303</v>
      </c>
      <c r="W426">
        <v>6429</v>
      </c>
      <c r="X426">
        <v>6000</v>
      </c>
      <c r="Y426">
        <v>0</v>
      </c>
    </row>
    <row r="427" spans="1:25" x14ac:dyDescent="0.3">
      <c r="A427">
        <v>426</v>
      </c>
      <c r="B427">
        <v>80000</v>
      </c>
      <c r="C427">
        <v>2</v>
      </c>
      <c r="D427">
        <v>2</v>
      </c>
      <c r="E427">
        <v>1</v>
      </c>
      <c r="F427">
        <v>32</v>
      </c>
      <c r="G427">
        <v>-1</v>
      </c>
      <c r="H427">
        <v>-1</v>
      </c>
      <c r="I427">
        <v>-2</v>
      </c>
      <c r="J427">
        <v>-2</v>
      </c>
      <c r="K427">
        <v>-2</v>
      </c>
      <c r="L427">
        <v>-2</v>
      </c>
      <c r="M427">
        <v>11262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</row>
    <row r="428" spans="1:25" x14ac:dyDescent="0.3">
      <c r="A428">
        <v>427</v>
      </c>
      <c r="B428">
        <v>20000</v>
      </c>
      <c r="C428">
        <v>2</v>
      </c>
      <c r="D428">
        <v>3</v>
      </c>
      <c r="E428">
        <v>2</v>
      </c>
      <c r="F428">
        <v>49</v>
      </c>
      <c r="G428">
        <v>2</v>
      </c>
      <c r="H428">
        <v>2</v>
      </c>
      <c r="I428">
        <v>2</v>
      </c>
      <c r="J428">
        <v>2</v>
      </c>
      <c r="K428">
        <v>0</v>
      </c>
      <c r="L428">
        <v>0</v>
      </c>
      <c r="M428">
        <v>9551</v>
      </c>
      <c r="N428">
        <v>12081</v>
      </c>
      <c r="O428">
        <v>13087</v>
      </c>
      <c r="P428">
        <v>12583</v>
      </c>
      <c r="Q428">
        <v>15327</v>
      </c>
      <c r="R428">
        <v>16414</v>
      </c>
      <c r="S428">
        <v>3000</v>
      </c>
      <c r="T428">
        <v>1500</v>
      </c>
      <c r="U428">
        <v>0</v>
      </c>
      <c r="V428">
        <v>3123</v>
      </c>
      <c r="W428">
        <v>1500</v>
      </c>
      <c r="X428">
        <v>1000</v>
      </c>
      <c r="Y428">
        <v>1</v>
      </c>
    </row>
    <row r="429" spans="1:25" x14ac:dyDescent="0.3">
      <c r="A429">
        <v>428</v>
      </c>
      <c r="B429">
        <v>170000</v>
      </c>
      <c r="C429">
        <v>2</v>
      </c>
      <c r="D429">
        <v>1</v>
      </c>
      <c r="E429">
        <v>2</v>
      </c>
      <c r="F429">
        <v>31</v>
      </c>
      <c r="G429">
        <v>-1</v>
      </c>
      <c r="H429">
        <v>-1</v>
      </c>
      <c r="I429">
        <v>-1</v>
      </c>
      <c r="J429">
        <v>-1</v>
      </c>
      <c r="K429">
        <v>0</v>
      </c>
      <c r="L429">
        <v>-1</v>
      </c>
      <c r="M429">
        <v>199</v>
      </c>
      <c r="N429">
        <v>199</v>
      </c>
      <c r="O429">
        <v>199</v>
      </c>
      <c r="P429">
        <v>398</v>
      </c>
      <c r="Q429">
        <v>199</v>
      </c>
      <c r="R429">
        <v>199</v>
      </c>
      <c r="S429">
        <v>199</v>
      </c>
      <c r="T429">
        <v>199</v>
      </c>
      <c r="U429">
        <v>398</v>
      </c>
      <c r="V429">
        <v>0</v>
      </c>
      <c r="W429">
        <v>199</v>
      </c>
      <c r="X429">
        <v>398</v>
      </c>
      <c r="Y429">
        <v>1</v>
      </c>
    </row>
    <row r="430" spans="1:25" x14ac:dyDescent="0.3">
      <c r="A430">
        <v>429</v>
      </c>
      <c r="B430">
        <v>70000</v>
      </c>
      <c r="C430">
        <v>1</v>
      </c>
      <c r="D430">
        <v>1</v>
      </c>
      <c r="E430">
        <v>2</v>
      </c>
      <c r="F430">
        <v>27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70119</v>
      </c>
      <c r="N430">
        <v>68536</v>
      </c>
      <c r="O430">
        <v>66601</v>
      </c>
      <c r="P430">
        <v>29401</v>
      </c>
      <c r="Q430">
        <v>28949</v>
      </c>
      <c r="R430">
        <v>29795</v>
      </c>
      <c r="S430">
        <v>3600</v>
      </c>
      <c r="T430">
        <v>1646</v>
      </c>
      <c r="U430">
        <v>600</v>
      </c>
      <c r="V430">
        <v>28468</v>
      </c>
      <c r="W430">
        <v>1327</v>
      </c>
      <c r="X430">
        <v>1000</v>
      </c>
      <c r="Y430">
        <v>0</v>
      </c>
    </row>
    <row r="431" spans="1:25" x14ac:dyDescent="0.3">
      <c r="A431">
        <v>430</v>
      </c>
      <c r="B431">
        <v>210000</v>
      </c>
      <c r="C431">
        <v>2</v>
      </c>
      <c r="D431">
        <v>2</v>
      </c>
      <c r="E431">
        <v>2</v>
      </c>
      <c r="F431">
        <v>33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212601</v>
      </c>
      <c r="N431">
        <v>177946</v>
      </c>
      <c r="O431">
        <v>119362</v>
      </c>
      <c r="P431">
        <v>117766</v>
      </c>
      <c r="Q431">
        <v>68791</v>
      </c>
      <c r="R431">
        <v>66167</v>
      </c>
      <c r="S431">
        <v>6000</v>
      </c>
      <c r="T431">
        <v>4500</v>
      </c>
      <c r="U431">
        <v>5000</v>
      </c>
      <c r="V431">
        <v>3000</v>
      </c>
      <c r="W431">
        <v>3000</v>
      </c>
      <c r="X431">
        <v>3000</v>
      </c>
      <c r="Y431">
        <v>0</v>
      </c>
    </row>
    <row r="432" spans="1:25" x14ac:dyDescent="0.3">
      <c r="A432">
        <v>431</v>
      </c>
      <c r="B432">
        <v>90000</v>
      </c>
      <c r="C432">
        <v>2</v>
      </c>
      <c r="D432">
        <v>2</v>
      </c>
      <c r="E432">
        <v>2</v>
      </c>
      <c r="F432">
        <v>25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91894</v>
      </c>
      <c r="N432">
        <v>71732</v>
      </c>
      <c r="O432">
        <v>73241</v>
      </c>
      <c r="P432">
        <v>74424</v>
      </c>
      <c r="Q432">
        <v>76070</v>
      </c>
      <c r="R432">
        <v>77648</v>
      </c>
      <c r="S432">
        <v>3200</v>
      </c>
      <c r="T432">
        <v>3300</v>
      </c>
      <c r="U432">
        <v>3000</v>
      </c>
      <c r="V432">
        <v>3001</v>
      </c>
      <c r="W432">
        <v>3000</v>
      </c>
      <c r="X432">
        <v>3100</v>
      </c>
      <c r="Y432">
        <v>0</v>
      </c>
    </row>
    <row r="433" spans="1:25" x14ac:dyDescent="0.3">
      <c r="A433">
        <v>432</v>
      </c>
      <c r="B433">
        <v>390000</v>
      </c>
      <c r="C433">
        <v>2</v>
      </c>
      <c r="D433">
        <v>1</v>
      </c>
      <c r="E433">
        <v>2</v>
      </c>
      <c r="F433">
        <v>27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304867</v>
      </c>
      <c r="N433">
        <v>299998</v>
      </c>
      <c r="O433">
        <v>300426</v>
      </c>
      <c r="P433">
        <v>292869</v>
      </c>
      <c r="Q433">
        <v>292885</v>
      </c>
      <c r="R433">
        <v>281826</v>
      </c>
      <c r="S433">
        <v>13007</v>
      </c>
      <c r="T433">
        <v>10612</v>
      </c>
      <c r="U433">
        <v>10041</v>
      </c>
      <c r="V433">
        <v>11000</v>
      </c>
      <c r="W433">
        <v>10512</v>
      </c>
      <c r="X433">
        <v>7000</v>
      </c>
      <c r="Y433">
        <v>1</v>
      </c>
    </row>
    <row r="434" spans="1:25" x14ac:dyDescent="0.3">
      <c r="A434">
        <v>433</v>
      </c>
      <c r="B434">
        <v>110000</v>
      </c>
      <c r="C434">
        <v>2</v>
      </c>
      <c r="D434">
        <v>1</v>
      </c>
      <c r="E434">
        <v>2</v>
      </c>
      <c r="F434">
        <v>29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48123</v>
      </c>
      <c r="N434">
        <v>49537</v>
      </c>
      <c r="O434">
        <v>50422</v>
      </c>
      <c r="P434">
        <v>50990</v>
      </c>
      <c r="Q434">
        <v>52014</v>
      </c>
      <c r="R434">
        <v>53206</v>
      </c>
      <c r="S434">
        <v>2500</v>
      </c>
      <c r="T434">
        <v>2500</v>
      </c>
      <c r="U434">
        <v>2000</v>
      </c>
      <c r="V434">
        <v>2000</v>
      </c>
      <c r="W434">
        <v>2057</v>
      </c>
      <c r="X434">
        <v>2500</v>
      </c>
      <c r="Y434">
        <v>0</v>
      </c>
    </row>
    <row r="435" spans="1:25" x14ac:dyDescent="0.3">
      <c r="A435">
        <v>434</v>
      </c>
      <c r="B435">
        <v>580000</v>
      </c>
      <c r="C435">
        <v>2</v>
      </c>
      <c r="D435">
        <v>1</v>
      </c>
      <c r="E435">
        <v>1</v>
      </c>
      <c r="F435">
        <v>36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159760</v>
      </c>
      <c r="N435">
        <v>162189</v>
      </c>
      <c r="O435">
        <v>166127</v>
      </c>
      <c r="P435">
        <v>169365</v>
      </c>
      <c r="Q435">
        <v>168755</v>
      </c>
      <c r="R435">
        <v>167964</v>
      </c>
      <c r="S435">
        <v>6422</v>
      </c>
      <c r="T435">
        <v>6565</v>
      </c>
      <c r="U435">
        <v>5951</v>
      </c>
      <c r="V435">
        <v>6006</v>
      </c>
      <c r="W435">
        <v>5894</v>
      </c>
      <c r="X435">
        <v>5946</v>
      </c>
      <c r="Y435">
        <v>0</v>
      </c>
    </row>
    <row r="436" spans="1:25" x14ac:dyDescent="0.3">
      <c r="A436">
        <v>435</v>
      </c>
      <c r="B436">
        <v>360000</v>
      </c>
      <c r="C436">
        <v>1</v>
      </c>
      <c r="D436">
        <v>3</v>
      </c>
      <c r="E436">
        <v>1</v>
      </c>
      <c r="F436">
        <v>55</v>
      </c>
      <c r="G436">
        <v>0</v>
      </c>
      <c r="H436">
        <v>0</v>
      </c>
      <c r="I436">
        <v>-1</v>
      </c>
      <c r="J436">
        <v>-1</v>
      </c>
      <c r="K436">
        <v>-1</v>
      </c>
      <c r="L436">
        <v>-2</v>
      </c>
      <c r="M436">
        <v>9210</v>
      </c>
      <c r="N436">
        <v>8485</v>
      </c>
      <c r="O436">
        <v>17231</v>
      </c>
      <c r="P436">
        <v>1770</v>
      </c>
      <c r="Q436">
        <v>0</v>
      </c>
      <c r="R436">
        <v>0</v>
      </c>
      <c r="S436">
        <v>6015</v>
      </c>
      <c r="T436">
        <v>17454</v>
      </c>
      <c r="U436">
        <v>1775</v>
      </c>
      <c r="V436">
        <v>0</v>
      </c>
      <c r="W436">
        <v>0</v>
      </c>
      <c r="X436">
        <v>0</v>
      </c>
      <c r="Y436">
        <v>0</v>
      </c>
    </row>
    <row r="437" spans="1:25" x14ac:dyDescent="0.3">
      <c r="A437">
        <v>436</v>
      </c>
      <c r="B437">
        <v>270000</v>
      </c>
      <c r="C437">
        <v>2</v>
      </c>
      <c r="D437">
        <v>2</v>
      </c>
      <c r="E437">
        <v>1</v>
      </c>
      <c r="F437">
        <v>32</v>
      </c>
      <c r="G437">
        <v>1</v>
      </c>
      <c r="H437">
        <v>2</v>
      </c>
      <c r="I437">
        <v>2</v>
      </c>
      <c r="J437">
        <v>2</v>
      </c>
      <c r="K437">
        <v>2</v>
      </c>
      <c r="L437">
        <v>2</v>
      </c>
      <c r="M437">
        <v>234752</v>
      </c>
      <c r="N437">
        <v>233036</v>
      </c>
      <c r="O437">
        <v>229286</v>
      </c>
      <c r="P437">
        <v>217644</v>
      </c>
      <c r="Q437">
        <v>223690</v>
      </c>
      <c r="R437">
        <v>221413</v>
      </c>
      <c r="S437">
        <v>10000</v>
      </c>
      <c r="T437">
        <v>8000</v>
      </c>
      <c r="U437">
        <v>0</v>
      </c>
      <c r="V437">
        <v>16000</v>
      </c>
      <c r="W437">
        <v>8000</v>
      </c>
      <c r="X437">
        <v>0</v>
      </c>
      <c r="Y437">
        <v>1</v>
      </c>
    </row>
    <row r="438" spans="1:25" x14ac:dyDescent="0.3">
      <c r="A438">
        <v>437</v>
      </c>
      <c r="B438">
        <v>60000</v>
      </c>
      <c r="C438">
        <v>2</v>
      </c>
      <c r="D438">
        <v>1</v>
      </c>
      <c r="E438">
        <v>2</v>
      </c>
      <c r="F438">
        <v>27</v>
      </c>
      <c r="G438">
        <v>-1</v>
      </c>
      <c r="H438">
        <v>-1</v>
      </c>
      <c r="I438">
        <v>-2</v>
      </c>
      <c r="J438">
        <v>-1</v>
      </c>
      <c r="K438">
        <v>2</v>
      </c>
      <c r="L438">
        <v>-1</v>
      </c>
      <c r="M438">
        <v>14072</v>
      </c>
      <c r="N438">
        <v>0</v>
      </c>
      <c r="O438">
        <v>0</v>
      </c>
      <c r="P438">
        <v>300</v>
      </c>
      <c r="Q438">
        <v>150</v>
      </c>
      <c r="R438">
        <v>150</v>
      </c>
      <c r="S438">
        <v>0</v>
      </c>
      <c r="T438">
        <v>0</v>
      </c>
      <c r="U438">
        <v>300</v>
      </c>
      <c r="V438">
        <v>0</v>
      </c>
      <c r="W438">
        <v>150</v>
      </c>
      <c r="X438">
        <v>200</v>
      </c>
      <c r="Y438">
        <v>0</v>
      </c>
    </row>
    <row r="439" spans="1:25" x14ac:dyDescent="0.3">
      <c r="A439">
        <v>438</v>
      </c>
      <c r="B439">
        <v>110000</v>
      </c>
      <c r="C439">
        <v>1</v>
      </c>
      <c r="D439">
        <v>3</v>
      </c>
      <c r="E439">
        <v>1</v>
      </c>
      <c r="F439">
        <v>37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61807</v>
      </c>
      <c r="N439">
        <v>62499</v>
      </c>
      <c r="O439">
        <v>62162</v>
      </c>
      <c r="P439">
        <v>60605</v>
      </c>
      <c r="Q439">
        <v>60272</v>
      </c>
      <c r="R439">
        <v>60145</v>
      </c>
      <c r="S439">
        <v>2300</v>
      </c>
      <c r="T439">
        <v>2200</v>
      </c>
      <c r="U439">
        <v>2300</v>
      </c>
      <c r="V439">
        <v>2200</v>
      </c>
      <c r="W439">
        <v>2300</v>
      </c>
      <c r="X439">
        <v>2300</v>
      </c>
      <c r="Y439">
        <v>0</v>
      </c>
    </row>
    <row r="440" spans="1:25" x14ac:dyDescent="0.3">
      <c r="A440">
        <v>439</v>
      </c>
      <c r="B440">
        <v>50000</v>
      </c>
      <c r="C440">
        <v>2</v>
      </c>
      <c r="D440">
        <v>1</v>
      </c>
      <c r="E440">
        <v>1</v>
      </c>
      <c r="F440">
        <v>25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51044</v>
      </c>
      <c r="N440">
        <v>50231</v>
      </c>
      <c r="O440">
        <v>46677</v>
      </c>
      <c r="P440">
        <v>44982</v>
      </c>
      <c r="Q440">
        <v>21399</v>
      </c>
      <c r="R440">
        <v>20859</v>
      </c>
      <c r="S440">
        <v>2500</v>
      </c>
      <c r="T440">
        <v>3008</v>
      </c>
      <c r="U440">
        <v>1000</v>
      </c>
      <c r="V440">
        <v>761</v>
      </c>
      <c r="W440">
        <v>800</v>
      </c>
      <c r="X440">
        <v>704</v>
      </c>
      <c r="Y440">
        <v>0</v>
      </c>
    </row>
    <row r="441" spans="1:25" x14ac:dyDescent="0.3">
      <c r="A441">
        <v>440</v>
      </c>
      <c r="B441">
        <v>80000</v>
      </c>
      <c r="C441">
        <v>2</v>
      </c>
      <c r="D441">
        <v>1</v>
      </c>
      <c r="E441">
        <v>2</v>
      </c>
      <c r="F441">
        <v>23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77024</v>
      </c>
      <c r="N441">
        <v>73281</v>
      </c>
      <c r="O441">
        <v>57806</v>
      </c>
      <c r="P441">
        <v>37642</v>
      </c>
      <c r="Q441">
        <v>46235</v>
      </c>
      <c r="R441">
        <v>47110</v>
      </c>
      <c r="S441">
        <v>3212</v>
      </c>
      <c r="T441">
        <v>1600</v>
      </c>
      <c r="U441">
        <v>956</v>
      </c>
      <c r="V441">
        <v>40000</v>
      </c>
      <c r="W441">
        <v>1800</v>
      </c>
      <c r="X441">
        <v>1700</v>
      </c>
      <c r="Y441">
        <v>1</v>
      </c>
    </row>
    <row r="442" spans="1:25" x14ac:dyDescent="0.3">
      <c r="A442">
        <v>441</v>
      </c>
      <c r="B442">
        <v>50000</v>
      </c>
      <c r="C442">
        <v>1</v>
      </c>
      <c r="D442">
        <v>2</v>
      </c>
      <c r="E442">
        <v>2</v>
      </c>
      <c r="F442">
        <v>23</v>
      </c>
      <c r="G442">
        <v>-1</v>
      </c>
      <c r="H442">
        <v>-1</v>
      </c>
      <c r="I442">
        <v>-1</v>
      </c>
      <c r="J442">
        <v>-1</v>
      </c>
      <c r="K442">
        <v>0</v>
      </c>
      <c r="L442">
        <v>0</v>
      </c>
      <c r="M442">
        <v>350</v>
      </c>
      <c r="N442">
        <v>350</v>
      </c>
      <c r="O442">
        <v>400</v>
      </c>
      <c r="P442">
        <v>1695</v>
      </c>
      <c r="Q442">
        <v>12645</v>
      </c>
      <c r="R442">
        <v>12584</v>
      </c>
      <c r="S442">
        <v>350</v>
      </c>
      <c r="T442">
        <v>400</v>
      </c>
      <c r="U442">
        <v>1695</v>
      </c>
      <c r="V442">
        <v>11300</v>
      </c>
      <c r="W442">
        <v>485</v>
      </c>
      <c r="X442">
        <v>2400</v>
      </c>
      <c r="Y442">
        <v>0</v>
      </c>
    </row>
    <row r="443" spans="1:25" x14ac:dyDescent="0.3">
      <c r="A443">
        <v>442</v>
      </c>
      <c r="B443">
        <v>100000</v>
      </c>
      <c r="C443">
        <v>1</v>
      </c>
      <c r="D443">
        <v>1</v>
      </c>
      <c r="E443">
        <v>2</v>
      </c>
      <c r="F443">
        <v>32</v>
      </c>
      <c r="G443">
        <v>0</v>
      </c>
      <c r="H443">
        <v>0</v>
      </c>
      <c r="I443">
        <v>0</v>
      </c>
      <c r="J443">
        <v>0</v>
      </c>
      <c r="K443">
        <v>2</v>
      </c>
      <c r="L443">
        <v>2</v>
      </c>
      <c r="M443">
        <v>83831</v>
      </c>
      <c r="N443">
        <v>85586</v>
      </c>
      <c r="O443">
        <v>87289</v>
      </c>
      <c r="P443">
        <v>91451</v>
      </c>
      <c r="Q443">
        <v>93381</v>
      </c>
      <c r="R443">
        <v>89522</v>
      </c>
      <c r="S443">
        <v>4000</v>
      </c>
      <c r="T443">
        <v>4037</v>
      </c>
      <c r="U443">
        <v>6500</v>
      </c>
      <c r="V443">
        <v>3500</v>
      </c>
      <c r="W443">
        <v>0</v>
      </c>
      <c r="X443">
        <v>3200</v>
      </c>
      <c r="Y443">
        <v>0</v>
      </c>
    </row>
    <row r="444" spans="1:25" x14ac:dyDescent="0.3">
      <c r="A444">
        <v>443</v>
      </c>
      <c r="B444">
        <v>30000</v>
      </c>
      <c r="C444">
        <v>2</v>
      </c>
      <c r="D444">
        <v>1</v>
      </c>
      <c r="E444">
        <v>2</v>
      </c>
      <c r="F444">
        <v>26</v>
      </c>
      <c r="G444">
        <v>1</v>
      </c>
      <c r="H444">
        <v>-2</v>
      </c>
      <c r="I444">
        <v>-1</v>
      </c>
      <c r="J444">
        <v>-1</v>
      </c>
      <c r="K444">
        <v>-1</v>
      </c>
      <c r="L444">
        <v>-1</v>
      </c>
      <c r="M444">
        <v>0</v>
      </c>
      <c r="N444">
        <v>0</v>
      </c>
      <c r="O444">
        <v>945</v>
      </c>
      <c r="P444">
        <v>0</v>
      </c>
      <c r="Q444">
        <v>197</v>
      </c>
      <c r="R444">
        <v>2995</v>
      </c>
      <c r="S444">
        <v>0</v>
      </c>
      <c r="T444">
        <v>945</v>
      </c>
      <c r="U444">
        <v>0</v>
      </c>
      <c r="V444">
        <v>197</v>
      </c>
      <c r="W444">
        <v>2995</v>
      </c>
      <c r="X444">
        <v>0</v>
      </c>
      <c r="Y444">
        <v>0</v>
      </c>
    </row>
    <row r="445" spans="1:25" x14ac:dyDescent="0.3">
      <c r="A445">
        <v>444</v>
      </c>
      <c r="B445">
        <v>200000</v>
      </c>
      <c r="C445">
        <v>2</v>
      </c>
      <c r="D445">
        <v>1</v>
      </c>
      <c r="E445">
        <v>2</v>
      </c>
      <c r="F445">
        <v>27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122923</v>
      </c>
      <c r="N445">
        <v>124653</v>
      </c>
      <c r="O445">
        <v>126355</v>
      </c>
      <c r="P445">
        <v>114881</v>
      </c>
      <c r="Q445">
        <v>117213</v>
      </c>
      <c r="R445">
        <v>124793</v>
      </c>
      <c r="S445">
        <v>5704</v>
      </c>
      <c r="T445">
        <v>5930</v>
      </c>
      <c r="U445">
        <v>4000</v>
      </c>
      <c r="V445">
        <v>4003</v>
      </c>
      <c r="W445">
        <v>10033</v>
      </c>
      <c r="X445">
        <v>4400</v>
      </c>
      <c r="Y445">
        <v>0</v>
      </c>
    </row>
    <row r="446" spans="1:25" x14ac:dyDescent="0.3">
      <c r="A446">
        <v>445</v>
      </c>
      <c r="B446">
        <v>240000</v>
      </c>
      <c r="C446">
        <v>1</v>
      </c>
      <c r="D446">
        <v>1</v>
      </c>
      <c r="E446">
        <v>2</v>
      </c>
      <c r="F446">
        <v>44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246135</v>
      </c>
      <c r="N446">
        <v>231443</v>
      </c>
      <c r="O446">
        <v>234557</v>
      </c>
      <c r="P446">
        <v>200643</v>
      </c>
      <c r="Q446">
        <v>194410</v>
      </c>
      <c r="R446">
        <v>198857</v>
      </c>
      <c r="S446">
        <v>12026</v>
      </c>
      <c r="T446">
        <v>9010</v>
      </c>
      <c r="U446">
        <v>7400</v>
      </c>
      <c r="V446">
        <v>8000</v>
      </c>
      <c r="W446">
        <v>8000</v>
      </c>
      <c r="X446">
        <v>7000</v>
      </c>
      <c r="Y446">
        <v>1</v>
      </c>
    </row>
    <row r="447" spans="1:25" x14ac:dyDescent="0.3">
      <c r="A447">
        <v>446</v>
      </c>
      <c r="B447">
        <v>220000</v>
      </c>
      <c r="C447">
        <v>1</v>
      </c>
      <c r="D447">
        <v>2</v>
      </c>
      <c r="E447">
        <v>2</v>
      </c>
      <c r="F447">
        <v>34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37304</v>
      </c>
      <c r="N447">
        <v>33304</v>
      </c>
      <c r="O447">
        <v>29254</v>
      </c>
      <c r="P447">
        <v>24875</v>
      </c>
      <c r="Q447">
        <v>20329</v>
      </c>
      <c r="R447">
        <v>15602</v>
      </c>
      <c r="S447">
        <v>1600</v>
      </c>
      <c r="T447">
        <v>1500</v>
      </c>
      <c r="U447">
        <v>1100</v>
      </c>
      <c r="V447">
        <v>1000</v>
      </c>
      <c r="W447">
        <v>600</v>
      </c>
      <c r="X447">
        <v>500</v>
      </c>
      <c r="Y447">
        <v>0</v>
      </c>
    </row>
    <row r="448" spans="1:25" x14ac:dyDescent="0.3">
      <c r="A448">
        <v>447</v>
      </c>
      <c r="B448">
        <v>160000</v>
      </c>
      <c r="C448">
        <v>2</v>
      </c>
      <c r="D448">
        <v>1</v>
      </c>
      <c r="E448">
        <v>2</v>
      </c>
      <c r="F448">
        <v>28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146433</v>
      </c>
      <c r="N448">
        <v>107604</v>
      </c>
      <c r="O448">
        <v>89902</v>
      </c>
      <c r="P448">
        <v>90983</v>
      </c>
      <c r="Q448">
        <v>82255</v>
      </c>
      <c r="R448">
        <v>83988</v>
      </c>
      <c r="S448">
        <v>4500</v>
      </c>
      <c r="T448">
        <v>4400</v>
      </c>
      <c r="U448">
        <v>3000</v>
      </c>
      <c r="V448">
        <v>2400</v>
      </c>
      <c r="W448">
        <v>2500</v>
      </c>
      <c r="X448">
        <v>2500</v>
      </c>
      <c r="Y448">
        <v>0</v>
      </c>
    </row>
    <row r="449" spans="1:25" x14ac:dyDescent="0.3">
      <c r="A449">
        <v>448</v>
      </c>
      <c r="B449">
        <v>180000</v>
      </c>
      <c r="C449">
        <v>2</v>
      </c>
      <c r="D449">
        <v>1</v>
      </c>
      <c r="E449">
        <v>1</v>
      </c>
      <c r="F449">
        <v>53</v>
      </c>
      <c r="G449">
        <v>-1</v>
      </c>
      <c r="H449">
        <v>-1</v>
      </c>
      <c r="I449">
        <v>-1</v>
      </c>
      <c r="J449">
        <v>0</v>
      </c>
      <c r="K449">
        <v>0</v>
      </c>
      <c r="L449">
        <v>-1</v>
      </c>
      <c r="M449">
        <v>46122</v>
      </c>
      <c r="N449">
        <v>1260</v>
      </c>
      <c r="O449">
        <v>29366</v>
      </c>
      <c r="P449">
        <v>5400</v>
      </c>
      <c r="Q449">
        <v>0</v>
      </c>
      <c r="R449">
        <v>1599</v>
      </c>
      <c r="S449">
        <v>1260</v>
      </c>
      <c r="T449">
        <v>29366</v>
      </c>
      <c r="U449">
        <v>54</v>
      </c>
      <c r="V449">
        <v>0</v>
      </c>
      <c r="W449">
        <v>1599</v>
      </c>
      <c r="X449">
        <v>0</v>
      </c>
      <c r="Y449">
        <v>0</v>
      </c>
    </row>
    <row r="450" spans="1:25" x14ac:dyDescent="0.3">
      <c r="A450">
        <v>449</v>
      </c>
      <c r="B450">
        <v>200000</v>
      </c>
      <c r="C450">
        <v>1</v>
      </c>
      <c r="D450">
        <v>4</v>
      </c>
      <c r="E450">
        <v>1</v>
      </c>
      <c r="F450">
        <v>42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38564</v>
      </c>
      <c r="N450">
        <v>38246</v>
      </c>
      <c r="O450">
        <v>32253</v>
      </c>
      <c r="P450">
        <v>30384</v>
      </c>
      <c r="Q450">
        <v>30900</v>
      </c>
      <c r="R450">
        <v>0</v>
      </c>
      <c r="S450">
        <v>5000</v>
      </c>
      <c r="T450">
        <v>1485</v>
      </c>
      <c r="U450">
        <v>1956</v>
      </c>
      <c r="V450">
        <v>1500</v>
      </c>
      <c r="W450">
        <v>0</v>
      </c>
      <c r="X450">
        <v>2102</v>
      </c>
      <c r="Y450">
        <v>0</v>
      </c>
    </row>
    <row r="451" spans="1:25" x14ac:dyDescent="0.3">
      <c r="A451">
        <v>450</v>
      </c>
      <c r="B451">
        <v>140000</v>
      </c>
      <c r="C451">
        <v>2</v>
      </c>
      <c r="D451">
        <v>3</v>
      </c>
      <c r="E451">
        <v>1</v>
      </c>
      <c r="F451">
        <v>30</v>
      </c>
      <c r="G451">
        <v>0</v>
      </c>
      <c r="H451">
        <v>0</v>
      </c>
      <c r="I451">
        <v>0</v>
      </c>
      <c r="J451">
        <v>2</v>
      </c>
      <c r="K451">
        <v>0</v>
      </c>
      <c r="L451">
        <v>0</v>
      </c>
      <c r="M451">
        <v>96304</v>
      </c>
      <c r="N451">
        <v>98007</v>
      </c>
      <c r="O451">
        <v>82227</v>
      </c>
      <c r="P451">
        <v>65000</v>
      </c>
      <c r="Q451">
        <v>60848</v>
      </c>
      <c r="R451">
        <v>58880</v>
      </c>
      <c r="S451">
        <v>4505</v>
      </c>
      <c r="T451">
        <v>12906</v>
      </c>
      <c r="U451">
        <v>0</v>
      </c>
      <c r="V451">
        <v>2210</v>
      </c>
      <c r="W451">
        <v>2300</v>
      </c>
      <c r="X451">
        <v>5200</v>
      </c>
      <c r="Y451">
        <v>0</v>
      </c>
    </row>
    <row r="452" spans="1:25" x14ac:dyDescent="0.3">
      <c r="A452">
        <v>451</v>
      </c>
      <c r="B452">
        <v>380000</v>
      </c>
      <c r="C452">
        <v>1</v>
      </c>
      <c r="D452">
        <v>1</v>
      </c>
      <c r="E452">
        <v>1</v>
      </c>
      <c r="F452">
        <v>51</v>
      </c>
      <c r="G452">
        <v>1</v>
      </c>
      <c r="H452">
        <v>-2</v>
      </c>
      <c r="I452">
        <v>-2</v>
      </c>
      <c r="J452">
        <v>-2</v>
      </c>
      <c r="K452">
        <v>-2</v>
      </c>
      <c r="L452">
        <v>-2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</row>
    <row r="453" spans="1:25" x14ac:dyDescent="0.3">
      <c r="A453">
        <v>452</v>
      </c>
      <c r="B453">
        <v>600000</v>
      </c>
      <c r="C453">
        <v>1</v>
      </c>
      <c r="D453">
        <v>1</v>
      </c>
      <c r="E453">
        <v>1</v>
      </c>
      <c r="F453">
        <v>53</v>
      </c>
      <c r="G453">
        <v>2</v>
      </c>
      <c r="H453">
        <v>2</v>
      </c>
      <c r="I453">
        <v>0</v>
      </c>
      <c r="J453">
        <v>0</v>
      </c>
      <c r="K453">
        <v>0</v>
      </c>
      <c r="L453">
        <v>0</v>
      </c>
      <c r="M453">
        <v>467150</v>
      </c>
      <c r="N453">
        <v>458862</v>
      </c>
      <c r="O453">
        <v>469703</v>
      </c>
      <c r="P453">
        <v>447130</v>
      </c>
      <c r="Q453">
        <v>440982</v>
      </c>
      <c r="R453">
        <v>434715</v>
      </c>
      <c r="S453">
        <v>0</v>
      </c>
      <c r="T453">
        <v>18000</v>
      </c>
      <c r="U453">
        <v>16000</v>
      </c>
      <c r="V453">
        <v>16000</v>
      </c>
      <c r="W453">
        <v>21000</v>
      </c>
      <c r="X453">
        <v>20000</v>
      </c>
      <c r="Y453">
        <v>1</v>
      </c>
    </row>
    <row r="454" spans="1:25" x14ac:dyDescent="0.3">
      <c r="A454">
        <v>453</v>
      </c>
      <c r="B454">
        <v>260000</v>
      </c>
      <c r="C454">
        <v>1</v>
      </c>
      <c r="D454">
        <v>2</v>
      </c>
      <c r="E454">
        <v>2</v>
      </c>
      <c r="F454">
        <v>37</v>
      </c>
      <c r="G454">
        <v>0</v>
      </c>
      <c r="H454">
        <v>0</v>
      </c>
      <c r="I454">
        <v>0</v>
      </c>
      <c r="J454">
        <v>-1</v>
      </c>
      <c r="K454">
        <v>0</v>
      </c>
      <c r="L454">
        <v>0</v>
      </c>
      <c r="M454">
        <v>255691</v>
      </c>
      <c r="N454">
        <v>262736</v>
      </c>
      <c r="O454">
        <v>36638</v>
      </c>
      <c r="P454">
        <v>122388</v>
      </c>
      <c r="Q454">
        <v>127402</v>
      </c>
      <c r="R454">
        <v>131074</v>
      </c>
      <c r="S454">
        <v>14000</v>
      </c>
      <c r="T454">
        <v>5022</v>
      </c>
      <c r="U454">
        <v>130000</v>
      </c>
      <c r="V454">
        <v>7000</v>
      </c>
      <c r="W454">
        <v>6000</v>
      </c>
      <c r="X454">
        <v>6000</v>
      </c>
      <c r="Y454">
        <v>0</v>
      </c>
    </row>
    <row r="455" spans="1:25" x14ac:dyDescent="0.3">
      <c r="A455">
        <v>454</v>
      </c>
      <c r="B455">
        <v>200000</v>
      </c>
      <c r="C455">
        <v>2</v>
      </c>
      <c r="D455">
        <v>1</v>
      </c>
      <c r="E455">
        <v>2</v>
      </c>
      <c r="F455">
        <v>26</v>
      </c>
      <c r="G455">
        <v>0</v>
      </c>
      <c r="H455">
        <v>0</v>
      </c>
      <c r="I455">
        <v>-2</v>
      </c>
      <c r="J455">
        <v>-2</v>
      </c>
      <c r="K455">
        <v>-2</v>
      </c>
      <c r="L455">
        <v>-2</v>
      </c>
      <c r="M455">
        <v>156786</v>
      </c>
      <c r="N455">
        <v>179</v>
      </c>
      <c r="O455">
        <v>1443</v>
      </c>
      <c r="P455">
        <v>1443</v>
      </c>
      <c r="Q455">
        <v>1443</v>
      </c>
      <c r="R455">
        <v>871</v>
      </c>
      <c r="S455">
        <v>179</v>
      </c>
      <c r="T455">
        <v>1443</v>
      </c>
      <c r="U455">
        <v>1443</v>
      </c>
      <c r="V455">
        <v>1443</v>
      </c>
      <c r="W455">
        <v>871</v>
      </c>
      <c r="X455">
        <v>2015</v>
      </c>
      <c r="Y455">
        <v>0</v>
      </c>
    </row>
    <row r="456" spans="1:25" x14ac:dyDescent="0.3">
      <c r="A456">
        <v>455</v>
      </c>
      <c r="B456">
        <v>80000</v>
      </c>
      <c r="C456">
        <v>1</v>
      </c>
      <c r="D456">
        <v>2</v>
      </c>
      <c r="E456">
        <v>2</v>
      </c>
      <c r="F456">
        <v>42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78129</v>
      </c>
      <c r="N456">
        <v>28202</v>
      </c>
      <c r="O456">
        <v>78553</v>
      </c>
      <c r="P456">
        <v>49340</v>
      </c>
      <c r="Q456">
        <v>48919</v>
      </c>
      <c r="R456">
        <v>48443</v>
      </c>
      <c r="S456">
        <v>2500</v>
      </c>
      <c r="T456">
        <v>51432</v>
      </c>
      <c r="U456">
        <v>1800</v>
      </c>
      <c r="V456">
        <v>1800</v>
      </c>
      <c r="W456">
        <v>1800</v>
      </c>
      <c r="X456">
        <v>1700</v>
      </c>
      <c r="Y456">
        <v>0</v>
      </c>
    </row>
    <row r="457" spans="1:25" x14ac:dyDescent="0.3">
      <c r="A457">
        <v>456</v>
      </c>
      <c r="B457">
        <v>40000</v>
      </c>
      <c r="C457">
        <v>1</v>
      </c>
      <c r="D457">
        <v>2</v>
      </c>
      <c r="E457">
        <v>2</v>
      </c>
      <c r="F457">
        <v>39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-1</v>
      </c>
      <c r="M457">
        <v>40034</v>
      </c>
      <c r="N457">
        <v>36549</v>
      </c>
      <c r="O457">
        <v>17431</v>
      </c>
      <c r="P457">
        <v>15031</v>
      </c>
      <c r="Q457">
        <v>10600</v>
      </c>
      <c r="R457">
        <v>5315</v>
      </c>
      <c r="S457">
        <v>2027</v>
      </c>
      <c r="T457">
        <v>1207</v>
      </c>
      <c r="U457">
        <v>301</v>
      </c>
      <c r="V457">
        <v>212</v>
      </c>
      <c r="W457">
        <v>5315</v>
      </c>
      <c r="X457">
        <v>4987</v>
      </c>
      <c r="Y457">
        <v>0</v>
      </c>
    </row>
    <row r="458" spans="1:25" x14ac:dyDescent="0.3">
      <c r="A458">
        <v>457</v>
      </c>
      <c r="B458">
        <v>130000</v>
      </c>
      <c r="C458">
        <v>1</v>
      </c>
      <c r="D458">
        <v>3</v>
      </c>
      <c r="E458">
        <v>2</v>
      </c>
      <c r="F458">
        <v>39</v>
      </c>
      <c r="G458">
        <v>1</v>
      </c>
      <c r="H458">
        <v>2</v>
      </c>
      <c r="I458">
        <v>2</v>
      </c>
      <c r="J458">
        <v>2</v>
      </c>
      <c r="K458">
        <v>2</v>
      </c>
      <c r="L458">
        <v>2</v>
      </c>
      <c r="M458">
        <v>71034</v>
      </c>
      <c r="N458">
        <v>69329</v>
      </c>
      <c r="O458">
        <v>74175</v>
      </c>
      <c r="P458">
        <v>72383</v>
      </c>
      <c r="Q458">
        <v>77217</v>
      </c>
      <c r="R458">
        <v>75820</v>
      </c>
      <c r="S458">
        <v>0</v>
      </c>
      <c r="T458">
        <v>6000</v>
      </c>
      <c r="U458">
        <v>0</v>
      </c>
      <c r="V458">
        <v>6000</v>
      </c>
      <c r="W458">
        <v>0</v>
      </c>
      <c r="X458">
        <v>6000</v>
      </c>
      <c r="Y458">
        <v>0</v>
      </c>
    </row>
    <row r="459" spans="1:25" x14ac:dyDescent="0.3">
      <c r="A459">
        <v>458</v>
      </c>
      <c r="B459">
        <v>50000</v>
      </c>
      <c r="C459">
        <v>1</v>
      </c>
      <c r="D459">
        <v>1</v>
      </c>
      <c r="E459">
        <v>2</v>
      </c>
      <c r="F459">
        <v>32</v>
      </c>
      <c r="G459">
        <v>-1</v>
      </c>
      <c r="H459">
        <v>0</v>
      </c>
      <c r="I459">
        <v>0</v>
      </c>
      <c r="J459">
        <v>0</v>
      </c>
      <c r="K459">
        <v>0</v>
      </c>
      <c r="L459">
        <v>-2</v>
      </c>
      <c r="M459">
        <v>23974</v>
      </c>
      <c r="N459">
        <v>24131</v>
      </c>
      <c r="O459">
        <v>25326</v>
      </c>
      <c r="P459">
        <v>25775</v>
      </c>
      <c r="Q459">
        <v>0</v>
      </c>
      <c r="R459">
        <v>0</v>
      </c>
      <c r="S459">
        <v>1800</v>
      </c>
      <c r="T459">
        <v>1900</v>
      </c>
      <c r="U459">
        <v>1300</v>
      </c>
      <c r="V459">
        <v>0</v>
      </c>
      <c r="W459">
        <v>0</v>
      </c>
      <c r="X459">
        <v>0</v>
      </c>
      <c r="Y459">
        <v>0</v>
      </c>
    </row>
    <row r="460" spans="1:25" x14ac:dyDescent="0.3">
      <c r="A460">
        <v>459</v>
      </c>
      <c r="B460">
        <v>230000</v>
      </c>
      <c r="C460">
        <v>2</v>
      </c>
      <c r="D460">
        <v>2</v>
      </c>
      <c r="E460">
        <v>1</v>
      </c>
      <c r="F460">
        <v>41</v>
      </c>
      <c r="G460">
        <v>-1</v>
      </c>
      <c r="H460">
        <v>-1</v>
      </c>
      <c r="I460">
        <v>-1</v>
      </c>
      <c r="J460">
        <v>-1</v>
      </c>
      <c r="K460">
        <v>-1</v>
      </c>
      <c r="L460">
        <v>-1</v>
      </c>
      <c r="M460">
        <v>819</v>
      </c>
      <c r="N460">
        <v>18163</v>
      </c>
      <c r="O460">
        <v>5473</v>
      </c>
      <c r="P460">
        <v>8162</v>
      </c>
      <c r="Q460">
        <v>6985</v>
      </c>
      <c r="R460">
        <v>9130</v>
      </c>
      <c r="S460">
        <v>18163</v>
      </c>
      <c r="T460">
        <v>5654</v>
      </c>
      <c r="U460">
        <v>12887</v>
      </c>
      <c r="V460">
        <v>6985</v>
      </c>
      <c r="W460">
        <v>9130</v>
      </c>
      <c r="X460">
        <v>6554</v>
      </c>
      <c r="Y460">
        <v>0</v>
      </c>
    </row>
    <row r="461" spans="1:25" x14ac:dyDescent="0.3">
      <c r="A461">
        <v>460</v>
      </c>
      <c r="B461">
        <v>70000</v>
      </c>
      <c r="C461">
        <v>1</v>
      </c>
      <c r="D461">
        <v>2</v>
      </c>
      <c r="E461">
        <v>1</v>
      </c>
      <c r="F461">
        <v>48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-1</v>
      </c>
      <c r="M461">
        <v>50927</v>
      </c>
      <c r="N461">
        <v>39883</v>
      </c>
      <c r="O461">
        <v>32017</v>
      </c>
      <c r="P461">
        <v>17630</v>
      </c>
      <c r="Q461">
        <v>9730</v>
      </c>
      <c r="R461">
        <v>6400</v>
      </c>
      <c r="S461">
        <v>2100</v>
      </c>
      <c r="T461">
        <v>1217</v>
      </c>
      <c r="U461">
        <v>500</v>
      </c>
      <c r="V461">
        <v>0</v>
      </c>
      <c r="W461">
        <v>6400</v>
      </c>
      <c r="X461">
        <v>4590</v>
      </c>
      <c r="Y461">
        <v>1</v>
      </c>
    </row>
    <row r="462" spans="1:25" x14ac:dyDescent="0.3">
      <c r="A462">
        <v>461</v>
      </c>
      <c r="B462">
        <v>180000</v>
      </c>
      <c r="C462">
        <v>2</v>
      </c>
      <c r="D462">
        <v>2</v>
      </c>
      <c r="E462">
        <v>1</v>
      </c>
      <c r="F462">
        <v>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152510</v>
      </c>
      <c r="N462">
        <v>151651</v>
      </c>
      <c r="O462">
        <v>159019</v>
      </c>
      <c r="P462">
        <v>123022</v>
      </c>
      <c r="Q462">
        <v>126075</v>
      </c>
      <c r="R462">
        <v>126219</v>
      </c>
      <c r="S462">
        <v>5657</v>
      </c>
      <c r="T462">
        <v>10372</v>
      </c>
      <c r="U462">
        <v>5000</v>
      </c>
      <c r="V462">
        <v>5000</v>
      </c>
      <c r="W462">
        <v>5000</v>
      </c>
      <c r="X462">
        <v>5000</v>
      </c>
      <c r="Y462">
        <v>0</v>
      </c>
    </row>
    <row r="463" spans="1:25" x14ac:dyDescent="0.3">
      <c r="A463">
        <v>462</v>
      </c>
      <c r="B463">
        <v>80000</v>
      </c>
      <c r="C463">
        <v>2</v>
      </c>
      <c r="D463">
        <v>2</v>
      </c>
      <c r="E463">
        <v>1</v>
      </c>
      <c r="F463">
        <v>36</v>
      </c>
      <c r="G463">
        <v>-1</v>
      </c>
      <c r="H463">
        <v>-1</v>
      </c>
      <c r="I463">
        <v>-1</v>
      </c>
      <c r="J463">
        <v>-1</v>
      </c>
      <c r="K463">
        <v>-1</v>
      </c>
      <c r="L463">
        <v>-1</v>
      </c>
      <c r="M463">
        <v>1689</v>
      </c>
      <c r="N463">
        <v>8638</v>
      </c>
      <c r="O463">
        <v>5702</v>
      </c>
      <c r="P463">
        <v>2980</v>
      </c>
      <c r="Q463">
        <v>1260</v>
      </c>
      <c r="R463">
        <v>7868</v>
      </c>
      <c r="S463">
        <v>8638</v>
      </c>
      <c r="T463">
        <v>5723</v>
      </c>
      <c r="U463">
        <v>2980</v>
      </c>
      <c r="V463">
        <v>1260</v>
      </c>
      <c r="W463">
        <v>7868</v>
      </c>
      <c r="X463">
        <v>2198</v>
      </c>
      <c r="Y463">
        <v>0</v>
      </c>
    </row>
    <row r="464" spans="1:25" x14ac:dyDescent="0.3">
      <c r="A464">
        <v>463</v>
      </c>
      <c r="B464">
        <v>290000</v>
      </c>
      <c r="C464">
        <v>2</v>
      </c>
      <c r="D464">
        <v>2</v>
      </c>
      <c r="E464">
        <v>2</v>
      </c>
      <c r="F464">
        <v>26</v>
      </c>
      <c r="G464">
        <v>0</v>
      </c>
      <c r="H464">
        <v>0</v>
      </c>
      <c r="I464">
        <v>0</v>
      </c>
      <c r="J464">
        <v>-1</v>
      </c>
      <c r="K464">
        <v>-1</v>
      </c>
      <c r="L464">
        <v>0</v>
      </c>
      <c r="M464">
        <v>20807</v>
      </c>
      <c r="N464">
        <v>99860</v>
      </c>
      <c r="O464">
        <v>100000</v>
      </c>
      <c r="P464">
        <v>3015</v>
      </c>
      <c r="Q464">
        <v>23473</v>
      </c>
      <c r="R464">
        <v>1448</v>
      </c>
      <c r="S464">
        <v>80000</v>
      </c>
      <c r="T464">
        <v>3000</v>
      </c>
      <c r="U464">
        <v>3015</v>
      </c>
      <c r="V464">
        <v>23473</v>
      </c>
      <c r="W464">
        <v>1148</v>
      </c>
      <c r="X464">
        <v>4900</v>
      </c>
      <c r="Y464">
        <v>0</v>
      </c>
    </row>
    <row r="465" spans="1:25" x14ac:dyDescent="0.3">
      <c r="A465">
        <v>464</v>
      </c>
      <c r="B465">
        <v>230000</v>
      </c>
      <c r="C465">
        <v>2</v>
      </c>
      <c r="D465">
        <v>1</v>
      </c>
      <c r="E465">
        <v>2</v>
      </c>
      <c r="F465">
        <v>28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30141</v>
      </c>
      <c r="N465">
        <v>131255</v>
      </c>
      <c r="O465">
        <v>110503</v>
      </c>
      <c r="P465">
        <v>99283</v>
      </c>
      <c r="Q465">
        <v>97599</v>
      </c>
      <c r="R465">
        <v>96116</v>
      </c>
      <c r="S465">
        <v>120093</v>
      </c>
      <c r="T465">
        <v>8034</v>
      </c>
      <c r="U465">
        <v>3013</v>
      </c>
      <c r="V465">
        <v>4010</v>
      </c>
      <c r="W465">
        <v>5882</v>
      </c>
      <c r="X465">
        <v>3000</v>
      </c>
      <c r="Y465">
        <v>0</v>
      </c>
    </row>
    <row r="466" spans="1:25" x14ac:dyDescent="0.3">
      <c r="A466">
        <v>465</v>
      </c>
      <c r="B466">
        <v>170000</v>
      </c>
      <c r="C466">
        <v>2</v>
      </c>
      <c r="D466">
        <v>3</v>
      </c>
      <c r="E466">
        <v>3</v>
      </c>
      <c r="F466">
        <v>56</v>
      </c>
      <c r="G466">
        <v>1</v>
      </c>
      <c r="H466">
        <v>-2</v>
      </c>
      <c r="I466">
        <v>-1</v>
      </c>
      <c r="J466">
        <v>-1</v>
      </c>
      <c r="K466">
        <v>-2</v>
      </c>
      <c r="L466">
        <v>-1</v>
      </c>
      <c r="M466">
        <v>0</v>
      </c>
      <c r="N466">
        <v>0</v>
      </c>
      <c r="O466">
        <v>1991</v>
      </c>
      <c r="P466">
        <v>0</v>
      </c>
      <c r="Q466">
        <v>0</v>
      </c>
      <c r="R466">
        <v>150</v>
      </c>
      <c r="S466">
        <v>0</v>
      </c>
      <c r="T466">
        <v>1991</v>
      </c>
      <c r="U466">
        <v>0</v>
      </c>
      <c r="V466">
        <v>0</v>
      </c>
      <c r="W466">
        <v>150</v>
      </c>
      <c r="X466">
        <v>614</v>
      </c>
      <c r="Y466">
        <v>0</v>
      </c>
    </row>
    <row r="467" spans="1:25" x14ac:dyDescent="0.3">
      <c r="A467">
        <v>466</v>
      </c>
      <c r="B467">
        <v>230000</v>
      </c>
      <c r="C467">
        <v>1</v>
      </c>
      <c r="D467">
        <v>1</v>
      </c>
      <c r="E467">
        <v>1</v>
      </c>
      <c r="F467">
        <v>59</v>
      </c>
      <c r="G467">
        <v>-1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208459</v>
      </c>
      <c r="N467">
        <v>206331</v>
      </c>
      <c r="O467">
        <v>203813</v>
      </c>
      <c r="P467">
        <v>201331</v>
      </c>
      <c r="Q467">
        <v>198999</v>
      </c>
      <c r="R467">
        <v>191671</v>
      </c>
      <c r="S467">
        <v>7536</v>
      </c>
      <c r="T467">
        <v>7277</v>
      </c>
      <c r="U467">
        <v>7100</v>
      </c>
      <c r="V467">
        <v>7120</v>
      </c>
      <c r="W467">
        <v>6844</v>
      </c>
      <c r="X467">
        <v>6945</v>
      </c>
      <c r="Y467">
        <v>1</v>
      </c>
    </row>
    <row r="468" spans="1:25" x14ac:dyDescent="0.3">
      <c r="A468">
        <v>467</v>
      </c>
      <c r="B468">
        <v>220000</v>
      </c>
      <c r="C468">
        <v>1</v>
      </c>
      <c r="D468">
        <v>1</v>
      </c>
      <c r="E468">
        <v>2</v>
      </c>
      <c r="F468">
        <v>38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212795</v>
      </c>
      <c r="N468">
        <v>211043</v>
      </c>
      <c r="O468">
        <v>212759</v>
      </c>
      <c r="P468">
        <v>218541</v>
      </c>
      <c r="Q468">
        <v>167743</v>
      </c>
      <c r="R468">
        <v>165300</v>
      </c>
      <c r="S468">
        <v>8909</v>
      </c>
      <c r="T468">
        <v>7500</v>
      </c>
      <c r="U468">
        <v>9000</v>
      </c>
      <c r="V468">
        <v>6729</v>
      </c>
      <c r="W468">
        <v>6000</v>
      </c>
      <c r="X468">
        <v>7009</v>
      </c>
      <c r="Y468">
        <v>1</v>
      </c>
    </row>
    <row r="469" spans="1:25" x14ac:dyDescent="0.3">
      <c r="A469">
        <v>468</v>
      </c>
      <c r="B469">
        <v>230000</v>
      </c>
      <c r="C469">
        <v>1</v>
      </c>
      <c r="D469">
        <v>2</v>
      </c>
      <c r="E469">
        <v>2</v>
      </c>
      <c r="F469">
        <v>32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28114</v>
      </c>
      <c r="N469">
        <v>28006</v>
      </c>
      <c r="O469">
        <v>25000</v>
      </c>
      <c r="P469">
        <v>22046</v>
      </c>
      <c r="Q469">
        <v>19860</v>
      </c>
      <c r="R469">
        <v>19831</v>
      </c>
      <c r="S469">
        <v>1610</v>
      </c>
      <c r="T469">
        <v>1224</v>
      </c>
      <c r="U469">
        <v>655</v>
      </c>
      <c r="V469">
        <v>627</v>
      </c>
      <c r="W469">
        <v>620</v>
      </c>
      <c r="X469">
        <v>500</v>
      </c>
      <c r="Y469">
        <v>0</v>
      </c>
    </row>
    <row r="470" spans="1:25" x14ac:dyDescent="0.3">
      <c r="A470">
        <v>469</v>
      </c>
      <c r="B470">
        <v>500000</v>
      </c>
      <c r="C470">
        <v>1</v>
      </c>
      <c r="D470">
        <v>2</v>
      </c>
      <c r="E470">
        <v>1</v>
      </c>
      <c r="F470">
        <v>38</v>
      </c>
      <c r="G470">
        <v>0</v>
      </c>
      <c r="H470">
        <v>0</v>
      </c>
      <c r="I470">
        <v>0</v>
      </c>
      <c r="J470">
        <v>-1</v>
      </c>
      <c r="K470">
        <v>0</v>
      </c>
      <c r="L470">
        <v>0</v>
      </c>
      <c r="M470">
        <v>59372</v>
      </c>
      <c r="N470">
        <v>49677</v>
      </c>
      <c r="O470">
        <v>49515</v>
      </c>
      <c r="P470">
        <v>42568</v>
      </c>
      <c r="Q470">
        <v>48268</v>
      </c>
      <c r="R470">
        <v>51481</v>
      </c>
      <c r="S470">
        <v>10026</v>
      </c>
      <c r="T470">
        <v>7241</v>
      </c>
      <c r="U470">
        <v>50091</v>
      </c>
      <c r="V470">
        <v>25000</v>
      </c>
      <c r="W470">
        <v>5078</v>
      </c>
      <c r="X470">
        <v>2132</v>
      </c>
      <c r="Y470">
        <v>0</v>
      </c>
    </row>
    <row r="471" spans="1:25" x14ac:dyDescent="0.3">
      <c r="A471">
        <v>470</v>
      </c>
      <c r="B471">
        <v>90000</v>
      </c>
      <c r="C471">
        <v>2</v>
      </c>
      <c r="D471">
        <v>1</v>
      </c>
      <c r="E471">
        <v>1</v>
      </c>
      <c r="F471">
        <v>41</v>
      </c>
      <c r="G471">
        <v>-1</v>
      </c>
      <c r="H471">
        <v>-1</v>
      </c>
      <c r="I471">
        <v>-1</v>
      </c>
      <c r="J471">
        <v>-1</v>
      </c>
      <c r="K471">
        <v>-1</v>
      </c>
      <c r="L471">
        <v>-1</v>
      </c>
      <c r="M471">
        <v>6160</v>
      </c>
      <c r="N471">
        <v>3274</v>
      </c>
      <c r="O471">
        <v>6190</v>
      </c>
      <c r="P471">
        <v>307</v>
      </c>
      <c r="Q471">
        <v>2870</v>
      </c>
      <c r="R471">
        <v>670</v>
      </c>
      <c r="S471">
        <v>3276</v>
      </c>
      <c r="T471">
        <v>6246</v>
      </c>
      <c r="U471">
        <v>307</v>
      </c>
      <c r="V471">
        <v>2870</v>
      </c>
      <c r="W471">
        <v>670</v>
      </c>
      <c r="X471">
        <v>1362</v>
      </c>
      <c r="Y471">
        <v>0</v>
      </c>
    </row>
    <row r="472" spans="1:25" x14ac:dyDescent="0.3">
      <c r="A472">
        <v>471</v>
      </c>
      <c r="B472">
        <v>390000</v>
      </c>
      <c r="C472">
        <v>2</v>
      </c>
      <c r="D472">
        <v>3</v>
      </c>
      <c r="E472">
        <v>2</v>
      </c>
      <c r="F472">
        <v>35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355215</v>
      </c>
      <c r="N472">
        <v>363325</v>
      </c>
      <c r="O472">
        <v>373181</v>
      </c>
      <c r="P472">
        <v>252195</v>
      </c>
      <c r="Q472">
        <v>257496</v>
      </c>
      <c r="R472">
        <v>263018</v>
      </c>
      <c r="S472">
        <v>13802</v>
      </c>
      <c r="T472">
        <v>16525</v>
      </c>
      <c r="U472">
        <v>8893</v>
      </c>
      <c r="V472">
        <v>9229</v>
      </c>
      <c r="W472">
        <v>10000</v>
      </c>
      <c r="X472">
        <v>9435</v>
      </c>
      <c r="Y472">
        <v>1</v>
      </c>
    </row>
    <row r="473" spans="1:25" x14ac:dyDescent="0.3">
      <c r="A473">
        <v>472</v>
      </c>
      <c r="B473">
        <v>400000</v>
      </c>
      <c r="C473">
        <v>2</v>
      </c>
      <c r="D473">
        <v>2</v>
      </c>
      <c r="E473">
        <v>2</v>
      </c>
      <c r="F473">
        <v>41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366193</v>
      </c>
      <c r="N473">
        <v>372700</v>
      </c>
      <c r="O473">
        <v>375948</v>
      </c>
      <c r="P473">
        <v>195991</v>
      </c>
      <c r="Q473">
        <v>152127</v>
      </c>
      <c r="R473">
        <v>155182</v>
      </c>
      <c r="S473">
        <v>14020</v>
      </c>
      <c r="T473">
        <v>13595</v>
      </c>
      <c r="U473">
        <v>6243</v>
      </c>
      <c r="V473">
        <v>6007</v>
      </c>
      <c r="W473">
        <v>6061</v>
      </c>
      <c r="X473">
        <v>6012</v>
      </c>
      <c r="Y473">
        <v>0</v>
      </c>
    </row>
    <row r="474" spans="1:25" x14ac:dyDescent="0.3">
      <c r="A474">
        <v>473</v>
      </c>
      <c r="B474">
        <v>180000</v>
      </c>
      <c r="C474">
        <v>1</v>
      </c>
      <c r="D474">
        <v>2</v>
      </c>
      <c r="E474">
        <v>1</v>
      </c>
      <c r="F474">
        <v>34</v>
      </c>
      <c r="G474">
        <v>-1</v>
      </c>
      <c r="H474">
        <v>-1</v>
      </c>
      <c r="I474">
        <v>-1</v>
      </c>
      <c r="J474">
        <v>-1</v>
      </c>
      <c r="K474">
        <v>-1</v>
      </c>
      <c r="L474">
        <v>-1</v>
      </c>
      <c r="M474">
        <v>2927</v>
      </c>
      <c r="N474">
        <v>2790</v>
      </c>
      <c r="O474">
        <v>1140</v>
      </c>
      <c r="P474">
        <v>2144</v>
      </c>
      <c r="Q474">
        <v>1180</v>
      </c>
      <c r="R474">
        <v>1382</v>
      </c>
      <c r="S474">
        <v>2790</v>
      </c>
      <c r="T474">
        <v>1140</v>
      </c>
      <c r="U474">
        <v>2144</v>
      </c>
      <c r="V474">
        <v>1180</v>
      </c>
      <c r="W474">
        <v>1382</v>
      </c>
      <c r="X474">
        <v>2440</v>
      </c>
      <c r="Y474">
        <v>0</v>
      </c>
    </row>
    <row r="475" spans="1:25" x14ac:dyDescent="0.3">
      <c r="A475">
        <v>474</v>
      </c>
      <c r="B475">
        <v>60000</v>
      </c>
      <c r="C475">
        <v>1</v>
      </c>
      <c r="D475">
        <v>3</v>
      </c>
      <c r="E475">
        <v>1</v>
      </c>
      <c r="F475">
        <v>38</v>
      </c>
      <c r="G475">
        <v>1</v>
      </c>
      <c r="H475">
        <v>2</v>
      </c>
      <c r="I475">
        <v>2</v>
      </c>
      <c r="J475">
        <v>0</v>
      </c>
      <c r="K475">
        <v>0</v>
      </c>
      <c r="L475">
        <v>2</v>
      </c>
      <c r="M475">
        <v>29295</v>
      </c>
      <c r="N475">
        <v>30321</v>
      </c>
      <c r="O475">
        <v>31018</v>
      </c>
      <c r="P475">
        <v>32193</v>
      </c>
      <c r="Q475">
        <v>34213</v>
      </c>
      <c r="R475">
        <v>35002</v>
      </c>
      <c r="S475">
        <v>1800</v>
      </c>
      <c r="T475">
        <v>1500</v>
      </c>
      <c r="U475">
        <v>2000</v>
      </c>
      <c r="V475">
        <v>2700</v>
      </c>
      <c r="W475">
        <v>1500</v>
      </c>
      <c r="X475">
        <v>0</v>
      </c>
      <c r="Y475">
        <v>0</v>
      </c>
    </row>
    <row r="476" spans="1:25" x14ac:dyDescent="0.3">
      <c r="A476">
        <v>475</v>
      </c>
      <c r="B476">
        <v>120000</v>
      </c>
      <c r="C476">
        <v>2</v>
      </c>
      <c r="D476">
        <v>2</v>
      </c>
      <c r="E476">
        <v>1</v>
      </c>
      <c r="F476">
        <v>32</v>
      </c>
      <c r="G476">
        <v>-1</v>
      </c>
      <c r="H476">
        <v>-1</v>
      </c>
      <c r="I476">
        <v>-1</v>
      </c>
      <c r="J476">
        <v>-1</v>
      </c>
      <c r="K476">
        <v>-1</v>
      </c>
      <c r="L476">
        <v>-1</v>
      </c>
      <c r="M476">
        <v>4158</v>
      </c>
      <c r="N476">
        <v>2682</v>
      </c>
      <c r="O476">
        <v>0</v>
      </c>
      <c r="P476">
        <v>6440</v>
      </c>
      <c r="Q476">
        <v>0</v>
      </c>
      <c r="R476">
        <v>5930</v>
      </c>
      <c r="S476">
        <v>2682</v>
      </c>
      <c r="T476">
        <v>0</v>
      </c>
      <c r="U476">
        <v>6440</v>
      </c>
      <c r="V476">
        <v>0</v>
      </c>
      <c r="W476">
        <v>5930</v>
      </c>
      <c r="X476">
        <v>5120</v>
      </c>
      <c r="Y476">
        <v>0</v>
      </c>
    </row>
    <row r="477" spans="1:25" x14ac:dyDescent="0.3">
      <c r="A477">
        <v>476</v>
      </c>
      <c r="B477">
        <v>60000</v>
      </c>
      <c r="C477">
        <v>2</v>
      </c>
      <c r="D477">
        <v>2</v>
      </c>
      <c r="E477">
        <v>2</v>
      </c>
      <c r="F477">
        <v>29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27199</v>
      </c>
      <c r="N477">
        <v>28358</v>
      </c>
      <c r="O477">
        <v>28937</v>
      </c>
      <c r="P477">
        <v>29614</v>
      </c>
      <c r="Q477">
        <v>30391</v>
      </c>
      <c r="R477">
        <v>23159</v>
      </c>
      <c r="S477">
        <v>1900</v>
      </c>
      <c r="T477">
        <v>1400</v>
      </c>
      <c r="U477">
        <v>1000</v>
      </c>
      <c r="V477">
        <v>1100</v>
      </c>
      <c r="W477">
        <v>1000</v>
      </c>
      <c r="X477">
        <v>420</v>
      </c>
      <c r="Y477">
        <v>0</v>
      </c>
    </row>
    <row r="478" spans="1:25" x14ac:dyDescent="0.3">
      <c r="A478">
        <v>477</v>
      </c>
      <c r="B478">
        <v>50000</v>
      </c>
      <c r="C478">
        <v>1</v>
      </c>
      <c r="D478">
        <v>1</v>
      </c>
      <c r="E478">
        <v>2</v>
      </c>
      <c r="F478">
        <v>44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50893</v>
      </c>
      <c r="N478">
        <v>28527</v>
      </c>
      <c r="O478">
        <v>29241</v>
      </c>
      <c r="P478">
        <v>28513</v>
      </c>
      <c r="Q478">
        <v>29106</v>
      </c>
      <c r="R478">
        <v>29638</v>
      </c>
      <c r="S478">
        <v>1800</v>
      </c>
      <c r="T478">
        <v>1500</v>
      </c>
      <c r="U478">
        <v>1200</v>
      </c>
      <c r="V478">
        <v>1203</v>
      </c>
      <c r="W478">
        <v>1166</v>
      </c>
      <c r="X478">
        <v>1000</v>
      </c>
      <c r="Y478">
        <v>0</v>
      </c>
    </row>
    <row r="479" spans="1:25" x14ac:dyDescent="0.3">
      <c r="A479">
        <v>478</v>
      </c>
      <c r="B479">
        <v>70000</v>
      </c>
      <c r="C479">
        <v>2</v>
      </c>
      <c r="D479">
        <v>2</v>
      </c>
      <c r="E479">
        <v>1</v>
      </c>
      <c r="F479">
        <v>37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66759</v>
      </c>
      <c r="N479">
        <v>68200</v>
      </c>
      <c r="O479">
        <v>72972</v>
      </c>
      <c r="P479">
        <v>71248</v>
      </c>
      <c r="Q479">
        <v>50610</v>
      </c>
      <c r="R479">
        <v>50809</v>
      </c>
      <c r="S479">
        <v>2518</v>
      </c>
      <c r="T479">
        <v>5950</v>
      </c>
      <c r="U479">
        <v>0</v>
      </c>
      <c r="V479">
        <v>1782</v>
      </c>
      <c r="W479">
        <v>1985</v>
      </c>
      <c r="X479">
        <v>2700</v>
      </c>
      <c r="Y479">
        <v>0</v>
      </c>
    </row>
    <row r="480" spans="1:25" x14ac:dyDescent="0.3">
      <c r="A480">
        <v>479</v>
      </c>
      <c r="B480">
        <v>500000</v>
      </c>
      <c r="C480">
        <v>2</v>
      </c>
      <c r="D480">
        <v>1</v>
      </c>
      <c r="E480">
        <v>1</v>
      </c>
      <c r="F480">
        <v>38</v>
      </c>
      <c r="G480">
        <v>-1</v>
      </c>
      <c r="H480">
        <v>2</v>
      </c>
      <c r="I480">
        <v>-1</v>
      </c>
      <c r="J480">
        <v>-1</v>
      </c>
      <c r="K480">
        <v>-1</v>
      </c>
      <c r="L480">
        <v>0</v>
      </c>
      <c r="M480">
        <v>600</v>
      </c>
      <c r="N480">
        <v>300</v>
      </c>
      <c r="O480">
        <v>501</v>
      </c>
      <c r="P480">
        <v>300</v>
      </c>
      <c r="Q480">
        <v>600</v>
      </c>
      <c r="R480">
        <v>450</v>
      </c>
      <c r="S480">
        <v>0</v>
      </c>
      <c r="T480">
        <v>501</v>
      </c>
      <c r="U480">
        <v>300</v>
      </c>
      <c r="V480">
        <v>600</v>
      </c>
      <c r="W480">
        <v>300</v>
      </c>
      <c r="X480">
        <v>600</v>
      </c>
      <c r="Y480">
        <v>0</v>
      </c>
    </row>
    <row r="481" spans="1:25" x14ac:dyDescent="0.3">
      <c r="A481">
        <v>480</v>
      </c>
      <c r="B481">
        <v>200000</v>
      </c>
      <c r="C481">
        <v>1</v>
      </c>
      <c r="D481">
        <v>1</v>
      </c>
      <c r="E481">
        <v>2</v>
      </c>
      <c r="F481">
        <v>31</v>
      </c>
      <c r="G481">
        <v>-2</v>
      </c>
      <c r="H481">
        <v>-2</v>
      </c>
      <c r="I481">
        <v>-2</v>
      </c>
      <c r="J481">
        <v>-2</v>
      </c>
      <c r="K481">
        <v>-2</v>
      </c>
      <c r="L481">
        <v>-2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</row>
    <row r="482" spans="1:25" x14ac:dyDescent="0.3">
      <c r="A482">
        <v>481</v>
      </c>
      <c r="B482">
        <v>250000</v>
      </c>
      <c r="C482">
        <v>2</v>
      </c>
      <c r="D482">
        <v>2</v>
      </c>
      <c r="E482">
        <v>1</v>
      </c>
      <c r="F482">
        <v>40</v>
      </c>
      <c r="G482">
        <v>0</v>
      </c>
      <c r="H482">
        <v>0</v>
      </c>
      <c r="I482">
        <v>0</v>
      </c>
      <c r="J482">
        <v>0</v>
      </c>
      <c r="K482">
        <v>-1</v>
      </c>
      <c r="L482">
        <v>2</v>
      </c>
      <c r="M482">
        <v>44930</v>
      </c>
      <c r="N482">
        <v>137101</v>
      </c>
      <c r="O482">
        <v>90801</v>
      </c>
      <c r="P482">
        <v>0</v>
      </c>
      <c r="Q482">
        <v>1069</v>
      </c>
      <c r="R482">
        <v>919</v>
      </c>
      <c r="S482">
        <v>120041</v>
      </c>
      <c r="T482">
        <v>4435</v>
      </c>
      <c r="U482">
        <v>0</v>
      </c>
      <c r="V482">
        <v>1069</v>
      </c>
      <c r="W482">
        <v>0</v>
      </c>
      <c r="X482">
        <v>67619</v>
      </c>
      <c r="Y482">
        <v>0</v>
      </c>
    </row>
    <row r="483" spans="1:25" x14ac:dyDescent="0.3">
      <c r="A483">
        <v>482</v>
      </c>
      <c r="B483">
        <v>140000</v>
      </c>
      <c r="C483">
        <v>1</v>
      </c>
      <c r="D483">
        <v>2</v>
      </c>
      <c r="E483">
        <v>2</v>
      </c>
      <c r="F483">
        <v>26</v>
      </c>
      <c r="G483">
        <v>0</v>
      </c>
      <c r="H483">
        <v>0</v>
      </c>
      <c r="I483">
        <v>2</v>
      </c>
      <c r="J483">
        <v>2</v>
      </c>
      <c r="K483">
        <v>2</v>
      </c>
      <c r="L483">
        <v>2</v>
      </c>
      <c r="M483">
        <v>131367</v>
      </c>
      <c r="N483">
        <v>146193</v>
      </c>
      <c r="O483">
        <v>140202</v>
      </c>
      <c r="P483">
        <v>144035</v>
      </c>
      <c r="Q483">
        <v>140419</v>
      </c>
      <c r="R483">
        <v>130271</v>
      </c>
      <c r="S483">
        <v>17000</v>
      </c>
      <c r="T483">
        <v>0</v>
      </c>
      <c r="U483">
        <v>11400</v>
      </c>
      <c r="V483">
        <v>550</v>
      </c>
      <c r="W483">
        <v>5300</v>
      </c>
      <c r="X483">
        <v>5400</v>
      </c>
      <c r="Y483">
        <v>1</v>
      </c>
    </row>
    <row r="484" spans="1:25" x14ac:dyDescent="0.3">
      <c r="A484">
        <v>483</v>
      </c>
      <c r="B484">
        <v>70000</v>
      </c>
      <c r="C484">
        <v>2</v>
      </c>
      <c r="D484">
        <v>2</v>
      </c>
      <c r="E484">
        <v>2</v>
      </c>
      <c r="F484">
        <v>28</v>
      </c>
      <c r="G484">
        <v>0</v>
      </c>
      <c r="H484">
        <v>0</v>
      </c>
      <c r="I484">
        <v>0</v>
      </c>
      <c r="J484">
        <v>0</v>
      </c>
      <c r="K484">
        <v>-1</v>
      </c>
      <c r="L484">
        <v>2</v>
      </c>
      <c r="M484">
        <v>41264</v>
      </c>
      <c r="N484">
        <v>41799</v>
      </c>
      <c r="O484">
        <v>37887</v>
      </c>
      <c r="P484">
        <v>37876</v>
      </c>
      <c r="Q484">
        <v>6736</v>
      </c>
      <c r="R484">
        <v>4162</v>
      </c>
      <c r="S484">
        <v>2112</v>
      </c>
      <c r="T484">
        <v>1200</v>
      </c>
      <c r="U484">
        <v>758</v>
      </c>
      <c r="V484">
        <v>6736</v>
      </c>
      <c r="W484">
        <v>0</v>
      </c>
      <c r="X484">
        <v>0</v>
      </c>
      <c r="Y484">
        <v>0</v>
      </c>
    </row>
    <row r="485" spans="1:25" x14ac:dyDescent="0.3">
      <c r="A485">
        <v>484</v>
      </c>
      <c r="B485">
        <v>90000</v>
      </c>
      <c r="C485">
        <v>1</v>
      </c>
      <c r="D485">
        <v>3</v>
      </c>
      <c r="E485">
        <v>1</v>
      </c>
      <c r="F485">
        <v>48</v>
      </c>
      <c r="G485">
        <v>1</v>
      </c>
      <c r="H485">
        <v>2</v>
      </c>
      <c r="I485">
        <v>2</v>
      </c>
      <c r="J485">
        <v>2</v>
      </c>
      <c r="K485">
        <v>2</v>
      </c>
      <c r="L485">
        <v>2</v>
      </c>
      <c r="M485">
        <v>77604</v>
      </c>
      <c r="N485">
        <v>73317</v>
      </c>
      <c r="O485">
        <v>71334</v>
      </c>
      <c r="P485">
        <v>67009</v>
      </c>
      <c r="Q485">
        <v>63228</v>
      </c>
      <c r="R485">
        <v>59378</v>
      </c>
      <c r="S485">
        <v>1700</v>
      </c>
      <c r="T485">
        <v>4000</v>
      </c>
      <c r="U485">
        <v>1600</v>
      </c>
      <c r="V485">
        <v>1600</v>
      </c>
      <c r="W485">
        <v>1500</v>
      </c>
      <c r="X485">
        <v>4086</v>
      </c>
      <c r="Y485">
        <v>0</v>
      </c>
    </row>
    <row r="486" spans="1:25" x14ac:dyDescent="0.3">
      <c r="A486">
        <v>485</v>
      </c>
      <c r="B486">
        <v>100000</v>
      </c>
      <c r="C486">
        <v>2</v>
      </c>
      <c r="D486">
        <v>2</v>
      </c>
      <c r="E486">
        <v>1</v>
      </c>
      <c r="F486">
        <v>43</v>
      </c>
      <c r="G486">
        <v>-1</v>
      </c>
      <c r="H486">
        <v>-1</v>
      </c>
      <c r="I486">
        <v>-1</v>
      </c>
      <c r="J486">
        <v>-1</v>
      </c>
      <c r="K486">
        <v>-1</v>
      </c>
      <c r="L486">
        <v>-1</v>
      </c>
      <c r="M486">
        <v>2491</v>
      </c>
      <c r="N486">
        <v>1709</v>
      </c>
      <c r="O486">
        <v>574</v>
      </c>
      <c r="P486">
        <v>556</v>
      </c>
      <c r="Q486">
        <v>2306</v>
      </c>
      <c r="R486">
        <v>2562</v>
      </c>
      <c r="S486">
        <v>1709</v>
      </c>
      <c r="T486">
        <v>574</v>
      </c>
      <c r="U486">
        <v>556</v>
      </c>
      <c r="V486">
        <v>2306</v>
      </c>
      <c r="W486">
        <v>2562</v>
      </c>
      <c r="X486">
        <v>2111</v>
      </c>
      <c r="Y486">
        <v>0</v>
      </c>
    </row>
    <row r="487" spans="1:25" x14ac:dyDescent="0.3">
      <c r="A487">
        <v>486</v>
      </c>
      <c r="B487">
        <v>190000</v>
      </c>
      <c r="C487">
        <v>1</v>
      </c>
      <c r="D487">
        <v>2</v>
      </c>
      <c r="E487">
        <v>1</v>
      </c>
      <c r="F487">
        <v>31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177554</v>
      </c>
      <c r="N487">
        <v>180633</v>
      </c>
      <c r="O487">
        <v>172914</v>
      </c>
      <c r="P487">
        <v>130139</v>
      </c>
      <c r="Q487">
        <v>115494</v>
      </c>
      <c r="R487">
        <v>117465</v>
      </c>
      <c r="S487">
        <v>7600</v>
      </c>
      <c r="T487">
        <v>6303</v>
      </c>
      <c r="U487">
        <v>4137</v>
      </c>
      <c r="V487">
        <v>3502</v>
      </c>
      <c r="W487">
        <v>4027</v>
      </c>
      <c r="X487">
        <v>3517</v>
      </c>
      <c r="Y487">
        <v>0</v>
      </c>
    </row>
    <row r="488" spans="1:25" x14ac:dyDescent="0.3">
      <c r="A488">
        <v>487</v>
      </c>
      <c r="B488">
        <v>230000</v>
      </c>
      <c r="C488">
        <v>2</v>
      </c>
      <c r="D488">
        <v>1</v>
      </c>
      <c r="E488">
        <v>1</v>
      </c>
      <c r="F488">
        <v>42</v>
      </c>
      <c r="G488">
        <v>-1</v>
      </c>
      <c r="H488">
        <v>-1</v>
      </c>
      <c r="I488">
        <v>-1</v>
      </c>
      <c r="J488">
        <v>-1</v>
      </c>
      <c r="K488">
        <v>-1</v>
      </c>
      <c r="L488">
        <v>-1</v>
      </c>
      <c r="M488">
        <v>6865</v>
      </c>
      <c r="N488">
        <v>15111</v>
      </c>
      <c r="O488">
        <v>13165</v>
      </c>
      <c r="P488">
        <v>0</v>
      </c>
      <c r="Q488">
        <v>10500</v>
      </c>
      <c r="R488">
        <v>6992</v>
      </c>
      <c r="S488">
        <v>15111</v>
      </c>
      <c r="T488">
        <v>13165</v>
      </c>
      <c r="U488">
        <v>0</v>
      </c>
      <c r="V488">
        <v>10500</v>
      </c>
      <c r="W488">
        <v>6992</v>
      </c>
      <c r="X488">
        <v>0</v>
      </c>
      <c r="Y488">
        <v>0</v>
      </c>
    </row>
    <row r="489" spans="1:25" x14ac:dyDescent="0.3">
      <c r="A489">
        <v>488</v>
      </c>
      <c r="B489">
        <v>320000</v>
      </c>
      <c r="C489">
        <v>1</v>
      </c>
      <c r="D489">
        <v>2</v>
      </c>
      <c r="E489">
        <v>1</v>
      </c>
      <c r="F489">
        <v>39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93768</v>
      </c>
      <c r="N489">
        <v>91523</v>
      </c>
      <c r="O489">
        <v>91579</v>
      </c>
      <c r="P489">
        <v>91193</v>
      </c>
      <c r="Q489">
        <v>92837</v>
      </c>
      <c r="R489">
        <v>95323</v>
      </c>
      <c r="S489">
        <v>3317</v>
      </c>
      <c r="T489">
        <v>3506</v>
      </c>
      <c r="U489">
        <v>4218</v>
      </c>
      <c r="V489">
        <v>5000</v>
      </c>
      <c r="W489">
        <v>6080</v>
      </c>
      <c r="X489">
        <v>938</v>
      </c>
      <c r="Y489">
        <v>0</v>
      </c>
    </row>
    <row r="490" spans="1:25" x14ac:dyDescent="0.3">
      <c r="A490">
        <v>489</v>
      </c>
      <c r="B490">
        <v>220000</v>
      </c>
      <c r="C490">
        <v>2</v>
      </c>
      <c r="D490">
        <v>2</v>
      </c>
      <c r="E490">
        <v>1</v>
      </c>
      <c r="F490">
        <v>36</v>
      </c>
      <c r="G490">
        <v>-1</v>
      </c>
      <c r="H490">
        <v>-1</v>
      </c>
      <c r="I490">
        <v>-1</v>
      </c>
      <c r="J490">
        <v>0</v>
      </c>
      <c r="K490">
        <v>-1</v>
      </c>
      <c r="L490">
        <v>-1</v>
      </c>
      <c r="M490">
        <v>396</v>
      </c>
      <c r="N490">
        <v>1648</v>
      </c>
      <c r="O490">
        <v>792</v>
      </c>
      <c r="P490">
        <v>396</v>
      </c>
      <c r="Q490">
        <v>396</v>
      </c>
      <c r="R490">
        <v>396</v>
      </c>
      <c r="S490">
        <v>1648</v>
      </c>
      <c r="T490">
        <v>792</v>
      </c>
      <c r="U490">
        <v>0</v>
      </c>
      <c r="V490">
        <v>396</v>
      </c>
      <c r="W490">
        <v>396</v>
      </c>
      <c r="X490">
        <v>792</v>
      </c>
      <c r="Y490">
        <v>1</v>
      </c>
    </row>
    <row r="491" spans="1:25" x14ac:dyDescent="0.3">
      <c r="A491">
        <v>490</v>
      </c>
      <c r="B491">
        <v>260000</v>
      </c>
      <c r="C491">
        <v>2</v>
      </c>
      <c r="D491">
        <v>1</v>
      </c>
      <c r="E491">
        <v>1</v>
      </c>
      <c r="F491">
        <v>34</v>
      </c>
      <c r="G491">
        <v>-1</v>
      </c>
      <c r="H491">
        <v>-1</v>
      </c>
      <c r="I491">
        <v>-1</v>
      </c>
      <c r="J491">
        <v>-1</v>
      </c>
      <c r="K491">
        <v>-1</v>
      </c>
      <c r="L491">
        <v>-1</v>
      </c>
      <c r="M491">
        <v>16426</v>
      </c>
      <c r="N491">
        <v>6088</v>
      </c>
      <c r="O491">
        <v>4663</v>
      </c>
      <c r="P491">
        <v>3885</v>
      </c>
      <c r="Q491">
        <v>4414</v>
      </c>
      <c r="R491">
        <v>2514</v>
      </c>
      <c r="S491">
        <v>6277</v>
      </c>
      <c r="T491">
        <v>4663</v>
      </c>
      <c r="U491">
        <v>4140</v>
      </c>
      <c r="V491">
        <v>4414</v>
      </c>
      <c r="W491">
        <v>2646</v>
      </c>
      <c r="X491">
        <v>7725</v>
      </c>
      <c r="Y491">
        <v>0</v>
      </c>
    </row>
    <row r="492" spans="1:25" x14ac:dyDescent="0.3">
      <c r="A492">
        <v>491</v>
      </c>
      <c r="B492">
        <v>90000</v>
      </c>
      <c r="C492">
        <v>2</v>
      </c>
      <c r="D492">
        <v>2</v>
      </c>
      <c r="E492">
        <v>2</v>
      </c>
      <c r="F492">
        <v>32</v>
      </c>
      <c r="G492">
        <v>-2</v>
      </c>
      <c r="H492">
        <v>-2</v>
      </c>
      <c r="I492">
        <v>-2</v>
      </c>
      <c r="J492">
        <v>-2</v>
      </c>
      <c r="K492">
        <v>-2</v>
      </c>
      <c r="L492">
        <v>-2</v>
      </c>
      <c r="M492">
        <v>573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157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</row>
    <row r="493" spans="1:25" x14ac:dyDescent="0.3">
      <c r="A493">
        <v>492</v>
      </c>
      <c r="B493">
        <v>30000</v>
      </c>
      <c r="C493">
        <v>2</v>
      </c>
      <c r="D493">
        <v>2</v>
      </c>
      <c r="E493">
        <v>1</v>
      </c>
      <c r="F493">
        <v>43</v>
      </c>
      <c r="G493">
        <v>2</v>
      </c>
      <c r="H493">
        <v>2</v>
      </c>
      <c r="I493">
        <v>2</v>
      </c>
      <c r="J493">
        <v>2</v>
      </c>
      <c r="K493">
        <v>2</v>
      </c>
      <c r="L493">
        <v>0</v>
      </c>
      <c r="M493">
        <v>28703</v>
      </c>
      <c r="N493">
        <v>26622</v>
      </c>
      <c r="O493">
        <v>24022</v>
      </c>
      <c r="P493">
        <v>24368</v>
      </c>
      <c r="Q493">
        <v>20859</v>
      </c>
      <c r="R493">
        <v>19633</v>
      </c>
      <c r="S493">
        <v>1300</v>
      </c>
      <c r="T493">
        <v>2</v>
      </c>
      <c r="U493">
        <v>1608</v>
      </c>
      <c r="V493">
        <v>0</v>
      </c>
      <c r="W493">
        <v>900</v>
      </c>
      <c r="X493">
        <v>800</v>
      </c>
      <c r="Y493">
        <v>0</v>
      </c>
    </row>
    <row r="494" spans="1:25" x14ac:dyDescent="0.3">
      <c r="A494">
        <v>493</v>
      </c>
      <c r="B494">
        <v>260000</v>
      </c>
      <c r="C494">
        <v>1</v>
      </c>
      <c r="D494">
        <v>2</v>
      </c>
      <c r="E494">
        <v>2</v>
      </c>
      <c r="F494">
        <v>30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98560</v>
      </c>
      <c r="N494">
        <v>100980</v>
      </c>
      <c r="O494">
        <v>222102</v>
      </c>
      <c r="P494">
        <v>108724</v>
      </c>
      <c r="Q494">
        <v>68500</v>
      </c>
      <c r="R494">
        <v>69174</v>
      </c>
      <c r="S494">
        <v>4000</v>
      </c>
      <c r="T494">
        <v>11900</v>
      </c>
      <c r="U494">
        <v>207</v>
      </c>
      <c r="V494">
        <v>2003</v>
      </c>
      <c r="W494">
        <v>2003</v>
      </c>
      <c r="X494">
        <v>2003</v>
      </c>
      <c r="Y494">
        <v>0</v>
      </c>
    </row>
    <row r="495" spans="1:25" x14ac:dyDescent="0.3">
      <c r="A495">
        <v>494</v>
      </c>
      <c r="B495">
        <v>170000</v>
      </c>
      <c r="C495">
        <v>2</v>
      </c>
      <c r="D495">
        <v>2</v>
      </c>
      <c r="E495">
        <v>2</v>
      </c>
      <c r="F495">
        <v>28</v>
      </c>
      <c r="G495">
        <v>0</v>
      </c>
      <c r="H495">
        <v>0</v>
      </c>
      <c r="I495">
        <v>-1</v>
      </c>
      <c r="J495">
        <v>-1</v>
      </c>
      <c r="K495">
        <v>-2</v>
      </c>
      <c r="L495">
        <v>-2</v>
      </c>
      <c r="M495">
        <v>28304</v>
      </c>
      <c r="N495">
        <v>17616</v>
      </c>
      <c r="O495">
        <v>308</v>
      </c>
      <c r="P495">
        <v>0</v>
      </c>
      <c r="Q495">
        <v>0</v>
      </c>
      <c r="R495">
        <v>0</v>
      </c>
      <c r="S495">
        <v>4000</v>
      </c>
      <c r="T495">
        <v>308</v>
      </c>
      <c r="U495">
        <v>0</v>
      </c>
      <c r="V495">
        <v>0</v>
      </c>
      <c r="W495">
        <v>0</v>
      </c>
      <c r="X495">
        <v>0</v>
      </c>
      <c r="Y495">
        <v>0</v>
      </c>
    </row>
    <row r="496" spans="1:25" x14ac:dyDescent="0.3">
      <c r="A496">
        <v>495</v>
      </c>
      <c r="B496">
        <v>80000</v>
      </c>
      <c r="C496">
        <v>2</v>
      </c>
      <c r="D496">
        <v>1</v>
      </c>
      <c r="E496">
        <v>1</v>
      </c>
      <c r="F496">
        <v>28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8574</v>
      </c>
      <c r="N496">
        <v>9434</v>
      </c>
      <c r="O496">
        <v>10038</v>
      </c>
      <c r="P496">
        <v>10040</v>
      </c>
      <c r="Q496">
        <v>10400</v>
      </c>
      <c r="R496">
        <v>10490</v>
      </c>
      <c r="S496">
        <v>1203</v>
      </c>
      <c r="T496">
        <v>1047</v>
      </c>
      <c r="U496">
        <v>248</v>
      </c>
      <c r="V496">
        <v>408</v>
      </c>
      <c r="W496">
        <v>294</v>
      </c>
      <c r="X496">
        <v>276</v>
      </c>
      <c r="Y496">
        <v>1</v>
      </c>
    </row>
    <row r="497" spans="1:25" x14ac:dyDescent="0.3">
      <c r="A497">
        <v>496</v>
      </c>
      <c r="B497">
        <v>50000</v>
      </c>
      <c r="C497">
        <v>1</v>
      </c>
      <c r="D497">
        <v>1</v>
      </c>
      <c r="E497">
        <v>1</v>
      </c>
      <c r="F497">
        <v>41</v>
      </c>
      <c r="G497">
        <v>-1</v>
      </c>
      <c r="H497">
        <v>-1</v>
      </c>
      <c r="I497">
        <v>-1</v>
      </c>
      <c r="J497">
        <v>-1</v>
      </c>
      <c r="K497">
        <v>-1</v>
      </c>
      <c r="L497">
        <v>-1</v>
      </c>
      <c r="M497">
        <v>508</v>
      </c>
      <c r="N497">
        <v>672</v>
      </c>
      <c r="O497">
        <v>226</v>
      </c>
      <c r="P497">
        <v>390</v>
      </c>
      <c r="Q497">
        <v>220</v>
      </c>
      <c r="R497">
        <v>320</v>
      </c>
      <c r="S497">
        <v>1000</v>
      </c>
      <c r="T497">
        <v>390</v>
      </c>
      <c r="U497">
        <v>1000</v>
      </c>
      <c r="V497">
        <v>220</v>
      </c>
      <c r="W497">
        <v>640</v>
      </c>
      <c r="X497">
        <v>1000</v>
      </c>
      <c r="Y497">
        <v>0</v>
      </c>
    </row>
    <row r="498" spans="1:25" x14ac:dyDescent="0.3">
      <c r="A498">
        <v>497</v>
      </c>
      <c r="B498">
        <v>200000</v>
      </c>
      <c r="C498">
        <v>2</v>
      </c>
      <c r="D498">
        <v>3</v>
      </c>
      <c r="E498">
        <v>2</v>
      </c>
      <c r="F498">
        <v>47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203183</v>
      </c>
      <c r="N498">
        <v>202961</v>
      </c>
      <c r="O498">
        <v>194449</v>
      </c>
      <c r="P498">
        <v>196814</v>
      </c>
      <c r="Q498">
        <v>200526</v>
      </c>
      <c r="R498">
        <v>198717</v>
      </c>
      <c r="S498">
        <v>7521</v>
      </c>
      <c r="T498">
        <v>7000</v>
      </c>
      <c r="U498">
        <v>7000</v>
      </c>
      <c r="V498">
        <v>7128</v>
      </c>
      <c r="W498">
        <v>8000</v>
      </c>
      <c r="X498">
        <v>7100</v>
      </c>
      <c r="Y498">
        <v>0</v>
      </c>
    </row>
    <row r="499" spans="1:25" x14ac:dyDescent="0.3">
      <c r="A499">
        <v>498</v>
      </c>
      <c r="B499">
        <v>20000</v>
      </c>
      <c r="C499">
        <v>1</v>
      </c>
      <c r="D499">
        <v>2</v>
      </c>
      <c r="E499">
        <v>2</v>
      </c>
      <c r="F499">
        <v>23</v>
      </c>
      <c r="G499">
        <v>0</v>
      </c>
      <c r="H499">
        <v>0</v>
      </c>
      <c r="I499">
        <v>2</v>
      </c>
      <c r="J499">
        <v>0</v>
      </c>
      <c r="K499">
        <v>0</v>
      </c>
      <c r="L499">
        <v>0</v>
      </c>
      <c r="M499">
        <v>16440</v>
      </c>
      <c r="N499">
        <v>20417</v>
      </c>
      <c r="O499">
        <v>18333</v>
      </c>
      <c r="P499">
        <v>18848</v>
      </c>
      <c r="Q499">
        <v>30190</v>
      </c>
      <c r="R499">
        <v>19664</v>
      </c>
      <c r="S499">
        <v>7403</v>
      </c>
      <c r="T499">
        <v>0</v>
      </c>
      <c r="U499">
        <v>820</v>
      </c>
      <c r="V499">
        <v>1025</v>
      </c>
      <c r="W499">
        <v>1113</v>
      </c>
      <c r="X499">
        <v>104</v>
      </c>
      <c r="Y499">
        <v>0</v>
      </c>
    </row>
    <row r="500" spans="1:25" x14ac:dyDescent="0.3">
      <c r="A500">
        <v>499</v>
      </c>
      <c r="B500">
        <v>250000</v>
      </c>
      <c r="C500">
        <v>2</v>
      </c>
      <c r="D500">
        <v>1</v>
      </c>
      <c r="E500">
        <v>1</v>
      </c>
      <c r="F500">
        <v>49</v>
      </c>
      <c r="G500">
        <v>-1</v>
      </c>
      <c r="H500">
        <v>-1</v>
      </c>
      <c r="I500">
        <v>-2</v>
      </c>
      <c r="J500">
        <v>-1</v>
      </c>
      <c r="K500">
        <v>-1</v>
      </c>
      <c r="L500">
        <v>-1</v>
      </c>
      <c r="M500">
        <v>66</v>
      </c>
      <c r="N500">
        <v>0</v>
      </c>
      <c r="O500">
        <v>0</v>
      </c>
      <c r="P500">
        <v>120</v>
      </c>
      <c r="Q500">
        <v>-6</v>
      </c>
      <c r="R500">
        <v>1639</v>
      </c>
      <c r="S500">
        <v>0</v>
      </c>
      <c r="T500">
        <v>0</v>
      </c>
      <c r="U500">
        <v>120</v>
      </c>
      <c r="V500">
        <v>6</v>
      </c>
      <c r="W500">
        <v>1645</v>
      </c>
      <c r="X500">
        <v>0</v>
      </c>
      <c r="Y500">
        <v>0</v>
      </c>
    </row>
    <row r="501" spans="1:25" x14ac:dyDescent="0.3">
      <c r="A501">
        <v>500</v>
      </c>
      <c r="B501">
        <v>20000</v>
      </c>
      <c r="C501">
        <v>1</v>
      </c>
      <c r="D501">
        <v>1</v>
      </c>
      <c r="E501">
        <v>1</v>
      </c>
      <c r="F501">
        <v>38</v>
      </c>
      <c r="G501">
        <v>0</v>
      </c>
      <c r="H501">
        <v>0</v>
      </c>
      <c r="I501">
        <v>0</v>
      </c>
      <c r="J501">
        <v>2</v>
      </c>
      <c r="K501">
        <v>2</v>
      </c>
      <c r="L501">
        <v>0</v>
      </c>
      <c r="M501">
        <v>15912</v>
      </c>
      <c r="N501">
        <v>17272</v>
      </c>
      <c r="O501">
        <v>20565</v>
      </c>
      <c r="P501">
        <v>20705</v>
      </c>
      <c r="Q501">
        <v>20255</v>
      </c>
      <c r="R501">
        <v>19933</v>
      </c>
      <c r="S501">
        <v>1623</v>
      </c>
      <c r="T501">
        <v>3916</v>
      </c>
      <c r="U501">
        <v>750</v>
      </c>
      <c r="V501">
        <v>0</v>
      </c>
      <c r="W501">
        <v>800</v>
      </c>
      <c r="X501">
        <v>850</v>
      </c>
      <c r="Y501">
        <v>0</v>
      </c>
    </row>
    <row r="502" spans="1:25" x14ac:dyDescent="0.3">
      <c r="A502">
        <v>501</v>
      </c>
      <c r="B502">
        <v>30000</v>
      </c>
      <c r="C502">
        <v>2</v>
      </c>
      <c r="D502">
        <v>2</v>
      </c>
      <c r="E502">
        <v>1</v>
      </c>
      <c r="F502">
        <v>38</v>
      </c>
      <c r="G502">
        <v>0</v>
      </c>
      <c r="H502">
        <v>0</v>
      </c>
      <c r="I502">
        <v>0</v>
      </c>
      <c r="J502">
        <v>0</v>
      </c>
      <c r="K502">
        <v>2</v>
      </c>
      <c r="L502">
        <v>2</v>
      </c>
      <c r="M502">
        <v>20344</v>
      </c>
      <c r="N502">
        <v>21705</v>
      </c>
      <c r="O502">
        <v>22537</v>
      </c>
      <c r="P502">
        <v>24161</v>
      </c>
      <c r="Q502">
        <v>25128</v>
      </c>
      <c r="R502">
        <v>24576</v>
      </c>
      <c r="S502">
        <v>2000</v>
      </c>
      <c r="T502">
        <v>1500</v>
      </c>
      <c r="U502">
        <v>2000</v>
      </c>
      <c r="V502">
        <v>1500</v>
      </c>
      <c r="W502">
        <v>0</v>
      </c>
      <c r="X502">
        <v>1200</v>
      </c>
      <c r="Y502">
        <v>0</v>
      </c>
    </row>
    <row r="503" spans="1:25" x14ac:dyDescent="0.3">
      <c r="A503">
        <v>502</v>
      </c>
      <c r="B503">
        <v>90000</v>
      </c>
      <c r="C503">
        <v>2</v>
      </c>
      <c r="D503">
        <v>2</v>
      </c>
      <c r="E503">
        <v>1</v>
      </c>
      <c r="F503">
        <v>35</v>
      </c>
      <c r="G503">
        <v>1</v>
      </c>
      <c r="H503">
        <v>2</v>
      </c>
      <c r="I503">
        <v>2</v>
      </c>
      <c r="J503">
        <v>2</v>
      </c>
      <c r="K503">
        <v>2</v>
      </c>
      <c r="L503">
        <v>2</v>
      </c>
      <c r="M503">
        <v>23132</v>
      </c>
      <c r="N503">
        <v>22474</v>
      </c>
      <c r="O503">
        <v>28067</v>
      </c>
      <c r="P503">
        <v>27320</v>
      </c>
      <c r="Q503">
        <v>31199</v>
      </c>
      <c r="R503">
        <v>30548</v>
      </c>
      <c r="S503">
        <v>0</v>
      </c>
      <c r="T503">
        <v>6000</v>
      </c>
      <c r="U503">
        <v>0</v>
      </c>
      <c r="V503">
        <v>4500</v>
      </c>
      <c r="W503">
        <v>0</v>
      </c>
      <c r="X503">
        <v>2000</v>
      </c>
      <c r="Y503">
        <v>0</v>
      </c>
    </row>
    <row r="504" spans="1:25" x14ac:dyDescent="0.3">
      <c r="A504">
        <v>503</v>
      </c>
      <c r="B504">
        <v>230000</v>
      </c>
      <c r="C504">
        <v>2</v>
      </c>
      <c r="D504">
        <v>6</v>
      </c>
      <c r="E504">
        <v>2</v>
      </c>
      <c r="F504">
        <v>46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221590</v>
      </c>
      <c r="N504">
        <v>227397</v>
      </c>
      <c r="O504">
        <v>230302</v>
      </c>
      <c r="P504">
        <v>186635</v>
      </c>
      <c r="Q504">
        <v>189896</v>
      </c>
      <c r="R504">
        <v>193351</v>
      </c>
      <c r="S504">
        <v>10000</v>
      </c>
      <c r="T504">
        <v>9000</v>
      </c>
      <c r="U504">
        <v>8000</v>
      </c>
      <c r="V504">
        <v>8000</v>
      </c>
      <c r="W504">
        <v>7500</v>
      </c>
      <c r="X504">
        <v>7000</v>
      </c>
      <c r="Y504">
        <v>0</v>
      </c>
    </row>
    <row r="505" spans="1:25" x14ac:dyDescent="0.3">
      <c r="A505">
        <v>504</v>
      </c>
      <c r="B505">
        <v>130000</v>
      </c>
      <c r="C505">
        <v>2</v>
      </c>
      <c r="D505">
        <v>1</v>
      </c>
      <c r="E505">
        <v>1</v>
      </c>
      <c r="F505">
        <v>33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19161</v>
      </c>
      <c r="N505">
        <v>20544</v>
      </c>
      <c r="O505">
        <v>22704</v>
      </c>
      <c r="P505">
        <v>22304</v>
      </c>
      <c r="Q505">
        <v>22304</v>
      </c>
      <c r="R505">
        <v>0</v>
      </c>
      <c r="S505">
        <v>2000</v>
      </c>
      <c r="T505">
        <v>3000</v>
      </c>
      <c r="U505">
        <v>0</v>
      </c>
      <c r="V505">
        <v>0</v>
      </c>
      <c r="W505">
        <v>0</v>
      </c>
      <c r="X505">
        <v>0</v>
      </c>
      <c r="Y505">
        <v>1</v>
      </c>
    </row>
    <row r="506" spans="1:25" x14ac:dyDescent="0.3">
      <c r="A506">
        <v>505</v>
      </c>
      <c r="B506">
        <v>30000</v>
      </c>
      <c r="C506">
        <v>1</v>
      </c>
      <c r="D506">
        <v>6</v>
      </c>
      <c r="E506">
        <v>1</v>
      </c>
      <c r="F506">
        <v>53</v>
      </c>
      <c r="G506">
        <v>-2</v>
      </c>
      <c r="H506">
        <v>-2</v>
      </c>
      <c r="I506">
        <v>-2</v>
      </c>
      <c r="J506">
        <v>-2</v>
      </c>
      <c r="K506">
        <v>-2</v>
      </c>
      <c r="L506">
        <v>-2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</row>
    <row r="507" spans="1:25" x14ac:dyDescent="0.3">
      <c r="A507">
        <v>506</v>
      </c>
      <c r="B507">
        <v>160000</v>
      </c>
      <c r="C507">
        <v>1</v>
      </c>
      <c r="D507">
        <v>1</v>
      </c>
      <c r="E507">
        <v>2</v>
      </c>
      <c r="F507">
        <v>35</v>
      </c>
      <c r="G507">
        <v>-1</v>
      </c>
      <c r="H507">
        <v>-1</v>
      </c>
      <c r="I507">
        <v>-1</v>
      </c>
      <c r="J507">
        <v>-1</v>
      </c>
      <c r="K507">
        <v>-1</v>
      </c>
      <c r="L507">
        <v>-1</v>
      </c>
      <c r="M507">
        <v>396</v>
      </c>
      <c r="N507">
        <v>396</v>
      </c>
      <c r="O507">
        <v>396</v>
      </c>
      <c r="P507">
        <v>0</v>
      </c>
      <c r="Q507">
        <v>792</v>
      </c>
      <c r="R507">
        <v>1220</v>
      </c>
      <c r="S507">
        <v>396</v>
      </c>
      <c r="T507">
        <v>396</v>
      </c>
      <c r="U507">
        <v>0</v>
      </c>
      <c r="V507">
        <v>793</v>
      </c>
      <c r="W507">
        <v>1220</v>
      </c>
      <c r="X507">
        <v>0</v>
      </c>
      <c r="Y507">
        <v>0</v>
      </c>
    </row>
    <row r="508" spans="1:25" x14ac:dyDescent="0.3">
      <c r="A508">
        <v>507</v>
      </c>
      <c r="B508">
        <v>500000</v>
      </c>
      <c r="C508">
        <v>2</v>
      </c>
      <c r="D508">
        <v>2</v>
      </c>
      <c r="E508">
        <v>2</v>
      </c>
      <c r="F508">
        <v>43</v>
      </c>
      <c r="G508">
        <v>-1</v>
      </c>
      <c r="H508">
        <v>-1</v>
      </c>
      <c r="I508">
        <v>-1</v>
      </c>
      <c r="J508">
        <v>0</v>
      </c>
      <c r="K508">
        <v>0</v>
      </c>
      <c r="L508">
        <v>-1</v>
      </c>
      <c r="M508">
        <v>3959</v>
      </c>
      <c r="N508">
        <v>0</v>
      </c>
      <c r="O508">
        <v>285138</v>
      </c>
      <c r="P508">
        <v>249445</v>
      </c>
      <c r="Q508">
        <v>222831</v>
      </c>
      <c r="R508">
        <v>200</v>
      </c>
      <c r="S508">
        <v>0</v>
      </c>
      <c r="T508">
        <v>285138</v>
      </c>
      <c r="U508">
        <v>4989</v>
      </c>
      <c r="V508">
        <v>100</v>
      </c>
      <c r="W508">
        <v>200</v>
      </c>
      <c r="X508">
        <v>528666</v>
      </c>
      <c r="Y508">
        <v>0</v>
      </c>
    </row>
    <row r="509" spans="1:25" x14ac:dyDescent="0.3">
      <c r="A509">
        <v>508</v>
      </c>
      <c r="B509">
        <v>180000</v>
      </c>
      <c r="C509">
        <v>2</v>
      </c>
      <c r="D509">
        <v>2</v>
      </c>
      <c r="E509">
        <v>2</v>
      </c>
      <c r="F509">
        <v>28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2</v>
      </c>
      <c r="M509">
        <v>42238</v>
      </c>
      <c r="N509">
        <v>38741</v>
      </c>
      <c r="O509">
        <v>36696</v>
      </c>
      <c r="P509">
        <v>35813</v>
      </c>
      <c r="Q509">
        <v>37893</v>
      </c>
      <c r="R509">
        <v>34661</v>
      </c>
      <c r="S509">
        <v>2500</v>
      </c>
      <c r="T509">
        <v>2000</v>
      </c>
      <c r="U509">
        <v>1128</v>
      </c>
      <c r="V509">
        <v>2500</v>
      </c>
      <c r="W509">
        <v>0</v>
      </c>
      <c r="X509">
        <v>2000</v>
      </c>
      <c r="Y509">
        <v>0</v>
      </c>
    </row>
    <row r="510" spans="1:25" x14ac:dyDescent="0.3">
      <c r="A510">
        <v>509</v>
      </c>
      <c r="B510">
        <v>80000</v>
      </c>
      <c r="C510">
        <v>2</v>
      </c>
      <c r="D510">
        <v>2</v>
      </c>
      <c r="E510">
        <v>1</v>
      </c>
      <c r="F510">
        <v>30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2</v>
      </c>
      <c r="M510">
        <v>21507</v>
      </c>
      <c r="N510">
        <v>13207</v>
      </c>
      <c r="O510">
        <v>13997</v>
      </c>
      <c r="P510">
        <v>10914</v>
      </c>
      <c r="Q510">
        <v>10685</v>
      </c>
      <c r="R510">
        <v>5515</v>
      </c>
      <c r="S510">
        <v>1700</v>
      </c>
      <c r="T510">
        <v>1400</v>
      </c>
      <c r="U510">
        <v>200</v>
      </c>
      <c r="V510">
        <v>1000</v>
      </c>
      <c r="W510">
        <v>0</v>
      </c>
      <c r="X510">
        <v>500</v>
      </c>
      <c r="Y510">
        <v>0</v>
      </c>
    </row>
    <row r="511" spans="1:25" x14ac:dyDescent="0.3">
      <c r="A511">
        <v>510</v>
      </c>
      <c r="B511">
        <v>120000</v>
      </c>
      <c r="C511">
        <v>1</v>
      </c>
      <c r="D511">
        <v>1</v>
      </c>
      <c r="E511">
        <v>2</v>
      </c>
      <c r="F511">
        <v>26</v>
      </c>
      <c r="G511">
        <v>-1</v>
      </c>
      <c r="H511">
        <v>-1</v>
      </c>
      <c r="I511">
        <v>-2</v>
      </c>
      <c r="J511">
        <v>-1</v>
      </c>
      <c r="K511">
        <v>-1</v>
      </c>
      <c r="L511">
        <v>-2</v>
      </c>
      <c r="M511">
        <v>884</v>
      </c>
      <c r="N511">
        <v>0</v>
      </c>
      <c r="O511">
        <v>0</v>
      </c>
      <c r="P511">
        <v>10446</v>
      </c>
      <c r="Q511">
        <v>0</v>
      </c>
      <c r="R511">
        <v>0</v>
      </c>
      <c r="S511">
        <v>0</v>
      </c>
      <c r="T511">
        <v>0</v>
      </c>
      <c r="U511">
        <v>10446</v>
      </c>
      <c r="V511">
        <v>0</v>
      </c>
      <c r="W511">
        <v>0</v>
      </c>
      <c r="X511">
        <v>0</v>
      </c>
      <c r="Y511">
        <v>0</v>
      </c>
    </row>
    <row r="512" spans="1:25" x14ac:dyDescent="0.3">
      <c r="A512">
        <v>511</v>
      </c>
      <c r="B512">
        <v>130000</v>
      </c>
      <c r="C512">
        <v>1</v>
      </c>
      <c r="D512">
        <v>2</v>
      </c>
      <c r="E512">
        <v>1</v>
      </c>
      <c r="F512">
        <v>31</v>
      </c>
      <c r="G512">
        <v>-1</v>
      </c>
      <c r="H512">
        <v>-1</v>
      </c>
      <c r="I512">
        <v>-1</v>
      </c>
      <c r="J512">
        <v>-1</v>
      </c>
      <c r="K512">
        <v>-1</v>
      </c>
      <c r="L512">
        <v>2</v>
      </c>
      <c r="M512">
        <v>1261</v>
      </c>
      <c r="N512">
        <v>1261</v>
      </c>
      <c r="O512">
        <v>1261</v>
      </c>
      <c r="P512">
        <v>1411</v>
      </c>
      <c r="Q512">
        <v>930</v>
      </c>
      <c r="R512">
        <v>390</v>
      </c>
      <c r="S512">
        <v>1261</v>
      </c>
      <c r="T512">
        <v>1261</v>
      </c>
      <c r="U512">
        <v>1411</v>
      </c>
      <c r="V512">
        <v>930</v>
      </c>
      <c r="W512">
        <v>0</v>
      </c>
      <c r="X512">
        <v>780</v>
      </c>
      <c r="Y512">
        <v>0</v>
      </c>
    </row>
    <row r="513" spans="1:25" x14ac:dyDescent="0.3">
      <c r="A513">
        <v>512</v>
      </c>
      <c r="B513">
        <v>120000</v>
      </c>
      <c r="C513">
        <v>2</v>
      </c>
      <c r="D513">
        <v>2</v>
      </c>
      <c r="E513">
        <v>2</v>
      </c>
      <c r="F513">
        <v>35</v>
      </c>
      <c r="G513">
        <v>-1</v>
      </c>
      <c r="H513">
        <v>-1</v>
      </c>
      <c r="I513">
        <v>-1</v>
      </c>
      <c r="J513">
        <v>-1</v>
      </c>
      <c r="K513">
        <v>-1</v>
      </c>
      <c r="L513">
        <v>-1</v>
      </c>
      <c r="M513">
        <v>240</v>
      </c>
      <c r="N513">
        <v>240</v>
      </c>
      <c r="O513">
        <v>240</v>
      </c>
      <c r="P513">
        <v>240</v>
      </c>
      <c r="Q513">
        <v>240</v>
      </c>
      <c r="R513">
        <v>240</v>
      </c>
      <c r="S513">
        <v>240</v>
      </c>
      <c r="T513">
        <v>240</v>
      </c>
      <c r="U513">
        <v>240</v>
      </c>
      <c r="V513">
        <v>240</v>
      </c>
      <c r="W513">
        <v>240</v>
      </c>
      <c r="X513">
        <v>240</v>
      </c>
      <c r="Y513">
        <v>1</v>
      </c>
    </row>
    <row r="514" spans="1:25" x14ac:dyDescent="0.3">
      <c r="A514">
        <v>513</v>
      </c>
      <c r="B514">
        <v>360000</v>
      </c>
      <c r="C514">
        <v>1</v>
      </c>
      <c r="D514">
        <v>1</v>
      </c>
      <c r="E514">
        <v>2</v>
      </c>
      <c r="F514">
        <v>28</v>
      </c>
      <c r="G514">
        <v>-1</v>
      </c>
      <c r="H514">
        <v>-1</v>
      </c>
      <c r="I514">
        <v>-1</v>
      </c>
      <c r="J514">
        <v>-1</v>
      </c>
      <c r="K514">
        <v>-1</v>
      </c>
      <c r="L514">
        <v>-1</v>
      </c>
      <c r="M514">
        <v>20223</v>
      </c>
      <c r="N514">
        <v>52962</v>
      </c>
      <c r="O514">
        <v>3978</v>
      </c>
      <c r="P514">
        <v>1743</v>
      </c>
      <c r="Q514">
        <v>2828</v>
      </c>
      <c r="R514">
        <v>50537</v>
      </c>
      <c r="S514">
        <v>53228</v>
      </c>
      <c r="T514">
        <v>3997</v>
      </c>
      <c r="U514">
        <v>1750</v>
      </c>
      <c r="V514">
        <v>2853</v>
      </c>
      <c r="W514">
        <v>51041</v>
      </c>
      <c r="X514">
        <v>3219</v>
      </c>
      <c r="Y514">
        <v>0</v>
      </c>
    </row>
    <row r="515" spans="1:25" x14ac:dyDescent="0.3">
      <c r="A515">
        <v>514</v>
      </c>
      <c r="B515">
        <v>50000</v>
      </c>
      <c r="C515">
        <v>1</v>
      </c>
      <c r="D515">
        <v>2</v>
      </c>
      <c r="E515">
        <v>2</v>
      </c>
      <c r="F515">
        <v>23</v>
      </c>
      <c r="G515">
        <v>2</v>
      </c>
      <c r="H515">
        <v>2</v>
      </c>
      <c r="I515">
        <v>2</v>
      </c>
      <c r="J515">
        <v>2</v>
      </c>
      <c r="K515">
        <v>2</v>
      </c>
      <c r="L515">
        <v>2</v>
      </c>
      <c r="M515">
        <v>29509</v>
      </c>
      <c r="N515">
        <v>30741</v>
      </c>
      <c r="O515">
        <v>31438</v>
      </c>
      <c r="P515">
        <v>31924</v>
      </c>
      <c r="Q515">
        <v>32566</v>
      </c>
      <c r="R515">
        <v>33081</v>
      </c>
      <c r="S515">
        <v>2000</v>
      </c>
      <c r="T515">
        <v>1500</v>
      </c>
      <c r="U515">
        <v>1300</v>
      </c>
      <c r="V515">
        <v>1300</v>
      </c>
      <c r="W515">
        <v>1200</v>
      </c>
      <c r="X515">
        <v>1500</v>
      </c>
      <c r="Y515">
        <v>1</v>
      </c>
    </row>
    <row r="516" spans="1:25" x14ac:dyDescent="0.3">
      <c r="A516">
        <v>515</v>
      </c>
      <c r="B516">
        <v>20000</v>
      </c>
      <c r="C516">
        <v>2</v>
      </c>
      <c r="D516">
        <v>2</v>
      </c>
      <c r="E516">
        <v>2</v>
      </c>
      <c r="F516">
        <v>23</v>
      </c>
      <c r="G516">
        <v>0</v>
      </c>
      <c r="H516">
        <v>0</v>
      </c>
      <c r="I516">
        <v>2</v>
      </c>
      <c r="J516">
        <v>0</v>
      </c>
      <c r="K516">
        <v>0</v>
      </c>
      <c r="L516">
        <v>0</v>
      </c>
      <c r="M516">
        <v>18355</v>
      </c>
      <c r="N516">
        <v>20259</v>
      </c>
      <c r="O516">
        <v>19534</v>
      </c>
      <c r="P516">
        <v>16467</v>
      </c>
      <c r="Q516">
        <v>15746</v>
      </c>
      <c r="R516">
        <v>13246</v>
      </c>
      <c r="S516">
        <v>2900</v>
      </c>
      <c r="T516">
        <v>10</v>
      </c>
      <c r="U516">
        <v>577</v>
      </c>
      <c r="V516">
        <v>430</v>
      </c>
      <c r="W516">
        <v>1017</v>
      </c>
      <c r="X516">
        <v>4</v>
      </c>
      <c r="Y516">
        <v>0</v>
      </c>
    </row>
    <row r="517" spans="1:25" x14ac:dyDescent="0.3">
      <c r="A517">
        <v>516</v>
      </c>
      <c r="B517">
        <v>100000</v>
      </c>
      <c r="C517">
        <v>1</v>
      </c>
      <c r="D517">
        <v>3</v>
      </c>
      <c r="E517">
        <v>1</v>
      </c>
      <c r="F517">
        <v>56</v>
      </c>
      <c r="G517">
        <v>0</v>
      </c>
      <c r="H517">
        <v>0</v>
      </c>
      <c r="I517">
        <v>-1</v>
      </c>
      <c r="J517">
        <v>0</v>
      </c>
      <c r="K517">
        <v>0</v>
      </c>
      <c r="L517">
        <v>0</v>
      </c>
      <c r="M517">
        <v>94265</v>
      </c>
      <c r="N517">
        <v>53376</v>
      </c>
      <c r="O517">
        <v>85787</v>
      </c>
      <c r="P517">
        <v>78762</v>
      </c>
      <c r="Q517">
        <v>79529</v>
      </c>
      <c r="R517">
        <v>80335</v>
      </c>
      <c r="S517">
        <v>2385</v>
      </c>
      <c r="T517">
        <v>88678</v>
      </c>
      <c r="U517">
        <v>2169</v>
      </c>
      <c r="V517">
        <v>2634</v>
      </c>
      <c r="W517">
        <v>3132</v>
      </c>
      <c r="X517">
        <v>732</v>
      </c>
      <c r="Y517">
        <v>0</v>
      </c>
    </row>
    <row r="518" spans="1:25" x14ac:dyDescent="0.3">
      <c r="A518">
        <v>517</v>
      </c>
      <c r="B518">
        <v>70000</v>
      </c>
      <c r="C518">
        <v>1</v>
      </c>
      <c r="D518">
        <v>3</v>
      </c>
      <c r="E518">
        <v>1</v>
      </c>
      <c r="F518">
        <v>32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68739</v>
      </c>
      <c r="N518">
        <v>67629</v>
      </c>
      <c r="O518">
        <v>69188</v>
      </c>
      <c r="P518">
        <v>68392</v>
      </c>
      <c r="Q518">
        <v>69884</v>
      </c>
      <c r="R518">
        <v>71284</v>
      </c>
      <c r="S518">
        <v>3060</v>
      </c>
      <c r="T518">
        <v>3300</v>
      </c>
      <c r="U518">
        <v>2610</v>
      </c>
      <c r="V518">
        <v>2750</v>
      </c>
      <c r="W518">
        <v>2750</v>
      </c>
      <c r="X518">
        <v>5500</v>
      </c>
      <c r="Y518">
        <v>0</v>
      </c>
    </row>
    <row r="519" spans="1:25" x14ac:dyDescent="0.3">
      <c r="A519">
        <v>518</v>
      </c>
      <c r="B519">
        <v>50000</v>
      </c>
      <c r="C519">
        <v>1</v>
      </c>
      <c r="D519">
        <v>2</v>
      </c>
      <c r="E519">
        <v>1</v>
      </c>
      <c r="F519">
        <v>47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13917</v>
      </c>
      <c r="N519">
        <v>16695</v>
      </c>
      <c r="O519">
        <v>21320</v>
      </c>
      <c r="P519">
        <v>18614</v>
      </c>
      <c r="Q519">
        <v>19003</v>
      </c>
      <c r="R519">
        <v>19439</v>
      </c>
      <c r="S519">
        <v>3000</v>
      </c>
      <c r="T519">
        <v>5000</v>
      </c>
      <c r="U519">
        <v>2000</v>
      </c>
      <c r="V519">
        <v>618</v>
      </c>
      <c r="W519">
        <v>679</v>
      </c>
      <c r="X519">
        <v>500</v>
      </c>
      <c r="Y519">
        <v>0</v>
      </c>
    </row>
    <row r="520" spans="1:25" x14ac:dyDescent="0.3">
      <c r="A520">
        <v>519</v>
      </c>
      <c r="B520">
        <v>10000</v>
      </c>
      <c r="C520">
        <v>2</v>
      </c>
      <c r="D520">
        <v>2</v>
      </c>
      <c r="E520">
        <v>2</v>
      </c>
      <c r="F520">
        <v>22</v>
      </c>
      <c r="G520">
        <v>1</v>
      </c>
      <c r="H520">
        <v>2</v>
      </c>
      <c r="I520">
        <v>0</v>
      </c>
      <c r="J520">
        <v>0</v>
      </c>
      <c r="K520">
        <v>0</v>
      </c>
      <c r="L520">
        <v>0</v>
      </c>
      <c r="M520">
        <v>10250</v>
      </c>
      <c r="N520">
        <v>8558</v>
      </c>
      <c r="O520">
        <v>10525</v>
      </c>
      <c r="P520">
        <v>10050</v>
      </c>
      <c r="Q520">
        <v>9903</v>
      </c>
      <c r="R520">
        <v>9984</v>
      </c>
      <c r="S520">
        <v>0</v>
      </c>
      <c r="T520">
        <v>2126</v>
      </c>
      <c r="U520">
        <v>390</v>
      </c>
      <c r="V520">
        <v>328</v>
      </c>
      <c r="W520">
        <v>476</v>
      </c>
      <c r="X520">
        <v>1287</v>
      </c>
      <c r="Y520">
        <v>0</v>
      </c>
    </row>
    <row r="521" spans="1:25" x14ac:dyDescent="0.3">
      <c r="A521">
        <v>520</v>
      </c>
      <c r="B521">
        <v>290000</v>
      </c>
      <c r="C521">
        <v>2</v>
      </c>
      <c r="D521">
        <v>1</v>
      </c>
      <c r="E521">
        <v>1</v>
      </c>
      <c r="F521">
        <v>34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93844</v>
      </c>
      <c r="N521">
        <v>97708</v>
      </c>
      <c r="O521">
        <v>103066</v>
      </c>
      <c r="P521">
        <v>104864</v>
      </c>
      <c r="Q521">
        <v>110151</v>
      </c>
      <c r="R521">
        <v>115297</v>
      </c>
      <c r="S521">
        <v>6000</v>
      </c>
      <c r="T521">
        <v>7000</v>
      </c>
      <c r="U521">
        <v>5000</v>
      </c>
      <c r="V521">
        <v>7000</v>
      </c>
      <c r="W521">
        <v>7000</v>
      </c>
      <c r="X521">
        <v>7000</v>
      </c>
      <c r="Y521">
        <v>0</v>
      </c>
    </row>
    <row r="522" spans="1:25" x14ac:dyDescent="0.3">
      <c r="A522">
        <v>521</v>
      </c>
      <c r="B522">
        <v>30000</v>
      </c>
      <c r="C522">
        <v>2</v>
      </c>
      <c r="D522">
        <v>1</v>
      </c>
      <c r="E522">
        <v>1</v>
      </c>
      <c r="F522">
        <v>31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16496</v>
      </c>
      <c r="N522">
        <v>17522</v>
      </c>
      <c r="O522">
        <v>18531</v>
      </c>
      <c r="P522">
        <v>18744</v>
      </c>
      <c r="Q522">
        <v>19291</v>
      </c>
      <c r="R522">
        <v>19818</v>
      </c>
      <c r="S522">
        <v>1597</v>
      </c>
      <c r="T522">
        <v>1606</v>
      </c>
      <c r="U522">
        <v>819</v>
      </c>
      <c r="V522">
        <v>1000</v>
      </c>
      <c r="W522">
        <v>1000</v>
      </c>
      <c r="X522">
        <v>1623</v>
      </c>
      <c r="Y522">
        <v>0</v>
      </c>
    </row>
    <row r="523" spans="1:25" x14ac:dyDescent="0.3">
      <c r="A523">
        <v>522</v>
      </c>
      <c r="B523">
        <v>410000</v>
      </c>
      <c r="C523">
        <v>2</v>
      </c>
      <c r="D523">
        <v>2</v>
      </c>
      <c r="E523">
        <v>2</v>
      </c>
      <c r="F523">
        <v>27</v>
      </c>
      <c r="G523">
        <v>1</v>
      </c>
      <c r="H523">
        <v>-1</v>
      </c>
      <c r="I523">
        <v>0</v>
      </c>
      <c r="J523">
        <v>0</v>
      </c>
      <c r="K523">
        <v>0</v>
      </c>
      <c r="L523">
        <v>0</v>
      </c>
      <c r="M523">
        <v>-58</v>
      </c>
      <c r="N523">
        <v>32991</v>
      </c>
      <c r="O523">
        <v>36465</v>
      </c>
      <c r="P523">
        <v>44310</v>
      </c>
      <c r="Q523">
        <v>62408</v>
      </c>
      <c r="R523">
        <v>61420</v>
      </c>
      <c r="S523">
        <v>33049</v>
      </c>
      <c r="T523">
        <v>16000</v>
      </c>
      <c r="U523">
        <v>8700</v>
      </c>
      <c r="V523">
        <v>18775</v>
      </c>
      <c r="W523">
        <v>15000</v>
      </c>
      <c r="X523">
        <v>5350</v>
      </c>
      <c r="Y523">
        <v>0</v>
      </c>
    </row>
    <row r="524" spans="1:25" x14ac:dyDescent="0.3">
      <c r="A524">
        <v>523</v>
      </c>
      <c r="B524">
        <v>360000</v>
      </c>
      <c r="C524">
        <v>1</v>
      </c>
      <c r="D524">
        <v>1</v>
      </c>
      <c r="E524">
        <v>2</v>
      </c>
      <c r="F524">
        <v>28</v>
      </c>
      <c r="G524">
        <v>-1</v>
      </c>
      <c r="H524">
        <v>-1</v>
      </c>
      <c r="I524">
        <v>-1</v>
      </c>
      <c r="J524">
        <v>0</v>
      </c>
      <c r="K524">
        <v>0</v>
      </c>
      <c r="L524">
        <v>-1</v>
      </c>
      <c r="M524">
        <v>1210</v>
      </c>
      <c r="N524">
        <v>820</v>
      </c>
      <c r="O524">
        <v>64644</v>
      </c>
      <c r="P524">
        <v>125984</v>
      </c>
      <c r="Q524">
        <v>106584</v>
      </c>
      <c r="R524">
        <v>125557</v>
      </c>
      <c r="S524">
        <v>390</v>
      </c>
      <c r="T524">
        <v>75720</v>
      </c>
      <c r="U524">
        <v>62520</v>
      </c>
      <c r="V524">
        <v>17000</v>
      </c>
      <c r="W524">
        <v>132200</v>
      </c>
      <c r="X524">
        <v>167000</v>
      </c>
      <c r="Y524">
        <v>1</v>
      </c>
    </row>
    <row r="525" spans="1:25" x14ac:dyDescent="0.3">
      <c r="A525">
        <v>524</v>
      </c>
      <c r="B525">
        <v>140000</v>
      </c>
      <c r="C525">
        <v>2</v>
      </c>
      <c r="D525">
        <v>2</v>
      </c>
      <c r="E525">
        <v>1</v>
      </c>
      <c r="F525">
        <v>42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111496</v>
      </c>
      <c r="N525">
        <v>112133</v>
      </c>
      <c r="O525">
        <v>69529</v>
      </c>
      <c r="P525">
        <v>70804</v>
      </c>
      <c r="Q525">
        <v>70781</v>
      </c>
      <c r="R525">
        <v>66735</v>
      </c>
      <c r="S525">
        <v>6022</v>
      </c>
      <c r="T525">
        <v>3021</v>
      </c>
      <c r="U525">
        <v>5012</v>
      </c>
      <c r="V525">
        <v>5112</v>
      </c>
      <c r="W525">
        <v>3000</v>
      </c>
      <c r="X525">
        <v>5000</v>
      </c>
      <c r="Y525">
        <v>1</v>
      </c>
    </row>
    <row r="526" spans="1:25" x14ac:dyDescent="0.3">
      <c r="A526">
        <v>525</v>
      </c>
      <c r="B526">
        <v>210000</v>
      </c>
      <c r="C526">
        <v>2</v>
      </c>
      <c r="D526">
        <v>1</v>
      </c>
      <c r="E526">
        <v>2</v>
      </c>
      <c r="F526">
        <v>32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67374</v>
      </c>
      <c r="N526">
        <v>69489</v>
      </c>
      <c r="O526">
        <v>70937</v>
      </c>
      <c r="P526">
        <v>71761</v>
      </c>
      <c r="Q526">
        <v>73505</v>
      </c>
      <c r="R526">
        <v>74827</v>
      </c>
      <c r="S526">
        <v>3200</v>
      </c>
      <c r="T526">
        <v>3200</v>
      </c>
      <c r="U526">
        <v>2600</v>
      </c>
      <c r="V526">
        <v>2900</v>
      </c>
      <c r="W526">
        <v>2700</v>
      </c>
      <c r="X526">
        <v>3000</v>
      </c>
      <c r="Y526">
        <v>0</v>
      </c>
    </row>
    <row r="527" spans="1:25" x14ac:dyDescent="0.3">
      <c r="A527">
        <v>526</v>
      </c>
      <c r="B527">
        <v>220000</v>
      </c>
      <c r="C527">
        <v>2</v>
      </c>
      <c r="D527">
        <v>2</v>
      </c>
      <c r="E527">
        <v>2</v>
      </c>
      <c r="F527">
        <v>27</v>
      </c>
      <c r="G527">
        <v>-1</v>
      </c>
      <c r="H527">
        <v>-1</v>
      </c>
      <c r="I527">
        <v>-1</v>
      </c>
      <c r="J527">
        <v>-1</v>
      </c>
      <c r="K527">
        <v>-1</v>
      </c>
      <c r="L527">
        <v>-1</v>
      </c>
      <c r="M527">
        <v>1692</v>
      </c>
      <c r="N527">
        <v>13250</v>
      </c>
      <c r="O527">
        <v>433</v>
      </c>
      <c r="P527">
        <v>1831</v>
      </c>
      <c r="Q527">
        <v>0</v>
      </c>
      <c r="R527">
        <v>2891</v>
      </c>
      <c r="S527">
        <v>13250</v>
      </c>
      <c r="T527">
        <v>433</v>
      </c>
      <c r="U527">
        <v>1831</v>
      </c>
      <c r="V527">
        <v>0</v>
      </c>
      <c r="W527">
        <v>2891</v>
      </c>
      <c r="X527">
        <v>153504</v>
      </c>
      <c r="Y527">
        <v>0</v>
      </c>
    </row>
    <row r="528" spans="1:25" x14ac:dyDescent="0.3">
      <c r="A528">
        <v>527</v>
      </c>
      <c r="B528">
        <v>20000</v>
      </c>
      <c r="C528">
        <v>1</v>
      </c>
      <c r="D528">
        <v>2</v>
      </c>
      <c r="E528">
        <v>2</v>
      </c>
      <c r="F528">
        <v>27</v>
      </c>
      <c r="G528">
        <v>1</v>
      </c>
      <c r="H528">
        <v>2</v>
      </c>
      <c r="I528">
        <v>0</v>
      </c>
      <c r="J528">
        <v>0</v>
      </c>
      <c r="K528">
        <v>0</v>
      </c>
      <c r="L528">
        <v>2</v>
      </c>
      <c r="M528">
        <v>18649</v>
      </c>
      <c r="N528">
        <v>18066</v>
      </c>
      <c r="O528">
        <v>19040</v>
      </c>
      <c r="P528">
        <v>19446</v>
      </c>
      <c r="Q528">
        <v>20759</v>
      </c>
      <c r="R528">
        <v>20241</v>
      </c>
      <c r="S528">
        <v>0</v>
      </c>
      <c r="T528">
        <v>1594</v>
      </c>
      <c r="U528">
        <v>1000</v>
      </c>
      <c r="V528">
        <v>1606</v>
      </c>
      <c r="W528">
        <v>0</v>
      </c>
      <c r="X528">
        <v>300</v>
      </c>
      <c r="Y528">
        <v>0</v>
      </c>
    </row>
    <row r="529" spans="1:25" x14ac:dyDescent="0.3">
      <c r="A529">
        <v>528</v>
      </c>
      <c r="B529">
        <v>620000</v>
      </c>
      <c r="C529">
        <v>2</v>
      </c>
      <c r="D529">
        <v>2</v>
      </c>
      <c r="E529">
        <v>1</v>
      </c>
      <c r="F529">
        <v>45</v>
      </c>
      <c r="G529">
        <v>2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160837</v>
      </c>
      <c r="N529">
        <v>156839</v>
      </c>
      <c r="O529">
        <v>160440</v>
      </c>
      <c r="P529">
        <v>163781</v>
      </c>
      <c r="Q529">
        <v>167159</v>
      </c>
      <c r="R529">
        <v>170894</v>
      </c>
      <c r="S529">
        <v>0</v>
      </c>
      <c r="T529">
        <v>6200</v>
      </c>
      <c r="U529">
        <v>6000</v>
      </c>
      <c r="V529">
        <v>6000</v>
      </c>
      <c r="W529">
        <v>6500</v>
      </c>
      <c r="X529">
        <v>6000</v>
      </c>
      <c r="Y529">
        <v>1</v>
      </c>
    </row>
    <row r="530" spans="1:25" x14ac:dyDescent="0.3">
      <c r="A530">
        <v>529</v>
      </c>
      <c r="B530">
        <v>360000</v>
      </c>
      <c r="C530">
        <v>1</v>
      </c>
      <c r="D530">
        <v>1</v>
      </c>
      <c r="E530">
        <v>2</v>
      </c>
      <c r="F530">
        <v>26</v>
      </c>
      <c r="G530">
        <v>1</v>
      </c>
      <c r="H530">
        <v>-2</v>
      </c>
      <c r="I530">
        <v>-2</v>
      </c>
      <c r="J530">
        <v>-2</v>
      </c>
      <c r="K530">
        <v>-1</v>
      </c>
      <c r="L530">
        <v>-1</v>
      </c>
      <c r="M530">
        <v>-8</v>
      </c>
      <c r="N530">
        <v>-8</v>
      </c>
      <c r="O530">
        <v>-8</v>
      </c>
      <c r="P530">
        <v>-8</v>
      </c>
      <c r="Q530">
        <v>1677</v>
      </c>
      <c r="R530">
        <v>2600</v>
      </c>
      <c r="S530">
        <v>0</v>
      </c>
      <c r="T530">
        <v>0</v>
      </c>
      <c r="U530">
        <v>0</v>
      </c>
      <c r="V530">
        <v>1685</v>
      </c>
      <c r="W530">
        <v>2613</v>
      </c>
      <c r="X530">
        <v>0</v>
      </c>
      <c r="Y530">
        <v>0</v>
      </c>
    </row>
    <row r="531" spans="1:25" x14ac:dyDescent="0.3">
      <c r="A531">
        <v>530</v>
      </c>
      <c r="B531">
        <v>20000</v>
      </c>
      <c r="C531">
        <v>2</v>
      </c>
      <c r="D531">
        <v>2</v>
      </c>
      <c r="E531">
        <v>2</v>
      </c>
      <c r="F531">
        <v>21</v>
      </c>
      <c r="G531">
        <v>-1</v>
      </c>
      <c r="H531">
        <v>-1</v>
      </c>
      <c r="I531">
        <v>2</v>
      </c>
      <c r="J531">
        <v>2</v>
      </c>
      <c r="K531">
        <v>-1</v>
      </c>
      <c r="L531">
        <v>-1</v>
      </c>
      <c r="M531">
        <v>18763</v>
      </c>
      <c r="N531">
        <v>14410</v>
      </c>
      <c r="O531">
        <v>13771</v>
      </c>
      <c r="P531">
        <v>362</v>
      </c>
      <c r="Q531">
        <v>5308</v>
      </c>
      <c r="R531">
        <v>0</v>
      </c>
      <c r="S531">
        <v>14410</v>
      </c>
      <c r="T531">
        <v>0</v>
      </c>
      <c r="U531">
        <v>28</v>
      </c>
      <c r="V531">
        <v>22073</v>
      </c>
      <c r="W531">
        <v>0</v>
      </c>
      <c r="X531">
        <v>0</v>
      </c>
      <c r="Y531">
        <v>0</v>
      </c>
    </row>
    <row r="532" spans="1:25" x14ac:dyDescent="0.3">
      <c r="A532">
        <v>531</v>
      </c>
      <c r="B532">
        <v>50000</v>
      </c>
      <c r="C532">
        <v>1</v>
      </c>
      <c r="D532">
        <v>2</v>
      </c>
      <c r="E532">
        <v>2</v>
      </c>
      <c r="F532">
        <v>23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34549</v>
      </c>
      <c r="N532">
        <v>18552</v>
      </c>
      <c r="O532">
        <v>19334</v>
      </c>
      <c r="P532">
        <v>18165</v>
      </c>
      <c r="Q532">
        <v>19322</v>
      </c>
      <c r="R532">
        <v>19575</v>
      </c>
      <c r="S532">
        <v>2836</v>
      </c>
      <c r="T532">
        <v>1200</v>
      </c>
      <c r="U532">
        <v>13000</v>
      </c>
      <c r="V532">
        <v>1500</v>
      </c>
      <c r="W532">
        <v>9000</v>
      </c>
      <c r="X532">
        <v>1000</v>
      </c>
      <c r="Y532">
        <v>0</v>
      </c>
    </row>
    <row r="533" spans="1:25" x14ac:dyDescent="0.3">
      <c r="A533">
        <v>532</v>
      </c>
      <c r="B533">
        <v>50000</v>
      </c>
      <c r="C533">
        <v>1</v>
      </c>
      <c r="D533">
        <v>2</v>
      </c>
      <c r="E533">
        <v>3</v>
      </c>
      <c r="F533">
        <v>30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97538</v>
      </c>
      <c r="N533">
        <v>49187</v>
      </c>
      <c r="O533">
        <v>17518</v>
      </c>
      <c r="P533">
        <v>17710</v>
      </c>
      <c r="Q533">
        <v>18079</v>
      </c>
      <c r="R533">
        <v>18302</v>
      </c>
      <c r="S533">
        <v>2454</v>
      </c>
      <c r="T533">
        <v>1588</v>
      </c>
      <c r="U533">
        <v>780</v>
      </c>
      <c r="V533">
        <v>803</v>
      </c>
      <c r="W533">
        <v>673</v>
      </c>
      <c r="X533">
        <v>637</v>
      </c>
      <c r="Y533">
        <v>0</v>
      </c>
    </row>
    <row r="534" spans="1:25" x14ac:dyDescent="0.3">
      <c r="A534">
        <v>533</v>
      </c>
      <c r="B534">
        <v>10000</v>
      </c>
      <c r="C534">
        <v>1</v>
      </c>
      <c r="D534">
        <v>2</v>
      </c>
      <c r="E534">
        <v>2</v>
      </c>
      <c r="F534">
        <v>46</v>
      </c>
      <c r="G534">
        <v>0</v>
      </c>
      <c r="H534">
        <v>0</v>
      </c>
      <c r="I534">
        <v>2</v>
      </c>
      <c r="J534">
        <v>2</v>
      </c>
      <c r="K534">
        <v>2</v>
      </c>
      <c r="L534">
        <v>0</v>
      </c>
      <c r="M534">
        <v>4073</v>
      </c>
      <c r="N534">
        <v>6394</v>
      </c>
      <c r="O534">
        <v>6143</v>
      </c>
      <c r="P534">
        <v>6908</v>
      </c>
      <c r="Q534">
        <v>6652</v>
      </c>
      <c r="R534">
        <v>6785</v>
      </c>
      <c r="S534">
        <v>2400</v>
      </c>
      <c r="T534">
        <v>0</v>
      </c>
      <c r="U534">
        <v>871</v>
      </c>
      <c r="V534">
        <v>0</v>
      </c>
      <c r="W534">
        <v>244</v>
      </c>
      <c r="X534">
        <v>251</v>
      </c>
      <c r="Y534">
        <v>1</v>
      </c>
    </row>
    <row r="535" spans="1:25" x14ac:dyDescent="0.3">
      <c r="A535">
        <v>534</v>
      </c>
      <c r="B535">
        <v>100000</v>
      </c>
      <c r="C535">
        <v>2</v>
      </c>
      <c r="D535">
        <v>3</v>
      </c>
      <c r="E535">
        <v>1</v>
      </c>
      <c r="F535">
        <v>50</v>
      </c>
      <c r="G535">
        <v>2</v>
      </c>
      <c r="H535">
        <v>0</v>
      </c>
      <c r="I535">
        <v>0</v>
      </c>
      <c r="J535">
        <v>3</v>
      </c>
      <c r="K535">
        <v>3</v>
      </c>
      <c r="L535">
        <v>2</v>
      </c>
      <c r="M535">
        <v>53849</v>
      </c>
      <c r="N535">
        <v>55030</v>
      </c>
      <c r="O535">
        <v>61574</v>
      </c>
      <c r="P535">
        <v>62470</v>
      </c>
      <c r="Q535">
        <v>61198</v>
      </c>
      <c r="R535">
        <v>62524</v>
      </c>
      <c r="S535">
        <v>2050</v>
      </c>
      <c r="T535">
        <v>7500</v>
      </c>
      <c r="U535">
        <v>2500</v>
      </c>
      <c r="V535">
        <v>0</v>
      </c>
      <c r="W535">
        <v>2500</v>
      </c>
      <c r="X535">
        <v>2500</v>
      </c>
      <c r="Y535">
        <v>1</v>
      </c>
    </row>
    <row r="536" spans="1:25" x14ac:dyDescent="0.3">
      <c r="A536">
        <v>535</v>
      </c>
      <c r="B536">
        <v>50000</v>
      </c>
      <c r="C536">
        <v>1</v>
      </c>
      <c r="D536">
        <v>1</v>
      </c>
      <c r="E536">
        <v>2</v>
      </c>
      <c r="F536">
        <v>26</v>
      </c>
      <c r="G536">
        <v>-2</v>
      </c>
      <c r="H536">
        <v>-2</v>
      </c>
      <c r="I536">
        <v>-2</v>
      </c>
      <c r="J536">
        <v>-2</v>
      </c>
      <c r="K536">
        <v>-2</v>
      </c>
      <c r="L536">
        <v>-2</v>
      </c>
      <c r="M536">
        <v>2411</v>
      </c>
      <c r="N536">
        <v>3059</v>
      </c>
      <c r="O536">
        <v>2333</v>
      </c>
      <c r="P536">
        <v>1800</v>
      </c>
      <c r="Q536">
        <v>1620</v>
      </c>
      <c r="R536">
        <v>0</v>
      </c>
      <c r="S536">
        <v>3068</v>
      </c>
      <c r="T536">
        <v>2440</v>
      </c>
      <c r="U536">
        <v>1807</v>
      </c>
      <c r="V536">
        <v>2204</v>
      </c>
      <c r="W536">
        <v>0</v>
      </c>
      <c r="X536">
        <v>0</v>
      </c>
      <c r="Y536">
        <v>0</v>
      </c>
    </row>
    <row r="537" spans="1:25" x14ac:dyDescent="0.3">
      <c r="A537">
        <v>536</v>
      </c>
      <c r="B537">
        <v>60000</v>
      </c>
      <c r="C537">
        <v>1</v>
      </c>
      <c r="D537">
        <v>2</v>
      </c>
      <c r="E537">
        <v>2</v>
      </c>
      <c r="F537">
        <v>25</v>
      </c>
      <c r="G537">
        <v>-1</v>
      </c>
      <c r="H537">
        <v>-1</v>
      </c>
      <c r="I537">
        <v>0</v>
      </c>
      <c r="J537">
        <v>-1</v>
      </c>
      <c r="K537">
        <v>-1</v>
      </c>
      <c r="L537">
        <v>0</v>
      </c>
      <c r="M537">
        <v>480</v>
      </c>
      <c r="N537">
        <v>1675</v>
      </c>
      <c r="O537">
        <v>3630</v>
      </c>
      <c r="P537">
        <v>578</v>
      </c>
      <c r="Q537">
        <v>4825</v>
      </c>
      <c r="R537">
        <v>6200</v>
      </c>
      <c r="S537">
        <v>1675</v>
      </c>
      <c r="T537">
        <v>2500</v>
      </c>
      <c r="U537">
        <v>578</v>
      </c>
      <c r="V537">
        <v>4825</v>
      </c>
      <c r="W537">
        <v>2000</v>
      </c>
      <c r="X537">
        <v>2435</v>
      </c>
      <c r="Y537">
        <v>0</v>
      </c>
    </row>
    <row r="538" spans="1:25" x14ac:dyDescent="0.3">
      <c r="A538">
        <v>537</v>
      </c>
      <c r="B538">
        <v>440000</v>
      </c>
      <c r="C538">
        <v>2</v>
      </c>
      <c r="D538">
        <v>1</v>
      </c>
      <c r="E538">
        <v>2</v>
      </c>
      <c r="F538">
        <v>35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330759</v>
      </c>
      <c r="N538">
        <v>337794</v>
      </c>
      <c r="O538">
        <v>274075</v>
      </c>
      <c r="P538">
        <v>252584</v>
      </c>
      <c r="Q538">
        <v>216547</v>
      </c>
      <c r="R538">
        <v>179221</v>
      </c>
      <c r="S538">
        <v>13100</v>
      </c>
      <c r="T538">
        <v>11000</v>
      </c>
      <c r="U538">
        <v>10000</v>
      </c>
      <c r="V538">
        <v>9000</v>
      </c>
      <c r="W538">
        <v>7100</v>
      </c>
      <c r="X538">
        <v>5500</v>
      </c>
      <c r="Y538">
        <v>0</v>
      </c>
    </row>
    <row r="539" spans="1:25" x14ac:dyDescent="0.3">
      <c r="A539">
        <v>538</v>
      </c>
      <c r="B539">
        <v>120000</v>
      </c>
      <c r="C539">
        <v>1</v>
      </c>
      <c r="D539">
        <v>2</v>
      </c>
      <c r="E539">
        <v>1</v>
      </c>
      <c r="F539">
        <v>44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92007</v>
      </c>
      <c r="N539">
        <v>87939</v>
      </c>
      <c r="O539">
        <v>82094</v>
      </c>
      <c r="P539">
        <v>59105</v>
      </c>
      <c r="Q539">
        <v>53442</v>
      </c>
      <c r="R539">
        <v>46775</v>
      </c>
      <c r="S539">
        <v>5417</v>
      </c>
      <c r="T539">
        <v>2847</v>
      </c>
      <c r="U539">
        <v>2066</v>
      </c>
      <c r="V539">
        <v>1919</v>
      </c>
      <c r="W539">
        <v>2200</v>
      </c>
      <c r="X539">
        <v>0</v>
      </c>
      <c r="Y539">
        <v>0</v>
      </c>
    </row>
    <row r="540" spans="1:25" x14ac:dyDescent="0.3">
      <c r="A540">
        <v>539</v>
      </c>
      <c r="B540">
        <v>50000</v>
      </c>
      <c r="C540">
        <v>2</v>
      </c>
      <c r="D540">
        <v>1</v>
      </c>
      <c r="E540">
        <v>2</v>
      </c>
      <c r="F540">
        <v>52</v>
      </c>
      <c r="G540">
        <v>0</v>
      </c>
      <c r="H540">
        <v>0</v>
      </c>
      <c r="I540">
        <v>0</v>
      </c>
      <c r="J540">
        <v>-2</v>
      </c>
      <c r="K540">
        <v>-1</v>
      </c>
      <c r="L540">
        <v>-1</v>
      </c>
      <c r="M540">
        <v>3257</v>
      </c>
      <c r="N540">
        <v>4166</v>
      </c>
      <c r="O540">
        <v>0</v>
      </c>
      <c r="P540">
        <v>0</v>
      </c>
      <c r="Q540">
        <v>318</v>
      </c>
      <c r="R540">
        <v>0</v>
      </c>
      <c r="S540">
        <v>1000</v>
      </c>
      <c r="T540">
        <v>0</v>
      </c>
      <c r="U540">
        <v>0</v>
      </c>
      <c r="V540">
        <v>318</v>
      </c>
      <c r="W540">
        <v>0</v>
      </c>
      <c r="X540">
        <v>0</v>
      </c>
      <c r="Y540">
        <v>0</v>
      </c>
    </row>
    <row r="541" spans="1:25" x14ac:dyDescent="0.3">
      <c r="A541">
        <v>540</v>
      </c>
      <c r="B541">
        <v>110000</v>
      </c>
      <c r="C541">
        <v>2</v>
      </c>
      <c r="D541">
        <v>2</v>
      </c>
      <c r="E541">
        <v>1</v>
      </c>
      <c r="F541">
        <v>40</v>
      </c>
      <c r="G541">
        <v>1</v>
      </c>
      <c r="H541">
        <v>2</v>
      </c>
      <c r="I541">
        <v>2</v>
      </c>
      <c r="J541">
        <v>2</v>
      </c>
      <c r="K541">
        <v>2</v>
      </c>
      <c r="L541">
        <v>2</v>
      </c>
      <c r="M541">
        <v>92638</v>
      </c>
      <c r="N541">
        <v>90905</v>
      </c>
      <c r="O541">
        <v>95768</v>
      </c>
      <c r="P541">
        <v>97004</v>
      </c>
      <c r="Q541">
        <v>99005</v>
      </c>
      <c r="R541">
        <v>101213</v>
      </c>
      <c r="S541">
        <v>600</v>
      </c>
      <c r="T541">
        <v>7300</v>
      </c>
      <c r="U541">
        <v>3700</v>
      </c>
      <c r="V541">
        <v>3700</v>
      </c>
      <c r="W541">
        <v>4000</v>
      </c>
      <c r="X541">
        <v>3800</v>
      </c>
      <c r="Y541">
        <v>0</v>
      </c>
    </row>
    <row r="542" spans="1:25" x14ac:dyDescent="0.3">
      <c r="A542">
        <v>541</v>
      </c>
      <c r="B542">
        <v>200000</v>
      </c>
      <c r="C542">
        <v>2</v>
      </c>
      <c r="D542">
        <v>1</v>
      </c>
      <c r="E542">
        <v>2</v>
      </c>
      <c r="F542">
        <v>38</v>
      </c>
      <c r="G542">
        <v>-1</v>
      </c>
      <c r="H542">
        <v>-1</v>
      </c>
      <c r="I542">
        <v>-2</v>
      </c>
      <c r="J542">
        <v>-2</v>
      </c>
      <c r="K542">
        <v>-1</v>
      </c>
      <c r="L542">
        <v>-1</v>
      </c>
      <c r="M542">
        <v>399</v>
      </c>
      <c r="N542">
        <v>0</v>
      </c>
      <c r="O542">
        <v>0</v>
      </c>
      <c r="P542">
        <v>0</v>
      </c>
      <c r="Q542">
        <v>218</v>
      </c>
      <c r="R542">
        <v>270</v>
      </c>
      <c r="S542">
        <v>0</v>
      </c>
      <c r="T542">
        <v>0</v>
      </c>
      <c r="U542">
        <v>0</v>
      </c>
      <c r="V542">
        <v>218</v>
      </c>
      <c r="W542">
        <v>270</v>
      </c>
      <c r="X542">
        <v>317</v>
      </c>
      <c r="Y542">
        <v>0</v>
      </c>
    </row>
    <row r="543" spans="1:25" x14ac:dyDescent="0.3">
      <c r="A543">
        <v>542</v>
      </c>
      <c r="B543">
        <v>150000</v>
      </c>
      <c r="C543">
        <v>2</v>
      </c>
      <c r="D543">
        <v>1</v>
      </c>
      <c r="E543">
        <v>2</v>
      </c>
      <c r="F543">
        <v>28</v>
      </c>
      <c r="G543">
        <v>1</v>
      </c>
      <c r="H543">
        <v>-2</v>
      </c>
      <c r="I543">
        <v>-2</v>
      </c>
      <c r="J543">
        <v>-2</v>
      </c>
      <c r="K543">
        <v>-2</v>
      </c>
      <c r="L543">
        <v>-1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318</v>
      </c>
      <c r="S543">
        <v>0</v>
      </c>
      <c r="T543">
        <v>0</v>
      </c>
      <c r="U543">
        <v>0</v>
      </c>
      <c r="V543">
        <v>0</v>
      </c>
      <c r="W543">
        <v>318</v>
      </c>
      <c r="X543">
        <v>0</v>
      </c>
      <c r="Y543">
        <v>0</v>
      </c>
    </row>
    <row r="544" spans="1:25" x14ac:dyDescent="0.3">
      <c r="A544">
        <v>543</v>
      </c>
      <c r="B544">
        <v>30000</v>
      </c>
      <c r="C544">
        <v>2</v>
      </c>
      <c r="D544">
        <v>2</v>
      </c>
      <c r="E544">
        <v>1</v>
      </c>
      <c r="F544">
        <v>36</v>
      </c>
      <c r="G544">
        <v>2</v>
      </c>
      <c r="H544">
        <v>3</v>
      </c>
      <c r="I544">
        <v>2</v>
      </c>
      <c r="J544">
        <v>2</v>
      </c>
      <c r="K544">
        <v>0</v>
      </c>
      <c r="L544">
        <v>0</v>
      </c>
      <c r="M544">
        <v>28778</v>
      </c>
      <c r="N544">
        <v>28039</v>
      </c>
      <c r="O544">
        <v>28286</v>
      </c>
      <c r="P544">
        <v>27533</v>
      </c>
      <c r="Q544">
        <v>28189</v>
      </c>
      <c r="R544">
        <v>28805</v>
      </c>
      <c r="S544">
        <v>0</v>
      </c>
      <c r="T544">
        <v>1000</v>
      </c>
      <c r="U544">
        <v>0</v>
      </c>
      <c r="V544">
        <v>1100</v>
      </c>
      <c r="W544">
        <v>1100</v>
      </c>
      <c r="X544">
        <v>1500</v>
      </c>
      <c r="Y544">
        <v>1</v>
      </c>
    </row>
    <row r="545" spans="1:25" x14ac:dyDescent="0.3">
      <c r="A545">
        <v>544</v>
      </c>
      <c r="B545">
        <v>100000</v>
      </c>
      <c r="C545">
        <v>2</v>
      </c>
      <c r="D545">
        <v>1</v>
      </c>
      <c r="E545">
        <v>2</v>
      </c>
      <c r="F545">
        <v>24</v>
      </c>
      <c r="G545">
        <v>0</v>
      </c>
      <c r="H545">
        <v>0</v>
      </c>
      <c r="I545">
        <v>0</v>
      </c>
      <c r="J545">
        <v>0</v>
      </c>
      <c r="K545">
        <v>-1</v>
      </c>
      <c r="L545">
        <v>-1</v>
      </c>
      <c r="M545">
        <v>30092</v>
      </c>
      <c r="N545">
        <v>30486</v>
      </c>
      <c r="O545">
        <v>30178</v>
      </c>
      <c r="P545">
        <v>29735</v>
      </c>
      <c r="Q545">
        <v>14718</v>
      </c>
      <c r="R545">
        <v>29427</v>
      </c>
      <c r="S545">
        <v>1553</v>
      </c>
      <c r="T545">
        <v>5000</v>
      </c>
      <c r="U545">
        <v>87</v>
      </c>
      <c r="V545">
        <v>14761</v>
      </c>
      <c r="W545">
        <v>29514</v>
      </c>
      <c r="X545">
        <v>330</v>
      </c>
      <c r="Y545">
        <v>0</v>
      </c>
    </row>
    <row r="546" spans="1:25" x14ac:dyDescent="0.3">
      <c r="A546">
        <v>545</v>
      </c>
      <c r="B546">
        <v>360000</v>
      </c>
      <c r="C546">
        <v>2</v>
      </c>
      <c r="D546">
        <v>1</v>
      </c>
      <c r="E546">
        <v>1</v>
      </c>
      <c r="F546">
        <v>34</v>
      </c>
      <c r="G546">
        <v>-1</v>
      </c>
      <c r="H546">
        <v>0</v>
      </c>
      <c r="I546">
        <v>0</v>
      </c>
      <c r="J546">
        <v>-1</v>
      </c>
      <c r="K546">
        <v>0</v>
      </c>
      <c r="L546">
        <v>-1</v>
      </c>
      <c r="M546">
        <v>12339</v>
      </c>
      <c r="N546">
        <v>10138</v>
      </c>
      <c r="O546">
        <v>23912</v>
      </c>
      <c r="P546">
        <v>9785</v>
      </c>
      <c r="Q546">
        <v>166</v>
      </c>
      <c r="R546">
        <v>2142</v>
      </c>
      <c r="S546">
        <v>10000</v>
      </c>
      <c r="T546">
        <v>13912</v>
      </c>
      <c r="U546">
        <v>9785</v>
      </c>
      <c r="V546">
        <v>0</v>
      </c>
      <c r="W546">
        <v>2142</v>
      </c>
      <c r="X546">
        <v>4230</v>
      </c>
      <c r="Y546">
        <v>0</v>
      </c>
    </row>
    <row r="547" spans="1:25" x14ac:dyDescent="0.3">
      <c r="A547">
        <v>546</v>
      </c>
      <c r="B547">
        <v>390000</v>
      </c>
      <c r="C547">
        <v>2</v>
      </c>
      <c r="D547">
        <v>1</v>
      </c>
      <c r="E547">
        <v>2</v>
      </c>
      <c r="F547">
        <v>31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50620</v>
      </c>
      <c r="N547">
        <v>43220</v>
      </c>
      <c r="O547">
        <v>44237</v>
      </c>
      <c r="P547">
        <v>46495</v>
      </c>
      <c r="Q547">
        <v>47751</v>
      </c>
      <c r="R547">
        <v>51941</v>
      </c>
      <c r="S547">
        <v>5000</v>
      </c>
      <c r="T547">
        <v>3000</v>
      </c>
      <c r="U547">
        <v>3000</v>
      </c>
      <c r="V547">
        <v>2000</v>
      </c>
      <c r="W547">
        <v>5000</v>
      </c>
      <c r="X547">
        <v>5000</v>
      </c>
      <c r="Y547">
        <v>0</v>
      </c>
    </row>
    <row r="548" spans="1:25" x14ac:dyDescent="0.3">
      <c r="A548">
        <v>547</v>
      </c>
      <c r="B548">
        <v>220000</v>
      </c>
      <c r="C548">
        <v>2</v>
      </c>
      <c r="D548">
        <v>1</v>
      </c>
      <c r="E548">
        <v>1</v>
      </c>
      <c r="F548">
        <v>41</v>
      </c>
      <c r="G548">
        <v>1</v>
      </c>
      <c r="H548">
        <v>-2</v>
      </c>
      <c r="I548">
        <v>-2</v>
      </c>
      <c r="J548">
        <v>-2</v>
      </c>
      <c r="K548">
        <v>-2</v>
      </c>
      <c r="L548">
        <v>-2</v>
      </c>
      <c r="M548">
        <v>-65</v>
      </c>
      <c r="N548">
        <v>-65</v>
      </c>
      <c r="O548">
        <v>-65</v>
      </c>
      <c r="P548">
        <v>-65</v>
      </c>
      <c r="Q548">
        <v>-65</v>
      </c>
      <c r="R548">
        <v>-200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</row>
    <row r="549" spans="1:25" x14ac:dyDescent="0.3">
      <c r="A549">
        <v>548</v>
      </c>
      <c r="B549">
        <v>160000</v>
      </c>
      <c r="C549">
        <v>2</v>
      </c>
      <c r="D549">
        <v>2</v>
      </c>
      <c r="E549">
        <v>2</v>
      </c>
      <c r="F549">
        <v>25</v>
      </c>
      <c r="G549">
        <v>-2</v>
      </c>
      <c r="H549">
        <v>-2</v>
      </c>
      <c r="I549">
        <v>-2</v>
      </c>
      <c r="J549">
        <v>-2</v>
      </c>
      <c r="K549">
        <v>-2</v>
      </c>
      <c r="L549">
        <v>-2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</row>
    <row r="550" spans="1:25" x14ac:dyDescent="0.3">
      <c r="A550">
        <v>549</v>
      </c>
      <c r="B550">
        <v>230000</v>
      </c>
      <c r="C550">
        <v>2</v>
      </c>
      <c r="D550">
        <v>1</v>
      </c>
      <c r="E550">
        <v>2</v>
      </c>
      <c r="F550">
        <v>28</v>
      </c>
      <c r="G550">
        <v>-1</v>
      </c>
      <c r="H550">
        <v>-1</v>
      </c>
      <c r="I550">
        <v>0</v>
      </c>
      <c r="J550">
        <v>0</v>
      </c>
      <c r="K550">
        <v>0</v>
      </c>
      <c r="L550">
        <v>0</v>
      </c>
      <c r="M550">
        <v>2403</v>
      </c>
      <c r="N550">
        <v>7357</v>
      </c>
      <c r="O550">
        <v>9752</v>
      </c>
      <c r="P550">
        <v>12608</v>
      </c>
      <c r="Q550">
        <v>10797</v>
      </c>
      <c r="R550">
        <v>20539</v>
      </c>
      <c r="S550">
        <v>7357</v>
      </c>
      <c r="T550">
        <v>2566</v>
      </c>
      <c r="U550">
        <v>3000</v>
      </c>
      <c r="V550">
        <v>1000</v>
      </c>
      <c r="W550">
        <v>10000</v>
      </c>
      <c r="X550">
        <v>2000</v>
      </c>
      <c r="Y550">
        <v>0</v>
      </c>
    </row>
    <row r="551" spans="1:25" x14ac:dyDescent="0.3">
      <c r="A551">
        <v>550</v>
      </c>
      <c r="B551">
        <v>120000</v>
      </c>
      <c r="C551">
        <v>1</v>
      </c>
      <c r="D551">
        <v>1</v>
      </c>
      <c r="E551">
        <v>2</v>
      </c>
      <c r="F551">
        <v>27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52437</v>
      </c>
      <c r="N551">
        <v>50473</v>
      </c>
      <c r="O551">
        <v>45087</v>
      </c>
      <c r="P551">
        <v>35424</v>
      </c>
      <c r="Q551">
        <v>31760</v>
      </c>
      <c r="R551">
        <v>31214</v>
      </c>
      <c r="S551">
        <v>5024</v>
      </c>
      <c r="T551">
        <v>5000</v>
      </c>
      <c r="U551">
        <v>5000</v>
      </c>
      <c r="V551">
        <v>4000</v>
      </c>
      <c r="W551">
        <v>5000</v>
      </c>
      <c r="X551">
        <v>3500</v>
      </c>
      <c r="Y551">
        <v>0</v>
      </c>
    </row>
    <row r="552" spans="1:25" x14ac:dyDescent="0.3">
      <c r="A552">
        <v>551</v>
      </c>
      <c r="B552">
        <v>100000</v>
      </c>
      <c r="C552">
        <v>1</v>
      </c>
      <c r="D552">
        <v>3</v>
      </c>
      <c r="E552">
        <v>1</v>
      </c>
      <c r="F552">
        <v>52</v>
      </c>
      <c r="G552">
        <v>0</v>
      </c>
      <c r="H552">
        <v>0</v>
      </c>
      <c r="I552">
        <v>2</v>
      </c>
      <c r="J552">
        <v>2</v>
      </c>
      <c r="K552">
        <v>2</v>
      </c>
      <c r="L552">
        <v>0</v>
      </c>
      <c r="M552">
        <v>4657</v>
      </c>
      <c r="N552">
        <v>6068</v>
      </c>
      <c r="O552">
        <v>6418</v>
      </c>
      <c r="P552">
        <v>6781</v>
      </c>
      <c r="Q552">
        <v>6144</v>
      </c>
      <c r="R552">
        <v>7638</v>
      </c>
      <c r="S552">
        <v>1500</v>
      </c>
      <c r="T552">
        <v>1000</v>
      </c>
      <c r="U552">
        <v>1000</v>
      </c>
      <c r="V552">
        <v>0</v>
      </c>
      <c r="W552">
        <v>2000</v>
      </c>
      <c r="X552">
        <v>2000</v>
      </c>
      <c r="Y552">
        <v>1</v>
      </c>
    </row>
    <row r="553" spans="1:25" x14ac:dyDescent="0.3">
      <c r="A553">
        <v>552</v>
      </c>
      <c r="B553">
        <v>190000</v>
      </c>
      <c r="C553">
        <v>2</v>
      </c>
      <c r="D553">
        <v>1</v>
      </c>
      <c r="E553">
        <v>2</v>
      </c>
      <c r="F553">
        <v>41</v>
      </c>
      <c r="G553">
        <v>-1</v>
      </c>
      <c r="H553">
        <v>-1</v>
      </c>
      <c r="I553">
        <v>-1</v>
      </c>
      <c r="J553">
        <v>-1</v>
      </c>
      <c r="K553">
        <v>-1</v>
      </c>
      <c r="L553">
        <v>-1</v>
      </c>
      <c r="M553">
        <v>28204</v>
      </c>
      <c r="N553">
        <v>0</v>
      </c>
      <c r="O553">
        <v>16500</v>
      </c>
      <c r="P553">
        <v>0</v>
      </c>
      <c r="Q553">
        <v>26854</v>
      </c>
      <c r="R553">
        <v>554</v>
      </c>
      <c r="S553">
        <v>0</v>
      </c>
      <c r="T553">
        <v>16500</v>
      </c>
      <c r="U553">
        <v>0</v>
      </c>
      <c r="V553">
        <v>26854</v>
      </c>
      <c r="W553">
        <v>500</v>
      </c>
      <c r="X553">
        <v>0</v>
      </c>
      <c r="Y553">
        <v>1</v>
      </c>
    </row>
    <row r="554" spans="1:25" x14ac:dyDescent="0.3">
      <c r="A554">
        <v>553</v>
      </c>
      <c r="B554">
        <v>50000</v>
      </c>
      <c r="C554">
        <v>1</v>
      </c>
      <c r="D554">
        <v>1</v>
      </c>
      <c r="E554">
        <v>1</v>
      </c>
      <c r="F554">
        <v>56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50715</v>
      </c>
      <c r="N554">
        <v>51073</v>
      </c>
      <c r="O554">
        <v>28185</v>
      </c>
      <c r="P554">
        <v>28842</v>
      </c>
      <c r="Q554">
        <v>30399</v>
      </c>
      <c r="R554">
        <v>29977</v>
      </c>
      <c r="S554">
        <v>2500</v>
      </c>
      <c r="T554">
        <v>1500</v>
      </c>
      <c r="U554">
        <v>1100</v>
      </c>
      <c r="V554">
        <v>2000</v>
      </c>
      <c r="W554">
        <v>1500</v>
      </c>
      <c r="X554">
        <v>1017</v>
      </c>
      <c r="Y554">
        <v>1</v>
      </c>
    </row>
    <row r="555" spans="1:25" x14ac:dyDescent="0.3">
      <c r="A555">
        <v>554</v>
      </c>
      <c r="B555">
        <v>240000</v>
      </c>
      <c r="C555">
        <v>2</v>
      </c>
      <c r="D555">
        <v>1</v>
      </c>
      <c r="E555">
        <v>1</v>
      </c>
      <c r="F555">
        <v>42</v>
      </c>
      <c r="G555">
        <v>1</v>
      </c>
      <c r="H555">
        <v>-1</v>
      </c>
      <c r="I555">
        <v>-1</v>
      </c>
      <c r="J555">
        <v>-2</v>
      </c>
      <c r="K555">
        <v>-2</v>
      </c>
      <c r="L555">
        <v>-2</v>
      </c>
      <c r="M555">
        <v>0</v>
      </c>
      <c r="N555">
        <v>6370</v>
      </c>
      <c r="O555">
        <v>0</v>
      </c>
      <c r="P555">
        <v>0</v>
      </c>
      <c r="Q555">
        <v>0</v>
      </c>
      <c r="R555">
        <v>0</v>
      </c>
      <c r="S555">
        <v>6370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</row>
    <row r="556" spans="1:25" x14ac:dyDescent="0.3">
      <c r="A556">
        <v>555</v>
      </c>
      <c r="B556">
        <v>40000</v>
      </c>
      <c r="C556">
        <v>2</v>
      </c>
      <c r="D556">
        <v>2</v>
      </c>
      <c r="E556">
        <v>2</v>
      </c>
      <c r="F556">
        <v>24</v>
      </c>
      <c r="G556">
        <v>-2</v>
      </c>
      <c r="H556">
        <v>-2</v>
      </c>
      <c r="I556">
        <v>-2</v>
      </c>
      <c r="J556">
        <v>-2</v>
      </c>
      <c r="K556">
        <v>-2</v>
      </c>
      <c r="L556">
        <v>-2</v>
      </c>
      <c r="M556">
        <v>35285</v>
      </c>
      <c r="N556">
        <v>36714</v>
      </c>
      <c r="O556">
        <v>37356</v>
      </c>
      <c r="P556">
        <v>38184</v>
      </c>
      <c r="Q556">
        <v>38724</v>
      </c>
      <c r="R556">
        <v>37255</v>
      </c>
      <c r="S556">
        <v>2000</v>
      </c>
      <c r="T556">
        <v>1600</v>
      </c>
      <c r="U556">
        <v>1401</v>
      </c>
      <c r="V556">
        <v>1607</v>
      </c>
      <c r="W556">
        <v>1800</v>
      </c>
      <c r="X556">
        <v>1751</v>
      </c>
      <c r="Y556">
        <v>0</v>
      </c>
    </row>
    <row r="557" spans="1:25" x14ac:dyDescent="0.3">
      <c r="A557">
        <v>556</v>
      </c>
      <c r="B557">
        <v>630000</v>
      </c>
      <c r="C557">
        <v>2</v>
      </c>
      <c r="D557">
        <v>2</v>
      </c>
      <c r="E557">
        <v>1</v>
      </c>
      <c r="F557">
        <v>47</v>
      </c>
      <c r="G557">
        <v>0</v>
      </c>
      <c r="H557">
        <v>0</v>
      </c>
      <c r="I557">
        <v>0</v>
      </c>
      <c r="J557">
        <v>-1</v>
      </c>
      <c r="K557">
        <v>-1</v>
      </c>
      <c r="L557">
        <v>-2</v>
      </c>
      <c r="M557">
        <v>37850</v>
      </c>
      <c r="N557">
        <v>68187</v>
      </c>
      <c r="O557">
        <v>1207</v>
      </c>
      <c r="P557">
        <v>2632</v>
      </c>
      <c r="Q557">
        <v>8654</v>
      </c>
      <c r="R557">
        <v>0</v>
      </c>
      <c r="S557">
        <v>38187</v>
      </c>
      <c r="T557">
        <v>1207</v>
      </c>
      <c r="U557">
        <v>2632</v>
      </c>
      <c r="V557">
        <v>8654</v>
      </c>
      <c r="W557">
        <v>0</v>
      </c>
      <c r="X557">
        <v>4981</v>
      </c>
      <c r="Y557">
        <v>0</v>
      </c>
    </row>
    <row r="558" spans="1:25" x14ac:dyDescent="0.3">
      <c r="A558">
        <v>557</v>
      </c>
      <c r="B558">
        <v>160000</v>
      </c>
      <c r="C558">
        <v>2</v>
      </c>
      <c r="D558">
        <v>1</v>
      </c>
      <c r="E558">
        <v>1</v>
      </c>
      <c r="F558">
        <v>33</v>
      </c>
      <c r="G558">
        <v>-2</v>
      </c>
      <c r="H558">
        <v>-2</v>
      </c>
      <c r="I558">
        <v>-2</v>
      </c>
      <c r="J558">
        <v>-2</v>
      </c>
      <c r="K558">
        <v>-2</v>
      </c>
      <c r="L558">
        <v>-2</v>
      </c>
      <c r="M558">
        <v>5233</v>
      </c>
      <c r="N558">
        <v>5393</v>
      </c>
      <c r="O558">
        <v>1824</v>
      </c>
      <c r="P558">
        <v>350</v>
      </c>
      <c r="Q558">
        <v>150</v>
      </c>
      <c r="R558">
        <v>199</v>
      </c>
      <c r="S558">
        <v>5401</v>
      </c>
      <c r="T558">
        <v>1829</v>
      </c>
      <c r="U558">
        <v>350</v>
      </c>
      <c r="V558">
        <v>150</v>
      </c>
      <c r="W558">
        <v>199</v>
      </c>
      <c r="X558">
        <v>1145</v>
      </c>
      <c r="Y558">
        <v>0</v>
      </c>
    </row>
    <row r="559" spans="1:25" x14ac:dyDescent="0.3">
      <c r="A559">
        <v>558</v>
      </c>
      <c r="B559">
        <v>110000</v>
      </c>
      <c r="C559">
        <v>2</v>
      </c>
      <c r="D559">
        <v>2</v>
      </c>
      <c r="E559">
        <v>2</v>
      </c>
      <c r="F559">
        <v>32</v>
      </c>
      <c r="G559">
        <v>0</v>
      </c>
      <c r="H559">
        <v>0</v>
      </c>
      <c r="I559">
        <v>2</v>
      </c>
      <c r="J559">
        <v>2</v>
      </c>
      <c r="K559">
        <v>2</v>
      </c>
      <c r="L559">
        <v>2</v>
      </c>
      <c r="M559">
        <v>65299</v>
      </c>
      <c r="N559">
        <v>74565</v>
      </c>
      <c r="O559">
        <v>78516</v>
      </c>
      <c r="P559">
        <v>79829</v>
      </c>
      <c r="Q559">
        <v>81603</v>
      </c>
      <c r="R559">
        <v>83206</v>
      </c>
      <c r="S559">
        <v>11000</v>
      </c>
      <c r="T559">
        <v>5800</v>
      </c>
      <c r="U559">
        <v>3200</v>
      </c>
      <c r="V559">
        <v>3200</v>
      </c>
      <c r="W559">
        <v>3100</v>
      </c>
      <c r="X559">
        <v>3000</v>
      </c>
      <c r="Y559">
        <v>0</v>
      </c>
    </row>
    <row r="560" spans="1:25" x14ac:dyDescent="0.3">
      <c r="A560">
        <v>559</v>
      </c>
      <c r="B560">
        <v>20000</v>
      </c>
      <c r="C560">
        <v>1</v>
      </c>
      <c r="D560">
        <v>2</v>
      </c>
      <c r="E560">
        <v>2</v>
      </c>
      <c r="F560">
        <v>29</v>
      </c>
      <c r="G560">
        <v>0</v>
      </c>
      <c r="H560">
        <v>0</v>
      </c>
      <c r="I560">
        <v>0</v>
      </c>
      <c r="J560">
        <v>-2</v>
      </c>
      <c r="K560">
        <v>-2</v>
      </c>
      <c r="L560">
        <v>-2</v>
      </c>
      <c r="M560">
        <v>17208</v>
      </c>
      <c r="N560">
        <v>18419</v>
      </c>
      <c r="O560">
        <v>0</v>
      </c>
      <c r="P560">
        <v>0</v>
      </c>
      <c r="Q560">
        <v>0</v>
      </c>
      <c r="R560">
        <v>0</v>
      </c>
      <c r="S560">
        <v>2055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</row>
    <row r="561" spans="1:25" x14ac:dyDescent="0.3">
      <c r="A561">
        <v>560</v>
      </c>
      <c r="B561">
        <v>210000</v>
      </c>
      <c r="C561">
        <v>2</v>
      </c>
      <c r="D561">
        <v>3</v>
      </c>
      <c r="E561">
        <v>1</v>
      </c>
      <c r="F561">
        <v>53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57192</v>
      </c>
      <c r="N561">
        <v>58472</v>
      </c>
      <c r="O561">
        <v>59658</v>
      </c>
      <c r="P561">
        <v>60466</v>
      </c>
      <c r="Q561">
        <v>61593</v>
      </c>
      <c r="R561">
        <v>65163</v>
      </c>
      <c r="S561">
        <v>2800</v>
      </c>
      <c r="T561">
        <v>2753</v>
      </c>
      <c r="U561">
        <v>2400</v>
      </c>
      <c r="V561">
        <v>2255</v>
      </c>
      <c r="W561">
        <v>4767</v>
      </c>
      <c r="X561">
        <v>0</v>
      </c>
      <c r="Y561">
        <v>0</v>
      </c>
    </row>
    <row r="562" spans="1:25" x14ac:dyDescent="0.3">
      <c r="A562">
        <v>561</v>
      </c>
      <c r="B562">
        <v>270000</v>
      </c>
      <c r="C562">
        <v>1</v>
      </c>
      <c r="D562">
        <v>1</v>
      </c>
      <c r="E562">
        <v>2</v>
      </c>
      <c r="F562">
        <v>34</v>
      </c>
      <c r="G562">
        <v>-1</v>
      </c>
      <c r="H562">
        <v>-1</v>
      </c>
      <c r="I562">
        <v>0</v>
      </c>
      <c r="J562">
        <v>-1</v>
      </c>
      <c r="K562">
        <v>-1</v>
      </c>
      <c r="L562">
        <v>-1</v>
      </c>
      <c r="M562">
        <v>5780</v>
      </c>
      <c r="N562">
        <v>12006</v>
      </c>
      <c r="O562">
        <v>15736</v>
      </c>
      <c r="P562">
        <v>6621</v>
      </c>
      <c r="Q562">
        <v>2457</v>
      </c>
      <c r="R562">
        <v>14923</v>
      </c>
      <c r="S562">
        <v>12006</v>
      </c>
      <c r="T562">
        <v>5736</v>
      </c>
      <c r="U562">
        <v>6621</v>
      </c>
      <c r="V562">
        <v>2457</v>
      </c>
      <c r="W562">
        <v>14923</v>
      </c>
      <c r="X562">
        <v>1712</v>
      </c>
      <c r="Y562">
        <v>0</v>
      </c>
    </row>
    <row r="563" spans="1:25" x14ac:dyDescent="0.3">
      <c r="A563">
        <v>562</v>
      </c>
      <c r="B563">
        <v>360000</v>
      </c>
      <c r="C563">
        <v>2</v>
      </c>
      <c r="D563">
        <v>2</v>
      </c>
      <c r="E563">
        <v>2</v>
      </c>
      <c r="F563">
        <v>52</v>
      </c>
      <c r="G563">
        <v>-2</v>
      </c>
      <c r="H563">
        <v>-2</v>
      </c>
      <c r="I563">
        <v>-2</v>
      </c>
      <c r="J563">
        <v>-2</v>
      </c>
      <c r="K563">
        <v>-2</v>
      </c>
      <c r="L563">
        <v>-2</v>
      </c>
      <c r="M563">
        <v>640</v>
      </c>
      <c r="N563">
        <v>2113</v>
      </c>
      <c r="O563">
        <v>-6</v>
      </c>
      <c r="P563">
        <v>999</v>
      </c>
      <c r="Q563">
        <v>944</v>
      </c>
      <c r="R563">
        <v>-3</v>
      </c>
      <c r="S563">
        <v>2231</v>
      </c>
      <c r="T563">
        <v>0</v>
      </c>
      <c r="U563">
        <v>1005</v>
      </c>
      <c r="V563">
        <v>948</v>
      </c>
      <c r="W563">
        <v>0</v>
      </c>
      <c r="X563">
        <v>789</v>
      </c>
      <c r="Y563">
        <v>0</v>
      </c>
    </row>
    <row r="564" spans="1:25" x14ac:dyDescent="0.3">
      <c r="A564">
        <v>563</v>
      </c>
      <c r="B564">
        <v>60000</v>
      </c>
      <c r="C564">
        <v>2</v>
      </c>
      <c r="D564">
        <v>2</v>
      </c>
      <c r="E564">
        <v>1</v>
      </c>
      <c r="F564">
        <v>42</v>
      </c>
      <c r="G564">
        <v>-1</v>
      </c>
      <c r="H564">
        <v>-1</v>
      </c>
      <c r="I564">
        <v>-1</v>
      </c>
      <c r="J564">
        <v>-1</v>
      </c>
      <c r="K564">
        <v>-1</v>
      </c>
      <c r="L564">
        <v>-1</v>
      </c>
      <c r="M564">
        <v>631</v>
      </c>
      <c r="N564">
        <v>2790</v>
      </c>
      <c r="O564">
        <v>1758</v>
      </c>
      <c r="P564">
        <v>416</v>
      </c>
      <c r="Q564">
        <v>416</v>
      </c>
      <c r="R564">
        <v>3640</v>
      </c>
      <c r="S564">
        <v>2790</v>
      </c>
      <c r="T564">
        <v>1758</v>
      </c>
      <c r="U564">
        <v>416</v>
      </c>
      <c r="V564">
        <v>416</v>
      </c>
      <c r="W564">
        <v>3640</v>
      </c>
      <c r="X564">
        <v>730</v>
      </c>
      <c r="Y564">
        <v>0</v>
      </c>
    </row>
    <row r="565" spans="1:25" x14ac:dyDescent="0.3">
      <c r="A565">
        <v>564</v>
      </c>
      <c r="B565">
        <v>360000</v>
      </c>
      <c r="C565">
        <v>1</v>
      </c>
      <c r="D565">
        <v>2</v>
      </c>
      <c r="E565">
        <v>2</v>
      </c>
      <c r="F565">
        <v>38</v>
      </c>
      <c r="G565">
        <v>-1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108351</v>
      </c>
      <c r="N565">
        <v>111201</v>
      </c>
      <c r="O565">
        <v>63146</v>
      </c>
      <c r="P565">
        <v>63723</v>
      </c>
      <c r="Q565">
        <v>65108</v>
      </c>
      <c r="R565">
        <v>66078</v>
      </c>
      <c r="S565">
        <v>8005</v>
      </c>
      <c r="T565">
        <v>8004</v>
      </c>
      <c r="U565">
        <v>5000</v>
      </c>
      <c r="V565">
        <v>5000</v>
      </c>
      <c r="W565">
        <v>5000</v>
      </c>
      <c r="X565">
        <v>105700</v>
      </c>
      <c r="Y565">
        <v>0</v>
      </c>
    </row>
    <row r="566" spans="1:25" x14ac:dyDescent="0.3">
      <c r="A566">
        <v>565</v>
      </c>
      <c r="B566">
        <v>390000</v>
      </c>
      <c r="C566">
        <v>2</v>
      </c>
      <c r="D566">
        <v>1</v>
      </c>
      <c r="E566">
        <v>2</v>
      </c>
      <c r="F566">
        <v>45</v>
      </c>
      <c r="G566">
        <v>2</v>
      </c>
      <c r="H566">
        <v>2</v>
      </c>
      <c r="I566">
        <v>2</v>
      </c>
      <c r="J566">
        <v>-1</v>
      </c>
      <c r="K566">
        <v>2</v>
      </c>
      <c r="L566">
        <v>2</v>
      </c>
      <c r="M566">
        <v>834</v>
      </c>
      <c r="N566">
        <v>155</v>
      </c>
      <c r="O566">
        <v>-1690</v>
      </c>
      <c r="P566">
        <v>4240</v>
      </c>
      <c r="Q566">
        <v>3346</v>
      </c>
      <c r="R566">
        <v>2698</v>
      </c>
      <c r="S566">
        <v>1</v>
      </c>
      <c r="T566">
        <v>1693</v>
      </c>
      <c r="U566">
        <v>6940</v>
      </c>
      <c r="V566">
        <v>7</v>
      </c>
      <c r="W566">
        <v>1230</v>
      </c>
      <c r="X566">
        <v>3</v>
      </c>
      <c r="Y566">
        <v>0</v>
      </c>
    </row>
    <row r="567" spans="1:25" x14ac:dyDescent="0.3">
      <c r="A567">
        <v>566</v>
      </c>
      <c r="B567">
        <v>250000</v>
      </c>
      <c r="C567">
        <v>2</v>
      </c>
      <c r="D567">
        <v>3</v>
      </c>
      <c r="E567">
        <v>2</v>
      </c>
      <c r="F567">
        <v>35</v>
      </c>
      <c r="G567">
        <v>-2</v>
      </c>
      <c r="H567">
        <v>-2</v>
      </c>
      <c r="I567">
        <v>-2</v>
      </c>
      <c r="J567">
        <v>-2</v>
      </c>
      <c r="K567">
        <v>-2</v>
      </c>
      <c r="L567">
        <v>-2</v>
      </c>
      <c r="M567">
        <v>7244</v>
      </c>
      <c r="N567">
        <v>8472</v>
      </c>
      <c r="O567">
        <v>1738</v>
      </c>
      <c r="P567">
        <v>6706</v>
      </c>
      <c r="Q567">
        <v>2391</v>
      </c>
      <c r="R567">
        <v>11082</v>
      </c>
      <c r="S567">
        <v>8514</v>
      </c>
      <c r="T567">
        <v>1751</v>
      </c>
      <c r="U567">
        <v>6739</v>
      </c>
      <c r="V567">
        <v>2403</v>
      </c>
      <c r="W567">
        <v>11137</v>
      </c>
      <c r="X567">
        <v>13407</v>
      </c>
      <c r="Y567">
        <v>0</v>
      </c>
    </row>
    <row r="568" spans="1:25" x14ac:dyDescent="0.3">
      <c r="A568">
        <v>567</v>
      </c>
      <c r="B568">
        <v>90000</v>
      </c>
      <c r="C568">
        <v>2</v>
      </c>
      <c r="D568">
        <v>1</v>
      </c>
      <c r="E568">
        <v>2</v>
      </c>
      <c r="F568">
        <v>24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13141</v>
      </c>
      <c r="N568">
        <v>14526</v>
      </c>
      <c r="O568">
        <v>15482</v>
      </c>
      <c r="P568">
        <v>18219</v>
      </c>
      <c r="Q568">
        <v>22737</v>
      </c>
      <c r="R568">
        <v>23387</v>
      </c>
      <c r="S568">
        <v>1600</v>
      </c>
      <c r="T568">
        <v>1500</v>
      </c>
      <c r="U568">
        <v>3000</v>
      </c>
      <c r="V568">
        <v>5000</v>
      </c>
      <c r="W568">
        <v>1020</v>
      </c>
      <c r="X568">
        <v>764</v>
      </c>
      <c r="Y568">
        <v>1</v>
      </c>
    </row>
    <row r="569" spans="1:25" x14ac:dyDescent="0.3">
      <c r="A569">
        <v>568</v>
      </c>
      <c r="B569">
        <v>360000</v>
      </c>
      <c r="C569">
        <v>1</v>
      </c>
      <c r="D569">
        <v>1</v>
      </c>
      <c r="E569">
        <v>2</v>
      </c>
      <c r="F569">
        <v>28</v>
      </c>
      <c r="G569">
        <v>-1</v>
      </c>
      <c r="H569">
        <v>-1</v>
      </c>
      <c r="I569">
        <v>-1</v>
      </c>
      <c r="J569">
        <v>-1</v>
      </c>
      <c r="K569">
        <v>-1</v>
      </c>
      <c r="L569">
        <v>-1</v>
      </c>
      <c r="M569">
        <v>7071</v>
      </c>
      <c r="N569">
        <v>401</v>
      </c>
      <c r="O569">
        <v>3545</v>
      </c>
      <c r="P569">
        <v>10540</v>
      </c>
      <c r="Q569">
        <v>10132</v>
      </c>
      <c r="R569">
        <v>6220</v>
      </c>
      <c r="S569">
        <v>1510</v>
      </c>
      <c r="T569">
        <v>3575</v>
      </c>
      <c r="U569">
        <v>10573</v>
      </c>
      <c r="V569">
        <v>10155</v>
      </c>
      <c r="W569">
        <v>6240</v>
      </c>
      <c r="X569">
        <v>16071</v>
      </c>
      <c r="Y569">
        <v>0</v>
      </c>
    </row>
    <row r="570" spans="1:25" x14ac:dyDescent="0.3">
      <c r="A570">
        <v>569</v>
      </c>
      <c r="B570">
        <v>50000</v>
      </c>
      <c r="C570">
        <v>1</v>
      </c>
      <c r="D570">
        <v>3</v>
      </c>
      <c r="E570">
        <v>2</v>
      </c>
      <c r="F570">
        <v>26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35429</v>
      </c>
      <c r="N570">
        <v>30626</v>
      </c>
      <c r="O570">
        <v>30241</v>
      </c>
      <c r="P570">
        <v>20284</v>
      </c>
      <c r="Q570">
        <v>19166</v>
      </c>
      <c r="R570">
        <v>19567</v>
      </c>
      <c r="S570">
        <v>1537</v>
      </c>
      <c r="T570">
        <v>1947</v>
      </c>
      <c r="U570">
        <v>800</v>
      </c>
      <c r="V570">
        <v>1000</v>
      </c>
      <c r="W570">
        <v>718</v>
      </c>
      <c r="X570">
        <v>683</v>
      </c>
      <c r="Y570">
        <v>0</v>
      </c>
    </row>
    <row r="571" spans="1:25" x14ac:dyDescent="0.3">
      <c r="A571">
        <v>570</v>
      </c>
      <c r="B571">
        <v>270000</v>
      </c>
      <c r="C571">
        <v>2</v>
      </c>
      <c r="D571">
        <v>1</v>
      </c>
      <c r="E571">
        <v>1</v>
      </c>
      <c r="F571">
        <v>40</v>
      </c>
      <c r="G571">
        <v>0</v>
      </c>
      <c r="H571">
        <v>0</v>
      </c>
      <c r="I571">
        <v>0</v>
      </c>
      <c r="J571">
        <v>-2</v>
      </c>
      <c r="K571">
        <v>-2</v>
      </c>
      <c r="L571">
        <v>-2</v>
      </c>
      <c r="M571">
        <v>18751</v>
      </c>
      <c r="N571">
        <v>5706</v>
      </c>
      <c r="O571">
        <v>0</v>
      </c>
      <c r="P571">
        <v>0</v>
      </c>
      <c r="Q571">
        <v>0</v>
      </c>
      <c r="R571">
        <v>0</v>
      </c>
      <c r="S571">
        <v>1000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</row>
    <row r="572" spans="1:25" x14ac:dyDescent="0.3">
      <c r="A572">
        <v>571</v>
      </c>
      <c r="B572">
        <v>200000</v>
      </c>
      <c r="C572">
        <v>2</v>
      </c>
      <c r="D572">
        <v>1</v>
      </c>
      <c r="E572">
        <v>2</v>
      </c>
      <c r="F572">
        <v>29</v>
      </c>
      <c r="G572">
        <v>1</v>
      </c>
      <c r="H572">
        <v>-1</v>
      </c>
      <c r="I572">
        <v>-1</v>
      </c>
      <c r="J572">
        <v>-1</v>
      </c>
      <c r="K572">
        <v>-1</v>
      </c>
      <c r="L572">
        <v>-1</v>
      </c>
      <c r="M572">
        <v>55788</v>
      </c>
      <c r="N572">
        <v>8360</v>
      </c>
      <c r="O572">
        <v>4897</v>
      </c>
      <c r="P572">
        <v>5065</v>
      </c>
      <c r="Q572">
        <v>19468</v>
      </c>
      <c r="R572">
        <v>0</v>
      </c>
      <c r="S572">
        <v>8394</v>
      </c>
      <c r="T572">
        <v>4927</v>
      </c>
      <c r="U572">
        <v>5089</v>
      </c>
      <c r="V572">
        <v>19561</v>
      </c>
      <c r="W572">
        <v>0</v>
      </c>
      <c r="X572">
        <v>125</v>
      </c>
      <c r="Y572">
        <v>0</v>
      </c>
    </row>
    <row r="573" spans="1:25" x14ac:dyDescent="0.3">
      <c r="A573">
        <v>572</v>
      </c>
      <c r="B573">
        <v>50000</v>
      </c>
      <c r="C573">
        <v>2</v>
      </c>
      <c r="D573">
        <v>2</v>
      </c>
      <c r="E573">
        <v>2</v>
      </c>
      <c r="F573">
        <v>23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49809</v>
      </c>
      <c r="N573">
        <v>50364</v>
      </c>
      <c r="O573">
        <v>38429</v>
      </c>
      <c r="P573">
        <v>18815</v>
      </c>
      <c r="Q573">
        <v>18305</v>
      </c>
      <c r="R573">
        <v>19013</v>
      </c>
      <c r="S573">
        <v>2040</v>
      </c>
      <c r="T573">
        <v>2766</v>
      </c>
      <c r="U573">
        <v>1690</v>
      </c>
      <c r="V573">
        <v>1000</v>
      </c>
      <c r="W573">
        <v>1000</v>
      </c>
      <c r="X573">
        <v>1000</v>
      </c>
      <c r="Y573">
        <v>0</v>
      </c>
    </row>
    <row r="574" spans="1:25" x14ac:dyDescent="0.3">
      <c r="A574">
        <v>573</v>
      </c>
      <c r="B574">
        <v>350000</v>
      </c>
      <c r="C574">
        <v>1</v>
      </c>
      <c r="D574">
        <v>1</v>
      </c>
      <c r="E574">
        <v>2</v>
      </c>
      <c r="F574">
        <v>33</v>
      </c>
      <c r="G574">
        <v>-1</v>
      </c>
      <c r="H574">
        <v>-1</v>
      </c>
      <c r="I574">
        <v>-1</v>
      </c>
      <c r="J574">
        <v>-2</v>
      </c>
      <c r="K574">
        <v>-2</v>
      </c>
      <c r="L574">
        <v>-1</v>
      </c>
      <c r="M574">
        <v>10900</v>
      </c>
      <c r="N574">
        <v>10478</v>
      </c>
      <c r="O574">
        <v>-22</v>
      </c>
      <c r="P574">
        <v>-22</v>
      </c>
      <c r="Q574">
        <v>-22</v>
      </c>
      <c r="R574">
        <v>4532</v>
      </c>
      <c r="S574">
        <v>10530</v>
      </c>
      <c r="T574">
        <v>0</v>
      </c>
      <c r="U574">
        <v>0</v>
      </c>
      <c r="V574">
        <v>0</v>
      </c>
      <c r="W574">
        <v>4554</v>
      </c>
      <c r="X574">
        <v>0</v>
      </c>
      <c r="Y574">
        <v>0</v>
      </c>
    </row>
    <row r="575" spans="1:25" x14ac:dyDescent="0.3">
      <c r="A575">
        <v>574</v>
      </c>
      <c r="B575">
        <v>160000</v>
      </c>
      <c r="C575">
        <v>2</v>
      </c>
      <c r="D575">
        <v>2</v>
      </c>
      <c r="E575">
        <v>2</v>
      </c>
      <c r="F575">
        <v>60</v>
      </c>
      <c r="G575">
        <v>-2</v>
      </c>
      <c r="H575">
        <v>-1</v>
      </c>
      <c r="I575">
        <v>-1</v>
      </c>
      <c r="J575">
        <v>0</v>
      </c>
      <c r="K575">
        <v>-1</v>
      </c>
      <c r="L575">
        <v>-1</v>
      </c>
      <c r="M575">
        <v>3128</v>
      </c>
      <c r="N575">
        <v>5156</v>
      </c>
      <c r="O575">
        <v>1089</v>
      </c>
      <c r="P575">
        <v>489</v>
      </c>
      <c r="Q575">
        <v>3177</v>
      </c>
      <c r="R575">
        <v>1009</v>
      </c>
      <c r="S575">
        <v>5156</v>
      </c>
      <c r="T575">
        <v>1089</v>
      </c>
      <c r="U575">
        <v>0</v>
      </c>
      <c r="V575">
        <v>3177</v>
      </c>
      <c r="W575">
        <v>1009</v>
      </c>
      <c r="X575">
        <v>0</v>
      </c>
      <c r="Y575">
        <v>1</v>
      </c>
    </row>
    <row r="576" spans="1:25" x14ac:dyDescent="0.3">
      <c r="A576">
        <v>575</v>
      </c>
      <c r="B576">
        <v>80000</v>
      </c>
      <c r="C576">
        <v>2</v>
      </c>
      <c r="D576">
        <v>3</v>
      </c>
      <c r="E576">
        <v>1</v>
      </c>
      <c r="F576">
        <v>49</v>
      </c>
      <c r="G576">
        <v>-1</v>
      </c>
      <c r="H576">
        <v>-1</v>
      </c>
      <c r="I576">
        <v>-1</v>
      </c>
      <c r="J576">
        <v>-1</v>
      </c>
      <c r="K576">
        <v>-1</v>
      </c>
      <c r="L576">
        <v>-1</v>
      </c>
      <c r="M576">
        <v>3367</v>
      </c>
      <c r="N576">
        <v>4641</v>
      </c>
      <c r="O576">
        <v>2290</v>
      </c>
      <c r="P576">
        <v>1459</v>
      </c>
      <c r="Q576">
        <v>6764</v>
      </c>
      <c r="R576">
        <v>7601</v>
      </c>
      <c r="S576">
        <v>4641</v>
      </c>
      <c r="T576">
        <v>2290</v>
      </c>
      <c r="U576">
        <v>1459</v>
      </c>
      <c r="V576">
        <v>6764</v>
      </c>
      <c r="W576">
        <v>7601</v>
      </c>
      <c r="X576">
        <v>7990</v>
      </c>
      <c r="Y576">
        <v>0</v>
      </c>
    </row>
    <row r="577" spans="1:25" x14ac:dyDescent="0.3">
      <c r="A577">
        <v>576</v>
      </c>
      <c r="B577">
        <v>290000</v>
      </c>
      <c r="C577">
        <v>1</v>
      </c>
      <c r="D577">
        <v>1</v>
      </c>
      <c r="E577">
        <v>1</v>
      </c>
      <c r="F577">
        <v>53</v>
      </c>
      <c r="G577">
        <v>2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279610</v>
      </c>
      <c r="N577">
        <v>282024</v>
      </c>
      <c r="O577">
        <v>282508</v>
      </c>
      <c r="P577">
        <v>284660</v>
      </c>
      <c r="Q577">
        <v>255892</v>
      </c>
      <c r="R577">
        <v>238266</v>
      </c>
      <c r="S577">
        <v>13000</v>
      </c>
      <c r="T577">
        <v>10200</v>
      </c>
      <c r="U577">
        <v>10265</v>
      </c>
      <c r="V577">
        <v>8803</v>
      </c>
      <c r="W577">
        <v>8300</v>
      </c>
      <c r="X577">
        <v>8546</v>
      </c>
      <c r="Y577">
        <v>1</v>
      </c>
    </row>
    <row r="578" spans="1:25" x14ac:dyDescent="0.3">
      <c r="A578">
        <v>577</v>
      </c>
      <c r="B578">
        <v>270000</v>
      </c>
      <c r="C578">
        <v>2</v>
      </c>
      <c r="D578">
        <v>1</v>
      </c>
      <c r="E578">
        <v>2</v>
      </c>
      <c r="F578">
        <v>28</v>
      </c>
      <c r="G578">
        <v>-1</v>
      </c>
      <c r="H578">
        <v>-1</v>
      </c>
      <c r="I578">
        <v>-1</v>
      </c>
      <c r="J578">
        <v>0</v>
      </c>
      <c r="K578">
        <v>0</v>
      </c>
      <c r="L578">
        <v>0</v>
      </c>
      <c r="M578">
        <v>475</v>
      </c>
      <c r="N578">
        <v>475</v>
      </c>
      <c r="O578">
        <v>5691</v>
      </c>
      <c r="P578">
        <v>37526</v>
      </c>
      <c r="Q578">
        <v>50565</v>
      </c>
      <c r="R578">
        <v>48888</v>
      </c>
      <c r="S578">
        <v>475</v>
      </c>
      <c r="T578">
        <v>5691</v>
      </c>
      <c r="U578">
        <v>34000</v>
      </c>
      <c r="V578">
        <v>14000</v>
      </c>
      <c r="W578">
        <v>8000</v>
      </c>
      <c r="X578">
        <v>15000</v>
      </c>
      <c r="Y578">
        <v>0</v>
      </c>
    </row>
    <row r="579" spans="1:25" x14ac:dyDescent="0.3">
      <c r="A579">
        <v>578</v>
      </c>
      <c r="B579">
        <v>80000</v>
      </c>
      <c r="C579">
        <v>1</v>
      </c>
      <c r="D579">
        <v>1</v>
      </c>
      <c r="E579">
        <v>2</v>
      </c>
      <c r="F579">
        <v>31</v>
      </c>
      <c r="G579">
        <v>-1</v>
      </c>
      <c r="H579">
        <v>-1</v>
      </c>
      <c r="I579">
        <v>-1</v>
      </c>
      <c r="J579">
        <v>-1</v>
      </c>
      <c r="K579">
        <v>2</v>
      </c>
      <c r="L579">
        <v>-1</v>
      </c>
      <c r="M579">
        <v>5994</v>
      </c>
      <c r="N579">
        <v>32223</v>
      </c>
      <c r="O579">
        <v>8308</v>
      </c>
      <c r="P579">
        <v>4082</v>
      </c>
      <c r="Q579">
        <v>538</v>
      </c>
      <c r="R579">
        <v>4085</v>
      </c>
      <c r="S579">
        <v>13647</v>
      </c>
      <c r="T579">
        <v>8314</v>
      </c>
      <c r="U579">
        <v>4082</v>
      </c>
      <c r="V579">
        <v>0</v>
      </c>
      <c r="W579">
        <v>4085</v>
      </c>
      <c r="X579">
        <v>0</v>
      </c>
      <c r="Y579">
        <v>0</v>
      </c>
    </row>
    <row r="580" spans="1:25" x14ac:dyDescent="0.3">
      <c r="A580">
        <v>579</v>
      </c>
      <c r="B580">
        <v>50000</v>
      </c>
      <c r="C580">
        <v>1</v>
      </c>
      <c r="D580">
        <v>2</v>
      </c>
      <c r="E580">
        <v>2</v>
      </c>
      <c r="F580">
        <v>36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5197</v>
      </c>
      <c r="N580">
        <v>6015</v>
      </c>
      <c r="O580">
        <v>6615</v>
      </c>
      <c r="P580">
        <v>7131</v>
      </c>
      <c r="Q580">
        <v>6987</v>
      </c>
      <c r="R580">
        <v>6980</v>
      </c>
      <c r="S580">
        <v>1300</v>
      </c>
      <c r="T580">
        <v>1100</v>
      </c>
      <c r="U580">
        <v>1000</v>
      </c>
      <c r="V580">
        <v>500</v>
      </c>
      <c r="W580">
        <v>500</v>
      </c>
      <c r="X580">
        <v>1000</v>
      </c>
      <c r="Y580">
        <v>0</v>
      </c>
    </row>
    <row r="581" spans="1:25" x14ac:dyDescent="0.3">
      <c r="A581">
        <v>580</v>
      </c>
      <c r="B581">
        <v>30000</v>
      </c>
      <c r="C581">
        <v>1</v>
      </c>
      <c r="D581">
        <v>2</v>
      </c>
      <c r="E581">
        <v>1</v>
      </c>
      <c r="F581">
        <v>35</v>
      </c>
      <c r="G581">
        <v>-2</v>
      </c>
      <c r="H581">
        <v>-1</v>
      </c>
      <c r="I581">
        <v>-1</v>
      </c>
      <c r="J581">
        <v>-1</v>
      </c>
      <c r="K581">
        <v>-1</v>
      </c>
      <c r="L581">
        <v>-2</v>
      </c>
      <c r="M581">
        <v>7797</v>
      </c>
      <c r="N581">
        <v>2687</v>
      </c>
      <c r="O581">
        <v>8762</v>
      </c>
      <c r="P581">
        <v>3377</v>
      </c>
      <c r="Q581">
        <v>2000</v>
      </c>
      <c r="R581">
        <v>0</v>
      </c>
      <c r="S581">
        <v>2687</v>
      </c>
      <c r="T581">
        <v>8765</v>
      </c>
      <c r="U581">
        <v>3390</v>
      </c>
      <c r="V581">
        <v>2040</v>
      </c>
      <c r="W581">
        <v>0</v>
      </c>
      <c r="X581">
        <v>0</v>
      </c>
      <c r="Y581">
        <v>0</v>
      </c>
    </row>
    <row r="582" spans="1:25" x14ac:dyDescent="0.3">
      <c r="A582">
        <v>581</v>
      </c>
      <c r="B582">
        <v>30000</v>
      </c>
      <c r="C582">
        <v>1</v>
      </c>
      <c r="D582">
        <v>2</v>
      </c>
      <c r="E582">
        <v>2</v>
      </c>
      <c r="F582">
        <v>28</v>
      </c>
      <c r="G582">
        <v>1</v>
      </c>
      <c r="H582">
        <v>-1</v>
      </c>
      <c r="I582">
        <v>-1</v>
      </c>
      <c r="J582">
        <v>-2</v>
      </c>
      <c r="K582">
        <v>-2</v>
      </c>
      <c r="L582">
        <v>-2</v>
      </c>
      <c r="M582">
        <v>0</v>
      </c>
      <c r="N582">
        <v>780</v>
      </c>
      <c r="O582">
        <v>0</v>
      </c>
      <c r="P582">
        <v>0</v>
      </c>
      <c r="Q582">
        <v>0</v>
      </c>
      <c r="R582">
        <v>0</v>
      </c>
      <c r="S582">
        <v>780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1</v>
      </c>
    </row>
    <row r="583" spans="1:25" x14ac:dyDescent="0.3">
      <c r="A583">
        <v>582</v>
      </c>
      <c r="B583">
        <v>90000</v>
      </c>
      <c r="C583">
        <v>1</v>
      </c>
      <c r="D583">
        <v>2</v>
      </c>
      <c r="E583">
        <v>2</v>
      </c>
      <c r="F583">
        <v>33</v>
      </c>
      <c r="G583">
        <v>-1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35785</v>
      </c>
      <c r="N583">
        <v>29155</v>
      </c>
      <c r="O583">
        <v>27485</v>
      </c>
      <c r="P583">
        <v>29266</v>
      </c>
      <c r="Q583">
        <v>35598</v>
      </c>
      <c r="R583">
        <v>38449</v>
      </c>
      <c r="S583">
        <v>15155</v>
      </c>
      <c r="T583">
        <v>5485</v>
      </c>
      <c r="U583">
        <v>5263</v>
      </c>
      <c r="V583">
        <v>8598</v>
      </c>
      <c r="W583">
        <v>5449</v>
      </c>
      <c r="X583">
        <v>6537</v>
      </c>
      <c r="Y583">
        <v>0</v>
      </c>
    </row>
    <row r="584" spans="1:25" x14ac:dyDescent="0.3">
      <c r="A584">
        <v>583</v>
      </c>
      <c r="B584">
        <v>160000</v>
      </c>
      <c r="C584">
        <v>1</v>
      </c>
      <c r="D584">
        <v>1</v>
      </c>
      <c r="E584">
        <v>2</v>
      </c>
      <c r="F584">
        <v>26</v>
      </c>
      <c r="G584">
        <v>-1</v>
      </c>
      <c r="H584">
        <v>-1</v>
      </c>
      <c r="I584">
        <v>-1</v>
      </c>
      <c r="J584">
        <v>-1</v>
      </c>
      <c r="K584">
        <v>-1</v>
      </c>
      <c r="L584">
        <v>-1</v>
      </c>
      <c r="M584">
        <v>1433</v>
      </c>
      <c r="N584">
        <v>3746</v>
      </c>
      <c r="O584">
        <v>30258</v>
      </c>
      <c r="P584">
        <v>1036</v>
      </c>
      <c r="Q584">
        <v>21572</v>
      </c>
      <c r="R584">
        <v>9528</v>
      </c>
      <c r="S584">
        <v>3757</v>
      </c>
      <c r="T584">
        <v>30348</v>
      </c>
      <c r="U584">
        <v>1044</v>
      </c>
      <c r="V584">
        <v>21636</v>
      </c>
      <c r="W584">
        <v>9556</v>
      </c>
      <c r="X584">
        <v>6066</v>
      </c>
      <c r="Y584">
        <v>0</v>
      </c>
    </row>
    <row r="585" spans="1:25" x14ac:dyDescent="0.3">
      <c r="A585">
        <v>584</v>
      </c>
      <c r="B585">
        <v>80000</v>
      </c>
      <c r="C585">
        <v>2</v>
      </c>
      <c r="D585">
        <v>3</v>
      </c>
      <c r="E585">
        <v>2</v>
      </c>
      <c r="F585">
        <v>53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77766</v>
      </c>
      <c r="N585">
        <v>77954</v>
      </c>
      <c r="O585">
        <v>78512</v>
      </c>
      <c r="P585">
        <v>60452</v>
      </c>
      <c r="Q585">
        <v>61556</v>
      </c>
      <c r="R585">
        <v>54022</v>
      </c>
      <c r="S585">
        <v>4000</v>
      </c>
      <c r="T585">
        <v>2374</v>
      </c>
      <c r="U585">
        <v>2007</v>
      </c>
      <c r="V585">
        <v>2500</v>
      </c>
      <c r="W585">
        <v>3000</v>
      </c>
      <c r="X585">
        <v>2000</v>
      </c>
      <c r="Y585">
        <v>0</v>
      </c>
    </row>
    <row r="586" spans="1:25" x14ac:dyDescent="0.3">
      <c r="A586">
        <v>585</v>
      </c>
      <c r="B586">
        <v>50000</v>
      </c>
      <c r="C586">
        <v>1</v>
      </c>
      <c r="D586">
        <v>2</v>
      </c>
      <c r="E586">
        <v>2</v>
      </c>
      <c r="F586">
        <v>42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50300</v>
      </c>
      <c r="N586">
        <v>50898</v>
      </c>
      <c r="O586">
        <v>49111</v>
      </c>
      <c r="P586">
        <v>48943</v>
      </c>
      <c r="Q586">
        <v>45775</v>
      </c>
      <c r="R586">
        <v>0</v>
      </c>
      <c r="S586">
        <v>2200</v>
      </c>
      <c r="T586">
        <v>1600</v>
      </c>
      <c r="U586">
        <v>1700</v>
      </c>
      <c r="V586">
        <v>1700</v>
      </c>
      <c r="W586">
        <v>0</v>
      </c>
      <c r="X586">
        <v>0</v>
      </c>
      <c r="Y586">
        <v>0</v>
      </c>
    </row>
    <row r="587" spans="1:25" x14ac:dyDescent="0.3">
      <c r="A587">
        <v>586</v>
      </c>
      <c r="B587">
        <v>20000</v>
      </c>
      <c r="C587">
        <v>2</v>
      </c>
      <c r="D587">
        <v>1</v>
      </c>
      <c r="E587">
        <v>2</v>
      </c>
      <c r="F587">
        <v>25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2</v>
      </c>
      <c r="M587">
        <v>14603</v>
      </c>
      <c r="N587">
        <v>15661</v>
      </c>
      <c r="O587">
        <v>16394</v>
      </c>
      <c r="P587">
        <v>16723</v>
      </c>
      <c r="Q587">
        <v>18056</v>
      </c>
      <c r="R587">
        <v>17618</v>
      </c>
      <c r="S587">
        <v>1600</v>
      </c>
      <c r="T587">
        <v>1300</v>
      </c>
      <c r="U587">
        <v>600</v>
      </c>
      <c r="V587">
        <v>1600</v>
      </c>
      <c r="W587">
        <v>0</v>
      </c>
      <c r="X587">
        <v>800</v>
      </c>
      <c r="Y587">
        <v>0</v>
      </c>
    </row>
    <row r="588" spans="1:25" x14ac:dyDescent="0.3">
      <c r="A588">
        <v>587</v>
      </c>
      <c r="B588">
        <v>220000</v>
      </c>
      <c r="C588">
        <v>1</v>
      </c>
      <c r="D588">
        <v>1</v>
      </c>
      <c r="E588">
        <v>1</v>
      </c>
      <c r="F588">
        <v>43</v>
      </c>
      <c r="G588">
        <v>1</v>
      </c>
      <c r="H588">
        <v>-2</v>
      </c>
      <c r="I588">
        <v>-2</v>
      </c>
      <c r="J588">
        <v>-2</v>
      </c>
      <c r="K588">
        <v>-2</v>
      </c>
      <c r="L588">
        <v>-2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</row>
    <row r="589" spans="1:25" x14ac:dyDescent="0.3">
      <c r="A589">
        <v>588</v>
      </c>
      <c r="B589">
        <v>210000</v>
      </c>
      <c r="C589">
        <v>1</v>
      </c>
      <c r="D589">
        <v>3</v>
      </c>
      <c r="E589">
        <v>2</v>
      </c>
      <c r="F589">
        <v>25</v>
      </c>
      <c r="G589">
        <v>-1</v>
      </c>
      <c r="H589">
        <v>-1</v>
      </c>
      <c r="I589">
        <v>2</v>
      </c>
      <c r="J589">
        <v>-1</v>
      </c>
      <c r="K589">
        <v>-1</v>
      </c>
      <c r="L589">
        <v>-1</v>
      </c>
      <c r="M589">
        <v>8817</v>
      </c>
      <c r="N589">
        <v>23634</v>
      </c>
      <c r="O589">
        <v>21776</v>
      </c>
      <c r="P589">
        <v>9631</v>
      </c>
      <c r="Q589">
        <v>1561</v>
      </c>
      <c r="R589">
        <v>1990</v>
      </c>
      <c r="S589">
        <v>23776</v>
      </c>
      <c r="T589">
        <v>0</v>
      </c>
      <c r="U589">
        <v>9631</v>
      </c>
      <c r="V589">
        <v>1561</v>
      </c>
      <c r="W589">
        <v>1990</v>
      </c>
      <c r="X589">
        <v>7967</v>
      </c>
      <c r="Y589">
        <v>1</v>
      </c>
    </row>
    <row r="590" spans="1:25" x14ac:dyDescent="0.3">
      <c r="A590">
        <v>589</v>
      </c>
      <c r="B590">
        <v>130000</v>
      </c>
      <c r="C590">
        <v>2</v>
      </c>
      <c r="D590">
        <v>2</v>
      </c>
      <c r="E590">
        <v>2</v>
      </c>
      <c r="F590">
        <v>29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131575</v>
      </c>
      <c r="N590">
        <v>130931</v>
      </c>
      <c r="O590">
        <v>132969</v>
      </c>
      <c r="P590">
        <v>45584</v>
      </c>
      <c r="Q590">
        <v>46516</v>
      </c>
      <c r="R590">
        <v>47455</v>
      </c>
      <c r="S590">
        <v>6700</v>
      </c>
      <c r="T590">
        <v>6000</v>
      </c>
      <c r="U590">
        <v>1291</v>
      </c>
      <c r="V590">
        <v>1319</v>
      </c>
      <c r="W590">
        <v>1336</v>
      </c>
      <c r="X590">
        <v>1365</v>
      </c>
      <c r="Y590">
        <v>0</v>
      </c>
    </row>
    <row r="591" spans="1:25" x14ac:dyDescent="0.3">
      <c r="A591">
        <v>590</v>
      </c>
      <c r="B591">
        <v>260000</v>
      </c>
      <c r="C591">
        <v>2</v>
      </c>
      <c r="D591">
        <v>2</v>
      </c>
      <c r="E591">
        <v>1</v>
      </c>
      <c r="F591">
        <v>31</v>
      </c>
      <c r="G591">
        <v>-1</v>
      </c>
      <c r="H591">
        <v>-1</v>
      </c>
      <c r="I591">
        <v>0</v>
      </c>
      <c r="J591">
        <v>0</v>
      </c>
      <c r="K591">
        <v>-1</v>
      </c>
      <c r="L591">
        <v>-1</v>
      </c>
      <c r="M591">
        <v>5841</v>
      </c>
      <c r="N591">
        <v>23194</v>
      </c>
      <c r="O591">
        <v>62361</v>
      </c>
      <c r="P591">
        <v>67057</v>
      </c>
      <c r="Q591">
        <v>17024</v>
      </c>
      <c r="R591">
        <v>18659</v>
      </c>
      <c r="S591">
        <v>23194</v>
      </c>
      <c r="T591">
        <v>50000</v>
      </c>
      <c r="U591">
        <v>11500</v>
      </c>
      <c r="V591">
        <v>17024</v>
      </c>
      <c r="W591">
        <v>18659</v>
      </c>
      <c r="X591">
        <v>38923</v>
      </c>
      <c r="Y591">
        <v>0</v>
      </c>
    </row>
    <row r="592" spans="1:25" x14ac:dyDescent="0.3">
      <c r="A592">
        <v>591</v>
      </c>
      <c r="B592">
        <v>230000</v>
      </c>
      <c r="C592">
        <v>2</v>
      </c>
      <c r="D592">
        <v>1</v>
      </c>
      <c r="E592">
        <v>1</v>
      </c>
      <c r="F592">
        <v>30</v>
      </c>
      <c r="G592">
        <v>0</v>
      </c>
      <c r="H592">
        <v>0</v>
      </c>
      <c r="I592">
        <v>0</v>
      </c>
      <c r="J592">
        <v>-1</v>
      </c>
      <c r="K592">
        <v>0</v>
      </c>
      <c r="L592">
        <v>0</v>
      </c>
      <c r="M592">
        <v>30341</v>
      </c>
      <c r="N592">
        <v>25981</v>
      </c>
      <c r="O592">
        <v>24092</v>
      </c>
      <c r="P592">
        <v>65840</v>
      </c>
      <c r="Q592">
        <v>56538</v>
      </c>
      <c r="R592">
        <v>51522</v>
      </c>
      <c r="S592">
        <v>5000</v>
      </c>
      <c r="T592">
        <v>5000</v>
      </c>
      <c r="U592">
        <v>65840</v>
      </c>
      <c r="V592">
        <v>2000</v>
      </c>
      <c r="W592">
        <v>2000</v>
      </c>
      <c r="X592">
        <v>10000</v>
      </c>
      <c r="Y592">
        <v>0</v>
      </c>
    </row>
    <row r="593" spans="1:25" x14ac:dyDescent="0.3">
      <c r="A593">
        <v>592</v>
      </c>
      <c r="B593">
        <v>160000</v>
      </c>
      <c r="C593">
        <v>1</v>
      </c>
      <c r="D593">
        <v>1</v>
      </c>
      <c r="E593">
        <v>2</v>
      </c>
      <c r="F593">
        <v>34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83255</v>
      </c>
      <c r="N593">
        <v>83912</v>
      </c>
      <c r="O593">
        <v>85161</v>
      </c>
      <c r="P593">
        <v>85715</v>
      </c>
      <c r="Q593">
        <v>86773</v>
      </c>
      <c r="R593">
        <v>87526</v>
      </c>
      <c r="S593">
        <v>4000</v>
      </c>
      <c r="T593">
        <v>3924</v>
      </c>
      <c r="U593">
        <v>3200</v>
      </c>
      <c r="V593">
        <v>3300</v>
      </c>
      <c r="W593">
        <v>3425</v>
      </c>
      <c r="X593">
        <v>3013</v>
      </c>
      <c r="Y593">
        <v>0</v>
      </c>
    </row>
    <row r="594" spans="1:25" x14ac:dyDescent="0.3">
      <c r="A594">
        <v>593</v>
      </c>
      <c r="B594">
        <v>50000</v>
      </c>
      <c r="C594">
        <v>1</v>
      </c>
      <c r="D594">
        <v>1</v>
      </c>
      <c r="E594">
        <v>1</v>
      </c>
      <c r="F594">
        <v>35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34976</v>
      </c>
      <c r="N594">
        <v>6018</v>
      </c>
      <c r="O594">
        <v>13930</v>
      </c>
      <c r="P594">
        <v>7106</v>
      </c>
      <c r="Q594">
        <v>6020</v>
      </c>
      <c r="R594">
        <v>9011</v>
      </c>
      <c r="S594">
        <v>1127</v>
      </c>
      <c r="T594">
        <v>1074</v>
      </c>
      <c r="U594">
        <v>215</v>
      </c>
      <c r="V594">
        <v>249</v>
      </c>
      <c r="W594">
        <v>4383</v>
      </c>
      <c r="X594">
        <v>172</v>
      </c>
      <c r="Y594">
        <v>0</v>
      </c>
    </row>
    <row r="595" spans="1:25" x14ac:dyDescent="0.3">
      <c r="A595">
        <v>594</v>
      </c>
      <c r="B595">
        <v>80000</v>
      </c>
      <c r="C595">
        <v>1</v>
      </c>
      <c r="D595">
        <v>2</v>
      </c>
      <c r="E595">
        <v>1</v>
      </c>
      <c r="F595">
        <v>32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48747</v>
      </c>
      <c r="N595">
        <v>45955</v>
      </c>
      <c r="O595">
        <v>44989</v>
      </c>
      <c r="P595">
        <v>41358</v>
      </c>
      <c r="Q595">
        <v>42379</v>
      </c>
      <c r="R595">
        <v>38052</v>
      </c>
      <c r="S595">
        <v>2145</v>
      </c>
      <c r="T595">
        <v>1844</v>
      </c>
      <c r="U595">
        <v>2009</v>
      </c>
      <c r="V595">
        <v>5017</v>
      </c>
      <c r="W595">
        <v>2000</v>
      </c>
      <c r="X595">
        <v>5002</v>
      </c>
      <c r="Y595">
        <v>0</v>
      </c>
    </row>
    <row r="596" spans="1:25" x14ac:dyDescent="0.3">
      <c r="A596">
        <v>595</v>
      </c>
      <c r="B596">
        <v>110000</v>
      </c>
      <c r="C596">
        <v>1</v>
      </c>
      <c r="D596">
        <v>3</v>
      </c>
      <c r="E596">
        <v>2</v>
      </c>
      <c r="F596">
        <v>46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56700</v>
      </c>
      <c r="N596">
        <v>57875</v>
      </c>
      <c r="O596">
        <v>59044</v>
      </c>
      <c r="P596">
        <v>59756</v>
      </c>
      <c r="Q596">
        <v>61004</v>
      </c>
      <c r="R596">
        <v>62213</v>
      </c>
      <c r="S596">
        <v>2681</v>
      </c>
      <c r="T596">
        <v>2724</v>
      </c>
      <c r="U596">
        <v>2287</v>
      </c>
      <c r="V596">
        <v>2362</v>
      </c>
      <c r="W596">
        <v>2374</v>
      </c>
      <c r="X596">
        <v>2454</v>
      </c>
      <c r="Y596">
        <v>0</v>
      </c>
    </row>
    <row r="597" spans="1:25" x14ac:dyDescent="0.3">
      <c r="A597">
        <v>596</v>
      </c>
      <c r="B597">
        <v>200000</v>
      </c>
      <c r="C597">
        <v>1</v>
      </c>
      <c r="D597">
        <v>1</v>
      </c>
      <c r="E597">
        <v>1</v>
      </c>
      <c r="F597">
        <v>43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144678</v>
      </c>
      <c r="N597">
        <v>140804</v>
      </c>
      <c r="O597">
        <v>136437</v>
      </c>
      <c r="P597">
        <v>135253</v>
      </c>
      <c r="Q597">
        <v>134629</v>
      </c>
      <c r="R597">
        <v>134309</v>
      </c>
      <c r="S597">
        <v>5090</v>
      </c>
      <c r="T597">
        <v>5014</v>
      </c>
      <c r="U597">
        <v>5009</v>
      </c>
      <c r="V597">
        <v>4844</v>
      </c>
      <c r="W597">
        <v>5002</v>
      </c>
      <c r="X597">
        <v>4902</v>
      </c>
      <c r="Y597">
        <v>0</v>
      </c>
    </row>
    <row r="598" spans="1:25" x14ac:dyDescent="0.3">
      <c r="A598">
        <v>597</v>
      </c>
      <c r="B598">
        <v>360000</v>
      </c>
      <c r="C598">
        <v>1</v>
      </c>
      <c r="D598">
        <v>2</v>
      </c>
      <c r="E598">
        <v>2</v>
      </c>
      <c r="F598">
        <v>29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268112</v>
      </c>
      <c r="N598">
        <v>263368</v>
      </c>
      <c r="O598">
        <v>259969</v>
      </c>
      <c r="P598">
        <v>255832</v>
      </c>
      <c r="Q598">
        <v>245462</v>
      </c>
      <c r="R598">
        <v>250244</v>
      </c>
      <c r="S598">
        <v>9429</v>
      </c>
      <c r="T598">
        <v>8738</v>
      </c>
      <c r="U598">
        <v>7017</v>
      </c>
      <c r="V598">
        <v>7154</v>
      </c>
      <c r="W598">
        <v>7073</v>
      </c>
      <c r="X598">
        <v>7300</v>
      </c>
      <c r="Y598">
        <v>0</v>
      </c>
    </row>
    <row r="599" spans="1:25" x14ac:dyDescent="0.3">
      <c r="A599">
        <v>598</v>
      </c>
      <c r="B599">
        <v>210000</v>
      </c>
      <c r="C599">
        <v>2</v>
      </c>
      <c r="D599">
        <v>3</v>
      </c>
      <c r="E599">
        <v>2</v>
      </c>
      <c r="F599">
        <v>31</v>
      </c>
      <c r="G599">
        <v>1</v>
      </c>
      <c r="H599">
        <v>-2</v>
      </c>
      <c r="I599">
        <v>-2</v>
      </c>
      <c r="J599">
        <v>-2</v>
      </c>
      <c r="K599">
        <v>-2</v>
      </c>
      <c r="L599">
        <v>-2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</row>
    <row r="600" spans="1:25" x14ac:dyDescent="0.3">
      <c r="A600">
        <v>599</v>
      </c>
      <c r="B600">
        <v>80000</v>
      </c>
      <c r="C600">
        <v>2</v>
      </c>
      <c r="D600">
        <v>2</v>
      </c>
      <c r="E600">
        <v>2</v>
      </c>
      <c r="F600">
        <v>24</v>
      </c>
      <c r="G600">
        <v>2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79243</v>
      </c>
      <c r="N600">
        <v>75254</v>
      </c>
      <c r="O600">
        <v>58683</v>
      </c>
      <c r="P600">
        <v>58886</v>
      </c>
      <c r="Q600">
        <v>60035</v>
      </c>
      <c r="R600">
        <v>57264</v>
      </c>
      <c r="S600">
        <v>3249</v>
      </c>
      <c r="T600">
        <v>3000</v>
      </c>
      <c r="U600">
        <v>5000</v>
      </c>
      <c r="V600">
        <v>2500</v>
      </c>
      <c r="W600">
        <v>2300</v>
      </c>
      <c r="X600">
        <v>2200</v>
      </c>
      <c r="Y600">
        <v>0</v>
      </c>
    </row>
    <row r="601" spans="1:25" x14ac:dyDescent="0.3">
      <c r="A601">
        <v>600</v>
      </c>
      <c r="B601">
        <v>300000</v>
      </c>
      <c r="C601">
        <v>2</v>
      </c>
      <c r="D601">
        <v>2</v>
      </c>
      <c r="E601">
        <v>1</v>
      </c>
      <c r="F601">
        <v>36</v>
      </c>
      <c r="G601">
        <v>-1</v>
      </c>
      <c r="H601">
        <v>-1</v>
      </c>
      <c r="I601">
        <v>2</v>
      </c>
      <c r="J601">
        <v>0</v>
      </c>
      <c r="K601">
        <v>-1</v>
      </c>
      <c r="L601">
        <v>-1</v>
      </c>
      <c r="M601">
        <v>-475</v>
      </c>
      <c r="N601">
        <v>5191</v>
      </c>
      <c r="O601">
        <v>4606</v>
      </c>
      <c r="P601">
        <v>2303</v>
      </c>
      <c r="Q601">
        <v>2768</v>
      </c>
      <c r="R601">
        <v>65373</v>
      </c>
      <c r="S601">
        <v>10000</v>
      </c>
      <c r="T601">
        <v>0</v>
      </c>
      <c r="U601">
        <v>0</v>
      </c>
      <c r="V601">
        <v>2768</v>
      </c>
      <c r="W601">
        <v>65373</v>
      </c>
      <c r="X601">
        <v>10780</v>
      </c>
      <c r="Y601">
        <v>1</v>
      </c>
    </row>
    <row r="602" spans="1:25" x14ac:dyDescent="0.3">
      <c r="A602">
        <v>601</v>
      </c>
      <c r="B602">
        <v>310000</v>
      </c>
      <c r="C602">
        <v>2</v>
      </c>
      <c r="D602">
        <v>2</v>
      </c>
      <c r="E602">
        <v>1</v>
      </c>
      <c r="F602">
        <v>43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23396</v>
      </c>
      <c r="N602">
        <v>24182</v>
      </c>
      <c r="O602">
        <v>25135</v>
      </c>
      <c r="P602">
        <v>25095</v>
      </c>
      <c r="Q602">
        <v>25356</v>
      </c>
      <c r="R602">
        <v>25514</v>
      </c>
      <c r="S602">
        <v>1426</v>
      </c>
      <c r="T602">
        <v>1379</v>
      </c>
      <c r="U602">
        <v>867</v>
      </c>
      <c r="V602">
        <v>898</v>
      </c>
      <c r="W602">
        <v>933</v>
      </c>
      <c r="X602">
        <v>807</v>
      </c>
      <c r="Y602">
        <v>0</v>
      </c>
    </row>
    <row r="603" spans="1:25" x14ac:dyDescent="0.3">
      <c r="A603">
        <v>602</v>
      </c>
      <c r="B603">
        <v>30000</v>
      </c>
      <c r="C603">
        <v>1</v>
      </c>
      <c r="D603">
        <v>3</v>
      </c>
      <c r="E603">
        <v>1</v>
      </c>
      <c r="F603">
        <v>59</v>
      </c>
      <c r="G603">
        <v>-1</v>
      </c>
      <c r="H603">
        <v>-1</v>
      </c>
      <c r="I603">
        <v>-1</v>
      </c>
      <c r="J603">
        <v>-1</v>
      </c>
      <c r="K603">
        <v>-1</v>
      </c>
      <c r="L603">
        <v>-1</v>
      </c>
      <c r="M603">
        <v>390</v>
      </c>
      <c r="N603">
        <v>390</v>
      </c>
      <c r="O603">
        <v>390</v>
      </c>
      <c r="P603">
        <v>390</v>
      </c>
      <c r="Q603">
        <v>390</v>
      </c>
      <c r="R603">
        <v>1320</v>
      </c>
      <c r="S603">
        <v>390</v>
      </c>
      <c r="T603">
        <v>390</v>
      </c>
      <c r="U603">
        <v>390</v>
      </c>
      <c r="V603">
        <v>390</v>
      </c>
      <c r="W603">
        <v>1320</v>
      </c>
      <c r="X603">
        <v>0</v>
      </c>
      <c r="Y603">
        <v>1</v>
      </c>
    </row>
    <row r="604" spans="1:25" x14ac:dyDescent="0.3">
      <c r="A604">
        <v>603</v>
      </c>
      <c r="B604">
        <v>170000</v>
      </c>
      <c r="C604">
        <v>1</v>
      </c>
      <c r="D604">
        <v>1</v>
      </c>
      <c r="E604">
        <v>1</v>
      </c>
      <c r="F604">
        <v>53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17862</v>
      </c>
      <c r="N604">
        <v>17927</v>
      </c>
      <c r="O604">
        <v>18800</v>
      </c>
      <c r="P604">
        <v>17647</v>
      </c>
      <c r="Q604">
        <v>18015</v>
      </c>
      <c r="R604">
        <v>12930</v>
      </c>
      <c r="S604">
        <v>1323</v>
      </c>
      <c r="T604">
        <v>1196</v>
      </c>
      <c r="U604">
        <v>544</v>
      </c>
      <c r="V604">
        <v>563</v>
      </c>
      <c r="W604">
        <v>629</v>
      </c>
      <c r="X604">
        <v>361</v>
      </c>
      <c r="Y604">
        <v>0</v>
      </c>
    </row>
    <row r="605" spans="1:25" x14ac:dyDescent="0.3">
      <c r="A605">
        <v>604</v>
      </c>
      <c r="B605">
        <v>140000</v>
      </c>
      <c r="C605">
        <v>2</v>
      </c>
      <c r="D605">
        <v>2</v>
      </c>
      <c r="E605">
        <v>2</v>
      </c>
      <c r="F605">
        <v>28</v>
      </c>
      <c r="G605">
        <v>2</v>
      </c>
      <c r="H605">
        <v>2</v>
      </c>
      <c r="I605">
        <v>2</v>
      </c>
      <c r="J605">
        <v>0</v>
      </c>
      <c r="K605">
        <v>0</v>
      </c>
      <c r="L605">
        <v>2</v>
      </c>
      <c r="M605">
        <v>26450</v>
      </c>
      <c r="N605">
        <v>28823</v>
      </c>
      <c r="O605">
        <v>28171</v>
      </c>
      <c r="P605">
        <v>28740</v>
      </c>
      <c r="Q605">
        <v>30454</v>
      </c>
      <c r="R605">
        <v>29930</v>
      </c>
      <c r="S605">
        <v>3007</v>
      </c>
      <c r="T605">
        <v>0</v>
      </c>
      <c r="U605">
        <v>924</v>
      </c>
      <c r="V605">
        <v>2070</v>
      </c>
      <c r="W605">
        <v>0</v>
      </c>
      <c r="X605">
        <v>3000</v>
      </c>
      <c r="Y605">
        <v>0</v>
      </c>
    </row>
    <row r="606" spans="1:25" x14ac:dyDescent="0.3">
      <c r="A606">
        <v>605</v>
      </c>
      <c r="B606">
        <v>180000</v>
      </c>
      <c r="C606">
        <v>2</v>
      </c>
      <c r="D606">
        <v>2</v>
      </c>
      <c r="E606">
        <v>2</v>
      </c>
      <c r="F606">
        <v>31</v>
      </c>
      <c r="G606">
        <v>1</v>
      </c>
      <c r="H606">
        <v>-2</v>
      </c>
      <c r="I606">
        <v>-2</v>
      </c>
      <c r="J606">
        <v>-2</v>
      </c>
      <c r="K606">
        <v>-2</v>
      </c>
      <c r="L606">
        <v>-2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1576</v>
      </c>
      <c r="Y606">
        <v>0</v>
      </c>
    </row>
    <row r="607" spans="1:25" x14ac:dyDescent="0.3">
      <c r="A607">
        <v>606</v>
      </c>
      <c r="B607">
        <v>50000</v>
      </c>
      <c r="C607">
        <v>1</v>
      </c>
      <c r="D607">
        <v>1</v>
      </c>
      <c r="E607">
        <v>2</v>
      </c>
      <c r="F607">
        <v>34</v>
      </c>
      <c r="G607">
        <v>1</v>
      </c>
      <c r="H607">
        <v>2</v>
      </c>
      <c r="I607">
        <v>2</v>
      </c>
      <c r="J607">
        <v>2</v>
      </c>
      <c r="K607">
        <v>2</v>
      </c>
      <c r="L607">
        <v>2</v>
      </c>
      <c r="M607">
        <v>22746</v>
      </c>
      <c r="N607">
        <v>22099</v>
      </c>
      <c r="O607">
        <v>24121</v>
      </c>
      <c r="P607">
        <v>23437</v>
      </c>
      <c r="Q607">
        <v>25101</v>
      </c>
      <c r="R607">
        <v>24549</v>
      </c>
      <c r="S607">
        <v>0</v>
      </c>
      <c r="T607">
        <v>2700</v>
      </c>
      <c r="U607">
        <v>0</v>
      </c>
      <c r="V607">
        <v>2200</v>
      </c>
      <c r="W607">
        <v>0</v>
      </c>
      <c r="X607">
        <v>1030</v>
      </c>
      <c r="Y607">
        <v>0</v>
      </c>
    </row>
    <row r="608" spans="1:25" x14ac:dyDescent="0.3">
      <c r="A608">
        <v>607</v>
      </c>
      <c r="B608">
        <v>50000</v>
      </c>
      <c r="C608">
        <v>2</v>
      </c>
      <c r="D608">
        <v>2</v>
      </c>
      <c r="E608">
        <v>1</v>
      </c>
      <c r="F608">
        <v>36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-2</v>
      </c>
      <c r="M608">
        <v>9214</v>
      </c>
      <c r="N608">
        <v>10359</v>
      </c>
      <c r="O608">
        <v>7350</v>
      </c>
      <c r="P608">
        <v>7500</v>
      </c>
      <c r="Q608">
        <v>0</v>
      </c>
      <c r="R608">
        <v>0</v>
      </c>
      <c r="S608">
        <v>1351</v>
      </c>
      <c r="T608">
        <v>1500</v>
      </c>
      <c r="U608">
        <v>150</v>
      </c>
      <c r="V608">
        <v>0</v>
      </c>
      <c r="W608">
        <v>0</v>
      </c>
      <c r="X608">
        <v>0</v>
      </c>
      <c r="Y608">
        <v>0</v>
      </c>
    </row>
    <row r="609" spans="1:25" x14ac:dyDescent="0.3">
      <c r="A609">
        <v>608</v>
      </c>
      <c r="B609">
        <v>110000</v>
      </c>
      <c r="C609">
        <v>2</v>
      </c>
      <c r="D609">
        <v>1</v>
      </c>
      <c r="E609">
        <v>2</v>
      </c>
      <c r="F609">
        <v>24</v>
      </c>
      <c r="G609">
        <v>0</v>
      </c>
      <c r="H609">
        <v>0</v>
      </c>
      <c r="I609">
        <v>0</v>
      </c>
      <c r="J609">
        <v>0</v>
      </c>
      <c r="K609">
        <v>2</v>
      </c>
      <c r="L609">
        <v>0</v>
      </c>
      <c r="M609">
        <v>40882</v>
      </c>
      <c r="N609">
        <v>35428</v>
      </c>
      <c r="O609">
        <v>39680</v>
      </c>
      <c r="P609">
        <v>44097</v>
      </c>
      <c r="Q609">
        <v>42543</v>
      </c>
      <c r="R609">
        <v>33189</v>
      </c>
      <c r="S609">
        <v>2000</v>
      </c>
      <c r="T609">
        <v>5000</v>
      </c>
      <c r="U609">
        <v>5000</v>
      </c>
      <c r="V609">
        <v>0</v>
      </c>
      <c r="W609">
        <v>2000</v>
      </c>
      <c r="X609">
        <v>3000</v>
      </c>
      <c r="Y609">
        <v>0</v>
      </c>
    </row>
    <row r="610" spans="1:25" x14ac:dyDescent="0.3">
      <c r="A610">
        <v>609</v>
      </c>
      <c r="B610">
        <v>450000</v>
      </c>
      <c r="C610">
        <v>2</v>
      </c>
      <c r="D610">
        <v>3</v>
      </c>
      <c r="E610">
        <v>1</v>
      </c>
      <c r="F610">
        <v>36</v>
      </c>
      <c r="G610">
        <v>-2</v>
      </c>
      <c r="H610">
        <v>-2</v>
      </c>
      <c r="I610">
        <v>-2</v>
      </c>
      <c r="J610">
        <v>-2</v>
      </c>
      <c r="K610">
        <v>-2</v>
      </c>
      <c r="L610">
        <v>-2</v>
      </c>
      <c r="M610">
        <v>3996</v>
      </c>
      <c r="N610">
        <v>9120</v>
      </c>
      <c r="O610">
        <v>8528</v>
      </c>
      <c r="P610">
        <v>0</v>
      </c>
      <c r="Q610">
        <v>6368</v>
      </c>
      <c r="R610">
        <v>3000</v>
      </c>
      <c r="S610">
        <v>9120</v>
      </c>
      <c r="T610">
        <v>8528</v>
      </c>
      <c r="U610">
        <v>0</v>
      </c>
      <c r="V610">
        <v>6368</v>
      </c>
      <c r="W610">
        <v>3000</v>
      </c>
      <c r="X610">
        <v>3238</v>
      </c>
      <c r="Y610">
        <v>0</v>
      </c>
    </row>
    <row r="611" spans="1:25" x14ac:dyDescent="0.3">
      <c r="A611">
        <v>610</v>
      </c>
      <c r="B611">
        <v>200000</v>
      </c>
      <c r="C611">
        <v>2</v>
      </c>
      <c r="D611">
        <v>2</v>
      </c>
      <c r="E611">
        <v>1</v>
      </c>
      <c r="F611">
        <v>34</v>
      </c>
      <c r="G611">
        <v>-1</v>
      </c>
      <c r="H611">
        <v>-1</v>
      </c>
      <c r="I611">
        <v>-1</v>
      </c>
      <c r="J611">
        <v>-1</v>
      </c>
      <c r="K611">
        <v>-1</v>
      </c>
      <c r="L611">
        <v>-1</v>
      </c>
      <c r="M611">
        <v>390</v>
      </c>
      <c r="N611">
        <v>390</v>
      </c>
      <c r="O611">
        <v>390</v>
      </c>
      <c r="P611">
        <v>561</v>
      </c>
      <c r="Q611">
        <v>390</v>
      </c>
      <c r="R611">
        <v>390</v>
      </c>
      <c r="S611">
        <v>390</v>
      </c>
      <c r="T611">
        <v>390</v>
      </c>
      <c r="U611">
        <v>561</v>
      </c>
      <c r="V611">
        <v>390</v>
      </c>
      <c r="W611">
        <v>390</v>
      </c>
      <c r="X611">
        <v>390</v>
      </c>
      <c r="Y611">
        <v>0</v>
      </c>
    </row>
    <row r="612" spans="1:25" x14ac:dyDescent="0.3">
      <c r="A612">
        <v>611</v>
      </c>
      <c r="B612">
        <v>220000</v>
      </c>
      <c r="C612">
        <v>1</v>
      </c>
      <c r="D612">
        <v>1</v>
      </c>
      <c r="E612">
        <v>2</v>
      </c>
      <c r="F612">
        <v>43</v>
      </c>
      <c r="G612">
        <v>0</v>
      </c>
      <c r="H612">
        <v>0</v>
      </c>
      <c r="I612">
        <v>-1</v>
      </c>
      <c r="J612">
        <v>-1</v>
      </c>
      <c r="K612">
        <v>-1</v>
      </c>
      <c r="L612">
        <v>-1</v>
      </c>
      <c r="M612">
        <v>44177</v>
      </c>
      <c r="N612">
        <v>25736</v>
      </c>
      <c r="O612">
        <v>19292</v>
      </c>
      <c r="P612">
        <v>18900</v>
      </c>
      <c r="Q612">
        <v>13580</v>
      </c>
      <c r="R612">
        <v>33150</v>
      </c>
      <c r="S612">
        <v>1006</v>
      </c>
      <c r="T612">
        <v>32906</v>
      </c>
      <c r="U612">
        <v>18900</v>
      </c>
      <c r="V612">
        <v>13580</v>
      </c>
      <c r="W612">
        <v>33150</v>
      </c>
      <c r="X612">
        <v>0</v>
      </c>
      <c r="Y612">
        <v>0</v>
      </c>
    </row>
    <row r="613" spans="1:25" x14ac:dyDescent="0.3">
      <c r="A613">
        <v>612</v>
      </c>
      <c r="B613">
        <v>360000</v>
      </c>
      <c r="C613">
        <v>2</v>
      </c>
      <c r="D613">
        <v>1</v>
      </c>
      <c r="E613">
        <v>2</v>
      </c>
      <c r="F613">
        <v>29</v>
      </c>
      <c r="G613">
        <v>0</v>
      </c>
      <c r="H613">
        <v>0</v>
      </c>
      <c r="I613">
        <v>-2</v>
      </c>
      <c r="J613">
        <v>-2</v>
      </c>
      <c r="K613">
        <v>-2</v>
      </c>
      <c r="L613">
        <v>-1</v>
      </c>
      <c r="M613">
        <v>3280</v>
      </c>
      <c r="N613">
        <v>0</v>
      </c>
      <c r="O613">
        <v>0</v>
      </c>
      <c r="P613">
        <v>0</v>
      </c>
      <c r="Q613">
        <v>0</v>
      </c>
      <c r="R613">
        <v>2650</v>
      </c>
      <c r="S613">
        <v>0</v>
      </c>
      <c r="T613">
        <v>0</v>
      </c>
      <c r="U613">
        <v>0</v>
      </c>
      <c r="V613">
        <v>0</v>
      </c>
      <c r="W613">
        <v>2650</v>
      </c>
      <c r="X613">
        <v>0</v>
      </c>
      <c r="Y613">
        <v>1</v>
      </c>
    </row>
    <row r="614" spans="1:25" x14ac:dyDescent="0.3">
      <c r="A614">
        <v>613</v>
      </c>
      <c r="B614">
        <v>50000</v>
      </c>
      <c r="C614">
        <v>1</v>
      </c>
      <c r="D614">
        <v>2</v>
      </c>
      <c r="E614">
        <v>1</v>
      </c>
      <c r="F614">
        <v>37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48226</v>
      </c>
      <c r="N614">
        <v>48727</v>
      </c>
      <c r="O614">
        <v>46228</v>
      </c>
      <c r="P614">
        <v>46755</v>
      </c>
      <c r="Q614">
        <v>43686</v>
      </c>
      <c r="R614">
        <v>44573</v>
      </c>
      <c r="S614">
        <v>2000</v>
      </c>
      <c r="T614">
        <v>1684</v>
      </c>
      <c r="U614">
        <v>1601</v>
      </c>
      <c r="V614">
        <v>2000</v>
      </c>
      <c r="W614">
        <v>2000</v>
      </c>
      <c r="X614">
        <v>2000</v>
      </c>
      <c r="Y614">
        <v>0</v>
      </c>
    </row>
    <row r="615" spans="1:25" x14ac:dyDescent="0.3">
      <c r="A615">
        <v>614</v>
      </c>
      <c r="B615">
        <v>40000</v>
      </c>
      <c r="C615">
        <v>1</v>
      </c>
      <c r="D615">
        <v>2</v>
      </c>
      <c r="E615">
        <v>2</v>
      </c>
      <c r="F615">
        <v>23</v>
      </c>
      <c r="G615">
        <v>2</v>
      </c>
      <c r="H615">
        <v>2</v>
      </c>
      <c r="I615">
        <v>0</v>
      </c>
      <c r="J615">
        <v>0</v>
      </c>
      <c r="K615">
        <v>0</v>
      </c>
      <c r="L615">
        <v>0</v>
      </c>
      <c r="M615">
        <v>36650</v>
      </c>
      <c r="N615">
        <v>29541</v>
      </c>
      <c r="O615">
        <v>26190</v>
      </c>
      <c r="P615">
        <v>26710</v>
      </c>
      <c r="Q615">
        <v>27274</v>
      </c>
      <c r="R615">
        <v>29551</v>
      </c>
      <c r="S615">
        <v>0</v>
      </c>
      <c r="T615">
        <v>1435</v>
      </c>
      <c r="U615">
        <v>955</v>
      </c>
      <c r="V615">
        <v>993</v>
      </c>
      <c r="W615">
        <v>2734</v>
      </c>
      <c r="X615">
        <v>0</v>
      </c>
      <c r="Y615">
        <v>0</v>
      </c>
    </row>
    <row r="616" spans="1:25" x14ac:dyDescent="0.3">
      <c r="A616">
        <v>615</v>
      </c>
      <c r="B616">
        <v>190000</v>
      </c>
      <c r="C616">
        <v>2</v>
      </c>
      <c r="D616">
        <v>2</v>
      </c>
      <c r="E616">
        <v>1</v>
      </c>
      <c r="F616">
        <v>37</v>
      </c>
      <c r="G616">
        <v>1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115049</v>
      </c>
      <c r="N616">
        <v>117856</v>
      </c>
      <c r="O616">
        <v>119570</v>
      </c>
      <c r="P616">
        <v>116284</v>
      </c>
      <c r="Q616">
        <v>123528</v>
      </c>
      <c r="R616">
        <v>125478</v>
      </c>
      <c r="S616">
        <v>6000</v>
      </c>
      <c r="T616">
        <v>5000</v>
      </c>
      <c r="U616">
        <v>0</v>
      </c>
      <c r="V616">
        <v>9000</v>
      </c>
      <c r="W616">
        <v>4000</v>
      </c>
      <c r="X616">
        <v>5000</v>
      </c>
      <c r="Y616">
        <v>0</v>
      </c>
    </row>
    <row r="617" spans="1:25" x14ac:dyDescent="0.3">
      <c r="A617">
        <v>616</v>
      </c>
      <c r="B617">
        <v>150000</v>
      </c>
      <c r="C617">
        <v>1</v>
      </c>
      <c r="D617">
        <v>1</v>
      </c>
      <c r="E617">
        <v>2</v>
      </c>
      <c r="F617">
        <v>33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21724</v>
      </c>
      <c r="N617">
        <v>23168</v>
      </c>
      <c r="O617">
        <v>23320</v>
      </c>
      <c r="P617">
        <v>24085</v>
      </c>
      <c r="Q617">
        <v>24149</v>
      </c>
      <c r="R617">
        <v>3323</v>
      </c>
      <c r="S617">
        <v>2100</v>
      </c>
      <c r="T617">
        <v>1200</v>
      </c>
      <c r="U617">
        <v>965</v>
      </c>
      <c r="V617">
        <v>64</v>
      </c>
      <c r="W617">
        <v>509</v>
      </c>
      <c r="X617">
        <v>8399</v>
      </c>
      <c r="Y617">
        <v>0</v>
      </c>
    </row>
    <row r="618" spans="1:25" x14ac:dyDescent="0.3">
      <c r="A618">
        <v>617</v>
      </c>
      <c r="B618">
        <v>200000</v>
      </c>
      <c r="C618">
        <v>2</v>
      </c>
      <c r="D618">
        <v>1</v>
      </c>
      <c r="E618">
        <v>1</v>
      </c>
      <c r="F618">
        <v>37</v>
      </c>
      <c r="G618">
        <v>1</v>
      </c>
      <c r="H618">
        <v>-2</v>
      </c>
      <c r="I618">
        <v>-2</v>
      </c>
      <c r="J618">
        <v>-2</v>
      </c>
      <c r="K618">
        <v>-1</v>
      </c>
      <c r="L618">
        <v>-1</v>
      </c>
      <c r="M618">
        <v>0</v>
      </c>
      <c r="N618">
        <v>0</v>
      </c>
      <c r="O618">
        <v>0</v>
      </c>
      <c r="P618">
        <v>0</v>
      </c>
      <c r="Q618">
        <v>595</v>
      </c>
      <c r="R618">
        <v>0</v>
      </c>
      <c r="S618">
        <v>0</v>
      </c>
      <c r="T618">
        <v>0</v>
      </c>
      <c r="U618">
        <v>0</v>
      </c>
      <c r="V618">
        <v>595</v>
      </c>
      <c r="W618">
        <v>0</v>
      </c>
      <c r="X618">
        <v>2370</v>
      </c>
      <c r="Y618">
        <v>0</v>
      </c>
    </row>
    <row r="619" spans="1:25" x14ac:dyDescent="0.3">
      <c r="A619">
        <v>618</v>
      </c>
      <c r="B619">
        <v>270000</v>
      </c>
      <c r="C619">
        <v>2</v>
      </c>
      <c r="D619">
        <v>2</v>
      </c>
      <c r="E619">
        <v>1</v>
      </c>
      <c r="F619">
        <v>56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137807</v>
      </c>
      <c r="N619">
        <v>123769</v>
      </c>
      <c r="O619">
        <v>104377</v>
      </c>
      <c r="P619">
        <v>106651</v>
      </c>
      <c r="Q619">
        <v>109294</v>
      </c>
      <c r="R619">
        <v>101151</v>
      </c>
      <c r="S619">
        <v>5000</v>
      </c>
      <c r="T619">
        <v>5000</v>
      </c>
      <c r="U619">
        <v>3953</v>
      </c>
      <c r="V619">
        <v>4500</v>
      </c>
      <c r="W619">
        <v>4000</v>
      </c>
      <c r="X619">
        <v>3900</v>
      </c>
      <c r="Y619">
        <v>0</v>
      </c>
    </row>
    <row r="620" spans="1:25" x14ac:dyDescent="0.3">
      <c r="A620">
        <v>619</v>
      </c>
      <c r="B620">
        <v>60000</v>
      </c>
      <c r="C620">
        <v>1</v>
      </c>
      <c r="D620">
        <v>1</v>
      </c>
      <c r="E620">
        <v>2</v>
      </c>
      <c r="F620">
        <v>25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58839</v>
      </c>
      <c r="N620">
        <v>53235</v>
      </c>
      <c r="O620">
        <v>38533</v>
      </c>
      <c r="P620">
        <v>39639</v>
      </c>
      <c r="Q620">
        <v>39619</v>
      </c>
      <c r="R620">
        <v>39140</v>
      </c>
      <c r="S620">
        <v>2018</v>
      </c>
      <c r="T620">
        <v>1900</v>
      </c>
      <c r="U620">
        <v>2000</v>
      </c>
      <c r="V620">
        <v>1500</v>
      </c>
      <c r="W620">
        <v>1900</v>
      </c>
      <c r="X620">
        <v>2000</v>
      </c>
      <c r="Y620">
        <v>0</v>
      </c>
    </row>
    <row r="621" spans="1:25" x14ac:dyDescent="0.3">
      <c r="A621">
        <v>620</v>
      </c>
      <c r="B621">
        <v>200000</v>
      </c>
      <c r="C621">
        <v>2</v>
      </c>
      <c r="D621">
        <v>2</v>
      </c>
      <c r="E621">
        <v>1</v>
      </c>
      <c r="F621">
        <v>39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80833</v>
      </c>
      <c r="N621">
        <v>79100</v>
      </c>
      <c r="O621">
        <v>70764</v>
      </c>
      <c r="P621">
        <v>71629</v>
      </c>
      <c r="Q621">
        <v>70805</v>
      </c>
      <c r="R621">
        <v>70718</v>
      </c>
      <c r="S621">
        <v>3315</v>
      </c>
      <c r="T621">
        <v>3088</v>
      </c>
      <c r="U621">
        <v>2572</v>
      </c>
      <c r="V621">
        <v>2559</v>
      </c>
      <c r="W621">
        <v>2526</v>
      </c>
      <c r="X621">
        <v>2620</v>
      </c>
      <c r="Y621">
        <v>0</v>
      </c>
    </row>
    <row r="622" spans="1:25" x14ac:dyDescent="0.3">
      <c r="A622">
        <v>621</v>
      </c>
      <c r="B622">
        <v>150000</v>
      </c>
      <c r="C622">
        <v>2</v>
      </c>
      <c r="D622">
        <v>2</v>
      </c>
      <c r="E622">
        <v>1</v>
      </c>
      <c r="F622">
        <v>39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36146</v>
      </c>
      <c r="N622">
        <v>36184</v>
      </c>
      <c r="O622">
        <v>37511</v>
      </c>
      <c r="P622">
        <v>33080</v>
      </c>
      <c r="Q622">
        <v>30223</v>
      </c>
      <c r="R622">
        <v>31561</v>
      </c>
      <c r="S622">
        <v>3000</v>
      </c>
      <c r="T622">
        <v>3000</v>
      </c>
      <c r="U622">
        <v>3000</v>
      </c>
      <c r="V622">
        <v>2500</v>
      </c>
      <c r="W622">
        <v>2000</v>
      </c>
      <c r="X622">
        <v>2000</v>
      </c>
      <c r="Y622">
        <v>0</v>
      </c>
    </row>
    <row r="623" spans="1:25" x14ac:dyDescent="0.3">
      <c r="A623">
        <v>622</v>
      </c>
      <c r="B623">
        <v>180000</v>
      </c>
      <c r="C623">
        <v>2</v>
      </c>
      <c r="D623">
        <v>2</v>
      </c>
      <c r="E623">
        <v>2</v>
      </c>
      <c r="F623">
        <v>28</v>
      </c>
      <c r="G623">
        <v>-1</v>
      </c>
      <c r="H623">
        <v>-1</v>
      </c>
      <c r="I623">
        <v>-1</v>
      </c>
      <c r="J623">
        <v>-1</v>
      </c>
      <c r="K623">
        <v>-1</v>
      </c>
      <c r="L623">
        <v>-1</v>
      </c>
      <c r="M623">
        <v>340</v>
      </c>
      <c r="N623">
        <v>-120</v>
      </c>
      <c r="O623">
        <v>420</v>
      </c>
      <c r="P623">
        <v>460</v>
      </c>
      <c r="Q623">
        <v>460</v>
      </c>
      <c r="R623">
        <v>610</v>
      </c>
      <c r="S623">
        <v>0</v>
      </c>
      <c r="T623">
        <v>1000</v>
      </c>
      <c r="U623">
        <v>500</v>
      </c>
      <c r="V623">
        <v>460</v>
      </c>
      <c r="W623">
        <v>610</v>
      </c>
      <c r="X623">
        <v>460</v>
      </c>
      <c r="Y623">
        <v>0</v>
      </c>
    </row>
    <row r="624" spans="1:25" x14ac:dyDescent="0.3">
      <c r="A624">
        <v>623</v>
      </c>
      <c r="B624">
        <v>90000</v>
      </c>
      <c r="C624">
        <v>2</v>
      </c>
      <c r="D624">
        <v>1</v>
      </c>
      <c r="E624">
        <v>2</v>
      </c>
      <c r="F624">
        <v>27</v>
      </c>
      <c r="G624">
        <v>0</v>
      </c>
      <c r="H624">
        <v>0</v>
      </c>
      <c r="I624">
        <v>-2</v>
      </c>
      <c r="J624">
        <v>-2</v>
      </c>
      <c r="K624">
        <v>-2</v>
      </c>
      <c r="L624">
        <v>-2</v>
      </c>
      <c r="M624">
        <v>7624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</row>
    <row r="625" spans="1:25" x14ac:dyDescent="0.3">
      <c r="A625">
        <v>624</v>
      </c>
      <c r="B625">
        <v>360000</v>
      </c>
      <c r="C625">
        <v>2</v>
      </c>
      <c r="D625">
        <v>2</v>
      </c>
      <c r="E625">
        <v>1</v>
      </c>
      <c r="F625">
        <v>37</v>
      </c>
      <c r="G625">
        <v>1</v>
      </c>
      <c r="H625">
        <v>-2</v>
      </c>
      <c r="I625">
        <v>-2</v>
      </c>
      <c r="J625">
        <v>-2</v>
      </c>
      <c r="K625">
        <v>-1</v>
      </c>
      <c r="L625">
        <v>-1</v>
      </c>
      <c r="M625">
        <v>0</v>
      </c>
      <c r="N625">
        <v>0</v>
      </c>
      <c r="O625">
        <v>0</v>
      </c>
      <c r="P625">
        <v>0</v>
      </c>
      <c r="Q625">
        <v>166</v>
      </c>
      <c r="R625">
        <v>541</v>
      </c>
      <c r="S625">
        <v>0</v>
      </c>
      <c r="T625">
        <v>0</v>
      </c>
      <c r="U625">
        <v>0</v>
      </c>
      <c r="V625">
        <v>166</v>
      </c>
      <c r="W625">
        <v>543</v>
      </c>
      <c r="X625">
        <v>4268</v>
      </c>
      <c r="Y625">
        <v>0</v>
      </c>
    </row>
    <row r="626" spans="1:25" x14ac:dyDescent="0.3">
      <c r="A626">
        <v>625</v>
      </c>
      <c r="B626">
        <v>90000</v>
      </c>
      <c r="C626">
        <v>2</v>
      </c>
      <c r="D626">
        <v>1</v>
      </c>
      <c r="E626">
        <v>2</v>
      </c>
      <c r="F626">
        <v>24</v>
      </c>
      <c r="G626">
        <v>-1</v>
      </c>
      <c r="H626">
        <v>-1</v>
      </c>
      <c r="I626">
        <v>-2</v>
      </c>
      <c r="J626">
        <v>-2</v>
      </c>
      <c r="K626">
        <v>-2</v>
      </c>
      <c r="L626">
        <v>-2</v>
      </c>
      <c r="M626">
        <v>491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</row>
    <row r="627" spans="1:25" x14ac:dyDescent="0.3">
      <c r="A627">
        <v>626</v>
      </c>
      <c r="B627">
        <v>20000</v>
      </c>
      <c r="C627">
        <v>2</v>
      </c>
      <c r="D627">
        <v>2</v>
      </c>
      <c r="E627">
        <v>2</v>
      </c>
      <c r="F627">
        <v>24</v>
      </c>
      <c r="G627">
        <v>0</v>
      </c>
      <c r="H627">
        <v>0</v>
      </c>
      <c r="I627">
        <v>0</v>
      </c>
      <c r="J627">
        <v>0</v>
      </c>
      <c r="K627">
        <v>2</v>
      </c>
      <c r="L627">
        <v>0</v>
      </c>
      <c r="M627">
        <v>13168</v>
      </c>
      <c r="N627">
        <v>13888</v>
      </c>
      <c r="O627">
        <v>14900</v>
      </c>
      <c r="P627">
        <v>15916</v>
      </c>
      <c r="Q627">
        <v>15519</v>
      </c>
      <c r="R627">
        <v>15829</v>
      </c>
      <c r="S627">
        <v>1237</v>
      </c>
      <c r="T627">
        <v>1249</v>
      </c>
      <c r="U627">
        <v>1265</v>
      </c>
      <c r="V627">
        <v>0</v>
      </c>
      <c r="W627">
        <v>568</v>
      </c>
      <c r="X627">
        <v>1327</v>
      </c>
      <c r="Y627">
        <v>0</v>
      </c>
    </row>
    <row r="628" spans="1:25" x14ac:dyDescent="0.3">
      <c r="A628">
        <v>627</v>
      </c>
      <c r="B628">
        <v>70000</v>
      </c>
      <c r="C628">
        <v>1</v>
      </c>
      <c r="D628">
        <v>1</v>
      </c>
      <c r="E628">
        <v>1</v>
      </c>
      <c r="F628">
        <v>46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60040</v>
      </c>
      <c r="N628">
        <v>55274</v>
      </c>
      <c r="O628">
        <v>51766</v>
      </c>
      <c r="P628">
        <v>51757</v>
      </c>
      <c r="Q628">
        <v>50013</v>
      </c>
      <c r="R628">
        <v>49946</v>
      </c>
      <c r="S628">
        <v>2600</v>
      </c>
      <c r="T628">
        <v>1800</v>
      </c>
      <c r="U628">
        <v>2000</v>
      </c>
      <c r="V628">
        <v>3140</v>
      </c>
      <c r="W628">
        <v>2000</v>
      </c>
      <c r="X628">
        <v>1800</v>
      </c>
      <c r="Y628">
        <v>0</v>
      </c>
    </row>
    <row r="629" spans="1:25" x14ac:dyDescent="0.3">
      <c r="A629">
        <v>628</v>
      </c>
      <c r="B629">
        <v>230000</v>
      </c>
      <c r="C629">
        <v>1</v>
      </c>
      <c r="D629">
        <v>1</v>
      </c>
      <c r="E629">
        <v>1</v>
      </c>
      <c r="F629">
        <v>39</v>
      </c>
      <c r="G629">
        <v>-1</v>
      </c>
      <c r="H629">
        <v>-1</v>
      </c>
      <c r="I629">
        <v>-1</v>
      </c>
      <c r="J629">
        <v>-1</v>
      </c>
      <c r="K629">
        <v>-1</v>
      </c>
      <c r="L629">
        <v>-1</v>
      </c>
      <c r="M629">
        <v>660</v>
      </c>
      <c r="N629">
        <v>660</v>
      </c>
      <c r="O629">
        <v>660</v>
      </c>
      <c r="P629">
        <v>660</v>
      </c>
      <c r="Q629">
        <v>660</v>
      </c>
      <c r="R629">
        <v>660</v>
      </c>
      <c r="S629">
        <v>660</v>
      </c>
      <c r="T629">
        <v>660</v>
      </c>
      <c r="U629">
        <v>660</v>
      </c>
      <c r="V629">
        <v>660</v>
      </c>
      <c r="W629">
        <v>660</v>
      </c>
      <c r="X629">
        <v>660</v>
      </c>
      <c r="Y629">
        <v>0</v>
      </c>
    </row>
    <row r="630" spans="1:25" x14ac:dyDescent="0.3">
      <c r="A630">
        <v>629</v>
      </c>
      <c r="B630">
        <v>30000</v>
      </c>
      <c r="C630">
        <v>1</v>
      </c>
      <c r="D630">
        <v>3</v>
      </c>
      <c r="E630">
        <v>1</v>
      </c>
      <c r="F630">
        <v>48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29434</v>
      </c>
      <c r="N630">
        <v>28960</v>
      </c>
      <c r="O630">
        <v>29022</v>
      </c>
      <c r="P630">
        <v>29201</v>
      </c>
      <c r="Q630">
        <v>29553</v>
      </c>
      <c r="R630">
        <v>29693</v>
      </c>
      <c r="S630">
        <v>1465</v>
      </c>
      <c r="T630">
        <v>2000</v>
      </c>
      <c r="U630">
        <v>1033</v>
      </c>
      <c r="V630">
        <v>1200</v>
      </c>
      <c r="W630">
        <v>1055</v>
      </c>
      <c r="X630">
        <v>530</v>
      </c>
      <c r="Y630">
        <v>0</v>
      </c>
    </row>
    <row r="631" spans="1:25" x14ac:dyDescent="0.3">
      <c r="A631">
        <v>630</v>
      </c>
      <c r="B631">
        <v>200000</v>
      </c>
      <c r="C631">
        <v>2</v>
      </c>
      <c r="D631">
        <v>3</v>
      </c>
      <c r="E631">
        <v>3</v>
      </c>
      <c r="F631">
        <v>45</v>
      </c>
      <c r="G631">
        <v>-1</v>
      </c>
      <c r="H631">
        <v>-1</v>
      </c>
      <c r="I631">
        <v>-1</v>
      </c>
      <c r="J631">
        <v>-1</v>
      </c>
      <c r="K631">
        <v>-1</v>
      </c>
      <c r="L631">
        <v>-1</v>
      </c>
      <c r="M631">
        <v>4430</v>
      </c>
      <c r="N631">
        <v>7182</v>
      </c>
      <c r="O631">
        <v>3855</v>
      </c>
      <c r="P631">
        <v>3411</v>
      </c>
      <c r="Q631">
        <v>6788</v>
      </c>
      <c r="R631">
        <v>9921</v>
      </c>
      <c r="S631">
        <v>7193</v>
      </c>
      <c r="T631">
        <v>3855</v>
      </c>
      <c r="U631">
        <v>3411</v>
      </c>
      <c r="V631">
        <v>6788</v>
      </c>
      <c r="W631">
        <v>9921</v>
      </c>
      <c r="X631">
        <v>5016</v>
      </c>
      <c r="Y631">
        <v>0</v>
      </c>
    </row>
    <row r="632" spans="1:25" x14ac:dyDescent="0.3">
      <c r="A632">
        <v>631</v>
      </c>
      <c r="B632">
        <v>100000</v>
      </c>
      <c r="C632">
        <v>1</v>
      </c>
      <c r="D632">
        <v>3</v>
      </c>
      <c r="E632">
        <v>2</v>
      </c>
      <c r="F632">
        <v>49</v>
      </c>
      <c r="G632">
        <v>-1</v>
      </c>
      <c r="H632">
        <v>-1</v>
      </c>
      <c r="I632">
        <v>-2</v>
      </c>
      <c r="J632">
        <v>-2</v>
      </c>
      <c r="K632">
        <v>-2</v>
      </c>
      <c r="L632">
        <v>-2</v>
      </c>
      <c r="M632">
        <v>1440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</row>
    <row r="633" spans="1:25" x14ac:dyDescent="0.3">
      <c r="A633">
        <v>632</v>
      </c>
      <c r="B633">
        <v>50000</v>
      </c>
      <c r="C633">
        <v>2</v>
      </c>
      <c r="D633">
        <v>2</v>
      </c>
      <c r="E633">
        <v>2</v>
      </c>
      <c r="F633">
        <v>23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2</v>
      </c>
      <c r="M633">
        <v>26795</v>
      </c>
      <c r="N633">
        <v>28056</v>
      </c>
      <c r="O633">
        <v>29284</v>
      </c>
      <c r="P633">
        <v>30487</v>
      </c>
      <c r="Q633">
        <v>33831</v>
      </c>
      <c r="R633">
        <v>33138</v>
      </c>
      <c r="S633">
        <v>2000</v>
      </c>
      <c r="T633">
        <v>2000</v>
      </c>
      <c r="U633">
        <v>2000</v>
      </c>
      <c r="V633">
        <v>4000</v>
      </c>
      <c r="W633">
        <v>0</v>
      </c>
      <c r="X633">
        <v>2000</v>
      </c>
      <c r="Y633">
        <v>0</v>
      </c>
    </row>
    <row r="634" spans="1:25" x14ac:dyDescent="0.3">
      <c r="A634">
        <v>633</v>
      </c>
      <c r="B634">
        <v>20000</v>
      </c>
      <c r="C634">
        <v>2</v>
      </c>
      <c r="D634">
        <v>3</v>
      </c>
      <c r="E634">
        <v>1</v>
      </c>
      <c r="F634">
        <v>25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-2</v>
      </c>
      <c r="M634">
        <v>16591</v>
      </c>
      <c r="N634">
        <v>16442</v>
      </c>
      <c r="O634">
        <v>6401</v>
      </c>
      <c r="P634">
        <v>4300</v>
      </c>
      <c r="Q634">
        <v>1304</v>
      </c>
      <c r="R634">
        <v>0</v>
      </c>
      <c r="S634">
        <v>1155</v>
      </c>
      <c r="T634">
        <v>1000</v>
      </c>
      <c r="U634">
        <v>0</v>
      </c>
      <c r="V634">
        <v>1304</v>
      </c>
      <c r="W634">
        <v>0</v>
      </c>
      <c r="X634">
        <v>0</v>
      </c>
      <c r="Y634">
        <v>0</v>
      </c>
    </row>
    <row r="635" spans="1:25" x14ac:dyDescent="0.3">
      <c r="A635">
        <v>634</v>
      </c>
      <c r="B635">
        <v>210000</v>
      </c>
      <c r="C635">
        <v>2</v>
      </c>
      <c r="D635">
        <v>2</v>
      </c>
      <c r="E635">
        <v>1</v>
      </c>
      <c r="F635">
        <v>47</v>
      </c>
      <c r="G635">
        <v>-2</v>
      </c>
      <c r="H635">
        <v>-2</v>
      </c>
      <c r="I635">
        <v>-2</v>
      </c>
      <c r="J635">
        <v>-2</v>
      </c>
      <c r="K635">
        <v>-2</v>
      </c>
      <c r="L635">
        <v>-2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</row>
    <row r="636" spans="1:25" x14ac:dyDescent="0.3">
      <c r="A636">
        <v>635</v>
      </c>
      <c r="B636">
        <v>110000</v>
      </c>
      <c r="C636">
        <v>1</v>
      </c>
      <c r="D636">
        <v>3</v>
      </c>
      <c r="E636">
        <v>1</v>
      </c>
      <c r="F636">
        <v>56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46486</v>
      </c>
      <c r="N636">
        <v>35758</v>
      </c>
      <c r="O636">
        <v>34323</v>
      </c>
      <c r="P636">
        <v>30452</v>
      </c>
      <c r="Q636">
        <v>22628</v>
      </c>
      <c r="R636">
        <v>23468</v>
      </c>
      <c r="S636">
        <v>4086</v>
      </c>
      <c r="T636">
        <v>1428</v>
      </c>
      <c r="U636">
        <v>1318</v>
      </c>
      <c r="V636">
        <v>2171</v>
      </c>
      <c r="W636">
        <v>3198</v>
      </c>
      <c r="X636">
        <v>4976</v>
      </c>
      <c r="Y636">
        <v>0</v>
      </c>
    </row>
    <row r="637" spans="1:25" x14ac:dyDescent="0.3">
      <c r="A637">
        <v>636</v>
      </c>
      <c r="B637">
        <v>20000</v>
      </c>
      <c r="C637">
        <v>2</v>
      </c>
      <c r="D637">
        <v>3</v>
      </c>
      <c r="E637">
        <v>1</v>
      </c>
      <c r="F637">
        <v>44</v>
      </c>
      <c r="G637">
        <v>-1</v>
      </c>
      <c r="H637">
        <v>-1</v>
      </c>
      <c r="I637">
        <v>-1</v>
      </c>
      <c r="J637">
        <v>-1</v>
      </c>
      <c r="K637">
        <v>-1</v>
      </c>
      <c r="L637">
        <v>-2</v>
      </c>
      <c r="M637">
        <v>550</v>
      </c>
      <c r="N637">
        <v>228</v>
      </c>
      <c r="O637">
        <v>0</v>
      </c>
      <c r="P637">
        <v>228</v>
      </c>
      <c r="Q637">
        <v>0</v>
      </c>
      <c r="R637">
        <v>0</v>
      </c>
      <c r="S637">
        <v>228</v>
      </c>
      <c r="T637">
        <v>0</v>
      </c>
      <c r="U637">
        <v>228</v>
      </c>
      <c r="V637">
        <v>0</v>
      </c>
      <c r="W637">
        <v>0</v>
      </c>
      <c r="X637">
        <v>0</v>
      </c>
      <c r="Y637">
        <v>0</v>
      </c>
    </row>
    <row r="638" spans="1:25" x14ac:dyDescent="0.3">
      <c r="A638">
        <v>637</v>
      </c>
      <c r="B638">
        <v>50000</v>
      </c>
      <c r="C638">
        <v>2</v>
      </c>
      <c r="D638">
        <v>3</v>
      </c>
      <c r="E638">
        <v>1</v>
      </c>
      <c r="F638">
        <v>49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5630</v>
      </c>
      <c r="N638">
        <v>6629</v>
      </c>
      <c r="O638">
        <v>5918</v>
      </c>
      <c r="P638">
        <v>6918</v>
      </c>
      <c r="Q638">
        <v>6941</v>
      </c>
      <c r="R638">
        <v>4756</v>
      </c>
      <c r="S638">
        <v>1107</v>
      </c>
      <c r="T638">
        <v>1000</v>
      </c>
      <c r="U638">
        <v>1000</v>
      </c>
      <c r="V638">
        <v>1500</v>
      </c>
      <c r="W638">
        <v>2150</v>
      </c>
      <c r="X638">
        <v>0</v>
      </c>
      <c r="Y638">
        <v>0</v>
      </c>
    </row>
    <row r="639" spans="1:25" x14ac:dyDescent="0.3">
      <c r="A639">
        <v>638</v>
      </c>
      <c r="B639">
        <v>50000</v>
      </c>
      <c r="C639">
        <v>1</v>
      </c>
      <c r="D639">
        <v>2</v>
      </c>
      <c r="E639">
        <v>1</v>
      </c>
      <c r="F639">
        <v>41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21986</v>
      </c>
      <c r="N639">
        <v>21520</v>
      </c>
      <c r="O639">
        <v>20979</v>
      </c>
      <c r="P639">
        <v>19894</v>
      </c>
      <c r="Q639">
        <v>18811</v>
      </c>
      <c r="R639">
        <v>18805</v>
      </c>
      <c r="S639">
        <v>1362</v>
      </c>
      <c r="T639">
        <v>1294</v>
      </c>
      <c r="U639">
        <v>682</v>
      </c>
      <c r="V639">
        <v>680</v>
      </c>
      <c r="W639">
        <v>694</v>
      </c>
      <c r="X639">
        <v>618</v>
      </c>
      <c r="Y639">
        <v>0</v>
      </c>
    </row>
    <row r="640" spans="1:25" x14ac:dyDescent="0.3">
      <c r="A640">
        <v>639</v>
      </c>
      <c r="B640">
        <v>400000</v>
      </c>
      <c r="C640">
        <v>2</v>
      </c>
      <c r="D640">
        <v>1</v>
      </c>
      <c r="E640">
        <v>2</v>
      </c>
      <c r="F640">
        <v>40</v>
      </c>
      <c r="G640">
        <v>-1</v>
      </c>
      <c r="H640">
        <v>-1</v>
      </c>
      <c r="I640">
        <v>-1</v>
      </c>
      <c r="J640">
        <v>-1</v>
      </c>
      <c r="K640">
        <v>-1</v>
      </c>
      <c r="L640">
        <v>0</v>
      </c>
      <c r="M640">
        <v>60125</v>
      </c>
      <c r="N640">
        <v>1981</v>
      </c>
      <c r="O640">
        <v>4521</v>
      </c>
      <c r="P640">
        <v>20472</v>
      </c>
      <c r="Q640">
        <v>76933</v>
      </c>
      <c r="R640">
        <v>173599</v>
      </c>
      <c r="S640">
        <v>1981</v>
      </c>
      <c r="T640">
        <v>4521</v>
      </c>
      <c r="U640">
        <v>20500</v>
      </c>
      <c r="V640">
        <v>77000</v>
      </c>
      <c r="W640">
        <v>100000</v>
      </c>
      <c r="X640">
        <v>7700</v>
      </c>
      <c r="Y640">
        <v>0</v>
      </c>
    </row>
    <row r="641" spans="1:25" x14ac:dyDescent="0.3">
      <c r="A641">
        <v>640</v>
      </c>
      <c r="B641">
        <v>170000</v>
      </c>
      <c r="C641">
        <v>1</v>
      </c>
      <c r="D641">
        <v>2</v>
      </c>
      <c r="E641">
        <v>2</v>
      </c>
      <c r="F641">
        <v>31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56364</v>
      </c>
      <c r="N641">
        <v>58132</v>
      </c>
      <c r="O641">
        <v>59171</v>
      </c>
      <c r="P641">
        <v>55888</v>
      </c>
      <c r="Q641">
        <v>53672</v>
      </c>
      <c r="R641">
        <v>51461</v>
      </c>
      <c r="S641">
        <v>3000</v>
      </c>
      <c r="T641">
        <v>3000</v>
      </c>
      <c r="U641">
        <v>2000</v>
      </c>
      <c r="V641">
        <v>3000</v>
      </c>
      <c r="W641">
        <v>3000</v>
      </c>
      <c r="X641">
        <v>3000</v>
      </c>
      <c r="Y641">
        <v>0</v>
      </c>
    </row>
    <row r="642" spans="1:25" x14ac:dyDescent="0.3">
      <c r="A642">
        <v>641</v>
      </c>
      <c r="B642">
        <v>280000</v>
      </c>
      <c r="C642">
        <v>1</v>
      </c>
      <c r="D642">
        <v>2</v>
      </c>
      <c r="E642">
        <v>1</v>
      </c>
      <c r="F642">
        <v>42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148363</v>
      </c>
      <c r="N642">
        <v>148432</v>
      </c>
      <c r="O642">
        <v>151310</v>
      </c>
      <c r="P642">
        <v>141937</v>
      </c>
      <c r="Q642">
        <v>144990</v>
      </c>
      <c r="R642">
        <v>147911</v>
      </c>
      <c r="S642">
        <v>6900</v>
      </c>
      <c r="T642">
        <v>6867</v>
      </c>
      <c r="U642">
        <v>5500</v>
      </c>
      <c r="V642">
        <v>5500</v>
      </c>
      <c r="W642">
        <v>5500</v>
      </c>
      <c r="X642">
        <v>5600</v>
      </c>
      <c r="Y642">
        <v>0</v>
      </c>
    </row>
    <row r="643" spans="1:25" x14ac:dyDescent="0.3">
      <c r="A643">
        <v>642</v>
      </c>
      <c r="B643">
        <v>130000</v>
      </c>
      <c r="C643">
        <v>2</v>
      </c>
      <c r="D643">
        <v>3</v>
      </c>
      <c r="E643">
        <v>1</v>
      </c>
      <c r="F643">
        <v>28</v>
      </c>
      <c r="G643">
        <v>0</v>
      </c>
      <c r="H643">
        <v>0</v>
      </c>
      <c r="I643">
        <v>0</v>
      </c>
      <c r="J643">
        <v>0</v>
      </c>
      <c r="K643">
        <v>-2</v>
      </c>
      <c r="L643">
        <v>-2</v>
      </c>
      <c r="M643">
        <v>100143</v>
      </c>
      <c r="N643">
        <v>50456</v>
      </c>
      <c r="O643">
        <v>50000</v>
      </c>
      <c r="P643">
        <v>0</v>
      </c>
      <c r="Q643">
        <v>0</v>
      </c>
      <c r="R643">
        <v>0</v>
      </c>
      <c r="S643">
        <v>2500</v>
      </c>
      <c r="T643">
        <v>1000</v>
      </c>
      <c r="U643">
        <v>0</v>
      </c>
      <c r="V643">
        <v>0</v>
      </c>
      <c r="W643">
        <v>0</v>
      </c>
      <c r="X643">
        <v>0</v>
      </c>
      <c r="Y643">
        <v>0</v>
      </c>
    </row>
    <row r="644" spans="1:25" x14ac:dyDescent="0.3">
      <c r="A644">
        <v>643</v>
      </c>
      <c r="B644">
        <v>210000</v>
      </c>
      <c r="C644">
        <v>2</v>
      </c>
      <c r="D644">
        <v>2</v>
      </c>
      <c r="E644">
        <v>2</v>
      </c>
      <c r="F644">
        <v>32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46255</v>
      </c>
      <c r="N644">
        <v>50486</v>
      </c>
      <c r="O644">
        <v>54019</v>
      </c>
      <c r="P644">
        <v>58091</v>
      </c>
      <c r="Q644">
        <v>61630</v>
      </c>
      <c r="R644">
        <v>65576</v>
      </c>
      <c r="S644">
        <v>5000</v>
      </c>
      <c r="T644">
        <v>5000</v>
      </c>
      <c r="U644">
        <v>5000</v>
      </c>
      <c r="V644">
        <v>4500</v>
      </c>
      <c r="W644">
        <v>5000</v>
      </c>
      <c r="X644">
        <v>5000</v>
      </c>
      <c r="Y644">
        <v>0</v>
      </c>
    </row>
    <row r="645" spans="1:25" x14ac:dyDescent="0.3">
      <c r="A645">
        <v>644</v>
      </c>
      <c r="B645">
        <v>370000</v>
      </c>
      <c r="C645">
        <v>1</v>
      </c>
      <c r="D645">
        <v>2</v>
      </c>
      <c r="E645">
        <v>2</v>
      </c>
      <c r="F645">
        <v>28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276436</v>
      </c>
      <c r="N645">
        <v>239025</v>
      </c>
      <c r="O645">
        <v>149128</v>
      </c>
      <c r="P645">
        <v>48907</v>
      </c>
      <c r="Q645">
        <v>53025</v>
      </c>
      <c r="R645">
        <v>51434</v>
      </c>
      <c r="S645">
        <v>20000</v>
      </c>
      <c r="T645">
        <v>13000</v>
      </c>
      <c r="U645">
        <v>5000</v>
      </c>
      <c r="V645">
        <v>10000</v>
      </c>
      <c r="W645">
        <v>4000</v>
      </c>
      <c r="X645">
        <v>6000</v>
      </c>
      <c r="Y645">
        <v>0</v>
      </c>
    </row>
    <row r="646" spans="1:25" x14ac:dyDescent="0.3">
      <c r="A646">
        <v>645</v>
      </c>
      <c r="B646">
        <v>30000</v>
      </c>
      <c r="C646">
        <v>2</v>
      </c>
      <c r="D646">
        <v>2</v>
      </c>
      <c r="E646">
        <v>1</v>
      </c>
      <c r="F646">
        <v>31</v>
      </c>
      <c r="G646">
        <v>0</v>
      </c>
      <c r="H646">
        <v>0</v>
      </c>
      <c r="I646">
        <v>2</v>
      </c>
      <c r="J646">
        <v>0</v>
      </c>
      <c r="K646">
        <v>0</v>
      </c>
      <c r="L646">
        <v>0</v>
      </c>
      <c r="M646">
        <v>29493</v>
      </c>
      <c r="N646">
        <v>19433</v>
      </c>
      <c r="O646">
        <v>18782</v>
      </c>
      <c r="P646">
        <v>19006</v>
      </c>
      <c r="Q646">
        <v>19637</v>
      </c>
      <c r="R646">
        <v>21251</v>
      </c>
      <c r="S646">
        <v>3200</v>
      </c>
      <c r="T646">
        <v>0</v>
      </c>
      <c r="U646">
        <v>742</v>
      </c>
      <c r="V646">
        <v>1000</v>
      </c>
      <c r="W646">
        <v>2000</v>
      </c>
      <c r="X646">
        <v>0</v>
      </c>
      <c r="Y646">
        <v>0</v>
      </c>
    </row>
    <row r="647" spans="1:25" x14ac:dyDescent="0.3">
      <c r="A647">
        <v>646</v>
      </c>
      <c r="B647">
        <v>150000</v>
      </c>
      <c r="C647">
        <v>1</v>
      </c>
      <c r="D647">
        <v>3</v>
      </c>
      <c r="E647">
        <v>2</v>
      </c>
      <c r="F647">
        <v>39</v>
      </c>
      <c r="G647">
        <v>1</v>
      </c>
      <c r="H647">
        <v>-1</v>
      </c>
      <c r="I647">
        <v>-1</v>
      </c>
      <c r="J647">
        <v>-2</v>
      </c>
      <c r="K647">
        <v>-2</v>
      </c>
      <c r="L647">
        <v>-2</v>
      </c>
      <c r="M647">
        <v>214450</v>
      </c>
      <c r="N647">
        <v>147280</v>
      </c>
      <c r="O647">
        <v>150000</v>
      </c>
      <c r="P647">
        <v>0</v>
      </c>
      <c r="Q647">
        <v>-5000</v>
      </c>
      <c r="R647">
        <v>0</v>
      </c>
      <c r="S647">
        <v>5180</v>
      </c>
      <c r="T647">
        <v>5000</v>
      </c>
      <c r="U647">
        <v>0</v>
      </c>
      <c r="V647">
        <v>0</v>
      </c>
      <c r="W647">
        <v>5000</v>
      </c>
      <c r="X647">
        <v>0</v>
      </c>
      <c r="Y647">
        <v>0</v>
      </c>
    </row>
    <row r="648" spans="1:25" x14ac:dyDescent="0.3">
      <c r="A648">
        <v>647</v>
      </c>
      <c r="B648">
        <v>60000</v>
      </c>
      <c r="C648">
        <v>1</v>
      </c>
      <c r="D648">
        <v>3</v>
      </c>
      <c r="E648">
        <v>1</v>
      </c>
      <c r="F648">
        <v>31</v>
      </c>
      <c r="G648">
        <v>2</v>
      </c>
      <c r="H648">
        <v>0</v>
      </c>
      <c r="I648">
        <v>0</v>
      </c>
      <c r="J648">
        <v>-2</v>
      </c>
      <c r="K648">
        <v>-2</v>
      </c>
      <c r="L648">
        <v>-2</v>
      </c>
      <c r="M648">
        <v>35369</v>
      </c>
      <c r="N648">
        <v>35320</v>
      </c>
      <c r="O648">
        <v>0</v>
      </c>
      <c r="P648">
        <v>0</v>
      </c>
      <c r="Q648">
        <v>0</v>
      </c>
      <c r="R648">
        <v>0</v>
      </c>
      <c r="S648">
        <v>1027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</row>
    <row r="649" spans="1:25" x14ac:dyDescent="0.3">
      <c r="A649">
        <v>648</v>
      </c>
      <c r="B649">
        <v>80000</v>
      </c>
      <c r="C649">
        <v>2</v>
      </c>
      <c r="D649">
        <v>2</v>
      </c>
      <c r="E649">
        <v>2</v>
      </c>
      <c r="F649">
        <v>24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77615</v>
      </c>
      <c r="N649">
        <v>77303</v>
      </c>
      <c r="O649">
        <v>66396</v>
      </c>
      <c r="P649">
        <v>55639</v>
      </c>
      <c r="Q649">
        <v>56873</v>
      </c>
      <c r="R649">
        <v>58390</v>
      </c>
      <c r="S649">
        <v>3100</v>
      </c>
      <c r="T649">
        <v>2586</v>
      </c>
      <c r="U649">
        <v>2000</v>
      </c>
      <c r="V649">
        <v>2500</v>
      </c>
      <c r="W649">
        <v>3000</v>
      </c>
      <c r="X649">
        <v>2500</v>
      </c>
      <c r="Y649">
        <v>0</v>
      </c>
    </row>
    <row r="650" spans="1:25" x14ac:dyDescent="0.3">
      <c r="A650">
        <v>649</v>
      </c>
      <c r="B650">
        <v>280000</v>
      </c>
      <c r="C650">
        <v>2</v>
      </c>
      <c r="D650">
        <v>2</v>
      </c>
      <c r="E650">
        <v>1</v>
      </c>
      <c r="F650">
        <v>44</v>
      </c>
      <c r="G650">
        <v>2</v>
      </c>
      <c r="H650">
        <v>2</v>
      </c>
      <c r="I650">
        <v>2</v>
      </c>
      <c r="J650">
        <v>2</v>
      </c>
      <c r="K650">
        <v>2</v>
      </c>
      <c r="L650">
        <v>2</v>
      </c>
      <c r="M650">
        <v>186149</v>
      </c>
      <c r="N650">
        <v>181779</v>
      </c>
      <c r="O650">
        <v>192189</v>
      </c>
      <c r="P650">
        <v>195517</v>
      </c>
      <c r="Q650">
        <v>199250</v>
      </c>
      <c r="R650">
        <v>195874</v>
      </c>
      <c r="S650">
        <v>0</v>
      </c>
      <c r="T650">
        <v>15000</v>
      </c>
      <c r="U650">
        <v>8000</v>
      </c>
      <c r="V650">
        <v>7000</v>
      </c>
      <c r="W650">
        <v>0</v>
      </c>
      <c r="X650">
        <v>15000</v>
      </c>
      <c r="Y650">
        <v>1</v>
      </c>
    </row>
    <row r="651" spans="1:25" x14ac:dyDescent="0.3">
      <c r="A651">
        <v>650</v>
      </c>
      <c r="B651">
        <v>20000</v>
      </c>
      <c r="C651">
        <v>2</v>
      </c>
      <c r="D651">
        <v>2</v>
      </c>
      <c r="E651">
        <v>2</v>
      </c>
      <c r="F651">
        <v>46</v>
      </c>
      <c r="G651">
        <v>8</v>
      </c>
      <c r="H651">
        <v>7</v>
      </c>
      <c r="I651">
        <v>6</v>
      </c>
      <c r="J651">
        <v>5</v>
      </c>
      <c r="K651">
        <v>4</v>
      </c>
      <c r="L651">
        <v>3</v>
      </c>
      <c r="M651">
        <v>21075</v>
      </c>
      <c r="N651">
        <v>20795</v>
      </c>
      <c r="O651">
        <v>20206</v>
      </c>
      <c r="P651">
        <v>19617</v>
      </c>
      <c r="Q651">
        <v>18737</v>
      </c>
      <c r="R651">
        <v>18148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</row>
    <row r="652" spans="1:25" x14ac:dyDescent="0.3">
      <c r="A652">
        <v>651</v>
      </c>
      <c r="B652">
        <v>270000</v>
      </c>
      <c r="C652">
        <v>1</v>
      </c>
      <c r="D652">
        <v>1</v>
      </c>
      <c r="E652">
        <v>2</v>
      </c>
      <c r="F652">
        <v>32</v>
      </c>
      <c r="G652">
        <v>-2</v>
      </c>
      <c r="H652">
        <v>-2</v>
      </c>
      <c r="I652">
        <v>-2</v>
      </c>
      <c r="J652">
        <v>-2</v>
      </c>
      <c r="K652">
        <v>-2</v>
      </c>
      <c r="L652">
        <v>-2</v>
      </c>
      <c r="M652">
        <v>0</v>
      </c>
      <c r="N652">
        <v>0</v>
      </c>
      <c r="O652">
        <v>1100</v>
      </c>
      <c r="P652">
        <v>300</v>
      </c>
      <c r="Q652">
        <v>-200</v>
      </c>
      <c r="R652">
        <v>-200</v>
      </c>
      <c r="S652">
        <v>0</v>
      </c>
      <c r="T652">
        <v>1100</v>
      </c>
      <c r="U652">
        <v>300</v>
      </c>
      <c r="V652">
        <v>0</v>
      </c>
      <c r="W652">
        <v>0</v>
      </c>
      <c r="X652">
        <v>0</v>
      </c>
      <c r="Y652">
        <v>0</v>
      </c>
    </row>
    <row r="653" spans="1:25" x14ac:dyDescent="0.3">
      <c r="A653">
        <v>652</v>
      </c>
      <c r="B653">
        <v>240000</v>
      </c>
      <c r="C653">
        <v>2</v>
      </c>
      <c r="D653">
        <v>2</v>
      </c>
      <c r="E653">
        <v>2</v>
      </c>
      <c r="F653">
        <v>26</v>
      </c>
      <c r="G653">
        <v>0</v>
      </c>
      <c r="H653">
        <v>0</v>
      </c>
      <c r="I653">
        <v>-1</v>
      </c>
      <c r="J653">
        <v>-1</v>
      </c>
      <c r="K653">
        <v>-1</v>
      </c>
      <c r="L653">
        <v>-1</v>
      </c>
      <c r="M653">
        <v>14348</v>
      </c>
      <c r="N653">
        <v>7500</v>
      </c>
      <c r="O653">
        <v>7816</v>
      </c>
      <c r="P653">
        <v>7500</v>
      </c>
      <c r="Q653">
        <v>7500</v>
      </c>
      <c r="R653">
        <v>14497</v>
      </c>
      <c r="S653">
        <v>1000</v>
      </c>
      <c r="T653">
        <v>7816</v>
      </c>
      <c r="U653">
        <v>7500</v>
      </c>
      <c r="V653">
        <v>7500</v>
      </c>
      <c r="W653">
        <v>14497</v>
      </c>
      <c r="X653">
        <v>500</v>
      </c>
      <c r="Y653">
        <v>0</v>
      </c>
    </row>
    <row r="654" spans="1:25" x14ac:dyDescent="0.3">
      <c r="A654">
        <v>653</v>
      </c>
      <c r="B654">
        <v>20000</v>
      </c>
      <c r="C654">
        <v>2</v>
      </c>
      <c r="D654">
        <v>1</v>
      </c>
      <c r="E654">
        <v>2</v>
      </c>
      <c r="F654">
        <v>22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20137</v>
      </c>
      <c r="N654">
        <v>20179</v>
      </c>
      <c r="O654">
        <v>18067</v>
      </c>
      <c r="P654">
        <v>18666</v>
      </c>
      <c r="Q654">
        <v>19115</v>
      </c>
      <c r="R654">
        <v>19547</v>
      </c>
      <c r="S654">
        <v>1300</v>
      </c>
      <c r="T654">
        <v>1301</v>
      </c>
      <c r="U654">
        <v>900</v>
      </c>
      <c r="V654">
        <v>900</v>
      </c>
      <c r="W654">
        <v>900</v>
      </c>
      <c r="X654">
        <v>1600</v>
      </c>
      <c r="Y654">
        <v>0</v>
      </c>
    </row>
    <row r="655" spans="1:25" x14ac:dyDescent="0.3">
      <c r="A655">
        <v>654</v>
      </c>
      <c r="B655">
        <v>450000</v>
      </c>
      <c r="C655">
        <v>2</v>
      </c>
      <c r="D655">
        <v>1</v>
      </c>
      <c r="E655">
        <v>1</v>
      </c>
      <c r="F655">
        <v>42</v>
      </c>
      <c r="G655">
        <v>1</v>
      </c>
      <c r="H655">
        <v>-2</v>
      </c>
      <c r="I655">
        <v>-2</v>
      </c>
      <c r="J655">
        <v>-1</v>
      </c>
      <c r="K655">
        <v>-1</v>
      </c>
      <c r="L655">
        <v>-2</v>
      </c>
      <c r="M655">
        <v>-200</v>
      </c>
      <c r="N655">
        <v>-200</v>
      </c>
      <c r="O655">
        <v>0</v>
      </c>
      <c r="P655">
        <v>42000</v>
      </c>
      <c r="Q655">
        <v>0</v>
      </c>
      <c r="R655">
        <v>0</v>
      </c>
      <c r="S655">
        <v>0</v>
      </c>
      <c r="T655">
        <v>200</v>
      </c>
      <c r="U655">
        <v>42000</v>
      </c>
      <c r="V655">
        <v>0</v>
      </c>
      <c r="W655">
        <v>0</v>
      </c>
      <c r="X655">
        <v>0</v>
      </c>
      <c r="Y655">
        <v>1</v>
      </c>
    </row>
    <row r="656" spans="1:25" x14ac:dyDescent="0.3">
      <c r="A656">
        <v>655</v>
      </c>
      <c r="B656">
        <v>10000</v>
      </c>
      <c r="C656">
        <v>1</v>
      </c>
      <c r="D656">
        <v>2</v>
      </c>
      <c r="E656">
        <v>2</v>
      </c>
      <c r="F656">
        <v>33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8177</v>
      </c>
      <c r="N656">
        <v>9131</v>
      </c>
      <c r="O656">
        <v>9669</v>
      </c>
      <c r="P656">
        <v>7624</v>
      </c>
      <c r="Q656">
        <v>8049</v>
      </c>
      <c r="R656">
        <v>6857</v>
      </c>
      <c r="S656">
        <v>2500</v>
      </c>
      <c r="T656">
        <v>1145</v>
      </c>
      <c r="U656">
        <v>1000</v>
      </c>
      <c r="V656">
        <v>1000</v>
      </c>
      <c r="W656">
        <v>1000</v>
      </c>
      <c r="X656">
        <v>1500</v>
      </c>
      <c r="Y656">
        <v>0</v>
      </c>
    </row>
    <row r="657" spans="1:25" x14ac:dyDescent="0.3">
      <c r="A657">
        <v>656</v>
      </c>
      <c r="B657">
        <v>280000</v>
      </c>
      <c r="C657">
        <v>1</v>
      </c>
      <c r="D657">
        <v>2</v>
      </c>
      <c r="E657">
        <v>1</v>
      </c>
      <c r="F657">
        <v>39</v>
      </c>
      <c r="G657">
        <v>-2</v>
      </c>
      <c r="H657">
        <v>-2</v>
      </c>
      <c r="I657">
        <v>-2</v>
      </c>
      <c r="J657">
        <v>-2</v>
      </c>
      <c r="K657">
        <v>-2</v>
      </c>
      <c r="L657">
        <v>-2</v>
      </c>
      <c r="M657">
        <v>2082</v>
      </c>
      <c r="N657">
        <v>3557</v>
      </c>
      <c r="O657">
        <v>5623</v>
      </c>
      <c r="P657">
        <v>5400</v>
      </c>
      <c r="Q657">
        <v>3866</v>
      </c>
      <c r="R657">
        <v>3526</v>
      </c>
      <c r="S657">
        <v>3597</v>
      </c>
      <c r="T657">
        <v>5672</v>
      </c>
      <c r="U657">
        <v>5427</v>
      </c>
      <c r="V657">
        <v>3885</v>
      </c>
      <c r="W657">
        <v>3543</v>
      </c>
      <c r="X657">
        <v>3519</v>
      </c>
      <c r="Y657">
        <v>1</v>
      </c>
    </row>
    <row r="658" spans="1:25" x14ac:dyDescent="0.3">
      <c r="A658">
        <v>657</v>
      </c>
      <c r="B658">
        <v>290000</v>
      </c>
      <c r="C658">
        <v>2</v>
      </c>
      <c r="D658">
        <v>3</v>
      </c>
      <c r="E658">
        <v>2</v>
      </c>
      <c r="F658">
        <v>27</v>
      </c>
      <c r="G658">
        <v>0</v>
      </c>
      <c r="H658">
        <v>0</v>
      </c>
      <c r="I658">
        <v>0</v>
      </c>
      <c r="J658">
        <v>0</v>
      </c>
      <c r="K658">
        <v>-1</v>
      </c>
      <c r="L658">
        <v>-1</v>
      </c>
      <c r="M658">
        <v>13820</v>
      </c>
      <c r="N658">
        <v>15614</v>
      </c>
      <c r="O658">
        <v>16293</v>
      </c>
      <c r="P658">
        <v>7760</v>
      </c>
      <c r="Q658">
        <v>2000</v>
      </c>
      <c r="R658">
        <v>0</v>
      </c>
      <c r="S658">
        <v>2000</v>
      </c>
      <c r="T658">
        <v>1300</v>
      </c>
      <c r="U658">
        <v>0</v>
      </c>
      <c r="V658">
        <v>2000</v>
      </c>
      <c r="W658">
        <v>1000</v>
      </c>
      <c r="X658">
        <v>0</v>
      </c>
      <c r="Y658">
        <v>0</v>
      </c>
    </row>
    <row r="659" spans="1:25" x14ac:dyDescent="0.3">
      <c r="A659">
        <v>658</v>
      </c>
      <c r="B659">
        <v>190000</v>
      </c>
      <c r="C659">
        <v>2</v>
      </c>
      <c r="D659">
        <v>1</v>
      </c>
      <c r="E659">
        <v>2</v>
      </c>
      <c r="F659">
        <v>28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46923</v>
      </c>
      <c r="N659">
        <v>48666</v>
      </c>
      <c r="O659">
        <v>49347</v>
      </c>
      <c r="P659">
        <v>50386</v>
      </c>
      <c r="Q659">
        <v>43883</v>
      </c>
      <c r="R659">
        <v>34412</v>
      </c>
      <c r="S659">
        <v>2500</v>
      </c>
      <c r="T659">
        <v>2000</v>
      </c>
      <c r="U659">
        <v>3000</v>
      </c>
      <c r="V659">
        <v>2000</v>
      </c>
      <c r="W659">
        <v>2000</v>
      </c>
      <c r="X659">
        <v>2000</v>
      </c>
      <c r="Y659">
        <v>1</v>
      </c>
    </row>
    <row r="660" spans="1:25" x14ac:dyDescent="0.3">
      <c r="A660">
        <v>659</v>
      </c>
      <c r="B660">
        <v>80000</v>
      </c>
      <c r="C660">
        <v>2</v>
      </c>
      <c r="D660">
        <v>1</v>
      </c>
      <c r="E660">
        <v>2</v>
      </c>
      <c r="F660">
        <v>23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-1</v>
      </c>
      <c r="M660">
        <v>53261</v>
      </c>
      <c r="N660">
        <v>38091</v>
      </c>
      <c r="O660">
        <v>19744</v>
      </c>
      <c r="P660">
        <v>14556</v>
      </c>
      <c r="Q660">
        <v>0</v>
      </c>
      <c r="R660">
        <v>1460</v>
      </c>
      <c r="S660">
        <v>4500</v>
      </c>
      <c r="T660">
        <v>2011</v>
      </c>
      <c r="U660">
        <v>3105</v>
      </c>
      <c r="V660">
        <v>0</v>
      </c>
      <c r="W660">
        <v>1460</v>
      </c>
      <c r="X660">
        <v>0</v>
      </c>
      <c r="Y660">
        <v>0</v>
      </c>
    </row>
    <row r="661" spans="1:25" x14ac:dyDescent="0.3">
      <c r="A661">
        <v>660</v>
      </c>
      <c r="B661">
        <v>280000</v>
      </c>
      <c r="C661">
        <v>2</v>
      </c>
      <c r="D661">
        <v>2</v>
      </c>
      <c r="E661">
        <v>2</v>
      </c>
      <c r="F661">
        <v>28</v>
      </c>
      <c r="G661">
        <v>-1</v>
      </c>
      <c r="H661">
        <v>2</v>
      </c>
      <c r="I661">
        <v>-1</v>
      </c>
      <c r="J661">
        <v>-1</v>
      </c>
      <c r="K661">
        <v>0</v>
      </c>
      <c r="L661">
        <v>-1</v>
      </c>
      <c r="M661">
        <v>427</v>
      </c>
      <c r="N661">
        <v>298</v>
      </c>
      <c r="O661">
        <v>1179</v>
      </c>
      <c r="P661">
        <v>1714</v>
      </c>
      <c r="Q661">
        <v>2875</v>
      </c>
      <c r="R661">
        <v>1047</v>
      </c>
      <c r="S661">
        <v>0</v>
      </c>
      <c r="T661">
        <v>1179</v>
      </c>
      <c r="U661">
        <v>1714</v>
      </c>
      <c r="V661">
        <v>1290</v>
      </c>
      <c r="W661">
        <v>1047</v>
      </c>
      <c r="X661">
        <v>1000</v>
      </c>
      <c r="Y661">
        <v>0</v>
      </c>
    </row>
    <row r="662" spans="1:25" x14ac:dyDescent="0.3">
      <c r="A662">
        <v>661</v>
      </c>
      <c r="B662">
        <v>160000</v>
      </c>
      <c r="C662">
        <v>2</v>
      </c>
      <c r="D662">
        <v>1</v>
      </c>
      <c r="E662">
        <v>1</v>
      </c>
      <c r="F662">
        <v>33</v>
      </c>
      <c r="G662">
        <v>-2</v>
      </c>
      <c r="H662">
        <v>-2</v>
      </c>
      <c r="I662">
        <v>-2</v>
      </c>
      <c r="J662">
        <v>-2</v>
      </c>
      <c r="K662">
        <v>-2</v>
      </c>
      <c r="L662">
        <v>-2</v>
      </c>
      <c r="M662">
        <v>14150</v>
      </c>
      <c r="N662">
        <v>8106</v>
      </c>
      <c r="O662">
        <v>12431</v>
      </c>
      <c r="P662">
        <v>12145</v>
      </c>
      <c r="Q662">
        <v>13391</v>
      </c>
      <c r="R662">
        <v>7957</v>
      </c>
      <c r="S662">
        <v>8106</v>
      </c>
      <c r="T662">
        <v>12431</v>
      </c>
      <c r="U662">
        <v>12145</v>
      </c>
      <c r="V662">
        <v>13391</v>
      </c>
      <c r="W662">
        <v>7957</v>
      </c>
      <c r="X662">
        <v>1905</v>
      </c>
      <c r="Y662">
        <v>0</v>
      </c>
    </row>
    <row r="663" spans="1:25" x14ac:dyDescent="0.3">
      <c r="A663">
        <v>662</v>
      </c>
      <c r="B663">
        <v>90000</v>
      </c>
      <c r="C663">
        <v>1</v>
      </c>
      <c r="D663">
        <v>2</v>
      </c>
      <c r="E663">
        <v>1</v>
      </c>
      <c r="F663">
        <v>40</v>
      </c>
      <c r="G663">
        <v>0</v>
      </c>
      <c r="H663">
        <v>0</v>
      </c>
      <c r="I663">
        <v>0</v>
      </c>
      <c r="J663">
        <v>-1</v>
      </c>
      <c r="K663">
        <v>-1</v>
      </c>
      <c r="L663">
        <v>-1</v>
      </c>
      <c r="M663">
        <v>42856</v>
      </c>
      <c r="N663">
        <v>44925</v>
      </c>
      <c r="O663">
        <v>0</v>
      </c>
      <c r="P663">
        <v>787</v>
      </c>
      <c r="Q663">
        <v>1457</v>
      </c>
      <c r="R663">
        <v>0</v>
      </c>
      <c r="S663">
        <v>3114</v>
      </c>
      <c r="T663">
        <v>0</v>
      </c>
      <c r="U663">
        <v>787</v>
      </c>
      <c r="V663">
        <v>1457</v>
      </c>
      <c r="W663">
        <v>0</v>
      </c>
      <c r="X663">
        <v>0</v>
      </c>
      <c r="Y663">
        <v>1</v>
      </c>
    </row>
    <row r="664" spans="1:25" x14ac:dyDescent="0.3">
      <c r="A664">
        <v>663</v>
      </c>
      <c r="B664">
        <v>140000</v>
      </c>
      <c r="C664">
        <v>2</v>
      </c>
      <c r="D664">
        <v>1</v>
      </c>
      <c r="E664">
        <v>2</v>
      </c>
      <c r="F664">
        <v>37</v>
      </c>
      <c r="G664">
        <v>-1</v>
      </c>
      <c r="H664">
        <v>-1</v>
      </c>
      <c r="I664">
        <v>-1</v>
      </c>
      <c r="J664">
        <v>-2</v>
      </c>
      <c r="K664">
        <v>-2</v>
      </c>
      <c r="L664">
        <v>-1</v>
      </c>
      <c r="M664">
        <v>1034</v>
      </c>
      <c r="N664">
        <v>40000</v>
      </c>
      <c r="O664">
        <v>0</v>
      </c>
      <c r="P664">
        <v>0</v>
      </c>
      <c r="Q664">
        <v>0</v>
      </c>
      <c r="R664">
        <v>510</v>
      </c>
      <c r="S664">
        <v>40000</v>
      </c>
      <c r="T664">
        <v>0</v>
      </c>
      <c r="U664">
        <v>0</v>
      </c>
      <c r="V664">
        <v>0</v>
      </c>
      <c r="W664">
        <v>510</v>
      </c>
      <c r="X664">
        <v>0</v>
      </c>
      <c r="Y664">
        <v>0</v>
      </c>
    </row>
    <row r="665" spans="1:25" x14ac:dyDescent="0.3">
      <c r="A665">
        <v>664</v>
      </c>
      <c r="B665">
        <v>50000</v>
      </c>
      <c r="C665">
        <v>1</v>
      </c>
      <c r="D665">
        <v>1</v>
      </c>
      <c r="E665">
        <v>2</v>
      </c>
      <c r="F665">
        <v>22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-1</v>
      </c>
      <c r="M665">
        <v>5137</v>
      </c>
      <c r="N665">
        <v>5960</v>
      </c>
      <c r="O665">
        <v>6270</v>
      </c>
      <c r="P665">
        <v>6000</v>
      </c>
      <c r="Q665">
        <v>5810</v>
      </c>
      <c r="R665">
        <v>390</v>
      </c>
      <c r="S665">
        <v>1300</v>
      </c>
      <c r="T665">
        <v>1000</v>
      </c>
      <c r="U665">
        <v>120</v>
      </c>
      <c r="V665">
        <v>200</v>
      </c>
      <c r="W665">
        <v>390</v>
      </c>
      <c r="X665">
        <v>1170</v>
      </c>
      <c r="Y665">
        <v>0</v>
      </c>
    </row>
    <row r="666" spans="1:25" x14ac:dyDescent="0.3">
      <c r="A666">
        <v>665</v>
      </c>
      <c r="B666">
        <v>40000</v>
      </c>
      <c r="C666">
        <v>2</v>
      </c>
      <c r="D666">
        <v>2</v>
      </c>
      <c r="E666">
        <v>1</v>
      </c>
      <c r="F666">
        <v>32</v>
      </c>
      <c r="G666">
        <v>0</v>
      </c>
      <c r="H666">
        <v>0</v>
      </c>
      <c r="I666">
        <v>0</v>
      </c>
      <c r="J666">
        <v>2</v>
      </c>
      <c r="K666">
        <v>2</v>
      </c>
      <c r="L666">
        <v>2</v>
      </c>
      <c r="M666">
        <v>24114</v>
      </c>
      <c r="N666">
        <v>25417</v>
      </c>
      <c r="O666">
        <v>28777</v>
      </c>
      <c r="P666">
        <v>29107</v>
      </c>
      <c r="Q666">
        <v>29693</v>
      </c>
      <c r="R666">
        <v>30456</v>
      </c>
      <c r="S666">
        <v>2000</v>
      </c>
      <c r="T666">
        <v>4110</v>
      </c>
      <c r="U666">
        <v>1100</v>
      </c>
      <c r="V666">
        <v>1200</v>
      </c>
      <c r="W666">
        <v>1400</v>
      </c>
      <c r="X666">
        <v>0</v>
      </c>
      <c r="Y666">
        <v>0</v>
      </c>
    </row>
    <row r="667" spans="1:25" x14ac:dyDescent="0.3">
      <c r="A667">
        <v>666</v>
      </c>
      <c r="B667">
        <v>130000</v>
      </c>
      <c r="C667">
        <v>2</v>
      </c>
      <c r="D667">
        <v>3</v>
      </c>
      <c r="E667">
        <v>1</v>
      </c>
      <c r="F667">
        <v>43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130067</v>
      </c>
      <c r="N667">
        <v>129385</v>
      </c>
      <c r="O667">
        <v>96775</v>
      </c>
      <c r="P667">
        <v>98071</v>
      </c>
      <c r="Q667">
        <v>97743</v>
      </c>
      <c r="R667">
        <v>100124</v>
      </c>
      <c r="S667">
        <v>5540</v>
      </c>
      <c r="T667">
        <v>4403</v>
      </c>
      <c r="U667">
        <v>3814</v>
      </c>
      <c r="V667">
        <v>3562</v>
      </c>
      <c r="W667">
        <v>4021</v>
      </c>
      <c r="X667">
        <v>3681</v>
      </c>
      <c r="Y667">
        <v>0</v>
      </c>
    </row>
    <row r="668" spans="1:25" x14ac:dyDescent="0.3">
      <c r="A668">
        <v>667</v>
      </c>
      <c r="B668">
        <v>70000</v>
      </c>
      <c r="C668">
        <v>2</v>
      </c>
      <c r="D668">
        <v>3</v>
      </c>
      <c r="E668">
        <v>1</v>
      </c>
      <c r="F668">
        <v>27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2</v>
      </c>
      <c r="M668">
        <v>61611</v>
      </c>
      <c r="N668">
        <v>62711</v>
      </c>
      <c r="O668">
        <v>63695</v>
      </c>
      <c r="P668">
        <v>63926</v>
      </c>
      <c r="Q668">
        <v>67361</v>
      </c>
      <c r="R668">
        <v>59480</v>
      </c>
      <c r="S668">
        <v>3011</v>
      </c>
      <c r="T668">
        <v>3095</v>
      </c>
      <c r="U668">
        <v>2000</v>
      </c>
      <c r="V668">
        <v>4600</v>
      </c>
      <c r="W668">
        <v>0</v>
      </c>
      <c r="X668">
        <v>2258</v>
      </c>
      <c r="Y668">
        <v>0</v>
      </c>
    </row>
    <row r="669" spans="1:25" x14ac:dyDescent="0.3">
      <c r="A669">
        <v>668</v>
      </c>
      <c r="B669">
        <v>30000</v>
      </c>
      <c r="C669">
        <v>2</v>
      </c>
      <c r="D669">
        <v>2</v>
      </c>
      <c r="E669">
        <v>1</v>
      </c>
      <c r="F669">
        <v>35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25078</v>
      </c>
      <c r="N669">
        <v>25538</v>
      </c>
      <c r="O669">
        <v>25880</v>
      </c>
      <c r="P669">
        <v>25873</v>
      </c>
      <c r="Q669">
        <v>26157</v>
      </c>
      <c r="R669">
        <v>26918</v>
      </c>
      <c r="S669">
        <v>1500</v>
      </c>
      <c r="T669">
        <v>1387</v>
      </c>
      <c r="U669">
        <v>893</v>
      </c>
      <c r="V669">
        <v>1000</v>
      </c>
      <c r="W669">
        <v>1501</v>
      </c>
      <c r="X669">
        <v>2000</v>
      </c>
      <c r="Y669">
        <v>0</v>
      </c>
    </row>
    <row r="670" spans="1:25" x14ac:dyDescent="0.3">
      <c r="A670">
        <v>669</v>
      </c>
      <c r="B670">
        <v>100000</v>
      </c>
      <c r="C670">
        <v>2</v>
      </c>
      <c r="D670">
        <v>3</v>
      </c>
      <c r="E670">
        <v>1</v>
      </c>
      <c r="F670">
        <v>35</v>
      </c>
      <c r="G670">
        <v>1</v>
      </c>
      <c r="H670">
        <v>2</v>
      </c>
      <c r="I670">
        <v>2</v>
      </c>
      <c r="J670">
        <v>2</v>
      </c>
      <c r="K670">
        <v>2</v>
      </c>
      <c r="L670">
        <v>2</v>
      </c>
      <c r="M670">
        <v>97002</v>
      </c>
      <c r="N670">
        <v>102698</v>
      </c>
      <c r="O670">
        <v>97997</v>
      </c>
      <c r="P670">
        <v>103384</v>
      </c>
      <c r="Q670">
        <v>97266</v>
      </c>
      <c r="R670">
        <v>101492</v>
      </c>
      <c r="S670">
        <v>8200</v>
      </c>
      <c r="T670">
        <v>0</v>
      </c>
      <c r="U670">
        <v>8000</v>
      </c>
      <c r="V670">
        <v>0</v>
      </c>
      <c r="W670">
        <v>8600</v>
      </c>
      <c r="X670">
        <v>0</v>
      </c>
      <c r="Y670">
        <v>0</v>
      </c>
    </row>
    <row r="671" spans="1:25" x14ac:dyDescent="0.3">
      <c r="A671">
        <v>670</v>
      </c>
      <c r="B671">
        <v>20000</v>
      </c>
      <c r="C671">
        <v>2</v>
      </c>
      <c r="D671">
        <v>1</v>
      </c>
      <c r="E671">
        <v>1</v>
      </c>
      <c r="F671">
        <v>30</v>
      </c>
      <c r="G671">
        <v>2</v>
      </c>
      <c r="H671">
        <v>2</v>
      </c>
      <c r="I671">
        <v>2</v>
      </c>
      <c r="J671">
        <v>0</v>
      </c>
      <c r="K671">
        <v>0</v>
      </c>
      <c r="L671">
        <v>0</v>
      </c>
      <c r="M671">
        <v>5766</v>
      </c>
      <c r="N671">
        <v>7511</v>
      </c>
      <c r="O671">
        <v>7678</v>
      </c>
      <c r="P671">
        <v>7318</v>
      </c>
      <c r="Q671">
        <v>7458</v>
      </c>
      <c r="R671">
        <v>7598</v>
      </c>
      <c r="S671">
        <v>2000</v>
      </c>
      <c r="T671">
        <v>500</v>
      </c>
      <c r="U671">
        <v>0</v>
      </c>
      <c r="V671">
        <v>500</v>
      </c>
      <c r="W671">
        <v>500</v>
      </c>
      <c r="X671">
        <v>0</v>
      </c>
      <c r="Y671">
        <v>1</v>
      </c>
    </row>
    <row r="672" spans="1:25" x14ac:dyDescent="0.3">
      <c r="A672">
        <v>671</v>
      </c>
      <c r="B672">
        <v>30000</v>
      </c>
      <c r="C672">
        <v>2</v>
      </c>
      <c r="D672">
        <v>2</v>
      </c>
      <c r="E672">
        <v>2</v>
      </c>
      <c r="F672">
        <v>34</v>
      </c>
      <c r="G672">
        <v>2</v>
      </c>
      <c r="H672">
        <v>-1</v>
      </c>
      <c r="I672">
        <v>2</v>
      </c>
      <c r="J672">
        <v>2</v>
      </c>
      <c r="K672">
        <v>2</v>
      </c>
      <c r="L672">
        <v>2</v>
      </c>
      <c r="M672">
        <v>99568</v>
      </c>
      <c r="N672">
        <v>32326</v>
      </c>
      <c r="O672">
        <v>31840</v>
      </c>
      <c r="P672">
        <v>37075</v>
      </c>
      <c r="Q672">
        <v>37662</v>
      </c>
      <c r="R672">
        <v>36904</v>
      </c>
      <c r="S672">
        <v>33000</v>
      </c>
      <c r="T672">
        <v>33000</v>
      </c>
      <c r="U672">
        <v>5810</v>
      </c>
      <c r="V672">
        <v>1325</v>
      </c>
      <c r="W672">
        <v>0</v>
      </c>
      <c r="X672">
        <v>3095</v>
      </c>
      <c r="Y672">
        <v>0</v>
      </c>
    </row>
    <row r="673" spans="1:25" x14ac:dyDescent="0.3">
      <c r="A673">
        <v>672</v>
      </c>
      <c r="B673">
        <v>20000</v>
      </c>
      <c r="C673">
        <v>1</v>
      </c>
      <c r="D673">
        <v>2</v>
      </c>
      <c r="E673">
        <v>1</v>
      </c>
      <c r="F673">
        <v>34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12857</v>
      </c>
      <c r="N673">
        <v>14183</v>
      </c>
      <c r="O673">
        <v>14890</v>
      </c>
      <c r="P673">
        <v>15642</v>
      </c>
      <c r="Q673">
        <v>16387</v>
      </c>
      <c r="R673">
        <v>17113</v>
      </c>
      <c r="S673">
        <v>1541</v>
      </c>
      <c r="T673">
        <v>1248</v>
      </c>
      <c r="U673">
        <v>1000</v>
      </c>
      <c r="V673">
        <v>1000</v>
      </c>
      <c r="W673">
        <v>1000</v>
      </c>
      <c r="X673">
        <v>1000</v>
      </c>
      <c r="Y673">
        <v>1</v>
      </c>
    </row>
    <row r="674" spans="1:25" x14ac:dyDescent="0.3">
      <c r="A674">
        <v>673</v>
      </c>
      <c r="B674">
        <v>100000</v>
      </c>
      <c r="C674">
        <v>2</v>
      </c>
      <c r="D674">
        <v>1</v>
      </c>
      <c r="E674">
        <v>2</v>
      </c>
      <c r="F674">
        <v>28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96193</v>
      </c>
      <c r="N674">
        <v>82342</v>
      </c>
      <c r="O674">
        <v>81967</v>
      </c>
      <c r="P674">
        <v>82177</v>
      </c>
      <c r="Q674">
        <v>78840</v>
      </c>
      <c r="R674">
        <v>79261</v>
      </c>
      <c r="S674">
        <v>3600</v>
      </c>
      <c r="T674">
        <v>3800</v>
      </c>
      <c r="U674">
        <v>3000</v>
      </c>
      <c r="V674">
        <v>3000</v>
      </c>
      <c r="W674">
        <v>3023</v>
      </c>
      <c r="X674">
        <v>3000</v>
      </c>
      <c r="Y674">
        <v>1</v>
      </c>
    </row>
    <row r="675" spans="1:25" x14ac:dyDescent="0.3">
      <c r="A675">
        <v>674</v>
      </c>
      <c r="B675">
        <v>30000</v>
      </c>
      <c r="C675">
        <v>1</v>
      </c>
      <c r="D675">
        <v>2</v>
      </c>
      <c r="E675">
        <v>2</v>
      </c>
      <c r="F675">
        <v>25</v>
      </c>
      <c r="G675">
        <v>2</v>
      </c>
      <c r="H675">
        <v>2</v>
      </c>
      <c r="I675">
        <v>7</v>
      </c>
      <c r="J675">
        <v>7</v>
      </c>
      <c r="K675">
        <v>7</v>
      </c>
      <c r="L675">
        <v>6</v>
      </c>
      <c r="M675">
        <v>2400</v>
      </c>
      <c r="N675">
        <v>2400</v>
      </c>
      <c r="O675">
        <v>2400</v>
      </c>
      <c r="P675">
        <v>2400</v>
      </c>
      <c r="Q675">
        <v>2400</v>
      </c>
      <c r="R675">
        <v>1800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1</v>
      </c>
    </row>
    <row r="676" spans="1:25" x14ac:dyDescent="0.3">
      <c r="A676">
        <v>675</v>
      </c>
      <c r="B676">
        <v>320000</v>
      </c>
      <c r="C676">
        <v>2</v>
      </c>
      <c r="D676">
        <v>1</v>
      </c>
      <c r="E676">
        <v>1</v>
      </c>
      <c r="F676">
        <v>41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97797</v>
      </c>
      <c r="N676">
        <v>99672</v>
      </c>
      <c r="O676">
        <v>101953</v>
      </c>
      <c r="P676">
        <v>102284</v>
      </c>
      <c r="Q676">
        <v>104090</v>
      </c>
      <c r="R676">
        <v>105859</v>
      </c>
      <c r="S676">
        <v>4520</v>
      </c>
      <c r="T676">
        <v>5050</v>
      </c>
      <c r="U676">
        <v>3590</v>
      </c>
      <c r="V676">
        <v>3700</v>
      </c>
      <c r="W676">
        <v>3750</v>
      </c>
      <c r="X676">
        <v>3510</v>
      </c>
      <c r="Y676">
        <v>0</v>
      </c>
    </row>
    <row r="677" spans="1:25" x14ac:dyDescent="0.3">
      <c r="A677">
        <v>676</v>
      </c>
      <c r="B677">
        <v>90000</v>
      </c>
      <c r="C677">
        <v>1</v>
      </c>
      <c r="D677">
        <v>3</v>
      </c>
      <c r="E677">
        <v>2</v>
      </c>
      <c r="F677">
        <v>42</v>
      </c>
      <c r="G677">
        <v>2</v>
      </c>
      <c r="H677">
        <v>2</v>
      </c>
      <c r="I677">
        <v>2</v>
      </c>
      <c r="J677">
        <v>2</v>
      </c>
      <c r="K677">
        <v>2</v>
      </c>
      <c r="L677">
        <v>2</v>
      </c>
      <c r="M677">
        <v>64762</v>
      </c>
      <c r="N677">
        <v>63164</v>
      </c>
      <c r="O677">
        <v>32789</v>
      </c>
      <c r="P677">
        <v>31641</v>
      </c>
      <c r="Q677">
        <v>29240</v>
      </c>
      <c r="R677">
        <v>28306</v>
      </c>
      <c r="S677">
        <v>0</v>
      </c>
      <c r="T677">
        <v>2900</v>
      </c>
      <c r="U677">
        <v>0</v>
      </c>
      <c r="V677">
        <v>2500</v>
      </c>
      <c r="W677">
        <v>0</v>
      </c>
      <c r="X677">
        <v>1300</v>
      </c>
      <c r="Y677">
        <v>1</v>
      </c>
    </row>
    <row r="678" spans="1:25" x14ac:dyDescent="0.3">
      <c r="A678">
        <v>677</v>
      </c>
      <c r="B678">
        <v>190000</v>
      </c>
      <c r="C678">
        <v>1</v>
      </c>
      <c r="D678">
        <v>2</v>
      </c>
      <c r="E678">
        <v>2</v>
      </c>
      <c r="F678">
        <v>40</v>
      </c>
      <c r="G678">
        <v>2</v>
      </c>
      <c r="H678">
        <v>2</v>
      </c>
      <c r="I678">
        <v>2</v>
      </c>
      <c r="J678">
        <v>2</v>
      </c>
      <c r="K678">
        <v>2</v>
      </c>
      <c r="L678">
        <v>2</v>
      </c>
      <c r="M678">
        <v>145613</v>
      </c>
      <c r="N678">
        <v>156765</v>
      </c>
      <c r="O678">
        <v>159386</v>
      </c>
      <c r="P678">
        <v>161870</v>
      </c>
      <c r="Q678">
        <v>165725</v>
      </c>
      <c r="R678">
        <v>169928</v>
      </c>
      <c r="S678">
        <v>15000</v>
      </c>
      <c r="T678">
        <v>6600</v>
      </c>
      <c r="U678">
        <v>6500</v>
      </c>
      <c r="V678">
        <v>6500</v>
      </c>
      <c r="W678">
        <v>7000</v>
      </c>
      <c r="X678">
        <v>7000</v>
      </c>
      <c r="Y678">
        <v>1</v>
      </c>
    </row>
    <row r="679" spans="1:25" x14ac:dyDescent="0.3">
      <c r="A679">
        <v>678</v>
      </c>
      <c r="B679">
        <v>200000</v>
      </c>
      <c r="C679">
        <v>1</v>
      </c>
      <c r="D679">
        <v>1</v>
      </c>
      <c r="E679">
        <v>2</v>
      </c>
      <c r="F679">
        <v>28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71989</v>
      </c>
      <c r="N679">
        <v>122129</v>
      </c>
      <c r="O679">
        <v>147936</v>
      </c>
      <c r="P679">
        <v>149573</v>
      </c>
      <c r="Q679">
        <v>152574</v>
      </c>
      <c r="R679">
        <v>156323</v>
      </c>
      <c r="S679">
        <v>52129</v>
      </c>
      <c r="T679">
        <v>30000</v>
      </c>
      <c r="U679">
        <v>6000</v>
      </c>
      <c r="V679">
        <v>6000</v>
      </c>
      <c r="W679">
        <v>7000</v>
      </c>
      <c r="X679">
        <v>10000</v>
      </c>
      <c r="Y679">
        <v>0</v>
      </c>
    </row>
    <row r="680" spans="1:25" x14ac:dyDescent="0.3">
      <c r="A680">
        <v>679</v>
      </c>
      <c r="B680">
        <v>300000</v>
      </c>
      <c r="C680">
        <v>2</v>
      </c>
      <c r="D680">
        <v>2</v>
      </c>
      <c r="E680">
        <v>2</v>
      </c>
      <c r="F680">
        <v>31</v>
      </c>
      <c r="G680">
        <v>-1</v>
      </c>
      <c r="H680">
        <v>-1</v>
      </c>
      <c r="I680">
        <v>-1</v>
      </c>
      <c r="J680">
        <v>-1</v>
      </c>
      <c r="K680">
        <v>0</v>
      </c>
      <c r="L680">
        <v>-1</v>
      </c>
      <c r="M680">
        <v>3345</v>
      </c>
      <c r="N680">
        <v>1083</v>
      </c>
      <c r="O680">
        <v>4339</v>
      </c>
      <c r="P680">
        <v>7423</v>
      </c>
      <c r="Q680">
        <v>4059</v>
      </c>
      <c r="R680">
        <v>2508</v>
      </c>
      <c r="S680">
        <v>1087</v>
      </c>
      <c r="T680">
        <v>4355</v>
      </c>
      <c r="U680">
        <v>7423</v>
      </c>
      <c r="V680">
        <v>0</v>
      </c>
      <c r="W680">
        <v>2508</v>
      </c>
      <c r="X680">
        <v>4141</v>
      </c>
      <c r="Y680">
        <v>0</v>
      </c>
    </row>
    <row r="681" spans="1:25" x14ac:dyDescent="0.3">
      <c r="A681">
        <v>680</v>
      </c>
      <c r="B681">
        <v>30000</v>
      </c>
      <c r="C681">
        <v>2</v>
      </c>
      <c r="D681">
        <v>1</v>
      </c>
      <c r="E681">
        <v>2</v>
      </c>
      <c r="F681">
        <v>56</v>
      </c>
      <c r="G681">
        <v>-1</v>
      </c>
      <c r="H681">
        <v>0</v>
      </c>
      <c r="I681">
        <v>0</v>
      </c>
      <c r="J681">
        <v>-2</v>
      </c>
      <c r="K681">
        <v>-2</v>
      </c>
      <c r="L681">
        <v>-2</v>
      </c>
      <c r="M681">
        <v>29033</v>
      </c>
      <c r="N681">
        <v>17013</v>
      </c>
      <c r="O681">
        <v>7024</v>
      </c>
      <c r="P681">
        <v>7024</v>
      </c>
      <c r="Q681">
        <v>7024</v>
      </c>
      <c r="R681">
        <v>7024</v>
      </c>
      <c r="S681">
        <v>1283</v>
      </c>
      <c r="T681">
        <v>7024</v>
      </c>
      <c r="U681">
        <v>7024</v>
      </c>
      <c r="V681">
        <v>7024</v>
      </c>
      <c r="W681">
        <v>7024</v>
      </c>
      <c r="X681">
        <v>7024</v>
      </c>
      <c r="Y681">
        <v>0</v>
      </c>
    </row>
    <row r="682" spans="1:25" x14ac:dyDescent="0.3">
      <c r="A682">
        <v>681</v>
      </c>
      <c r="B682">
        <v>110000</v>
      </c>
      <c r="C682">
        <v>2</v>
      </c>
      <c r="D682">
        <v>2</v>
      </c>
      <c r="E682">
        <v>3</v>
      </c>
      <c r="F682">
        <v>45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26650</v>
      </c>
      <c r="N682">
        <v>20787</v>
      </c>
      <c r="O682">
        <v>20566</v>
      </c>
      <c r="P682">
        <v>21158</v>
      </c>
      <c r="Q682">
        <v>22141</v>
      </c>
      <c r="R682">
        <v>22158</v>
      </c>
      <c r="S682">
        <v>1532</v>
      </c>
      <c r="T682">
        <v>2000</v>
      </c>
      <c r="U682">
        <v>783</v>
      </c>
      <c r="V682">
        <v>3000</v>
      </c>
      <c r="W682">
        <v>2000</v>
      </c>
      <c r="X682">
        <v>2000</v>
      </c>
      <c r="Y682">
        <v>0</v>
      </c>
    </row>
    <row r="683" spans="1:25" x14ac:dyDescent="0.3">
      <c r="A683">
        <v>682</v>
      </c>
      <c r="B683">
        <v>230000</v>
      </c>
      <c r="C683">
        <v>2</v>
      </c>
      <c r="D683">
        <v>1</v>
      </c>
      <c r="E683">
        <v>2</v>
      </c>
      <c r="F683">
        <v>29</v>
      </c>
      <c r="G683">
        <v>-2</v>
      </c>
      <c r="H683">
        <v>-2</v>
      </c>
      <c r="I683">
        <v>-2</v>
      </c>
      <c r="J683">
        <v>-2</v>
      </c>
      <c r="K683">
        <v>-2</v>
      </c>
      <c r="L683">
        <v>-2</v>
      </c>
      <c r="M683">
        <v>0</v>
      </c>
      <c r="N683">
        <v>0</v>
      </c>
      <c r="O683">
        <v>1024</v>
      </c>
      <c r="P683">
        <v>0</v>
      </c>
      <c r="Q683">
        <v>0</v>
      </c>
      <c r="R683">
        <v>0</v>
      </c>
      <c r="S683">
        <v>0</v>
      </c>
      <c r="T683">
        <v>1024</v>
      </c>
      <c r="U683">
        <v>0</v>
      </c>
      <c r="V683">
        <v>0</v>
      </c>
      <c r="W683">
        <v>0</v>
      </c>
      <c r="X683">
        <v>0</v>
      </c>
      <c r="Y683">
        <v>0</v>
      </c>
    </row>
    <row r="684" spans="1:25" x14ac:dyDescent="0.3">
      <c r="A684">
        <v>683</v>
      </c>
      <c r="B684">
        <v>230000</v>
      </c>
      <c r="C684">
        <v>2</v>
      </c>
      <c r="D684">
        <v>1</v>
      </c>
      <c r="E684">
        <v>1</v>
      </c>
      <c r="F684">
        <v>35</v>
      </c>
      <c r="G684">
        <v>0</v>
      </c>
      <c r="H684">
        <v>0</v>
      </c>
      <c r="I684">
        <v>0</v>
      </c>
      <c r="J684">
        <v>0</v>
      </c>
      <c r="K684">
        <v>-2</v>
      </c>
      <c r="L684">
        <v>-2</v>
      </c>
      <c r="M684">
        <v>4259</v>
      </c>
      <c r="N684">
        <v>5432</v>
      </c>
      <c r="O684">
        <v>6182</v>
      </c>
      <c r="P684">
        <v>0</v>
      </c>
      <c r="Q684">
        <v>0</v>
      </c>
      <c r="R684">
        <v>0</v>
      </c>
      <c r="S684">
        <v>1250</v>
      </c>
      <c r="T684">
        <v>1000</v>
      </c>
      <c r="U684">
        <v>0</v>
      </c>
      <c r="V684">
        <v>0</v>
      </c>
      <c r="W684">
        <v>0</v>
      </c>
      <c r="X684">
        <v>0</v>
      </c>
      <c r="Y684">
        <v>0</v>
      </c>
    </row>
    <row r="685" spans="1:25" x14ac:dyDescent="0.3">
      <c r="A685">
        <v>684</v>
      </c>
      <c r="B685">
        <v>310000</v>
      </c>
      <c r="C685">
        <v>2</v>
      </c>
      <c r="D685">
        <v>2</v>
      </c>
      <c r="E685">
        <v>2</v>
      </c>
      <c r="F685">
        <v>28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106468</v>
      </c>
      <c r="N685">
        <v>108955</v>
      </c>
      <c r="O685">
        <v>112374</v>
      </c>
      <c r="P685">
        <v>54762</v>
      </c>
      <c r="Q685">
        <v>58189</v>
      </c>
      <c r="R685">
        <v>57170</v>
      </c>
      <c r="S685">
        <v>8000</v>
      </c>
      <c r="T685">
        <v>6000</v>
      </c>
      <c r="U685">
        <v>5000</v>
      </c>
      <c r="V685">
        <v>5000</v>
      </c>
      <c r="W685">
        <v>4000</v>
      </c>
      <c r="X685">
        <v>5000</v>
      </c>
      <c r="Y685">
        <v>0</v>
      </c>
    </row>
    <row r="686" spans="1:25" x14ac:dyDescent="0.3">
      <c r="A686">
        <v>685</v>
      </c>
      <c r="B686">
        <v>320000</v>
      </c>
      <c r="C686">
        <v>1</v>
      </c>
      <c r="D686">
        <v>1</v>
      </c>
      <c r="E686">
        <v>1</v>
      </c>
      <c r="F686">
        <v>40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247276</v>
      </c>
      <c r="N686">
        <v>241167</v>
      </c>
      <c r="O686">
        <v>238196</v>
      </c>
      <c r="P686">
        <v>231580</v>
      </c>
      <c r="Q686">
        <v>229683</v>
      </c>
      <c r="R686">
        <v>235837</v>
      </c>
      <c r="S686">
        <v>10000</v>
      </c>
      <c r="T686">
        <v>10000</v>
      </c>
      <c r="U686">
        <v>10000</v>
      </c>
      <c r="V686">
        <v>19000</v>
      </c>
      <c r="W686">
        <v>13000</v>
      </c>
      <c r="X686">
        <v>8000</v>
      </c>
      <c r="Y686">
        <v>0</v>
      </c>
    </row>
    <row r="687" spans="1:25" x14ac:dyDescent="0.3">
      <c r="A687">
        <v>686</v>
      </c>
      <c r="B687">
        <v>360000</v>
      </c>
      <c r="C687">
        <v>1</v>
      </c>
      <c r="D687">
        <v>1</v>
      </c>
      <c r="E687">
        <v>1</v>
      </c>
      <c r="F687">
        <v>47</v>
      </c>
      <c r="G687">
        <v>-1</v>
      </c>
      <c r="H687">
        <v>-1</v>
      </c>
      <c r="I687">
        <v>-1</v>
      </c>
      <c r="J687">
        <v>0</v>
      </c>
      <c r="K687">
        <v>-1</v>
      </c>
      <c r="L687">
        <v>-1</v>
      </c>
      <c r="M687">
        <v>1548</v>
      </c>
      <c r="N687">
        <v>-32</v>
      </c>
      <c r="O687">
        <v>177639</v>
      </c>
      <c r="P687">
        <v>174397</v>
      </c>
      <c r="Q687">
        <v>4852</v>
      </c>
      <c r="R687">
        <v>4125</v>
      </c>
      <c r="S687">
        <v>0</v>
      </c>
      <c r="T687">
        <v>177671</v>
      </c>
      <c r="U687">
        <v>3508</v>
      </c>
      <c r="V687">
        <v>4876</v>
      </c>
      <c r="W687">
        <v>4188</v>
      </c>
      <c r="X687">
        <v>10007</v>
      </c>
      <c r="Y687">
        <v>0</v>
      </c>
    </row>
    <row r="688" spans="1:25" x14ac:dyDescent="0.3">
      <c r="A688">
        <v>687</v>
      </c>
      <c r="B688">
        <v>20000</v>
      </c>
      <c r="C688">
        <v>2</v>
      </c>
      <c r="D688">
        <v>3</v>
      </c>
      <c r="E688">
        <v>1</v>
      </c>
      <c r="F688">
        <v>41</v>
      </c>
      <c r="G688">
        <v>-1</v>
      </c>
      <c r="H688">
        <v>-1</v>
      </c>
      <c r="I688">
        <v>-1</v>
      </c>
      <c r="J688">
        <v>0</v>
      </c>
      <c r="K688">
        <v>0</v>
      </c>
      <c r="L688">
        <v>0</v>
      </c>
      <c r="M688">
        <v>780</v>
      </c>
      <c r="N688">
        <v>0</v>
      </c>
      <c r="O688">
        <v>732</v>
      </c>
      <c r="P688">
        <v>642</v>
      </c>
      <c r="Q688">
        <v>1252</v>
      </c>
      <c r="R688">
        <v>643</v>
      </c>
      <c r="S688">
        <v>0</v>
      </c>
      <c r="T688">
        <v>732</v>
      </c>
      <c r="U688">
        <v>300</v>
      </c>
      <c r="V688">
        <v>1000</v>
      </c>
      <c r="W688">
        <v>500</v>
      </c>
      <c r="X688">
        <v>1000</v>
      </c>
      <c r="Y688">
        <v>1</v>
      </c>
    </row>
    <row r="689" spans="1:25" x14ac:dyDescent="0.3">
      <c r="A689">
        <v>688</v>
      </c>
      <c r="B689">
        <v>170000</v>
      </c>
      <c r="C689">
        <v>2</v>
      </c>
      <c r="D689">
        <v>2</v>
      </c>
      <c r="E689">
        <v>2</v>
      </c>
      <c r="F689">
        <v>27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162671</v>
      </c>
      <c r="N689">
        <v>166202</v>
      </c>
      <c r="O689">
        <v>161973</v>
      </c>
      <c r="P689">
        <v>167201</v>
      </c>
      <c r="Q689">
        <v>161327</v>
      </c>
      <c r="R689">
        <v>171863</v>
      </c>
      <c r="S689">
        <v>7500</v>
      </c>
      <c r="T689">
        <v>6000</v>
      </c>
      <c r="U689">
        <v>10000</v>
      </c>
      <c r="V689">
        <v>7000</v>
      </c>
      <c r="W689">
        <v>16000</v>
      </c>
      <c r="X689">
        <v>6200</v>
      </c>
      <c r="Y689">
        <v>0</v>
      </c>
    </row>
    <row r="690" spans="1:25" x14ac:dyDescent="0.3">
      <c r="A690">
        <v>689</v>
      </c>
      <c r="B690">
        <v>140000</v>
      </c>
      <c r="C690">
        <v>1</v>
      </c>
      <c r="D690">
        <v>1</v>
      </c>
      <c r="E690">
        <v>1</v>
      </c>
      <c r="F690">
        <v>40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123049</v>
      </c>
      <c r="N690">
        <v>125616</v>
      </c>
      <c r="O690">
        <v>129695</v>
      </c>
      <c r="P690">
        <v>130735</v>
      </c>
      <c r="Q690">
        <v>133467</v>
      </c>
      <c r="R690">
        <v>136287</v>
      </c>
      <c r="S690">
        <v>4310</v>
      </c>
      <c r="T690">
        <v>5913</v>
      </c>
      <c r="U690">
        <v>4426</v>
      </c>
      <c r="V690">
        <v>4580</v>
      </c>
      <c r="W690">
        <v>4770</v>
      </c>
      <c r="X690">
        <v>4767</v>
      </c>
      <c r="Y690">
        <v>0</v>
      </c>
    </row>
    <row r="691" spans="1:25" x14ac:dyDescent="0.3">
      <c r="A691">
        <v>690</v>
      </c>
      <c r="B691">
        <v>80000</v>
      </c>
      <c r="C691">
        <v>1</v>
      </c>
      <c r="D691">
        <v>2</v>
      </c>
      <c r="E691">
        <v>2</v>
      </c>
      <c r="F691">
        <v>32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51372</v>
      </c>
      <c r="N691">
        <v>51872</v>
      </c>
      <c r="O691">
        <v>47593</v>
      </c>
      <c r="P691">
        <v>43882</v>
      </c>
      <c r="Q691">
        <v>42256</v>
      </c>
      <c r="R691">
        <v>42527</v>
      </c>
      <c r="S691">
        <v>1853</v>
      </c>
      <c r="T691">
        <v>1700</v>
      </c>
      <c r="U691">
        <v>1522</v>
      </c>
      <c r="V691">
        <v>1548</v>
      </c>
      <c r="W691">
        <v>1488</v>
      </c>
      <c r="X691">
        <v>1500</v>
      </c>
      <c r="Y691">
        <v>0</v>
      </c>
    </row>
    <row r="692" spans="1:25" x14ac:dyDescent="0.3">
      <c r="A692">
        <v>691</v>
      </c>
      <c r="B692">
        <v>150000</v>
      </c>
      <c r="C692">
        <v>1</v>
      </c>
      <c r="D692">
        <v>2</v>
      </c>
      <c r="E692">
        <v>2</v>
      </c>
      <c r="F692">
        <v>35</v>
      </c>
      <c r="G692">
        <v>0</v>
      </c>
      <c r="H692">
        <v>0</v>
      </c>
      <c r="I692">
        <v>0</v>
      </c>
      <c r="J692">
        <v>-1</v>
      </c>
      <c r="K692">
        <v>-1</v>
      </c>
      <c r="L692">
        <v>-1</v>
      </c>
      <c r="M692">
        <v>60015</v>
      </c>
      <c r="N692">
        <v>72227</v>
      </c>
      <c r="O692">
        <v>51364</v>
      </c>
      <c r="P692">
        <v>54340</v>
      </c>
      <c r="Q692">
        <v>0</v>
      </c>
      <c r="R692">
        <v>2129</v>
      </c>
      <c r="S692">
        <v>20000</v>
      </c>
      <c r="T692">
        <v>30000</v>
      </c>
      <c r="U692">
        <v>54340</v>
      </c>
      <c r="V692">
        <v>0</v>
      </c>
      <c r="W692">
        <v>2129</v>
      </c>
      <c r="X692">
        <v>0</v>
      </c>
      <c r="Y692">
        <v>0</v>
      </c>
    </row>
    <row r="693" spans="1:25" x14ac:dyDescent="0.3">
      <c r="A693">
        <v>692</v>
      </c>
      <c r="B693">
        <v>170000</v>
      </c>
      <c r="C693">
        <v>1</v>
      </c>
      <c r="D693">
        <v>2</v>
      </c>
      <c r="E693">
        <v>2</v>
      </c>
      <c r="F693">
        <v>27</v>
      </c>
      <c r="G693">
        <v>-1</v>
      </c>
      <c r="H693">
        <v>2</v>
      </c>
      <c r="I693">
        <v>2</v>
      </c>
      <c r="J693">
        <v>-2</v>
      </c>
      <c r="K693">
        <v>-2</v>
      </c>
      <c r="L693">
        <v>-2</v>
      </c>
      <c r="M693">
        <v>1170</v>
      </c>
      <c r="N693">
        <v>780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</row>
    <row r="694" spans="1:25" x14ac:dyDescent="0.3">
      <c r="A694">
        <v>693</v>
      </c>
      <c r="B694">
        <v>200000</v>
      </c>
      <c r="C694">
        <v>2</v>
      </c>
      <c r="D694">
        <v>2</v>
      </c>
      <c r="E694">
        <v>1</v>
      </c>
      <c r="F694">
        <v>29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159398</v>
      </c>
      <c r="N694">
        <v>156955</v>
      </c>
      <c r="O694">
        <v>132144</v>
      </c>
      <c r="P694">
        <v>119136</v>
      </c>
      <c r="Q694">
        <v>122211</v>
      </c>
      <c r="R694">
        <v>125021</v>
      </c>
      <c r="S694">
        <v>6163</v>
      </c>
      <c r="T694">
        <v>4530</v>
      </c>
      <c r="U694">
        <v>4500</v>
      </c>
      <c r="V694">
        <v>5000</v>
      </c>
      <c r="W694">
        <v>5000</v>
      </c>
      <c r="X694">
        <v>5000</v>
      </c>
      <c r="Y694">
        <v>1</v>
      </c>
    </row>
    <row r="695" spans="1:25" x14ac:dyDescent="0.3">
      <c r="A695">
        <v>694</v>
      </c>
      <c r="B695">
        <v>70000</v>
      </c>
      <c r="C695">
        <v>1</v>
      </c>
      <c r="D695">
        <v>1</v>
      </c>
      <c r="E695">
        <v>2</v>
      </c>
      <c r="F695">
        <v>30</v>
      </c>
      <c r="G695">
        <v>0</v>
      </c>
      <c r="H695">
        <v>0</v>
      </c>
      <c r="I695">
        <v>2</v>
      </c>
      <c r="J695">
        <v>0</v>
      </c>
      <c r="K695">
        <v>0</v>
      </c>
      <c r="L695">
        <v>2</v>
      </c>
      <c r="M695">
        <v>55664</v>
      </c>
      <c r="N695">
        <v>59529</v>
      </c>
      <c r="O695">
        <v>57571</v>
      </c>
      <c r="P695">
        <v>57871</v>
      </c>
      <c r="Q695">
        <v>60872</v>
      </c>
      <c r="R695">
        <v>59329</v>
      </c>
      <c r="S695">
        <v>5800</v>
      </c>
      <c r="T695">
        <v>0</v>
      </c>
      <c r="U695">
        <v>2250</v>
      </c>
      <c r="V695">
        <v>4500</v>
      </c>
      <c r="W695">
        <v>0</v>
      </c>
      <c r="X695">
        <v>2500</v>
      </c>
      <c r="Y695">
        <v>0</v>
      </c>
    </row>
    <row r="696" spans="1:25" x14ac:dyDescent="0.3">
      <c r="A696">
        <v>695</v>
      </c>
      <c r="B696">
        <v>320000</v>
      </c>
      <c r="C696">
        <v>1</v>
      </c>
      <c r="D696">
        <v>2</v>
      </c>
      <c r="E696">
        <v>1</v>
      </c>
      <c r="F696">
        <v>37</v>
      </c>
      <c r="G696">
        <v>-2</v>
      </c>
      <c r="H696">
        <v>-2</v>
      </c>
      <c r="I696">
        <v>-2</v>
      </c>
      <c r="J696">
        <v>-2</v>
      </c>
      <c r="K696">
        <v>-2</v>
      </c>
      <c r="L696">
        <v>-2</v>
      </c>
      <c r="M696">
        <v>43528</v>
      </c>
      <c r="N696">
        <v>498</v>
      </c>
      <c r="O696">
        <v>429</v>
      </c>
      <c r="P696">
        <v>14257</v>
      </c>
      <c r="Q696">
        <v>5417</v>
      </c>
      <c r="R696">
        <v>2967</v>
      </c>
      <c r="S696">
        <v>500</v>
      </c>
      <c r="T696">
        <v>431</v>
      </c>
      <c r="U696">
        <v>14328</v>
      </c>
      <c r="V696">
        <v>5439</v>
      </c>
      <c r="W696">
        <v>2980</v>
      </c>
      <c r="X696">
        <v>5028</v>
      </c>
      <c r="Y696">
        <v>0</v>
      </c>
    </row>
    <row r="697" spans="1:25" x14ac:dyDescent="0.3">
      <c r="A697">
        <v>696</v>
      </c>
      <c r="B697">
        <v>150000</v>
      </c>
      <c r="C697">
        <v>2</v>
      </c>
      <c r="D697">
        <v>1</v>
      </c>
      <c r="E697">
        <v>2</v>
      </c>
      <c r="F697">
        <v>29</v>
      </c>
      <c r="G697">
        <v>-2</v>
      </c>
      <c r="H697">
        <v>-2</v>
      </c>
      <c r="I697">
        <v>-2</v>
      </c>
      <c r="J697">
        <v>-2</v>
      </c>
      <c r="K697">
        <v>-2</v>
      </c>
      <c r="L697">
        <v>-2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</row>
    <row r="698" spans="1:25" x14ac:dyDescent="0.3">
      <c r="A698">
        <v>697</v>
      </c>
      <c r="B698">
        <v>50000</v>
      </c>
      <c r="C698">
        <v>2</v>
      </c>
      <c r="D698">
        <v>1</v>
      </c>
      <c r="E698">
        <v>1</v>
      </c>
      <c r="F698">
        <v>34</v>
      </c>
      <c r="G698">
        <v>0</v>
      </c>
      <c r="H698">
        <v>0</v>
      </c>
      <c r="I698">
        <v>0</v>
      </c>
      <c r="J698">
        <v>-1</v>
      </c>
      <c r="K698">
        <v>0</v>
      </c>
      <c r="L698">
        <v>0</v>
      </c>
      <c r="M698">
        <v>27966</v>
      </c>
      <c r="N698">
        <v>28539</v>
      </c>
      <c r="O698">
        <v>11597</v>
      </c>
      <c r="P698">
        <v>6611</v>
      </c>
      <c r="Q698">
        <v>7349</v>
      </c>
      <c r="R698">
        <v>7570</v>
      </c>
      <c r="S698">
        <v>1267</v>
      </c>
      <c r="T698">
        <v>1553</v>
      </c>
      <c r="U698">
        <v>7511</v>
      </c>
      <c r="V698">
        <v>1000</v>
      </c>
      <c r="W698">
        <v>343</v>
      </c>
      <c r="X698">
        <v>1000</v>
      </c>
      <c r="Y698">
        <v>0</v>
      </c>
    </row>
    <row r="699" spans="1:25" x14ac:dyDescent="0.3">
      <c r="A699">
        <v>698</v>
      </c>
      <c r="B699">
        <v>90000</v>
      </c>
      <c r="C699">
        <v>2</v>
      </c>
      <c r="D699">
        <v>2</v>
      </c>
      <c r="E699">
        <v>2</v>
      </c>
      <c r="F699">
        <v>34</v>
      </c>
      <c r="G699">
        <v>-1</v>
      </c>
      <c r="H699">
        <v>2</v>
      </c>
      <c r="I699">
        <v>2</v>
      </c>
      <c r="J699">
        <v>-2</v>
      </c>
      <c r="K699">
        <v>-2</v>
      </c>
      <c r="L699">
        <v>-2</v>
      </c>
      <c r="M699">
        <v>8792</v>
      </c>
      <c r="N699">
        <v>7500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</row>
    <row r="700" spans="1:25" x14ac:dyDescent="0.3">
      <c r="A700">
        <v>699</v>
      </c>
      <c r="B700">
        <v>280000</v>
      </c>
      <c r="C700">
        <v>1</v>
      </c>
      <c r="D700">
        <v>1</v>
      </c>
      <c r="E700">
        <v>1</v>
      </c>
      <c r="F700">
        <v>41</v>
      </c>
      <c r="G700">
        <v>-2</v>
      </c>
      <c r="H700">
        <v>-2</v>
      </c>
      <c r="I700">
        <v>-2</v>
      </c>
      <c r="J700">
        <v>-2</v>
      </c>
      <c r="K700">
        <v>-1</v>
      </c>
      <c r="L700">
        <v>0</v>
      </c>
      <c r="M700">
        <v>28026</v>
      </c>
      <c r="N700">
        <v>41302</v>
      </c>
      <c r="O700">
        <v>51500</v>
      </c>
      <c r="P700">
        <v>35752</v>
      </c>
      <c r="Q700">
        <v>3955</v>
      </c>
      <c r="R700">
        <v>13969</v>
      </c>
      <c r="S700">
        <v>41346</v>
      </c>
      <c r="T700">
        <v>52110</v>
      </c>
      <c r="U700">
        <v>35752</v>
      </c>
      <c r="V700">
        <v>3955</v>
      </c>
      <c r="W700">
        <v>13939</v>
      </c>
      <c r="X700">
        <v>4437</v>
      </c>
      <c r="Y700">
        <v>0</v>
      </c>
    </row>
    <row r="701" spans="1:25" x14ac:dyDescent="0.3">
      <c r="A701">
        <v>700</v>
      </c>
      <c r="B701">
        <v>300000</v>
      </c>
      <c r="C701">
        <v>2</v>
      </c>
      <c r="D701">
        <v>1</v>
      </c>
      <c r="E701">
        <v>2</v>
      </c>
      <c r="F701">
        <v>31</v>
      </c>
      <c r="G701">
        <v>0</v>
      </c>
      <c r="H701">
        <v>0</v>
      </c>
      <c r="I701">
        <v>0</v>
      </c>
      <c r="J701">
        <v>0</v>
      </c>
      <c r="K701">
        <v>2</v>
      </c>
      <c r="L701">
        <v>-1</v>
      </c>
      <c r="M701">
        <v>43610</v>
      </c>
      <c r="N701">
        <v>43280</v>
      </c>
      <c r="O701">
        <v>36156</v>
      </c>
      <c r="P701">
        <v>30305</v>
      </c>
      <c r="Q701">
        <v>30155</v>
      </c>
      <c r="R701">
        <v>561</v>
      </c>
      <c r="S701">
        <v>1655</v>
      </c>
      <c r="T701">
        <v>1797</v>
      </c>
      <c r="U701">
        <v>750</v>
      </c>
      <c r="V701">
        <v>0</v>
      </c>
      <c r="W701">
        <v>561</v>
      </c>
      <c r="X701">
        <v>500</v>
      </c>
      <c r="Y701">
        <v>0</v>
      </c>
    </row>
    <row r="702" spans="1:25" x14ac:dyDescent="0.3">
      <c r="A702">
        <v>701</v>
      </c>
      <c r="B702">
        <v>400000</v>
      </c>
      <c r="C702">
        <v>2</v>
      </c>
      <c r="D702">
        <v>2</v>
      </c>
      <c r="E702">
        <v>2</v>
      </c>
      <c r="F702">
        <v>40</v>
      </c>
      <c r="G702">
        <v>-2</v>
      </c>
      <c r="H702">
        <v>-2</v>
      </c>
      <c r="I702">
        <v>-2</v>
      </c>
      <c r="J702">
        <v>-2</v>
      </c>
      <c r="K702">
        <v>-1</v>
      </c>
      <c r="L702">
        <v>-1</v>
      </c>
      <c r="M702">
        <v>0</v>
      </c>
      <c r="N702">
        <v>8235</v>
      </c>
      <c r="O702">
        <v>0</v>
      </c>
      <c r="P702">
        <v>0</v>
      </c>
      <c r="Q702">
        <v>1524</v>
      </c>
      <c r="R702">
        <v>0</v>
      </c>
      <c r="S702">
        <v>8235</v>
      </c>
      <c r="T702">
        <v>0</v>
      </c>
      <c r="U702">
        <v>0</v>
      </c>
      <c r="V702">
        <v>1524</v>
      </c>
      <c r="W702">
        <v>0</v>
      </c>
      <c r="X702">
        <v>385</v>
      </c>
      <c r="Y702">
        <v>0</v>
      </c>
    </row>
    <row r="703" spans="1:25" x14ac:dyDescent="0.3">
      <c r="A703">
        <v>702</v>
      </c>
      <c r="B703">
        <v>200000</v>
      </c>
      <c r="C703">
        <v>2</v>
      </c>
      <c r="D703">
        <v>1</v>
      </c>
      <c r="E703">
        <v>1</v>
      </c>
      <c r="F703">
        <v>27</v>
      </c>
      <c r="G703">
        <v>-1</v>
      </c>
      <c r="H703">
        <v>-1</v>
      </c>
      <c r="I703">
        <v>-1</v>
      </c>
      <c r="J703">
        <v>-1</v>
      </c>
      <c r="K703">
        <v>-1</v>
      </c>
      <c r="L703">
        <v>-1</v>
      </c>
      <c r="M703">
        <v>5780</v>
      </c>
      <c r="N703">
        <v>105</v>
      </c>
      <c r="O703">
        <v>105</v>
      </c>
      <c r="P703">
        <v>0</v>
      </c>
      <c r="Q703">
        <v>7384</v>
      </c>
      <c r="R703">
        <v>8588</v>
      </c>
      <c r="S703">
        <v>105</v>
      </c>
      <c r="T703">
        <v>105</v>
      </c>
      <c r="U703">
        <v>0</v>
      </c>
      <c r="V703">
        <v>7384</v>
      </c>
      <c r="W703">
        <v>8588</v>
      </c>
      <c r="X703">
        <v>1304</v>
      </c>
      <c r="Y703">
        <v>0</v>
      </c>
    </row>
    <row r="704" spans="1:25" x14ac:dyDescent="0.3">
      <c r="A704">
        <v>703</v>
      </c>
      <c r="B704">
        <v>10000</v>
      </c>
      <c r="C704">
        <v>2</v>
      </c>
      <c r="D704">
        <v>3</v>
      </c>
      <c r="E704">
        <v>2</v>
      </c>
      <c r="F704">
        <v>22</v>
      </c>
      <c r="G704">
        <v>0</v>
      </c>
      <c r="H704">
        <v>0</v>
      </c>
      <c r="I704">
        <v>0</v>
      </c>
      <c r="J704">
        <v>0</v>
      </c>
      <c r="K704">
        <v>-2</v>
      </c>
      <c r="L704">
        <v>-2</v>
      </c>
      <c r="M704">
        <v>8109</v>
      </c>
      <c r="N704">
        <v>9778</v>
      </c>
      <c r="O704">
        <v>8259</v>
      </c>
      <c r="P704">
        <v>0</v>
      </c>
      <c r="Q704">
        <v>0</v>
      </c>
      <c r="R704">
        <v>0</v>
      </c>
      <c r="S704">
        <v>2000</v>
      </c>
      <c r="T704">
        <v>1036</v>
      </c>
      <c r="U704">
        <v>0</v>
      </c>
      <c r="V704">
        <v>0</v>
      </c>
      <c r="W704">
        <v>0</v>
      </c>
      <c r="X704">
        <v>0</v>
      </c>
      <c r="Y704">
        <v>1</v>
      </c>
    </row>
    <row r="705" spans="1:25" x14ac:dyDescent="0.3">
      <c r="A705">
        <v>704</v>
      </c>
      <c r="B705">
        <v>50000</v>
      </c>
      <c r="C705">
        <v>2</v>
      </c>
      <c r="D705">
        <v>2</v>
      </c>
      <c r="E705">
        <v>3</v>
      </c>
      <c r="F705">
        <v>30</v>
      </c>
      <c r="G705">
        <v>1</v>
      </c>
      <c r="H705">
        <v>3</v>
      </c>
      <c r="I705">
        <v>2</v>
      </c>
      <c r="J705">
        <v>0</v>
      </c>
      <c r="K705">
        <v>0</v>
      </c>
      <c r="L705">
        <v>0</v>
      </c>
      <c r="M705">
        <v>52515</v>
      </c>
      <c r="N705">
        <v>51424</v>
      </c>
      <c r="O705">
        <v>49967</v>
      </c>
      <c r="P705">
        <v>20036</v>
      </c>
      <c r="Q705">
        <v>20076</v>
      </c>
      <c r="R705">
        <v>37615</v>
      </c>
      <c r="S705">
        <v>0</v>
      </c>
      <c r="T705">
        <v>0</v>
      </c>
      <c r="U705">
        <v>2000</v>
      </c>
      <c r="V705">
        <v>1000</v>
      </c>
      <c r="W705">
        <v>1000</v>
      </c>
      <c r="X705">
        <v>1600</v>
      </c>
      <c r="Y705">
        <v>1</v>
      </c>
    </row>
    <row r="706" spans="1:25" x14ac:dyDescent="0.3">
      <c r="A706">
        <v>705</v>
      </c>
      <c r="B706">
        <v>30000</v>
      </c>
      <c r="C706">
        <v>2</v>
      </c>
      <c r="D706">
        <v>2</v>
      </c>
      <c r="E706">
        <v>3</v>
      </c>
      <c r="F706">
        <v>22</v>
      </c>
      <c r="G706">
        <v>1</v>
      </c>
      <c r="H706">
        <v>2</v>
      </c>
      <c r="I706">
        <v>4</v>
      </c>
      <c r="J706">
        <v>3</v>
      </c>
      <c r="K706">
        <v>2</v>
      </c>
      <c r="L706">
        <v>2</v>
      </c>
      <c r="M706">
        <v>22582</v>
      </c>
      <c r="N706">
        <v>26518</v>
      </c>
      <c r="O706">
        <v>25814</v>
      </c>
      <c r="P706">
        <v>25110</v>
      </c>
      <c r="Q706">
        <v>24569</v>
      </c>
      <c r="R706">
        <v>26357</v>
      </c>
      <c r="S706">
        <v>4600</v>
      </c>
      <c r="T706">
        <v>0</v>
      </c>
      <c r="U706">
        <v>0</v>
      </c>
      <c r="V706">
        <v>0</v>
      </c>
      <c r="W706">
        <v>2200</v>
      </c>
      <c r="X706">
        <v>2500</v>
      </c>
      <c r="Y706">
        <v>0</v>
      </c>
    </row>
    <row r="707" spans="1:25" x14ac:dyDescent="0.3">
      <c r="A707">
        <v>706</v>
      </c>
      <c r="B707">
        <v>50000</v>
      </c>
      <c r="C707">
        <v>1</v>
      </c>
      <c r="D707">
        <v>1</v>
      </c>
      <c r="E707">
        <v>2</v>
      </c>
      <c r="F707">
        <v>26</v>
      </c>
      <c r="G707">
        <v>-1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15448</v>
      </c>
      <c r="N707">
        <v>16392</v>
      </c>
      <c r="O707">
        <v>18096</v>
      </c>
      <c r="P707">
        <v>18425</v>
      </c>
      <c r="Q707">
        <v>18619</v>
      </c>
      <c r="R707">
        <v>19060</v>
      </c>
      <c r="S707">
        <v>1500</v>
      </c>
      <c r="T707">
        <v>2000</v>
      </c>
      <c r="U707">
        <v>1500</v>
      </c>
      <c r="V707">
        <v>1200</v>
      </c>
      <c r="W707">
        <v>900</v>
      </c>
      <c r="X707">
        <v>1000</v>
      </c>
      <c r="Y707">
        <v>1</v>
      </c>
    </row>
    <row r="708" spans="1:25" x14ac:dyDescent="0.3">
      <c r="A708">
        <v>707</v>
      </c>
      <c r="B708">
        <v>50000</v>
      </c>
      <c r="C708">
        <v>1</v>
      </c>
      <c r="D708">
        <v>2</v>
      </c>
      <c r="E708">
        <v>1</v>
      </c>
      <c r="F708">
        <v>38</v>
      </c>
      <c r="G708">
        <v>1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58102</v>
      </c>
      <c r="N708">
        <v>59011</v>
      </c>
      <c r="O708">
        <v>56272</v>
      </c>
      <c r="P708">
        <v>53663</v>
      </c>
      <c r="Q708">
        <v>51507</v>
      </c>
      <c r="R708">
        <v>50616</v>
      </c>
      <c r="S708">
        <v>2500</v>
      </c>
      <c r="T708">
        <v>2500</v>
      </c>
      <c r="U708">
        <v>2000</v>
      </c>
      <c r="V708">
        <v>2000</v>
      </c>
      <c r="W708">
        <v>3200</v>
      </c>
      <c r="X708">
        <v>2000</v>
      </c>
      <c r="Y708">
        <v>0</v>
      </c>
    </row>
    <row r="709" spans="1:25" x14ac:dyDescent="0.3">
      <c r="A709">
        <v>708</v>
      </c>
      <c r="B709">
        <v>30000</v>
      </c>
      <c r="C709">
        <v>2</v>
      </c>
      <c r="D709">
        <v>3</v>
      </c>
      <c r="E709">
        <v>1</v>
      </c>
      <c r="F709">
        <v>46</v>
      </c>
      <c r="G709">
        <v>1</v>
      </c>
      <c r="H709">
        <v>2</v>
      </c>
      <c r="I709">
        <v>2</v>
      </c>
      <c r="J709">
        <v>2</v>
      </c>
      <c r="K709">
        <v>2</v>
      </c>
      <c r="L709">
        <v>2</v>
      </c>
      <c r="M709">
        <v>12289</v>
      </c>
      <c r="N709">
        <v>11806</v>
      </c>
      <c r="O709">
        <v>13268</v>
      </c>
      <c r="P709">
        <v>12758</v>
      </c>
      <c r="Q709">
        <v>13549</v>
      </c>
      <c r="R709">
        <v>14673</v>
      </c>
      <c r="S709">
        <v>0</v>
      </c>
      <c r="T709">
        <v>1970</v>
      </c>
      <c r="U709">
        <v>0</v>
      </c>
      <c r="V709">
        <v>1000</v>
      </c>
      <c r="W709">
        <v>1500</v>
      </c>
      <c r="X709">
        <v>0</v>
      </c>
      <c r="Y709">
        <v>0</v>
      </c>
    </row>
    <row r="710" spans="1:25" x14ac:dyDescent="0.3">
      <c r="A710">
        <v>709</v>
      </c>
      <c r="B710">
        <v>20000</v>
      </c>
      <c r="C710">
        <v>1</v>
      </c>
      <c r="D710">
        <v>2</v>
      </c>
      <c r="E710">
        <v>2</v>
      </c>
      <c r="F710">
        <v>24</v>
      </c>
      <c r="G710">
        <v>0</v>
      </c>
      <c r="H710">
        <v>0</v>
      </c>
      <c r="I710">
        <v>-1</v>
      </c>
      <c r="J710">
        <v>2</v>
      </c>
      <c r="K710">
        <v>0</v>
      </c>
      <c r="L710">
        <v>0</v>
      </c>
      <c r="M710">
        <v>10476</v>
      </c>
      <c r="N710">
        <v>7279</v>
      </c>
      <c r="O710">
        <v>688</v>
      </c>
      <c r="P710">
        <v>688</v>
      </c>
      <c r="Q710">
        <v>688</v>
      </c>
      <c r="R710">
        <v>1320</v>
      </c>
      <c r="S710">
        <v>1000</v>
      </c>
      <c r="T710">
        <v>688</v>
      </c>
      <c r="U710">
        <v>0</v>
      </c>
      <c r="V710">
        <v>0</v>
      </c>
      <c r="W710">
        <v>650</v>
      </c>
      <c r="X710">
        <v>0</v>
      </c>
      <c r="Y710">
        <v>0</v>
      </c>
    </row>
    <row r="711" spans="1:25" x14ac:dyDescent="0.3">
      <c r="A711">
        <v>710</v>
      </c>
      <c r="B711">
        <v>20000</v>
      </c>
      <c r="C711">
        <v>1</v>
      </c>
      <c r="D711">
        <v>2</v>
      </c>
      <c r="E711">
        <v>2</v>
      </c>
      <c r="F711">
        <v>49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16326</v>
      </c>
      <c r="N711">
        <v>17497</v>
      </c>
      <c r="O711">
        <v>18456</v>
      </c>
      <c r="P711">
        <v>18424</v>
      </c>
      <c r="Q711">
        <v>18800</v>
      </c>
      <c r="R711">
        <v>10000</v>
      </c>
      <c r="S711">
        <v>1441</v>
      </c>
      <c r="T711">
        <v>1400</v>
      </c>
      <c r="U711">
        <v>368</v>
      </c>
      <c r="V711">
        <v>376</v>
      </c>
      <c r="W711">
        <v>200</v>
      </c>
      <c r="X711">
        <v>0</v>
      </c>
      <c r="Y711">
        <v>0</v>
      </c>
    </row>
    <row r="712" spans="1:25" x14ac:dyDescent="0.3">
      <c r="A712">
        <v>711</v>
      </c>
      <c r="B712">
        <v>50000</v>
      </c>
      <c r="C712">
        <v>1</v>
      </c>
      <c r="D712">
        <v>1</v>
      </c>
      <c r="E712">
        <v>3</v>
      </c>
      <c r="F712">
        <v>49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17681</v>
      </c>
      <c r="N712">
        <v>18249</v>
      </c>
      <c r="O712">
        <v>18054</v>
      </c>
      <c r="P712">
        <v>18569</v>
      </c>
      <c r="Q712">
        <v>19152</v>
      </c>
      <c r="R712">
        <v>18088</v>
      </c>
      <c r="S712">
        <v>1611</v>
      </c>
      <c r="T712">
        <v>2000</v>
      </c>
      <c r="U712">
        <v>780</v>
      </c>
      <c r="V712">
        <v>1000</v>
      </c>
      <c r="W712">
        <v>1000</v>
      </c>
      <c r="X712">
        <v>2000</v>
      </c>
      <c r="Y712">
        <v>0</v>
      </c>
    </row>
    <row r="713" spans="1:25" x14ac:dyDescent="0.3">
      <c r="A713">
        <v>712</v>
      </c>
      <c r="B713">
        <v>30000</v>
      </c>
      <c r="C713">
        <v>2</v>
      </c>
      <c r="D713">
        <v>2</v>
      </c>
      <c r="E713">
        <v>1</v>
      </c>
      <c r="F713">
        <v>42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47912</v>
      </c>
      <c r="N713">
        <v>25023</v>
      </c>
      <c r="O713">
        <v>25768</v>
      </c>
      <c r="P713">
        <v>26410</v>
      </c>
      <c r="Q713">
        <v>27960</v>
      </c>
      <c r="R713">
        <v>46254</v>
      </c>
      <c r="S713">
        <v>1755</v>
      </c>
      <c r="T713">
        <v>1500</v>
      </c>
      <c r="U713">
        <v>1000</v>
      </c>
      <c r="V713">
        <v>1909</v>
      </c>
      <c r="W713">
        <v>1000</v>
      </c>
      <c r="X713">
        <v>2000</v>
      </c>
      <c r="Y713">
        <v>0</v>
      </c>
    </row>
    <row r="714" spans="1:25" x14ac:dyDescent="0.3">
      <c r="A714">
        <v>713</v>
      </c>
      <c r="B714">
        <v>360000</v>
      </c>
      <c r="C714">
        <v>2</v>
      </c>
      <c r="D714">
        <v>1</v>
      </c>
      <c r="E714">
        <v>1</v>
      </c>
      <c r="F714">
        <v>30</v>
      </c>
      <c r="G714">
        <v>1</v>
      </c>
      <c r="H714">
        <v>2</v>
      </c>
      <c r="I714">
        <v>-1</v>
      </c>
      <c r="J714">
        <v>0</v>
      </c>
      <c r="K714">
        <v>-1</v>
      </c>
      <c r="L714">
        <v>-1</v>
      </c>
      <c r="M714">
        <v>18886</v>
      </c>
      <c r="N714">
        <v>14249</v>
      </c>
      <c r="O714">
        <v>3821</v>
      </c>
      <c r="P714">
        <v>2404</v>
      </c>
      <c r="Q714">
        <v>319</v>
      </c>
      <c r="R714">
        <v>0</v>
      </c>
      <c r="S714">
        <v>0</v>
      </c>
      <c r="T714">
        <v>3828</v>
      </c>
      <c r="U714">
        <v>2000</v>
      </c>
      <c r="V714">
        <v>319</v>
      </c>
      <c r="W714">
        <v>0</v>
      </c>
      <c r="X714">
        <v>0</v>
      </c>
      <c r="Y714">
        <v>0</v>
      </c>
    </row>
    <row r="715" spans="1:25" x14ac:dyDescent="0.3">
      <c r="A715">
        <v>714</v>
      </c>
      <c r="B715">
        <v>170000</v>
      </c>
      <c r="C715">
        <v>1</v>
      </c>
      <c r="D715">
        <v>2</v>
      </c>
      <c r="E715">
        <v>1</v>
      </c>
      <c r="F715">
        <v>42</v>
      </c>
      <c r="G715">
        <v>1</v>
      </c>
      <c r="H715">
        <v>-1</v>
      </c>
      <c r="I715">
        <v>-1</v>
      </c>
      <c r="J715">
        <v>-2</v>
      </c>
      <c r="K715">
        <v>-2</v>
      </c>
      <c r="L715">
        <v>-1</v>
      </c>
      <c r="M715">
        <v>0</v>
      </c>
      <c r="N715">
        <v>1690</v>
      </c>
      <c r="O715">
        <v>0</v>
      </c>
      <c r="P715">
        <v>0</v>
      </c>
      <c r="Q715">
        <v>0</v>
      </c>
      <c r="R715">
        <v>4750</v>
      </c>
      <c r="S715">
        <v>1690</v>
      </c>
      <c r="T715">
        <v>0</v>
      </c>
      <c r="U715">
        <v>0</v>
      </c>
      <c r="V715">
        <v>0</v>
      </c>
      <c r="W715">
        <v>4750</v>
      </c>
      <c r="X715">
        <v>0</v>
      </c>
      <c r="Y715">
        <v>0</v>
      </c>
    </row>
    <row r="716" spans="1:25" x14ac:dyDescent="0.3">
      <c r="A716">
        <v>715</v>
      </c>
      <c r="B716">
        <v>400000</v>
      </c>
      <c r="C716">
        <v>2</v>
      </c>
      <c r="D716">
        <v>1</v>
      </c>
      <c r="E716">
        <v>2</v>
      </c>
      <c r="F716">
        <v>31</v>
      </c>
      <c r="G716">
        <v>-2</v>
      </c>
      <c r="H716">
        <v>-2</v>
      </c>
      <c r="I716">
        <v>-2</v>
      </c>
      <c r="J716">
        <v>-2</v>
      </c>
      <c r="K716">
        <v>-2</v>
      </c>
      <c r="L716">
        <v>-2</v>
      </c>
      <c r="M716">
        <v>203</v>
      </c>
      <c r="N716">
        <v>767</v>
      </c>
      <c r="O716">
        <v>664</v>
      </c>
      <c r="P716">
        <v>1250</v>
      </c>
      <c r="Q716">
        <v>-10</v>
      </c>
      <c r="R716">
        <v>2174</v>
      </c>
      <c r="S716">
        <v>770</v>
      </c>
      <c r="T716">
        <v>667</v>
      </c>
      <c r="U716">
        <v>1256</v>
      </c>
      <c r="V716">
        <v>0</v>
      </c>
      <c r="W716">
        <v>2184</v>
      </c>
      <c r="X716">
        <v>0</v>
      </c>
      <c r="Y716">
        <v>0</v>
      </c>
    </row>
    <row r="717" spans="1:25" x14ac:dyDescent="0.3">
      <c r="A717">
        <v>716</v>
      </c>
      <c r="B717">
        <v>50000</v>
      </c>
      <c r="C717">
        <v>2</v>
      </c>
      <c r="D717">
        <v>2</v>
      </c>
      <c r="E717">
        <v>1</v>
      </c>
      <c r="F717">
        <v>49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34962</v>
      </c>
      <c r="N717">
        <v>32275</v>
      </c>
      <c r="O717">
        <v>31253</v>
      </c>
      <c r="P717">
        <v>32014</v>
      </c>
      <c r="Q717">
        <v>33573</v>
      </c>
      <c r="R717">
        <v>29645</v>
      </c>
      <c r="S717">
        <v>1613</v>
      </c>
      <c r="T717">
        <v>2000</v>
      </c>
      <c r="U717">
        <v>1500</v>
      </c>
      <c r="V717">
        <v>2000</v>
      </c>
      <c r="W717">
        <v>1645</v>
      </c>
      <c r="X717">
        <v>1064</v>
      </c>
      <c r="Y717">
        <v>0</v>
      </c>
    </row>
    <row r="718" spans="1:25" x14ac:dyDescent="0.3">
      <c r="A718">
        <v>717</v>
      </c>
      <c r="B718">
        <v>160000</v>
      </c>
      <c r="C718">
        <v>2</v>
      </c>
      <c r="D718">
        <v>2</v>
      </c>
      <c r="E718">
        <v>2</v>
      </c>
      <c r="F718">
        <v>27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80964</v>
      </c>
      <c r="N718">
        <v>80337</v>
      </c>
      <c r="O718">
        <v>82182</v>
      </c>
      <c r="P718">
        <v>82586</v>
      </c>
      <c r="Q718">
        <v>85145</v>
      </c>
      <c r="R718">
        <v>87049</v>
      </c>
      <c r="S718">
        <v>4000</v>
      </c>
      <c r="T718">
        <v>4000</v>
      </c>
      <c r="U718">
        <v>3500</v>
      </c>
      <c r="V718">
        <v>4000</v>
      </c>
      <c r="W718">
        <v>4000</v>
      </c>
      <c r="X718">
        <v>2500</v>
      </c>
      <c r="Y718">
        <v>0</v>
      </c>
    </row>
    <row r="719" spans="1:25" x14ac:dyDescent="0.3">
      <c r="A719">
        <v>718</v>
      </c>
      <c r="B719">
        <v>70000</v>
      </c>
      <c r="C719">
        <v>2</v>
      </c>
      <c r="D719">
        <v>2</v>
      </c>
      <c r="E719">
        <v>1</v>
      </c>
      <c r="F719">
        <v>33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69418</v>
      </c>
      <c r="N719">
        <v>68943</v>
      </c>
      <c r="O719">
        <v>38783</v>
      </c>
      <c r="P719">
        <v>3758</v>
      </c>
      <c r="Q719">
        <v>1261</v>
      </c>
      <c r="R719">
        <v>0</v>
      </c>
      <c r="S719">
        <v>2382</v>
      </c>
      <c r="T719">
        <v>2025</v>
      </c>
      <c r="U719">
        <v>1000</v>
      </c>
      <c r="V719">
        <v>25</v>
      </c>
      <c r="W719">
        <v>0</v>
      </c>
      <c r="X719">
        <v>1651</v>
      </c>
      <c r="Y719">
        <v>1</v>
      </c>
    </row>
    <row r="720" spans="1:25" x14ac:dyDescent="0.3">
      <c r="A720">
        <v>719</v>
      </c>
      <c r="B720">
        <v>150000</v>
      </c>
      <c r="C720">
        <v>2</v>
      </c>
      <c r="D720">
        <v>1</v>
      </c>
      <c r="E720">
        <v>1</v>
      </c>
      <c r="F720">
        <v>35</v>
      </c>
      <c r="G720">
        <v>1</v>
      </c>
      <c r="H720">
        <v>-2</v>
      </c>
      <c r="I720">
        <v>-2</v>
      </c>
      <c r="J720">
        <v>-2</v>
      </c>
      <c r="K720">
        <v>-2</v>
      </c>
      <c r="L720">
        <v>-2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</row>
    <row r="721" spans="1:25" x14ac:dyDescent="0.3">
      <c r="A721">
        <v>720</v>
      </c>
      <c r="B721">
        <v>80000</v>
      </c>
      <c r="C721">
        <v>2</v>
      </c>
      <c r="D721">
        <v>2</v>
      </c>
      <c r="E721">
        <v>2</v>
      </c>
      <c r="F721">
        <v>48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45174</v>
      </c>
      <c r="N721">
        <v>41885</v>
      </c>
      <c r="O721">
        <v>42832</v>
      </c>
      <c r="P721">
        <v>23799</v>
      </c>
      <c r="Q721">
        <v>11723</v>
      </c>
      <c r="R721">
        <v>27236</v>
      </c>
      <c r="S721">
        <v>3000</v>
      </c>
      <c r="T721">
        <v>3413</v>
      </c>
      <c r="U721">
        <v>2000</v>
      </c>
      <c r="V721">
        <v>5000</v>
      </c>
      <c r="W721">
        <v>17236</v>
      </c>
      <c r="X721">
        <v>2000</v>
      </c>
      <c r="Y721">
        <v>0</v>
      </c>
    </row>
    <row r="722" spans="1:25" x14ac:dyDescent="0.3">
      <c r="A722">
        <v>721</v>
      </c>
      <c r="B722">
        <v>30000</v>
      </c>
      <c r="C722">
        <v>2</v>
      </c>
      <c r="D722">
        <v>2</v>
      </c>
      <c r="E722">
        <v>2</v>
      </c>
      <c r="F722">
        <v>22</v>
      </c>
      <c r="G722">
        <v>0</v>
      </c>
      <c r="H722">
        <v>0</v>
      </c>
      <c r="I722">
        <v>2</v>
      </c>
      <c r="J722">
        <v>0</v>
      </c>
      <c r="K722">
        <v>0</v>
      </c>
      <c r="L722">
        <v>0</v>
      </c>
      <c r="M722">
        <v>23892</v>
      </c>
      <c r="N722">
        <v>28459</v>
      </c>
      <c r="O722">
        <v>25499</v>
      </c>
      <c r="P722">
        <v>25778</v>
      </c>
      <c r="Q722">
        <v>28708</v>
      </c>
      <c r="R722">
        <v>30520</v>
      </c>
      <c r="S722">
        <v>5300</v>
      </c>
      <c r="T722">
        <v>0</v>
      </c>
      <c r="U722">
        <v>1000</v>
      </c>
      <c r="V722">
        <v>3352</v>
      </c>
      <c r="W722">
        <v>2300</v>
      </c>
      <c r="X722">
        <v>0</v>
      </c>
      <c r="Y722">
        <v>0</v>
      </c>
    </row>
    <row r="723" spans="1:25" x14ac:dyDescent="0.3">
      <c r="A723">
        <v>722</v>
      </c>
      <c r="B723">
        <v>10000</v>
      </c>
      <c r="C723">
        <v>1</v>
      </c>
      <c r="D723">
        <v>2</v>
      </c>
      <c r="E723">
        <v>2</v>
      </c>
      <c r="F723">
        <v>22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7960</v>
      </c>
      <c r="N723">
        <v>9649</v>
      </c>
      <c r="O723">
        <v>8518</v>
      </c>
      <c r="P723">
        <v>8628</v>
      </c>
      <c r="Q723">
        <v>9293</v>
      </c>
      <c r="R723">
        <v>5033</v>
      </c>
      <c r="S723">
        <v>2000</v>
      </c>
      <c r="T723">
        <v>1000</v>
      </c>
      <c r="U723">
        <v>500</v>
      </c>
      <c r="V723">
        <v>1500</v>
      </c>
      <c r="W723">
        <v>0</v>
      </c>
      <c r="X723">
        <v>2500</v>
      </c>
      <c r="Y723">
        <v>1</v>
      </c>
    </row>
    <row r="724" spans="1:25" x14ac:dyDescent="0.3">
      <c r="A724">
        <v>723</v>
      </c>
      <c r="B724">
        <v>180000</v>
      </c>
      <c r="C724">
        <v>2</v>
      </c>
      <c r="D724">
        <v>1</v>
      </c>
      <c r="E724">
        <v>2</v>
      </c>
      <c r="F724">
        <v>27</v>
      </c>
      <c r="G724">
        <v>1</v>
      </c>
      <c r="H724">
        <v>-1</v>
      </c>
      <c r="I724">
        <v>-1</v>
      </c>
      <c r="J724">
        <v>-1</v>
      </c>
      <c r="K724">
        <v>-1</v>
      </c>
      <c r="L724">
        <v>-1</v>
      </c>
      <c r="M724">
        <v>0</v>
      </c>
      <c r="N724">
        <v>3338</v>
      </c>
      <c r="O724">
        <v>3333</v>
      </c>
      <c r="P724">
        <v>3333</v>
      </c>
      <c r="Q724">
        <v>3333</v>
      </c>
      <c r="R724">
        <v>3333</v>
      </c>
      <c r="S724">
        <v>3338</v>
      </c>
      <c r="T724">
        <v>3333</v>
      </c>
      <c r="U724">
        <v>3333</v>
      </c>
      <c r="V724">
        <v>3333</v>
      </c>
      <c r="W724">
        <v>3333</v>
      </c>
      <c r="X724">
        <v>3333</v>
      </c>
      <c r="Y724">
        <v>0</v>
      </c>
    </row>
    <row r="725" spans="1:25" x14ac:dyDescent="0.3">
      <c r="A725">
        <v>724</v>
      </c>
      <c r="B725">
        <v>320000</v>
      </c>
      <c r="C725">
        <v>1</v>
      </c>
      <c r="D725">
        <v>1</v>
      </c>
      <c r="E725">
        <v>1</v>
      </c>
      <c r="F725">
        <v>47</v>
      </c>
      <c r="G725">
        <v>-1</v>
      </c>
      <c r="H725">
        <v>-1</v>
      </c>
      <c r="I725">
        <v>-1</v>
      </c>
      <c r="J725">
        <v>-1</v>
      </c>
      <c r="K725">
        <v>-1</v>
      </c>
      <c r="L725">
        <v>-1</v>
      </c>
      <c r="M725">
        <v>9192</v>
      </c>
      <c r="N725">
        <v>13920</v>
      </c>
      <c r="O725">
        <v>4022</v>
      </c>
      <c r="P725">
        <v>316</v>
      </c>
      <c r="Q725">
        <v>8420</v>
      </c>
      <c r="R725">
        <v>316</v>
      </c>
      <c r="S725">
        <v>13942</v>
      </c>
      <c r="T725">
        <v>4022</v>
      </c>
      <c r="U725">
        <v>316</v>
      </c>
      <c r="V725">
        <v>8420</v>
      </c>
      <c r="W725">
        <v>316</v>
      </c>
      <c r="X725">
        <v>516</v>
      </c>
      <c r="Y725">
        <v>0</v>
      </c>
    </row>
    <row r="726" spans="1:25" x14ac:dyDescent="0.3">
      <c r="A726">
        <v>725</v>
      </c>
      <c r="B726">
        <v>80000</v>
      </c>
      <c r="C726">
        <v>2</v>
      </c>
      <c r="D726">
        <v>2</v>
      </c>
      <c r="E726">
        <v>2</v>
      </c>
      <c r="F726">
        <v>34</v>
      </c>
      <c r="G726">
        <v>0</v>
      </c>
      <c r="H726">
        <v>0</v>
      </c>
      <c r="I726">
        <v>0</v>
      </c>
      <c r="J726">
        <v>2</v>
      </c>
      <c r="K726">
        <v>2</v>
      </c>
      <c r="L726">
        <v>2</v>
      </c>
      <c r="M726">
        <v>25935</v>
      </c>
      <c r="N726">
        <v>27210</v>
      </c>
      <c r="O726">
        <v>28783</v>
      </c>
      <c r="P726">
        <v>30003</v>
      </c>
      <c r="Q726">
        <v>29385</v>
      </c>
      <c r="R726">
        <v>31401</v>
      </c>
      <c r="S726">
        <v>2000</v>
      </c>
      <c r="T726">
        <v>2338</v>
      </c>
      <c r="U726">
        <v>2000</v>
      </c>
      <c r="V726">
        <v>0</v>
      </c>
      <c r="W726">
        <v>2500</v>
      </c>
      <c r="X726">
        <v>0</v>
      </c>
      <c r="Y726">
        <v>0</v>
      </c>
    </row>
    <row r="727" spans="1:25" x14ac:dyDescent="0.3">
      <c r="A727">
        <v>726</v>
      </c>
      <c r="B727">
        <v>10000</v>
      </c>
      <c r="C727">
        <v>1</v>
      </c>
      <c r="D727">
        <v>2</v>
      </c>
      <c r="E727">
        <v>1</v>
      </c>
      <c r="F727">
        <v>45</v>
      </c>
      <c r="G727">
        <v>0</v>
      </c>
      <c r="H727">
        <v>0</v>
      </c>
      <c r="I727">
        <v>0</v>
      </c>
      <c r="J727">
        <v>2</v>
      </c>
      <c r="K727">
        <v>0</v>
      </c>
      <c r="L727">
        <v>0</v>
      </c>
      <c r="M727">
        <v>7139</v>
      </c>
      <c r="N727">
        <v>8416</v>
      </c>
      <c r="O727">
        <v>9815</v>
      </c>
      <c r="P727">
        <v>9508</v>
      </c>
      <c r="Q727">
        <v>9754</v>
      </c>
      <c r="R727">
        <v>10192</v>
      </c>
      <c r="S727">
        <v>1400</v>
      </c>
      <c r="T727">
        <v>1700</v>
      </c>
      <c r="U727">
        <v>0</v>
      </c>
      <c r="V727">
        <v>400</v>
      </c>
      <c r="W727">
        <v>600</v>
      </c>
      <c r="X727">
        <v>200</v>
      </c>
      <c r="Y727">
        <v>1</v>
      </c>
    </row>
    <row r="728" spans="1:25" x14ac:dyDescent="0.3">
      <c r="A728">
        <v>727</v>
      </c>
      <c r="B728">
        <v>360000</v>
      </c>
      <c r="C728">
        <v>2</v>
      </c>
      <c r="D728">
        <v>2</v>
      </c>
      <c r="E728">
        <v>2</v>
      </c>
      <c r="F728">
        <v>39</v>
      </c>
      <c r="G728">
        <v>-1</v>
      </c>
      <c r="H728">
        <v>-1</v>
      </c>
      <c r="I728">
        <v>-1</v>
      </c>
      <c r="J728">
        <v>0</v>
      </c>
      <c r="K728">
        <v>-1</v>
      </c>
      <c r="L728">
        <v>-1</v>
      </c>
      <c r="M728">
        <v>12865</v>
      </c>
      <c r="N728">
        <v>4462</v>
      </c>
      <c r="O728">
        <v>19560</v>
      </c>
      <c r="P728">
        <v>8894</v>
      </c>
      <c r="Q728">
        <v>5329</v>
      </c>
      <c r="R728">
        <v>998</v>
      </c>
      <c r="S728">
        <v>4484</v>
      </c>
      <c r="T728">
        <v>19623</v>
      </c>
      <c r="U728">
        <v>222</v>
      </c>
      <c r="V728">
        <v>5355</v>
      </c>
      <c r="W728">
        <v>998</v>
      </c>
      <c r="X728">
        <v>9004</v>
      </c>
      <c r="Y728">
        <v>0</v>
      </c>
    </row>
    <row r="729" spans="1:25" x14ac:dyDescent="0.3">
      <c r="A729">
        <v>728</v>
      </c>
      <c r="B729">
        <v>450000</v>
      </c>
      <c r="C729">
        <v>1</v>
      </c>
      <c r="D729">
        <v>2</v>
      </c>
      <c r="E729">
        <v>2</v>
      </c>
      <c r="F729">
        <v>33</v>
      </c>
      <c r="G729">
        <v>-2</v>
      </c>
      <c r="H729">
        <v>-2</v>
      </c>
      <c r="I729">
        <v>-2</v>
      </c>
      <c r="J729">
        <v>-2</v>
      </c>
      <c r="K729">
        <v>-2</v>
      </c>
      <c r="L729">
        <v>-2</v>
      </c>
      <c r="M729">
        <v>-14</v>
      </c>
      <c r="N729">
        <v>2568</v>
      </c>
      <c r="O729">
        <v>-387</v>
      </c>
      <c r="P729">
        <v>-387</v>
      </c>
      <c r="Q729">
        <v>-387</v>
      </c>
      <c r="R729">
        <v>113</v>
      </c>
      <c r="S729">
        <v>2582</v>
      </c>
      <c r="T729">
        <v>0</v>
      </c>
      <c r="U729">
        <v>0</v>
      </c>
      <c r="V729">
        <v>0</v>
      </c>
      <c r="W729">
        <v>500</v>
      </c>
      <c r="X729">
        <v>2515</v>
      </c>
      <c r="Y729">
        <v>0</v>
      </c>
    </row>
    <row r="730" spans="1:25" x14ac:dyDescent="0.3">
      <c r="A730">
        <v>729</v>
      </c>
      <c r="B730">
        <v>330000</v>
      </c>
      <c r="C730">
        <v>2</v>
      </c>
      <c r="D730">
        <v>2</v>
      </c>
      <c r="E730">
        <v>2</v>
      </c>
      <c r="F730">
        <v>29</v>
      </c>
      <c r="G730">
        <v>0</v>
      </c>
      <c r="H730">
        <v>0</v>
      </c>
      <c r="I730">
        <v>0</v>
      </c>
      <c r="J730">
        <v>0</v>
      </c>
      <c r="K730">
        <v>-1</v>
      </c>
      <c r="L730">
        <v>-1</v>
      </c>
      <c r="M730">
        <v>49549</v>
      </c>
      <c r="N730">
        <v>133957</v>
      </c>
      <c r="O730">
        <v>128212</v>
      </c>
      <c r="P730">
        <v>79407</v>
      </c>
      <c r="Q730">
        <v>8875</v>
      </c>
      <c r="R730">
        <v>49880</v>
      </c>
      <c r="S730">
        <v>90000</v>
      </c>
      <c r="T730">
        <v>3000</v>
      </c>
      <c r="U730">
        <v>5000</v>
      </c>
      <c r="V730">
        <v>8875</v>
      </c>
      <c r="W730">
        <v>49880</v>
      </c>
      <c r="X730">
        <v>519</v>
      </c>
      <c r="Y730">
        <v>0</v>
      </c>
    </row>
    <row r="731" spans="1:25" x14ac:dyDescent="0.3">
      <c r="A731">
        <v>730</v>
      </c>
      <c r="B731">
        <v>60000</v>
      </c>
      <c r="C731">
        <v>1</v>
      </c>
      <c r="D731">
        <v>1</v>
      </c>
      <c r="E731">
        <v>2</v>
      </c>
      <c r="F731">
        <v>29</v>
      </c>
      <c r="G731">
        <v>-1</v>
      </c>
      <c r="H731">
        <v>2</v>
      </c>
      <c r="I731">
        <v>-1</v>
      </c>
      <c r="J731">
        <v>-1</v>
      </c>
      <c r="K731">
        <v>2</v>
      </c>
      <c r="L731">
        <v>2</v>
      </c>
      <c r="M731">
        <v>546</v>
      </c>
      <c r="N731">
        <v>255</v>
      </c>
      <c r="O731">
        <v>464</v>
      </c>
      <c r="P731">
        <v>1173</v>
      </c>
      <c r="Q731">
        <v>732</v>
      </c>
      <c r="R731">
        <v>1023</v>
      </c>
      <c r="S731">
        <v>0</v>
      </c>
      <c r="T731">
        <v>500</v>
      </c>
      <c r="U731">
        <v>1000</v>
      </c>
      <c r="V731">
        <v>0</v>
      </c>
      <c r="W731">
        <v>582</v>
      </c>
      <c r="X731">
        <v>0</v>
      </c>
      <c r="Y731">
        <v>1</v>
      </c>
    </row>
    <row r="732" spans="1:25" x14ac:dyDescent="0.3">
      <c r="A732">
        <v>731</v>
      </c>
      <c r="B732">
        <v>50000</v>
      </c>
      <c r="C732">
        <v>2</v>
      </c>
      <c r="D732">
        <v>3</v>
      </c>
      <c r="E732">
        <v>2</v>
      </c>
      <c r="F732">
        <v>26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9935</v>
      </c>
      <c r="N732">
        <v>11029</v>
      </c>
      <c r="O732">
        <v>12795</v>
      </c>
      <c r="P732">
        <v>9983</v>
      </c>
      <c r="Q732">
        <v>10884</v>
      </c>
      <c r="R732">
        <v>7666</v>
      </c>
      <c r="S732">
        <v>1234</v>
      </c>
      <c r="T732">
        <v>2000</v>
      </c>
      <c r="U732">
        <v>297</v>
      </c>
      <c r="V732">
        <v>1000</v>
      </c>
      <c r="W732">
        <v>307</v>
      </c>
      <c r="X732">
        <v>361</v>
      </c>
      <c r="Y732">
        <v>0</v>
      </c>
    </row>
    <row r="733" spans="1:25" x14ac:dyDescent="0.3">
      <c r="A733">
        <v>732</v>
      </c>
      <c r="B733">
        <v>200000</v>
      </c>
      <c r="C733">
        <v>1</v>
      </c>
      <c r="D733">
        <v>2</v>
      </c>
      <c r="E733">
        <v>1</v>
      </c>
      <c r="F733">
        <v>38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152856</v>
      </c>
      <c r="N733">
        <v>156104</v>
      </c>
      <c r="O733">
        <v>158279</v>
      </c>
      <c r="P733">
        <v>161934</v>
      </c>
      <c r="Q733">
        <v>165447</v>
      </c>
      <c r="R733">
        <v>168802</v>
      </c>
      <c r="S733">
        <v>6000</v>
      </c>
      <c r="T733">
        <v>5000</v>
      </c>
      <c r="U733">
        <v>5000</v>
      </c>
      <c r="V733">
        <v>5000</v>
      </c>
      <c r="W733">
        <v>4917</v>
      </c>
      <c r="X733">
        <v>10000</v>
      </c>
      <c r="Y733">
        <v>0</v>
      </c>
    </row>
    <row r="734" spans="1:25" x14ac:dyDescent="0.3">
      <c r="A734">
        <v>733</v>
      </c>
      <c r="B734">
        <v>120000</v>
      </c>
      <c r="C734">
        <v>1</v>
      </c>
      <c r="D734">
        <v>1</v>
      </c>
      <c r="E734">
        <v>2</v>
      </c>
      <c r="F734">
        <v>34</v>
      </c>
      <c r="G734">
        <v>1</v>
      </c>
      <c r="H734">
        <v>2</v>
      </c>
      <c r="I734">
        <v>-1</v>
      </c>
      <c r="J734">
        <v>-1</v>
      </c>
      <c r="K734">
        <v>-2</v>
      </c>
      <c r="L734">
        <v>-2</v>
      </c>
      <c r="M734">
        <v>1278</v>
      </c>
      <c r="N734">
        <v>639</v>
      </c>
      <c r="O734">
        <v>621</v>
      </c>
      <c r="P734">
        <v>-18</v>
      </c>
      <c r="Q734">
        <v>-18</v>
      </c>
      <c r="R734">
        <v>-18</v>
      </c>
      <c r="S734">
        <v>0</v>
      </c>
      <c r="T734">
        <v>621</v>
      </c>
      <c r="U734">
        <v>0</v>
      </c>
      <c r="V734">
        <v>0</v>
      </c>
      <c r="W734">
        <v>0</v>
      </c>
      <c r="X734">
        <v>0</v>
      </c>
      <c r="Y734">
        <v>0</v>
      </c>
    </row>
    <row r="735" spans="1:25" x14ac:dyDescent="0.3">
      <c r="A735">
        <v>734</v>
      </c>
      <c r="B735">
        <v>160000</v>
      </c>
      <c r="C735">
        <v>2</v>
      </c>
      <c r="D735">
        <v>1</v>
      </c>
      <c r="E735">
        <v>1</v>
      </c>
      <c r="F735">
        <v>37</v>
      </c>
      <c r="G735">
        <v>-1</v>
      </c>
      <c r="H735">
        <v>-1</v>
      </c>
      <c r="I735">
        <v>-1</v>
      </c>
      <c r="J735">
        <v>-1</v>
      </c>
      <c r="K735">
        <v>-1</v>
      </c>
      <c r="L735">
        <v>-1</v>
      </c>
      <c r="M735">
        <v>316</v>
      </c>
      <c r="N735">
        <v>316</v>
      </c>
      <c r="O735">
        <v>0</v>
      </c>
      <c r="P735">
        <v>316</v>
      </c>
      <c r="Q735">
        <v>632</v>
      </c>
      <c r="R735">
        <v>0</v>
      </c>
      <c r="S735">
        <v>316</v>
      </c>
      <c r="T735">
        <v>0</v>
      </c>
      <c r="U735">
        <v>316</v>
      </c>
      <c r="V735">
        <v>632</v>
      </c>
      <c r="W735">
        <v>0</v>
      </c>
      <c r="X735">
        <v>316</v>
      </c>
      <c r="Y735">
        <v>0</v>
      </c>
    </row>
    <row r="736" spans="1:25" x14ac:dyDescent="0.3">
      <c r="A736">
        <v>735</v>
      </c>
      <c r="B736">
        <v>110000</v>
      </c>
      <c r="C736">
        <v>1</v>
      </c>
      <c r="D736">
        <v>2</v>
      </c>
      <c r="E736">
        <v>1</v>
      </c>
      <c r="F736">
        <v>57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46132</v>
      </c>
      <c r="N736">
        <v>41050</v>
      </c>
      <c r="O736">
        <v>40091</v>
      </c>
      <c r="P736">
        <v>40659</v>
      </c>
      <c r="Q736">
        <v>38529</v>
      </c>
      <c r="R736">
        <v>30900</v>
      </c>
      <c r="S736">
        <v>2306</v>
      </c>
      <c r="T736">
        <v>2111</v>
      </c>
      <c r="U736">
        <v>3009</v>
      </c>
      <c r="V736">
        <v>1725</v>
      </c>
      <c r="W736">
        <v>1500</v>
      </c>
      <c r="X736">
        <v>0</v>
      </c>
      <c r="Y736">
        <v>0</v>
      </c>
    </row>
    <row r="737" spans="1:25" x14ac:dyDescent="0.3">
      <c r="A737">
        <v>736</v>
      </c>
      <c r="B737">
        <v>70000</v>
      </c>
      <c r="C737">
        <v>2</v>
      </c>
      <c r="D737">
        <v>3</v>
      </c>
      <c r="E737">
        <v>1</v>
      </c>
      <c r="F737">
        <v>50</v>
      </c>
      <c r="G737">
        <v>-2</v>
      </c>
      <c r="H737">
        <v>-2</v>
      </c>
      <c r="I737">
        <v>-1</v>
      </c>
      <c r="J737">
        <v>0</v>
      </c>
      <c r="K737">
        <v>0</v>
      </c>
      <c r="L737">
        <v>0</v>
      </c>
      <c r="M737">
        <v>27345</v>
      </c>
      <c r="N737">
        <v>-1041</v>
      </c>
      <c r="O737">
        <v>17571</v>
      </c>
      <c r="P737">
        <v>17920</v>
      </c>
      <c r="Q737">
        <v>18296</v>
      </c>
      <c r="R737">
        <v>18659</v>
      </c>
      <c r="S737">
        <v>1041</v>
      </c>
      <c r="T737">
        <v>18862</v>
      </c>
      <c r="U737">
        <v>640</v>
      </c>
      <c r="V737">
        <v>663</v>
      </c>
      <c r="W737">
        <v>666</v>
      </c>
      <c r="X737">
        <v>690</v>
      </c>
      <c r="Y737">
        <v>0</v>
      </c>
    </row>
    <row r="738" spans="1:25" x14ac:dyDescent="0.3">
      <c r="A738">
        <v>737</v>
      </c>
      <c r="B738">
        <v>150000</v>
      </c>
      <c r="C738">
        <v>2</v>
      </c>
      <c r="D738">
        <v>3</v>
      </c>
      <c r="E738">
        <v>2</v>
      </c>
      <c r="F738">
        <v>28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101593</v>
      </c>
      <c r="N738">
        <v>101886</v>
      </c>
      <c r="O738">
        <v>101441</v>
      </c>
      <c r="P738">
        <v>100829</v>
      </c>
      <c r="Q738">
        <v>101913</v>
      </c>
      <c r="R738">
        <v>96704</v>
      </c>
      <c r="S738">
        <v>4000</v>
      </c>
      <c r="T738">
        <v>4032</v>
      </c>
      <c r="U738">
        <v>3410</v>
      </c>
      <c r="V738">
        <v>4000</v>
      </c>
      <c r="W738">
        <v>3665</v>
      </c>
      <c r="X738">
        <v>3050</v>
      </c>
      <c r="Y738">
        <v>0</v>
      </c>
    </row>
    <row r="739" spans="1:25" x14ac:dyDescent="0.3">
      <c r="A739">
        <v>738</v>
      </c>
      <c r="B739">
        <v>610000</v>
      </c>
      <c r="C739">
        <v>2</v>
      </c>
      <c r="D739">
        <v>1</v>
      </c>
      <c r="E739">
        <v>2</v>
      </c>
      <c r="F739">
        <v>31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142764</v>
      </c>
      <c r="N739">
        <v>126606</v>
      </c>
      <c r="O739">
        <v>67887</v>
      </c>
      <c r="P739">
        <v>58397</v>
      </c>
      <c r="Q739">
        <v>105301</v>
      </c>
      <c r="R739">
        <v>105965</v>
      </c>
      <c r="S739">
        <v>6540</v>
      </c>
      <c r="T739">
        <v>2100</v>
      </c>
      <c r="U739">
        <v>2150</v>
      </c>
      <c r="V739">
        <v>50000</v>
      </c>
      <c r="W739">
        <v>4700</v>
      </c>
      <c r="X739">
        <v>2000</v>
      </c>
      <c r="Y739">
        <v>0</v>
      </c>
    </row>
    <row r="740" spans="1:25" x14ac:dyDescent="0.3">
      <c r="A740">
        <v>739</v>
      </c>
      <c r="B740">
        <v>110000</v>
      </c>
      <c r="C740">
        <v>2</v>
      </c>
      <c r="D740">
        <v>1</v>
      </c>
      <c r="E740">
        <v>2</v>
      </c>
      <c r="F740">
        <v>25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92849</v>
      </c>
      <c r="N740">
        <v>94766</v>
      </c>
      <c r="O740">
        <v>93894</v>
      </c>
      <c r="P740">
        <v>85723</v>
      </c>
      <c r="Q740">
        <v>86443</v>
      </c>
      <c r="R740">
        <v>84011</v>
      </c>
      <c r="S740">
        <v>4346</v>
      </c>
      <c r="T740">
        <v>4075</v>
      </c>
      <c r="U740">
        <v>3144</v>
      </c>
      <c r="V740">
        <v>3238</v>
      </c>
      <c r="W740">
        <v>3167</v>
      </c>
      <c r="X740">
        <v>3202</v>
      </c>
      <c r="Y740">
        <v>0</v>
      </c>
    </row>
    <row r="741" spans="1:25" x14ac:dyDescent="0.3">
      <c r="A741">
        <v>740</v>
      </c>
      <c r="B741">
        <v>80000</v>
      </c>
      <c r="C741">
        <v>2</v>
      </c>
      <c r="D741">
        <v>2</v>
      </c>
      <c r="E741">
        <v>2</v>
      </c>
      <c r="F741">
        <v>25</v>
      </c>
      <c r="G741">
        <v>2</v>
      </c>
      <c r="H741">
        <v>0</v>
      </c>
      <c r="I741">
        <v>0</v>
      </c>
      <c r="J741">
        <v>2</v>
      </c>
      <c r="K741">
        <v>0</v>
      </c>
      <c r="L741">
        <v>0</v>
      </c>
      <c r="M741">
        <v>17330</v>
      </c>
      <c r="N741">
        <v>19258</v>
      </c>
      <c r="O741">
        <v>23416</v>
      </c>
      <c r="P741">
        <v>22768</v>
      </c>
      <c r="Q741">
        <v>23243</v>
      </c>
      <c r="R741">
        <v>23718</v>
      </c>
      <c r="S741">
        <v>3000</v>
      </c>
      <c r="T741">
        <v>4790</v>
      </c>
      <c r="U741">
        <v>0</v>
      </c>
      <c r="V741">
        <v>816</v>
      </c>
      <c r="W741">
        <v>833</v>
      </c>
      <c r="X741">
        <v>2000</v>
      </c>
      <c r="Y741">
        <v>1</v>
      </c>
    </row>
    <row r="742" spans="1:25" x14ac:dyDescent="0.3">
      <c r="A742">
        <v>741</v>
      </c>
      <c r="B742">
        <v>170000</v>
      </c>
      <c r="C742">
        <v>2</v>
      </c>
      <c r="D742">
        <v>2</v>
      </c>
      <c r="E742">
        <v>1</v>
      </c>
      <c r="F742">
        <v>33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109863</v>
      </c>
      <c r="N742">
        <v>79574</v>
      </c>
      <c r="O742">
        <v>78440</v>
      </c>
      <c r="P742">
        <v>80141</v>
      </c>
      <c r="Q742">
        <v>81862</v>
      </c>
      <c r="R742">
        <v>84237</v>
      </c>
      <c r="S742">
        <v>4380</v>
      </c>
      <c r="T742">
        <v>3000</v>
      </c>
      <c r="U742">
        <v>3000</v>
      </c>
      <c r="V742">
        <v>3000</v>
      </c>
      <c r="W742">
        <v>4000</v>
      </c>
      <c r="X742">
        <v>4500</v>
      </c>
      <c r="Y742">
        <v>0</v>
      </c>
    </row>
    <row r="743" spans="1:25" x14ac:dyDescent="0.3">
      <c r="A743">
        <v>742</v>
      </c>
      <c r="B743">
        <v>110000</v>
      </c>
      <c r="C743">
        <v>2</v>
      </c>
      <c r="D743">
        <v>1</v>
      </c>
      <c r="E743">
        <v>2</v>
      </c>
      <c r="F743">
        <v>30</v>
      </c>
      <c r="G743">
        <v>-1</v>
      </c>
      <c r="H743">
        <v>-1</v>
      </c>
      <c r="I743">
        <v>-1</v>
      </c>
      <c r="J743">
        <v>-1</v>
      </c>
      <c r="K743">
        <v>-2</v>
      </c>
      <c r="L743">
        <v>-2</v>
      </c>
      <c r="M743">
        <v>1064</v>
      </c>
      <c r="N743">
        <v>2001</v>
      </c>
      <c r="O743">
        <v>3796</v>
      </c>
      <c r="P743">
        <v>0</v>
      </c>
      <c r="Q743">
        <v>0</v>
      </c>
      <c r="R743">
        <v>0</v>
      </c>
      <c r="S743">
        <v>2007</v>
      </c>
      <c r="T743">
        <v>3796</v>
      </c>
      <c r="U743">
        <v>0</v>
      </c>
      <c r="V743">
        <v>0</v>
      </c>
      <c r="W743">
        <v>0</v>
      </c>
      <c r="X743">
        <v>0</v>
      </c>
      <c r="Y743">
        <v>0</v>
      </c>
    </row>
    <row r="744" spans="1:25" x14ac:dyDescent="0.3">
      <c r="A744">
        <v>743</v>
      </c>
      <c r="B744">
        <v>140000</v>
      </c>
      <c r="C744">
        <v>2</v>
      </c>
      <c r="D744">
        <v>1</v>
      </c>
      <c r="E744">
        <v>1</v>
      </c>
      <c r="F744">
        <v>51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56764</v>
      </c>
      <c r="N744">
        <v>57950</v>
      </c>
      <c r="O744">
        <v>57668</v>
      </c>
      <c r="P744">
        <v>55024</v>
      </c>
      <c r="Q744">
        <v>55883</v>
      </c>
      <c r="R744">
        <v>55744</v>
      </c>
      <c r="S744">
        <v>2115</v>
      </c>
      <c r="T744">
        <v>2004</v>
      </c>
      <c r="U744">
        <v>1941</v>
      </c>
      <c r="V744">
        <v>2073</v>
      </c>
      <c r="W744">
        <v>1909</v>
      </c>
      <c r="X744">
        <v>2132</v>
      </c>
      <c r="Y744">
        <v>0</v>
      </c>
    </row>
    <row r="745" spans="1:25" x14ac:dyDescent="0.3">
      <c r="A745">
        <v>744</v>
      </c>
      <c r="B745">
        <v>70000</v>
      </c>
      <c r="C745">
        <v>1</v>
      </c>
      <c r="D745">
        <v>1</v>
      </c>
      <c r="E745">
        <v>2</v>
      </c>
      <c r="F745">
        <v>51</v>
      </c>
      <c r="G745">
        <v>0</v>
      </c>
      <c r="H745">
        <v>0</v>
      </c>
      <c r="I745">
        <v>0</v>
      </c>
      <c r="J745">
        <v>2</v>
      </c>
      <c r="K745">
        <v>0</v>
      </c>
      <c r="L745">
        <v>0</v>
      </c>
      <c r="M745">
        <v>43048</v>
      </c>
      <c r="N745">
        <v>43257</v>
      </c>
      <c r="O745">
        <v>44115</v>
      </c>
      <c r="P745">
        <v>41112</v>
      </c>
      <c r="Q745">
        <v>39922</v>
      </c>
      <c r="R745">
        <v>40150</v>
      </c>
      <c r="S745">
        <v>3000</v>
      </c>
      <c r="T745">
        <v>4000</v>
      </c>
      <c r="U745">
        <v>0</v>
      </c>
      <c r="V745">
        <v>1500</v>
      </c>
      <c r="W745">
        <v>3000</v>
      </c>
      <c r="X745">
        <v>5000</v>
      </c>
      <c r="Y745">
        <v>0</v>
      </c>
    </row>
    <row r="746" spans="1:25" x14ac:dyDescent="0.3">
      <c r="A746">
        <v>745</v>
      </c>
      <c r="B746">
        <v>260000</v>
      </c>
      <c r="C746">
        <v>2</v>
      </c>
      <c r="D746">
        <v>2</v>
      </c>
      <c r="E746">
        <v>1</v>
      </c>
      <c r="F746">
        <v>46</v>
      </c>
      <c r="G746">
        <v>-2</v>
      </c>
      <c r="H746">
        <v>-2</v>
      </c>
      <c r="I746">
        <v>-2</v>
      </c>
      <c r="J746">
        <v>-2</v>
      </c>
      <c r="K746">
        <v>-2</v>
      </c>
      <c r="L746">
        <v>-2</v>
      </c>
      <c r="M746">
        <v>29484</v>
      </c>
      <c r="N746">
        <v>28592</v>
      </c>
      <c r="O746">
        <v>16869</v>
      </c>
      <c r="P746">
        <v>12713</v>
      </c>
      <c r="Q746">
        <v>10420</v>
      </c>
      <c r="R746">
        <v>12532</v>
      </c>
      <c r="S746">
        <v>10000</v>
      </c>
      <c r="T746">
        <v>3000</v>
      </c>
      <c r="U746">
        <v>12713</v>
      </c>
      <c r="V746">
        <v>10420</v>
      </c>
      <c r="W746">
        <v>12532</v>
      </c>
      <c r="X746">
        <v>12151</v>
      </c>
      <c r="Y746">
        <v>0</v>
      </c>
    </row>
    <row r="747" spans="1:25" x14ac:dyDescent="0.3">
      <c r="A747">
        <v>746</v>
      </c>
      <c r="B747">
        <v>170000</v>
      </c>
      <c r="C747">
        <v>1</v>
      </c>
      <c r="D747">
        <v>3</v>
      </c>
      <c r="E747">
        <v>2</v>
      </c>
      <c r="F747">
        <v>38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21310</v>
      </c>
      <c r="N747">
        <v>22957</v>
      </c>
      <c r="O747">
        <v>24266</v>
      </c>
      <c r="P747">
        <v>25556</v>
      </c>
      <c r="Q747">
        <v>29949</v>
      </c>
      <c r="R747">
        <v>34434</v>
      </c>
      <c r="S747">
        <v>2000</v>
      </c>
      <c r="T747">
        <v>2000</v>
      </c>
      <c r="U747">
        <v>2000</v>
      </c>
      <c r="V747">
        <v>5000</v>
      </c>
      <c r="W747">
        <v>5000</v>
      </c>
      <c r="X747">
        <v>5000</v>
      </c>
      <c r="Y747">
        <v>0</v>
      </c>
    </row>
    <row r="748" spans="1:25" x14ac:dyDescent="0.3">
      <c r="A748">
        <v>747</v>
      </c>
      <c r="B748">
        <v>50000</v>
      </c>
      <c r="C748">
        <v>2</v>
      </c>
      <c r="D748">
        <v>2</v>
      </c>
      <c r="E748">
        <v>1</v>
      </c>
      <c r="F748">
        <v>34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10821</v>
      </c>
      <c r="N748">
        <v>11877</v>
      </c>
      <c r="O748">
        <v>13656</v>
      </c>
      <c r="P748">
        <v>14949</v>
      </c>
      <c r="Q748">
        <v>16567</v>
      </c>
      <c r="R748">
        <v>16826</v>
      </c>
      <c r="S748">
        <v>1221</v>
      </c>
      <c r="T748">
        <v>2000</v>
      </c>
      <c r="U748">
        <v>1500</v>
      </c>
      <c r="V748">
        <v>2000</v>
      </c>
      <c r="W748">
        <v>2000</v>
      </c>
      <c r="X748">
        <v>4000</v>
      </c>
      <c r="Y748">
        <v>0</v>
      </c>
    </row>
    <row r="749" spans="1:25" x14ac:dyDescent="0.3">
      <c r="A749">
        <v>748</v>
      </c>
      <c r="B749">
        <v>300000</v>
      </c>
      <c r="C749">
        <v>2</v>
      </c>
      <c r="D749">
        <v>3</v>
      </c>
      <c r="E749">
        <v>1</v>
      </c>
      <c r="F749">
        <v>34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280823</v>
      </c>
      <c r="N749">
        <v>275303</v>
      </c>
      <c r="O749">
        <v>271952</v>
      </c>
      <c r="P749">
        <v>193403</v>
      </c>
      <c r="Q749">
        <v>187562</v>
      </c>
      <c r="R749">
        <v>191069</v>
      </c>
      <c r="S749">
        <v>11000</v>
      </c>
      <c r="T749">
        <v>12000</v>
      </c>
      <c r="U749">
        <v>7200</v>
      </c>
      <c r="V749">
        <v>6500</v>
      </c>
      <c r="W749">
        <v>6173</v>
      </c>
      <c r="X749">
        <v>5500</v>
      </c>
      <c r="Y749">
        <v>1</v>
      </c>
    </row>
    <row r="750" spans="1:25" x14ac:dyDescent="0.3">
      <c r="A750">
        <v>749</v>
      </c>
      <c r="B750">
        <v>150000</v>
      </c>
      <c r="C750">
        <v>2</v>
      </c>
      <c r="D750">
        <v>1</v>
      </c>
      <c r="E750">
        <v>2</v>
      </c>
      <c r="F750">
        <v>31</v>
      </c>
      <c r="G750">
        <v>2</v>
      </c>
      <c r="H750">
        <v>-1</v>
      </c>
      <c r="I750">
        <v>-1</v>
      </c>
      <c r="J750">
        <v>-1</v>
      </c>
      <c r="K750">
        <v>-1</v>
      </c>
      <c r="L750">
        <v>-1</v>
      </c>
      <c r="M750">
        <v>390</v>
      </c>
      <c r="N750">
        <v>390</v>
      </c>
      <c r="O750">
        <v>390</v>
      </c>
      <c r="P750">
        <v>4825</v>
      </c>
      <c r="Q750">
        <v>5202</v>
      </c>
      <c r="R750">
        <v>780</v>
      </c>
      <c r="S750">
        <v>390</v>
      </c>
      <c r="T750">
        <v>390</v>
      </c>
      <c r="U750">
        <v>4825</v>
      </c>
      <c r="V750">
        <v>5202</v>
      </c>
      <c r="W750">
        <v>780</v>
      </c>
      <c r="X750">
        <v>0</v>
      </c>
      <c r="Y750">
        <v>1</v>
      </c>
    </row>
    <row r="751" spans="1:25" x14ac:dyDescent="0.3">
      <c r="A751">
        <v>750</v>
      </c>
      <c r="B751">
        <v>50000</v>
      </c>
      <c r="C751">
        <v>2</v>
      </c>
      <c r="D751">
        <v>2</v>
      </c>
      <c r="E751">
        <v>2</v>
      </c>
      <c r="F751">
        <v>25</v>
      </c>
      <c r="G751">
        <v>8</v>
      </c>
      <c r="H751">
        <v>7</v>
      </c>
      <c r="I751">
        <v>6</v>
      </c>
      <c r="J751">
        <v>5</v>
      </c>
      <c r="K751">
        <v>4</v>
      </c>
      <c r="L751">
        <v>3</v>
      </c>
      <c r="M751">
        <v>37647</v>
      </c>
      <c r="N751">
        <v>37102</v>
      </c>
      <c r="O751">
        <v>36238</v>
      </c>
      <c r="P751">
        <v>36374</v>
      </c>
      <c r="Q751">
        <v>35229</v>
      </c>
      <c r="R751">
        <v>34365</v>
      </c>
      <c r="S751">
        <v>0</v>
      </c>
      <c r="T751">
        <v>0</v>
      </c>
      <c r="U751">
        <v>1000</v>
      </c>
      <c r="V751">
        <v>0</v>
      </c>
      <c r="W751">
        <v>0</v>
      </c>
      <c r="X751">
        <v>3000</v>
      </c>
      <c r="Y751">
        <v>1</v>
      </c>
    </row>
    <row r="752" spans="1:25" x14ac:dyDescent="0.3">
      <c r="A752">
        <v>751</v>
      </c>
      <c r="B752">
        <v>50000</v>
      </c>
      <c r="C752">
        <v>2</v>
      </c>
      <c r="D752">
        <v>2</v>
      </c>
      <c r="E752">
        <v>1</v>
      </c>
      <c r="F752">
        <v>26</v>
      </c>
      <c r="G752">
        <v>1</v>
      </c>
      <c r="H752">
        <v>-2</v>
      </c>
      <c r="I752">
        <v>-1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1756</v>
      </c>
      <c r="P752">
        <v>2719</v>
      </c>
      <c r="Q752">
        <v>4049</v>
      </c>
      <c r="R752">
        <v>5176</v>
      </c>
      <c r="S752">
        <v>0</v>
      </c>
      <c r="T752">
        <v>1756</v>
      </c>
      <c r="U752">
        <v>1000</v>
      </c>
      <c r="V752">
        <v>1537</v>
      </c>
      <c r="W752">
        <v>1200</v>
      </c>
      <c r="X752">
        <v>2000</v>
      </c>
      <c r="Y752">
        <v>0</v>
      </c>
    </row>
    <row r="753" spans="1:25" x14ac:dyDescent="0.3">
      <c r="A753">
        <v>752</v>
      </c>
      <c r="B753">
        <v>90000</v>
      </c>
      <c r="C753">
        <v>2</v>
      </c>
      <c r="D753">
        <v>1</v>
      </c>
      <c r="E753">
        <v>2</v>
      </c>
      <c r="F753">
        <v>25</v>
      </c>
      <c r="G753">
        <v>2</v>
      </c>
      <c r="H753">
        <v>0</v>
      </c>
      <c r="I753">
        <v>0</v>
      </c>
      <c r="J753">
        <v>0</v>
      </c>
      <c r="K753">
        <v>0</v>
      </c>
      <c r="L753">
        <v>-1</v>
      </c>
      <c r="M753">
        <v>84710</v>
      </c>
      <c r="N753">
        <v>87334</v>
      </c>
      <c r="O753">
        <v>87862</v>
      </c>
      <c r="P753">
        <v>18889</v>
      </c>
      <c r="Q753">
        <v>-783</v>
      </c>
      <c r="R753">
        <v>73568</v>
      </c>
      <c r="S753">
        <v>4000</v>
      </c>
      <c r="T753">
        <v>3258</v>
      </c>
      <c r="U753">
        <v>1000</v>
      </c>
      <c r="V753">
        <v>0</v>
      </c>
      <c r="W753">
        <v>77500</v>
      </c>
      <c r="X753">
        <v>0</v>
      </c>
      <c r="Y753">
        <v>0</v>
      </c>
    </row>
    <row r="754" spans="1:25" x14ac:dyDescent="0.3">
      <c r="A754">
        <v>753</v>
      </c>
      <c r="B754">
        <v>50000</v>
      </c>
      <c r="C754">
        <v>1</v>
      </c>
      <c r="D754">
        <v>2</v>
      </c>
      <c r="E754">
        <v>2</v>
      </c>
      <c r="F754">
        <v>26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48036</v>
      </c>
      <c r="N754">
        <v>46787</v>
      </c>
      <c r="O754">
        <v>42011</v>
      </c>
      <c r="P754">
        <v>19147</v>
      </c>
      <c r="Q754">
        <v>2845</v>
      </c>
      <c r="R754">
        <v>20041</v>
      </c>
      <c r="S754">
        <v>2100</v>
      </c>
      <c r="T754">
        <v>1227</v>
      </c>
      <c r="U754">
        <v>383</v>
      </c>
      <c r="V754">
        <v>2000</v>
      </c>
      <c r="W754">
        <v>20000</v>
      </c>
      <c r="X754">
        <v>649</v>
      </c>
      <c r="Y754">
        <v>1</v>
      </c>
    </row>
    <row r="755" spans="1:25" x14ac:dyDescent="0.3">
      <c r="A755">
        <v>754</v>
      </c>
      <c r="B755">
        <v>500000</v>
      </c>
      <c r="C755">
        <v>2</v>
      </c>
      <c r="D755">
        <v>2</v>
      </c>
      <c r="E755">
        <v>2</v>
      </c>
      <c r="F755">
        <v>43</v>
      </c>
      <c r="G755">
        <v>-1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43346</v>
      </c>
      <c r="N755">
        <v>43976</v>
      </c>
      <c r="O755">
        <v>39032</v>
      </c>
      <c r="P755">
        <v>29092</v>
      </c>
      <c r="Q755">
        <v>22725</v>
      </c>
      <c r="R755">
        <v>11590</v>
      </c>
      <c r="S755">
        <v>4006</v>
      </c>
      <c r="T755">
        <v>2383</v>
      </c>
      <c r="U755">
        <v>1126</v>
      </c>
      <c r="V755">
        <v>782</v>
      </c>
      <c r="W755">
        <v>596</v>
      </c>
      <c r="X755">
        <v>1572</v>
      </c>
      <c r="Y755">
        <v>0</v>
      </c>
    </row>
    <row r="756" spans="1:25" x14ac:dyDescent="0.3">
      <c r="A756">
        <v>755</v>
      </c>
      <c r="B756">
        <v>470000</v>
      </c>
      <c r="C756">
        <v>2</v>
      </c>
      <c r="D756">
        <v>2</v>
      </c>
      <c r="E756">
        <v>1</v>
      </c>
      <c r="F756">
        <v>36</v>
      </c>
      <c r="G756">
        <v>-1</v>
      </c>
      <c r="H756">
        <v>0</v>
      </c>
      <c r="I756">
        <v>0</v>
      </c>
      <c r="J756">
        <v>-1</v>
      </c>
      <c r="K756">
        <v>-1</v>
      </c>
      <c r="L756">
        <v>-1</v>
      </c>
      <c r="M756">
        <v>873</v>
      </c>
      <c r="N756">
        <v>1593</v>
      </c>
      <c r="O756">
        <v>1518</v>
      </c>
      <c r="P756">
        <v>285</v>
      </c>
      <c r="Q756">
        <v>688</v>
      </c>
      <c r="R756">
        <v>2100</v>
      </c>
      <c r="S756">
        <v>1005</v>
      </c>
      <c r="T756">
        <v>1000</v>
      </c>
      <c r="U756">
        <v>285</v>
      </c>
      <c r="V756">
        <v>688</v>
      </c>
      <c r="W756">
        <v>2100</v>
      </c>
      <c r="X756">
        <v>1014</v>
      </c>
      <c r="Y756">
        <v>0</v>
      </c>
    </row>
    <row r="757" spans="1:25" x14ac:dyDescent="0.3">
      <c r="A757">
        <v>756</v>
      </c>
      <c r="B757">
        <v>230000</v>
      </c>
      <c r="C757">
        <v>1</v>
      </c>
      <c r="D757">
        <v>2</v>
      </c>
      <c r="E757">
        <v>2</v>
      </c>
      <c r="F757">
        <v>58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110163</v>
      </c>
      <c r="N757">
        <v>112499</v>
      </c>
      <c r="O757">
        <v>114837</v>
      </c>
      <c r="P757">
        <v>116400</v>
      </c>
      <c r="Q757">
        <v>45643</v>
      </c>
      <c r="R757">
        <v>51083</v>
      </c>
      <c r="S757">
        <v>5600</v>
      </c>
      <c r="T757">
        <v>5700</v>
      </c>
      <c r="U757">
        <v>5000</v>
      </c>
      <c r="V757">
        <v>1855</v>
      </c>
      <c r="W757">
        <v>6400</v>
      </c>
      <c r="X757">
        <v>0</v>
      </c>
      <c r="Y757">
        <v>0</v>
      </c>
    </row>
    <row r="758" spans="1:25" x14ac:dyDescent="0.3">
      <c r="A758">
        <v>757</v>
      </c>
      <c r="B758">
        <v>140000</v>
      </c>
      <c r="C758">
        <v>2</v>
      </c>
      <c r="D758">
        <v>2</v>
      </c>
      <c r="E758">
        <v>2</v>
      </c>
      <c r="F758">
        <v>26</v>
      </c>
      <c r="G758">
        <v>0</v>
      </c>
      <c r="H758">
        <v>0</v>
      </c>
      <c r="I758">
        <v>-1</v>
      </c>
      <c r="J758">
        <v>-1</v>
      </c>
      <c r="K758">
        <v>0</v>
      </c>
      <c r="L758">
        <v>0</v>
      </c>
      <c r="M758">
        <v>4113</v>
      </c>
      <c r="N758">
        <v>6030</v>
      </c>
      <c r="O758">
        <v>16025</v>
      </c>
      <c r="P758">
        <v>24616</v>
      </c>
      <c r="Q758">
        <v>19458</v>
      </c>
      <c r="R758">
        <v>20047</v>
      </c>
      <c r="S758">
        <v>2000</v>
      </c>
      <c r="T758">
        <v>16025</v>
      </c>
      <c r="U758">
        <v>24616</v>
      </c>
      <c r="V758">
        <v>1000</v>
      </c>
      <c r="W758">
        <v>1000</v>
      </c>
      <c r="X758">
        <v>1000</v>
      </c>
      <c r="Y758">
        <v>0</v>
      </c>
    </row>
    <row r="759" spans="1:25" x14ac:dyDescent="0.3">
      <c r="A759">
        <v>758</v>
      </c>
      <c r="B759">
        <v>230000</v>
      </c>
      <c r="C759">
        <v>2</v>
      </c>
      <c r="D759">
        <v>2</v>
      </c>
      <c r="E759">
        <v>1</v>
      </c>
      <c r="F759">
        <v>30</v>
      </c>
      <c r="G759">
        <v>2</v>
      </c>
      <c r="H759">
        <v>0</v>
      </c>
      <c r="I759">
        <v>-1</v>
      </c>
      <c r="J759">
        <v>-1</v>
      </c>
      <c r="K759">
        <v>-1</v>
      </c>
      <c r="L759">
        <v>-1</v>
      </c>
      <c r="M759">
        <v>9636</v>
      </c>
      <c r="N759">
        <v>10152</v>
      </c>
      <c r="O759">
        <v>1817</v>
      </c>
      <c r="P759">
        <v>-828</v>
      </c>
      <c r="Q759">
        <v>6153</v>
      </c>
      <c r="R759">
        <v>12663</v>
      </c>
      <c r="S759">
        <v>1222</v>
      </c>
      <c r="T759">
        <v>1837</v>
      </c>
      <c r="U759">
        <v>0</v>
      </c>
      <c r="V759">
        <v>7863</v>
      </c>
      <c r="W759">
        <v>12675</v>
      </c>
      <c r="X759">
        <v>2959</v>
      </c>
      <c r="Y759">
        <v>1</v>
      </c>
    </row>
    <row r="760" spans="1:25" x14ac:dyDescent="0.3">
      <c r="A760">
        <v>759</v>
      </c>
      <c r="B760">
        <v>420000</v>
      </c>
      <c r="C760">
        <v>2</v>
      </c>
      <c r="D760">
        <v>2</v>
      </c>
      <c r="E760">
        <v>2</v>
      </c>
      <c r="F760">
        <v>31</v>
      </c>
      <c r="G760">
        <v>0</v>
      </c>
      <c r="H760">
        <v>0</v>
      </c>
      <c r="I760">
        <v>0</v>
      </c>
      <c r="J760">
        <v>0</v>
      </c>
      <c r="K760">
        <v>-1</v>
      </c>
      <c r="L760">
        <v>-1</v>
      </c>
      <c r="M760">
        <v>25103</v>
      </c>
      <c r="N760">
        <v>21330</v>
      </c>
      <c r="O760">
        <v>16024</v>
      </c>
      <c r="P760">
        <v>9603</v>
      </c>
      <c r="Q760">
        <v>2131</v>
      </c>
      <c r="R760">
        <v>64507</v>
      </c>
      <c r="S760">
        <v>1509</v>
      </c>
      <c r="T760">
        <v>1067</v>
      </c>
      <c r="U760">
        <v>3061</v>
      </c>
      <c r="V760">
        <v>2210</v>
      </c>
      <c r="W760">
        <v>64524</v>
      </c>
      <c r="X760">
        <v>2324</v>
      </c>
      <c r="Y760">
        <v>0</v>
      </c>
    </row>
    <row r="761" spans="1:25" x14ac:dyDescent="0.3">
      <c r="A761">
        <v>760</v>
      </c>
      <c r="B761">
        <v>30000</v>
      </c>
      <c r="C761">
        <v>2</v>
      </c>
      <c r="D761">
        <v>2</v>
      </c>
      <c r="E761">
        <v>2</v>
      </c>
      <c r="F761">
        <v>24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31319</v>
      </c>
      <c r="N761">
        <v>31181</v>
      </c>
      <c r="O761">
        <v>31540</v>
      </c>
      <c r="P761">
        <v>31016</v>
      </c>
      <c r="Q761">
        <v>30531</v>
      </c>
      <c r="R761">
        <v>30528</v>
      </c>
      <c r="S761">
        <v>1564</v>
      </c>
      <c r="T761">
        <v>1800</v>
      </c>
      <c r="U761">
        <v>1100</v>
      </c>
      <c r="V761">
        <v>1500</v>
      </c>
      <c r="W761">
        <v>1500</v>
      </c>
      <c r="X761">
        <v>3000</v>
      </c>
      <c r="Y761">
        <v>0</v>
      </c>
    </row>
    <row r="762" spans="1:25" x14ac:dyDescent="0.3">
      <c r="A762">
        <v>761</v>
      </c>
      <c r="B762">
        <v>50000</v>
      </c>
      <c r="C762">
        <v>2</v>
      </c>
      <c r="D762">
        <v>2</v>
      </c>
      <c r="E762">
        <v>2</v>
      </c>
      <c r="F762">
        <v>52</v>
      </c>
      <c r="G762">
        <v>1</v>
      </c>
      <c r="H762">
        <v>2</v>
      </c>
      <c r="I762">
        <v>0</v>
      </c>
      <c r="J762">
        <v>0</v>
      </c>
      <c r="K762">
        <v>0</v>
      </c>
      <c r="L762">
        <v>2</v>
      </c>
      <c r="M762">
        <v>43343</v>
      </c>
      <c r="N762">
        <v>43360</v>
      </c>
      <c r="O762">
        <v>23417</v>
      </c>
      <c r="P762">
        <v>21969</v>
      </c>
      <c r="Q762">
        <v>21179</v>
      </c>
      <c r="R762">
        <v>18711</v>
      </c>
      <c r="S762">
        <v>1300</v>
      </c>
      <c r="T762">
        <v>1400</v>
      </c>
      <c r="U762">
        <v>920</v>
      </c>
      <c r="V762">
        <v>1700</v>
      </c>
      <c r="W762">
        <v>0</v>
      </c>
      <c r="X762">
        <v>900</v>
      </c>
      <c r="Y762">
        <v>1</v>
      </c>
    </row>
    <row r="763" spans="1:25" x14ac:dyDescent="0.3">
      <c r="A763">
        <v>762</v>
      </c>
      <c r="B763">
        <v>140000</v>
      </c>
      <c r="C763">
        <v>2</v>
      </c>
      <c r="D763">
        <v>2</v>
      </c>
      <c r="E763">
        <v>2</v>
      </c>
      <c r="F763">
        <v>24</v>
      </c>
      <c r="G763">
        <v>-1</v>
      </c>
      <c r="H763">
        <v>-1</v>
      </c>
      <c r="I763">
        <v>-2</v>
      </c>
      <c r="J763">
        <v>-1</v>
      </c>
      <c r="K763">
        <v>-1</v>
      </c>
      <c r="L763">
        <v>-2</v>
      </c>
      <c r="M763">
        <v>197</v>
      </c>
      <c r="N763">
        <v>0</v>
      </c>
      <c r="O763">
        <v>0</v>
      </c>
      <c r="P763">
        <v>233</v>
      </c>
      <c r="Q763">
        <v>0</v>
      </c>
      <c r="R763">
        <v>0</v>
      </c>
      <c r="S763">
        <v>0</v>
      </c>
      <c r="T763">
        <v>0</v>
      </c>
      <c r="U763">
        <v>233</v>
      </c>
      <c r="V763">
        <v>0</v>
      </c>
      <c r="W763">
        <v>0</v>
      </c>
      <c r="X763">
        <v>0</v>
      </c>
      <c r="Y763">
        <v>0</v>
      </c>
    </row>
    <row r="764" spans="1:25" x14ac:dyDescent="0.3">
      <c r="A764">
        <v>763</v>
      </c>
      <c r="B764">
        <v>260000</v>
      </c>
      <c r="C764">
        <v>2</v>
      </c>
      <c r="D764">
        <v>2</v>
      </c>
      <c r="E764">
        <v>1</v>
      </c>
      <c r="F764">
        <v>35</v>
      </c>
      <c r="G764">
        <v>-1</v>
      </c>
      <c r="H764">
        <v>-1</v>
      </c>
      <c r="I764">
        <v>-1</v>
      </c>
      <c r="J764">
        <v>-1</v>
      </c>
      <c r="K764">
        <v>-1</v>
      </c>
      <c r="L764">
        <v>0</v>
      </c>
      <c r="M764">
        <v>7967</v>
      </c>
      <c r="N764">
        <v>67650</v>
      </c>
      <c r="O764">
        <v>6000</v>
      </c>
      <c r="P764">
        <v>0</v>
      </c>
      <c r="Q764">
        <v>88348</v>
      </c>
      <c r="R764">
        <v>85962</v>
      </c>
      <c r="S764">
        <v>67650</v>
      </c>
      <c r="T764">
        <v>6000</v>
      </c>
      <c r="U764">
        <v>0</v>
      </c>
      <c r="V764">
        <v>88348</v>
      </c>
      <c r="W764">
        <v>5000</v>
      </c>
      <c r="X764">
        <v>25000</v>
      </c>
      <c r="Y764">
        <v>0</v>
      </c>
    </row>
    <row r="765" spans="1:25" x14ac:dyDescent="0.3">
      <c r="A765">
        <v>764</v>
      </c>
      <c r="B765">
        <v>90000</v>
      </c>
      <c r="C765">
        <v>2</v>
      </c>
      <c r="D765">
        <v>3</v>
      </c>
      <c r="E765">
        <v>2</v>
      </c>
      <c r="F765">
        <v>29</v>
      </c>
      <c r="G765">
        <v>-1</v>
      </c>
      <c r="H765">
        <v>2</v>
      </c>
      <c r="I765">
        <v>-1</v>
      </c>
      <c r="J765">
        <v>-1</v>
      </c>
      <c r="K765">
        <v>-1</v>
      </c>
      <c r="L765">
        <v>-2</v>
      </c>
      <c r="M765">
        <v>19450</v>
      </c>
      <c r="N765">
        <v>3123</v>
      </c>
      <c r="O765">
        <v>2121</v>
      </c>
      <c r="P765">
        <v>3113</v>
      </c>
      <c r="Q765">
        <v>0</v>
      </c>
      <c r="R765">
        <v>0</v>
      </c>
      <c r="S765">
        <v>0</v>
      </c>
      <c r="T765">
        <v>3509</v>
      </c>
      <c r="U765">
        <v>3113</v>
      </c>
      <c r="V765">
        <v>0</v>
      </c>
      <c r="W765">
        <v>0</v>
      </c>
      <c r="X765">
        <v>0</v>
      </c>
      <c r="Y765">
        <v>0</v>
      </c>
    </row>
    <row r="766" spans="1:25" x14ac:dyDescent="0.3">
      <c r="A766">
        <v>765</v>
      </c>
      <c r="B766">
        <v>240000</v>
      </c>
      <c r="C766">
        <v>2</v>
      </c>
      <c r="D766">
        <v>2</v>
      </c>
      <c r="E766">
        <v>1</v>
      </c>
      <c r="F766">
        <v>33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240878</v>
      </c>
      <c r="N766">
        <v>233838</v>
      </c>
      <c r="O766">
        <v>238067</v>
      </c>
      <c r="P766">
        <v>242579</v>
      </c>
      <c r="Q766">
        <v>238245</v>
      </c>
      <c r="R766">
        <v>233710</v>
      </c>
      <c r="S766">
        <v>10000</v>
      </c>
      <c r="T766">
        <v>11000</v>
      </c>
      <c r="U766">
        <v>10000</v>
      </c>
      <c r="V766">
        <v>10000</v>
      </c>
      <c r="W766">
        <v>10000</v>
      </c>
      <c r="X766">
        <v>8000</v>
      </c>
      <c r="Y766">
        <v>0</v>
      </c>
    </row>
    <row r="767" spans="1:25" x14ac:dyDescent="0.3">
      <c r="A767">
        <v>766</v>
      </c>
      <c r="B767">
        <v>510000</v>
      </c>
      <c r="C767">
        <v>2</v>
      </c>
      <c r="D767">
        <v>1</v>
      </c>
      <c r="E767">
        <v>2</v>
      </c>
      <c r="F767">
        <v>35</v>
      </c>
      <c r="G767">
        <v>-1</v>
      </c>
      <c r="H767">
        <v>0</v>
      </c>
      <c r="I767">
        <v>0</v>
      </c>
      <c r="J767">
        <v>0</v>
      </c>
      <c r="K767">
        <v>0</v>
      </c>
      <c r="L767">
        <v>-1</v>
      </c>
      <c r="M767">
        <v>2115</v>
      </c>
      <c r="N767">
        <v>2116</v>
      </c>
      <c r="O767">
        <v>5560</v>
      </c>
      <c r="P767">
        <v>4535</v>
      </c>
      <c r="Q767">
        <v>3488</v>
      </c>
      <c r="R767">
        <v>1116</v>
      </c>
      <c r="S767">
        <v>1117</v>
      </c>
      <c r="T767">
        <v>4560</v>
      </c>
      <c r="U767">
        <v>91</v>
      </c>
      <c r="V767">
        <v>69</v>
      </c>
      <c r="W767">
        <v>1116</v>
      </c>
      <c r="X767">
        <v>2115</v>
      </c>
      <c r="Y767">
        <v>0</v>
      </c>
    </row>
    <row r="768" spans="1:25" x14ac:dyDescent="0.3">
      <c r="A768">
        <v>767</v>
      </c>
      <c r="B768">
        <v>110000</v>
      </c>
      <c r="C768">
        <v>2</v>
      </c>
      <c r="D768">
        <v>2</v>
      </c>
      <c r="E768">
        <v>1</v>
      </c>
      <c r="F768">
        <v>35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81665</v>
      </c>
      <c r="N768">
        <v>46070</v>
      </c>
      <c r="O768">
        <v>34419</v>
      </c>
      <c r="P768">
        <v>36829</v>
      </c>
      <c r="Q768">
        <v>38080</v>
      </c>
      <c r="R768">
        <v>40434</v>
      </c>
      <c r="S768">
        <v>2460</v>
      </c>
      <c r="T768">
        <v>2000</v>
      </c>
      <c r="U768">
        <v>3000</v>
      </c>
      <c r="V768">
        <v>2000</v>
      </c>
      <c r="W768">
        <v>3000</v>
      </c>
      <c r="X768">
        <v>5000</v>
      </c>
      <c r="Y768">
        <v>0</v>
      </c>
    </row>
    <row r="769" spans="1:25" x14ac:dyDescent="0.3">
      <c r="A769">
        <v>768</v>
      </c>
      <c r="B769">
        <v>210000</v>
      </c>
      <c r="C769">
        <v>2</v>
      </c>
      <c r="D769">
        <v>1</v>
      </c>
      <c r="E769">
        <v>2</v>
      </c>
      <c r="F769">
        <v>28</v>
      </c>
      <c r="G769">
        <v>-1</v>
      </c>
      <c r="H769">
        <v>-1</v>
      </c>
      <c r="I769">
        <v>-1</v>
      </c>
      <c r="J769">
        <v>0</v>
      </c>
      <c r="K769">
        <v>0</v>
      </c>
      <c r="L769">
        <v>0</v>
      </c>
      <c r="M769">
        <v>11442</v>
      </c>
      <c r="N769">
        <v>3738</v>
      </c>
      <c r="O769">
        <v>7526</v>
      </c>
      <c r="P769">
        <v>10217</v>
      </c>
      <c r="Q769">
        <v>11737</v>
      </c>
      <c r="R769">
        <v>8114</v>
      </c>
      <c r="S769">
        <v>3738</v>
      </c>
      <c r="T769">
        <v>7526</v>
      </c>
      <c r="U769">
        <v>5000</v>
      </c>
      <c r="V769">
        <v>5000</v>
      </c>
      <c r="W769">
        <v>162</v>
      </c>
      <c r="X769">
        <v>27760</v>
      </c>
      <c r="Y769">
        <v>0</v>
      </c>
    </row>
    <row r="770" spans="1:25" x14ac:dyDescent="0.3">
      <c r="A770">
        <v>769</v>
      </c>
      <c r="B770">
        <v>220000</v>
      </c>
      <c r="C770">
        <v>1</v>
      </c>
      <c r="D770">
        <v>2</v>
      </c>
      <c r="E770">
        <v>1</v>
      </c>
      <c r="F770">
        <v>40</v>
      </c>
      <c r="G770">
        <v>-1</v>
      </c>
      <c r="H770">
        <v>-1</v>
      </c>
      <c r="I770">
        <v>-2</v>
      </c>
      <c r="J770">
        <v>-2</v>
      </c>
      <c r="K770">
        <v>-2</v>
      </c>
      <c r="L770">
        <v>-2</v>
      </c>
      <c r="M770">
        <v>158</v>
      </c>
      <c r="N770">
        <v>0</v>
      </c>
      <c r="O770">
        <v>0</v>
      </c>
      <c r="P770">
        <v>0</v>
      </c>
      <c r="Q770">
        <v>0</v>
      </c>
      <c r="R770">
        <v>612</v>
      </c>
      <c r="S770">
        <v>0</v>
      </c>
      <c r="T770">
        <v>0</v>
      </c>
      <c r="U770">
        <v>0</v>
      </c>
      <c r="V770">
        <v>0</v>
      </c>
      <c r="W770">
        <v>612</v>
      </c>
      <c r="X770">
        <v>1863</v>
      </c>
      <c r="Y770">
        <v>0</v>
      </c>
    </row>
    <row r="771" spans="1:25" x14ac:dyDescent="0.3">
      <c r="A771">
        <v>770</v>
      </c>
      <c r="B771">
        <v>200000</v>
      </c>
      <c r="C771">
        <v>2</v>
      </c>
      <c r="D771">
        <v>1</v>
      </c>
      <c r="E771">
        <v>1</v>
      </c>
      <c r="F771">
        <v>35</v>
      </c>
      <c r="G771">
        <v>-2</v>
      </c>
      <c r="H771">
        <v>-2</v>
      </c>
      <c r="I771">
        <v>-2</v>
      </c>
      <c r="J771">
        <v>-2</v>
      </c>
      <c r="K771">
        <v>-2</v>
      </c>
      <c r="L771">
        <v>-2</v>
      </c>
      <c r="M771">
        <v>2257</v>
      </c>
      <c r="N771">
        <v>4261</v>
      </c>
      <c r="O771">
        <v>1265</v>
      </c>
      <c r="P771">
        <v>2473</v>
      </c>
      <c r="Q771">
        <v>0</v>
      </c>
      <c r="R771">
        <v>0</v>
      </c>
      <c r="S771">
        <v>4266</v>
      </c>
      <c r="T771">
        <v>1667</v>
      </c>
      <c r="U771">
        <v>2473</v>
      </c>
      <c r="V771">
        <v>0</v>
      </c>
      <c r="W771">
        <v>0</v>
      </c>
      <c r="X771">
        <v>0</v>
      </c>
      <c r="Y771">
        <v>0</v>
      </c>
    </row>
    <row r="772" spans="1:25" x14ac:dyDescent="0.3">
      <c r="A772">
        <v>771</v>
      </c>
      <c r="B772">
        <v>360000</v>
      </c>
      <c r="C772">
        <v>2</v>
      </c>
      <c r="D772">
        <v>2</v>
      </c>
      <c r="E772">
        <v>2</v>
      </c>
      <c r="F772">
        <v>53</v>
      </c>
      <c r="G772">
        <v>-1</v>
      </c>
      <c r="H772">
        <v>-1</v>
      </c>
      <c r="I772">
        <v>-1</v>
      </c>
      <c r="J772">
        <v>-1</v>
      </c>
      <c r="K772">
        <v>-1</v>
      </c>
      <c r="L772">
        <v>-1</v>
      </c>
      <c r="M772">
        <v>10733</v>
      </c>
      <c r="N772">
        <v>15206</v>
      </c>
      <c r="O772">
        <v>15000</v>
      </c>
      <c r="P772">
        <v>9744</v>
      </c>
      <c r="Q772">
        <v>11114</v>
      </c>
      <c r="R772">
        <v>8123</v>
      </c>
      <c r="S772">
        <v>15206</v>
      </c>
      <c r="T772">
        <v>15032</v>
      </c>
      <c r="U772">
        <v>9769</v>
      </c>
      <c r="V772">
        <v>11114</v>
      </c>
      <c r="W772">
        <v>8123</v>
      </c>
      <c r="X772">
        <v>8736</v>
      </c>
      <c r="Y772">
        <v>0</v>
      </c>
    </row>
    <row r="773" spans="1:25" x14ac:dyDescent="0.3">
      <c r="A773">
        <v>772</v>
      </c>
      <c r="B773">
        <v>260000</v>
      </c>
      <c r="C773">
        <v>1</v>
      </c>
      <c r="D773">
        <v>1</v>
      </c>
      <c r="E773">
        <v>2</v>
      </c>
      <c r="F773">
        <v>44</v>
      </c>
      <c r="G773">
        <v>-1</v>
      </c>
      <c r="H773">
        <v>-1</v>
      </c>
      <c r="I773">
        <v>-1</v>
      </c>
      <c r="J773">
        <v>-1</v>
      </c>
      <c r="K773">
        <v>-1</v>
      </c>
      <c r="L773">
        <v>-1</v>
      </c>
      <c r="M773">
        <v>316</v>
      </c>
      <c r="N773">
        <v>316</v>
      </c>
      <c r="O773">
        <v>316</v>
      </c>
      <c r="P773">
        <v>316</v>
      </c>
      <c r="Q773">
        <v>316</v>
      </c>
      <c r="R773">
        <v>466</v>
      </c>
      <c r="S773">
        <v>316</v>
      </c>
      <c r="T773">
        <v>316</v>
      </c>
      <c r="U773">
        <v>316</v>
      </c>
      <c r="V773">
        <v>316</v>
      </c>
      <c r="W773">
        <v>466</v>
      </c>
      <c r="X773">
        <v>316</v>
      </c>
      <c r="Y773">
        <v>0</v>
      </c>
    </row>
    <row r="774" spans="1:25" x14ac:dyDescent="0.3">
      <c r="A774">
        <v>773</v>
      </c>
      <c r="B774">
        <v>20000</v>
      </c>
      <c r="C774">
        <v>1</v>
      </c>
      <c r="D774">
        <v>2</v>
      </c>
      <c r="E774">
        <v>1</v>
      </c>
      <c r="F774">
        <v>33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11026</v>
      </c>
      <c r="N774">
        <v>9535</v>
      </c>
      <c r="O774">
        <v>10510</v>
      </c>
      <c r="P774">
        <v>10472</v>
      </c>
      <c r="Q774">
        <v>10140</v>
      </c>
      <c r="R774">
        <v>10101</v>
      </c>
      <c r="S774">
        <v>1174</v>
      </c>
      <c r="T774">
        <v>1149</v>
      </c>
      <c r="U774">
        <v>501</v>
      </c>
      <c r="V774">
        <v>356</v>
      </c>
      <c r="W774">
        <v>507</v>
      </c>
      <c r="X774">
        <v>458</v>
      </c>
      <c r="Y774">
        <v>0</v>
      </c>
    </row>
    <row r="775" spans="1:25" x14ac:dyDescent="0.3">
      <c r="A775">
        <v>774</v>
      </c>
      <c r="B775">
        <v>120000</v>
      </c>
      <c r="C775">
        <v>2</v>
      </c>
      <c r="D775">
        <v>2</v>
      </c>
      <c r="E775">
        <v>1</v>
      </c>
      <c r="F775">
        <v>32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113869</v>
      </c>
      <c r="N775">
        <v>116110</v>
      </c>
      <c r="O775">
        <v>111978</v>
      </c>
      <c r="P775">
        <v>112822</v>
      </c>
      <c r="Q775">
        <v>114969</v>
      </c>
      <c r="R775">
        <v>117949</v>
      </c>
      <c r="S775">
        <v>5498</v>
      </c>
      <c r="T775">
        <v>5500</v>
      </c>
      <c r="U775">
        <v>4000</v>
      </c>
      <c r="V775">
        <v>4300</v>
      </c>
      <c r="W775">
        <v>5012</v>
      </c>
      <c r="X775">
        <v>4003</v>
      </c>
      <c r="Y775">
        <v>0</v>
      </c>
    </row>
    <row r="776" spans="1:25" x14ac:dyDescent="0.3">
      <c r="A776">
        <v>775</v>
      </c>
      <c r="B776">
        <v>50000</v>
      </c>
      <c r="C776">
        <v>2</v>
      </c>
      <c r="D776">
        <v>1</v>
      </c>
      <c r="E776">
        <v>2</v>
      </c>
      <c r="F776">
        <v>33</v>
      </c>
      <c r="G776">
        <v>-1</v>
      </c>
      <c r="H776">
        <v>2</v>
      </c>
      <c r="I776">
        <v>-1</v>
      </c>
      <c r="J776">
        <v>-1</v>
      </c>
      <c r="K776">
        <v>-1</v>
      </c>
      <c r="L776">
        <v>-2</v>
      </c>
      <c r="M776">
        <v>7363</v>
      </c>
      <c r="N776">
        <v>5180</v>
      </c>
      <c r="O776">
        <v>31902</v>
      </c>
      <c r="P776">
        <v>11044</v>
      </c>
      <c r="Q776">
        <v>0</v>
      </c>
      <c r="R776">
        <v>0</v>
      </c>
      <c r="S776">
        <v>39</v>
      </c>
      <c r="T776">
        <v>32013</v>
      </c>
      <c r="U776">
        <v>11079</v>
      </c>
      <c r="V776">
        <v>0</v>
      </c>
      <c r="W776">
        <v>0</v>
      </c>
      <c r="X776">
        <v>0</v>
      </c>
      <c r="Y776">
        <v>0</v>
      </c>
    </row>
    <row r="777" spans="1:25" x14ac:dyDescent="0.3">
      <c r="A777">
        <v>776</v>
      </c>
      <c r="B777">
        <v>60000</v>
      </c>
      <c r="C777">
        <v>2</v>
      </c>
      <c r="D777">
        <v>1</v>
      </c>
      <c r="E777">
        <v>2</v>
      </c>
      <c r="F777">
        <v>26</v>
      </c>
      <c r="G777">
        <v>1</v>
      </c>
      <c r="H777">
        <v>2</v>
      </c>
      <c r="I777">
        <v>0</v>
      </c>
      <c r="J777">
        <v>0</v>
      </c>
      <c r="K777">
        <v>0</v>
      </c>
      <c r="L777">
        <v>0</v>
      </c>
      <c r="M777">
        <v>29649</v>
      </c>
      <c r="N777">
        <v>21657</v>
      </c>
      <c r="O777">
        <v>28736</v>
      </c>
      <c r="P777">
        <v>42733</v>
      </c>
      <c r="Q777">
        <v>46404</v>
      </c>
      <c r="R777">
        <v>37993</v>
      </c>
      <c r="S777">
        <v>0</v>
      </c>
      <c r="T777">
        <v>8000</v>
      </c>
      <c r="U777">
        <v>15000</v>
      </c>
      <c r="V777">
        <v>9000</v>
      </c>
      <c r="W777">
        <v>10000</v>
      </c>
      <c r="X777">
        <v>0</v>
      </c>
      <c r="Y777">
        <v>0</v>
      </c>
    </row>
    <row r="778" spans="1:25" x14ac:dyDescent="0.3">
      <c r="A778">
        <v>777</v>
      </c>
      <c r="B778">
        <v>200000</v>
      </c>
      <c r="C778">
        <v>1</v>
      </c>
      <c r="D778">
        <v>1</v>
      </c>
      <c r="E778">
        <v>2</v>
      </c>
      <c r="F778">
        <v>26</v>
      </c>
      <c r="G778">
        <v>-2</v>
      </c>
      <c r="H778">
        <v>-2</v>
      </c>
      <c r="I778">
        <v>-2</v>
      </c>
      <c r="J778">
        <v>-2</v>
      </c>
      <c r="K778">
        <v>-1</v>
      </c>
      <c r="L778">
        <v>-1</v>
      </c>
      <c r="M778">
        <v>12716</v>
      </c>
      <c r="N778">
        <v>16164</v>
      </c>
      <c r="O778">
        <v>1954</v>
      </c>
      <c r="P778">
        <v>5297</v>
      </c>
      <c r="Q778">
        <v>1483</v>
      </c>
      <c r="R778">
        <v>3393</v>
      </c>
      <c r="S778">
        <v>16244</v>
      </c>
      <c r="T778">
        <v>1963</v>
      </c>
      <c r="U778">
        <v>3359</v>
      </c>
      <c r="V778">
        <v>4849</v>
      </c>
      <c r="W778">
        <v>3410</v>
      </c>
      <c r="X778">
        <v>2994</v>
      </c>
      <c r="Y778">
        <v>0</v>
      </c>
    </row>
    <row r="779" spans="1:25" x14ac:dyDescent="0.3">
      <c r="A779">
        <v>778</v>
      </c>
      <c r="B779">
        <v>20000</v>
      </c>
      <c r="C779">
        <v>1</v>
      </c>
      <c r="D779">
        <v>2</v>
      </c>
      <c r="E779">
        <v>2</v>
      </c>
      <c r="F779">
        <v>26</v>
      </c>
      <c r="G779">
        <v>-1</v>
      </c>
      <c r="H779">
        <v>-1</v>
      </c>
      <c r="I779">
        <v>-1</v>
      </c>
      <c r="J779">
        <v>-1</v>
      </c>
      <c r="K779">
        <v>-2</v>
      </c>
      <c r="L779">
        <v>-1</v>
      </c>
      <c r="M779">
        <v>1438</v>
      </c>
      <c r="N779">
        <v>1261</v>
      </c>
      <c r="O779">
        <v>451</v>
      </c>
      <c r="P779">
        <v>-810</v>
      </c>
      <c r="Q779">
        <v>-420</v>
      </c>
      <c r="R779">
        <v>1320</v>
      </c>
      <c r="S779">
        <v>1261</v>
      </c>
      <c r="T779">
        <v>451</v>
      </c>
      <c r="U779">
        <v>0</v>
      </c>
      <c r="V779">
        <v>780</v>
      </c>
      <c r="W779">
        <v>2130</v>
      </c>
      <c r="X779">
        <v>0</v>
      </c>
      <c r="Y779">
        <v>0</v>
      </c>
    </row>
    <row r="780" spans="1:25" x14ac:dyDescent="0.3">
      <c r="A780">
        <v>779</v>
      </c>
      <c r="B780">
        <v>50000</v>
      </c>
      <c r="C780">
        <v>2</v>
      </c>
      <c r="D780">
        <v>1</v>
      </c>
      <c r="E780">
        <v>1</v>
      </c>
      <c r="F780">
        <v>32</v>
      </c>
      <c r="G780">
        <v>2</v>
      </c>
      <c r="H780">
        <v>0</v>
      </c>
      <c r="I780">
        <v>0</v>
      </c>
      <c r="J780">
        <v>-1</v>
      </c>
      <c r="K780">
        <v>0</v>
      </c>
      <c r="L780">
        <v>-1</v>
      </c>
      <c r="M780">
        <v>47858</v>
      </c>
      <c r="N780">
        <v>49223</v>
      </c>
      <c r="O780">
        <v>42589</v>
      </c>
      <c r="P780">
        <v>639</v>
      </c>
      <c r="Q780">
        <v>4639</v>
      </c>
      <c r="R780">
        <v>2312</v>
      </c>
      <c r="S780">
        <v>2500</v>
      </c>
      <c r="T780">
        <v>3000</v>
      </c>
      <c r="U780">
        <v>7000</v>
      </c>
      <c r="V780">
        <v>4000</v>
      </c>
      <c r="W780">
        <v>2413</v>
      </c>
      <c r="X780">
        <v>2000</v>
      </c>
      <c r="Y780">
        <v>1</v>
      </c>
    </row>
    <row r="781" spans="1:25" x14ac:dyDescent="0.3">
      <c r="A781">
        <v>780</v>
      </c>
      <c r="B781">
        <v>50000</v>
      </c>
      <c r="C781">
        <v>2</v>
      </c>
      <c r="D781">
        <v>2</v>
      </c>
      <c r="E781">
        <v>2</v>
      </c>
      <c r="F781">
        <v>31</v>
      </c>
      <c r="G781">
        <v>1</v>
      </c>
      <c r="H781">
        <v>-2</v>
      </c>
      <c r="I781">
        <v>-1</v>
      </c>
      <c r="J781">
        <v>-1</v>
      </c>
      <c r="K781">
        <v>-1</v>
      </c>
      <c r="L781">
        <v>2</v>
      </c>
      <c r="M781">
        <v>0</v>
      </c>
      <c r="N781">
        <v>0</v>
      </c>
      <c r="O781">
        <v>190</v>
      </c>
      <c r="P781">
        <v>0</v>
      </c>
      <c r="Q781">
        <v>36059</v>
      </c>
      <c r="R781">
        <v>32851</v>
      </c>
      <c r="S781">
        <v>0</v>
      </c>
      <c r="T781">
        <v>190</v>
      </c>
      <c r="U781">
        <v>0</v>
      </c>
      <c r="V781">
        <v>36059</v>
      </c>
      <c r="W781">
        <v>0</v>
      </c>
      <c r="X781">
        <v>2420</v>
      </c>
      <c r="Y781">
        <v>0</v>
      </c>
    </row>
    <row r="782" spans="1:25" x14ac:dyDescent="0.3">
      <c r="A782">
        <v>781</v>
      </c>
      <c r="B782">
        <v>230000</v>
      </c>
      <c r="C782">
        <v>1</v>
      </c>
      <c r="D782">
        <v>1</v>
      </c>
      <c r="E782">
        <v>2</v>
      </c>
      <c r="F782">
        <v>29</v>
      </c>
      <c r="G782">
        <v>0</v>
      </c>
      <c r="H782">
        <v>0</v>
      </c>
      <c r="I782">
        <v>2</v>
      </c>
      <c r="J782">
        <v>2</v>
      </c>
      <c r="K782">
        <v>2</v>
      </c>
      <c r="L782">
        <v>0</v>
      </c>
      <c r="M782">
        <v>40732</v>
      </c>
      <c r="N782">
        <v>44563</v>
      </c>
      <c r="O782">
        <v>42804</v>
      </c>
      <c r="P782">
        <v>44020</v>
      </c>
      <c r="Q782">
        <v>41278</v>
      </c>
      <c r="R782">
        <v>34672</v>
      </c>
      <c r="S782">
        <v>5000</v>
      </c>
      <c r="T782">
        <v>0</v>
      </c>
      <c r="U782">
        <v>3000</v>
      </c>
      <c r="V782">
        <v>0</v>
      </c>
      <c r="W782">
        <v>3000</v>
      </c>
      <c r="X782">
        <v>3000</v>
      </c>
      <c r="Y782">
        <v>0</v>
      </c>
    </row>
    <row r="783" spans="1:25" x14ac:dyDescent="0.3">
      <c r="A783">
        <v>782</v>
      </c>
      <c r="B783">
        <v>50000</v>
      </c>
      <c r="C783">
        <v>1</v>
      </c>
      <c r="D783">
        <v>2</v>
      </c>
      <c r="E783">
        <v>1</v>
      </c>
      <c r="F783">
        <v>27</v>
      </c>
      <c r="G783">
        <v>-1</v>
      </c>
      <c r="H783">
        <v>-1</v>
      </c>
      <c r="I783">
        <v>2</v>
      </c>
      <c r="J783">
        <v>-1</v>
      </c>
      <c r="K783">
        <v>-1</v>
      </c>
      <c r="L783">
        <v>-1</v>
      </c>
      <c r="M783">
        <v>819</v>
      </c>
      <c r="N783">
        <v>3003</v>
      </c>
      <c r="O783">
        <v>1677</v>
      </c>
      <c r="P783">
        <v>1177</v>
      </c>
      <c r="Q783">
        <v>1313</v>
      </c>
      <c r="R783">
        <v>1085</v>
      </c>
      <c r="S783">
        <v>2184</v>
      </c>
      <c r="T783">
        <v>5</v>
      </c>
      <c r="U783">
        <v>1180</v>
      </c>
      <c r="V783">
        <v>1316</v>
      </c>
      <c r="W783">
        <v>1088</v>
      </c>
      <c r="X783">
        <v>0</v>
      </c>
      <c r="Y783">
        <v>0</v>
      </c>
    </row>
    <row r="784" spans="1:25" x14ac:dyDescent="0.3">
      <c r="A784">
        <v>783</v>
      </c>
      <c r="B784">
        <v>100000</v>
      </c>
      <c r="C784">
        <v>2</v>
      </c>
      <c r="D784">
        <v>1</v>
      </c>
      <c r="E784">
        <v>2</v>
      </c>
      <c r="F784">
        <v>28</v>
      </c>
      <c r="G784">
        <v>2</v>
      </c>
      <c r="H784">
        <v>2</v>
      </c>
      <c r="I784">
        <v>2</v>
      </c>
      <c r="J784">
        <v>2</v>
      </c>
      <c r="K784">
        <v>2</v>
      </c>
      <c r="L784">
        <v>2</v>
      </c>
      <c r="M784">
        <v>79580</v>
      </c>
      <c r="N784">
        <v>81493</v>
      </c>
      <c r="O784">
        <v>82759</v>
      </c>
      <c r="P784">
        <v>83609</v>
      </c>
      <c r="Q784">
        <v>85325</v>
      </c>
      <c r="R784">
        <v>87096</v>
      </c>
      <c r="S784">
        <v>3790</v>
      </c>
      <c r="T784">
        <v>3200</v>
      </c>
      <c r="U784">
        <v>3100</v>
      </c>
      <c r="V784">
        <v>3200</v>
      </c>
      <c r="W784">
        <v>3332</v>
      </c>
      <c r="X784">
        <v>3280</v>
      </c>
      <c r="Y784">
        <v>1</v>
      </c>
    </row>
    <row r="785" spans="1:25" x14ac:dyDescent="0.3">
      <c r="A785">
        <v>784</v>
      </c>
      <c r="B785">
        <v>210000</v>
      </c>
      <c r="C785">
        <v>2</v>
      </c>
      <c r="D785">
        <v>1</v>
      </c>
      <c r="E785">
        <v>1</v>
      </c>
      <c r="F785">
        <v>42</v>
      </c>
      <c r="G785">
        <v>1</v>
      </c>
      <c r="H785">
        <v>-2</v>
      </c>
      <c r="I785">
        <v>-1</v>
      </c>
      <c r="J785">
        <v>-1</v>
      </c>
      <c r="K785">
        <v>-2</v>
      </c>
      <c r="L785">
        <v>-2</v>
      </c>
      <c r="M785">
        <v>0</v>
      </c>
      <c r="N785">
        <v>0</v>
      </c>
      <c r="O785">
        <v>2490</v>
      </c>
      <c r="P785">
        <v>0</v>
      </c>
      <c r="Q785">
        <v>0</v>
      </c>
      <c r="R785">
        <v>0</v>
      </c>
      <c r="S785">
        <v>0</v>
      </c>
      <c r="T785">
        <v>2490</v>
      </c>
      <c r="U785">
        <v>0</v>
      </c>
      <c r="V785">
        <v>0</v>
      </c>
      <c r="W785">
        <v>0</v>
      </c>
      <c r="X785">
        <v>0</v>
      </c>
      <c r="Y785">
        <v>1</v>
      </c>
    </row>
    <row r="786" spans="1:25" x14ac:dyDescent="0.3">
      <c r="A786">
        <v>785</v>
      </c>
      <c r="B786">
        <v>230000</v>
      </c>
      <c r="C786">
        <v>2</v>
      </c>
      <c r="D786">
        <v>2</v>
      </c>
      <c r="E786">
        <v>1</v>
      </c>
      <c r="F786">
        <v>32</v>
      </c>
      <c r="G786">
        <v>0</v>
      </c>
      <c r="H786">
        <v>0</v>
      </c>
      <c r="I786">
        <v>0</v>
      </c>
      <c r="J786">
        <v>0</v>
      </c>
      <c r="K786">
        <v>2</v>
      </c>
      <c r="L786">
        <v>0</v>
      </c>
      <c r="M786">
        <v>87764</v>
      </c>
      <c r="N786">
        <v>73526</v>
      </c>
      <c r="O786">
        <v>72376</v>
      </c>
      <c r="P786">
        <v>76870</v>
      </c>
      <c r="Q786">
        <v>75211</v>
      </c>
      <c r="R786">
        <v>76645</v>
      </c>
      <c r="S786">
        <v>2630</v>
      </c>
      <c r="T786">
        <v>2614</v>
      </c>
      <c r="U786">
        <v>6000</v>
      </c>
      <c r="V786">
        <v>0</v>
      </c>
      <c r="W786">
        <v>3000</v>
      </c>
      <c r="X786">
        <v>2800</v>
      </c>
      <c r="Y786">
        <v>1</v>
      </c>
    </row>
    <row r="787" spans="1:25" x14ac:dyDescent="0.3">
      <c r="A787">
        <v>786</v>
      </c>
      <c r="B787">
        <v>500000</v>
      </c>
      <c r="C787">
        <v>2</v>
      </c>
      <c r="D787">
        <v>1</v>
      </c>
      <c r="E787">
        <v>2</v>
      </c>
      <c r="F787">
        <v>26</v>
      </c>
      <c r="G787">
        <v>1</v>
      </c>
      <c r="H787">
        <v>-2</v>
      </c>
      <c r="I787">
        <v>-2</v>
      </c>
      <c r="J787">
        <v>-2</v>
      </c>
      <c r="K787">
        <v>-2</v>
      </c>
      <c r="L787">
        <v>-2</v>
      </c>
      <c r="M787">
        <v>31421</v>
      </c>
      <c r="N787">
        <v>22150</v>
      </c>
      <c r="O787">
        <v>0</v>
      </c>
      <c r="P787">
        <v>0</v>
      </c>
      <c r="Q787">
        <v>0</v>
      </c>
      <c r="R787">
        <v>0</v>
      </c>
      <c r="S787">
        <v>22157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</row>
    <row r="788" spans="1:25" x14ac:dyDescent="0.3">
      <c r="A788">
        <v>787</v>
      </c>
      <c r="B788">
        <v>370000</v>
      </c>
      <c r="C788">
        <v>2</v>
      </c>
      <c r="D788">
        <v>1</v>
      </c>
      <c r="E788">
        <v>2</v>
      </c>
      <c r="F788">
        <v>38</v>
      </c>
      <c r="G788">
        <v>-1</v>
      </c>
      <c r="H788">
        <v>-1</v>
      </c>
      <c r="I788">
        <v>-1</v>
      </c>
      <c r="J788">
        <v>-1</v>
      </c>
      <c r="K788">
        <v>-1</v>
      </c>
      <c r="L788">
        <v>-1</v>
      </c>
      <c r="M788">
        <v>929</v>
      </c>
      <c r="N788">
        <v>328</v>
      </c>
      <c r="O788">
        <v>0</v>
      </c>
      <c r="P788">
        <v>1539</v>
      </c>
      <c r="Q788">
        <v>1815</v>
      </c>
      <c r="R788">
        <v>0</v>
      </c>
      <c r="S788">
        <v>328</v>
      </c>
      <c r="T788">
        <v>0</v>
      </c>
      <c r="U788">
        <v>1539</v>
      </c>
      <c r="V788">
        <v>1815</v>
      </c>
      <c r="W788">
        <v>0</v>
      </c>
      <c r="X788">
        <v>0</v>
      </c>
      <c r="Y788">
        <v>0</v>
      </c>
    </row>
    <row r="789" spans="1:25" x14ac:dyDescent="0.3">
      <c r="A789">
        <v>788</v>
      </c>
      <c r="B789">
        <v>230000</v>
      </c>
      <c r="C789">
        <v>2</v>
      </c>
      <c r="D789">
        <v>1</v>
      </c>
      <c r="E789">
        <v>1</v>
      </c>
      <c r="F789">
        <v>35</v>
      </c>
      <c r="G789">
        <v>-1</v>
      </c>
      <c r="H789">
        <v>-1</v>
      </c>
      <c r="I789">
        <v>-1</v>
      </c>
      <c r="J789">
        <v>-1</v>
      </c>
      <c r="K789">
        <v>0</v>
      </c>
      <c r="L789">
        <v>0</v>
      </c>
      <c r="M789">
        <v>2648</v>
      </c>
      <c r="N789">
        <v>191</v>
      </c>
      <c r="O789">
        <v>1947</v>
      </c>
      <c r="P789">
        <v>11674</v>
      </c>
      <c r="Q789">
        <v>16160</v>
      </c>
      <c r="R789">
        <v>32519</v>
      </c>
      <c r="S789">
        <v>200</v>
      </c>
      <c r="T789">
        <v>1950</v>
      </c>
      <c r="U789">
        <v>11692</v>
      </c>
      <c r="V789">
        <v>10000</v>
      </c>
      <c r="W789">
        <v>20000</v>
      </c>
      <c r="X789">
        <v>6000</v>
      </c>
      <c r="Y789">
        <v>0</v>
      </c>
    </row>
    <row r="790" spans="1:25" x14ac:dyDescent="0.3">
      <c r="A790">
        <v>789</v>
      </c>
      <c r="B790">
        <v>80000</v>
      </c>
      <c r="C790">
        <v>1</v>
      </c>
      <c r="D790">
        <v>2</v>
      </c>
      <c r="E790">
        <v>2</v>
      </c>
      <c r="F790">
        <v>29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11894</v>
      </c>
      <c r="N790">
        <v>12287</v>
      </c>
      <c r="O790">
        <v>12407</v>
      </c>
      <c r="P790">
        <v>14360</v>
      </c>
      <c r="Q790">
        <v>14657</v>
      </c>
      <c r="R790">
        <v>4129</v>
      </c>
      <c r="S790">
        <v>1284</v>
      </c>
      <c r="T790">
        <v>1047</v>
      </c>
      <c r="U790">
        <v>2000</v>
      </c>
      <c r="V790">
        <v>359</v>
      </c>
      <c r="W790">
        <v>175</v>
      </c>
      <c r="X790">
        <v>1000</v>
      </c>
      <c r="Y790">
        <v>0</v>
      </c>
    </row>
    <row r="791" spans="1:25" x14ac:dyDescent="0.3">
      <c r="A791">
        <v>790</v>
      </c>
      <c r="B791">
        <v>60000</v>
      </c>
      <c r="C791">
        <v>2</v>
      </c>
      <c r="D791">
        <v>2</v>
      </c>
      <c r="E791">
        <v>2</v>
      </c>
      <c r="F791">
        <v>29</v>
      </c>
      <c r="G791">
        <v>-1</v>
      </c>
      <c r="H791">
        <v>0</v>
      </c>
      <c r="I791">
        <v>0</v>
      </c>
      <c r="J791">
        <v>0</v>
      </c>
      <c r="K791">
        <v>-2</v>
      </c>
      <c r="L791">
        <v>-2</v>
      </c>
      <c r="M791">
        <v>55064</v>
      </c>
      <c r="N791">
        <v>57833</v>
      </c>
      <c r="O791">
        <v>9479</v>
      </c>
      <c r="P791">
        <v>0</v>
      </c>
      <c r="Q791">
        <v>0</v>
      </c>
      <c r="R791">
        <v>0</v>
      </c>
      <c r="S791">
        <v>5000</v>
      </c>
      <c r="T791">
        <v>1033</v>
      </c>
      <c r="U791">
        <v>0</v>
      </c>
      <c r="V791">
        <v>0</v>
      </c>
      <c r="W791">
        <v>0</v>
      </c>
      <c r="X791">
        <v>0</v>
      </c>
      <c r="Y791">
        <v>0</v>
      </c>
    </row>
    <row r="792" spans="1:25" x14ac:dyDescent="0.3">
      <c r="A792">
        <v>791</v>
      </c>
      <c r="B792">
        <v>30000</v>
      </c>
      <c r="C792">
        <v>2</v>
      </c>
      <c r="D792">
        <v>2</v>
      </c>
      <c r="E792">
        <v>2</v>
      </c>
      <c r="F792">
        <v>51</v>
      </c>
      <c r="G792">
        <v>1</v>
      </c>
      <c r="H792">
        <v>2</v>
      </c>
      <c r="I792">
        <v>2</v>
      </c>
      <c r="J792">
        <v>0</v>
      </c>
      <c r="K792">
        <v>0</v>
      </c>
      <c r="L792">
        <v>0</v>
      </c>
      <c r="M792">
        <v>25382</v>
      </c>
      <c r="N792">
        <v>26480</v>
      </c>
      <c r="O792">
        <v>25761</v>
      </c>
      <c r="P792">
        <v>25964</v>
      </c>
      <c r="Q792">
        <v>26507</v>
      </c>
      <c r="R792">
        <v>27249</v>
      </c>
      <c r="S792">
        <v>1800</v>
      </c>
      <c r="T792">
        <v>0</v>
      </c>
      <c r="U792">
        <v>928</v>
      </c>
      <c r="V792">
        <v>960</v>
      </c>
      <c r="W792">
        <v>1181</v>
      </c>
      <c r="X792">
        <v>967</v>
      </c>
      <c r="Y792">
        <v>0</v>
      </c>
    </row>
    <row r="793" spans="1:25" x14ac:dyDescent="0.3">
      <c r="A793">
        <v>792</v>
      </c>
      <c r="B793">
        <v>70000</v>
      </c>
      <c r="C793">
        <v>1</v>
      </c>
      <c r="D793">
        <v>1</v>
      </c>
      <c r="E793">
        <v>2</v>
      </c>
      <c r="F793">
        <v>27</v>
      </c>
      <c r="G793">
        <v>1</v>
      </c>
      <c r="H793">
        <v>-1</v>
      </c>
      <c r="I793">
        <v>-1</v>
      </c>
      <c r="J793">
        <v>-1</v>
      </c>
      <c r="K793">
        <v>-2</v>
      </c>
      <c r="L793">
        <v>-1</v>
      </c>
      <c r="M793">
        <v>-54</v>
      </c>
      <c r="N793">
        <v>273</v>
      </c>
      <c r="O793">
        <v>19</v>
      </c>
      <c r="P793">
        <v>-254</v>
      </c>
      <c r="Q793">
        <v>-527</v>
      </c>
      <c r="R793">
        <v>1096</v>
      </c>
      <c r="S793">
        <v>600</v>
      </c>
      <c r="T793">
        <v>19</v>
      </c>
      <c r="U793">
        <v>0</v>
      </c>
      <c r="V793">
        <v>0</v>
      </c>
      <c r="W793">
        <v>1896</v>
      </c>
      <c r="X793">
        <v>0</v>
      </c>
      <c r="Y793">
        <v>0</v>
      </c>
    </row>
    <row r="794" spans="1:25" x14ac:dyDescent="0.3">
      <c r="A794">
        <v>793</v>
      </c>
      <c r="B794">
        <v>410000</v>
      </c>
      <c r="C794">
        <v>1</v>
      </c>
      <c r="D794">
        <v>1</v>
      </c>
      <c r="E794">
        <v>2</v>
      </c>
      <c r="F794">
        <v>32</v>
      </c>
      <c r="G794">
        <v>-1</v>
      </c>
      <c r="H794">
        <v>-1</v>
      </c>
      <c r="I794">
        <v>-1</v>
      </c>
      <c r="J794">
        <v>-2</v>
      </c>
      <c r="K794">
        <v>-2</v>
      </c>
      <c r="L794">
        <v>-2</v>
      </c>
      <c r="M794">
        <v>5335</v>
      </c>
      <c r="N794">
        <v>5369</v>
      </c>
      <c r="O794">
        <v>-281</v>
      </c>
      <c r="P794">
        <v>-281</v>
      </c>
      <c r="Q794">
        <v>-281</v>
      </c>
      <c r="R794">
        <v>-281</v>
      </c>
      <c r="S794">
        <v>5400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</row>
    <row r="795" spans="1:25" x14ac:dyDescent="0.3">
      <c r="A795">
        <v>794</v>
      </c>
      <c r="B795">
        <v>280000</v>
      </c>
      <c r="C795">
        <v>2</v>
      </c>
      <c r="D795">
        <v>3</v>
      </c>
      <c r="E795">
        <v>1</v>
      </c>
      <c r="F795">
        <v>40</v>
      </c>
      <c r="G795">
        <v>1</v>
      </c>
      <c r="H795">
        <v>-2</v>
      </c>
      <c r="I795">
        <v>-2</v>
      </c>
      <c r="J795">
        <v>-2</v>
      </c>
      <c r="K795">
        <v>-2</v>
      </c>
      <c r="L795">
        <v>-2</v>
      </c>
      <c r="M795">
        <v>-288</v>
      </c>
      <c r="N795">
        <v>-288</v>
      </c>
      <c r="O795">
        <v>-288</v>
      </c>
      <c r="P795">
        <v>-288</v>
      </c>
      <c r="Q795">
        <v>-288</v>
      </c>
      <c r="R795">
        <v>2124</v>
      </c>
      <c r="S795">
        <v>0</v>
      </c>
      <c r="T795">
        <v>0</v>
      </c>
      <c r="U795">
        <v>0</v>
      </c>
      <c r="V795">
        <v>0</v>
      </c>
      <c r="W795">
        <v>2412</v>
      </c>
      <c r="X795">
        <v>0</v>
      </c>
      <c r="Y795">
        <v>0</v>
      </c>
    </row>
    <row r="796" spans="1:25" x14ac:dyDescent="0.3">
      <c r="A796">
        <v>795</v>
      </c>
      <c r="B796">
        <v>50000</v>
      </c>
      <c r="C796">
        <v>2</v>
      </c>
      <c r="D796">
        <v>1</v>
      </c>
      <c r="E796">
        <v>1</v>
      </c>
      <c r="F796">
        <v>34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46750</v>
      </c>
      <c r="N796">
        <v>48317</v>
      </c>
      <c r="O796">
        <v>48282</v>
      </c>
      <c r="P796">
        <v>18299</v>
      </c>
      <c r="Q796">
        <v>19323</v>
      </c>
      <c r="R796">
        <v>20329</v>
      </c>
      <c r="S796">
        <v>2320</v>
      </c>
      <c r="T796">
        <v>1282</v>
      </c>
      <c r="U796">
        <v>3299</v>
      </c>
      <c r="V796">
        <v>1323</v>
      </c>
      <c r="W796">
        <v>1329</v>
      </c>
      <c r="X796">
        <v>1114</v>
      </c>
      <c r="Y796">
        <v>0</v>
      </c>
    </row>
    <row r="797" spans="1:25" x14ac:dyDescent="0.3">
      <c r="A797">
        <v>796</v>
      </c>
      <c r="B797">
        <v>100000</v>
      </c>
      <c r="C797">
        <v>2</v>
      </c>
      <c r="D797">
        <v>2</v>
      </c>
      <c r="E797">
        <v>1</v>
      </c>
      <c r="F797">
        <v>30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97062</v>
      </c>
      <c r="N797">
        <v>74352</v>
      </c>
      <c r="O797">
        <v>75004</v>
      </c>
      <c r="P797">
        <v>76705</v>
      </c>
      <c r="Q797">
        <v>78168</v>
      </c>
      <c r="R797">
        <v>80347</v>
      </c>
      <c r="S797">
        <v>2800</v>
      </c>
      <c r="T797">
        <v>2700</v>
      </c>
      <c r="U797">
        <v>5400</v>
      </c>
      <c r="V797">
        <v>3500</v>
      </c>
      <c r="W797">
        <v>3500</v>
      </c>
      <c r="X797">
        <v>3200</v>
      </c>
      <c r="Y797">
        <v>0</v>
      </c>
    </row>
    <row r="798" spans="1:25" x14ac:dyDescent="0.3">
      <c r="A798">
        <v>797</v>
      </c>
      <c r="B798">
        <v>230000</v>
      </c>
      <c r="C798">
        <v>2</v>
      </c>
      <c r="D798">
        <v>1</v>
      </c>
      <c r="E798">
        <v>2</v>
      </c>
      <c r="F798">
        <v>29</v>
      </c>
      <c r="G798">
        <v>-2</v>
      </c>
      <c r="H798">
        <v>-2</v>
      </c>
      <c r="I798">
        <v>-2</v>
      </c>
      <c r="J798">
        <v>-2</v>
      </c>
      <c r="K798">
        <v>-2</v>
      </c>
      <c r="L798">
        <v>-2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</row>
    <row r="799" spans="1:25" x14ac:dyDescent="0.3">
      <c r="A799">
        <v>798</v>
      </c>
      <c r="B799">
        <v>50000</v>
      </c>
      <c r="C799">
        <v>2</v>
      </c>
      <c r="D799">
        <v>1</v>
      </c>
      <c r="E799">
        <v>2</v>
      </c>
      <c r="F799">
        <v>22</v>
      </c>
      <c r="G799">
        <v>0</v>
      </c>
      <c r="H799">
        <v>0</v>
      </c>
      <c r="I799">
        <v>0</v>
      </c>
      <c r="J799">
        <v>-1</v>
      </c>
      <c r="K799">
        <v>-1</v>
      </c>
      <c r="L799">
        <v>-2</v>
      </c>
      <c r="M799">
        <v>13801</v>
      </c>
      <c r="N799">
        <v>9549</v>
      </c>
      <c r="O799">
        <v>5385</v>
      </c>
      <c r="P799">
        <v>7781</v>
      </c>
      <c r="Q799">
        <v>0</v>
      </c>
      <c r="R799">
        <v>0</v>
      </c>
      <c r="S799">
        <v>1372</v>
      </c>
      <c r="T799">
        <v>1275</v>
      </c>
      <c r="U799">
        <v>7900</v>
      </c>
      <c r="V799">
        <v>0</v>
      </c>
      <c r="W799">
        <v>0</v>
      </c>
      <c r="X799">
        <v>0</v>
      </c>
      <c r="Y799">
        <v>0</v>
      </c>
    </row>
    <row r="800" spans="1:25" x14ac:dyDescent="0.3">
      <c r="A800">
        <v>799</v>
      </c>
      <c r="B800">
        <v>100000</v>
      </c>
      <c r="C800">
        <v>2</v>
      </c>
      <c r="D800">
        <v>1</v>
      </c>
      <c r="E800">
        <v>2</v>
      </c>
      <c r="F800">
        <v>48</v>
      </c>
      <c r="G800">
        <v>2</v>
      </c>
      <c r="H800">
        <v>2</v>
      </c>
      <c r="I800">
        <v>2</v>
      </c>
      <c r="J800">
        <v>2</v>
      </c>
      <c r="K800">
        <v>2</v>
      </c>
      <c r="L800">
        <v>0</v>
      </c>
      <c r="M800">
        <v>15355</v>
      </c>
      <c r="N800">
        <v>17949</v>
      </c>
      <c r="O800">
        <v>18158</v>
      </c>
      <c r="P800">
        <v>18365</v>
      </c>
      <c r="Q800">
        <v>17932</v>
      </c>
      <c r="R800">
        <v>18147</v>
      </c>
      <c r="S800">
        <v>3164</v>
      </c>
      <c r="T800">
        <v>800</v>
      </c>
      <c r="U800">
        <v>800</v>
      </c>
      <c r="V800">
        <v>0</v>
      </c>
      <c r="W800">
        <v>662</v>
      </c>
      <c r="X800">
        <v>3000</v>
      </c>
      <c r="Y800">
        <v>0</v>
      </c>
    </row>
    <row r="801" spans="1:25" x14ac:dyDescent="0.3">
      <c r="A801">
        <v>800</v>
      </c>
      <c r="B801">
        <v>210000</v>
      </c>
      <c r="C801">
        <v>2</v>
      </c>
      <c r="D801">
        <v>2</v>
      </c>
      <c r="E801">
        <v>1</v>
      </c>
      <c r="F801">
        <v>35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37148</v>
      </c>
      <c r="N801">
        <v>35754</v>
      </c>
      <c r="O801">
        <v>34232</v>
      </c>
      <c r="P801">
        <v>32331</v>
      </c>
      <c r="Q801">
        <v>30337</v>
      </c>
      <c r="R801">
        <v>28012</v>
      </c>
      <c r="S801">
        <v>2000</v>
      </c>
      <c r="T801">
        <v>2000</v>
      </c>
      <c r="U801">
        <v>2444</v>
      </c>
      <c r="V801">
        <v>1342</v>
      </c>
      <c r="W801">
        <v>1038</v>
      </c>
      <c r="X801">
        <v>2000</v>
      </c>
      <c r="Y801">
        <v>0</v>
      </c>
    </row>
    <row r="802" spans="1:25" x14ac:dyDescent="0.3">
      <c r="A802">
        <v>801</v>
      </c>
      <c r="B802">
        <v>400000</v>
      </c>
      <c r="C802">
        <v>1</v>
      </c>
      <c r="D802">
        <v>1</v>
      </c>
      <c r="E802">
        <v>2</v>
      </c>
      <c r="F802">
        <v>37</v>
      </c>
      <c r="G802">
        <v>-1</v>
      </c>
      <c r="H802">
        <v>-1</v>
      </c>
      <c r="I802">
        <v>-1</v>
      </c>
      <c r="J802">
        <v>-1</v>
      </c>
      <c r="K802">
        <v>-2</v>
      </c>
      <c r="L802">
        <v>-1</v>
      </c>
      <c r="M802">
        <v>385</v>
      </c>
      <c r="N802">
        <v>12695</v>
      </c>
      <c r="O802">
        <v>1290</v>
      </c>
      <c r="P802">
        <v>0</v>
      </c>
      <c r="Q802">
        <v>0</v>
      </c>
      <c r="R802">
        <v>3058</v>
      </c>
      <c r="S802">
        <v>13032</v>
      </c>
      <c r="T802">
        <v>1290</v>
      </c>
      <c r="U802">
        <v>0</v>
      </c>
      <c r="V802">
        <v>0</v>
      </c>
      <c r="W802">
        <v>3058</v>
      </c>
      <c r="X802">
        <v>3768</v>
      </c>
      <c r="Y802">
        <v>0</v>
      </c>
    </row>
    <row r="803" spans="1:25" x14ac:dyDescent="0.3">
      <c r="A803">
        <v>802</v>
      </c>
      <c r="B803">
        <v>20000</v>
      </c>
      <c r="C803">
        <v>1</v>
      </c>
      <c r="D803">
        <v>2</v>
      </c>
      <c r="E803">
        <v>2</v>
      </c>
      <c r="F803">
        <v>25</v>
      </c>
      <c r="G803">
        <v>4</v>
      </c>
      <c r="H803">
        <v>3</v>
      </c>
      <c r="I803">
        <v>2</v>
      </c>
      <c r="J803">
        <v>0</v>
      </c>
      <c r="K803">
        <v>0</v>
      </c>
      <c r="L803">
        <v>0</v>
      </c>
      <c r="M803">
        <v>20610</v>
      </c>
      <c r="N803">
        <v>20005</v>
      </c>
      <c r="O803">
        <v>19331</v>
      </c>
      <c r="P803">
        <v>19333</v>
      </c>
      <c r="Q803">
        <v>17363</v>
      </c>
      <c r="R803">
        <v>16314</v>
      </c>
      <c r="S803">
        <v>0</v>
      </c>
      <c r="T803">
        <v>0</v>
      </c>
      <c r="U803">
        <v>500</v>
      </c>
      <c r="V803">
        <v>715</v>
      </c>
      <c r="W803">
        <v>326</v>
      </c>
      <c r="X803">
        <v>0</v>
      </c>
      <c r="Y803">
        <v>1</v>
      </c>
    </row>
    <row r="804" spans="1:25" x14ac:dyDescent="0.3">
      <c r="A804">
        <v>803</v>
      </c>
      <c r="B804">
        <v>50000</v>
      </c>
      <c r="C804">
        <v>2</v>
      </c>
      <c r="D804">
        <v>3</v>
      </c>
      <c r="E804">
        <v>1</v>
      </c>
      <c r="F804">
        <v>44</v>
      </c>
      <c r="G804">
        <v>-1</v>
      </c>
      <c r="H804">
        <v>-1</v>
      </c>
      <c r="I804">
        <v>-1</v>
      </c>
      <c r="J804">
        <v>-1</v>
      </c>
      <c r="K804">
        <v>0</v>
      </c>
      <c r="L804">
        <v>0</v>
      </c>
      <c r="M804">
        <v>2000</v>
      </c>
      <c r="N804">
        <v>780</v>
      </c>
      <c r="O804">
        <v>0</v>
      </c>
      <c r="P804">
        <v>7472</v>
      </c>
      <c r="Q804">
        <v>10174</v>
      </c>
      <c r="R804">
        <v>11104</v>
      </c>
      <c r="S804">
        <v>780</v>
      </c>
      <c r="T804">
        <v>0</v>
      </c>
      <c r="U804">
        <v>7472</v>
      </c>
      <c r="V804">
        <v>3000</v>
      </c>
      <c r="W804">
        <v>1104</v>
      </c>
      <c r="X804">
        <v>1000</v>
      </c>
      <c r="Y804">
        <v>0</v>
      </c>
    </row>
    <row r="805" spans="1:25" x14ac:dyDescent="0.3">
      <c r="A805">
        <v>804</v>
      </c>
      <c r="B805">
        <v>230000</v>
      </c>
      <c r="C805">
        <v>2</v>
      </c>
      <c r="D805">
        <v>1</v>
      </c>
      <c r="E805">
        <v>2</v>
      </c>
      <c r="F805">
        <v>28</v>
      </c>
      <c r="G805">
        <v>-1</v>
      </c>
      <c r="H805">
        <v>-1</v>
      </c>
      <c r="I805">
        <v>-1</v>
      </c>
      <c r="J805">
        <v>-2</v>
      </c>
      <c r="K805">
        <v>-2</v>
      </c>
      <c r="L805">
        <v>-2</v>
      </c>
      <c r="M805">
        <v>6666</v>
      </c>
      <c r="N805">
        <v>6666</v>
      </c>
      <c r="O805">
        <v>0</v>
      </c>
      <c r="P805">
        <v>0</v>
      </c>
      <c r="Q805">
        <v>0</v>
      </c>
      <c r="R805">
        <v>0</v>
      </c>
      <c r="S805">
        <v>6666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</row>
    <row r="806" spans="1:25" x14ac:dyDescent="0.3">
      <c r="A806">
        <v>805</v>
      </c>
      <c r="B806">
        <v>220000</v>
      </c>
      <c r="C806">
        <v>1</v>
      </c>
      <c r="D806">
        <v>2</v>
      </c>
      <c r="E806">
        <v>2</v>
      </c>
      <c r="F806">
        <v>29</v>
      </c>
      <c r="G806">
        <v>0</v>
      </c>
      <c r="H806">
        <v>0</v>
      </c>
      <c r="I806">
        <v>0</v>
      </c>
      <c r="J806">
        <v>-2</v>
      </c>
      <c r="K806">
        <v>-2</v>
      </c>
      <c r="L806">
        <v>-2</v>
      </c>
      <c r="M806">
        <v>31037</v>
      </c>
      <c r="N806">
        <v>6244</v>
      </c>
      <c r="O806">
        <v>0</v>
      </c>
      <c r="P806">
        <v>0</v>
      </c>
      <c r="Q806">
        <v>0</v>
      </c>
      <c r="R806">
        <v>0</v>
      </c>
      <c r="S806">
        <v>3050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</row>
    <row r="807" spans="1:25" x14ac:dyDescent="0.3">
      <c r="A807">
        <v>806</v>
      </c>
      <c r="B807">
        <v>300000</v>
      </c>
      <c r="C807">
        <v>2</v>
      </c>
      <c r="D807">
        <v>1</v>
      </c>
      <c r="E807">
        <v>1</v>
      </c>
      <c r="F807">
        <v>36</v>
      </c>
      <c r="G807">
        <v>0</v>
      </c>
      <c r="H807">
        <v>0</v>
      </c>
      <c r="I807">
        <v>0</v>
      </c>
      <c r="J807">
        <v>0</v>
      </c>
      <c r="K807">
        <v>-2</v>
      </c>
      <c r="L807">
        <v>-1</v>
      </c>
      <c r="M807">
        <v>25239</v>
      </c>
      <c r="N807">
        <v>25001</v>
      </c>
      <c r="O807">
        <v>20800</v>
      </c>
      <c r="P807">
        <v>0</v>
      </c>
      <c r="Q807">
        <v>0</v>
      </c>
      <c r="R807">
        <v>65755</v>
      </c>
      <c r="S807">
        <v>1713</v>
      </c>
      <c r="T807">
        <v>1000</v>
      </c>
      <c r="U807">
        <v>0</v>
      </c>
      <c r="V807">
        <v>0</v>
      </c>
      <c r="W807">
        <v>65755</v>
      </c>
      <c r="X807">
        <v>3000</v>
      </c>
      <c r="Y807">
        <v>0</v>
      </c>
    </row>
    <row r="808" spans="1:25" x14ac:dyDescent="0.3">
      <c r="A808">
        <v>807</v>
      </c>
      <c r="B808">
        <v>80000</v>
      </c>
      <c r="C808">
        <v>2</v>
      </c>
      <c r="D808">
        <v>2</v>
      </c>
      <c r="E808">
        <v>2</v>
      </c>
      <c r="F808">
        <v>23</v>
      </c>
      <c r="G808">
        <v>1</v>
      </c>
      <c r="H808">
        <v>-1</v>
      </c>
      <c r="I808">
        <v>2</v>
      </c>
      <c r="J808">
        <v>-1</v>
      </c>
      <c r="K808">
        <v>-1</v>
      </c>
      <c r="L808">
        <v>-1</v>
      </c>
      <c r="M808">
        <v>998</v>
      </c>
      <c r="N808">
        <v>6858</v>
      </c>
      <c r="O808">
        <v>1879</v>
      </c>
      <c r="P808">
        <v>1145</v>
      </c>
      <c r="Q808">
        <v>7328</v>
      </c>
      <c r="R808">
        <v>3703</v>
      </c>
      <c r="S808">
        <v>6861</v>
      </c>
      <c r="T808">
        <v>11</v>
      </c>
      <c r="U808">
        <v>1146</v>
      </c>
      <c r="V808">
        <v>7329</v>
      </c>
      <c r="W808">
        <v>3704</v>
      </c>
      <c r="X808">
        <v>426</v>
      </c>
      <c r="Y808">
        <v>0</v>
      </c>
    </row>
    <row r="809" spans="1:25" x14ac:dyDescent="0.3">
      <c r="A809">
        <v>808</v>
      </c>
      <c r="B809">
        <v>20000</v>
      </c>
      <c r="C809">
        <v>2</v>
      </c>
      <c r="D809">
        <v>3</v>
      </c>
      <c r="E809">
        <v>2</v>
      </c>
      <c r="F809">
        <v>36</v>
      </c>
      <c r="G809">
        <v>0</v>
      </c>
      <c r="H809">
        <v>0</v>
      </c>
      <c r="I809">
        <v>2</v>
      </c>
      <c r="J809">
        <v>2</v>
      </c>
      <c r="K809">
        <v>2</v>
      </c>
      <c r="L809">
        <v>2</v>
      </c>
      <c r="M809">
        <v>16754</v>
      </c>
      <c r="N809">
        <v>18873</v>
      </c>
      <c r="O809">
        <v>19862</v>
      </c>
      <c r="P809">
        <v>19245</v>
      </c>
      <c r="Q809">
        <v>20532</v>
      </c>
      <c r="R809">
        <v>19953</v>
      </c>
      <c r="S809">
        <v>2400</v>
      </c>
      <c r="T809">
        <v>1600</v>
      </c>
      <c r="U809">
        <v>0</v>
      </c>
      <c r="V809">
        <v>1600</v>
      </c>
      <c r="W809">
        <v>209</v>
      </c>
      <c r="X809">
        <v>0</v>
      </c>
      <c r="Y809">
        <v>1</v>
      </c>
    </row>
    <row r="810" spans="1:25" x14ac:dyDescent="0.3">
      <c r="A810">
        <v>809</v>
      </c>
      <c r="B810">
        <v>190000</v>
      </c>
      <c r="C810">
        <v>2</v>
      </c>
      <c r="D810">
        <v>1</v>
      </c>
      <c r="E810">
        <v>2</v>
      </c>
      <c r="F810">
        <v>26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31061</v>
      </c>
      <c r="N810">
        <v>32129</v>
      </c>
      <c r="O810">
        <v>33142</v>
      </c>
      <c r="P810">
        <v>33726</v>
      </c>
      <c r="Q810">
        <v>35758</v>
      </c>
      <c r="R810">
        <v>35171</v>
      </c>
      <c r="S810">
        <v>1750</v>
      </c>
      <c r="T810">
        <v>1720</v>
      </c>
      <c r="U810">
        <v>1300</v>
      </c>
      <c r="V810">
        <v>2600</v>
      </c>
      <c r="W810">
        <v>0</v>
      </c>
      <c r="X810">
        <v>1400</v>
      </c>
      <c r="Y810">
        <v>0</v>
      </c>
    </row>
    <row r="811" spans="1:25" x14ac:dyDescent="0.3">
      <c r="A811">
        <v>810</v>
      </c>
      <c r="B811">
        <v>160000</v>
      </c>
      <c r="C811">
        <v>2</v>
      </c>
      <c r="D811">
        <v>2</v>
      </c>
      <c r="E811">
        <v>0</v>
      </c>
      <c r="F811">
        <v>37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2694</v>
      </c>
      <c r="N811">
        <v>38433</v>
      </c>
      <c r="O811">
        <v>38870</v>
      </c>
      <c r="P811">
        <v>28574</v>
      </c>
      <c r="Q811">
        <v>27268</v>
      </c>
      <c r="R811">
        <v>28021</v>
      </c>
      <c r="S811">
        <v>35888</v>
      </c>
      <c r="T811">
        <v>1325</v>
      </c>
      <c r="U811">
        <v>891</v>
      </c>
      <c r="V811">
        <v>1000</v>
      </c>
      <c r="W811">
        <v>1098</v>
      </c>
      <c r="X811">
        <v>426</v>
      </c>
      <c r="Y811">
        <v>0</v>
      </c>
    </row>
    <row r="812" spans="1:25" x14ac:dyDescent="0.3">
      <c r="A812">
        <v>811</v>
      </c>
      <c r="B812">
        <v>120000</v>
      </c>
      <c r="C812">
        <v>2</v>
      </c>
      <c r="D812">
        <v>1</v>
      </c>
      <c r="E812">
        <v>3</v>
      </c>
      <c r="F812">
        <v>44</v>
      </c>
      <c r="G812">
        <v>0</v>
      </c>
      <c r="H812">
        <v>0</v>
      </c>
      <c r="I812">
        <v>2</v>
      </c>
      <c r="J812">
        <v>0</v>
      </c>
      <c r="K812">
        <v>0</v>
      </c>
      <c r="L812">
        <v>0</v>
      </c>
      <c r="M812">
        <v>70096</v>
      </c>
      <c r="N812">
        <v>76446</v>
      </c>
      <c r="O812">
        <v>73732</v>
      </c>
      <c r="P812">
        <v>12329</v>
      </c>
      <c r="Q812">
        <v>12329</v>
      </c>
      <c r="R812">
        <v>0</v>
      </c>
      <c r="S812">
        <v>8100</v>
      </c>
      <c r="T812">
        <v>0</v>
      </c>
      <c r="U812">
        <v>247</v>
      </c>
      <c r="V812">
        <v>0</v>
      </c>
      <c r="W812">
        <v>0</v>
      </c>
      <c r="X812">
        <v>0</v>
      </c>
      <c r="Y812">
        <v>0</v>
      </c>
    </row>
    <row r="813" spans="1:25" x14ac:dyDescent="0.3">
      <c r="A813">
        <v>812</v>
      </c>
      <c r="B813">
        <v>700000</v>
      </c>
      <c r="C813">
        <v>2</v>
      </c>
      <c r="D813">
        <v>1</v>
      </c>
      <c r="E813">
        <v>1</v>
      </c>
      <c r="F813">
        <v>39</v>
      </c>
      <c r="G813">
        <v>0</v>
      </c>
      <c r="H813">
        <v>0</v>
      </c>
      <c r="I813">
        <v>0</v>
      </c>
      <c r="J813">
        <v>0</v>
      </c>
      <c r="K813">
        <v>-2</v>
      </c>
      <c r="L813">
        <v>-1</v>
      </c>
      <c r="M813">
        <v>99259</v>
      </c>
      <c r="N813">
        <v>102345</v>
      </c>
      <c r="O813">
        <v>109636</v>
      </c>
      <c r="P813">
        <v>326</v>
      </c>
      <c r="Q813">
        <v>2016</v>
      </c>
      <c r="R813">
        <v>61707</v>
      </c>
      <c r="S813">
        <v>5000</v>
      </c>
      <c r="T813">
        <v>10000</v>
      </c>
      <c r="U813">
        <v>326</v>
      </c>
      <c r="V813">
        <v>2016</v>
      </c>
      <c r="W813">
        <v>61707</v>
      </c>
      <c r="X813">
        <v>17785</v>
      </c>
      <c r="Y813">
        <v>0</v>
      </c>
    </row>
    <row r="814" spans="1:25" x14ac:dyDescent="0.3">
      <c r="A814">
        <v>813</v>
      </c>
      <c r="B814">
        <v>140000</v>
      </c>
      <c r="C814">
        <v>2</v>
      </c>
      <c r="D814">
        <v>1</v>
      </c>
      <c r="E814">
        <v>2</v>
      </c>
      <c r="F814">
        <v>24</v>
      </c>
      <c r="G814">
        <v>1</v>
      </c>
      <c r="H814">
        <v>-2</v>
      </c>
      <c r="I814">
        <v>-2</v>
      </c>
      <c r="J814">
        <v>-2</v>
      </c>
      <c r="K814">
        <v>-1</v>
      </c>
      <c r="L814">
        <v>-1</v>
      </c>
      <c r="M814">
        <v>0</v>
      </c>
      <c r="N814">
        <v>0</v>
      </c>
      <c r="O814">
        <v>0</v>
      </c>
      <c r="P814">
        <v>0</v>
      </c>
      <c r="Q814">
        <v>1086</v>
      </c>
      <c r="R814">
        <v>0</v>
      </c>
      <c r="S814">
        <v>0</v>
      </c>
      <c r="T814">
        <v>0</v>
      </c>
      <c r="U814">
        <v>0</v>
      </c>
      <c r="V814">
        <v>1086</v>
      </c>
      <c r="W814">
        <v>0</v>
      </c>
      <c r="X814">
        <v>0</v>
      </c>
      <c r="Y814">
        <v>0</v>
      </c>
    </row>
    <row r="815" spans="1:25" x14ac:dyDescent="0.3">
      <c r="A815">
        <v>814</v>
      </c>
      <c r="B815">
        <v>300000</v>
      </c>
      <c r="C815">
        <v>2</v>
      </c>
      <c r="D815">
        <v>3</v>
      </c>
      <c r="E815">
        <v>1</v>
      </c>
      <c r="F815">
        <v>29</v>
      </c>
      <c r="G815">
        <v>-1</v>
      </c>
      <c r="H815">
        <v>0</v>
      </c>
      <c r="I815">
        <v>0</v>
      </c>
      <c r="J815">
        <v>0</v>
      </c>
      <c r="K815">
        <v>0</v>
      </c>
      <c r="L815">
        <v>-1</v>
      </c>
      <c r="M815">
        <v>24921</v>
      </c>
      <c r="N815">
        <v>21333</v>
      </c>
      <c r="O815">
        <v>16212</v>
      </c>
      <c r="P815">
        <v>11304</v>
      </c>
      <c r="Q815">
        <v>11396</v>
      </c>
      <c r="R815">
        <v>6138</v>
      </c>
      <c r="S815">
        <v>2000</v>
      </c>
      <c r="T815">
        <v>3000</v>
      </c>
      <c r="U815">
        <v>0</v>
      </c>
      <c r="V815">
        <v>5000</v>
      </c>
      <c r="W815">
        <v>6202</v>
      </c>
      <c r="X815">
        <v>0</v>
      </c>
      <c r="Y815">
        <v>0</v>
      </c>
    </row>
    <row r="816" spans="1:25" x14ac:dyDescent="0.3">
      <c r="A816">
        <v>815</v>
      </c>
      <c r="B816">
        <v>120000</v>
      </c>
      <c r="C816">
        <v>1</v>
      </c>
      <c r="D816">
        <v>3</v>
      </c>
      <c r="E816">
        <v>1</v>
      </c>
      <c r="F816">
        <v>33</v>
      </c>
      <c r="G816">
        <v>1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66055</v>
      </c>
      <c r="N816">
        <v>67405</v>
      </c>
      <c r="O816">
        <v>68405</v>
      </c>
      <c r="P816">
        <v>69387</v>
      </c>
      <c r="Q816">
        <v>70727</v>
      </c>
      <c r="R816">
        <v>72215</v>
      </c>
      <c r="S816">
        <v>3000</v>
      </c>
      <c r="T816">
        <v>2700</v>
      </c>
      <c r="U816">
        <v>2700</v>
      </c>
      <c r="V816">
        <v>2600</v>
      </c>
      <c r="W816">
        <v>2800</v>
      </c>
      <c r="X816">
        <v>0</v>
      </c>
      <c r="Y816">
        <v>1</v>
      </c>
    </row>
    <row r="817" spans="1:25" x14ac:dyDescent="0.3">
      <c r="A817">
        <v>816</v>
      </c>
      <c r="B817">
        <v>280000</v>
      </c>
      <c r="C817">
        <v>2</v>
      </c>
      <c r="D817">
        <v>2</v>
      </c>
      <c r="E817">
        <v>1</v>
      </c>
      <c r="F817">
        <v>39</v>
      </c>
      <c r="G817">
        <v>0</v>
      </c>
      <c r="H817">
        <v>0</v>
      </c>
      <c r="I817">
        <v>2</v>
      </c>
      <c r="J817">
        <v>0</v>
      </c>
      <c r="K817">
        <v>0</v>
      </c>
      <c r="L817">
        <v>0</v>
      </c>
      <c r="M817">
        <v>213738</v>
      </c>
      <c r="N817">
        <v>228963</v>
      </c>
      <c r="O817">
        <v>223810</v>
      </c>
      <c r="P817">
        <v>158542</v>
      </c>
      <c r="Q817">
        <v>162244</v>
      </c>
      <c r="R817">
        <v>108143</v>
      </c>
      <c r="S817">
        <v>20300</v>
      </c>
      <c r="T817">
        <v>0</v>
      </c>
      <c r="U817">
        <v>5600</v>
      </c>
      <c r="V817">
        <v>6300</v>
      </c>
      <c r="W817">
        <v>4000</v>
      </c>
      <c r="X817">
        <v>4000</v>
      </c>
      <c r="Y817">
        <v>0</v>
      </c>
    </row>
    <row r="818" spans="1:25" x14ac:dyDescent="0.3">
      <c r="A818">
        <v>817</v>
      </c>
      <c r="B818">
        <v>70000</v>
      </c>
      <c r="C818">
        <v>1</v>
      </c>
      <c r="D818">
        <v>3</v>
      </c>
      <c r="E818">
        <v>1</v>
      </c>
      <c r="F818">
        <v>51</v>
      </c>
      <c r="G818">
        <v>2</v>
      </c>
      <c r="H818">
        <v>2</v>
      </c>
      <c r="I818">
        <v>0</v>
      </c>
      <c r="J818">
        <v>0</v>
      </c>
      <c r="K818">
        <v>0</v>
      </c>
      <c r="L818">
        <v>0</v>
      </c>
      <c r="M818">
        <v>54968</v>
      </c>
      <c r="N818">
        <v>51384</v>
      </c>
      <c r="O818">
        <v>49734</v>
      </c>
      <c r="P818">
        <v>50361</v>
      </c>
      <c r="Q818">
        <v>49185</v>
      </c>
      <c r="R818">
        <v>47245</v>
      </c>
      <c r="S818">
        <v>0</v>
      </c>
      <c r="T818">
        <v>2100</v>
      </c>
      <c r="U818">
        <v>1950</v>
      </c>
      <c r="V818">
        <v>1900</v>
      </c>
      <c r="W818">
        <v>2219</v>
      </c>
      <c r="X818">
        <v>2100</v>
      </c>
      <c r="Y818">
        <v>1</v>
      </c>
    </row>
    <row r="819" spans="1:25" x14ac:dyDescent="0.3">
      <c r="A819">
        <v>818</v>
      </c>
      <c r="B819">
        <v>20000</v>
      </c>
      <c r="C819">
        <v>2</v>
      </c>
      <c r="D819">
        <v>3</v>
      </c>
      <c r="E819">
        <v>2</v>
      </c>
      <c r="F819">
        <v>24</v>
      </c>
      <c r="G819">
        <v>-1</v>
      </c>
      <c r="H819">
        <v>-1</v>
      </c>
      <c r="I819">
        <v>-1</v>
      </c>
      <c r="J819">
        <v>-1</v>
      </c>
      <c r="K819">
        <v>-1</v>
      </c>
      <c r="L819">
        <v>2</v>
      </c>
      <c r="M819">
        <v>4101</v>
      </c>
      <c r="N819">
        <v>507</v>
      </c>
      <c r="O819">
        <v>3042</v>
      </c>
      <c r="P819">
        <v>0</v>
      </c>
      <c r="Q819">
        <v>8402</v>
      </c>
      <c r="R819">
        <v>6204</v>
      </c>
      <c r="S819">
        <v>507</v>
      </c>
      <c r="T819">
        <v>3042</v>
      </c>
      <c r="U819">
        <v>0</v>
      </c>
      <c r="V819">
        <v>8402</v>
      </c>
      <c r="W819">
        <v>0</v>
      </c>
      <c r="X819">
        <v>4739</v>
      </c>
      <c r="Y819">
        <v>0</v>
      </c>
    </row>
    <row r="820" spans="1:25" x14ac:dyDescent="0.3">
      <c r="A820">
        <v>819</v>
      </c>
      <c r="B820">
        <v>150000</v>
      </c>
      <c r="C820">
        <v>2</v>
      </c>
      <c r="D820">
        <v>2</v>
      </c>
      <c r="E820">
        <v>1</v>
      </c>
      <c r="F820">
        <v>45</v>
      </c>
      <c r="G820">
        <v>-1</v>
      </c>
      <c r="H820">
        <v>-1</v>
      </c>
      <c r="I820">
        <v>-1</v>
      </c>
      <c r="J820">
        <v>-1</v>
      </c>
      <c r="K820">
        <v>-1</v>
      </c>
      <c r="L820">
        <v>-1</v>
      </c>
      <c r="M820">
        <v>2605</v>
      </c>
      <c r="N820">
        <v>2605</v>
      </c>
      <c r="O820">
        <v>4590</v>
      </c>
      <c r="P820">
        <v>2605</v>
      </c>
      <c r="Q820">
        <v>2605</v>
      </c>
      <c r="R820">
        <v>3795</v>
      </c>
      <c r="S820">
        <v>2605</v>
      </c>
      <c r="T820">
        <v>4590</v>
      </c>
      <c r="U820">
        <v>2605</v>
      </c>
      <c r="V820">
        <v>2605</v>
      </c>
      <c r="W820">
        <v>3795</v>
      </c>
      <c r="X820">
        <v>10675</v>
      </c>
      <c r="Y820">
        <v>0</v>
      </c>
    </row>
    <row r="821" spans="1:25" x14ac:dyDescent="0.3">
      <c r="A821">
        <v>820</v>
      </c>
      <c r="B821">
        <v>60000</v>
      </c>
      <c r="C821">
        <v>1</v>
      </c>
      <c r="D821">
        <v>1</v>
      </c>
      <c r="E821">
        <v>2</v>
      </c>
      <c r="F821">
        <v>30</v>
      </c>
      <c r="G821">
        <v>0</v>
      </c>
      <c r="H821">
        <v>-1</v>
      </c>
      <c r="I821">
        <v>0</v>
      </c>
      <c r="J821">
        <v>0</v>
      </c>
      <c r="K821">
        <v>0</v>
      </c>
      <c r="L821">
        <v>0</v>
      </c>
      <c r="M821">
        <v>15380</v>
      </c>
      <c r="N821">
        <v>4116</v>
      </c>
      <c r="O821">
        <v>19453</v>
      </c>
      <c r="P821">
        <v>17912</v>
      </c>
      <c r="Q821">
        <v>18480</v>
      </c>
      <c r="R821">
        <v>18848</v>
      </c>
      <c r="S821">
        <v>4147</v>
      </c>
      <c r="T821">
        <v>19435</v>
      </c>
      <c r="U821">
        <v>1000</v>
      </c>
      <c r="V821">
        <v>1000</v>
      </c>
      <c r="W821">
        <v>1000</v>
      </c>
      <c r="X821">
        <v>1000</v>
      </c>
      <c r="Y821">
        <v>0</v>
      </c>
    </row>
    <row r="822" spans="1:25" x14ac:dyDescent="0.3">
      <c r="A822">
        <v>821</v>
      </c>
      <c r="B822">
        <v>200000</v>
      </c>
      <c r="C822">
        <v>2</v>
      </c>
      <c r="D822">
        <v>3</v>
      </c>
      <c r="E822">
        <v>0</v>
      </c>
      <c r="F822">
        <v>51</v>
      </c>
      <c r="G822">
        <v>-1</v>
      </c>
      <c r="H822">
        <v>-1</v>
      </c>
      <c r="I822">
        <v>-1</v>
      </c>
      <c r="J822">
        <v>-1</v>
      </c>
      <c r="K822">
        <v>0</v>
      </c>
      <c r="L822">
        <v>-1</v>
      </c>
      <c r="M822">
        <v>780</v>
      </c>
      <c r="N822">
        <v>0</v>
      </c>
      <c r="O822">
        <v>390</v>
      </c>
      <c r="P822">
        <v>780</v>
      </c>
      <c r="Q822">
        <v>390</v>
      </c>
      <c r="R822">
        <v>390</v>
      </c>
      <c r="S822">
        <v>0</v>
      </c>
      <c r="T822">
        <v>390</v>
      </c>
      <c r="U822">
        <v>780</v>
      </c>
      <c r="V822">
        <v>0</v>
      </c>
      <c r="W822">
        <v>390</v>
      </c>
      <c r="X822">
        <v>390</v>
      </c>
      <c r="Y822">
        <v>0</v>
      </c>
    </row>
    <row r="823" spans="1:25" x14ac:dyDescent="0.3">
      <c r="A823">
        <v>822</v>
      </c>
      <c r="B823">
        <v>50000</v>
      </c>
      <c r="C823">
        <v>2</v>
      </c>
      <c r="D823">
        <v>2</v>
      </c>
      <c r="E823">
        <v>2</v>
      </c>
      <c r="F823">
        <v>24</v>
      </c>
      <c r="G823">
        <v>1</v>
      </c>
      <c r="H823">
        <v>2</v>
      </c>
      <c r="I823">
        <v>0</v>
      </c>
      <c r="J823">
        <v>0</v>
      </c>
      <c r="K823">
        <v>0</v>
      </c>
      <c r="L823">
        <v>0</v>
      </c>
      <c r="M823">
        <v>48861</v>
      </c>
      <c r="N823">
        <v>48082</v>
      </c>
      <c r="O823">
        <v>48614</v>
      </c>
      <c r="P823">
        <v>26667</v>
      </c>
      <c r="Q823">
        <v>26036</v>
      </c>
      <c r="R823">
        <v>26850</v>
      </c>
      <c r="S823">
        <v>2000</v>
      </c>
      <c r="T823">
        <v>2233</v>
      </c>
      <c r="U823">
        <v>1083</v>
      </c>
      <c r="V823">
        <v>1100</v>
      </c>
      <c r="W823">
        <v>1400</v>
      </c>
      <c r="X823">
        <v>3000</v>
      </c>
      <c r="Y823">
        <v>1</v>
      </c>
    </row>
    <row r="824" spans="1:25" x14ac:dyDescent="0.3">
      <c r="A824">
        <v>823</v>
      </c>
      <c r="B824">
        <v>150000</v>
      </c>
      <c r="C824">
        <v>1</v>
      </c>
      <c r="D824">
        <v>2</v>
      </c>
      <c r="E824">
        <v>1</v>
      </c>
      <c r="F824">
        <v>50</v>
      </c>
      <c r="G824">
        <v>-1</v>
      </c>
      <c r="H824">
        <v>0</v>
      </c>
      <c r="I824">
        <v>0</v>
      </c>
      <c r="J824">
        <v>2</v>
      </c>
      <c r="K824">
        <v>0</v>
      </c>
      <c r="L824">
        <v>0</v>
      </c>
      <c r="M824">
        <v>55336</v>
      </c>
      <c r="N824">
        <v>58255</v>
      </c>
      <c r="O824">
        <v>36260</v>
      </c>
      <c r="P824">
        <v>35037</v>
      </c>
      <c r="Q824">
        <v>34631</v>
      </c>
      <c r="R824">
        <v>63156</v>
      </c>
      <c r="S824">
        <v>5085</v>
      </c>
      <c r="T824">
        <v>4000</v>
      </c>
      <c r="U824">
        <v>0</v>
      </c>
      <c r="V824">
        <v>2000</v>
      </c>
      <c r="W824">
        <v>30000</v>
      </c>
      <c r="X824">
        <v>5000</v>
      </c>
      <c r="Y824">
        <v>0</v>
      </c>
    </row>
    <row r="825" spans="1:25" x14ac:dyDescent="0.3">
      <c r="A825">
        <v>824</v>
      </c>
      <c r="B825">
        <v>20000</v>
      </c>
      <c r="C825">
        <v>2</v>
      </c>
      <c r="D825">
        <v>1</v>
      </c>
      <c r="E825">
        <v>2</v>
      </c>
      <c r="F825">
        <v>22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20243</v>
      </c>
      <c r="N825">
        <v>20400</v>
      </c>
      <c r="O825">
        <v>19583</v>
      </c>
      <c r="P825">
        <v>19983</v>
      </c>
      <c r="Q825">
        <v>20196</v>
      </c>
      <c r="R825">
        <v>19705</v>
      </c>
      <c r="S825">
        <v>1410</v>
      </c>
      <c r="T825">
        <v>1200</v>
      </c>
      <c r="U825">
        <v>534</v>
      </c>
      <c r="V825">
        <v>700</v>
      </c>
      <c r="W825">
        <v>1000</v>
      </c>
      <c r="X825">
        <v>0</v>
      </c>
      <c r="Y825">
        <v>0</v>
      </c>
    </row>
    <row r="826" spans="1:25" x14ac:dyDescent="0.3">
      <c r="A826">
        <v>825</v>
      </c>
      <c r="B826">
        <v>40000</v>
      </c>
      <c r="C826">
        <v>1</v>
      </c>
      <c r="D826">
        <v>1</v>
      </c>
      <c r="E826">
        <v>2</v>
      </c>
      <c r="F826">
        <v>27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11058</v>
      </c>
      <c r="N826">
        <v>11471</v>
      </c>
      <c r="O826">
        <v>11776</v>
      </c>
      <c r="P826">
        <v>12660</v>
      </c>
      <c r="Q826">
        <v>12660</v>
      </c>
      <c r="R826">
        <v>12413</v>
      </c>
      <c r="S826">
        <v>2000</v>
      </c>
      <c r="T826">
        <v>1500</v>
      </c>
      <c r="U826">
        <v>2330</v>
      </c>
      <c r="V826">
        <v>2300</v>
      </c>
      <c r="W826">
        <v>1000</v>
      </c>
      <c r="X826">
        <v>2078</v>
      </c>
      <c r="Y826">
        <v>1</v>
      </c>
    </row>
    <row r="827" spans="1:25" x14ac:dyDescent="0.3">
      <c r="A827">
        <v>826</v>
      </c>
      <c r="B827">
        <v>170000</v>
      </c>
      <c r="C827">
        <v>2</v>
      </c>
      <c r="D827">
        <v>2</v>
      </c>
      <c r="E827">
        <v>2</v>
      </c>
      <c r="F827">
        <v>33</v>
      </c>
      <c r="G827">
        <v>1</v>
      </c>
      <c r="H827">
        <v>-1</v>
      </c>
      <c r="I827">
        <v>-1</v>
      </c>
      <c r="J827">
        <v>-1</v>
      </c>
      <c r="K827">
        <v>-2</v>
      </c>
      <c r="L827">
        <v>-2</v>
      </c>
      <c r="M827">
        <v>0</v>
      </c>
      <c r="N827">
        <v>7042</v>
      </c>
      <c r="O827">
        <v>2986</v>
      </c>
      <c r="P827">
        <v>0</v>
      </c>
      <c r="Q827">
        <v>0</v>
      </c>
      <c r="R827">
        <v>0</v>
      </c>
      <c r="S827">
        <v>7042</v>
      </c>
      <c r="T827">
        <v>2986</v>
      </c>
      <c r="U827">
        <v>0</v>
      </c>
      <c r="V827">
        <v>0</v>
      </c>
      <c r="W827">
        <v>0</v>
      </c>
      <c r="X827">
        <v>0</v>
      </c>
      <c r="Y827">
        <v>0</v>
      </c>
    </row>
    <row r="828" spans="1:25" x14ac:dyDescent="0.3">
      <c r="A828">
        <v>827</v>
      </c>
      <c r="B828">
        <v>50000</v>
      </c>
      <c r="C828">
        <v>2</v>
      </c>
      <c r="D828">
        <v>2</v>
      </c>
      <c r="E828">
        <v>1</v>
      </c>
      <c r="F828">
        <v>24</v>
      </c>
      <c r="G828">
        <v>1</v>
      </c>
      <c r="H828">
        <v>2</v>
      </c>
      <c r="I828">
        <v>0</v>
      </c>
      <c r="J828">
        <v>0</v>
      </c>
      <c r="K828">
        <v>0</v>
      </c>
      <c r="L828">
        <v>2</v>
      </c>
      <c r="M828">
        <v>27087</v>
      </c>
      <c r="N828">
        <v>26372</v>
      </c>
      <c r="O828">
        <v>26992</v>
      </c>
      <c r="P828">
        <v>27693</v>
      </c>
      <c r="Q828">
        <v>29237</v>
      </c>
      <c r="R828">
        <v>28607</v>
      </c>
      <c r="S828">
        <v>0</v>
      </c>
      <c r="T828">
        <v>1400</v>
      </c>
      <c r="U828">
        <v>1100</v>
      </c>
      <c r="V828">
        <v>2100</v>
      </c>
      <c r="W828">
        <v>0</v>
      </c>
      <c r="X828">
        <v>1000</v>
      </c>
      <c r="Y828">
        <v>0</v>
      </c>
    </row>
    <row r="829" spans="1:25" x14ac:dyDescent="0.3">
      <c r="A829">
        <v>828</v>
      </c>
      <c r="B829">
        <v>10000</v>
      </c>
      <c r="C829">
        <v>1</v>
      </c>
      <c r="D829">
        <v>2</v>
      </c>
      <c r="E829">
        <v>2</v>
      </c>
      <c r="F829">
        <v>37</v>
      </c>
      <c r="G829">
        <v>0</v>
      </c>
      <c r="H829">
        <v>0</v>
      </c>
      <c r="I829">
        <v>0</v>
      </c>
      <c r="J829">
        <v>0</v>
      </c>
      <c r="K829">
        <v>2</v>
      </c>
      <c r="L829">
        <v>2</v>
      </c>
      <c r="M829">
        <v>8755</v>
      </c>
      <c r="N829">
        <v>8158</v>
      </c>
      <c r="O829">
        <v>7540</v>
      </c>
      <c r="P829">
        <v>8164</v>
      </c>
      <c r="Q829">
        <v>6963</v>
      </c>
      <c r="R829">
        <v>5923</v>
      </c>
      <c r="S829">
        <v>1167</v>
      </c>
      <c r="T829">
        <v>1022</v>
      </c>
      <c r="U829">
        <v>1036</v>
      </c>
      <c r="V829">
        <v>0</v>
      </c>
      <c r="W829">
        <v>2700</v>
      </c>
      <c r="X829">
        <v>0</v>
      </c>
      <c r="Y829">
        <v>0</v>
      </c>
    </row>
    <row r="830" spans="1:25" x14ac:dyDescent="0.3">
      <c r="A830">
        <v>829</v>
      </c>
      <c r="B830">
        <v>200000</v>
      </c>
      <c r="C830">
        <v>2</v>
      </c>
      <c r="D830">
        <v>2</v>
      </c>
      <c r="E830">
        <v>1</v>
      </c>
      <c r="F830">
        <v>58</v>
      </c>
      <c r="G830">
        <v>-1</v>
      </c>
      <c r="H830">
        <v>-1</v>
      </c>
      <c r="I830">
        <v>-1</v>
      </c>
      <c r="J830">
        <v>-1</v>
      </c>
      <c r="K830">
        <v>-2</v>
      </c>
      <c r="L830">
        <v>-1</v>
      </c>
      <c r="M830">
        <v>3035</v>
      </c>
      <c r="N830">
        <v>199602</v>
      </c>
      <c r="O830">
        <v>720</v>
      </c>
      <c r="P830">
        <v>0</v>
      </c>
      <c r="Q830">
        <v>0</v>
      </c>
      <c r="R830">
        <v>1500</v>
      </c>
      <c r="S830">
        <v>199646</v>
      </c>
      <c r="T830">
        <v>720</v>
      </c>
      <c r="U830">
        <v>0</v>
      </c>
      <c r="V830">
        <v>0</v>
      </c>
      <c r="W830">
        <v>1500</v>
      </c>
      <c r="X830">
        <v>185652</v>
      </c>
      <c r="Y830">
        <v>0</v>
      </c>
    </row>
    <row r="831" spans="1:25" x14ac:dyDescent="0.3">
      <c r="A831">
        <v>830</v>
      </c>
      <c r="B831">
        <v>50000</v>
      </c>
      <c r="C831">
        <v>2</v>
      </c>
      <c r="D831">
        <v>2</v>
      </c>
      <c r="E831">
        <v>1</v>
      </c>
      <c r="F831">
        <v>48</v>
      </c>
      <c r="G831">
        <v>0</v>
      </c>
      <c r="H831">
        <v>-1</v>
      </c>
      <c r="I831">
        <v>-1</v>
      </c>
      <c r="J831">
        <v>0</v>
      </c>
      <c r="K831">
        <v>0</v>
      </c>
      <c r="L831">
        <v>0</v>
      </c>
      <c r="M831">
        <v>20944</v>
      </c>
      <c r="N831">
        <v>4696</v>
      </c>
      <c r="O831">
        <v>47225</v>
      </c>
      <c r="P831">
        <v>16483</v>
      </c>
      <c r="Q831">
        <v>9343</v>
      </c>
      <c r="R831">
        <v>9693</v>
      </c>
      <c r="S831">
        <v>2360</v>
      </c>
      <c r="T831">
        <v>49325</v>
      </c>
      <c r="U831">
        <v>3001</v>
      </c>
      <c r="V831">
        <v>1882</v>
      </c>
      <c r="W831">
        <v>500</v>
      </c>
      <c r="X831">
        <v>503</v>
      </c>
      <c r="Y831">
        <v>0</v>
      </c>
    </row>
    <row r="832" spans="1:25" x14ac:dyDescent="0.3">
      <c r="A832">
        <v>831</v>
      </c>
      <c r="B832">
        <v>320000</v>
      </c>
      <c r="C832">
        <v>1</v>
      </c>
      <c r="D832">
        <v>1</v>
      </c>
      <c r="E832">
        <v>2</v>
      </c>
      <c r="F832">
        <v>28</v>
      </c>
      <c r="G832">
        <v>-1</v>
      </c>
      <c r="H832">
        <v>0</v>
      </c>
      <c r="I832">
        <v>0</v>
      </c>
      <c r="J832">
        <v>-1</v>
      </c>
      <c r="K832">
        <v>0</v>
      </c>
      <c r="L832">
        <v>0</v>
      </c>
      <c r="M832">
        <v>2007</v>
      </c>
      <c r="N832">
        <v>3477</v>
      </c>
      <c r="O832">
        <v>3037</v>
      </c>
      <c r="P832">
        <v>1633</v>
      </c>
      <c r="Q832">
        <v>3633</v>
      </c>
      <c r="R832">
        <v>0</v>
      </c>
      <c r="S832">
        <v>2000</v>
      </c>
      <c r="T832">
        <v>1000</v>
      </c>
      <c r="U832">
        <v>1633</v>
      </c>
      <c r="V832">
        <v>2000</v>
      </c>
      <c r="W832">
        <v>0</v>
      </c>
      <c r="X832">
        <v>3000</v>
      </c>
      <c r="Y832">
        <v>0</v>
      </c>
    </row>
    <row r="833" spans="1:25" x14ac:dyDescent="0.3">
      <c r="A833">
        <v>832</v>
      </c>
      <c r="B833">
        <v>20000</v>
      </c>
      <c r="C833">
        <v>2</v>
      </c>
      <c r="D833">
        <v>3</v>
      </c>
      <c r="E833">
        <v>1</v>
      </c>
      <c r="F833">
        <v>24</v>
      </c>
      <c r="G833">
        <v>8</v>
      </c>
      <c r="H833">
        <v>7</v>
      </c>
      <c r="I833">
        <v>6</v>
      </c>
      <c r="J833">
        <v>5</v>
      </c>
      <c r="K833">
        <v>4</v>
      </c>
      <c r="L833">
        <v>3</v>
      </c>
      <c r="M833">
        <v>24310</v>
      </c>
      <c r="N833">
        <v>23987</v>
      </c>
      <c r="O833">
        <v>23353</v>
      </c>
      <c r="P833">
        <v>22719</v>
      </c>
      <c r="Q833">
        <v>21796</v>
      </c>
      <c r="R833">
        <v>21162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</row>
    <row r="834" spans="1:25" x14ac:dyDescent="0.3">
      <c r="A834">
        <v>833</v>
      </c>
      <c r="B834">
        <v>470000</v>
      </c>
      <c r="C834">
        <v>2</v>
      </c>
      <c r="D834">
        <v>2</v>
      </c>
      <c r="E834">
        <v>1</v>
      </c>
      <c r="F834">
        <v>27</v>
      </c>
      <c r="G834">
        <v>0</v>
      </c>
      <c r="H834">
        <v>0</v>
      </c>
      <c r="I834">
        <v>0</v>
      </c>
      <c r="J834">
        <v>0</v>
      </c>
      <c r="K834">
        <v>-1</v>
      </c>
      <c r="L834">
        <v>0</v>
      </c>
      <c r="M834">
        <v>152478</v>
      </c>
      <c r="N834">
        <v>62084</v>
      </c>
      <c r="O834">
        <v>54551</v>
      </c>
      <c r="P834">
        <v>14363</v>
      </c>
      <c r="Q834">
        <v>97440</v>
      </c>
      <c r="R834">
        <v>90717</v>
      </c>
      <c r="S834">
        <v>3001</v>
      </c>
      <c r="T834">
        <v>4005</v>
      </c>
      <c r="U834">
        <v>2021</v>
      </c>
      <c r="V834">
        <v>97441</v>
      </c>
      <c r="W834">
        <v>5001</v>
      </c>
      <c r="X834">
        <v>5001</v>
      </c>
      <c r="Y834">
        <v>1</v>
      </c>
    </row>
    <row r="835" spans="1:25" x14ac:dyDescent="0.3">
      <c r="A835">
        <v>834</v>
      </c>
      <c r="B835">
        <v>230000</v>
      </c>
      <c r="C835">
        <v>2</v>
      </c>
      <c r="D835">
        <v>3</v>
      </c>
      <c r="E835">
        <v>2</v>
      </c>
      <c r="F835">
        <v>30</v>
      </c>
      <c r="G835">
        <v>-1</v>
      </c>
      <c r="H835">
        <v>-1</v>
      </c>
      <c r="I835">
        <v>-1</v>
      </c>
      <c r="J835">
        <v>0</v>
      </c>
      <c r="K835">
        <v>0</v>
      </c>
      <c r="L835">
        <v>0</v>
      </c>
      <c r="M835">
        <v>550</v>
      </c>
      <c r="N835">
        <v>0</v>
      </c>
      <c r="O835">
        <v>13013</v>
      </c>
      <c r="P835">
        <v>14265</v>
      </c>
      <c r="Q835">
        <v>13659</v>
      </c>
      <c r="R835">
        <v>0</v>
      </c>
      <c r="S835">
        <v>0</v>
      </c>
      <c r="T835">
        <v>13013</v>
      </c>
      <c r="U835">
        <v>1252</v>
      </c>
      <c r="V835">
        <v>3659</v>
      </c>
      <c r="W835">
        <v>0</v>
      </c>
      <c r="X835">
        <v>0</v>
      </c>
      <c r="Y835">
        <v>0</v>
      </c>
    </row>
    <row r="836" spans="1:25" x14ac:dyDescent="0.3">
      <c r="A836">
        <v>835</v>
      </c>
      <c r="B836">
        <v>20000</v>
      </c>
      <c r="C836">
        <v>2</v>
      </c>
      <c r="D836">
        <v>1</v>
      </c>
      <c r="E836">
        <v>2</v>
      </c>
      <c r="F836">
        <v>23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-2</v>
      </c>
      <c r="M836">
        <v>17246</v>
      </c>
      <c r="N836">
        <v>16988</v>
      </c>
      <c r="O836">
        <v>15973</v>
      </c>
      <c r="P836">
        <v>18773</v>
      </c>
      <c r="Q836">
        <v>0</v>
      </c>
      <c r="R836">
        <v>0</v>
      </c>
      <c r="S836">
        <v>2000</v>
      </c>
      <c r="T836">
        <v>2000</v>
      </c>
      <c r="U836">
        <v>3000</v>
      </c>
      <c r="V836">
        <v>0</v>
      </c>
      <c r="W836">
        <v>0</v>
      </c>
      <c r="X836">
        <v>0</v>
      </c>
      <c r="Y836">
        <v>0</v>
      </c>
    </row>
    <row r="837" spans="1:25" x14ac:dyDescent="0.3">
      <c r="A837">
        <v>836</v>
      </c>
      <c r="B837">
        <v>30000</v>
      </c>
      <c r="C837">
        <v>2</v>
      </c>
      <c r="D837">
        <v>3</v>
      </c>
      <c r="E837">
        <v>2</v>
      </c>
      <c r="F837">
        <v>53</v>
      </c>
      <c r="G837">
        <v>-1</v>
      </c>
      <c r="H837">
        <v>-1</v>
      </c>
      <c r="I837">
        <v>-1</v>
      </c>
      <c r="J837">
        <v>-1</v>
      </c>
      <c r="K837">
        <v>-1</v>
      </c>
      <c r="L837">
        <v>-1</v>
      </c>
      <c r="M837">
        <v>1598</v>
      </c>
      <c r="N837">
        <v>2487</v>
      </c>
      <c r="O837">
        <v>0</v>
      </c>
      <c r="P837">
        <v>4810</v>
      </c>
      <c r="Q837">
        <v>2796</v>
      </c>
      <c r="R837">
        <v>3245</v>
      </c>
      <c r="S837">
        <v>2487</v>
      </c>
      <c r="T837">
        <v>0</v>
      </c>
      <c r="U837">
        <v>4810</v>
      </c>
      <c r="V837">
        <v>2796</v>
      </c>
      <c r="W837">
        <v>3245</v>
      </c>
      <c r="X837">
        <v>7305</v>
      </c>
      <c r="Y837">
        <v>1</v>
      </c>
    </row>
    <row r="838" spans="1:25" x14ac:dyDescent="0.3">
      <c r="A838">
        <v>837</v>
      </c>
      <c r="B838">
        <v>80000</v>
      </c>
      <c r="C838">
        <v>2</v>
      </c>
      <c r="D838">
        <v>2</v>
      </c>
      <c r="E838">
        <v>2</v>
      </c>
      <c r="F838">
        <v>23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22895</v>
      </c>
      <c r="N838">
        <v>23837</v>
      </c>
      <c r="O838">
        <v>24253</v>
      </c>
      <c r="P838">
        <v>24562</v>
      </c>
      <c r="Q838">
        <v>25126</v>
      </c>
      <c r="R838">
        <v>25476</v>
      </c>
      <c r="S838">
        <v>1600</v>
      </c>
      <c r="T838">
        <v>1100</v>
      </c>
      <c r="U838">
        <v>1000</v>
      </c>
      <c r="V838">
        <v>1100</v>
      </c>
      <c r="W838">
        <v>906</v>
      </c>
      <c r="X838">
        <v>0</v>
      </c>
      <c r="Y838">
        <v>0</v>
      </c>
    </row>
    <row r="839" spans="1:25" x14ac:dyDescent="0.3">
      <c r="A839">
        <v>838</v>
      </c>
      <c r="B839">
        <v>110000</v>
      </c>
      <c r="C839">
        <v>2</v>
      </c>
      <c r="D839">
        <v>2</v>
      </c>
      <c r="E839">
        <v>1</v>
      </c>
      <c r="F839">
        <v>55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15069</v>
      </c>
      <c r="N839">
        <v>16123</v>
      </c>
      <c r="O839">
        <v>16850</v>
      </c>
      <c r="P839">
        <v>17568</v>
      </c>
      <c r="Q839">
        <v>18133</v>
      </c>
      <c r="R839">
        <v>18828</v>
      </c>
      <c r="S839">
        <v>1600</v>
      </c>
      <c r="T839">
        <v>1300</v>
      </c>
      <c r="U839">
        <v>1000</v>
      </c>
      <c r="V839">
        <v>1000</v>
      </c>
      <c r="W839">
        <v>1000</v>
      </c>
      <c r="X839">
        <v>1000</v>
      </c>
      <c r="Y839">
        <v>0</v>
      </c>
    </row>
    <row r="840" spans="1:25" x14ac:dyDescent="0.3">
      <c r="A840">
        <v>839</v>
      </c>
      <c r="B840">
        <v>420000</v>
      </c>
      <c r="C840">
        <v>1</v>
      </c>
      <c r="D840">
        <v>2</v>
      </c>
      <c r="E840">
        <v>1</v>
      </c>
      <c r="F840">
        <v>34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88948</v>
      </c>
      <c r="N840">
        <v>79783</v>
      </c>
      <c r="O840">
        <v>80575</v>
      </c>
      <c r="P840">
        <v>92982</v>
      </c>
      <c r="Q840">
        <v>98502</v>
      </c>
      <c r="R840">
        <v>103200</v>
      </c>
      <c r="S840">
        <v>30000</v>
      </c>
      <c r="T840">
        <v>10575</v>
      </c>
      <c r="U840">
        <v>15000</v>
      </c>
      <c r="V840">
        <v>10000</v>
      </c>
      <c r="W840">
        <v>10000</v>
      </c>
      <c r="X840">
        <v>20000</v>
      </c>
      <c r="Y840">
        <v>0</v>
      </c>
    </row>
    <row r="841" spans="1:25" x14ac:dyDescent="0.3">
      <c r="A841">
        <v>840</v>
      </c>
      <c r="B841">
        <v>500000</v>
      </c>
      <c r="C841">
        <v>1</v>
      </c>
      <c r="D841">
        <v>1</v>
      </c>
      <c r="E841">
        <v>1</v>
      </c>
      <c r="F841">
        <v>43</v>
      </c>
      <c r="G841">
        <v>1</v>
      </c>
      <c r="H841">
        <v>-2</v>
      </c>
      <c r="I841">
        <v>-2</v>
      </c>
      <c r="J841">
        <v>-2</v>
      </c>
      <c r="K841">
        <v>-2</v>
      </c>
      <c r="L841">
        <v>-2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1</v>
      </c>
    </row>
    <row r="842" spans="1:25" x14ac:dyDescent="0.3">
      <c r="A842">
        <v>841</v>
      </c>
      <c r="B842">
        <v>80000</v>
      </c>
      <c r="C842">
        <v>2</v>
      </c>
      <c r="D842">
        <v>2</v>
      </c>
      <c r="E842">
        <v>2</v>
      </c>
      <c r="F842">
        <v>22</v>
      </c>
      <c r="G842">
        <v>1</v>
      </c>
      <c r="H842">
        <v>2</v>
      </c>
      <c r="I842">
        <v>0</v>
      </c>
      <c r="J842">
        <v>0</v>
      </c>
      <c r="K842">
        <v>0</v>
      </c>
      <c r="L842">
        <v>0</v>
      </c>
      <c r="M842">
        <v>79318</v>
      </c>
      <c r="N842">
        <v>79459</v>
      </c>
      <c r="O842">
        <v>79788</v>
      </c>
      <c r="P842">
        <v>29069</v>
      </c>
      <c r="Q842">
        <v>26551</v>
      </c>
      <c r="R842">
        <v>27109</v>
      </c>
      <c r="S842">
        <v>2000</v>
      </c>
      <c r="T842">
        <v>2201</v>
      </c>
      <c r="U842">
        <v>2000</v>
      </c>
      <c r="V842">
        <v>1000</v>
      </c>
      <c r="W842">
        <v>1000</v>
      </c>
      <c r="X842">
        <v>2000</v>
      </c>
      <c r="Y842">
        <v>0</v>
      </c>
    </row>
    <row r="843" spans="1:25" x14ac:dyDescent="0.3">
      <c r="A843">
        <v>842</v>
      </c>
      <c r="B843">
        <v>350000</v>
      </c>
      <c r="C843">
        <v>2</v>
      </c>
      <c r="D843">
        <v>2</v>
      </c>
      <c r="E843">
        <v>1</v>
      </c>
      <c r="F843">
        <v>31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67648</v>
      </c>
      <c r="N843">
        <v>68557</v>
      </c>
      <c r="O843">
        <v>63179</v>
      </c>
      <c r="P843">
        <v>57987</v>
      </c>
      <c r="Q843">
        <v>53948</v>
      </c>
      <c r="R843">
        <v>39965</v>
      </c>
      <c r="S843">
        <v>3039</v>
      </c>
      <c r="T843">
        <v>2047</v>
      </c>
      <c r="U843">
        <v>1750</v>
      </c>
      <c r="V843">
        <v>1703</v>
      </c>
      <c r="W843">
        <v>1721</v>
      </c>
      <c r="X843">
        <v>784</v>
      </c>
      <c r="Y843">
        <v>0</v>
      </c>
    </row>
    <row r="844" spans="1:25" x14ac:dyDescent="0.3">
      <c r="A844">
        <v>843</v>
      </c>
      <c r="B844">
        <v>30000</v>
      </c>
      <c r="C844">
        <v>2</v>
      </c>
      <c r="D844">
        <v>2</v>
      </c>
      <c r="E844">
        <v>1</v>
      </c>
      <c r="F844">
        <v>32</v>
      </c>
      <c r="G844">
        <v>-2</v>
      </c>
      <c r="H844">
        <v>-2</v>
      </c>
      <c r="I844">
        <v>-2</v>
      </c>
      <c r="J844">
        <v>-2</v>
      </c>
      <c r="K844">
        <v>-2</v>
      </c>
      <c r="L844">
        <v>-2</v>
      </c>
      <c r="M844">
        <v>0</v>
      </c>
      <c r="N844">
        <v>0</v>
      </c>
      <c r="O844">
        <v>0</v>
      </c>
      <c r="P844">
        <v>0</v>
      </c>
      <c r="Q844">
        <v>7463</v>
      </c>
      <c r="R844">
        <v>6804</v>
      </c>
      <c r="S844">
        <v>0</v>
      </c>
      <c r="T844">
        <v>0</v>
      </c>
      <c r="U844">
        <v>0</v>
      </c>
      <c r="V844">
        <v>7463</v>
      </c>
      <c r="W844">
        <v>6804</v>
      </c>
      <c r="X844">
        <v>4985</v>
      </c>
      <c r="Y844">
        <v>0</v>
      </c>
    </row>
    <row r="845" spans="1:25" x14ac:dyDescent="0.3">
      <c r="A845">
        <v>844</v>
      </c>
      <c r="B845">
        <v>110000</v>
      </c>
      <c r="C845">
        <v>2</v>
      </c>
      <c r="D845">
        <v>2</v>
      </c>
      <c r="E845">
        <v>2</v>
      </c>
      <c r="F845">
        <v>33</v>
      </c>
      <c r="G845">
        <v>1</v>
      </c>
      <c r="H845">
        <v>-2</v>
      </c>
      <c r="I845">
        <v>-2</v>
      </c>
      <c r="J845">
        <v>-2</v>
      </c>
      <c r="K845">
        <v>-2</v>
      </c>
      <c r="L845">
        <v>-1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150</v>
      </c>
      <c r="S845">
        <v>0</v>
      </c>
      <c r="T845">
        <v>0</v>
      </c>
      <c r="U845">
        <v>0</v>
      </c>
      <c r="V845">
        <v>0</v>
      </c>
      <c r="W845">
        <v>300</v>
      </c>
      <c r="X845">
        <v>102</v>
      </c>
      <c r="Y845">
        <v>1</v>
      </c>
    </row>
    <row r="846" spans="1:25" x14ac:dyDescent="0.3">
      <c r="A846">
        <v>845</v>
      </c>
      <c r="B846">
        <v>500000</v>
      </c>
      <c r="C846">
        <v>1</v>
      </c>
      <c r="D846">
        <v>3</v>
      </c>
      <c r="E846">
        <v>1</v>
      </c>
      <c r="F846">
        <v>39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315201</v>
      </c>
      <c r="N846">
        <v>332071</v>
      </c>
      <c r="O846">
        <v>375070</v>
      </c>
      <c r="P846">
        <v>354839</v>
      </c>
      <c r="Q846">
        <v>369532</v>
      </c>
      <c r="R846">
        <v>367399</v>
      </c>
      <c r="S846">
        <v>25000</v>
      </c>
      <c r="T846">
        <v>50000</v>
      </c>
      <c r="U846">
        <v>20000</v>
      </c>
      <c r="V846">
        <v>19586</v>
      </c>
      <c r="W846">
        <v>14122</v>
      </c>
      <c r="X846">
        <v>12022</v>
      </c>
      <c r="Y846">
        <v>0</v>
      </c>
    </row>
    <row r="847" spans="1:25" x14ac:dyDescent="0.3">
      <c r="A847">
        <v>846</v>
      </c>
      <c r="B847">
        <v>490000</v>
      </c>
      <c r="C847">
        <v>2</v>
      </c>
      <c r="D847">
        <v>1</v>
      </c>
      <c r="E847">
        <v>1</v>
      </c>
      <c r="F847">
        <v>38</v>
      </c>
      <c r="G847">
        <v>-1</v>
      </c>
      <c r="H847">
        <v>-1</v>
      </c>
      <c r="I847">
        <v>-1</v>
      </c>
      <c r="J847">
        <v>-1</v>
      </c>
      <c r="K847">
        <v>-1</v>
      </c>
      <c r="L847">
        <v>0</v>
      </c>
      <c r="M847">
        <v>4290</v>
      </c>
      <c r="N847">
        <v>4738</v>
      </c>
      <c r="O847">
        <v>2803</v>
      </c>
      <c r="P847">
        <v>6027</v>
      </c>
      <c r="Q847">
        <v>10722</v>
      </c>
      <c r="R847">
        <v>8452</v>
      </c>
      <c r="S847">
        <v>4738</v>
      </c>
      <c r="T847">
        <v>2803</v>
      </c>
      <c r="U847">
        <v>6027</v>
      </c>
      <c r="V847">
        <v>10722</v>
      </c>
      <c r="W847">
        <v>6000</v>
      </c>
      <c r="X847">
        <v>1139</v>
      </c>
      <c r="Y847">
        <v>0</v>
      </c>
    </row>
    <row r="848" spans="1:25" x14ac:dyDescent="0.3">
      <c r="A848">
        <v>847</v>
      </c>
      <c r="B848">
        <v>300000</v>
      </c>
      <c r="C848">
        <v>2</v>
      </c>
      <c r="D848">
        <v>2</v>
      </c>
      <c r="E848">
        <v>1</v>
      </c>
      <c r="F848">
        <v>34</v>
      </c>
      <c r="G848">
        <v>-2</v>
      </c>
      <c r="H848">
        <v>-2</v>
      </c>
      <c r="I848">
        <v>-2</v>
      </c>
      <c r="J848">
        <v>-2</v>
      </c>
      <c r="K848">
        <v>-2</v>
      </c>
      <c r="L848">
        <v>-2</v>
      </c>
      <c r="M848">
        <v>205064</v>
      </c>
      <c r="N848">
        <v>-86</v>
      </c>
      <c r="O848">
        <v>-86</v>
      </c>
      <c r="P848">
        <v>2014</v>
      </c>
      <c r="Q848">
        <v>-185</v>
      </c>
      <c r="R848">
        <v>1815</v>
      </c>
      <c r="S848">
        <v>0</v>
      </c>
      <c r="T848">
        <v>0</v>
      </c>
      <c r="U848">
        <v>2100</v>
      </c>
      <c r="V848">
        <v>0</v>
      </c>
      <c r="W848">
        <v>2000</v>
      </c>
      <c r="X848">
        <v>5000</v>
      </c>
      <c r="Y848">
        <v>0</v>
      </c>
    </row>
    <row r="849" spans="1:25" x14ac:dyDescent="0.3">
      <c r="A849">
        <v>848</v>
      </c>
      <c r="B849">
        <v>50000</v>
      </c>
      <c r="C849">
        <v>1</v>
      </c>
      <c r="D849">
        <v>2</v>
      </c>
      <c r="E849">
        <v>3</v>
      </c>
      <c r="F849">
        <v>42</v>
      </c>
      <c r="G849">
        <v>2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47647</v>
      </c>
      <c r="N849">
        <v>50232</v>
      </c>
      <c r="O849">
        <v>50510</v>
      </c>
      <c r="P849">
        <v>32177</v>
      </c>
      <c r="Q849">
        <v>29530</v>
      </c>
      <c r="R849">
        <v>29789</v>
      </c>
      <c r="S849">
        <v>3700</v>
      </c>
      <c r="T849">
        <v>3700</v>
      </c>
      <c r="U849">
        <v>0</v>
      </c>
      <c r="V849">
        <v>1072</v>
      </c>
      <c r="W849">
        <v>1500</v>
      </c>
      <c r="X849">
        <v>1132</v>
      </c>
      <c r="Y849">
        <v>1</v>
      </c>
    </row>
    <row r="850" spans="1:25" x14ac:dyDescent="0.3">
      <c r="A850">
        <v>849</v>
      </c>
      <c r="B850">
        <v>150000</v>
      </c>
      <c r="C850">
        <v>1</v>
      </c>
      <c r="D850">
        <v>3</v>
      </c>
      <c r="E850">
        <v>1</v>
      </c>
      <c r="F850">
        <v>37</v>
      </c>
      <c r="G850">
        <v>4</v>
      </c>
      <c r="H850">
        <v>4</v>
      </c>
      <c r="I850">
        <v>4</v>
      </c>
      <c r="J850">
        <v>3</v>
      </c>
      <c r="K850">
        <v>2</v>
      </c>
      <c r="L850">
        <v>0</v>
      </c>
      <c r="M850">
        <v>151117</v>
      </c>
      <c r="N850">
        <v>153787</v>
      </c>
      <c r="O850">
        <v>150320</v>
      </c>
      <c r="P850">
        <v>147989</v>
      </c>
      <c r="Q850">
        <v>143355</v>
      </c>
      <c r="R850">
        <v>143131</v>
      </c>
      <c r="S850">
        <v>6500</v>
      </c>
      <c r="T850">
        <v>0</v>
      </c>
      <c r="U850">
        <v>512</v>
      </c>
      <c r="V850">
        <v>0</v>
      </c>
      <c r="W850">
        <v>4388</v>
      </c>
      <c r="X850">
        <v>4221</v>
      </c>
      <c r="Y850">
        <v>1</v>
      </c>
    </row>
    <row r="851" spans="1:25" x14ac:dyDescent="0.3">
      <c r="A851">
        <v>850</v>
      </c>
      <c r="B851">
        <v>80000</v>
      </c>
      <c r="C851">
        <v>2</v>
      </c>
      <c r="D851">
        <v>3</v>
      </c>
      <c r="E851">
        <v>1</v>
      </c>
      <c r="F851">
        <v>57</v>
      </c>
      <c r="G851">
        <v>-1</v>
      </c>
      <c r="H851">
        <v>2</v>
      </c>
      <c r="I851">
        <v>-1</v>
      </c>
      <c r="J851">
        <v>0</v>
      </c>
      <c r="K851">
        <v>0</v>
      </c>
      <c r="L851">
        <v>0</v>
      </c>
      <c r="M851">
        <v>726</v>
      </c>
      <c r="N851">
        <v>726</v>
      </c>
      <c r="O851">
        <v>15400</v>
      </c>
      <c r="P851">
        <v>15000</v>
      </c>
      <c r="Q851">
        <v>15000</v>
      </c>
      <c r="R851">
        <v>15000</v>
      </c>
      <c r="S851">
        <v>0</v>
      </c>
      <c r="T851">
        <v>15400</v>
      </c>
      <c r="U851">
        <v>0</v>
      </c>
      <c r="V851">
        <v>0</v>
      </c>
      <c r="W851">
        <v>0</v>
      </c>
      <c r="X851">
        <v>100</v>
      </c>
      <c r="Y851">
        <v>0</v>
      </c>
    </row>
    <row r="852" spans="1:25" x14ac:dyDescent="0.3">
      <c r="A852">
        <v>851</v>
      </c>
      <c r="B852">
        <v>40000</v>
      </c>
      <c r="C852">
        <v>2</v>
      </c>
      <c r="D852">
        <v>2</v>
      </c>
      <c r="E852">
        <v>2</v>
      </c>
      <c r="F852">
        <v>23</v>
      </c>
      <c r="G852">
        <v>0</v>
      </c>
      <c r="H852">
        <v>0</v>
      </c>
      <c r="I852">
        <v>0</v>
      </c>
      <c r="J852">
        <v>2</v>
      </c>
      <c r="K852">
        <v>2</v>
      </c>
      <c r="L852">
        <v>6</v>
      </c>
      <c r="M852">
        <v>20035</v>
      </c>
      <c r="N852">
        <v>21406</v>
      </c>
      <c r="O852">
        <v>24735</v>
      </c>
      <c r="P852">
        <v>24050</v>
      </c>
      <c r="Q852">
        <v>43317</v>
      </c>
      <c r="R852">
        <v>44059</v>
      </c>
      <c r="S852">
        <v>2000</v>
      </c>
      <c r="T852">
        <v>4000</v>
      </c>
      <c r="U852">
        <v>0</v>
      </c>
      <c r="V852">
        <v>20000</v>
      </c>
      <c r="W852">
        <v>2000</v>
      </c>
      <c r="X852">
        <v>0</v>
      </c>
      <c r="Y852">
        <v>0</v>
      </c>
    </row>
    <row r="853" spans="1:25" x14ac:dyDescent="0.3">
      <c r="A853">
        <v>852</v>
      </c>
      <c r="B853">
        <v>30000</v>
      </c>
      <c r="C853">
        <v>1</v>
      </c>
      <c r="D853">
        <v>2</v>
      </c>
      <c r="E853">
        <v>2</v>
      </c>
      <c r="F853">
        <v>32</v>
      </c>
      <c r="G853">
        <v>1</v>
      </c>
      <c r="H853">
        <v>2</v>
      </c>
      <c r="I853">
        <v>2</v>
      </c>
      <c r="J853">
        <v>0</v>
      </c>
      <c r="K853">
        <v>0</v>
      </c>
      <c r="L853">
        <v>0</v>
      </c>
      <c r="M853">
        <v>29095</v>
      </c>
      <c r="N853">
        <v>30819</v>
      </c>
      <c r="O853">
        <v>29214</v>
      </c>
      <c r="P853">
        <v>29478</v>
      </c>
      <c r="Q853">
        <v>23384</v>
      </c>
      <c r="R853">
        <v>22428</v>
      </c>
      <c r="S853">
        <v>2500</v>
      </c>
      <c r="T853">
        <v>0</v>
      </c>
      <c r="U853">
        <v>910</v>
      </c>
      <c r="V853">
        <v>1000</v>
      </c>
      <c r="W853">
        <v>1000</v>
      </c>
      <c r="X853">
        <v>1000</v>
      </c>
      <c r="Y853">
        <v>0</v>
      </c>
    </row>
    <row r="854" spans="1:25" x14ac:dyDescent="0.3">
      <c r="A854">
        <v>853</v>
      </c>
      <c r="B854">
        <v>50000</v>
      </c>
      <c r="C854">
        <v>1</v>
      </c>
      <c r="D854">
        <v>1</v>
      </c>
      <c r="E854">
        <v>1</v>
      </c>
      <c r="F854">
        <v>37</v>
      </c>
      <c r="G854">
        <v>0</v>
      </c>
      <c r="H854">
        <v>0</v>
      </c>
      <c r="I854">
        <v>-2</v>
      </c>
      <c r="J854">
        <v>-2</v>
      </c>
      <c r="K854">
        <v>-2</v>
      </c>
      <c r="L854">
        <v>-2</v>
      </c>
      <c r="M854">
        <v>30400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500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</row>
    <row r="855" spans="1:25" x14ac:dyDescent="0.3">
      <c r="A855">
        <v>854</v>
      </c>
      <c r="B855">
        <v>140000</v>
      </c>
      <c r="C855">
        <v>2</v>
      </c>
      <c r="D855">
        <v>2</v>
      </c>
      <c r="E855">
        <v>2</v>
      </c>
      <c r="F855">
        <v>23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44733</v>
      </c>
      <c r="N855">
        <v>44144</v>
      </c>
      <c r="O855">
        <v>44739</v>
      </c>
      <c r="P855">
        <v>43455</v>
      </c>
      <c r="Q855">
        <v>43980</v>
      </c>
      <c r="R855">
        <v>44614</v>
      </c>
      <c r="S855">
        <v>2100</v>
      </c>
      <c r="T855">
        <v>2027</v>
      </c>
      <c r="U855">
        <v>1800</v>
      </c>
      <c r="V855">
        <v>1600</v>
      </c>
      <c r="W855">
        <v>1750</v>
      </c>
      <c r="X855">
        <v>1700</v>
      </c>
      <c r="Y855">
        <v>0</v>
      </c>
    </row>
    <row r="856" spans="1:25" x14ac:dyDescent="0.3">
      <c r="A856">
        <v>855</v>
      </c>
      <c r="B856">
        <v>50000</v>
      </c>
      <c r="C856">
        <v>2</v>
      </c>
      <c r="D856">
        <v>3</v>
      </c>
      <c r="E856">
        <v>2</v>
      </c>
      <c r="F856">
        <v>49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4987</v>
      </c>
      <c r="N856">
        <v>6741</v>
      </c>
      <c r="O856">
        <v>9366</v>
      </c>
      <c r="P856">
        <v>8566</v>
      </c>
      <c r="Q856">
        <v>10066</v>
      </c>
      <c r="R856">
        <v>0</v>
      </c>
      <c r="S856">
        <v>2000</v>
      </c>
      <c r="T856">
        <v>3000</v>
      </c>
      <c r="U856">
        <v>1500</v>
      </c>
      <c r="V856">
        <v>1500</v>
      </c>
      <c r="W856">
        <v>0</v>
      </c>
      <c r="X856">
        <v>0</v>
      </c>
      <c r="Y856">
        <v>0</v>
      </c>
    </row>
    <row r="857" spans="1:25" x14ac:dyDescent="0.3">
      <c r="A857">
        <v>856</v>
      </c>
      <c r="B857">
        <v>30000</v>
      </c>
      <c r="C857">
        <v>2</v>
      </c>
      <c r="D857">
        <v>2</v>
      </c>
      <c r="E857">
        <v>2</v>
      </c>
      <c r="F857">
        <v>25</v>
      </c>
      <c r="G857">
        <v>-2</v>
      </c>
      <c r="H857">
        <v>-2</v>
      </c>
      <c r="I857">
        <v>-2</v>
      </c>
      <c r="J857">
        <v>-2</v>
      </c>
      <c r="K857">
        <v>-2</v>
      </c>
      <c r="L857">
        <v>-2</v>
      </c>
      <c r="M857">
        <v>26957</v>
      </c>
      <c r="N857">
        <v>26269</v>
      </c>
      <c r="O857">
        <v>17036</v>
      </c>
      <c r="P857">
        <v>27497</v>
      </c>
      <c r="Q857">
        <v>16098</v>
      </c>
      <c r="R857">
        <v>7300</v>
      </c>
      <c r="S857">
        <v>1333</v>
      </c>
      <c r="T857">
        <v>2256</v>
      </c>
      <c r="U857">
        <v>27497</v>
      </c>
      <c r="V857">
        <v>787</v>
      </c>
      <c r="W857">
        <v>200</v>
      </c>
      <c r="X857">
        <v>0</v>
      </c>
      <c r="Y857">
        <v>0</v>
      </c>
    </row>
    <row r="858" spans="1:25" x14ac:dyDescent="0.3">
      <c r="A858">
        <v>857</v>
      </c>
      <c r="B858">
        <v>40000</v>
      </c>
      <c r="C858">
        <v>2</v>
      </c>
      <c r="D858">
        <v>1</v>
      </c>
      <c r="E858">
        <v>2</v>
      </c>
      <c r="F858">
        <v>29</v>
      </c>
      <c r="G858">
        <v>0</v>
      </c>
      <c r="H858">
        <v>0</v>
      </c>
      <c r="I858">
        <v>2</v>
      </c>
      <c r="J858">
        <v>2</v>
      </c>
      <c r="K858">
        <v>2</v>
      </c>
      <c r="L858">
        <v>2</v>
      </c>
      <c r="M858">
        <v>26461</v>
      </c>
      <c r="N858">
        <v>29425</v>
      </c>
      <c r="O858">
        <v>30145</v>
      </c>
      <c r="P858">
        <v>29361</v>
      </c>
      <c r="Q858">
        <v>33893</v>
      </c>
      <c r="R858">
        <v>34487</v>
      </c>
      <c r="S858">
        <v>3400</v>
      </c>
      <c r="T858">
        <v>1500</v>
      </c>
      <c r="U858">
        <v>0</v>
      </c>
      <c r="V858">
        <v>5000</v>
      </c>
      <c r="W858">
        <v>1300</v>
      </c>
      <c r="X858">
        <v>0</v>
      </c>
      <c r="Y858">
        <v>1</v>
      </c>
    </row>
    <row r="859" spans="1:25" x14ac:dyDescent="0.3">
      <c r="A859">
        <v>858</v>
      </c>
      <c r="B859">
        <v>100000</v>
      </c>
      <c r="C859">
        <v>2</v>
      </c>
      <c r="D859">
        <v>3</v>
      </c>
      <c r="E859">
        <v>1</v>
      </c>
      <c r="F859">
        <v>43</v>
      </c>
      <c r="G859">
        <v>2</v>
      </c>
      <c r="H859">
        <v>2</v>
      </c>
      <c r="I859">
        <v>2</v>
      </c>
      <c r="J859">
        <v>2</v>
      </c>
      <c r="K859">
        <v>2</v>
      </c>
      <c r="L859">
        <v>2</v>
      </c>
      <c r="M859">
        <v>50485</v>
      </c>
      <c r="N859">
        <v>51582</v>
      </c>
      <c r="O859">
        <v>52141</v>
      </c>
      <c r="P859">
        <v>52691</v>
      </c>
      <c r="Q859">
        <v>54199</v>
      </c>
      <c r="R859">
        <v>53176</v>
      </c>
      <c r="S859">
        <v>2200</v>
      </c>
      <c r="T859">
        <v>2000</v>
      </c>
      <c r="U859">
        <v>2000</v>
      </c>
      <c r="V859">
        <v>2500</v>
      </c>
      <c r="W859">
        <v>0</v>
      </c>
      <c r="X859">
        <v>4500</v>
      </c>
      <c r="Y859">
        <v>1</v>
      </c>
    </row>
    <row r="860" spans="1:25" x14ac:dyDescent="0.3">
      <c r="A860">
        <v>859</v>
      </c>
      <c r="B860">
        <v>130000</v>
      </c>
      <c r="C860">
        <v>1</v>
      </c>
      <c r="D860">
        <v>2</v>
      </c>
      <c r="E860">
        <v>2</v>
      </c>
      <c r="F860">
        <v>29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131041</v>
      </c>
      <c r="N860">
        <v>133698</v>
      </c>
      <c r="O860">
        <v>131990</v>
      </c>
      <c r="P860">
        <v>127512</v>
      </c>
      <c r="Q860">
        <v>128683</v>
      </c>
      <c r="R860">
        <v>129669</v>
      </c>
      <c r="S860">
        <v>7000</v>
      </c>
      <c r="T860">
        <v>5151</v>
      </c>
      <c r="U860">
        <v>4464</v>
      </c>
      <c r="V860">
        <v>5000</v>
      </c>
      <c r="W860">
        <v>4702</v>
      </c>
      <c r="X860">
        <v>8000</v>
      </c>
      <c r="Y860">
        <v>0</v>
      </c>
    </row>
    <row r="861" spans="1:25" x14ac:dyDescent="0.3">
      <c r="A861">
        <v>860</v>
      </c>
      <c r="B861">
        <v>20000</v>
      </c>
      <c r="C861">
        <v>2</v>
      </c>
      <c r="D861">
        <v>2</v>
      </c>
      <c r="E861">
        <v>2</v>
      </c>
      <c r="F861">
        <v>27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20218</v>
      </c>
      <c r="N861">
        <v>19194</v>
      </c>
      <c r="O861">
        <v>20112</v>
      </c>
      <c r="P861">
        <v>19712</v>
      </c>
      <c r="Q861">
        <v>19712</v>
      </c>
      <c r="R861">
        <v>6321</v>
      </c>
      <c r="S861">
        <v>1482</v>
      </c>
      <c r="T861">
        <v>1400</v>
      </c>
      <c r="U861">
        <v>0</v>
      </c>
      <c r="V861">
        <v>0</v>
      </c>
      <c r="W861">
        <v>0</v>
      </c>
      <c r="X861">
        <v>0</v>
      </c>
      <c r="Y861">
        <v>0</v>
      </c>
    </row>
    <row r="862" spans="1:25" x14ac:dyDescent="0.3">
      <c r="A862">
        <v>861</v>
      </c>
      <c r="B862">
        <v>50000</v>
      </c>
      <c r="C862">
        <v>1</v>
      </c>
      <c r="D862">
        <v>1</v>
      </c>
      <c r="E862">
        <v>2</v>
      </c>
      <c r="F862">
        <v>26</v>
      </c>
      <c r="G862">
        <v>-2</v>
      </c>
      <c r="H862">
        <v>-2</v>
      </c>
      <c r="I862">
        <v>-2</v>
      </c>
      <c r="J862">
        <v>-2</v>
      </c>
      <c r="K862">
        <v>-2</v>
      </c>
      <c r="L862">
        <v>-2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</row>
    <row r="863" spans="1:25" x14ac:dyDescent="0.3">
      <c r="A863">
        <v>862</v>
      </c>
      <c r="B863">
        <v>260000</v>
      </c>
      <c r="C863">
        <v>1</v>
      </c>
      <c r="D863">
        <v>1</v>
      </c>
      <c r="E863">
        <v>1</v>
      </c>
      <c r="F863">
        <v>41</v>
      </c>
      <c r="G863">
        <v>-2</v>
      </c>
      <c r="H863">
        <v>-2</v>
      </c>
      <c r="I863">
        <v>-1</v>
      </c>
      <c r="J863">
        <v>0</v>
      </c>
      <c r="K863">
        <v>0</v>
      </c>
      <c r="L863">
        <v>0</v>
      </c>
      <c r="M863">
        <v>1086</v>
      </c>
      <c r="N863">
        <v>2853</v>
      </c>
      <c r="O863">
        <v>38836</v>
      </c>
      <c r="P863">
        <v>45087</v>
      </c>
      <c r="Q863">
        <v>47201</v>
      </c>
      <c r="R863">
        <v>46199</v>
      </c>
      <c r="S863">
        <v>3552</v>
      </c>
      <c r="T863">
        <v>38836</v>
      </c>
      <c r="U863">
        <v>20000</v>
      </c>
      <c r="V863">
        <v>15000</v>
      </c>
      <c r="W863">
        <v>15000</v>
      </c>
      <c r="X863">
        <v>10000</v>
      </c>
      <c r="Y863">
        <v>0</v>
      </c>
    </row>
    <row r="864" spans="1:25" x14ac:dyDescent="0.3">
      <c r="A864">
        <v>863</v>
      </c>
      <c r="B864">
        <v>30000</v>
      </c>
      <c r="C864">
        <v>2</v>
      </c>
      <c r="D864">
        <v>3</v>
      </c>
      <c r="E864">
        <v>2</v>
      </c>
      <c r="F864">
        <v>52</v>
      </c>
      <c r="G864">
        <v>2</v>
      </c>
      <c r="H864">
        <v>2</v>
      </c>
      <c r="I864">
        <v>7</v>
      </c>
      <c r="J864">
        <v>7</v>
      </c>
      <c r="K864">
        <v>7</v>
      </c>
      <c r="L864">
        <v>7</v>
      </c>
      <c r="M864">
        <v>2450</v>
      </c>
      <c r="N864">
        <v>2450</v>
      </c>
      <c r="O864">
        <v>2450</v>
      </c>
      <c r="P864">
        <v>2450</v>
      </c>
      <c r="Q864">
        <v>2450</v>
      </c>
      <c r="R864">
        <v>2450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</row>
    <row r="865" spans="1:25" x14ac:dyDescent="0.3">
      <c r="A865">
        <v>864</v>
      </c>
      <c r="B865">
        <v>10000</v>
      </c>
      <c r="C865">
        <v>2</v>
      </c>
      <c r="D865">
        <v>2</v>
      </c>
      <c r="E865">
        <v>1</v>
      </c>
      <c r="F865">
        <v>31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15915</v>
      </c>
      <c r="N865">
        <v>9050</v>
      </c>
      <c r="O865">
        <v>9901</v>
      </c>
      <c r="P865">
        <v>9975</v>
      </c>
      <c r="Q865">
        <v>9736</v>
      </c>
      <c r="R865">
        <v>8703</v>
      </c>
      <c r="S865">
        <v>2330</v>
      </c>
      <c r="T865">
        <v>2200</v>
      </c>
      <c r="U865">
        <v>1000</v>
      </c>
      <c r="V865">
        <v>333</v>
      </c>
      <c r="W865">
        <v>311</v>
      </c>
      <c r="X865">
        <v>322</v>
      </c>
      <c r="Y865">
        <v>0</v>
      </c>
    </row>
    <row r="866" spans="1:25" x14ac:dyDescent="0.3">
      <c r="A866">
        <v>865</v>
      </c>
      <c r="B866">
        <v>200000</v>
      </c>
      <c r="C866">
        <v>1</v>
      </c>
      <c r="D866">
        <v>1</v>
      </c>
      <c r="E866">
        <v>2</v>
      </c>
      <c r="F866">
        <v>32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43515</v>
      </c>
      <c r="N866">
        <v>44557</v>
      </c>
      <c r="O866">
        <v>45574</v>
      </c>
      <c r="P866">
        <v>49022</v>
      </c>
      <c r="Q866">
        <v>47459</v>
      </c>
      <c r="R866">
        <v>49666</v>
      </c>
      <c r="S866">
        <v>1739</v>
      </c>
      <c r="T866">
        <v>1756</v>
      </c>
      <c r="U866">
        <v>2662</v>
      </c>
      <c r="V866">
        <v>1726</v>
      </c>
      <c r="W866">
        <v>3000</v>
      </c>
      <c r="X866">
        <v>2500</v>
      </c>
      <c r="Y866">
        <v>0</v>
      </c>
    </row>
    <row r="867" spans="1:25" x14ac:dyDescent="0.3">
      <c r="A867">
        <v>866</v>
      </c>
      <c r="B867">
        <v>30000</v>
      </c>
      <c r="C867">
        <v>2</v>
      </c>
      <c r="D867">
        <v>2</v>
      </c>
      <c r="E867">
        <v>1</v>
      </c>
      <c r="F867">
        <v>46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28234</v>
      </c>
      <c r="N867">
        <v>28874</v>
      </c>
      <c r="O867">
        <v>29437</v>
      </c>
      <c r="P867">
        <v>27738</v>
      </c>
      <c r="Q867">
        <v>27268</v>
      </c>
      <c r="R867">
        <v>27409</v>
      </c>
      <c r="S867">
        <v>1484</v>
      </c>
      <c r="T867">
        <v>1436</v>
      </c>
      <c r="U867">
        <v>1120</v>
      </c>
      <c r="V867">
        <v>995</v>
      </c>
      <c r="W867">
        <v>989</v>
      </c>
      <c r="X867">
        <v>800</v>
      </c>
      <c r="Y867">
        <v>0</v>
      </c>
    </row>
    <row r="868" spans="1:25" x14ac:dyDescent="0.3">
      <c r="A868">
        <v>867</v>
      </c>
      <c r="B868">
        <v>180000</v>
      </c>
      <c r="C868">
        <v>2</v>
      </c>
      <c r="D868">
        <v>2</v>
      </c>
      <c r="E868">
        <v>2</v>
      </c>
      <c r="F868">
        <v>35</v>
      </c>
      <c r="G868">
        <v>0</v>
      </c>
      <c r="H868">
        <v>0</v>
      </c>
      <c r="I868">
        <v>0</v>
      </c>
      <c r="J868">
        <v>-2</v>
      </c>
      <c r="K868">
        <v>-2</v>
      </c>
      <c r="L868">
        <v>-2</v>
      </c>
      <c r="M868">
        <v>119333</v>
      </c>
      <c r="N868">
        <v>123150</v>
      </c>
      <c r="O868">
        <v>0</v>
      </c>
      <c r="P868">
        <v>0</v>
      </c>
      <c r="Q868">
        <v>0</v>
      </c>
      <c r="R868">
        <v>0</v>
      </c>
      <c r="S868">
        <v>6000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</row>
    <row r="869" spans="1:25" x14ac:dyDescent="0.3">
      <c r="A869">
        <v>868</v>
      </c>
      <c r="B869">
        <v>100000</v>
      </c>
      <c r="C869">
        <v>1</v>
      </c>
      <c r="D869">
        <v>1</v>
      </c>
      <c r="E869">
        <v>2</v>
      </c>
      <c r="F869">
        <v>35</v>
      </c>
      <c r="G869">
        <v>0</v>
      </c>
      <c r="H869">
        <v>0</v>
      </c>
      <c r="I869">
        <v>-2</v>
      </c>
      <c r="J869">
        <v>-2</v>
      </c>
      <c r="K869">
        <v>-2</v>
      </c>
      <c r="L869">
        <v>-2</v>
      </c>
      <c r="M869">
        <v>29109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47970</v>
      </c>
      <c r="Y869">
        <v>0</v>
      </c>
    </row>
    <row r="870" spans="1:25" x14ac:dyDescent="0.3">
      <c r="A870">
        <v>869</v>
      </c>
      <c r="B870">
        <v>140000</v>
      </c>
      <c r="C870">
        <v>2</v>
      </c>
      <c r="D870">
        <v>2</v>
      </c>
      <c r="E870">
        <v>1</v>
      </c>
      <c r="F870">
        <v>39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105192</v>
      </c>
      <c r="N870">
        <v>90337</v>
      </c>
      <c r="O870">
        <v>74510</v>
      </c>
      <c r="P870">
        <v>73876</v>
      </c>
      <c r="Q870">
        <v>76180</v>
      </c>
      <c r="R870">
        <v>78400</v>
      </c>
      <c r="S870">
        <v>3000</v>
      </c>
      <c r="T870">
        <v>6000</v>
      </c>
      <c r="U870">
        <v>4000</v>
      </c>
      <c r="V870">
        <v>4000</v>
      </c>
      <c r="W870">
        <v>4000</v>
      </c>
      <c r="X870">
        <v>3000</v>
      </c>
      <c r="Y870">
        <v>0</v>
      </c>
    </row>
    <row r="871" spans="1:25" x14ac:dyDescent="0.3">
      <c r="A871">
        <v>870</v>
      </c>
      <c r="B871">
        <v>290000</v>
      </c>
      <c r="C871">
        <v>2</v>
      </c>
      <c r="D871">
        <v>2</v>
      </c>
      <c r="E871">
        <v>2</v>
      </c>
      <c r="F871">
        <v>34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310403</v>
      </c>
      <c r="N871">
        <v>315048</v>
      </c>
      <c r="O871">
        <v>314085</v>
      </c>
      <c r="P871">
        <v>317631</v>
      </c>
      <c r="Q871">
        <v>315820</v>
      </c>
      <c r="R871">
        <v>305498</v>
      </c>
      <c r="S871">
        <v>12012</v>
      </c>
      <c r="T871">
        <v>12012</v>
      </c>
      <c r="U871">
        <v>11016</v>
      </c>
      <c r="V871">
        <v>11088</v>
      </c>
      <c r="W871">
        <v>12031</v>
      </c>
      <c r="X871">
        <v>12031</v>
      </c>
      <c r="Y871">
        <v>0</v>
      </c>
    </row>
    <row r="872" spans="1:25" x14ac:dyDescent="0.3">
      <c r="A872">
        <v>871</v>
      </c>
      <c r="B872">
        <v>20000</v>
      </c>
      <c r="C872">
        <v>2</v>
      </c>
      <c r="D872">
        <v>2</v>
      </c>
      <c r="E872">
        <v>3</v>
      </c>
      <c r="F872">
        <v>52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14591</v>
      </c>
      <c r="N872">
        <v>15616</v>
      </c>
      <c r="O872">
        <v>16628</v>
      </c>
      <c r="P872">
        <v>16958</v>
      </c>
      <c r="Q872">
        <v>17314</v>
      </c>
      <c r="R872">
        <v>17664</v>
      </c>
      <c r="S872">
        <v>1265</v>
      </c>
      <c r="T872">
        <v>1277</v>
      </c>
      <c r="U872">
        <v>607</v>
      </c>
      <c r="V872">
        <v>629</v>
      </c>
      <c r="W872">
        <v>638</v>
      </c>
      <c r="X872">
        <v>641</v>
      </c>
      <c r="Y872">
        <v>0</v>
      </c>
    </row>
    <row r="873" spans="1:25" x14ac:dyDescent="0.3">
      <c r="A873">
        <v>872</v>
      </c>
      <c r="B873">
        <v>80000</v>
      </c>
      <c r="C873">
        <v>2</v>
      </c>
      <c r="D873">
        <v>3</v>
      </c>
      <c r="E873">
        <v>1</v>
      </c>
      <c r="F873">
        <v>40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35660</v>
      </c>
      <c r="N873">
        <v>37082</v>
      </c>
      <c r="O873">
        <v>38464</v>
      </c>
      <c r="P873">
        <v>38922</v>
      </c>
      <c r="Q873">
        <v>40791</v>
      </c>
      <c r="R873">
        <v>43108</v>
      </c>
      <c r="S873">
        <v>2000</v>
      </c>
      <c r="T873">
        <v>2000</v>
      </c>
      <c r="U873">
        <v>1397</v>
      </c>
      <c r="V873">
        <v>2500</v>
      </c>
      <c r="W873">
        <v>3000</v>
      </c>
      <c r="X873">
        <v>1600</v>
      </c>
      <c r="Y873">
        <v>0</v>
      </c>
    </row>
    <row r="874" spans="1:25" x14ac:dyDescent="0.3">
      <c r="A874">
        <v>873</v>
      </c>
      <c r="B874">
        <v>500000</v>
      </c>
      <c r="C874">
        <v>2</v>
      </c>
      <c r="D874">
        <v>3</v>
      </c>
      <c r="E874">
        <v>1</v>
      </c>
      <c r="F874">
        <v>38</v>
      </c>
      <c r="G874">
        <v>-2</v>
      </c>
      <c r="H874">
        <v>-2</v>
      </c>
      <c r="I874">
        <v>-2</v>
      </c>
      <c r="J874">
        <v>-2</v>
      </c>
      <c r="K874">
        <v>-2</v>
      </c>
      <c r="L874">
        <v>-2</v>
      </c>
      <c r="M874">
        <v>13655</v>
      </c>
      <c r="N874">
        <v>8351</v>
      </c>
      <c r="O874">
        <v>2340</v>
      </c>
      <c r="P874">
        <v>2340</v>
      </c>
      <c r="Q874">
        <v>11435</v>
      </c>
      <c r="R874">
        <v>189</v>
      </c>
      <c r="S874">
        <v>8351</v>
      </c>
      <c r="T874">
        <v>2340</v>
      </c>
      <c r="U874">
        <v>2340</v>
      </c>
      <c r="V874">
        <v>11435</v>
      </c>
      <c r="W874">
        <v>189</v>
      </c>
      <c r="X874">
        <v>5391</v>
      </c>
      <c r="Y874">
        <v>0</v>
      </c>
    </row>
    <row r="875" spans="1:25" x14ac:dyDescent="0.3">
      <c r="A875">
        <v>874</v>
      </c>
      <c r="B875">
        <v>180000</v>
      </c>
      <c r="C875">
        <v>1</v>
      </c>
      <c r="D875">
        <v>1</v>
      </c>
      <c r="E875">
        <v>1</v>
      </c>
      <c r="F875">
        <v>45</v>
      </c>
      <c r="G875">
        <v>-1</v>
      </c>
      <c r="H875">
        <v>-1</v>
      </c>
      <c r="I875">
        <v>-1</v>
      </c>
      <c r="J875">
        <v>-1</v>
      </c>
      <c r="K875">
        <v>-1</v>
      </c>
      <c r="L875">
        <v>-1</v>
      </c>
      <c r="M875">
        <v>4453</v>
      </c>
      <c r="N875">
        <v>3310</v>
      </c>
      <c r="O875">
        <v>7226</v>
      </c>
      <c r="P875">
        <v>5060</v>
      </c>
      <c r="Q875">
        <v>2832</v>
      </c>
      <c r="R875">
        <v>1890</v>
      </c>
      <c r="S875">
        <v>3310</v>
      </c>
      <c r="T875">
        <v>7228</v>
      </c>
      <c r="U875">
        <v>5060</v>
      </c>
      <c r="V875">
        <v>2832</v>
      </c>
      <c r="W875">
        <v>1890</v>
      </c>
      <c r="X875">
        <v>2576</v>
      </c>
      <c r="Y875">
        <v>0</v>
      </c>
    </row>
    <row r="876" spans="1:25" x14ac:dyDescent="0.3">
      <c r="A876">
        <v>875</v>
      </c>
      <c r="B876">
        <v>20000</v>
      </c>
      <c r="C876">
        <v>2</v>
      </c>
      <c r="D876">
        <v>3</v>
      </c>
      <c r="E876">
        <v>1</v>
      </c>
      <c r="F876">
        <v>40</v>
      </c>
      <c r="G876">
        <v>-1</v>
      </c>
      <c r="H876">
        <v>-1</v>
      </c>
      <c r="I876">
        <v>-1</v>
      </c>
      <c r="J876">
        <v>-1</v>
      </c>
      <c r="K876">
        <v>-1</v>
      </c>
      <c r="L876">
        <v>-1</v>
      </c>
      <c r="M876">
        <v>2946</v>
      </c>
      <c r="N876">
        <v>0</v>
      </c>
      <c r="O876">
        <v>390</v>
      </c>
      <c r="P876">
        <v>390</v>
      </c>
      <c r="Q876">
        <v>390</v>
      </c>
      <c r="R876">
        <v>390</v>
      </c>
      <c r="S876">
        <v>0</v>
      </c>
      <c r="T876">
        <v>390</v>
      </c>
      <c r="U876">
        <v>390</v>
      </c>
      <c r="V876">
        <v>390</v>
      </c>
      <c r="W876">
        <v>390</v>
      </c>
      <c r="X876">
        <v>780</v>
      </c>
      <c r="Y876">
        <v>0</v>
      </c>
    </row>
    <row r="877" spans="1:25" x14ac:dyDescent="0.3">
      <c r="A877">
        <v>876</v>
      </c>
      <c r="B877">
        <v>30000</v>
      </c>
      <c r="C877">
        <v>2</v>
      </c>
      <c r="D877">
        <v>2</v>
      </c>
      <c r="E877">
        <v>1</v>
      </c>
      <c r="F877">
        <v>25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2</v>
      </c>
      <c r="M877">
        <v>30606</v>
      </c>
      <c r="N877">
        <v>29579</v>
      </c>
      <c r="O877">
        <v>30291</v>
      </c>
      <c r="P877">
        <v>30616</v>
      </c>
      <c r="Q877">
        <v>30456</v>
      </c>
      <c r="R877">
        <v>29818</v>
      </c>
      <c r="S877">
        <v>1800</v>
      </c>
      <c r="T877">
        <v>1512</v>
      </c>
      <c r="U877">
        <v>1259</v>
      </c>
      <c r="V877">
        <v>2500</v>
      </c>
      <c r="W877">
        <v>0</v>
      </c>
      <c r="X877">
        <v>1000</v>
      </c>
      <c r="Y877">
        <v>0</v>
      </c>
    </row>
    <row r="878" spans="1:25" x14ac:dyDescent="0.3">
      <c r="A878">
        <v>877</v>
      </c>
      <c r="B878">
        <v>150000</v>
      </c>
      <c r="C878">
        <v>1</v>
      </c>
      <c r="D878">
        <v>1</v>
      </c>
      <c r="E878">
        <v>2</v>
      </c>
      <c r="F878">
        <v>33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45335</v>
      </c>
      <c r="N878">
        <v>50262</v>
      </c>
      <c r="O878">
        <v>54793</v>
      </c>
      <c r="P878">
        <v>59244</v>
      </c>
      <c r="Q878">
        <v>64096</v>
      </c>
      <c r="R878">
        <v>68837</v>
      </c>
      <c r="S878">
        <v>6000</v>
      </c>
      <c r="T878">
        <v>6000</v>
      </c>
      <c r="U878">
        <v>6000</v>
      </c>
      <c r="V878">
        <v>6000</v>
      </c>
      <c r="W878">
        <v>6001</v>
      </c>
      <c r="X878">
        <v>6000</v>
      </c>
      <c r="Y878">
        <v>0</v>
      </c>
    </row>
    <row r="879" spans="1:25" x14ac:dyDescent="0.3">
      <c r="A879">
        <v>878</v>
      </c>
      <c r="B879">
        <v>280000</v>
      </c>
      <c r="C879">
        <v>2</v>
      </c>
      <c r="D879">
        <v>2</v>
      </c>
      <c r="E879">
        <v>2</v>
      </c>
      <c r="F879">
        <v>27</v>
      </c>
      <c r="G879">
        <v>-1</v>
      </c>
      <c r="H879">
        <v>-1</v>
      </c>
      <c r="I879">
        <v>-1</v>
      </c>
      <c r="J879">
        <v>-1</v>
      </c>
      <c r="K879">
        <v>-1</v>
      </c>
      <c r="L879">
        <v>-1</v>
      </c>
      <c r="M879">
        <v>5924</v>
      </c>
      <c r="N879">
        <v>5174</v>
      </c>
      <c r="O879">
        <v>980</v>
      </c>
      <c r="P879">
        <v>3058</v>
      </c>
      <c r="Q879">
        <v>3158</v>
      </c>
      <c r="R879">
        <v>9530</v>
      </c>
      <c r="S879">
        <v>5174</v>
      </c>
      <c r="T879">
        <v>1078</v>
      </c>
      <c r="U879">
        <v>3058</v>
      </c>
      <c r="V879">
        <v>3158</v>
      </c>
      <c r="W879">
        <v>9530</v>
      </c>
      <c r="X879">
        <v>0</v>
      </c>
      <c r="Y879">
        <v>0</v>
      </c>
    </row>
    <row r="880" spans="1:25" x14ac:dyDescent="0.3">
      <c r="A880">
        <v>879</v>
      </c>
      <c r="B880">
        <v>50000</v>
      </c>
      <c r="C880">
        <v>2</v>
      </c>
      <c r="D880">
        <v>2</v>
      </c>
      <c r="E880">
        <v>1</v>
      </c>
      <c r="F880">
        <v>43</v>
      </c>
      <c r="G880">
        <v>0</v>
      </c>
      <c r="H880">
        <v>0</v>
      </c>
      <c r="I880">
        <v>0</v>
      </c>
      <c r="J880">
        <v>-1</v>
      </c>
      <c r="K880">
        <v>0</v>
      </c>
      <c r="L880">
        <v>0</v>
      </c>
      <c r="M880">
        <v>23587</v>
      </c>
      <c r="N880">
        <v>24580</v>
      </c>
      <c r="O880">
        <v>20165</v>
      </c>
      <c r="P880">
        <v>10732</v>
      </c>
      <c r="Q880">
        <v>10566</v>
      </c>
      <c r="R880">
        <v>10757</v>
      </c>
      <c r="S880">
        <v>1800</v>
      </c>
      <c r="T880">
        <v>1775</v>
      </c>
      <c r="U880">
        <v>10732</v>
      </c>
      <c r="V880">
        <v>384</v>
      </c>
      <c r="W880">
        <v>757</v>
      </c>
      <c r="X880">
        <v>501</v>
      </c>
      <c r="Y880">
        <v>0</v>
      </c>
    </row>
    <row r="881" spans="1:25" x14ac:dyDescent="0.3">
      <c r="A881">
        <v>880</v>
      </c>
      <c r="B881">
        <v>20000</v>
      </c>
      <c r="C881">
        <v>2</v>
      </c>
      <c r="D881">
        <v>2</v>
      </c>
      <c r="E881">
        <v>1</v>
      </c>
      <c r="F881">
        <v>43</v>
      </c>
      <c r="G881">
        <v>2</v>
      </c>
      <c r="H881">
        <v>0</v>
      </c>
      <c r="I881">
        <v>0</v>
      </c>
      <c r="J881">
        <v>0</v>
      </c>
      <c r="K881">
        <v>0</v>
      </c>
      <c r="L881">
        <v>2</v>
      </c>
      <c r="M881">
        <v>15294</v>
      </c>
      <c r="N881">
        <v>16340</v>
      </c>
      <c r="O881">
        <v>17359</v>
      </c>
      <c r="P881">
        <v>17776</v>
      </c>
      <c r="Q881">
        <v>19293</v>
      </c>
      <c r="R881">
        <v>18844</v>
      </c>
      <c r="S881">
        <v>1300</v>
      </c>
      <c r="T881">
        <v>1300</v>
      </c>
      <c r="U881">
        <v>700</v>
      </c>
      <c r="V881">
        <v>1800</v>
      </c>
      <c r="W881">
        <v>0</v>
      </c>
      <c r="X881">
        <v>1000</v>
      </c>
      <c r="Y881">
        <v>0</v>
      </c>
    </row>
    <row r="882" spans="1:25" x14ac:dyDescent="0.3">
      <c r="A882">
        <v>881</v>
      </c>
      <c r="B882">
        <v>200000</v>
      </c>
      <c r="C882">
        <v>1</v>
      </c>
      <c r="D882">
        <v>1</v>
      </c>
      <c r="E882">
        <v>2</v>
      </c>
      <c r="F882">
        <v>30</v>
      </c>
      <c r="G882">
        <v>-1</v>
      </c>
      <c r="H882">
        <v>-1</v>
      </c>
      <c r="I882">
        <v>-1</v>
      </c>
      <c r="J882">
        <v>0</v>
      </c>
      <c r="K882">
        <v>0</v>
      </c>
      <c r="L882">
        <v>0</v>
      </c>
      <c r="M882">
        <v>4935</v>
      </c>
      <c r="N882">
        <v>-200</v>
      </c>
      <c r="O882">
        <v>11463</v>
      </c>
      <c r="P882">
        <v>11751</v>
      </c>
      <c r="Q882">
        <v>11772</v>
      </c>
      <c r="R882">
        <v>5318</v>
      </c>
      <c r="S882">
        <v>0</v>
      </c>
      <c r="T882">
        <v>11663</v>
      </c>
      <c r="U882">
        <v>9363</v>
      </c>
      <c r="V882">
        <v>3232</v>
      </c>
      <c r="W882">
        <v>3000</v>
      </c>
      <c r="X882">
        <v>1000</v>
      </c>
      <c r="Y882">
        <v>0</v>
      </c>
    </row>
    <row r="883" spans="1:25" x14ac:dyDescent="0.3">
      <c r="A883">
        <v>882</v>
      </c>
      <c r="B883">
        <v>210000</v>
      </c>
      <c r="C883">
        <v>2</v>
      </c>
      <c r="D883">
        <v>2</v>
      </c>
      <c r="E883">
        <v>1</v>
      </c>
      <c r="F883">
        <v>49</v>
      </c>
      <c r="G883">
        <v>1</v>
      </c>
      <c r="H883">
        <v>-2</v>
      </c>
      <c r="I883">
        <v>-2</v>
      </c>
      <c r="J883">
        <v>-2</v>
      </c>
      <c r="K883">
        <v>-2</v>
      </c>
      <c r="L883">
        <v>-2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1</v>
      </c>
    </row>
    <row r="884" spans="1:25" x14ac:dyDescent="0.3">
      <c r="A884">
        <v>883</v>
      </c>
      <c r="B884">
        <v>230000</v>
      </c>
      <c r="C884">
        <v>2</v>
      </c>
      <c r="D884">
        <v>1</v>
      </c>
      <c r="E884">
        <v>2</v>
      </c>
      <c r="F884">
        <v>38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224020</v>
      </c>
      <c r="N884">
        <v>227311</v>
      </c>
      <c r="O884">
        <v>184500</v>
      </c>
      <c r="P884">
        <v>128190</v>
      </c>
      <c r="Q884">
        <v>130883</v>
      </c>
      <c r="R884">
        <v>133504</v>
      </c>
      <c r="S884">
        <v>8750</v>
      </c>
      <c r="T884">
        <v>7470</v>
      </c>
      <c r="U884">
        <v>4540</v>
      </c>
      <c r="V884">
        <v>4710</v>
      </c>
      <c r="W884">
        <v>4750</v>
      </c>
      <c r="X884">
        <v>4900</v>
      </c>
      <c r="Y884">
        <v>0</v>
      </c>
    </row>
    <row r="885" spans="1:25" x14ac:dyDescent="0.3">
      <c r="A885">
        <v>884</v>
      </c>
      <c r="B885">
        <v>50000</v>
      </c>
      <c r="C885">
        <v>1</v>
      </c>
      <c r="D885">
        <v>3</v>
      </c>
      <c r="E885">
        <v>2</v>
      </c>
      <c r="F885">
        <v>57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47917</v>
      </c>
      <c r="N885">
        <v>48455</v>
      </c>
      <c r="O885">
        <v>48120</v>
      </c>
      <c r="P885">
        <v>28450</v>
      </c>
      <c r="Q885">
        <v>29046</v>
      </c>
      <c r="R885">
        <v>29647</v>
      </c>
      <c r="S885">
        <v>1988</v>
      </c>
      <c r="T885">
        <v>1989</v>
      </c>
      <c r="U885">
        <v>1018</v>
      </c>
      <c r="V885">
        <v>1054</v>
      </c>
      <c r="W885">
        <v>1084</v>
      </c>
      <c r="X885">
        <v>1048</v>
      </c>
      <c r="Y885">
        <v>0</v>
      </c>
    </row>
    <row r="886" spans="1:25" x14ac:dyDescent="0.3">
      <c r="A886">
        <v>885</v>
      </c>
      <c r="B886">
        <v>50000</v>
      </c>
      <c r="C886">
        <v>1</v>
      </c>
      <c r="D886">
        <v>3</v>
      </c>
      <c r="E886">
        <v>2</v>
      </c>
      <c r="F886">
        <v>55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51737</v>
      </c>
      <c r="N886">
        <v>27121</v>
      </c>
      <c r="O886">
        <v>28103</v>
      </c>
      <c r="P886">
        <v>28814</v>
      </c>
      <c r="Q886">
        <v>29261</v>
      </c>
      <c r="R886">
        <v>29878</v>
      </c>
      <c r="S886">
        <v>2930</v>
      </c>
      <c r="T886">
        <v>1447</v>
      </c>
      <c r="U886">
        <v>1158</v>
      </c>
      <c r="V886">
        <v>1041</v>
      </c>
      <c r="W886">
        <v>1082</v>
      </c>
      <c r="X886">
        <v>994</v>
      </c>
      <c r="Y886">
        <v>1</v>
      </c>
    </row>
    <row r="887" spans="1:25" x14ac:dyDescent="0.3">
      <c r="A887">
        <v>886</v>
      </c>
      <c r="B887">
        <v>70000</v>
      </c>
      <c r="C887">
        <v>2</v>
      </c>
      <c r="D887">
        <v>2</v>
      </c>
      <c r="E887">
        <v>2</v>
      </c>
      <c r="F887">
        <v>23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49605</v>
      </c>
      <c r="N887">
        <v>51804</v>
      </c>
      <c r="O887">
        <v>53041</v>
      </c>
      <c r="P887">
        <v>55150</v>
      </c>
      <c r="Q887">
        <v>57098</v>
      </c>
      <c r="R887">
        <v>59141</v>
      </c>
      <c r="S887">
        <v>3000</v>
      </c>
      <c r="T887">
        <v>2700</v>
      </c>
      <c r="U887">
        <v>3000</v>
      </c>
      <c r="V887">
        <v>3000</v>
      </c>
      <c r="W887">
        <v>3000</v>
      </c>
      <c r="X887">
        <v>4700</v>
      </c>
      <c r="Y887">
        <v>0</v>
      </c>
    </row>
    <row r="888" spans="1:25" x14ac:dyDescent="0.3">
      <c r="A888">
        <v>887</v>
      </c>
      <c r="B888">
        <v>310000</v>
      </c>
      <c r="C888">
        <v>1</v>
      </c>
      <c r="D888">
        <v>1</v>
      </c>
      <c r="E888">
        <v>2</v>
      </c>
      <c r="F888">
        <v>30</v>
      </c>
      <c r="G888">
        <v>-2</v>
      </c>
      <c r="H888">
        <v>-2</v>
      </c>
      <c r="I888">
        <v>-2</v>
      </c>
      <c r="J888">
        <v>-2</v>
      </c>
      <c r="K888">
        <v>-2</v>
      </c>
      <c r="L888">
        <v>-2</v>
      </c>
      <c r="M888">
        <v>1544</v>
      </c>
      <c r="N888">
        <v>1648</v>
      </c>
      <c r="O888">
        <v>1284</v>
      </c>
      <c r="P888">
        <v>1088</v>
      </c>
      <c r="Q888">
        <v>892</v>
      </c>
      <c r="R888">
        <v>-304</v>
      </c>
      <c r="S888">
        <v>1300</v>
      </c>
      <c r="T888">
        <v>1000</v>
      </c>
      <c r="U888">
        <v>1000</v>
      </c>
      <c r="V888">
        <v>1000</v>
      </c>
      <c r="W888">
        <v>304</v>
      </c>
      <c r="X888">
        <v>39544</v>
      </c>
      <c r="Y888">
        <v>0</v>
      </c>
    </row>
    <row r="889" spans="1:25" x14ac:dyDescent="0.3">
      <c r="A889">
        <v>888</v>
      </c>
      <c r="B889">
        <v>180000</v>
      </c>
      <c r="C889">
        <v>2</v>
      </c>
      <c r="D889">
        <v>2</v>
      </c>
      <c r="E889">
        <v>1</v>
      </c>
      <c r="F889">
        <v>30</v>
      </c>
      <c r="G889">
        <v>-1</v>
      </c>
      <c r="H889">
        <v>-1</v>
      </c>
      <c r="I889">
        <v>-1</v>
      </c>
      <c r="J889">
        <v>-1</v>
      </c>
      <c r="K889">
        <v>-1</v>
      </c>
      <c r="L889">
        <v>-1</v>
      </c>
      <c r="M889">
        <v>2488</v>
      </c>
      <c r="N889">
        <v>13476</v>
      </c>
      <c r="O889">
        <v>3173</v>
      </c>
      <c r="P889">
        <v>13202</v>
      </c>
      <c r="Q889">
        <v>6594</v>
      </c>
      <c r="R889">
        <v>2549</v>
      </c>
      <c r="S889">
        <v>13476</v>
      </c>
      <c r="T889">
        <v>3173</v>
      </c>
      <c r="U889">
        <v>13212</v>
      </c>
      <c r="V889">
        <v>6594</v>
      </c>
      <c r="W889">
        <v>2549</v>
      </c>
      <c r="X889">
        <v>1000</v>
      </c>
      <c r="Y889">
        <v>0</v>
      </c>
    </row>
    <row r="890" spans="1:25" x14ac:dyDescent="0.3">
      <c r="A890">
        <v>889</v>
      </c>
      <c r="B890">
        <v>90000</v>
      </c>
      <c r="C890">
        <v>2</v>
      </c>
      <c r="D890">
        <v>2</v>
      </c>
      <c r="E890">
        <v>2</v>
      </c>
      <c r="F890">
        <v>24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2</v>
      </c>
      <c r="M890">
        <v>24401</v>
      </c>
      <c r="N890">
        <v>22771</v>
      </c>
      <c r="O890">
        <v>19461</v>
      </c>
      <c r="P890">
        <v>16181</v>
      </c>
      <c r="Q890">
        <v>14669</v>
      </c>
      <c r="R890">
        <v>14422</v>
      </c>
      <c r="S890">
        <v>1454</v>
      </c>
      <c r="T890">
        <v>1384</v>
      </c>
      <c r="U890">
        <v>407</v>
      </c>
      <c r="V890">
        <v>673</v>
      </c>
      <c r="W890">
        <v>0</v>
      </c>
      <c r="X890">
        <v>102</v>
      </c>
      <c r="Y890">
        <v>0</v>
      </c>
    </row>
    <row r="891" spans="1:25" x14ac:dyDescent="0.3">
      <c r="A891">
        <v>890</v>
      </c>
      <c r="B891">
        <v>390000</v>
      </c>
      <c r="C891">
        <v>1</v>
      </c>
      <c r="D891">
        <v>2</v>
      </c>
      <c r="E891">
        <v>2</v>
      </c>
      <c r="F891">
        <v>28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149445</v>
      </c>
      <c r="N891">
        <v>139794</v>
      </c>
      <c r="O891">
        <v>133224</v>
      </c>
      <c r="P891">
        <v>106127</v>
      </c>
      <c r="Q891">
        <v>51097</v>
      </c>
      <c r="R891">
        <v>38555</v>
      </c>
      <c r="S891">
        <v>8046</v>
      </c>
      <c r="T891">
        <v>5150</v>
      </c>
      <c r="U891">
        <v>5297</v>
      </c>
      <c r="V891">
        <v>5084</v>
      </c>
      <c r="W891">
        <v>5065</v>
      </c>
      <c r="X891">
        <v>5042</v>
      </c>
      <c r="Y891">
        <v>0</v>
      </c>
    </row>
    <row r="892" spans="1:25" x14ac:dyDescent="0.3">
      <c r="A892">
        <v>891</v>
      </c>
      <c r="B892">
        <v>150000</v>
      </c>
      <c r="C892">
        <v>2</v>
      </c>
      <c r="D892">
        <v>3</v>
      </c>
      <c r="E892">
        <v>1</v>
      </c>
      <c r="F892">
        <v>34</v>
      </c>
      <c r="G892">
        <v>-1</v>
      </c>
      <c r="H892">
        <v>-1</v>
      </c>
      <c r="I892">
        <v>-1</v>
      </c>
      <c r="J892">
        <v>-1</v>
      </c>
      <c r="K892">
        <v>-1</v>
      </c>
      <c r="L892">
        <v>-1</v>
      </c>
      <c r="M892">
        <v>772</v>
      </c>
      <c r="N892">
        <v>337</v>
      </c>
      <c r="O892">
        <v>618</v>
      </c>
      <c r="P892">
        <v>150</v>
      </c>
      <c r="Q892">
        <v>150</v>
      </c>
      <c r="R892">
        <v>377</v>
      </c>
      <c r="S892">
        <v>340</v>
      </c>
      <c r="T892">
        <v>618</v>
      </c>
      <c r="U892">
        <v>150</v>
      </c>
      <c r="V892">
        <v>150</v>
      </c>
      <c r="W892">
        <v>227</v>
      </c>
      <c r="X892">
        <v>0</v>
      </c>
      <c r="Y892">
        <v>0</v>
      </c>
    </row>
    <row r="893" spans="1:25" x14ac:dyDescent="0.3">
      <c r="A893">
        <v>892</v>
      </c>
      <c r="B893">
        <v>400000</v>
      </c>
      <c r="C893">
        <v>1</v>
      </c>
      <c r="D893">
        <v>2</v>
      </c>
      <c r="E893">
        <v>2</v>
      </c>
      <c r="F893">
        <v>37</v>
      </c>
      <c r="G893">
        <v>1</v>
      </c>
      <c r="H893">
        <v>1</v>
      </c>
      <c r="I893">
        <v>1</v>
      </c>
      <c r="J893">
        <v>2</v>
      </c>
      <c r="K893">
        <v>0</v>
      </c>
      <c r="L893">
        <v>0</v>
      </c>
      <c r="M893">
        <v>13611</v>
      </c>
      <c r="N893">
        <v>15066</v>
      </c>
      <c r="O893">
        <v>15882</v>
      </c>
      <c r="P893">
        <v>12599</v>
      </c>
      <c r="Q893">
        <v>18599</v>
      </c>
      <c r="R893">
        <v>12284</v>
      </c>
      <c r="S893">
        <v>3019</v>
      </c>
      <c r="T893">
        <v>5014</v>
      </c>
      <c r="U893">
        <v>3</v>
      </c>
      <c r="V893">
        <v>7040</v>
      </c>
      <c r="W893">
        <v>2006</v>
      </c>
      <c r="X893">
        <v>2005</v>
      </c>
      <c r="Y893">
        <v>0</v>
      </c>
    </row>
    <row r="894" spans="1:25" x14ac:dyDescent="0.3">
      <c r="A894">
        <v>893</v>
      </c>
      <c r="B894">
        <v>80000</v>
      </c>
      <c r="C894">
        <v>2</v>
      </c>
      <c r="D894">
        <v>2</v>
      </c>
      <c r="E894">
        <v>1</v>
      </c>
      <c r="F894">
        <v>32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-2</v>
      </c>
      <c r="M894">
        <v>28408</v>
      </c>
      <c r="N894">
        <v>25695</v>
      </c>
      <c r="O894">
        <v>11553</v>
      </c>
      <c r="P894">
        <v>2350</v>
      </c>
      <c r="Q894">
        <v>0</v>
      </c>
      <c r="R894">
        <v>0</v>
      </c>
      <c r="S894">
        <v>1259</v>
      </c>
      <c r="T894">
        <v>1035</v>
      </c>
      <c r="U894">
        <v>1600</v>
      </c>
      <c r="V894">
        <v>0</v>
      </c>
      <c r="W894">
        <v>0</v>
      </c>
      <c r="X894">
        <v>0</v>
      </c>
      <c r="Y894">
        <v>0</v>
      </c>
    </row>
    <row r="895" spans="1:25" x14ac:dyDescent="0.3">
      <c r="A895">
        <v>894</v>
      </c>
      <c r="B895">
        <v>320000</v>
      </c>
      <c r="C895">
        <v>1</v>
      </c>
      <c r="D895">
        <v>1</v>
      </c>
      <c r="E895">
        <v>2</v>
      </c>
      <c r="F895">
        <v>27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137574</v>
      </c>
      <c r="N895">
        <v>199563</v>
      </c>
      <c r="O895">
        <v>122093</v>
      </c>
      <c r="P895">
        <v>105425</v>
      </c>
      <c r="Q895">
        <v>100206</v>
      </c>
      <c r="R895">
        <v>96073</v>
      </c>
      <c r="S895">
        <v>6048</v>
      </c>
      <c r="T895">
        <v>6371</v>
      </c>
      <c r="U895">
        <v>3043</v>
      </c>
      <c r="V895">
        <v>3031</v>
      </c>
      <c r="W895">
        <v>3066</v>
      </c>
      <c r="X895">
        <v>3031</v>
      </c>
      <c r="Y895">
        <v>0</v>
      </c>
    </row>
    <row r="896" spans="1:25" x14ac:dyDescent="0.3">
      <c r="A896">
        <v>895</v>
      </c>
      <c r="B896">
        <v>240000</v>
      </c>
      <c r="C896">
        <v>2</v>
      </c>
      <c r="D896">
        <v>2</v>
      </c>
      <c r="E896">
        <v>1</v>
      </c>
      <c r="F896">
        <v>37</v>
      </c>
      <c r="G896">
        <v>-1</v>
      </c>
      <c r="H896">
        <v>-1</v>
      </c>
      <c r="I896">
        <v>-2</v>
      </c>
      <c r="J896">
        <v>-2</v>
      </c>
      <c r="K896">
        <v>-2</v>
      </c>
      <c r="L896">
        <v>-2</v>
      </c>
      <c r="M896">
        <v>238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1</v>
      </c>
    </row>
    <row r="897" spans="1:25" x14ac:dyDescent="0.3">
      <c r="A897">
        <v>896</v>
      </c>
      <c r="B897">
        <v>200000</v>
      </c>
      <c r="C897">
        <v>1</v>
      </c>
      <c r="D897">
        <v>1</v>
      </c>
      <c r="E897">
        <v>2</v>
      </c>
      <c r="F897">
        <v>31</v>
      </c>
      <c r="G897">
        <v>-2</v>
      </c>
      <c r="H897">
        <v>-2</v>
      </c>
      <c r="I897">
        <v>-2</v>
      </c>
      <c r="J897">
        <v>-2</v>
      </c>
      <c r="K897">
        <v>-2</v>
      </c>
      <c r="L897">
        <v>-2</v>
      </c>
      <c r="M897">
        <v>100</v>
      </c>
      <c r="N897">
        <v>100</v>
      </c>
      <c r="O897">
        <v>100</v>
      </c>
      <c r="P897">
        <v>100</v>
      </c>
      <c r="Q897">
        <v>100</v>
      </c>
      <c r="R897">
        <v>100</v>
      </c>
      <c r="S897">
        <v>100</v>
      </c>
      <c r="T897">
        <v>100</v>
      </c>
      <c r="U897">
        <v>100</v>
      </c>
      <c r="V897">
        <v>100</v>
      </c>
      <c r="W897">
        <v>100</v>
      </c>
      <c r="X897">
        <v>100</v>
      </c>
      <c r="Y897">
        <v>0</v>
      </c>
    </row>
    <row r="898" spans="1:25" x14ac:dyDescent="0.3">
      <c r="A898">
        <v>897</v>
      </c>
      <c r="B898">
        <v>110000</v>
      </c>
      <c r="C898">
        <v>1</v>
      </c>
      <c r="D898">
        <v>1</v>
      </c>
      <c r="E898">
        <v>3</v>
      </c>
      <c r="F898">
        <v>55</v>
      </c>
      <c r="G898">
        <v>1</v>
      </c>
      <c r="H898">
        <v>2</v>
      </c>
      <c r="I898">
        <v>2</v>
      </c>
      <c r="J898">
        <v>2</v>
      </c>
      <c r="K898">
        <v>3</v>
      </c>
      <c r="L898">
        <v>2</v>
      </c>
      <c r="M898">
        <v>92610</v>
      </c>
      <c r="N898">
        <v>94755</v>
      </c>
      <c r="O898">
        <v>92351</v>
      </c>
      <c r="P898">
        <v>101140</v>
      </c>
      <c r="Q898">
        <v>99260</v>
      </c>
      <c r="R898">
        <v>101577</v>
      </c>
      <c r="S898">
        <v>4500</v>
      </c>
      <c r="T898">
        <v>0</v>
      </c>
      <c r="U898">
        <v>11300</v>
      </c>
      <c r="V898">
        <v>0</v>
      </c>
      <c r="W898">
        <v>4100</v>
      </c>
      <c r="X898">
        <v>0</v>
      </c>
      <c r="Y898">
        <v>1</v>
      </c>
    </row>
    <row r="899" spans="1:25" x14ac:dyDescent="0.3">
      <c r="A899">
        <v>898</v>
      </c>
      <c r="B899">
        <v>170000</v>
      </c>
      <c r="C899">
        <v>2</v>
      </c>
      <c r="D899">
        <v>1</v>
      </c>
      <c r="E899">
        <v>2</v>
      </c>
      <c r="F899">
        <v>28</v>
      </c>
      <c r="G899">
        <v>2</v>
      </c>
      <c r="H899">
        <v>2</v>
      </c>
      <c r="I899">
        <v>2</v>
      </c>
      <c r="J899">
        <v>2</v>
      </c>
      <c r="K899">
        <v>2</v>
      </c>
      <c r="L899">
        <v>2</v>
      </c>
      <c r="M899">
        <v>131864</v>
      </c>
      <c r="N899">
        <v>133897</v>
      </c>
      <c r="O899">
        <v>129761</v>
      </c>
      <c r="P899">
        <v>138604</v>
      </c>
      <c r="Q899">
        <v>136283</v>
      </c>
      <c r="R899">
        <v>145012</v>
      </c>
      <c r="S899">
        <v>5600</v>
      </c>
      <c r="T899">
        <v>0</v>
      </c>
      <c r="U899">
        <v>11000</v>
      </c>
      <c r="V899">
        <v>0</v>
      </c>
      <c r="W899">
        <v>11000</v>
      </c>
      <c r="X899">
        <v>5656</v>
      </c>
      <c r="Y899">
        <v>1</v>
      </c>
    </row>
    <row r="900" spans="1:25" x14ac:dyDescent="0.3">
      <c r="A900">
        <v>899</v>
      </c>
      <c r="B900">
        <v>90000</v>
      </c>
      <c r="C900">
        <v>2</v>
      </c>
      <c r="D900">
        <v>3</v>
      </c>
      <c r="E900">
        <v>3</v>
      </c>
      <c r="F900">
        <v>51</v>
      </c>
      <c r="G900">
        <v>0</v>
      </c>
      <c r="H900">
        <v>0</v>
      </c>
      <c r="I900">
        <v>0</v>
      </c>
      <c r="J900">
        <v>0</v>
      </c>
      <c r="K900">
        <v>2</v>
      </c>
      <c r="L900">
        <v>0</v>
      </c>
      <c r="M900">
        <v>11315</v>
      </c>
      <c r="N900">
        <v>12340</v>
      </c>
      <c r="O900">
        <v>13349</v>
      </c>
      <c r="P900">
        <v>14276</v>
      </c>
      <c r="Q900">
        <v>13904</v>
      </c>
      <c r="R900">
        <v>14184</v>
      </c>
      <c r="S900">
        <v>1212</v>
      </c>
      <c r="T900">
        <v>1221</v>
      </c>
      <c r="U900">
        <v>1148</v>
      </c>
      <c r="V900">
        <v>0</v>
      </c>
      <c r="W900">
        <v>510</v>
      </c>
      <c r="X900">
        <v>525</v>
      </c>
      <c r="Y900">
        <v>1</v>
      </c>
    </row>
    <row r="901" spans="1:25" x14ac:dyDescent="0.3">
      <c r="A901">
        <v>900</v>
      </c>
      <c r="B901">
        <v>200000</v>
      </c>
      <c r="C901">
        <v>1</v>
      </c>
      <c r="D901">
        <v>1</v>
      </c>
      <c r="E901">
        <v>1</v>
      </c>
      <c r="F901">
        <v>36</v>
      </c>
      <c r="G901">
        <v>-1</v>
      </c>
      <c r="H901">
        <v>-1</v>
      </c>
      <c r="I901">
        <v>0</v>
      </c>
      <c r="J901">
        <v>-1</v>
      </c>
      <c r="K901">
        <v>-1</v>
      </c>
      <c r="L901">
        <v>-1</v>
      </c>
      <c r="M901">
        <v>3877</v>
      </c>
      <c r="N901">
        <v>11496</v>
      </c>
      <c r="O901">
        <v>5935</v>
      </c>
      <c r="P901">
        <v>295</v>
      </c>
      <c r="Q901">
        <v>1867</v>
      </c>
      <c r="R901">
        <v>0</v>
      </c>
      <c r="S901">
        <v>11496</v>
      </c>
      <c r="T901">
        <v>1011</v>
      </c>
      <c r="U901">
        <v>297</v>
      </c>
      <c r="V901">
        <v>2923</v>
      </c>
      <c r="W901">
        <v>0</v>
      </c>
      <c r="X901">
        <v>0</v>
      </c>
      <c r="Y901">
        <v>0</v>
      </c>
    </row>
    <row r="902" spans="1:25" x14ac:dyDescent="0.3">
      <c r="A902">
        <v>901</v>
      </c>
      <c r="B902">
        <v>360000</v>
      </c>
      <c r="C902">
        <v>1</v>
      </c>
      <c r="D902">
        <v>1</v>
      </c>
      <c r="E902">
        <v>2</v>
      </c>
      <c r="F902">
        <v>30</v>
      </c>
      <c r="G902">
        <v>-2</v>
      </c>
      <c r="H902">
        <v>-1</v>
      </c>
      <c r="I902">
        <v>-1</v>
      </c>
      <c r="J902">
        <v>-2</v>
      </c>
      <c r="K902">
        <v>-2</v>
      </c>
      <c r="L902">
        <v>-2</v>
      </c>
      <c r="M902">
        <v>0</v>
      </c>
      <c r="N902">
        <v>2500</v>
      </c>
      <c r="O902">
        <v>0</v>
      </c>
      <c r="P902">
        <v>0</v>
      </c>
      <c r="Q902">
        <v>0</v>
      </c>
      <c r="R902">
        <v>0</v>
      </c>
      <c r="S902">
        <v>2500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</row>
    <row r="903" spans="1:25" x14ac:dyDescent="0.3">
      <c r="A903">
        <v>902</v>
      </c>
      <c r="B903">
        <v>140000</v>
      </c>
      <c r="C903">
        <v>2</v>
      </c>
      <c r="D903">
        <v>1</v>
      </c>
      <c r="E903">
        <v>1</v>
      </c>
      <c r="F903">
        <v>36</v>
      </c>
      <c r="G903">
        <v>-1</v>
      </c>
      <c r="H903">
        <v>-1</v>
      </c>
      <c r="I903">
        <v>-2</v>
      </c>
      <c r="J903">
        <v>-1</v>
      </c>
      <c r="K903">
        <v>0</v>
      </c>
      <c r="L903">
        <v>0</v>
      </c>
      <c r="M903">
        <v>4036</v>
      </c>
      <c r="N903">
        <v>0</v>
      </c>
      <c r="O903">
        <v>0</v>
      </c>
      <c r="P903">
        <v>2971</v>
      </c>
      <c r="Q903">
        <v>1607</v>
      </c>
      <c r="R903">
        <v>0</v>
      </c>
      <c r="S903">
        <v>0</v>
      </c>
      <c r="T903">
        <v>0</v>
      </c>
      <c r="U903">
        <v>2971</v>
      </c>
      <c r="V903">
        <v>0</v>
      </c>
      <c r="W903">
        <v>0</v>
      </c>
      <c r="X903">
        <v>0</v>
      </c>
      <c r="Y903">
        <v>0</v>
      </c>
    </row>
    <row r="904" spans="1:25" x14ac:dyDescent="0.3">
      <c r="A904">
        <v>903</v>
      </c>
      <c r="B904">
        <v>220000</v>
      </c>
      <c r="C904">
        <v>1</v>
      </c>
      <c r="D904">
        <v>2</v>
      </c>
      <c r="E904">
        <v>2</v>
      </c>
      <c r="F904">
        <v>25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168286</v>
      </c>
      <c r="N904">
        <v>155893</v>
      </c>
      <c r="O904">
        <v>119575</v>
      </c>
      <c r="P904">
        <v>51317</v>
      </c>
      <c r="Q904">
        <v>51926</v>
      </c>
      <c r="R904">
        <v>34608</v>
      </c>
      <c r="S904">
        <v>10000</v>
      </c>
      <c r="T904">
        <v>3900</v>
      </c>
      <c r="U904">
        <v>1000</v>
      </c>
      <c r="V904">
        <v>1000</v>
      </c>
      <c r="W904">
        <v>2000</v>
      </c>
      <c r="X904">
        <v>2000</v>
      </c>
      <c r="Y904">
        <v>0</v>
      </c>
    </row>
    <row r="905" spans="1:25" x14ac:dyDescent="0.3">
      <c r="A905">
        <v>904</v>
      </c>
      <c r="B905">
        <v>100000</v>
      </c>
      <c r="C905">
        <v>1</v>
      </c>
      <c r="D905">
        <v>3</v>
      </c>
      <c r="E905">
        <v>1</v>
      </c>
      <c r="F905">
        <v>50</v>
      </c>
      <c r="G905">
        <v>0</v>
      </c>
      <c r="H905">
        <v>0</v>
      </c>
      <c r="I905">
        <v>-2</v>
      </c>
      <c r="J905">
        <v>-2</v>
      </c>
      <c r="K905">
        <v>-2</v>
      </c>
      <c r="L905">
        <v>-2</v>
      </c>
      <c r="M905">
        <v>154970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</row>
    <row r="906" spans="1:25" x14ac:dyDescent="0.3">
      <c r="A906">
        <v>905</v>
      </c>
      <c r="B906">
        <v>80000</v>
      </c>
      <c r="C906">
        <v>2</v>
      </c>
      <c r="D906">
        <v>2</v>
      </c>
      <c r="E906">
        <v>2</v>
      </c>
      <c r="F906">
        <v>40</v>
      </c>
      <c r="G906">
        <v>2</v>
      </c>
      <c r="H906">
        <v>0</v>
      </c>
      <c r="I906">
        <v>0</v>
      </c>
      <c r="J906">
        <v>0</v>
      </c>
      <c r="K906">
        <v>2</v>
      </c>
      <c r="L906">
        <v>2</v>
      </c>
      <c r="M906">
        <v>57364</v>
      </c>
      <c r="N906">
        <v>58637</v>
      </c>
      <c r="O906">
        <v>59863</v>
      </c>
      <c r="P906">
        <v>62860</v>
      </c>
      <c r="Q906">
        <v>63976</v>
      </c>
      <c r="R906">
        <v>63293</v>
      </c>
      <c r="S906">
        <v>2200</v>
      </c>
      <c r="T906">
        <v>2200</v>
      </c>
      <c r="U906">
        <v>4000</v>
      </c>
      <c r="V906">
        <v>1777</v>
      </c>
      <c r="W906">
        <v>0</v>
      </c>
      <c r="X906">
        <v>2000</v>
      </c>
      <c r="Y906">
        <v>0</v>
      </c>
    </row>
    <row r="907" spans="1:25" x14ac:dyDescent="0.3">
      <c r="A907">
        <v>906</v>
      </c>
      <c r="B907">
        <v>30000</v>
      </c>
      <c r="C907">
        <v>2</v>
      </c>
      <c r="D907">
        <v>2</v>
      </c>
      <c r="E907">
        <v>2</v>
      </c>
      <c r="F907">
        <v>27</v>
      </c>
      <c r="G907">
        <v>-1</v>
      </c>
      <c r="H907">
        <v>-1</v>
      </c>
      <c r="I907">
        <v>2</v>
      </c>
      <c r="J907">
        <v>0</v>
      </c>
      <c r="K907">
        <v>-1</v>
      </c>
      <c r="L907">
        <v>2</v>
      </c>
      <c r="M907">
        <v>27772</v>
      </c>
      <c r="N907">
        <v>30461</v>
      </c>
      <c r="O907">
        <v>29325</v>
      </c>
      <c r="P907">
        <v>21449</v>
      </c>
      <c r="Q907">
        <v>29709</v>
      </c>
      <c r="R907">
        <v>29086</v>
      </c>
      <c r="S907">
        <v>3136</v>
      </c>
      <c r="T907">
        <v>0</v>
      </c>
      <c r="U907">
        <v>0</v>
      </c>
      <c r="V907">
        <v>29709</v>
      </c>
      <c r="W907">
        <v>0</v>
      </c>
      <c r="X907">
        <v>1576</v>
      </c>
      <c r="Y907">
        <v>0</v>
      </c>
    </row>
    <row r="908" spans="1:25" x14ac:dyDescent="0.3">
      <c r="A908">
        <v>907</v>
      </c>
      <c r="B908">
        <v>50000</v>
      </c>
      <c r="C908">
        <v>1</v>
      </c>
      <c r="D908">
        <v>1</v>
      </c>
      <c r="E908">
        <v>2</v>
      </c>
      <c r="F908">
        <v>30</v>
      </c>
      <c r="G908">
        <v>2</v>
      </c>
      <c r="H908">
        <v>2</v>
      </c>
      <c r="I908">
        <v>2</v>
      </c>
      <c r="J908">
        <v>-1</v>
      </c>
      <c r="K908">
        <v>2</v>
      </c>
      <c r="L908">
        <v>2</v>
      </c>
      <c r="M908">
        <v>4187</v>
      </c>
      <c r="N908">
        <v>5152</v>
      </c>
      <c r="O908">
        <v>3679</v>
      </c>
      <c r="P908">
        <v>596</v>
      </c>
      <c r="Q908">
        <v>446</v>
      </c>
      <c r="R908">
        <v>2699</v>
      </c>
      <c r="S908">
        <v>2300</v>
      </c>
      <c r="T908">
        <v>0</v>
      </c>
      <c r="U908">
        <v>700</v>
      </c>
      <c r="V908">
        <v>0</v>
      </c>
      <c r="W908">
        <v>2300</v>
      </c>
      <c r="X908">
        <v>0</v>
      </c>
      <c r="Y908">
        <v>1</v>
      </c>
    </row>
    <row r="909" spans="1:25" x14ac:dyDescent="0.3">
      <c r="A909">
        <v>908</v>
      </c>
      <c r="B909">
        <v>120000</v>
      </c>
      <c r="C909">
        <v>2</v>
      </c>
      <c r="D909">
        <v>2</v>
      </c>
      <c r="E909">
        <v>2</v>
      </c>
      <c r="F909">
        <v>26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22431</v>
      </c>
      <c r="N909">
        <v>12399</v>
      </c>
      <c r="O909">
        <v>4199</v>
      </c>
      <c r="P909">
        <v>3059</v>
      </c>
      <c r="Q909">
        <v>674</v>
      </c>
      <c r="R909">
        <v>0</v>
      </c>
      <c r="S909">
        <v>1500</v>
      </c>
      <c r="T909">
        <v>1000</v>
      </c>
      <c r="U909">
        <v>682</v>
      </c>
      <c r="V909">
        <v>0</v>
      </c>
      <c r="W909">
        <v>0</v>
      </c>
      <c r="X909">
        <v>738</v>
      </c>
      <c r="Y909">
        <v>0</v>
      </c>
    </row>
    <row r="910" spans="1:25" x14ac:dyDescent="0.3">
      <c r="A910">
        <v>909</v>
      </c>
      <c r="B910">
        <v>50000</v>
      </c>
      <c r="C910">
        <v>1</v>
      </c>
      <c r="D910">
        <v>1</v>
      </c>
      <c r="E910">
        <v>2</v>
      </c>
      <c r="F910">
        <v>27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7010</v>
      </c>
      <c r="N910">
        <v>9876</v>
      </c>
      <c r="O910">
        <v>11115</v>
      </c>
      <c r="P910">
        <v>12915</v>
      </c>
      <c r="Q910">
        <v>14415</v>
      </c>
      <c r="R910">
        <v>0</v>
      </c>
      <c r="S910">
        <v>3000</v>
      </c>
      <c r="T910">
        <v>1500</v>
      </c>
      <c r="U910">
        <v>2000</v>
      </c>
      <c r="V910">
        <v>2000</v>
      </c>
      <c r="W910">
        <v>0</v>
      </c>
      <c r="X910">
        <v>0</v>
      </c>
      <c r="Y910">
        <v>0</v>
      </c>
    </row>
    <row r="911" spans="1:25" x14ac:dyDescent="0.3">
      <c r="A911">
        <v>910</v>
      </c>
      <c r="B911">
        <v>360000</v>
      </c>
      <c r="C911">
        <v>2</v>
      </c>
      <c r="D911">
        <v>1</v>
      </c>
      <c r="E911">
        <v>2</v>
      </c>
      <c r="F911">
        <v>27</v>
      </c>
      <c r="G911">
        <v>0</v>
      </c>
      <c r="H911">
        <v>-1</v>
      </c>
      <c r="I911">
        <v>0</v>
      </c>
      <c r="J911">
        <v>-1</v>
      </c>
      <c r="K911">
        <v>-1</v>
      </c>
      <c r="L911">
        <v>-1</v>
      </c>
      <c r="M911">
        <v>79837</v>
      </c>
      <c r="N911">
        <v>27456</v>
      </c>
      <c r="O911">
        <v>68117</v>
      </c>
      <c r="P911">
        <v>39105</v>
      </c>
      <c r="Q911">
        <v>54456</v>
      </c>
      <c r="R911">
        <v>46153</v>
      </c>
      <c r="S911">
        <v>27465</v>
      </c>
      <c r="T911">
        <v>50154</v>
      </c>
      <c r="U911">
        <v>39105</v>
      </c>
      <c r="V911">
        <v>54456</v>
      </c>
      <c r="W911">
        <v>46153</v>
      </c>
      <c r="X911">
        <v>40000</v>
      </c>
      <c r="Y911">
        <v>0</v>
      </c>
    </row>
    <row r="912" spans="1:25" x14ac:dyDescent="0.3">
      <c r="A912">
        <v>911</v>
      </c>
      <c r="B912">
        <v>90000</v>
      </c>
      <c r="C912">
        <v>2</v>
      </c>
      <c r="D912">
        <v>1</v>
      </c>
      <c r="E912">
        <v>2</v>
      </c>
      <c r="F912">
        <v>25</v>
      </c>
      <c r="G912">
        <v>2</v>
      </c>
      <c r="H912">
        <v>2</v>
      </c>
      <c r="I912">
        <v>2</v>
      </c>
      <c r="J912">
        <v>2</v>
      </c>
      <c r="K912">
        <v>0</v>
      </c>
      <c r="L912">
        <v>0</v>
      </c>
      <c r="M912">
        <v>86014</v>
      </c>
      <c r="N912">
        <v>92898</v>
      </c>
      <c r="O912">
        <v>92860</v>
      </c>
      <c r="P912">
        <v>88533</v>
      </c>
      <c r="Q912">
        <v>90942</v>
      </c>
      <c r="R912">
        <v>88813</v>
      </c>
      <c r="S912">
        <v>8300</v>
      </c>
      <c r="T912">
        <v>2400</v>
      </c>
      <c r="U912">
        <v>1000</v>
      </c>
      <c r="V912">
        <v>4000</v>
      </c>
      <c r="W912">
        <v>3600</v>
      </c>
      <c r="X912">
        <v>4000</v>
      </c>
      <c r="Y912">
        <v>0</v>
      </c>
    </row>
    <row r="913" spans="1:25" x14ac:dyDescent="0.3">
      <c r="A913">
        <v>912</v>
      </c>
      <c r="B913">
        <v>500000</v>
      </c>
      <c r="C913">
        <v>1</v>
      </c>
      <c r="D913">
        <v>1</v>
      </c>
      <c r="E913">
        <v>2</v>
      </c>
      <c r="F913">
        <v>32</v>
      </c>
      <c r="G913">
        <v>-1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386405</v>
      </c>
      <c r="N913">
        <v>387910</v>
      </c>
      <c r="O913">
        <v>293177</v>
      </c>
      <c r="P913">
        <v>274539</v>
      </c>
      <c r="Q913">
        <v>253443</v>
      </c>
      <c r="R913">
        <v>253671</v>
      </c>
      <c r="S913">
        <v>25016</v>
      </c>
      <c r="T913">
        <v>20018</v>
      </c>
      <c r="U913">
        <v>10000</v>
      </c>
      <c r="V913">
        <v>79377</v>
      </c>
      <c r="W913">
        <v>52778</v>
      </c>
      <c r="X913">
        <v>10000</v>
      </c>
      <c r="Y913">
        <v>0</v>
      </c>
    </row>
    <row r="914" spans="1:25" x14ac:dyDescent="0.3">
      <c r="A914">
        <v>913</v>
      </c>
      <c r="B914">
        <v>140000</v>
      </c>
      <c r="C914">
        <v>2</v>
      </c>
      <c r="D914">
        <v>3</v>
      </c>
      <c r="E914">
        <v>1</v>
      </c>
      <c r="F914">
        <v>46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68075</v>
      </c>
      <c r="N914">
        <v>69972</v>
      </c>
      <c r="O914">
        <v>71805</v>
      </c>
      <c r="P914">
        <v>73613</v>
      </c>
      <c r="Q914">
        <v>75426</v>
      </c>
      <c r="R914">
        <v>77169</v>
      </c>
      <c r="S914">
        <v>3000</v>
      </c>
      <c r="T914">
        <v>3000</v>
      </c>
      <c r="U914">
        <v>3000</v>
      </c>
      <c r="V914">
        <v>3000</v>
      </c>
      <c r="W914">
        <v>3000</v>
      </c>
      <c r="X914">
        <v>5000</v>
      </c>
      <c r="Y914">
        <v>0</v>
      </c>
    </row>
    <row r="915" spans="1:25" x14ac:dyDescent="0.3">
      <c r="A915">
        <v>914</v>
      </c>
      <c r="B915">
        <v>30000</v>
      </c>
      <c r="C915">
        <v>1</v>
      </c>
      <c r="D915">
        <v>3</v>
      </c>
      <c r="E915">
        <v>1</v>
      </c>
      <c r="F915">
        <v>45</v>
      </c>
      <c r="G915">
        <v>0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17187</v>
      </c>
      <c r="N915">
        <v>24045</v>
      </c>
      <c r="O915">
        <v>23180</v>
      </c>
      <c r="P915">
        <v>22000</v>
      </c>
      <c r="Q915">
        <v>22000</v>
      </c>
      <c r="R915">
        <v>0</v>
      </c>
      <c r="S915">
        <v>7900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</row>
    <row r="916" spans="1:25" x14ac:dyDescent="0.3">
      <c r="A916">
        <v>915</v>
      </c>
      <c r="B916">
        <v>70000</v>
      </c>
      <c r="C916">
        <v>1</v>
      </c>
      <c r="D916">
        <v>3</v>
      </c>
      <c r="E916">
        <v>1</v>
      </c>
      <c r="F916">
        <v>30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19882</v>
      </c>
      <c r="N916">
        <v>20611</v>
      </c>
      <c r="O916">
        <v>21859</v>
      </c>
      <c r="P916">
        <v>22445</v>
      </c>
      <c r="Q916">
        <v>22935</v>
      </c>
      <c r="R916">
        <v>23404</v>
      </c>
      <c r="S916">
        <v>1352</v>
      </c>
      <c r="T916">
        <v>1600</v>
      </c>
      <c r="U916">
        <v>949</v>
      </c>
      <c r="V916">
        <v>1000</v>
      </c>
      <c r="W916">
        <v>1000</v>
      </c>
      <c r="X916">
        <v>1000</v>
      </c>
      <c r="Y916">
        <v>0</v>
      </c>
    </row>
    <row r="917" spans="1:25" x14ac:dyDescent="0.3">
      <c r="A917">
        <v>916</v>
      </c>
      <c r="B917">
        <v>200000</v>
      </c>
      <c r="C917">
        <v>1</v>
      </c>
      <c r="D917">
        <v>1</v>
      </c>
      <c r="E917">
        <v>1</v>
      </c>
      <c r="F917">
        <v>39</v>
      </c>
      <c r="G917">
        <v>-2</v>
      </c>
      <c r="H917">
        <v>-2</v>
      </c>
      <c r="I917">
        <v>-2</v>
      </c>
      <c r="J917">
        <v>-2</v>
      </c>
      <c r="K917">
        <v>-2</v>
      </c>
      <c r="L917">
        <v>-2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3983</v>
      </c>
      <c r="S917">
        <v>0</v>
      </c>
      <c r="T917">
        <v>0</v>
      </c>
      <c r="U917">
        <v>0</v>
      </c>
      <c r="V917">
        <v>0</v>
      </c>
      <c r="W917">
        <v>3983</v>
      </c>
      <c r="X917">
        <v>0</v>
      </c>
      <c r="Y917">
        <v>0</v>
      </c>
    </row>
    <row r="918" spans="1:25" x14ac:dyDescent="0.3">
      <c r="A918">
        <v>917</v>
      </c>
      <c r="B918">
        <v>350000</v>
      </c>
      <c r="C918">
        <v>1</v>
      </c>
      <c r="D918">
        <v>1</v>
      </c>
      <c r="E918">
        <v>1</v>
      </c>
      <c r="F918">
        <v>48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54969</v>
      </c>
      <c r="N918">
        <v>47978</v>
      </c>
      <c r="O918">
        <v>48631</v>
      </c>
      <c r="P918">
        <v>48351</v>
      </c>
      <c r="Q918">
        <v>47939</v>
      </c>
      <c r="R918">
        <v>33827</v>
      </c>
      <c r="S918">
        <v>2087</v>
      </c>
      <c r="T918">
        <v>1989</v>
      </c>
      <c r="U918">
        <v>1591</v>
      </c>
      <c r="V918">
        <v>1466</v>
      </c>
      <c r="W918">
        <v>2000</v>
      </c>
      <c r="X918">
        <v>1500</v>
      </c>
      <c r="Y918">
        <v>0</v>
      </c>
    </row>
    <row r="919" spans="1:25" x14ac:dyDescent="0.3">
      <c r="A919">
        <v>918</v>
      </c>
      <c r="B919">
        <v>120000</v>
      </c>
      <c r="C919">
        <v>1</v>
      </c>
      <c r="D919">
        <v>1</v>
      </c>
      <c r="E919">
        <v>2</v>
      </c>
      <c r="F919">
        <v>32</v>
      </c>
      <c r="G919">
        <v>1</v>
      </c>
      <c r="H919">
        <v>-2</v>
      </c>
      <c r="I919">
        <v>-2</v>
      </c>
      <c r="J919">
        <v>-2</v>
      </c>
      <c r="K919">
        <v>-2</v>
      </c>
      <c r="L919">
        <v>-2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1</v>
      </c>
    </row>
    <row r="920" spans="1:25" x14ac:dyDescent="0.3">
      <c r="A920">
        <v>919</v>
      </c>
      <c r="B920">
        <v>240000</v>
      </c>
      <c r="C920">
        <v>1</v>
      </c>
      <c r="D920">
        <v>1</v>
      </c>
      <c r="E920">
        <v>2</v>
      </c>
      <c r="F920">
        <v>46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471814</v>
      </c>
      <c r="N920">
        <v>478380</v>
      </c>
      <c r="O920">
        <v>395612</v>
      </c>
      <c r="P920">
        <v>386295</v>
      </c>
      <c r="Q920">
        <v>356206</v>
      </c>
      <c r="R920">
        <v>352257</v>
      </c>
      <c r="S920">
        <v>16044</v>
      </c>
      <c r="T920">
        <v>15087</v>
      </c>
      <c r="U920">
        <v>12000</v>
      </c>
      <c r="V920">
        <v>15000</v>
      </c>
      <c r="W920">
        <v>12000</v>
      </c>
      <c r="X920">
        <v>12000</v>
      </c>
      <c r="Y920">
        <v>0</v>
      </c>
    </row>
    <row r="921" spans="1:25" x14ac:dyDescent="0.3">
      <c r="A921">
        <v>920</v>
      </c>
      <c r="B921">
        <v>90000</v>
      </c>
      <c r="C921">
        <v>2</v>
      </c>
      <c r="D921">
        <v>1</v>
      </c>
      <c r="E921">
        <v>2</v>
      </c>
      <c r="F921">
        <v>23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22109</v>
      </c>
      <c r="N921">
        <v>25011</v>
      </c>
      <c r="O921">
        <v>29230</v>
      </c>
      <c r="P921">
        <v>32747</v>
      </c>
      <c r="Q921">
        <v>38217</v>
      </c>
      <c r="R921">
        <v>43744</v>
      </c>
      <c r="S921">
        <v>6000</v>
      </c>
      <c r="T921">
        <v>5000</v>
      </c>
      <c r="U921">
        <v>4000</v>
      </c>
      <c r="V921">
        <v>6000</v>
      </c>
      <c r="W921">
        <v>8000</v>
      </c>
      <c r="X921">
        <v>4000</v>
      </c>
      <c r="Y921">
        <v>0</v>
      </c>
    </row>
    <row r="922" spans="1:25" x14ac:dyDescent="0.3">
      <c r="A922">
        <v>921</v>
      </c>
      <c r="B922">
        <v>260000</v>
      </c>
      <c r="C922">
        <v>2</v>
      </c>
      <c r="D922">
        <v>1</v>
      </c>
      <c r="E922">
        <v>2</v>
      </c>
      <c r="F922">
        <v>33</v>
      </c>
      <c r="G922">
        <v>1</v>
      </c>
      <c r="H922">
        <v>-2</v>
      </c>
      <c r="I922">
        <v>-2</v>
      </c>
      <c r="J922">
        <v>-2</v>
      </c>
      <c r="K922">
        <v>-1</v>
      </c>
      <c r="L922">
        <v>-1</v>
      </c>
      <c r="M922">
        <v>0</v>
      </c>
      <c r="N922">
        <v>0</v>
      </c>
      <c r="O922">
        <v>0</v>
      </c>
      <c r="P922">
        <v>0</v>
      </c>
      <c r="Q922">
        <v>1980</v>
      </c>
      <c r="R922">
        <v>2500</v>
      </c>
      <c r="S922">
        <v>0</v>
      </c>
      <c r="T922">
        <v>0</v>
      </c>
      <c r="U922">
        <v>0</v>
      </c>
      <c r="V922">
        <v>1980</v>
      </c>
      <c r="W922">
        <v>2500</v>
      </c>
      <c r="X922">
        <v>0</v>
      </c>
      <c r="Y922">
        <v>0</v>
      </c>
    </row>
    <row r="923" spans="1:25" x14ac:dyDescent="0.3">
      <c r="A923">
        <v>922</v>
      </c>
      <c r="B923">
        <v>50000</v>
      </c>
      <c r="C923">
        <v>2</v>
      </c>
      <c r="D923">
        <v>1</v>
      </c>
      <c r="E923">
        <v>2</v>
      </c>
      <c r="F923">
        <v>24</v>
      </c>
      <c r="G923">
        <v>0</v>
      </c>
      <c r="H923">
        <v>0</v>
      </c>
      <c r="I923">
        <v>0</v>
      </c>
      <c r="J923">
        <v>2</v>
      </c>
      <c r="K923">
        <v>0</v>
      </c>
      <c r="L923">
        <v>0</v>
      </c>
      <c r="M923">
        <v>27245</v>
      </c>
      <c r="N923">
        <v>28300</v>
      </c>
      <c r="O923">
        <v>31900</v>
      </c>
      <c r="P923">
        <v>31090</v>
      </c>
      <c r="Q923">
        <v>31837</v>
      </c>
      <c r="R923">
        <v>32555</v>
      </c>
      <c r="S923">
        <v>1800</v>
      </c>
      <c r="T923">
        <v>4400</v>
      </c>
      <c r="U923">
        <v>0</v>
      </c>
      <c r="V923">
        <v>1400</v>
      </c>
      <c r="W923">
        <v>1400</v>
      </c>
      <c r="X923">
        <v>1400</v>
      </c>
      <c r="Y923">
        <v>0</v>
      </c>
    </row>
    <row r="924" spans="1:25" x14ac:dyDescent="0.3">
      <c r="A924">
        <v>923</v>
      </c>
      <c r="B924">
        <v>110000</v>
      </c>
      <c r="C924">
        <v>1</v>
      </c>
      <c r="D924">
        <v>1</v>
      </c>
      <c r="E924">
        <v>1</v>
      </c>
      <c r="F924">
        <v>40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8481</v>
      </c>
      <c r="N924">
        <v>13066</v>
      </c>
      <c r="O924">
        <v>17638</v>
      </c>
      <c r="P924">
        <v>22204</v>
      </c>
      <c r="Q924">
        <v>26784</v>
      </c>
      <c r="R924">
        <v>31352</v>
      </c>
      <c r="S924">
        <v>4980</v>
      </c>
      <c r="T924">
        <v>5124</v>
      </c>
      <c r="U924">
        <v>5256</v>
      </c>
      <c r="V924">
        <v>5416</v>
      </c>
      <c r="W924">
        <v>5552</v>
      </c>
      <c r="X924">
        <v>5742</v>
      </c>
      <c r="Y924">
        <v>0</v>
      </c>
    </row>
    <row r="925" spans="1:25" x14ac:dyDescent="0.3">
      <c r="A925">
        <v>924</v>
      </c>
      <c r="B925">
        <v>20000</v>
      </c>
      <c r="C925">
        <v>2</v>
      </c>
      <c r="D925">
        <v>1</v>
      </c>
      <c r="E925">
        <v>2</v>
      </c>
      <c r="F925">
        <v>24</v>
      </c>
      <c r="G925">
        <v>-1</v>
      </c>
      <c r="H925">
        <v>-1</v>
      </c>
      <c r="I925">
        <v>2</v>
      </c>
      <c r="J925">
        <v>-1</v>
      </c>
      <c r="K925">
        <v>0</v>
      </c>
      <c r="L925">
        <v>-1</v>
      </c>
      <c r="M925">
        <v>1371</v>
      </c>
      <c r="N925">
        <v>796</v>
      </c>
      <c r="O925">
        <v>398</v>
      </c>
      <c r="P925">
        <v>796</v>
      </c>
      <c r="Q925">
        <v>398</v>
      </c>
      <c r="R925">
        <v>716</v>
      </c>
      <c r="S925">
        <v>796</v>
      </c>
      <c r="T925">
        <v>0</v>
      </c>
      <c r="U925">
        <v>796</v>
      </c>
      <c r="V925">
        <v>0</v>
      </c>
      <c r="W925">
        <v>716</v>
      </c>
      <c r="X925">
        <v>12111</v>
      </c>
      <c r="Y925">
        <v>0</v>
      </c>
    </row>
    <row r="926" spans="1:25" x14ac:dyDescent="0.3">
      <c r="A926">
        <v>925</v>
      </c>
      <c r="B926">
        <v>30000</v>
      </c>
      <c r="C926">
        <v>2</v>
      </c>
      <c r="D926">
        <v>2</v>
      </c>
      <c r="E926">
        <v>2</v>
      </c>
      <c r="F926">
        <v>24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27391</v>
      </c>
      <c r="N926">
        <v>28412</v>
      </c>
      <c r="O926">
        <v>28575</v>
      </c>
      <c r="P926">
        <v>28925</v>
      </c>
      <c r="Q926">
        <v>24159</v>
      </c>
      <c r="R926">
        <v>0</v>
      </c>
      <c r="S926">
        <v>1767</v>
      </c>
      <c r="T926">
        <v>1700</v>
      </c>
      <c r="U926">
        <v>1010</v>
      </c>
      <c r="V926">
        <v>1141</v>
      </c>
      <c r="W926">
        <v>0</v>
      </c>
      <c r="X926">
        <v>0</v>
      </c>
      <c r="Y926">
        <v>0</v>
      </c>
    </row>
    <row r="927" spans="1:25" x14ac:dyDescent="0.3">
      <c r="A927">
        <v>926</v>
      </c>
      <c r="B927">
        <v>180000</v>
      </c>
      <c r="C927">
        <v>1</v>
      </c>
      <c r="D927">
        <v>1</v>
      </c>
      <c r="E927">
        <v>2</v>
      </c>
      <c r="F927">
        <v>27</v>
      </c>
      <c r="G927">
        <v>-2</v>
      </c>
      <c r="H927">
        <v>-1</v>
      </c>
      <c r="I927">
        <v>2</v>
      </c>
      <c r="J927">
        <v>2</v>
      </c>
      <c r="K927">
        <v>-2</v>
      </c>
      <c r="L927">
        <v>-2</v>
      </c>
      <c r="M927">
        <v>11392</v>
      </c>
      <c r="N927">
        <v>14688</v>
      </c>
      <c r="O927">
        <v>14040</v>
      </c>
      <c r="P927">
        <v>13440</v>
      </c>
      <c r="Q927">
        <v>13440</v>
      </c>
      <c r="R927">
        <v>13080</v>
      </c>
      <c r="S927">
        <v>3500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</row>
    <row r="928" spans="1:25" x14ac:dyDescent="0.3">
      <c r="A928">
        <v>927</v>
      </c>
      <c r="B928">
        <v>20000</v>
      </c>
      <c r="C928">
        <v>1</v>
      </c>
      <c r="D928">
        <v>2</v>
      </c>
      <c r="E928">
        <v>1</v>
      </c>
      <c r="F928">
        <v>46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5902</v>
      </c>
      <c r="N928">
        <v>6767</v>
      </c>
      <c r="O928">
        <v>8145</v>
      </c>
      <c r="P928">
        <v>8153</v>
      </c>
      <c r="Q928">
        <v>8324</v>
      </c>
      <c r="R928">
        <v>8490</v>
      </c>
      <c r="S928">
        <v>1122</v>
      </c>
      <c r="T928">
        <v>1500</v>
      </c>
      <c r="U928">
        <v>291</v>
      </c>
      <c r="V928">
        <v>302</v>
      </c>
      <c r="W928">
        <v>304</v>
      </c>
      <c r="X928">
        <v>319</v>
      </c>
      <c r="Y928">
        <v>0</v>
      </c>
    </row>
    <row r="929" spans="1:25" x14ac:dyDescent="0.3">
      <c r="A929">
        <v>928</v>
      </c>
      <c r="B929">
        <v>50000</v>
      </c>
      <c r="C929">
        <v>2</v>
      </c>
      <c r="D929">
        <v>2</v>
      </c>
      <c r="E929">
        <v>2</v>
      </c>
      <c r="F929">
        <v>22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50342</v>
      </c>
      <c r="N929">
        <v>50482</v>
      </c>
      <c r="O929">
        <v>49217</v>
      </c>
      <c r="P929">
        <v>40882</v>
      </c>
      <c r="Q929">
        <v>20258</v>
      </c>
      <c r="R929">
        <v>20303</v>
      </c>
      <c r="S929">
        <v>1896</v>
      </c>
      <c r="T929">
        <v>1656</v>
      </c>
      <c r="U929">
        <v>1750</v>
      </c>
      <c r="V929">
        <v>717</v>
      </c>
      <c r="W929">
        <v>753</v>
      </c>
      <c r="X929">
        <v>1000</v>
      </c>
      <c r="Y929">
        <v>0</v>
      </c>
    </row>
    <row r="930" spans="1:25" x14ac:dyDescent="0.3">
      <c r="A930">
        <v>929</v>
      </c>
      <c r="B930">
        <v>180000</v>
      </c>
      <c r="C930">
        <v>2</v>
      </c>
      <c r="D930">
        <v>1</v>
      </c>
      <c r="E930">
        <v>2</v>
      </c>
      <c r="F930">
        <v>36</v>
      </c>
      <c r="G930">
        <v>-2</v>
      </c>
      <c r="H930">
        <v>-2</v>
      </c>
      <c r="I930">
        <v>-2</v>
      </c>
      <c r="J930">
        <v>-2</v>
      </c>
      <c r="K930">
        <v>-2</v>
      </c>
      <c r="L930">
        <v>-2</v>
      </c>
      <c r="M930">
        <v>10737</v>
      </c>
      <c r="N930">
        <v>21197</v>
      </c>
      <c r="O930">
        <v>11936</v>
      </c>
      <c r="P930">
        <v>40420</v>
      </c>
      <c r="Q930">
        <v>9210</v>
      </c>
      <c r="R930">
        <v>17795</v>
      </c>
      <c r="S930">
        <v>21197</v>
      </c>
      <c r="T930">
        <v>11936</v>
      </c>
      <c r="U930">
        <v>40420</v>
      </c>
      <c r="V930">
        <v>9210</v>
      </c>
      <c r="W930">
        <v>17795</v>
      </c>
      <c r="X930">
        <v>6915</v>
      </c>
      <c r="Y930">
        <v>0</v>
      </c>
    </row>
    <row r="931" spans="1:25" x14ac:dyDescent="0.3">
      <c r="A931">
        <v>930</v>
      </c>
      <c r="B931">
        <v>200000</v>
      </c>
      <c r="C931">
        <v>1</v>
      </c>
      <c r="D931">
        <v>1</v>
      </c>
      <c r="E931">
        <v>1</v>
      </c>
      <c r="F931">
        <v>34</v>
      </c>
      <c r="G931">
        <v>-2</v>
      </c>
      <c r="H931">
        <v>-2</v>
      </c>
      <c r="I931">
        <v>-2</v>
      </c>
      <c r="J931">
        <v>-2</v>
      </c>
      <c r="K931">
        <v>-2</v>
      </c>
      <c r="L931">
        <v>-2</v>
      </c>
      <c r="M931">
        <v>1242</v>
      </c>
      <c r="N931">
        <v>4006</v>
      </c>
      <c r="O931">
        <v>941</v>
      </c>
      <c r="P931">
        <v>2357</v>
      </c>
      <c r="Q931">
        <v>2945</v>
      </c>
      <c r="R931">
        <v>1143</v>
      </c>
      <c r="S931">
        <v>4034</v>
      </c>
      <c r="T931">
        <v>945</v>
      </c>
      <c r="U931">
        <v>2366</v>
      </c>
      <c r="V931">
        <v>2947</v>
      </c>
      <c r="W931">
        <v>1143</v>
      </c>
      <c r="X931">
        <v>744</v>
      </c>
      <c r="Y931">
        <v>0</v>
      </c>
    </row>
    <row r="932" spans="1:25" x14ac:dyDescent="0.3">
      <c r="A932">
        <v>931</v>
      </c>
      <c r="B932">
        <v>260000</v>
      </c>
      <c r="C932">
        <v>2</v>
      </c>
      <c r="D932">
        <v>2</v>
      </c>
      <c r="E932">
        <v>2</v>
      </c>
      <c r="F932">
        <v>24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68411</v>
      </c>
      <c r="N932">
        <v>60386</v>
      </c>
      <c r="O932">
        <v>48663</v>
      </c>
      <c r="P932">
        <v>50998</v>
      </c>
      <c r="Q932">
        <v>53835</v>
      </c>
      <c r="R932">
        <v>56728</v>
      </c>
      <c r="S932">
        <v>2500</v>
      </c>
      <c r="T932">
        <v>4000</v>
      </c>
      <c r="U932">
        <v>4000</v>
      </c>
      <c r="V932">
        <v>3835</v>
      </c>
      <c r="W932">
        <v>3805</v>
      </c>
      <c r="X932">
        <v>3000</v>
      </c>
      <c r="Y932">
        <v>0</v>
      </c>
    </row>
    <row r="933" spans="1:25" x14ac:dyDescent="0.3">
      <c r="A933">
        <v>932</v>
      </c>
      <c r="B933">
        <v>320000</v>
      </c>
      <c r="C933">
        <v>1</v>
      </c>
      <c r="D933">
        <v>1</v>
      </c>
      <c r="E933">
        <v>1</v>
      </c>
      <c r="F933">
        <v>60</v>
      </c>
      <c r="G933">
        <v>-1</v>
      </c>
      <c r="H933">
        <v>-1</v>
      </c>
      <c r="I933">
        <v>-1</v>
      </c>
      <c r="J933">
        <v>-1</v>
      </c>
      <c r="K933">
        <v>0</v>
      </c>
      <c r="L933">
        <v>-1</v>
      </c>
      <c r="M933">
        <v>9955</v>
      </c>
      <c r="N933">
        <v>3465</v>
      </c>
      <c r="O933">
        <v>84421</v>
      </c>
      <c r="P933">
        <v>886</v>
      </c>
      <c r="Q933">
        <v>11741</v>
      </c>
      <c r="R933">
        <v>4317</v>
      </c>
      <c r="S933">
        <v>3465</v>
      </c>
      <c r="T933">
        <v>84440</v>
      </c>
      <c r="U933">
        <v>886</v>
      </c>
      <c r="V933">
        <v>11533</v>
      </c>
      <c r="W933">
        <v>4317</v>
      </c>
      <c r="X933">
        <v>52466</v>
      </c>
      <c r="Y933">
        <v>1</v>
      </c>
    </row>
    <row r="934" spans="1:25" x14ac:dyDescent="0.3">
      <c r="A934">
        <v>933</v>
      </c>
      <c r="B934">
        <v>160000</v>
      </c>
      <c r="C934">
        <v>2</v>
      </c>
      <c r="D934">
        <v>2</v>
      </c>
      <c r="E934">
        <v>2</v>
      </c>
      <c r="F934">
        <v>29</v>
      </c>
      <c r="G934">
        <v>2</v>
      </c>
      <c r="H934">
        <v>2</v>
      </c>
      <c r="I934">
        <v>-1</v>
      </c>
      <c r="J934">
        <v>-1</v>
      </c>
      <c r="K934">
        <v>-1</v>
      </c>
      <c r="L934">
        <v>-1</v>
      </c>
      <c r="M934">
        <v>1989</v>
      </c>
      <c r="N934">
        <v>-8</v>
      </c>
      <c r="O934">
        <v>866</v>
      </c>
      <c r="P934">
        <v>0</v>
      </c>
      <c r="Q934">
        <v>892</v>
      </c>
      <c r="R934">
        <v>0</v>
      </c>
      <c r="S934">
        <v>0</v>
      </c>
      <c r="T934">
        <v>874</v>
      </c>
      <c r="U934">
        <v>0</v>
      </c>
      <c r="V934">
        <v>892</v>
      </c>
      <c r="W934">
        <v>0</v>
      </c>
      <c r="X934">
        <v>594</v>
      </c>
      <c r="Y934">
        <v>1</v>
      </c>
    </row>
    <row r="935" spans="1:25" x14ac:dyDescent="0.3">
      <c r="A935">
        <v>934</v>
      </c>
      <c r="B935">
        <v>30000</v>
      </c>
      <c r="C935">
        <v>1</v>
      </c>
      <c r="D935">
        <v>2</v>
      </c>
      <c r="E935">
        <v>2</v>
      </c>
      <c r="F935">
        <v>32</v>
      </c>
      <c r="G935">
        <v>2</v>
      </c>
      <c r="H935">
        <v>0</v>
      </c>
      <c r="I935">
        <v>0</v>
      </c>
      <c r="J935">
        <v>2</v>
      </c>
      <c r="K935">
        <v>2</v>
      </c>
      <c r="L935">
        <v>2</v>
      </c>
      <c r="M935">
        <v>7851</v>
      </c>
      <c r="N935">
        <v>9065</v>
      </c>
      <c r="O935">
        <v>11595</v>
      </c>
      <c r="P935">
        <v>11112</v>
      </c>
      <c r="Q935">
        <v>12923</v>
      </c>
      <c r="R935">
        <v>12566</v>
      </c>
      <c r="S935">
        <v>1500</v>
      </c>
      <c r="T935">
        <v>3000</v>
      </c>
      <c r="U935">
        <v>0</v>
      </c>
      <c r="V935">
        <v>2000</v>
      </c>
      <c r="W935">
        <v>0</v>
      </c>
      <c r="X935">
        <v>1000</v>
      </c>
      <c r="Y935">
        <v>1</v>
      </c>
    </row>
    <row r="936" spans="1:25" x14ac:dyDescent="0.3">
      <c r="A936">
        <v>935</v>
      </c>
      <c r="B936">
        <v>50000</v>
      </c>
      <c r="C936">
        <v>2</v>
      </c>
      <c r="D936">
        <v>2</v>
      </c>
      <c r="E936">
        <v>1</v>
      </c>
      <c r="F936">
        <v>36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16906</v>
      </c>
      <c r="N936">
        <v>17645</v>
      </c>
      <c r="O936">
        <v>18478</v>
      </c>
      <c r="P936">
        <v>10279</v>
      </c>
      <c r="Q936">
        <v>10646</v>
      </c>
      <c r="R936">
        <v>10776</v>
      </c>
      <c r="S936">
        <v>1314</v>
      </c>
      <c r="T936">
        <v>1147</v>
      </c>
      <c r="U936">
        <v>348</v>
      </c>
      <c r="V936">
        <v>512</v>
      </c>
      <c r="W936">
        <v>435</v>
      </c>
      <c r="X936">
        <v>190</v>
      </c>
      <c r="Y936">
        <v>0</v>
      </c>
    </row>
    <row r="937" spans="1:25" x14ac:dyDescent="0.3">
      <c r="A937">
        <v>936</v>
      </c>
      <c r="B937">
        <v>50000</v>
      </c>
      <c r="C937">
        <v>1</v>
      </c>
      <c r="D937">
        <v>2</v>
      </c>
      <c r="E937">
        <v>2</v>
      </c>
      <c r="F937">
        <v>30</v>
      </c>
      <c r="G937">
        <v>0</v>
      </c>
      <c r="H937">
        <v>0</v>
      </c>
      <c r="I937">
        <v>0</v>
      </c>
      <c r="J937">
        <v>0</v>
      </c>
      <c r="K937">
        <v>-2</v>
      </c>
      <c r="L937">
        <v>-2</v>
      </c>
      <c r="M937">
        <v>21062</v>
      </c>
      <c r="N937">
        <v>6495</v>
      </c>
      <c r="O937">
        <v>2207</v>
      </c>
      <c r="P937">
        <v>0</v>
      </c>
      <c r="Q937">
        <v>0</v>
      </c>
      <c r="R937">
        <v>0</v>
      </c>
      <c r="S937">
        <v>2000</v>
      </c>
      <c r="T937">
        <v>1000</v>
      </c>
      <c r="U937">
        <v>0</v>
      </c>
      <c r="V937">
        <v>0</v>
      </c>
      <c r="W937">
        <v>0</v>
      </c>
      <c r="X937">
        <v>0</v>
      </c>
      <c r="Y937">
        <v>0</v>
      </c>
    </row>
    <row r="938" spans="1:25" x14ac:dyDescent="0.3">
      <c r="A938">
        <v>937</v>
      </c>
      <c r="B938">
        <v>90000</v>
      </c>
      <c r="C938">
        <v>2</v>
      </c>
      <c r="D938">
        <v>2</v>
      </c>
      <c r="E938">
        <v>2</v>
      </c>
      <c r="F938">
        <v>29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47585</v>
      </c>
      <c r="N938">
        <v>52084</v>
      </c>
      <c r="O938">
        <v>53817</v>
      </c>
      <c r="P938">
        <v>54818</v>
      </c>
      <c r="Q938">
        <v>55985</v>
      </c>
      <c r="R938">
        <v>57398</v>
      </c>
      <c r="S938">
        <v>10000</v>
      </c>
      <c r="T938">
        <v>2600</v>
      </c>
      <c r="U938">
        <v>2500</v>
      </c>
      <c r="V938">
        <v>2200</v>
      </c>
      <c r="W938">
        <v>2500</v>
      </c>
      <c r="X938">
        <v>3000</v>
      </c>
      <c r="Y938">
        <v>0</v>
      </c>
    </row>
    <row r="939" spans="1:25" x14ac:dyDescent="0.3">
      <c r="A939">
        <v>938</v>
      </c>
      <c r="B939">
        <v>240000</v>
      </c>
      <c r="C939">
        <v>1</v>
      </c>
      <c r="D939">
        <v>1</v>
      </c>
      <c r="E939">
        <v>2</v>
      </c>
      <c r="F939">
        <v>34</v>
      </c>
      <c r="G939">
        <v>1</v>
      </c>
      <c r="H939">
        <v>2</v>
      </c>
      <c r="I939">
        <v>-1</v>
      </c>
      <c r="J939">
        <v>-1</v>
      </c>
      <c r="K939">
        <v>0</v>
      </c>
      <c r="L939">
        <v>-1</v>
      </c>
      <c r="M939">
        <v>11874</v>
      </c>
      <c r="N939">
        <v>5979</v>
      </c>
      <c r="O939">
        <v>6938</v>
      </c>
      <c r="P939">
        <v>41858</v>
      </c>
      <c r="Q939">
        <v>10416</v>
      </c>
      <c r="R939">
        <v>1711</v>
      </c>
      <c r="S939">
        <v>0</v>
      </c>
      <c r="T939">
        <v>6938</v>
      </c>
      <c r="U939">
        <v>41877</v>
      </c>
      <c r="V939">
        <v>0</v>
      </c>
      <c r="W939">
        <v>1711</v>
      </c>
      <c r="X939">
        <v>27162</v>
      </c>
      <c r="Y939">
        <v>0</v>
      </c>
    </row>
    <row r="940" spans="1:25" x14ac:dyDescent="0.3">
      <c r="A940">
        <v>939</v>
      </c>
      <c r="B940">
        <v>180000</v>
      </c>
      <c r="C940">
        <v>2</v>
      </c>
      <c r="D940">
        <v>2</v>
      </c>
      <c r="E940">
        <v>1</v>
      </c>
      <c r="F940">
        <v>32</v>
      </c>
      <c r="G940">
        <v>1</v>
      </c>
      <c r="H940">
        <v>2</v>
      </c>
      <c r="I940">
        <v>2</v>
      </c>
      <c r="J940">
        <v>2</v>
      </c>
      <c r="K940">
        <v>0</v>
      </c>
      <c r="L940">
        <v>0</v>
      </c>
      <c r="M940">
        <v>15548</v>
      </c>
      <c r="N940">
        <v>15009</v>
      </c>
      <c r="O940">
        <v>17752</v>
      </c>
      <c r="P940">
        <v>17172</v>
      </c>
      <c r="Q940">
        <v>18732</v>
      </c>
      <c r="R940">
        <v>23389</v>
      </c>
      <c r="S940">
        <v>0</v>
      </c>
      <c r="T940">
        <v>3000</v>
      </c>
      <c r="U940">
        <v>0</v>
      </c>
      <c r="V940">
        <v>2000</v>
      </c>
      <c r="W940">
        <v>5000</v>
      </c>
      <c r="X940">
        <v>2000</v>
      </c>
      <c r="Y940">
        <v>1</v>
      </c>
    </row>
    <row r="941" spans="1:25" x14ac:dyDescent="0.3">
      <c r="A941">
        <v>940</v>
      </c>
      <c r="B941">
        <v>200000</v>
      </c>
      <c r="C941">
        <v>2</v>
      </c>
      <c r="D941">
        <v>2</v>
      </c>
      <c r="E941">
        <v>1</v>
      </c>
      <c r="F941">
        <v>32</v>
      </c>
      <c r="G941">
        <v>-1</v>
      </c>
      <c r="H941">
        <v>-1</v>
      </c>
      <c r="I941">
        <v>-1</v>
      </c>
      <c r="J941">
        <v>-1</v>
      </c>
      <c r="K941">
        <v>-1</v>
      </c>
      <c r="L941">
        <v>-1</v>
      </c>
      <c r="M941">
        <v>5150</v>
      </c>
      <c r="N941">
        <v>10190</v>
      </c>
      <c r="O941">
        <v>10190</v>
      </c>
      <c r="P941">
        <v>10190</v>
      </c>
      <c r="Q941">
        <v>10594</v>
      </c>
      <c r="R941">
        <v>11193</v>
      </c>
      <c r="S941">
        <v>10190</v>
      </c>
      <c r="T941">
        <v>10190</v>
      </c>
      <c r="U941">
        <v>10190</v>
      </c>
      <c r="V941">
        <v>10594</v>
      </c>
      <c r="W941">
        <v>11193</v>
      </c>
      <c r="X941">
        <v>10190</v>
      </c>
      <c r="Y941">
        <v>0</v>
      </c>
    </row>
    <row r="942" spans="1:25" x14ac:dyDescent="0.3">
      <c r="A942">
        <v>941</v>
      </c>
      <c r="B942">
        <v>50000</v>
      </c>
      <c r="C942">
        <v>2</v>
      </c>
      <c r="D942">
        <v>1</v>
      </c>
      <c r="E942">
        <v>2</v>
      </c>
      <c r="F942">
        <v>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2</v>
      </c>
      <c r="M942">
        <v>42543</v>
      </c>
      <c r="N942">
        <v>34629</v>
      </c>
      <c r="O942">
        <v>27095</v>
      </c>
      <c r="P942">
        <v>18538</v>
      </c>
      <c r="Q942">
        <v>20100</v>
      </c>
      <c r="R942">
        <v>19630</v>
      </c>
      <c r="S942">
        <v>1900</v>
      </c>
      <c r="T942">
        <v>1428</v>
      </c>
      <c r="U942">
        <v>600</v>
      </c>
      <c r="V942">
        <v>3000</v>
      </c>
      <c r="W942">
        <v>0</v>
      </c>
      <c r="X942">
        <v>1000</v>
      </c>
      <c r="Y942">
        <v>0</v>
      </c>
    </row>
    <row r="943" spans="1:25" x14ac:dyDescent="0.3">
      <c r="A943">
        <v>942</v>
      </c>
      <c r="B943">
        <v>50000</v>
      </c>
      <c r="C943">
        <v>1</v>
      </c>
      <c r="D943">
        <v>2</v>
      </c>
      <c r="E943">
        <v>1</v>
      </c>
      <c r="F943">
        <v>44</v>
      </c>
      <c r="G943">
        <v>-1</v>
      </c>
      <c r="H943">
        <v>-1</v>
      </c>
      <c r="I943">
        <v>-1</v>
      </c>
      <c r="J943">
        <v>-1</v>
      </c>
      <c r="K943">
        <v>-1</v>
      </c>
      <c r="L943">
        <v>-1</v>
      </c>
      <c r="M943">
        <v>1261</v>
      </c>
      <c r="N943">
        <v>1261</v>
      </c>
      <c r="O943">
        <v>1261</v>
      </c>
      <c r="P943">
        <v>1261</v>
      </c>
      <c r="Q943">
        <v>1261</v>
      </c>
      <c r="R943">
        <v>1261</v>
      </c>
      <c r="S943">
        <v>1261</v>
      </c>
      <c r="T943">
        <v>1261</v>
      </c>
      <c r="U943">
        <v>1261</v>
      </c>
      <c r="V943">
        <v>1261</v>
      </c>
      <c r="W943">
        <v>1261</v>
      </c>
      <c r="X943">
        <v>1261</v>
      </c>
      <c r="Y943">
        <v>0</v>
      </c>
    </row>
    <row r="944" spans="1:25" x14ac:dyDescent="0.3">
      <c r="A944">
        <v>943</v>
      </c>
      <c r="B944">
        <v>330000</v>
      </c>
      <c r="C944">
        <v>2</v>
      </c>
      <c r="D944">
        <v>1</v>
      </c>
      <c r="E944">
        <v>1</v>
      </c>
      <c r="F944">
        <v>37</v>
      </c>
      <c r="G944">
        <v>-1</v>
      </c>
      <c r="H944">
        <v>-1</v>
      </c>
      <c r="I944">
        <v>-1</v>
      </c>
      <c r="J944">
        <v>-1</v>
      </c>
      <c r="K944">
        <v>0</v>
      </c>
      <c r="L944">
        <v>-1</v>
      </c>
      <c r="M944">
        <v>4785</v>
      </c>
      <c r="N944">
        <v>3403</v>
      </c>
      <c r="O944">
        <v>0</v>
      </c>
      <c r="P944">
        <v>5882</v>
      </c>
      <c r="Q944">
        <v>5882</v>
      </c>
      <c r="R944">
        <v>1013</v>
      </c>
      <c r="S944">
        <v>3523</v>
      </c>
      <c r="T944">
        <v>0</v>
      </c>
      <c r="U944">
        <v>5882</v>
      </c>
      <c r="V944">
        <v>0</v>
      </c>
      <c r="W944">
        <v>1013</v>
      </c>
      <c r="X944">
        <v>0</v>
      </c>
      <c r="Y944">
        <v>0</v>
      </c>
    </row>
    <row r="945" spans="1:25" x14ac:dyDescent="0.3">
      <c r="A945">
        <v>944</v>
      </c>
      <c r="B945">
        <v>80000</v>
      </c>
      <c r="C945">
        <v>2</v>
      </c>
      <c r="D945">
        <v>2</v>
      </c>
      <c r="E945">
        <v>2</v>
      </c>
      <c r="F945">
        <v>24</v>
      </c>
      <c r="G945">
        <v>2</v>
      </c>
      <c r="H945">
        <v>2</v>
      </c>
      <c r="I945">
        <v>5</v>
      </c>
      <c r="J945">
        <v>5</v>
      </c>
      <c r="K945">
        <v>4</v>
      </c>
      <c r="L945">
        <v>3</v>
      </c>
      <c r="M945">
        <v>1200</v>
      </c>
      <c r="N945">
        <v>1200</v>
      </c>
      <c r="O945">
        <v>1200</v>
      </c>
      <c r="P945">
        <v>1200</v>
      </c>
      <c r="Q945">
        <v>600</v>
      </c>
      <c r="R945">
        <v>300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</row>
    <row r="946" spans="1:25" x14ac:dyDescent="0.3">
      <c r="A946">
        <v>945</v>
      </c>
      <c r="B946">
        <v>50000</v>
      </c>
      <c r="C946">
        <v>2</v>
      </c>
      <c r="D946">
        <v>2</v>
      </c>
      <c r="E946">
        <v>2</v>
      </c>
      <c r="F946">
        <v>23</v>
      </c>
      <c r="G946">
        <v>-2</v>
      </c>
      <c r="H946">
        <v>-2</v>
      </c>
      <c r="I946">
        <v>-2</v>
      </c>
      <c r="J946">
        <v>-2</v>
      </c>
      <c r="K946">
        <v>-2</v>
      </c>
      <c r="L946">
        <v>-2</v>
      </c>
      <c r="M946">
        <v>3779</v>
      </c>
      <c r="N946">
        <v>3944</v>
      </c>
      <c r="O946">
        <v>2118</v>
      </c>
      <c r="P946">
        <v>2259</v>
      </c>
      <c r="Q946">
        <v>3527</v>
      </c>
      <c r="R946">
        <v>1100</v>
      </c>
      <c r="S946">
        <v>3955</v>
      </c>
      <c r="T946">
        <v>2124</v>
      </c>
      <c r="U946">
        <v>2266</v>
      </c>
      <c r="V946">
        <v>3638</v>
      </c>
      <c r="W946">
        <v>1303</v>
      </c>
      <c r="X946">
        <v>0</v>
      </c>
      <c r="Y946">
        <v>0</v>
      </c>
    </row>
    <row r="947" spans="1:25" x14ac:dyDescent="0.3">
      <c r="A947">
        <v>946</v>
      </c>
      <c r="B947">
        <v>360000</v>
      </c>
      <c r="C947">
        <v>2</v>
      </c>
      <c r="D947">
        <v>1</v>
      </c>
      <c r="E947">
        <v>2</v>
      </c>
      <c r="F947">
        <v>29</v>
      </c>
      <c r="G947">
        <v>0</v>
      </c>
      <c r="H947">
        <v>0</v>
      </c>
      <c r="I947">
        <v>-1</v>
      </c>
      <c r="J947">
        <v>-1</v>
      </c>
      <c r="K947">
        <v>-1</v>
      </c>
      <c r="L947">
        <v>-1</v>
      </c>
      <c r="M947">
        <v>15854</v>
      </c>
      <c r="N947">
        <v>8174</v>
      </c>
      <c r="O947">
        <v>1004</v>
      </c>
      <c r="P947">
        <v>1004</v>
      </c>
      <c r="Q947">
        <v>646</v>
      </c>
      <c r="R947">
        <v>3508</v>
      </c>
      <c r="S947">
        <v>1000</v>
      </c>
      <c r="T947">
        <v>1004</v>
      </c>
      <c r="U947">
        <v>1004</v>
      </c>
      <c r="V947">
        <v>646</v>
      </c>
      <c r="W947">
        <v>3508</v>
      </c>
      <c r="X947">
        <v>0</v>
      </c>
      <c r="Y947">
        <v>0</v>
      </c>
    </row>
    <row r="948" spans="1:25" x14ac:dyDescent="0.3">
      <c r="A948">
        <v>947</v>
      </c>
      <c r="B948">
        <v>240000</v>
      </c>
      <c r="C948">
        <v>2</v>
      </c>
      <c r="D948">
        <v>2</v>
      </c>
      <c r="E948">
        <v>1</v>
      </c>
      <c r="F948">
        <v>37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219099</v>
      </c>
      <c r="N948">
        <v>217058</v>
      </c>
      <c r="O948">
        <v>187841</v>
      </c>
      <c r="P948">
        <v>186140</v>
      </c>
      <c r="Q948">
        <v>191678</v>
      </c>
      <c r="R948">
        <v>191816</v>
      </c>
      <c r="S948">
        <v>8131</v>
      </c>
      <c r="T948">
        <v>8123</v>
      </c>
      <c r="U948">
        <v>6700</v>
      </c>
      <c r="V948">
        <v>10000</v>
      </c>
      <c r="W948">
        <v>7700</v>
      </c>
      <c r="X948">
        <v>6000</v>
      </c>
      <c r="Y948">
        <v>0</v>
      </c>
    </row>
    <row r="949" spans="1:25" x14ac:dyDescent="0.3">
      <c r="A949">
        <v>948</v>
      </c>
      <c r="B949">
        <v>50000</v>
      </c>
      <c r="C949">
        <v>1</v>
      </c>
      <c r="D949">
        <v>2</v>
      </c>
      <c r="E949">
        <v>1</v>
      </c>
      <c r="F949">
        <v>59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47069</v>
      </c>
      <c r="N949">
        <v>48479</v>
      </c>
      <c r="O949">
        <v>49520</v>
      </c>
      <c r="P949">
        <v>18990</v>
      </c>
      <c r="Q949">
        <v>19539</v>
      </c>
      <c r="R949">
        <v>19791</v>
      </c>
      <c r="S949">
        <v>2169</v>
      </c>
      <c r="T949">
        <v>2210</v>
      </c>
      <c r="U949">
        <v>680</v>
      </c>
      <c r="V949">
        <v>855</v>
      </c>
      <c r="W949">
        <v>726</v>
      </c>
      <c r="X949">
        <v>687</v>
      </c>
      <c r="Y949">
        <v>0</v>
      </c>
    </row>
    <row r="950" spans="1:25" x14ac:dyDescent="0.3">
      <c r="A950">
        <v>949</v>
      </c>
      <c r="B950">
        <v>470000</v>
      </c>
      <c r="C950">
        <v>1</v>
      </c>
      <c r="D950">
        <v>2</v>
      </c>
      <c r="E950">
        <v>2</v>
      </c>
      <c r="F950">
        <v>33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190258</v>
      </c>
      <c r="N950">
        <v>181207</v>
      </c>
      <c r="O950">
        <v>120318</v>
      </c>
      <c r="P950">
        <v>129281</v>
      </c>
      <c r="Q950">
        <v>113437</v>
      </c>
      <c r="R950">
        <v>164377</v>
      </c>
      <c r="S950">
        <v>40012</v>
      </c>
      <c r="T950">
        <v>10020</v>
      </c>
      <c r="U950">
        <v>40069</v>
      </c>
      <c r="V950">
        <v>25005</v>
      </c>
      <c r="W950">
        <v>100000</v>
      </c>
      <c r="X950">
        <v>51305</v>
      </c>
      <c r="Y950">
        <v>0</v>
      </c>
    </row>
    <row r="951" spans="1:25" x14ac:dyDescent="0.3">
      <c r="A951">
        <v>950</v>
      </c>
      <c r="B951">
        <v>160000</v>
      </c>
      <c r="C951">
        <v>2</v>
      </c>
      <c r="D951">
        <v>3</v>
      </c>
      <c r="E951">
        <v>1</v>
      </c>
      <c r="F951">
        <v>51</v>
      </c>
      <c r="G951">
        <v>-1</v>
      </c>
      <c r="H951">
        <v>2</v>
      </c>
      <c r="I951">
        <v>-1</v>
      </c>
      <c r="J951">
        <v>-1</v>
      </c>
      <c r="K951">
        <v>-1</v>
      </c>
      <c r="L951">
        <v>-1</v>
      </c>
      <c r="M951">
        <v>2000</v>
      </c>
      <c r="N951">
        <v>1000</v>
      </c>
      <c r="O951">
        <v>2125</v>
      </c>
      <c r="P951">
        <v>2125</v>
      </c>
      <c r="Q951">
        <v>1000</v>
      </c>
      <c r="R951">
        <v>2125</v>
      </c>
      <c r="S951">
        <v>0</v>
      </c>
      <c r="T951">
        <v>2125</v>
      </c>
      <c r="U951">
        <v>2125</v>
      </c>
      <c r="V951">
        <v>1000</v>
      </c>
      <c r="W951">
        <v>2125</v>
      </c>
      <c r="X951">
        <v>23250</v>
      </c>
      <c r="Y951">
        <v>0</v>
      </c>
    </row>
    <row r="952" spans="1:25" x14ac:dyDescent="0.3">
      <c r="A952">
        <v>951</v>
      </c>
      <c r="B952">
        <v>30000</v>
      </c>
      <c r="C952">
        <v>1</v>
      </c>
      <c r="D952">
        <v>1</v>
      </c>
      <c r="E952">
        <v>1</v>
      </c>
      <c r="F952">
        <v>27</v>
      </c>
      <c r="G952">
        <v>-1</v>
      </c>
      <c r="H952">
        <v>0</v>
      </c>
      <c r="I952">
        <v>0</v>
      </c>
      <c r="J952">
        <v>0</v>
      </c>
      <c r="K952">
        <v>0</v>
      </c>
      <c r="L952">
        <v>-2</v>
      </c>
      <c r="M952">
        <v>12897</v>
      </c>
      <c r="N952">
        <v>13484</v>
      </c>
      <c r="O952">
        <v>6655</v>
      </c>
      <c r="P952">
        <v>6618</v>
      </c>
      <c r="Q952">
        <v>0</v>
      </c>
      <c r="R952">
        <v>0</v>
      </c>
      <c r="S952">
        <v>2011</v>
      </c>
      <c r="T952">
        <v>2211</v>
      </c>
      <c r="U952">
        <v>2101</v>
      </c>
      <c r="V952">
        <v>148</v>
      </c>
      <c r="W952">
        <v>0</v>
      </c>
      <c r="X952">
        <v>0</v>
      </c>
      <c r="Y952">
        <v>1</v>
      </c>
    </row>
    <row r="953" spans="1:25" x14ac:dyDescent="0.3">
      <c r="A953">
        <v>952</v>
      </c>
      <c r="B953">
        <v>80000</v>
      </c>
      <c r="C953">
        <v>2</v>
      </c>
      <c r="D953">
        <v>2</v>
      </c>
      <c r="E953">
        <v>1</v>
      </c>
      <c r="F953">
        <v>32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81074</v>
      </c>
      <c r="N953">
        <v>78262</v>
      </c>
      <c r="O953">
        <v>76163</v>
      </c>
      <c r="P953">
        <v>76813</v>
      </c>
      <c r="Q953">
        <v>77511</v>
      </c>
      <c r="R953">
        <v>79069</v>
      </c>
      <c r="S953">
        <v>3700</v>
      </c>
      <c r="T953">
        <v>3400</v>
      </c>
      <c r="U953">
        <v>2900</v>
      </c>
      <c r="V953">
        <v>2900</v>
      </c>
      <c r="W953">
        <v>2841</v>
      </c>
      <c r="X953">
        <v>3100</v>
      </c>
      <c r="Y953">
        <v>0</v>
      </c>
    </row>
    <row r="954" spans="1:25" x14ac:dyDescent="0.3">
      <c r="A954">
        <v>953</v>
      </c>
      <c r="B954">
        <v>500000</v>
      </c>
      <c r="C954">
        <v>2</v>
      </c>
      <c r="D954">
        <v>3</v>
      </c>
      <c r="E954">
        <v>2</v>
      </c>
      <c r="F954">
        <v>42</v>
      </c>
      <c r="G954">
        <v>-2</v>
      </c>
      <c r="H954">
        <v>-1</v>
      </c>
      <c r="I954">
        <v>-1</v>
      </c>
      <c r="J954">
        <v>0</v>
      </c>
      <c r="K954">
        <v>0</v>
      </c>
      <c r="L954">
        <v>0</v>
      </c>
      <c r="M954">
        <v>10889</v>
      </c>
      <c r="N954">
        <v>26146</v>
      </c>
      <c r="O954">
        <v>104279</v>
      </c>
      <c r="P954">
        <v>103945</v>
      </c>
      <c r="Q954">
        <v>101945</v>
      </c>
      <c r="R954">
        <v>90193</v>
      </c>
      <c r="S954">
        <v>29987</v>
      </c>
      <c r="T954">
        <v>104279</v>
      </c>
      <c r="U954">
        <v>2085</v>
      </c>
      <c r="V954">
        <v>1130</v>
      </c>
      <c r="W954">
        <v>45551</v>
      </c>
      <c r="X954">
        <v>0</v>
      </c>
      <c r="Y954">
        <v>0</v>
      </c>
    </row>
    <row r="955" spans="1:25" x14ac:dyDescent="0.3">
      <c r="A955">
        <v>954</v>
      </c>
      <c r="B955">
        <v>180000</v>
      </c>
      <c r="C955">
        <v>1</v>
      </c>
      <c r="D955">
        <v>2</v>
      </c>
      <c r="E955">
        <v>2</v>
      </c>
      <c r="F955">
        <v>39</v>
      </c>
      <c r="G955">
        <v>-1</v>
      </c>
      <c r="H955">
        <v>-1</v>
      </c>
      <c r="I955">
        <v>-1</v>
      </c>
      <c r="J955">
        <v>-1</v>
      </c>
      <c r="K955">
        <v>-1</v>
      </c>
      <c r="L955">
        <v>0</v>
      </c>
      <c r="M955">
        <v>3135</v>
      </c>
      <c r="N955">
        <v>2822</v>
      </c>
      <c r="O955">
        <v>1938</v>
      </c>
      <c r="P955">
        <v>5818</v>
      </c>
      <c r="Q955">
        <v>2628</v>
      </c>
      <c r="R955">
        <v>2628</v>
      </c>
      <c r="S955">
        <v>2833</v>
      </c>
      <c r="T955">
        <v>2015</v>
      </c>
      <c r="U955">
        <v>5818</v>
      </c>
      <c r="V955">
        <v>2628</v>
      </c>
      <c r="W955">
        <v>0</v>
      </c>
      <c r="X955">
        <v>0</v>
      </c>
      <c r="Y955">
        <v>0</v>
      </c>
    </row>
    <row r="956" spans="1:25" x14ac:dyDescent="0.3">
      <c r="A956">
        <v>955</v>
      </c>
      <c r="B956">
        <v>110000</v>
      </c>
      <c r="C956">
        <v>2</v>
      </c>
      <c r="D956">
        <v>2</v>
      </c>
      <c r="E956">
        <v>1</v>
      </c>
      <c r="F956">
        <v>46</v>
      </c>
      <c r="G956">
        <v>-1</v>
      </c>
      <c r="H956">
        <v>-1</v>
      </c>
      <c r="I956">
        <v>-1</v>
      </c>
      <c r="J956">
        <v>-1</v>
      </c>
      <c r="K956">
        <v>-1</v>
      </c>
      <c r="L956">
        <v>0</v>
      </c>
      <c r="M956">
        <v>2410</v>
      </c>
      <c r="N956">
        <v>2151</v>
      </c>
      <c r="O956">
        <v>2161</v>
      </c>
      <c r="P956">
        <v>1719</v>
      </c>
      <c r="Q956">
        <v>107591</v>
      </c>
      <c r="R956">
        <v>107940</v>
      </c>
      <c r="S956">
        <v>2151</v>
      </c>
      <c r="T956">
        <v>2161</v>
      </c>
      <c r="U956">
        <v>1719</v>
      </c>
      <c r="V956">
        <v>107591</v>
      </c>
      <c r="W956">
        <v>5000</v>
      </c>
      <c r="X956">
        <v>3500</v>
      </c>
      <c r="Y956">
        <v>0</v>
      </c>
    </row>
    <row r="957" spans="1:25" x14ac:dyDescent="0.3">
      <c r="A957">
        <v>956</v>
      </c>
      <c r="B957">
        <v>160000</v>
      </c>
      <c r="C957">
        <v>1</v>
      </c>
      <c r="D957">
        <v>1</v>
      </c>
      <c r="E957">
        <v>1</v>
      </c>
      <c r="F957">
        <v>41</v>
      </c>
      <c r="G957">
        <v>0</v>
      </c>
      <c r="H957">
        <v>-1</v>
      </c>
      <c r="I957">
        <v>0</v>
      </c>
      <c r="J957">
        <v>0</v>
      </c>
      <c r="K957">
        <v>2</v>
      </c>
      <c r="L957">
        <v>2</v>
      </c>
      <c r="M957">
        <v>117126</v>
      </c>
      <c r="N957">
        <v>11222</v>
      </c>
      <c r="O957">
        <v>15513</v>
      </c>
      <c r="P957">
        <v>18087</v>
      </c>
      <c r="Q957">
        <v>17499</v>
      </c>
      <c r="R957">
        <v>19939</v>
      </c>
      <c r="S957">
        <v>15315</v>
      </c>
      <c r="T957">
        <v>15000</v>
      </c>
      <c r="U957">
        <v>3000</v>
      </c>
      <c r="V957">
        <v>0</v>
      </c>
      <c r="W957">
        <v>3000</v>
      </c>
      <c r="X957">
        <v>0</v>
      </c>
      <c r="Y957">
        <v>0</v>
      </c>
    </row>
    <row r="958" spans="1:25" x14ac:dyDescent="0.3">
      <c r="A958">
        <v>957</v>
      </c>
      <c r="B958">
        <v>210000</v>
      </c>
      <c r="C958">
        <v>2</v>
      </c>
      <c r="D958">
        <v>2</v>
      </c>
      <c r="E958">
        <v>2</v>
      </c>
      <c r="F958">
        <v>30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21780</v>
      </c>
      <c r="N958">
        <v>20974</v>
      </c>
      <c r="O958">
        <v>18652</v>
      </c>
      <c r="P958">
        <v>13464</v>
      </c>
      <c r="Q958">
        <v>109722</v>
      </c>
      <c r="R958">
        <v>105573</v>
      </c>
      <c r="S958">
        <v>1325</v>
      </c>
      <c r="T958">
        <v>1074</v>
      </c>
      <c r="U958">
        <v>1000</v>
      </c>
      <c r="V958">
        <v>99000</v>
      </c>
      <c r="W958">
        <v>3745</v>
      </c>
      <c r="X958">
        <v>4000</v>
      </c>
      <c r="Y958">
        <v>0</v>
      </c>
    </row>
    <row r="959" spans="1:25" x14ac:dyDescent="0.3">
      <c r="A959">
        <v>958</v>
      </c>
      <c r="B959">
        <v>200000</v>
      </c>
      <c r="C959">
        <v>2</v>
      </c>
      <c r="D959">
        <v>1</v>
      </c>
      <c r="E959">
        <v>1</v>
      </c>
      <c r="F959">
        <v>34</v>
      </c>
      <c r="G959">
        <v>-1</v>
      </c>
      <c r="H959">
        <v>0</v>
      </c>
      <c r="I959">
        <v>0</v>
      </c>
      <c r="J959">
        <v>-1</v>
      </c>
      <c r="K959">
        <v>0</v>
      </c>
      <c r="L959">
        <v>-1</v>
      </c>
      <c r="M959">
        <v>6206</v>
      </c>
      <c r="N959">
        <v>6723</v>
      </c>
      <c r="O959">
        <v>7545</v>
      </c>
      <c r="P959">
        <v>362</v>
      </c>
      <c r="Q959">
        <v>181</v>
      </c>
      <c r="R959">
        <v>488</v>
      </c>
      <c r="S959">
        <v>1120</v>
      </c>
      <c r="T959">
        <v>1024</v>
      </c>
      <c r="U959">
        <v>362</v>
      </c>
      <c r="V959">
        <v>0</v>
      </c>
      <c r="W959">
        <v>488</v>
      </c>
      <c r="X959">
        <v>300</v>
      </c>
      <c r="Y959">
        <v>1</v>
      </c>
    </row>
    <row r="960" spans="1:25" x14ac:dyDescent="0.3">
      <c r="A960">
        <v>959</v>
      </c>
      <c r="B960">
        <v>350000</v>
      </c>
      <c r="C960">
        <v>1</v>
      </c>
      <c r="D960">
        <v>1</v>
      </c>
      <c r="E960">
        <v>2</v>
      </c>
      <c r="F960">
        <v>35</v>
      </c>
      <c r="G960">
        <v>-1</v>
      </c>
      <c r="H960">
        <v>-1</v>
      </c>
      <c r="I960">
        <v>-1</v>
      </c>
      <c r="J960">
        <v>0</v>
      </c>
      <c r="K960">
        <v>0</v>
      </c>
      <c r="L960">
        <v>0</v>
      </c>
      <c r="M960">
        <v>4439</v>
      </c>
      <c r="N960">
        <v>33720</v>
      </c>
      <c r="O960">
        <v>14283</v>
      </c>
      <c r="P960">
        <v>16426</v>
      </c>
      <c r="Q960">
        <v>10833</v>
      </c>
      <c r="R960">
        <v>2261</v>
      </c>
      <c r="S960">
        <v>33891</v>
      </c>
      <c r="T960">
        <v>16267</v>
      </c>
      <c r="U960">
        <v>4027</v>
      </c>
      <c r="V960">
        <v>234</v>
      </c>
      <c r="W960">
        <v>1565</v>
      </c>
      <c r="X960">
        <v>26346</v>
      </c>
      <c r="Y960">
        <v>0</v>
      </c>
    </row>
    <row r="961" spans="1:25" x14ac:dyDescent="0.3">
      <c r="A961">
        <v>960</v>
      </c>
      <c r="B961">
        <v>250000</v>
      </c>
      <c r="C961">
        <v>1</v>
      </c>
      <c r="D961">
        <v>1</v>
      </c>
      <c r="E961">
        <v>2</v>
      </c>
      <c r="F961">
        <v>41</v>
      </c>
      <c r="G961">
        <v>-1</v>
      </c>
      <c r="H961">
        <v>-1</v>
      </c>
      <c r="I961">
        <v>-1</v>
      </c>
      <c r="J961">
        <v>0</v>
      </c>
      <c r="K961">
        <v>-1</v>
      </c>
      <c r="L961">
        <v>-1</v>
      </c>
      <c r="M961">
        <v>1338</v>
      </c>
      <c r="N961">
        <v>-24</v>
      </c>
      <c r="O961">
        <v>8324</v>
      </c>
      <c r="P961">
        <v>5872</v>
      </c>
      <c r="Q961">
        <v>23020</v>
      </c>
      <c r="R961">
        <v>2367</v>
      </c>
      <c r="S961">
        <v>0</v>
      </c>
      <c r="T961">
        <v>8348</v>
      </c>
      <c r="U961">
        <v>0</v>
      </c>
      <c r="V961">
        <v>23020</v>
      </c>
      <c r="W961">
        <v>2367</v>
      </c>
      <c r="X961">
        <v>3117</v>
      </c>
      <c r="Y961">
        <v>1</v>
      </c>
    </row>
    <row r="962" spans="1:25" x14ac:dyDescent="0.3">
      <c r="A962">
        <v>961</v>
      </c>
      <c r="B962">
        <v>380000</v>
      </c>
      <c r="C962">
        <v>1</v>
      </c>
      <c r="D962">
        <v>1</v>
      </c>
      <c r="E962">
        <v>2</v>
      </c>
      <c r="F962">
        <v>43</v>
      </c>
      <c r="G962">
        <v>1</v>
      </c>
      <c r="H962">
        <v>2</v>
      </c>
      <c r="I962">
        <v>2</v>
      </c>
      <c r="J962">
        <v>-2</v>
      </c>
      <c r="K962">
        <v>-2</v>
      </c>
      <c r="L962">
        <v>-2</v>
      </c>
      <c r="M962">
        <v>8201</v>
      </c>
      <c r="N962">
        <v>7882</v>
      </c>
      <c r="O962">
        <v>-2</v>
      </c>
      <c r="P962">
        <v>-2</v>
      </c>
      <c r="Q962">
        <v>-2</v>
      </c>
      <c r="R962">
        <v>-2</v>
      </c>
      <c r="S962">
        <v>39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</row>
    <row r="963" spans="1:25" x14ac:dyDescent="0.3">
      <c r="A963">
        <v>962</v>
      </c>
      <c r="B963">
        <v>30000</v>
      </c>
      <c r="C963">
        <v>1</v>
      </c>
      <c r="D963">
        <v>2</v>
      </c>
      <c r="E963">
        <v>2</v>
      </c>
      <c r="F963">
        <v>47</v>
      </c>
      <c r="G963">
        <v>-1</v>
      </c>
      <c r="H963">
        <v>-1</v>
      </c>
      <c r="I963">
        <v>-1</v>
      </c>
      <c r="J963">
        <v>-1</v>
      </c>
      <c r="K963">
        <v>0</v>
      </c>
      <c r="L963">
        <v>-1</v>
      </c>
      <c r="M963">
        <v>396</v>
      </c>
      <c r="N963">
        <v>396</v>
      </c>
      <c r="O963">
        <v>396</v>
      </c>
      <c r="P963">
        <v>792</v>
      </c>
      <c r="Q963">
        <v>396</v>
      </c>
      <c r="R963">
        <v>772</v>
      </c>
      <c r="S963">
        <v>396</v>
      </c>
      <c r="T963">
        <v>396</v>
      </c>
      <c r="U963">
        <v>792</v>
      </c>
      <c r="V963">
        <v>0</v>
      </c>
      <c r="W963">
        <v>772</v>
      </c>
      <c r="X963">
        <v>0</v>
      </c>
      <c r="Y963">
        <v>0</v>
      </c>
    </row>
    <row r="964" spans="1:25" x14ac:dyDescent="0.3">
      <c r="A964">
        <v>963</v>
      </c>
      <c r="B964">
        <v>200000</v>
      </c>
      <c r="C964">
        <v>1</v>
      </c>
      <c r="D964">
        <v>2</v>
      </c>
      <c r="E964">
        <v>2</v>
      </c>
      <c r="F964">
        <v>31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33781</v>
      </c>
      <c r="N964">
        <v>35879</v>
      </c>
      <c r="O964">
        <v>26043</v>
      </c>
      <c r="P964">
        <v>27497</v>
      </c>
      <c r="Q964">
        <v>29082</v>
      </c>
      <c r="R964">
        <v>31647</v>
      </c>
      <c r="S964">
        <v>3000</v>
      </c>
      <c r="T964">
        <v>2000</v>
      </c>
      <c r="U964">
        <v>2000</v>
      </c>
      <c r="V964">
        <v>2000</v>
      </c>
      <c r="W964">
        <v>3000</v>
      </c>
      <c r="X964">
        <v>4000</v>
      </c>
      <c r="Y964">
        <v>0</v>
      </c>
    </row>
    <row r="965" spans="1:25" x14ac:dyDescent="0.3">
      <c r="A965">
        <v>964</v>
      </c>
      <c r="B965">
        <v>30000</v>
      </c>
      <c r="C965">
        <v>1</v>
      </c>
      <c r="D965">
        <v>2</v>
      </c>
      <c r="E965">
        <v>2</v>
      </c>
      <c r="F965">
        <v>30</v>
      </c>
      <c r="G965">
        <v>-1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27826</v>
      </c>
      <c r="N965">
        <v>28672</v>
      </c>
      <c r="O965">
        <v>29622</v>
      </c>
      <c r="P965">
        <v>30271</v>
      </c>
      <c r="Q965">
        <v>24536</v>
      </c>
      <c r="R965">
        <v>22913</v>
      </c>
      <c r="S965">
        <v>1600</v>
      </c>
      <c r="T965">
        <v>1500</v>
      </c>
      <c r="U965">
        <v>1000</v>
      </c>
      <c r="V965">
        <v>1000</v>
      </c>
      <c r="W965">
        <v>1000</v>
      </c>
      <c r="X965">
        <v>1000</v>
      </c>
      <c r="Y965">
        <v>0</v>
      </c>
    </row>
    <row r="966" spans="1:25" x14ac:dyDescent="0.3">
      <c r="A966">
        <v>965</v>
      </c>
      <c r="B966">
        <v>50000</v>
      </c>
      <c r="C966">
        <v>1</v>
      </c>
      <c r="D966">
        <v>2</v>
      </c>
      <c r="E966">
        <v>2</v>
      </c>
      <c r="F966">
        <v>24</v>
      </c>
      <c r="G966">
        <v>0</v>
      </c>
      <c r="H966">
        <v>0</v>
      </c>
      <c r="I966">
        <v>-1</v>
      </c>
      <c r="J966">
        <v>-1</v>
      </c>
      <c r="K966">
        <v>0</v>
      </c>
      <c r="L966">
        <v>0</v>
      </c>
      <c r="M966">
        <v>14937</v>
      </c>
      <c r="N966">
        <v>12171</v>
      </c>
      <c r="O966">
        <v>3847</v>
      </c>
      <c r="P966">
        <v>11117</v>
      </c>
      <c r="Q966">
        <v>6479</v>
      </c>
      <c r="R966">
        <v>6187</v>
      </c>
      <c r="S966">
        <v>3027</v>
      </c>
      <c r="T966">
        <v>3858</v>
      </c>
      <c r="U966">
        <v>11139</v>
      </c>
      <c r="V966">
        <v>3009</v>
      </c>
      <c r="W966">
        <v>3016</v>
      </c>
      <c r="X966">
        <v>3008</v>
      </c>
      <c r="Y966">
        <v>0</v>
      </c>
    </row>
    <row r="967" spans="1:25" x14ac:dyDescent="0.3">
      <c r="A967">
        <v>966</v>
      </c>
      <c r="B967">
        <v>500000</v>
      </c>
      <c r="C967">
        <v>1</v>
      </c>
      <c r="D967">
        <v>1</v>
      </c>
      <c r="E967">
        <v>1</v>
      </c>
      <c r="F967">
        <v>36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294827</v>
      </c>
      <c r="N967">
        <v>292920</v>
      </c>
      <c r="O967">
        <v>291760</v>
      </c>
      <c r="P967">
        <v>288024</v>
      </c>
      <c r="Q967">
        <v>274632</v>
      </c>
      <c r="R967">
        <v>266669</v>
      </c>
      <c r="S967">
        <v>20007</v>
      </c>
      <c r="T967">
        <v>20026</v>
      </c>
      <c r="U967">
        <v>20020</v>
      </c>
      <c r="V967">
        <v>10017</v>
      </c>
      <c r="W967">
        <v>15024</v>
      </c>
      <c r="X967">
        <v>10002</v>
      </c>
      <c r="Y967">
        <v>0</v>
      </c>
    </row>
    <row r="968" spans="1:25" x14ac:dyDescent="0.3">
      <c r="A968">
        <v>967</v>
      </c>
      <c r="B968">
        <v>30000</v>
      </c>
      <c r="C968">
        <v>1</v>
      </c>
      <c r="D968">
        <v>1</v>
      </c>
      <c r="E968">
        <v>2</v>
      </c>
      <c r="F968">
        <v>28</v>
      </c>
      <c r="G968">
        <v>1</v>
      </c>
      <c r="H968">
        <v>-2</v>
      </c>
      <c r="I968">
        <v>-1</v>
      </c>
      <c r="J968">
        <v>-1</v>
      </c>
      <c r="K968">
        <v>-1</v>
      </c>
      <c r="L968">
        <v>-2</v>
      </c>
      <c r="M968">
        <v>0</v>
      </c>
      <c r="N968">
        <v>0</v>
      </c>
      <c r="O968">
        <v>1310</v>
      </c>
      <c r="P968">
        <v>816</v>
      </c>
      <c r="Q968">
        <v>0</v>
      </c>
      <c r="R968">
        <v>0</v>
      </c>
      <c r="S968">
        <v>0</v>
      </c>
      <c r="T968">
        <v>1310</v>
      </c>
      <c r="U968">
        <v>816</v>
      </c>
      <c r="V968">
        <v>0</v>
      </c>
      <c r="W968">
        <v>0</v>
      </c>
      <c r="X968">
        <v>0</v>
      </c>
      <c r="Y968">
        <v>0</v>
      </c>
    </row>
    <row r="969" spans="1:25" x14ac:dyDescent="0.3">
      <c r="A969">
        <v>968</v>
      </c>
      <c r="B969">
        <v>220000</v>
      </c>
      <c r="C969">
        <v>2</v>
      </c>
      <c r="D969">
        <v>1</v>
      </c>
      <c r="E969">
        <v>1</v>
      </c>
      <c r="F969">
        <v>36</v>
      </c>
      <c r="G969">
        <v>-1</v>
      </c>
      <c r="H969">
        <v>-1</v>
      </c>
      <c r="I969">
        <v>0</v>
      </c>
      <c r="J969">
        <v>-1</v>
      </c>
      <c r="K969">
        <v>-1</v>
      </c>
      <c r="L969">
        <v>-1</v>
      </c>
      <c r="M969">
        <v>996</v>
      </c>
      <c r="N969">
        <v>4102</v>
      </c>
      <c r="O969">
        <v>4111</v>
      </c>
      <c r="P969">
        <v>1057</v>
      </c>
      <c r="Q969">
        <v>990</v>
      </c>
      <c r="R969">
        <v>1324</v>
      </c>
      <c r="S969">
        <v>4102</v>
      </c>
      <c r="T969">
        <v>1111</v>
      </c>
      <c r="U969">
        <v>1057</v>
      </c>
      <c r="V969">
        <v>990</v>
      </c>
      <c r="W969">
        <v>1324</v>
      </c>
      <c r="X969">
        <v>1039</v>
      </c>
      <c r="Y969">
        <v>0</v>
      </c>
    </row>
    <row r="970" spans="1:25" x14ac:dyDescent="0.3">
      <c r="A970">
        <v>969</v>
      </c>
      <c r="B970">
        <v>20000</v>
      </c>
      <c r="C970">
        <v>2</v>
      </c>
      <c r="D970">
        <v>2</v>
      </c>
      <c r="E970">
        <v>1</v>
      </c>
      <c r="F970">
        <v>27</v>
      </c>
      <c r="G970">
        <v>0</v>
      </c>
      <c r="H970">
        <v>0</v>
      </c>
      <c r="I970">
        <v>0</v>
      </c>
      <c r="J970">
        <v>-1</v>
      </c>
      <c r="K970">
        <v>0</v>
      </c>
      <c r="L970">
        <v>0</v>
      </c>
      <c r="M970">
        <v>42784</v>
      </c>
      <c r="N970">
        <v>41009</v>
      </c>
      <c r="O970">
        <v>44267</v>
      </c>
      <c r="P970">
        <v>47149</v>
      </c>
      <c r="Q970">
        <v>48497</v>
      </c>
      <c r="R970">
        <v>14774</v>
      </c>
      <c r="S970">
        <v>3000</v>
      </c>
      <c r="T970">
        <v>5000</v>
      </c>
      <c r="U970">
        <v>10000</v>
      </c>
      <c r="V970">
        <v>3011</v>
      </c>
      <c r="W970">
        <v>2011</v>
      </c>
      <c r="X970">
        <v>2011</v>
      </c>
      <c r="Y970">
        <v>0</v>
      </c>
    </row>
    <row r="971" spans="1:25" x14ac:dyDescent="0.3">
      <c r="A971">
        <v>970</v>
      </c>
      <c r="B971">
        <v>180000</v>
      </c>
      <c r="C971">
        <v>2</v>
      </c>
      <c r="D971">
        <v>2</v>
      </c>
      <c r="E971">
        <v>1</v>
      </c>
      <c r="F971">
        <v>32</v>
      </c>
      <c r="G971">
        <v>0</v>
      </c>
      <c r="H971">
        <v>0</v>
      </c>
      <c r="I971">
        <v>0</v>
      </c>
      <c r="J971">
        <v>0</v>
      </c>
      <c r="K971">
        <v>-1</v>
      </c>
      <c r="L971">
        <v>-1</v>
      </c>
      <c r="M971">
        <v>74189</v>
      </c>
      <c r="N971">
        <v>30670</v>
      </c>
      <c r="O971">
        <v>6428</v>
      </c>
      <c r="P971">
        <v>4618</v>
      </c>
      <c r="Q971">
        <v>2708</v>
      </c>
      <c r="R971">
        <v>54024</v>
      </c>
      <c r="S971">
        <v>2000</v>
      </c>
      <c r="T971">
        <v>1000</v>
      </c>
      <c r="U971">
        <v>0</v>
      </c>
      <c r="V971">
        <v>2708</v>
      </c>
      <c r="W971">
        <v>54024</v>
      </c>
      <c r="X971">
        <v>2000</v>
      </c>
      <c r="Y971">
        <v>0</v>
      </c>
    </row>
    <row r="972" spans="1:25" x14ac:dyDescent="0.3">
      <c r="A972">
        <v>971</v>
      </c>
      <c r="B972">
        <v>300000</v>
      </c>
      <c r="C972">
        <v>1</v>
      </c>
      <c r="D972">
        <v>1</v>
      </c>
      <c r="E972">
        <v>1</v>
      </c>
      <c r="F972">
        <v>42</v>
      </c>
      <c r="G972">
        <v>-1</v>
      </c>
      <c r="H972">
        <v>0</v>
      </c>
      <c r="I972">
        <v>0</v>
      </c>
      <c r="J972">
        <v>-1</v>
      </c>
      <c r="K972">
        <v>0</v>
      </c>
      <c r="L972">
        <v>0</v>
      </c>
      <c r="M972">
        <v>11973</v>
      </c>
      <c r="N972">
        <v>61834</v>
      </c>
      <c r="O972">
        <v>25145</v>
      </c>
      <c r="P972">
        <v>37666</v>
      </c>
      <c r="Q972">
        <v>19453</v>
      </c>
      <c r="R972">
        <v>10492</v>
      </c>
      <c r="S972">
        <v>20979</v>
      </c>
      <c r="T972">
        <v>5000</v>
      </c>
      <c r="U972">
        <v>37676</v>
      </c>
      <c r="V972">
        <v>8808</v>
      </c>
      <c r="W972">
        <v>2000</v>
      </c>
      <c r="X972">
        <v>2709</v>
      </c>
      <c r="Y972">
        <v>1</v>
      </c>
    </row>
    <row r="973" spans="1:25" x14ac:dyDescent="0.3">
      <c r="A973">
        <v>972</v>
      </c>
      <c r="B973">
        <v>130000</v>
      </c>
      <c r="C973">
        <v>2</v>
      </c>
      <c r="D973">
        <v>2</v>
      </c>
      <c r="E973">
        <v>1</v>
      </c>
      <c r="F973">
        <v>33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133461</v>
      </c>
      <c r="N973">
        <v>133393</v>
      </c>
      <c r="O973">
        <v>132211</v>
      </c>
      <c r="P973">
        <v>101807</v>
      </c>
      <c r="Q973">
        <v>101083</v>
      </c>
      <c r="R973">
        <v>101597</v>
      </c>
      <c r="S973">
        <v>7010</v>
      </c>
      <c r="T973">
        <v>6657</v>
      </c>
      <c r="U973">
        <v>3899</v>
      </c>
      <c r="V973">
        <v>3952</v>
      </c>
      <c r="W973">
        <v>3900</v>
      </c>
      <c r="X973">
        <v>4000</v>
      </c>
      <c r="Y973">
        <v>0</v>
      </c>
    </row>
    <row r="974" spans="1:25" x14ac:dyDescent="0.3">
      <c r="A974">
        <v>973</v>
      </c>
      <c r="B974">
        <v>180000</v>
      </c>
      <c r="C974">
        <v>2</v>
      </c>
      <c r="D974">
        <v>3</v>
      </c>
      <c r="E974">
        <v>1</v>
      </c>
      <c r="F974">
        <v>39</v>
      </c>
      <c r="G974">
        <v>2</v>
      </c>
      <c r="H974">
        <v>2</v>
      </c>
      <c r="I974">
        <v>2</v>
      </c>
      <c r="J974">
        <v>2</v>
      </c>
      <c r="K974">
        <v>2</v>
      </c>
      <c r="L974">
        <v>0</v>
      </c>
      <c r="M974">
        <v>10159</v>
      </c>
      <c r="N974">
        <v>12689</v>
      </c>
      <c r="O974">
        <v>12183</v>
      </c>
      <c r="P974">
        <v>13979</v>
      </c>
      <c r="Q974">
        <v>13621</v>
      </c>
      <c r="R974">
        <v>14809</v>
      </c>
      <c r="S974">
        <v>2710</v>
      </c>
      <c r="T974">
        <v>0</v>
      </c>
      <c r="U974">
        <v>2000</v>
      </c>
      <c r="V974">
        <v>0</v>
      </c>
      <c r="W974">
        <v>2000</v>
      </c>
      <c r="X974">
        <v>2000</v>
      </c>
      <c r="Y974">
        <v>1</v>
      </c>
    </row>
    <row r="975" spans="1:25" x14ac:dyDescent="0.3">
      <c r="A975">
        <v>974</v>
      </c>
      <c r="B975">
        <v>150000</v>
      </c>
      <c r="C975">
        <v>2</v>
      </c>
      <c r="D975">
        <v>1</v>
      </c>
      <c r="E975">
        <v>3</v>
      </c>
      <c r="F975">
        <v>30</v>
      </c>
      <c r="G975">
        <v>-2</v>
      </c>
      <c r="H975">
        <v>-2</v>
      </c>
      <c r="I975">
        <v>-2</v>
      </c>
      <c r="J975">
        <v>-2</v>
      </c>
      <c r="K975">
        <v>-2</v>
      </c>
      <c r="L975">
        <v>-2</v>
      </c>
      <c r="M975">
        <v>50</v>
      </c>
      <c r="N975">
        <v>6527</v>
      </c>
      <c r="O975">
        <v>2168</v>
      </c>
      <c r="P975">
        <v>-7</v>
      </c>
      <c r="Q975">
        <v>1373</v>
      </c>
      <c r="R975">
        <v>-1</v>
      </c>
      <c r="S975">
        <v>8589</v>
      </c>
      <c r="T975">
        <v>2500</v>
      </c>
      <c r="U975">
        <v>0</v>
      </c>
      <c r="V975">
        <v>1380</v>
      </c>
      <c r="W975">
        <v>0</v>
      </c>
      <c r="X975">
        <v>2050</v>
      </c>
      <c r="Y975">
        <v>0</v>
      </c>
    </row>
    <row r="976" spans="1:25" x14ac:dyDescent="0.3">
      <c r="A976">
        <v>975</v>
      </c>
      <c r="B976">
        <v>140000</v>
      </c>
      <c r="C976">
        <v>1</v>
      </c>
      <c r="D976">
        <v>2</v>
      </c>
      <c r="E976">
        <v>1</v>
      </c>
      <c r="F976">
        <v>30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134203</v>
      </c>
      <c r="N976">
        <v>127319</v>
      </c>
      <c r="O976">
        <v>107496</v>
      </c>
      <c r="P976">
        <v>69218</v>
      </c>
      <c r="Q976">
        <v>70702</v>
      </c>
      <c r="R976">
        <v>72267</v>
      </c>
      <c r="S976">
        <v>5000</v>
      </c>
      <c r="T976">
        <v>3500</v>
      </c>
      <c r="U976">
        <v>2700</v>
      </c>
      <c r="V976">
        <v>2600</v>
      </c>
      <c r="W976">
        <v>2742</v>
      </c>
      <c r="X976">
        <v>2700</v>
      </c>
      <c r="Y976">
        <v>1</v>
      </c>
    </row>
    <row r="977" spans="1:25" x14ac:dyDescent="0.3">
      <c r="A977">
        <v>976</v>
      </c>
      <c r="B977">
        <v>50000</v>
      </c>
      <c r="C977">
        <v>2</v>
      </c>
      <c r="D977">
        <v>2</v>
      </c>
      <c r="E977">
        <v>2</v>
      </c>
      <c r="F977">
        <v>22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49609</v>
      </c>
      <c r="N977">
        <v>61162</v>
      </c>
      <c r="O977">
        <v>31485</v>
      </c>
      <c r="P977">
        <v>15281</v>
      </c>
      <c r="Q977">
        <v>18031</v>
      </c>
      <c r="R977">
        <v>18233</v>
      </c>
      <c r="S977">
        <v>2100</v>
      </c>
      <c r="T977">
        <v>2000</v>
      </c>
      <c r="U977">
        <v>4000</v>
      </c>
      <c r="V977">
        <v>3000</v>
      </c>
      <c r="W977">
        <v>1500</v>
      </c>
      <c r="X977">
        <v>1000</v>
      </c>
      <c r="Y977">
        <v>0</v>
      </c>
    </row>
    <row r="978" spans="1:25" x14ac:dyDescent="0.3">
      <c r="A978">
        <v>977</v>
      </c>
      <c r="B978">
        <v>20000</v>
      </c>
      <c r="C978">
        <v>1</v>
      </c>
      <c r="D978">
        <v>2</v>
      </c>
      <c r="E978">
        <v>2</v>
      </c>
      <c r="F978">
        <v>25</v>
      </c>
      <c r="G978">
        <v>1</v>
      </c>
      <c r="H978">
        <v>2</v>
      </c>
      <c r="I978">
        <v>2</v>
      </c>
      <c r="J978">
        <v>0</v>
      </c>
      <c r="K978">
        <v>0</v>
      </c>
      <c r="L978">
        <v>0</v>
      </c>
      <c r="M978">
        <v>6174</v>
      </c>
      <c r="N978">
        <v>7543</v>
      </c>
      <c r="O978">
        <v>7255</v>
      </c>
      <c r="P978">
        <v>3887</v>
      </c>
      <c r="Q978">
        <v>5887</v>
      </c>
      <c r="R978">
        <v>0</v>
      </c>
      <c r="S978">
        <v>2000</v>
      </c>
      <c r="T978">
        <v>28</v>
      </c>
      <c r="U978">
        <v>0</v>
      </c>
      <c r="V978">
        <v>2000</v>
      </c>
      <c r="W978">
        <v>0</v>
      </c>
      <c r="X978">
        <v>0</v>
      </c>
      <c r="Y978">
        <v>1</v>
      </c>
    </row>
    <row r="979" spans="1:25" x14ac:dyDescent="0.3">
      <c r="A979">
        <v>978</v>
      </c>
      <c r="B979">
        <v>180000</v>
      </c>
      <c r="C979">
        <v>1</v>
      </c>
      <c r="D979">
        <v>1</v>
      </c>
      <c r="E979">
        <v>2</v>
      </c>
      <c r="F979">
        <v>28</v>
      </c>
      <c r="G979">
        <v>-1</v>
      </c>
      <c r="H979">
        <v>-1</v>
      </c>
      <c r="I979">
        <v>-1</v>
      </c>
      <c r="J979">
        <v>-1</v>
      </c>
      <c r="K979">
        <v>-1</v>
      </c>
      <c r="L979">
        <v>-1</v>
      </c>
      <c r="M979">
        <v>666</v>
      </c>
      <c r="N979">
        <v>662</v>
      </c>
      <c r="O979">
        <v>-4</v>
      </c>
      <c r="P979">
        <v>55566</v>
      </c>
      <c r="Q979">
        <v>1056</v>
      </c>
      <c r="R979">
        <v>390</v>
      </c>
      <c r="S979">
        <v>662</v>
      </c>
      <c r="T979">
        <v>0</v>
      </c>
      <c r="U979">
        <v>61411</v>
      </c>
      <c r="V979">
        <v>1056</v>
      </c>
      <c r="W979">
        <v>0</v>
      </c>
      <c r="X979">
        <v>1998</v>
      </c>
      <c r="Y979">
        <v>0</v>
      </c>
    </row>
    <row r="980" spans="1:25" x14ac:dyDescent="0.3">
      <c r="A980">
        <v>979</v>
      </c>
      <c r="B980">
        <v>180000</v>
      </c>
      <c r="C980">
        <v>1</v>
      </c>
      <c r="D980">
        <v>2</v>
      </c>
      <c r="E980">
        <v>2</v>
      </c>
      <c r="F980">
        <v>26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5591</v>
      </c>
      <c r="N980">
        <v>6619</v>
      </c>
      <c r="O980">
        <v>10574</v>
      </c>
      <c r="P980">
        <v>7733</v>
      </c>
      <c r="Q980">
        <v>6794</v>
      </c>
      <c r="R980">
        <v>5487</v>
      </c>
      <c r="S980">
        <v>1126</v>
      </c>
      <c r="T980">
        <v>4081</v>
      </c>
      <c r="U980">
        <v>240</v>
      </c>
      <c r="V980">
        <v>504</v>
      </c>
      <c r="W980">
        <v>169</v>
      </c>
      <c r="X980">
        <v>62</v>
      </c>
      <c r="Y980">
        <v>1</v>
      </c>
    </row>
    <row r="981" spans="1:25" x14ac:dyDescent="0.3">
      <c r="A981">
        <v>980</v>
      </c>
      <c r="B981">
        <v>150000</v>
      </c>
      <c r="C981">
        <v>2</v>
      </c>
      <c r="D981">
        <v>3</v>
      </c>
      <c r="E981">
        <v>1</v>
      </c>
      <c r="F981">
        <v>54</v>
      </c>
      <c r="G981">
        <v>-1</v>
      </c>
      <c r="H981">
        <v>0</v>
      </c>
      <c r="I981">
        <v>0</v>
      </c>
      <c r="J981">
        <v>0</v>
      </c>
      <c r="K981">
        <v>2</v>
      </c>
      <c r="L981">
        <v>0</v>
      </c>
      <c r="M981">
        <v>148747</v>
      </c>
      <c r="N981">
        <v>145231</v>
      </c>
      <c r="O981">
        <v>145341</v>
      </c>
      <c r="P981">
        <v>153833</v>
      </c>
      <c r="Q981">
        <v>151194</v>
      </c>
      <c r="R981">
        <v>145738</v>
      </c>
      <c r="S981">
        <v>5500</v>
      </c>
      <c r="T981">
        <v>5500</v>
      </c>
      <c r="U981">
        <v>11000</v>
      </c>
      <c r="V981">
        <v>0</v>
      </c>
      <c r="W981">
        <v>6000</v>
      </c>
      <c r="X981">
        <v>5215</v>
      </c>
      <c r="Y981">
        <v>0</v>
      </c>
    </row>
    <row r="982" spans="1:25" x14ac:dyDescent="0.3">
      <c r="A982">
        <v>981</v>
      </c>
      <c r="B982">
        <v>70000</v>
      </c>
      <c r="C982">
        <v>2</v>
      </c>
      <c r="D982">
        <v>1</v>
      </c>
      <c r="E982">
        <v>2</v>
      </c>
      <c r="F982">
        <v>24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63903</v>
      </c>
      <c r="N982">
        <v>65248</v>
      </c>
      <c r="O982">
        <v>62958</v>
      </c>
      <c r="P982">
        <v>64209</v>
      </c>
      <c r="Q982">
        <v>59482</v>
      </c>
      <c r="R982">
        <v>60883</v>
      </c>
      <c r="S982">
        <v>3000</v>
      </c>
      <c r="T982">
        <v>2190</v>
      </c>
      <c r="U982">
        <v>2201</v>
      </c>
      <c r="V982">
        <v>2181</v>
      </c>
      <c r="W982">
        <v>2413</v>
      </c>
      <c r="X982">
        <v>1952</v>
      </c>
      <c r="Y982">
        <v>0</v>
      </c>
    </row>
    <row r="983" spans="1:25" x14ac:dyDescent="0.3">
      <c r="A983">
        <v>982</v>
      </c>
      <c r="B983">
        <v>30000</v>
      </c>
      <c r="C983">
        <v>1</v>
      </c>
      <c r="D983">
        <v>2</v>
      </c>
      <c r="E983">
        <v>2</v>
      </c>
      <c r="F983">
        <v>29</v>
      </c>
      <c r="G983">
        <v>8</v>
      </c>
      <c r="H983">
        <v>7</v>
      </c>
      <c r="I983">
        <v>6</v>
      </c>
      <c r="J983">
        <v>5</v>
      </c>
      <c r="K983">
        <v>4</v>
      </c>
      <c r="L983">
        <v>3</v>
      </c>
      <c r="M983">
        <v>34423</v>
      </c>
      <c r="N983">
        <v>33952</v>
      </c>
      <c r="O983">
        <v>33165</v>
      </c>
      <c r="P983">
        <v>32391</v>
      </c>
      <c r="Q983">
        <v>31332</v>
      </c>
      <c r="R983">
        <v>30558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</row>
    <row r="984" spans="1:25" x14ac:dyDescent="0.3">
      <c r="A984">
        <v>983</v>
      </c>
      <c r="B984">
        <v>500000</v>
      </c>
      <c r="C984">
        <v>1</v>
      </c>
      <c r="D984">
        <v>1</v>
      </c>
      <c r="E984">
        <v>2</v>
      </c>
      <c r="F984">
        <v>36</v>
      </c>
      <c r="G984">
        <v>-2</v>
      </c>
      <c r="H984">
        <v>-2</v>
      </c>
      <c r="I984">
        <v>-2</v>
      </c>
      <c r="J984">
        <v>-2</v>
      </c>
      <c r="K984">
        <v>-2</v>
      </c>
      <c r="L984">
        <v>-2</v>
      </c>
      <c r="M984">
        <v>45106</v>
      </c>
      <c r="N984">
        <v>81264</v>
      </c>
      <c r="O984">
        <v>18122</v>
      </c>
      <c r="P984">
        <v>27229</v>
      </c>
      <c r="Q984">
        <v>21462</v>
      </c>
      <c r="R984">
        <v>27911</v>
      </c>
      <c r="S984">
        <v>81690</v>
      </c>
      <c r="T984">
        <v>18225</v>
      </c>
      <c r="U984">
        <v>27365</v>
      </c>
      <c r="V984">
        <v>21570</v>
      </c>
      <c r="W984">
        <v>28050</v>
      </c>
      <c r="X984">
        <v>17397</v>
      </c>
      <c r="Y984">
        <v>1</v>
      </c>
    </row>
    <row r="985" spans="1:25" x14ac:dyDescent="0.3">
      <c r="A985">
        <v>984</v>
      </c>
      <c r="B985">
        <v>60000</v>
      </c>
      <c r="C985">
        <v>1</v>
      </c>
      <c r="D985">
        <v>3</v>
      </c>
      <c r="E985">
        <v>1</v>
      </c>
      <c r="F985">
        <v>49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44801</v>
      </c>
      <c r="N985">
        <v>41545</v>
      </c>
      <c r="O985">
        <v>40649</v>
      </c>
      <c r="P985">
        <v>40843</v>
      </c>
      <c r="Q985">
        <v>40612</v>
      </c>
      <c r="R985">
        <v>40656</v>
      </c>
      <c r="S985">
        <v>3000</v>
      </c>
      <c r="T985">
        <v>4506</v>
      </c>
      <c r="U985">
        <v>2500</v>
      </c>
      <c r="V985">
        <v>1800</v>
      </c>
      <c r="W985">
        <v>4200</v>
      </c>
      <c r="X985">
        <v>2500</v>
      </c>
      <c r="Y985">
        <v>0</v>
      </c>
    </row>
    <row r="986" spans="1:25" x14ac:dyDescent="0.3">
      <c r="A986">
        <v>985</v>
      </c>
      <c r="B986">
        <v>50000</v>
      </c>
      <c r="C986">
        <v>2</v>
      </c>
      <c r="D986">
        <v>1</v>
      </c>
      <c r="E986">
        <v>2</v>
      </c>
      <c r="F986">
        <v>23</v>
      </c>
      <c r="G986">
        <v>-2</v>
      </c>
      <c r="H986">
        <v>-2</v>
      </c>
      <c r="I986">
        <v>-2</v>
      </c>
      <c r="J986">
        <v>-2</v>
      </c>
      <c r="K986">
        <v>-2</v>
      </c>
      <c r="L986">
        <v>-2</v>
      </c>
      <c r="M986">
        <v>49860</v>
      </c>
      <c r="N986">
        <v>50187</v>
      </c>
      <c r="O986">
        <v>50022</v>
      </c>
      <c r="P986">
        <v>20114</v>
      </c>
      <c r="Q986">
        <v>18777</v>
      </c>
      <c r="R986">
        <v>18273</v>
      </c>
      <c r="S986">
        <v>2500</v>
      </c>
      <c r="T986">
        <v>1289</v>
      </c>
      <c r="U986">
        <v>917</v>
      </c>
      <c r="V986">
        <v>1315</v>
      </c>
      <c r="W986">
        <v>5042</v>
      </c>
      <c r="X986">
        <v>2512</v>
      </c>
      <c r="Y986">
        <v>0</v>
      </c>
    </row>
    <row r="987" spans="1:25" x14ac:dyDescent="0.3">
      <c r="A987">
        <v>986</v>
      </c>
      <c r="B987">
        <v>130000</v>
      </c>
      <c r="C987">
        <v>1</v>
      </c>
      <c r="D987">
        <v>3</v>
      </c>
      <c r="E987">
        <v>2</v>
      </c>
      <c r="F987">
        <v>43</v>
      </c>
      <c r="G987">
        <v>1</v>
      </c>
      <c r="H987">
        <v>-1</v>
      </c>
      <c r="I987">
        <v>-1</v>
      </c>
      <c r="J987">
        <v>-2</v>
      </c>
      <c r="K987">
        <v>-1</v>
      </c>
      <c r="L987">
        <v>-1</v>
      </c>
      <c r="M987">
        <v>1018</v>
      </c>
      <c r="N987">
        <v>6377</v>
      </c>
      <c r="O987">
        <v>-2</v>
      </c>
      <c r="P987">
        <v>935</v>
      </c>
      <c r="Q987">
        <v>4985</v>
      </c>
      <c r="R987">
        <v>1212</v>
      </c>
      <c r="S987">
        <v>6433</v>
      </c>
      <c r="T987">
        <v>2</v>
      </c>
      <c r="U987">
        <v>937</v>
      </c>
      <c r="V987">
        <v>4990</v>
      </c>
      <c r="W987">
        <v>1215</v>
      </c>
      <c r="X987">
        <v>9546</v>
      </c>
      <c r="Y987">
        <v>1</v>
      </c>
    </row>
    <row r="988" spans="1:25" x14ac:dyDescent="0.3">
      <c r="A988">
        <v>987</v>
      </c>
      <c r="B988">
        <v>260000</v>
      </c>
      <c r="C988">
        <v>2</v>
      </c>
      <c r="D988">
        <v>2</v>
      </c>
      <c r="E988">
        <v>1</v>
      </c>
      <c r="F988">
        <v>33</v>
      </c>
      <c r="G988">
        <v>-2</v>
      </c>
      <c r="H988">
        <v>-2</v>
      </c>
      <c r="I988">
        <v>-2</v>
      </c>
      <c r="J988">
        <v>-1</v>
      </c>
      <c r="K988">
        <v>-1</v>
      </c>
      <c r="L988">
        <v>0</v>
      </c>
      <c r="M988">
        <v>134736</v>
      </c>
      <c r="N988">
        <v>135593</v>
      </c>
      <c r="O988">
        <v>120909</v>
      </c>
      <c r="P988">
        <v>102524</v>
      </c>
      <c r="Q988">
        <v>40157</v>
      </c>
      <c r="R988">
        <v>40805</v>
      </c>
      <c r="S988">
        <v>6067</v>
      </c>
      <c r="T988">
        <v>10000</v>
      </c>
      <c r="U988">
        <v>3000</v>
      </c>
      <c r="V988">
        <v>40157</v>
      </c>
      <c r="W988">
        <v>1466</v>
      </c>
      <c r="X988">
        <v>2000</v>
      </c>
      <c r="Y988">
        <v>0</v>
      </c>
    </row>
    <row r="989" spans="1:25" x14ac:dyDescent="0.3">
      <c r="A989">
        <v>988</v>
      </c>
      <c r="B989">
        <v>380000</v>
      </c>
      <c r="C989">
        <v>1</v>
      </c>
      <c r="D989">
        <v>3</v>
      </c>
      <c r="E989">
        <v>1</v>
      </c>
      <c r="F989">
        <v>53</v>
      </c>
      <c r="G989">
        <v>-2</v>
      </c>
      <c r="H989">
        <v>-2</v>
      </c>
      <c r="I989">
        <v>-2</v>
      </c>
      <c r="J989">
        <v>-2</v>
      </c>
      <c r="K989">
        <v>-2</v>
      </c>
      <c r="L989">
        <v>-2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</row>
    <row r="990" spans="1:25" x14ac:dyDescent="0.3">
      <c r="A990">
        <v>989</v>
      </c>
      <c r="B990">
        <v>360000</v>
      </c>
      <c r="C990">
        <v>2</v>
      </c>
      <c r="D990">
        <v>2</v>
      </c>
      <c r="E990">
        <v>2</v>
      </c>
      <c r="F990">
        <v>25</v>
      </c>
      <c r="G990">
        <v>2</v>
      </c>
      <c r="H990">
        <v>2</v>
      </c>
      <c r="I990">
        <v>2</v>
      </c>
      <c r="J990">
        <v>2</v>
      </c>
      <c r="K990">
        <v>2</v>
      </c>
      <c r="L990">
        <v>2</v>
      </c>
      <c r="M990">
        <v>286732</v>
      </c>
      <c r="N990">
        <v>290690</v>
      </c>
      <c r="O990">
        <v>284059</v>
      </c>
      <c r="P990">
        <v>294308</v>
      </c>
      <c r="Q990">
        <v>297916</v>
      </c>
      <c r="R990">
        <v>279503</v>
      </c>
      <c r="S990">
        <v>10792</v>
      </c>
      <c r="T990">
        <v>0</v>
      </c>
      <c r="U990">
        <v>15000</v>
      </c>
      <c r="V990">
        <v>5800</v>
      </c>
      <c r="W990">
        <v>0</v>
      </c>
      <c r="X990">
        <v>126685</v>
      </c>
      <c r="Y990">
        <v>0</v>
      </c>
    </row>
    <row r="991" spans="1:25" x14ac:dyDescent="0.3">
      <c r="A991">
        <v>990</v>
      </c>
      <c r="B991">
        <v>50000</v>
      </c>
      <c r="C991">
        <v>1</v>
      </c>
      <c r="D991">
        <v>3</v>
      </c>
      <c r="E991">
        <v>1</v>
      </c>
      <c r="F991">
        <v>54</v>
      </c>
      <c r="G991">
        <v>1</v>
      </c>
      <c r="H991">
        <v>2</v>
      </c>
      <c r="I991">
        <v>2</v>
      </c>
      <c r="J991">
        <v>0</v>
      </c>
      <c r="K991">
        <v>0</v>
      </c>
      <c r="L991">
        <v>0</v>
      </c>
      <c r="M991">
        <v>62847</v>
      </c>
      <c r="N991">
        <v>60885</v>
      </c>
      <c r="O991">
        <v>56828</v>
      </c>
      <c r="P991">
        <v>55419</v>
      </c>
      <c r="Q991">
        <v>54054</v>
      </c>
      <c r="R991">
        <v>53143</v>
      </c>
      <c r="S991">
        <v>2100</v>
      </c>
      <c r="T991">
        <v>0</v>
      </c>
      <c r="U991">
        <v>2000</v>
      </c>
      <c r="V991">
        <v>2000</v>
      </c>
      <c r="W991">
        <v>2455</v>
      </c>
      <c r="X991">
        <v>4000</v>
      </c>
      <c r="Y991">
        <v>0</v>
      </c>
    </row>
    <row r="992" spans="1:25" x14ac:dyDescent="0.3">
      <c r="A992">
        <v>991</v>
      </c>
      <c r="B992">
        <v>50000</v>
      </c>
      <c r="C992">
        <v>2</v>
      </c>
      <c r="D992">
        <v>3</v>
      </c>
      <c r="E992">
        <v>1</v>
      </c>
      <c r="F992">
        <v>39</v>
      </c>
      <c r="G992">
        <v>0</v>
      </c>
      <c r="H992">
        <v>0</v>
      </c>
      <c r="I992">
        <v>2</v>
      </c>
      <c r="J992">
        <v>-1</v>
      </c>
      <c r="K992">
        <v>0</v>
      </c>
      <c r="L992">
        <v>0</v>
      </c>
      <c r="M992">
        <v>58300</v>
      </c>
      <c r="N992">
        <v>59727</v>
      </c>
      <c r="O992">
        <v>142</v>
      </c>
      <c r="P992">
        <v>29886</v>
      </c>
      <c r="Q992">
        <v>30510</v>
      </c>
      <c r="R992">
        <v>31276</v>
      </c>
      <c r="S992">
        <v>7876</v>
      </c>
      <c r="T992">
        <v>161</v>
      </c>
      <c r="U992">
        <v>74354</v>
      </c>
      <c r="V992">
        <v>927</v>
      </c>
      <c r="W992">
        <v>1089</v>
      </c>
      <c r="X992">
        <v>9100</v>
      </c>
      <c r="Y992">
        <v>0</v>
      </c>
    </row>
    <row r="993" spans="1:25" x14ac:dyDescent="0.3">
      <c r="A993">
        <v>992</v>
      </c>
      <c r="B993">
        <v>260000</v>
      </c>
      <c r="C993">
        <v>2</v>
      </c>
      <c r="D993">
        <v>1</v>
      </c>
      <c r="E993">
        <v>1</v>
      </c>
      <c r="F993">
        <v>44</v>
      </c>
      <c r="G993">
        <v>-1</v>
      </c>
      <c r="H993">
        <v>2</v>
      </c>
      <c r="I993">
        <v>2</v>
      </c>
      <c r="J993">
        <v>-1</v>
      </c>
      <c r="K993">
        <v>-1</v>
      </c>
      <c r="L993">
        <v>-2</v>
      </c>
      <c r="M993">
        <v>1215</v>
      </c>
      <c r="N993">
        <v>856</v>
      </c>
      <c r="O993">
        <v>291</v>
      </c>
      <c r="P993">
        <v>803</v>
      </c>
      <c r="Q993">
        <v>98</v>
      </c>
      <c r="R993">
        <v>431</v>
      </c>
      <c r="S993">
        <v>0</v>
      </c>
      <c r="T993">
        <v>291</v>
      </c>
      <c r="U993">
        <v>803</v>
      </c>
      <c r="V993">
        <v>98</v>
      </c>
      <c r="W993">
        <v>431</v>
      </c>
      <c r="X993">
        <v>1104</v>
      </c>
      <c r="Y993">
        <v>1</v>
      </c>
    </row>
    <row r="994" spans="1:25" x14ac:dyDescent="0.3">
      <c r="A994">
        <v>993</v>
      </c>
      <c r="B994">
        <v>80000</v>
      </c>
      <c r="C994">
        <v>2</v>
      </c>
      <c r="D994">
        <v>2</v>
      </c>
      <c r="E994">
        <v>2</v>
      </c>
      <c r="F994">
        <v>27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57376</v>
      </c>
      <c r="N994">
        <v>58649</v>
      </c>
      <c r="O994">
        <v>59873</v>
      </c>
      <c r="P994">
        <v>61077</v>
      </c>
      <c r="Q994">
        <v>62394</v>
      </c>
      <c r="R994">
        <v>63655</v>
      </c>
      <c r="S994">
        <v>2200</v>
      </c>
      <c r="T994">
        <v>2200</v>
      </c>
      <c r="U994">
        <v>2200</v>
      </c>
      <c r="V994">
        <v>2300</v>
      </c>
      <c r="W994">
        <v>2300</v>
      </c>
      <c r="X994">
        <v>2600</v>
      </c>
      <c r="Y994">
        <v>0</v>
      </c>
    </row>
    <row r="995" spans="1:25" x14ac:dyDescent="0.3">
      <c r="A995">
        <v>994</v>
      </c>
      <c r="B995">
        <v>360000</v>
      </c>
      <c r="C995">
        <v>2</v>
      </c>
      <c r="D995">
        <v>1</v>
      </c>
      <c r="E995">
        <v>2</v>
      </c>
      <c r="F995">
        <v>25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-2</v>
      </c>
      <c r="M995">
        <v>279846</v>
      </c>
      <c r="N995">
        <v>169426</v>
      </c>
      <c r="O995">
        <v>68810</v>
      </c>
      <c r="P995">
        <v>12800</v>
      </c>
      <c r="Q995">
        <v>0</v>
      </c>
      <c r="R995">
        <v>0</v>
      </c>
      <c r="S995">
        <v>7004</v>
      </c>
      <c r="T995">
        <v>1793</v>
      </c>
      <c r="U995">
        <v>2757</v>
      </c>
      <c r="V995">
        <v>0</v>
      </c>
      <c r="W995">
        <v>0</v>
      </c>
      <c r="X995">
        <v>0</v>
      </c>
      <c r="Y995">
        <v>1</v>
      </c>
    </row>
    <row r="996" spans="1:25" x14ac:dyDescent="0.3">
      <c r="A996">
        <v>995</v>
      </c>
      <c r="B996">
        <v>290000</v>
      </c>
      <c r="C996">
        <v>2</v>
      </c>
      <c r="D996">
        <v>1</v>
      </c>
      <c r="E996">
        <v>2</v>
      </c>
      <c r="F996">
        <v>29</v>
      </c>
      <c r="G996">
        <v>1</v>
      </c>
      <c r="H996">
        <v>-2</v>
      </c>
      <c r="I996">
        <v>-2</v>
      </c>
      <c r="J996">
        <v>-2</v>
      </c>
      <c r="K996">
        <v>-2</v>
      </c>
      <c r="L996">
        <v>-2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</row>
    <row r="997" spans="1:25" x14ac:dyDescent="0.3">
      <c r="A997">
        <v>996</v>
      </c>
      <c r="B997">
        <v>200000</v>
      </c>
      <c r="C997">
        <v>1</v>
      </c>
      <c r="D997">
        <v>1</v>
      </c>
      <c r="E997">
        <v>2</v>
      </c>
      <c r="F997">
        <v>39</v>
      </c>
      <c r="G997">
        <v>-2</v>
      </c>
      <c r="H997">
        <v>-2</v>
      </c>
      <c r="I997">
        <v>-2</v>
      </c>
      <c r="J997">
        <v>-2</v>
      </c>
      <c r="K997">
        <v>-2</v>
      </c>
      <c r="L997">
        <v>-2</v>
      </c>
      <c r="M997">
        <v>-200</v>
      </c>
      <c r="N997">
        <v>-200</v>
      </c>
      <c r="O997">
        <v>-200</v>
      </c>
      <c r="P997">
        <v>0</v>
      </c>
      <c r="Q997">
        <v>60800</v>
      </c>
      <c r="R997">
        <v>0</v>
      </c>
      <c r="S997">
        <v>0</v>
      </c>
      <c r="T997">
        <v>0</v>
      </c>
      <c r="U997">
        <v>200</v>
      </c>
      <c r="V997">
        <v>60800</v>
      </c>
      <c r="W997">
        <v>0</v>
      </c>
      <c r="X997">
        <v>0</v>
      </c>
      <c r="Y997">
        <v>0</v>
      </c>
    </row>
    <row r="998" spans="1:25" x14ac:dyDescent="0.3">
      <c r="A998">
        <v>997</v>
      </c>
      <c r="B998">
        <v>140000</v>
      </c>
      <c r="C998">
        <v>1</v>
      </c>
      <c r="D998">
        <v>1</v>
      </c>
      <c r="E998">
        <v>1</v>
      </c>
      <c r="F998">
        <v>45</v>
      </c>
      <c r="G998">
        <v>0</v>
      </c>
      <c r="H998">
        <v>0</v>
      </c>
      <c r="I998">
        <v>0</v>
      </c>
      <c r="J998">
        <v>0</v>
      </c>
      <c r="K998">
        <v>2</v>
      </c>
      <c r="L998">
        <v>2</v>
      </c>
      <c r="M998">
        <v>39716</v>
      </c>
      <c r="N998">
        <v>40799</v>
      </c>
      <c r="O998">
        <v>41853</v>
      </c>
      <c r="P998">
        <v>44452</v>
      </c>
      <c r="Q998">
        <v>45433</v>
      </c>
      <c r="R998">
        <v>46383</v>
      </c>
      <c r="S998">
        <v>1600</v>
      </c>
      <c r="T998">
        <v>1600</v>
      </c>
      <c r="U998">
        <v>3169</v>
      </c>
      <c r="V998">
        <v>1700</v>
      </c>
      <c r="W998">
        <v>1700</v>
      </c>
      <c r="X998">
        <v>1495</v>
      </c>
      <c r="Y998">
        <v>0</v>
      </c>
    </row>
    <row r="999" spans="1:25" x14ac:dyDescent="0.3">
      <c r="A999">
        <v>998</v>
      </c>
      <c r="B999">
        <v>360000</v>
      </c>
      <c r="C999">
        <v>1</v>
      </c>
      <c r="D999">
        <v>1</v>
      </c>
      <c r="E999">
        <v>1</v>
      </c>
      <c r="F999">
        <v>38</v>
      </c>
      <c r="G999">
        <v>1</v>
      </c>
      <c r="H999">
        <v>-2</v>
      </c>
      <c r="I999">
        <v>-2</v>
      </c>
      <c r="J999">
        <v>-2</v>
      </c>
      <c r="K999">
        <v>-2</v>
      </c>
      <c r="L999">
        <v>-2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</row>
    <row r="1000" spans="1:25" x14ac:dyDescent="0.3">
      <c r="A1000">
        <v>999</v>
      </c>
      <c r="B1000">
        <v>50000</v>
      </c>
      <c r="C1000">
        <v>2</v>
      </c>
      <c r="D1000">
        <v>2</v>
      </c>
      <c r="E1000">
        <v>2</v>
      </c>
      <c r="F1000">
        <v>23</v>
      </c>
      <c r="G1000">
        <v>-1</v>
      </c>
      <c r="H1000">
        <v>-1</v>
      </c>
      <c r="I1000">
        <v>-1</v>
      </c>
      <c r="J1000">
        <v>0</v>
      </c>
      <c r="K1000">
        <v>-1</v>
      </c>
      <c r="L1000">
        <v>-1</v>
      </c>
      <c r="M1000">
        <v>780</v>
      </c>
      <c r="N1000">
        <v>0</v>
      </c>
      <c r="O1000">
        <v>780</v>
      </c>
      <c r="P1000">
        <v>390</v>
      </c>
      <c r="Q1000">
        <v>390</v>
      </c>
      <c r="R1000">
        <v>500</v>
      </c>
      <c r="S1000">
        <v>0</v>
      </c>
      <c r="T1000">
        <v>780</v>
      </c>
      <c r="U1000">
        <v>0</v>
      </c>
      <c r="V1000">
        <v>390</v>
      </c>
      <c r="W1000">
        <v>500</v>
      </c>
      <c r="X1000">
        <v>18300</v>
      </c>
      <c r="Y1000">
        <v>1</v>
      </c>
    </row>
    <row r="1001" spans="1:25" x14ac:dyDescent="0.3">
      <c r="A1001">
        <v>1000</v>
      </c>
      <c r="B1001">
        <v>120000</v>
      </c>
      <c r="C1001">
        <v>1</v>
      </c>
      <c r="D1001">
        <v>2</v>
      </c>
      <c r="E1001">
        <v>2</v>
      </c>
      <c r="F1001">
        <v>25</v>
      </c>
      <c r="G1001">
        <v>2</v>
      </c>
      <c r="H1001">
        <v>2</v>
      </c>
      <c r="I1001">
        <v>0</v>
      </c>
      <c r="J1001">
        <v>0</v>
      </c>
      <c r="K1001">
        <v>0</v>
      </c>
      <c r="L1001">
        <v>0</v>
      </c>
      <c r="M1001">
        <v>113348</v>
      </c>
      <c r="N1001">
        <v>110119</v>
      </c>
      <c r="O1001">
        <v>111700</v>
      </c>
      <c r="P1001">
        <v>83858</v>
      </c>
      <c r="Q1001">
        <v>86434</v>
      </c>
      <c r="R1001">
        <v>88802</v>
      </c>
      <c r="S1001">
        <v>0</v>
      </c>
      <c r="T1001">
        <v>5000</v>
      </c>
      <c r="U1001">
        <v>3158</v>
      </c>
      <c r="V1001">
        <v>3934</v>
      </c>
      <c r="W1001">
        <v>3802</v>
      </c>
      <c r="X1001">
        <v>2000</v>
      </c>
      <c r="Y1001">
        <v>0</v>
      </c>
    </row>
    <row r="1002" spans="1:25" x14ac:dyDescent="0.3">
      <c r="A1002">
        <v>1001</v>
      </c>
      <c r="B1002">
        <v>100000</v>
      </c>
      <c r="C1002">
        <v>1</v>
      </c>
      <c r="D1002">
        <v>2</v>
      </c>
      <c r="E1002">
        <v>1</v>
      </c>
      <c r="F1002">
        <v>29</v>
      </c>
      <c r="G1002">
        <v>0</v>
      </c>
      <c r="H1002">
        <v>0</v>
      </c>
      <c r="I1002">
        <v>0</v>
      </c>
      <c r="J1002">
        <v>0</v>
      </c>
      <c r="K1002">
        <v>-1</v>
      </c>
      <c r="L1002">
        <v>-1</v>
      </c>
      <c r="M1002">
        <v>94453</v>
      </c>
      <c r="N1002">
        <v>95860</v>
      </c>
      <c r="O1002">
        <v>67782</v>
      </c>
      <c r="P1002">
        <v>-2618</v>
      </c>
      <c r="Q1002">
        <v>95748</v>
      </c>
      <c r="R1002">
        <v>101299</v>
      </c>
      <c r="S1002">
        <v>3320</v>
      </c>
      <c r="T1002">
        <v>5000</v>
      </c>
      <c r="U1002">
        <v>0</v>
      </c>
      <c r="V1002">
        <v>100000</v>
      </c>
      <c r="W1002">
        <v>7186</v>
      </c>
      <c r="X1002">
        <v>0</v>
      </c>
      <c r="Y1002">
        <v>0</v>
      </c>
    </row>
    <row r="1003" spans="1:25" x14ac:dyDescent="0.3">
      <c r="A1003">
        <v>1002</v>
      </c>
      <c r="B1003">
        <v>200000</v>
      </c>
      <c r="C1003">
        <v>2</v>
      </c>
      <c r="D1003">
        <v>2</v>
      </c>
      <c r="E1003">
        <v>1</v>
      </c>
      <c r="F1003">
        <v>28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81865</v>
      </c>
      <c r="N1003">
        <v>86790</v>
      </c>
      <c r="O1003">
        <v>8441</v>
      </c>
      <c r="P1003">
        <v>97041</v>
      </c>
      <c r="Q1003">
        <v>103541</v>
      </c>
      <c r="R1003">
        <v>3632</v>
      </c>
      <c r="S1003">
        <v>5000</v>
      </c>
      <c r="T1003">
        <v>2000</v>
      </c>
      <c r="U1003">
        <v>89000</v>
      </c>
      <c r="V1003">
        <v>6500</v>
      </c>
      <c r="W1003">
        <v>91</v>
      </c>
      <c r="X1003">
        <v>1504</v>
      </c>
      <c r="Y1003">
        <v>0</v>
      </c>
    </row>
    <row r="1004" spans="1:25" x14ac:dyDescent="0.3">
      <c r="A1004">
        <v>1003</v>
      </c>
      <c r="B1004">
        <v>90000</v>
      </c>
      <c r="C1004">
        <v>2</v>
      </c>
      <c r="D1004">
        <v>2</v>
      </c>
      <c r="E1004">
        <v>1</v>
      </c>
      <c r="F1004">
        <v>40</v>
      </c>
      <c r="G1004">
        <v>-1</v>
      </c>
      <c r="H1004">
        <v>-1</v>
      </c>
      <c r="I1004">
        <v>-1</v>
      </c>
      <c r="J1004">
        <v>-1</v>
      </c>
      <c r="K1004">
        <v>-1</v>
      </c>
      <c r="L1004">
        <v>-1</v>
      </c>
      <c r="M1004">
        <v>4989</v>
      </c>
      <c r="N1004">
        <v>-818</v>
      </c>
      <c r="O1004">
        <v>1114</v>
      </c>
      <c r="P1004">
        <v>657</v>
      </c>
      <c r="Q1004">
        <v>1332</v>
      </c>
      <c r="R1004">
        <v>780</v>
      </c>
      <c r="S1004">
        <v>0</v>
      </c>
      <c r="T1004">
        <v>2806</v>
      </c>
      <c r="U1004">
        <v>2256</v>
      </c>
      <c r="V1004">
        <v>2274</v>
      </c>
      <c r="W1004">
        <v>780</v>
      </c>
      <c r="X1004">
        <v>0</v>
      </c>
      <c r="Y1004">
        <v>0</v>
      </c>
    </row>
    <row r="1005" spans="1:25" x14ac:dyDescent="0.3">
      <c r="A1005">
        <v>1004</v>
      </c>
      <c r="B1005">
        <v>360000</v>
      </c>
      <c r="C1005">
        <v>1</v>
      </c>
      <c r="D1005">
        <v>1</v>
      </c>
      <c r="E1005">
        <v>2</v>
      </c>
      <c r="F1005">
        <v>36</v>
      </c>
      <c r="G1005">
        <v>1</v>
      </c>
      <c r="H1005">
        <v>-2</v>
      </c>
      <c r="I1005">
        <v>-2</v>
      </c>
      <c r="J1005">
        <v>-2</v>
      </c>
      <c r="K1005">
        <v>-2</v>
      </c>
      <c r="L1005">
        <v>-2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</row>
    <row r="1006" spans="1:25" x14ac:dyDescent="0.3">
      <c r="A1006">
        <v>1005</v>
      </c>
      <c r="B1006">
        <v>150000</v>
      </c>
      <c r="C1006">
        <v>2</v>
      </c>
      <c r="D1006">
        <v>3</v>
      </c>
      <c r="E1006">
        <v>2</v>
      </c>
      <c r="F1006">
        <v>30</v>
      </c>
      <c r="G1006">
        <v>-2</v>
      </c>
      <c r="H1006">
        <v>-2</v>
      </c>
      <c r="I1006">
        <v>-2</v>
      </c>
      <c r="J1006">
        <v>-2</v>
      </c>
      <c r="K1006">
        <v>-2</v>
      </c>
      <c r="L1006">
        <v>-2</v>
      </c>
      <c r="M1006">
        <v>456</v>
      </c>
      <c r="N1006">
        <v>9664</v>
      </c>
      <c r="O1006">
        <v>3420</v>
      </c>
      <c r="P1006">
        <v>2527</v>
      </c>
      <c r="Q1006">
        <v>0</v>
      </c>
      <c r="R1006">
        <v>0</v>
      </c>
      <c r="S1006">
        <v>9664</v>
      </c>
      <c r="T1006">
        <v>3420</v>
      </c>
      <c r="U1006">
        <v>2612</v>
      </c>
      <c r="V1006">
        <v>0</v>
      </c>
      <c r="W1006">
        <v>0</v>
      </c>
      <c r="X1006">
        <v>0</v>
      </c>
      <c r="Y1006">
        <v>1</v>
      </c>
    </row>
    <row r="1007" spans="1:25" x14ac:dyDescent="0.3">
      <c r="A1007">
        <v>1006</v>
      </c>
      <c r="B1007">
        <v>140000</v>
      </c>
      <c r="C1007">
        <v>1</v>
      </c>
      <c r="D1007">
        <v>1</v>
      </c>
      <c r="E1007">
        <v>2</v>
      </c>
      <c r="F1007">
        <v>29</v>
      </c>
      <c r="G1007">
        <v>-1</v>
      </c>
      <c r="H1007">
        <v>-1</v>
      </c>
      <c r="I1007">
        <v>-1</v>
      </c>
      <c r="J1007">
        <v>-1</v>
      </c>
      <c r="K1007">
        <v>-1</v>
      </c>
      <c r="L1007">
        <v>-1</v>
      </c>
      <c r="M1007">
        <v>2937</v>
      </c>
      <c r="N1007">
        <v>5150</v>
      </c>
      <c r="O1007">
        <v>1514</v>
      </c>
      <c r="P1007">
        <v>2573</v>
      </c>
      <c r="Q1007">
        <v>495</v>
      </c>
      <c r="R1007">
        <v>1744</v>
      </c>
      <c r="S1007">
        <v>2024</v>
      </c>
      <c r="T1007">
        <v>1522</v>
      </c>
      <c r="U1007">
        <v>2580</v>
      </c>
      <c r="V1007">
        <v>496</v>
      </c>
      <c r="W1007">
        <v>1749</v>
      </c>
      <c r="X1007">
        <v>2265</v>
      </c>
      <c r="Y1007">
        <v>0</v>
      </c>
    </row>
    <row r="1008" spans="1:25" x14ac:dyDescent="0.3">
      <c r="A1008">
        <v>1007</v>
      </c>
      <c r="B1008">
        <v>200000</v>
      </c>
      <c r="C1008">
        <v>2</v>
      </c>
      <c r="D1008">
        <v>2</v>
      </c>
      <c r="E1008">
        <v>2</v>
      </c>
      <c r="F1008">
        <v>36</v>
      </c>
      <c r="G1008">
        <v>-1</v>
      </c>
      <c r="H1008">
        <v>-1</v>
      </c>
      <c r="I1008">
        <v>-1</v>
      </c>
      <c r="J1008">
        <v>-2</v>
      </c>
      <c r="K1008">
        <v>-2</v>
      </c>
      <c r="L1008">
        <v>-1</v>
      </c>
      <c r="M1008">
        <v>1371</v>
      </c>
      <c r="N1008">
        <v>4068</v>
      </c>
      <c r="O1008">
        <v>0</v>
      </c>
      <c r="P1008">
        <v>0</v>
      </c>
      <c r="Q1008">
        <v>0</v>
      </c>
      <c r="R1008">
        <v>980</v>
      </c>
      <c r="S1008">
        <v>4077</v>
      </c>
      <c r="T1008">
        <v>0</v>
      </c>
      <c r="U1008">
        <v>0</v>
      </c>
      <c r="V1008">
        <v>0</v>
      </c>
      <c r="W1008">
        <v>980</v>
      </c>
      <c r="X1008">
        <v>0</v>
      </c>
      <c r="Y1008">
        <v>0</v>
      </c>
    </row>
    <row r="1009" spans="1:25" x14ac:dyDescent="0.3">
      <c r="A1009">
        <v>1008</v>
      </c>
      <c r="B1009">
        <v>170000</v>
      </c>
      <c r="C1009">
        <v>2</v>
      </c>
      <c r="D1009">
        <v>2</v>
      </c>
      <c r="E1009">
        <v>1</v>
      </c>
      <c r="F1009">
        <v>37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166246</v>
      </c>
      <c r="N1009">
        <v>169163</v>
      </c>
      <c r="O1009">
        <v>136604</v>
      </c>
      <c r="P1009">
        <v>136607</v>
      </c>
      <c r="Q1009">
        <v>133199</v>
      </c>
      <c r="R1009">
        <v>135242</v>
      </c>
      <c r="S1009">
        <v>6700</v>
      </c>
      <c r="T1009">
        <v>6800</v>
      </c>
      <c r="U1009">
        <v>4700</v>
      </c>
      <c r="V1009">
        <v>4700</v>
      </c>
      <c r="W1009">
        <v>5500</v>
      </c>
      <c r="X1009">
        <v>5000</v>
      </c>
      <c r="Y1009">
        <v>0</v>
      </c>
    </row>
    <row r="1010" spans="1:25" x14ac:dyDescent="0.3">
      <c r="A1010">
        <v>1009</v>
      </c>
      <c r="B1010">
        <v>30000</v>
      </c>
      <c r="C1010">
        <v>1</v>
      </c>
      <c r="D1010">
        <v>2</v>
      </c>
      <c r="E1010">
        <v>2</v>
      </c>
      <c r="F1010">
        <v>34</v>
      </c>
      <c r="G1010">
        <v>0</v>
      </c>
      <c r="H1010">
        <v>0</v>
      </c>
      <c r="I1010">
        <v>4</v>
      </c>
      <c r="J1010">
        <v>3</v>
      </c>
      <c r="K1010">
        <v>2</v>
      </c>
      <c r="L1010">
        <v>0</v>
      </c>
      <c r="M1010">
        <v>19785</v>
      </c>
      <c r="N1010">
        <v>24633</v>
      </c>
      <c r="O1010">
        <v>23961</v>
      </c>
      <c r="P1010">
        <v>23289</v>
      </c>
      <c r="Q1010">
        <v>22779</v>
      </c>
      <c r="R1010">
        <v>51224</v>
      </c>
      <c r="S1010">
        <v>5500</v>
      </c>
      <c r="T1010">
        <v>0</v>
      </c>
      <c r="U1010">
        <v>0</v>
      </c>
      <c r="V1010">
        <v>0</v>
      </c>
      <c r="W1010">
        <v>3400</v>
      </c>
      <c r="X1010">
        <v>512</v>
      </c>
      <c r="Y1010">
        <v>0</v>
      </c>
    </row>
    <row r="1011" spans="1:25" x14ac:dyDescent="0.3">
      <c r="A1011">
        <v>1010</v>
      </c>
      <c r="B1011">
        <v>80000</v>
      </c>
      <c r="C1011">
        <v>2</v>
      </c>
      <c r="D1011">
        <v>1</v>
      </c>
      <c r="E1011">
        <v>2</v>
      </c>
      <c r="F1011">
        <v>27</v>
      </c>
      <c r="G1011">
        <v>0</v>
      </c>
      <c r="H1011">
        <v>0</v>
      </c>
      <c r="I1011">
        <v>-2</v>
      </c>
      <c r="J1011">
        <v>-2</v>
      </c>
      <c r="K1011">
        <v>-2</v>
      </c>
      <c r="L1011">
        <v>-2</v>
      </c>
      <c r="M1011">
        <v>80000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</row>
    <row r="1012" spans="1:25" x14ac:dyDescent="0.3">
      <c r="A1012">
        <v>1011</v>
      </c>
      <c r="B1012">
        <v>280000</v>
      </c>
      <c r="C1012">
        <v>1</v>
      </c>
      <c r="D1012">
        <v>1</v>
      </c>
      <c r="E1012">
        <v>2</v>
      </c>
      <c r="F1012">
        <v>31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2</v>
      </c>
      <c r="M1012">
        <v>164736</v>
      </c>
      <c r="N1012">
        <v>170564</v>
      </c>
      <c r="O1012">
        <v>150666</v>
      </c>
      <c r="P1012">
        <v>133465</v>
      </c>
      <c r="Q1012">
        <v>133536</v>
      </c>
      <c r="R1012">
        <v>132964</v>
      </c>
      <c r="S1012">
        <v>8833</v>
      </c>
      <c r="T1012">
        <v>12005</v>
      </c>
      <c r="U1012">
        <v>5000</v>
      </c>
      <c r="V1012">
        <v>8000</v>
      </c>
      <c r="W1012">
        <v>3000</v>
      </c>
      <c r="X1012">
        <v>5000</v>
      </c>
      <c r="Y1012">
        <v>0</v>
      </c>
    </row>
    <row r="1013" spans="1:25" x14ac:dyDescent="0.3">
      <c r="A1013">
        <v>1012</v>
      </c>
      <c r="B1013">
        <v>410000</v>
      </c>
      <c r="C1013">
        <v>2</v>
      </c>
      <c r="D1013">
        <v>1</v>
      </c>
      <c r="E1013">
        <v>1</v>
      </c>
      <c r="F1013">
        <v>31</v>
      </c>
      <c r="G1013">
        <v>-1</v>
      </c>
      <c r="H1013">
        <v>-1</v>
      </c>
      <c r="I1013">
        <v>2</v>
      </c>
      <c r="J1013">
        <v>2</v>
      </c>
      <c r="K1013">
        <v>-2</v>
      </c>
      <c r="L1013">
        <v>-2</v>
      </c>
      <c r="M1013">
        <v>2744</v>
      </c>
      <c r="N1013">
        <v>2041</v>
      </c>
      <c r="O1013">
        <v>630</v>
      </c>
      <c r="P1013">
        <v>-736</v>
      </c>
      <c r="Q1013">
        <v>-1591</v>
      </c>
      <c r="R1013">
        <v>-2303</v>
      </c>
      <c r="S1013">
        <v>2051</v>
      </c>
      <c r="T1013">
        <v>5</v>
      </c>
      <c r="U1013">
        <v>266</v>
      </c>
      <c r="V1013">
        <v>266</v>
      </c>
      <c r="W1013">
        <v>253</v>
      </c>
      <c r="X1013">
        <v>6384</v>
      </c>
      <c r="Y1013">
        <v>0</v>
      </c>
    </row>
    <row r="1014" spans="1:25" x14ac:dyDescent="0.3">
      <c r="A1014">
        <v>1013</v>
      </c>
      <c r="B1014">
        <v>450000</v>
      </c>
      <c r="C1014">
        <v>1</v>
      </c>
      <c r="D1014">
        <v>1</v>
      </c>
      <c r="E1014">
        <v>2</v>
      </c>
      <c r="F1014">
        <v>38</v>
      </c>
      <c r="G1014">
        <v>-1</v>
      </c>
      <c r="H1014">
        <v>0</v>
      </c>
      <c r="I1014">
        <v>-1</v>
      </c>
      <c r="J1014">
        <v>-1</v>
      </c>
      <c r="K1014">
        <v>-1</v>
      </c>
      <c r="L1014">
        <v>-1</v>
      </c>
      <c r="M1014">
        <v>29747</v>
      </c>
      <c r="N1014">
        <v>53311</v>
      </c>
      <c r="O1014">
        <v>10920</v>
      </c>
      <c r="P1014">
        <v>8072</v>
      </c>
      <c r="Q1014">
        <v>22809</v>
      </c>
      <c r="R1014">
        <v>12415</v>
      </c>
      <c r="S1014">
        <v>30323</v>
      </c>
      <c r="T1014">
        <v>10973</v>
      </c>
      <c r="U1014">
        <v>8112</v>
      </c>
      <c r="V1014">
        <v>22923</v>
      </c>
      <c r="W1014">
        <v>12476</v>
      </c>
      <c r="X1014">
        <v>6728</v>
      </c>
      <c r="Y1014">
        <v>0</v>
      </c>
    </row>
    <row r="1015" spans="1:25" x14ac:dyDescent="0.3">
      <c r="A1015">
        <v>1014</v>
      </c>
      <c r="B1015">
        <v>80000</v>
      </c>
      <c r="C1015">
        <v>1</v>
      </c>
      <c r="D1015">
        <v>2</v>
      </c>
      <c r="E1015">
        <v>2</v>
      </c>
      <c r="F1015">
        <v>36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79148</v>
      </c>
      <c r="N1015">
        <v>52174</v>
      </c>
      <c r="O1015">
        <v>44275</v>
      </c>
      <c r="P1015">
        <v>42029</v>
      </c>
      <c r="Q1015">
        <v>33838</v>
      </c>
      <c r="R1015">
        <v>29757</v>
      </c>
      <c r="S1015">
        <v>2000</v>
      </c>
      <c r="T1015">
        <v>2000</v>
      </c>
      <c r="U1015">
        <v>1500</v>
      </c>
      <c r="V1015">
        <v>1500</v>
      </c>
      <c r="W1015">
        <v>2000</v>
      </c>
      <c r="X1015">
        <v>1500</v>
      </c>
      <c r="Y1015">
        <v>0</v>
      </c>
    </row>
    <row r="1016" spans="1:25" x14ac:dyDescent="0.3">
      <c r="A1016">
        <v>1015</v>
      </c>
      <c r="B1016">
        <v>360000</v>
      </c>
      <c r="C1016">
        <v>1</v>
      </c>
      <c r="D1016">
        <v>1</v>
      </c>
      <c r="E1016">
        <v>1</v>
      </c>
      <c r="F1016">
        <v>46</v>
      </c>
      <c r="G1016">
        <v>0</v>
      </c>
      <c r="H1016">
        <v>0</v>
      </c>
      <c r="I1016">
        <v>0</v>
      </c>
      <c r="J1016">
        <v>0</v>
      </c>
      <c r="K1016">
        <v>-2</v>
      </c>
      <c r="L1016">
        <v>-2</v>
      </c>
      <c r="M1016">
        <v>92961</v>
      </c>
      <c r="N1016">
        <v>76243</v>
      </c>
      <c r="O1016">
        <v>51722</v>
      </c>
      <c r="P1016">
        <v>-8</v>
      </c>
      <c r="Q1016">
        <v>-8</v>
      </c>
      <c r="R1016">
        <v>-16</v>
      </c>
      <c r="S1016">
        <v>10125</v>
      </c>
      <c r="T1016">
        <v>13092</v>
      </c>
      <c r="U1016">
        <v>0</v>
      </c>
      <c r="V1016">
        <v>0</v>
      </c>
      <c r="W1016">
        <v>0</v>
      </c>
      <c r="X1016">
        <v>0</v>
      </c>
      <c r="Y1016">
        <v>0</v>
      </c>
    </row>
    <row r="1017" spans="1:25" x14ac:dyDescent="0.3">
      <c r="A1017">
        <v>1016</v>
      </c>
      <c r="B1017">
        <v>130000</v>
      </c>
      <c r="C1017">
        <v>2</v>
      </c>
      <c r="D1017">
        <v>1</v>
      </c>
      <c r="E1017">
        <v>1</v>
      </c>
      <c r="F1017">
        <v>36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129689</v>
      </c>
      <c r="N1017">
        <v>107070</v>
      </c>
      <c r="O1017">
        <v>103942</v>
      </c>
      <c r="P1017">
        <v>94623</v>
      </c>
      <c r="Q1017">
        <v>90556</v>
      </c>
      <c r="R1017">
        <v>92394</v>
      </c>
      <c r="S1017">
        <v>5000</v>
      </c>
      <c r="T1017">
        <v>4400</v>
      </c>
      <c r="U1017">
        <v>5000</v>
      </c>
      <c r="V1017">
        <v>4000</v>
      </c>
      <c r="W1017">
        <v>3500</v>
      </c>
      <c r="X1017">
        <v>4000</v>
      </c>
      <c r="Y1017">
        <v>0</v>
      </c>
    </row>
    <row r="1018" spans="1:25" x14ac:dyDescent="0.3">
      <c r="A1018">
        <v>1017</v>
      </c>
      <c r="B1018">
        <v>160000</v>
      </c>
      <c r="C1018">
        <v>2</v>
      </c>
      <c r="D1018">
        <v>1</v>
      </c>
      <c r="E1018">
        <v>2</v>
      </c>
      <c r="F1018">
        <v>26</v>
      </c>
      <c r="G1018">
        <v>0</v>
      </c>
      <c r="H1018">
        <v>0</v>
      </c>
      <c r="I1018">
        <v>0</v>
      </c>
      <c r="J1018">
        <v>-1</v>
      </c>
      <c r="K1018">
        <v>-1</v>
      </c>
      <c r="L1018">
        <v>-1</v>
      </c>
      <c r="M1018">
        <v>2198</v>
      </c>
      <c r="N1018">
        <v>11155</v>
      </c>
      <c r="O1018">
        <v>0</v>
      </c>
      <c r="P1018">
        <v>12315</v>
      </c>
      <c r="Q1018">
        <v>0</v>
      </c>
      <c r="R1018">
        <v>11855</v>
      </c>
      <c r="S1018">
        <v>9155</v>
      </c>
      <c r="T1018">
        <v>0</v>
      </c>
      <c r="U1018">
        <v>12315</v>
      </c>
      <c r="V1018">
        <v>0</v>
      </c>
      <c r="W1018">
        <v>11855</v>
      </c>
      <c r="X1018">
        <v>0</v>
      </c>
      <c r="Y1018">
        <v>1</v>
      </c>
    </row>
    <row r="1019" spans="1:25" x14ac:dyDescent="0.3">
      <c r="A1019">
        <v>1018</v>
      </c>
      <c r="B1019">
        <v>140000</v>
      </c>
      <c r="C1019">
        <v>2</v>
      </c>
      <c r="D1019">
        <v>3</v>
      </c>
      <c r="E1019">
        <v>2</v>
      </c>
      <c r="F1019">
        <v>57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131795</v>
      </c>
      <c r="N1019">
        <v>134083</v>
      </c>
      <c r="O1019">
        <v>125360</v>
      </c>
      <c r="P1019">
        <v>99313</v>
      </c>
      <c r="Q1019">
        <v>90623</v>
      </c>
      <c r="R1019">
        <v>92425</v>
      </c>
      <c r="S1019">
        <v>6743</v>
      </c>
      <c r="T1019">
        <v>5421</v>
      </c>
      <c r="U1019">
        <v>3926</v>
      </c>
      <c r="V1019">
        <v>3290</v>
      </c>
      <c r="W1019">
        <v>3310</v>
      </c>
      <c r="X1019">
        <v>3424</v>
      </c>
      <c r="Y1019">
        <v>1</v>
      </c>
    </row>
    <row r="1020" spans="1:25" x14ac:dyDescent="0.3">
      <c r="A1020">
        <v>1019</v>
      </c>
      <c r="B1020">
        <v>240000</v>
      </c>
      <c r="C1020">
        <v>2</v>
      </c>
      <c r="D1020">
        <v>3</v>
      </c>
      <c r="E1020">
        <v>1</v>
      </c>
      <c r="F1020">
        <v>40</v>
      </c>
      <c r="G1020">
        <v>1</v>
      </c>
      <c r="H1020">
        <v>-2</v>
      </c>
      <c r="I1020">
        <v>-1</v>
      </c>
      <c r="J1020">
        <v>-1</v>
      </c>
      <c r="K1020">
        <v>-1</v>
      </c>
      <c r="L1020">
        <v>-1</v>
      </c>
      <c r="M1020">
        <v>-55</v>
      </c>
      <c r="N1020">
        <v>-55</v>
      </c>
      <c r="O1020">
        <v>3545</v>
      </c>
      <c r="P1020">
        <v>1338</v>
      </c>
      <c r="Q1020">
        <v>1075</v>
      </c>
      <c r="R1020">
        <v>1744</v>
      </c>
      <c r="S1020">
        <v>0</v>
      </c>
      <c r="T1020">
        <v>3600</v>
      </c>
      <c r="U1020">
        <v>1338</v>
      </c>
      <c r="V1020">
        <v>1075</v>
      </c>
      <c r="W1020">
        <v>1744</v>
      </c>
      <c r="X1020">
        <v>0</v>
      </c>
      <c r="Y1020">
        <v>0</v>
      </c>
    </row>
    <row r="1021" spans="1:25" x14ac:dyDescent="0.3">
      <c r="A1021">
        <v>1020</v>
      </c>
      <c r="B1021">
        <v>180000</v>
      </c>
      <c r="C1021">
        <v>2</v>
      </c>
      <c r="D1021">
        <v>3</v>
      </c>
      <c r="E1021">
        <v>0</v>
      </c>
      <c r="F1021">
        <v>45</v>
      </c>
      <c r="G1021">
        <v>-1</v>
      </c>
      <c r="H1021">
        <v>-1</v>
      </c>
      <c r="I1021">
        <v>-2</v>
      </c>
      <c r="J1021">
        <v>-2</v>
      </c>
      <c r="K1021">
        <v>-2</v>
      </c>
      <c r="L1021">
        <v>-2</v>
      </c>
      <c r="M1021">
        <v>4148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</row>
    <row r="1022" spans="1:25" x14ac:dyDescent="0.3">
      <c r="A1022">
        <v>1021</v>
      </c>
      <c r="B1022">
        <v>70000</v>
      </c>
      <c r="C1022">
        <v>1</v>
      </c>
      <c r="D1022">
        <v>1</v>
      </c>
      <c r="E1022">
        <v>3</v>
      </c>
      <c r="F1022">
        <v>57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69398</v>
      </c>
      <c r="N1022">
        <v>70352</v>
      </c>
      <c r="O1022">
        <v>69936</v>
      </c>
      <c r="P1022">
        <v>68118</v>
      </c>
      <c r="Q1022">
        <v>65942</v>
      </c>
      <c r="R1022">
        <v>62495</v>
      </c>
      <c r="S1022">
        <v>2667</v>
      </c>
      <c r="T1022">
        <v>2321</v>
      </c>
      <c r="U1022">
        <v>2391</v>
      </c>
      <c r="V1022">
        <v>2316</v>
      </c>
      <c r="W1022">
        <v>2466</v>
      </c>
      <c r="X1022">
        <v>1451</v>
      </c>
      <c r="Y1022">
        <v>0</v>
      </c>
    </row>
    <row r="1023" spans="1:25" x14ac:dyDescent="0.3">
      <c r="A1023">
        <v>1022</v>
      </c>
      <c r="B1023">
        <v>150000</v>
      </c>
      <c r="C1023">
        <v>2</v>
      </c>
      <c r="D1023">
        <v>2</v>
      </c>
      <c r="E1023">
        <v>2</v>
      </c>
      <c r="F1023">
        <v>25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142827</v>
      </c>
      <c r="N1023">
        <v>126317</v>
      </c>
      <c r="O1023">
        <v>75324</v>
      </c>
      <c r="P1023">
        <v>78773</v>
      </c>
      <c r="Q1023">
        <v>95375</v>
      </c>
      <c r="R1023">
        <v>57663</v>
      </c>
      <c r="S1023">
        <v>5000</v>
      </c>
      <c r="T1023">
        <v>4000</v>
      </c>
      <c r="U1023">
        <v>5000</v>
      </c>
      <c r="V1023">
        <v>40000</v>
      </c>
      <c r="W1023">
        <v>3000</v>
      </c>
      <c r="X1023">
        <v>2880</v>
      </c>
      <c r="Y1023">
        <v>0</v>
      </c>
    </row>
    <row r="1024" spans="1:25" x14ac:dyDescent="0.3">
      <c r="A1024">
        <v>1023</v>
      </c>
      <c r="B1024">
        <v>210000</v>
      </c>
      <c r="C1024">
        <v>2</v>
      </c>
      <c r="D1024">
        <v>3</v>
      </c>
      <c r="E1024">
        <v>1</v>
      </c>
      <c r="F1024">
        <v>37</v>
      </c>
      <c r="G1024">
        <v>-2</v>
      </c>
      <c r="H1024">
        <v>-2</v>
      </c>
      <c r="I1024">
        <v>-2</v>
      </c>
      <c r="J1024">
        <v>-2</v>
      </c>
      <c r="K1024">
        <v>-2</v>
      </c>
      <c r="L1024">
        <v>-2</v>
      </c>
      <c r="M1024">
        <v>138398</v>
      </c>
      <c r="N1024">
        <v>109115</v>
      </c>
      <c r="O1024">
        <v>101912</v>
      </c>
      <c r="P1024">
        <v>62959</v>
      </c>
      <c r="Q1024">
        <v>60767</v>
      </c>
      <c r="R1024">
        <v>41150</v>
      </c>
      <c r="S1024">
        <v>5000</v>
      </c>
      <c r="T1024">
        <v>5000</v>
      </c>
      <c r="U1024">
        <v>2500</v>
      </c>
      <c r="V1024">
        <v>2800</v>
      </c>
      <c r="W1024">
        <v>2000</v>
      </c>
      <c r="X1024">
        <v>0</v>
      </c>
      <c r="Y1024">
        <v>0</v>
      </c>
    </row>
    <row r="1025" spans="1:25" x14ac:dyDescent="0.3">
      <c r="A1025">
        <v>1024</v>
      </c>
      <c r="B1025">
        <v>200000</v>
      </c>
      <c r="C1025">
        <v>2</v>
      </c>
      <c r="D1025">
        <v>1</v>
      </c>
      <c r="E1025">
        <v>1</v>
      </c>
      <c r="F1025">
        <v>35</v>
      </c>
      <c r="G1025">
        <v>-1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9918</v>
      </c>
      <c r="N1025">
        <v>10971</v>
      </c>
      <c r="O1025">
        <v>11817</v>
      </c>
      <c r="P1025">
        <v>17865</v>
      </c>
      <c r="Q1025">
        <v>18239</v>
      </c>
      <c r="R1025">
        <v>14527</v>
      </c>
      <c r="S1025">
        <v>1219</v>
      </c>
      <c r="T1025">
        <v>1165</v>
      </c>
      <c r="U1025">
        <v>7865</v>
      </c>
      <c r="V1025">
        <v>592</v>
      </c>
      <c r="W1025">
        <v>807</v>
      </c>
      <c r="X1025">
        <v>679</v>
      </c>
      <c r="Y1025">
        <v>0</v>
      </c>
    </row>
    <row r="1026" spans="1:25" x14ac:dyDescent="0.3">
      <c r="A1026">
        <v>1025</v>
      </c>
      <c r="B1026">
        <v>310000</v>
      </c>
      <c r="C1026">
        <v>1</v>
      </c>
      <c r="D1026">
        <v>2</v>
      </c>
      <c r="E1026">
        <v>2</v>
      </c>
      <c r="F1026">
        <v>33</v>
      </c>
      <c r="G1026">
        <v>-2</v>
      </c>
      <c r="H1026">
        <v>-2</v>
      </c>
      <c r="I1026">
        <v>-2</v>
      </c>
      <c r="J1026">
        <v>-2</v>
      </c>
      <c r="K1026">
        <v>-2</v>
      </c>
      <c r="L1026">
        <v>-2</v>
      </c>
      <c r="M1026">
        <v>4040</v>
      </c>
      <c r="N1026">
        <v>4048</v>
      </c>
      <c r="O1026">
        <v>3959</v>
      </c>
      <c r="P1026">
        <v>205</v>
      </c>
      <c r="Q1026">
        <v>3199</v>
      </c>
      <c r="R1026">
        <v>5104</v>
      </c>
      <c r="S1026">
        <v>4068</v>
      </c>
      <c r="T1026">
        <v>3964</v>
      </c>
      <c r="U1026">
        <v>205</v>
      </c>
      <c r="V1026">
        <v>3209</v>
      </c>
      <c r="W1026">
        <v>5109</v>
      </c>
      <c r="X1026">
        <v>1434</v>
      </c>
      <c r="Y1026">
        <v>0</v>
      </c>
    </row>
    <row r="1027" spans="1:25" x14ac:dyDescent="0.3">
      <c r="A1027">
        <v>1026</v>
      </c>
      <c r="B1027">
        <v>180000</v>
      </c>
      <c r="C1027">
        <v>1</v>
      </c>
      <c r="D1027">
        <v>1</v>
      </c>
      <c r="E1027">
        <v>1</v>
      </c>
      <c r="F1027">
        <v>38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2</v>
      </c>
      <c r="M1027">
        <v>153099</v>
      </c>
      <c r="N1027">
        <v>150227</v>
      </c>
      <c r="O1027">
        <v>138313</v>
      </c>
      <c r="P1027">
        <v>137274</v>
      </c>
      <c r="Q1027">
        <v>147314</v>
      </c>
      <c r="R1027">
        <v>129870</v>
      </c>
      <c r="S1027">
        <v>7005</v>
      </c>
      <c r="T1027">
        <v>6500</v>
      </c>
      <c r="U1027">
        <v>5000</v>
      </c>
      <c r="V1027">
        <v>12042</v>
      </c>
      <c r="W1027">
        <v>32</v>
      </c>
      <c r="X1027">
        <v>1300</v>
      </c>
      <c r="Y1027">
        <v>0</v>
      </c>
    </row>
    <row r="1028" spans="1:25" x14ac:dyDescent="0.3">
      <c r="A1028">
        <v>1027</v>
      </c>
      <c r="B1028">
        <v>300000</v>
      </c>
      <c r="C1028">
        <v>1</v>
      </c>
      <c r="D1028">
        <v>2</v>
      </c>
      <c r="E1028">
        <v>2</v>
      </c>
      <c r="F1028">
        <v>31</v>
      </c>
      <c r="G1028">
        <v>0</v>
      </c>
      <c r="H1028">
        <v>0</v>
      </c>
      <c r="I1028">
        <v>0</v>
      </c>
      <c r="J1028">
        <v>-1</v>
      </c>
      <c r="K1028">
        <v>-1</v>
      </c>
      <c r="L1028">
        <v>-1</v>
      </c>
      <c r="M1028">
        <v>62198</v>
      </c>
      <c r="N1028">
        <v>35674</v>
      </c>
      <c r="O1028">
        <v>34979</v>
      </c>
      <c r="P1028">
        <v>510</v>
      </c>
      <c r="Q1028">
        <v>2166</v>
      </c>
      <c r="R1028">
        <v>765</v>
      </c>
      <c r="S1028">
        <v>1600</v>
      </c>
      <c r="T1028">
        <v>2600</v>
      </c>
      <c r="U1028">
        <v>510</v>
      </c>
      <c r="V1028">
        <v>903</v>
      </c>
      <c r="W1028">
        <v>765</v>
      </c>
      <c r="X1028">
        <v>773</v>
      </c>
      <c r="Y1028">
        <v>0</v>
      </c>
    </row>
    <row r="1029" spans="1:25" x14ac:dyDescent="0.3">
      <c r="A1029">
        <v>1028</v>
      </c>
      <c r="B1029">
        <v>450000</v>
      </c>
      <c r="C1029">
        <v>2</v>
      </c>
      <c r="D1029">
        <v>1</v>
      </c>
      <c r="E1029">
        <v>2</v>
      </c>
      <c r="F1029">
        <v>41</v>
      </c>
      <c r="G1029">
        <v>-1</v>
      </c>
      <c r="H1029">
        <v>-1</v>
      </c>
      <c r="I1029">
        <v>-1</v>
      </c>
      <c r="J1029">
        <v>-1</v>
      </c>
      <c r="K1029">
        <v>-1</v>
      </c>
      <c r="L1029">
        <v>-1</v>
      </c>
      <c r="M1029">
        <v>11343</v>
      </c>
      <c r="N1029">
        <v>75083</v>
      </c>
      <c r="O1029">
        <v>25273</v>
      </c>
      <c r="P1029">
        <v>85357</v>
      </c>
      <c r="Q1029">
        <v>27745</v>
      </c>
      <c r="R1029">
        <v>1990</v>
      </c>
      <c r="S1029">
        <v>75459</v>
      </c>
      <c r="T1029">
        <v>25413</v>
      </c>
      <c r="U1029">
        <v>85784</v>
      </c>
      <c r="V1029">
        <v>27856</v>
      </c>
      <c r="W1029">
        <v>2000</v>
      </c>
      <c r="X1029">
        <v>1900</v>
      </c>
      <c r="Y1029">
        <v>0</v>
      </c>
    </row>
    <row r="1030" spans="1:25" x14ac:dyDescent="0.3">
      <c r="A1030">
        <v>1029</v>
      </c>
      <c r="B1030">
        <v>200000</v>
      </c>
      <c r="C1030">
        <v>1</v>
      </c>
      <c r="D1030">
        <v>1</v>
      </c>
      <c r="E1030">
        <v>2</v>
      </c>
      <c r="F1030">
        <v>33</v>
      </c>
      <c r="G1030">
        <v>1</v>
      </c>
      <c r="H1030">
        <v>-1</v>
      </c>
      <c r="I1030">
        <v>-1</v>
      </c>
      <c r="J1030">
        <v>0</v>
      </c>
      <c r="K1030">
        <v>-1</v>
      </c>
      <c r="L1030">
        <v>-1</v>
      </c>
      <c r="M1030">
        <v>-5</v>
      </c>
      <c r="N1030">
        <v>3465</v>
      </c>
      <c r="O1030">
        <v>3191</v>
      </c>
      <c r="P1030">
        <v>1873</v>
      </c>
      <c r="Q1030">
        <v>90687</v>
      </c>
      <c r="R1030">
        <v>4577</v>
      </c>
      <c r="S1030">
        <v>3470</v>
      </c>
      <c r="T1030">
        <v>3191</v>
      </c>
      <c r="U1030">
        <v>0</v>
      </c>
      <c r="V1030">
        <v>90729</v>
      </c>
      <c r="W1030">
        <v>0</v>
      </c>
      <c r="X1030">
        <v>6266</v>
      </c>
      <c r="Y1030">
        <v>0</v>
      </c>
    </row>
    <row r="1031" spans="1:25" x14ac:dyDescent="0.3">
      <c r="A1031">
        <v>1030</v>
      </c>
      <c r="B1031">
        <v>30000</v>
      </c>
      <c r="C1031">
        <v>2</v>
      </c>
      <c r="D1031">
        <v>2</v>
      </c>
      <c r="E1031">
        <v>1</v>
      </c>
      <c r="F1031">
        <v>67</v>
      </c>
      <c r="G1031">
        <v>2</v>
      </c>
      <c r="H1031">
        <v>2</v>
      </c>
      <c r="I1031">
        <v>0</v>
      </c>
      <c r="J1031">
        <v>0</v>
      </c>
      <c r="K1031">
        <v>2</v>
      </c>
      <c r="L1031">
        <v>2</v>
      </c>
      <c r="M1031">
        <v>30374</v>
      </c>
      <c r="N1031">
        <v>29038</v>
      </c>
      <c r="O1031">
        <v>27737</v>
      </c>
      <c r="P1031">
        <v>29499</v>
      </c>
      <c r="Q1031">
        <v>30124</v>
      </c>
      <c r="R1031">
        <v>26855</v>
      </c>
      <c r="S1031">
        <v>0</v>
      </c>
      <c r="T1031">
        <v>1500</v>
      </c>
      <c r="U1031">
        <v>2182</v>
      </c>
      <c r="V1031">
        <v>1200</v>
      </c>
      <c r="W1031">
        <v>0</v>
      </c>
      <c r="X1031">
        <v>2302</v>
      </c>
      <c r="Y1031">
        <v>1</v>
      </c>
    </row>
    <row r="1032" spans="1:25" x14ac:dyDescent="0.3">
      <c r="A1032">
        <v>1031</v>
      </c>
      <c r="B1032">
        <v>400000</v>
      </c>
      <c r="C1032">
        <v>2</v>
      </c>
      <c r="D1032">
        <v>1</v>
      </c>
      <c r="E1032">
        <v>1</v>
      </c>
      <c r="F1032">
        <v>40</v>
      </c>
      <c r="G1032">
        <v>-1</v>
      </c>
      <c r="H1032">
        <v>-1</v>
      </c>
      <c r="I1032">
        <v>-1</v>
      </c>
      <c r="J1032">
        <v>0</v>
      </c>
      <c r="K1032">
        <v>0</v>
      </c>
      <c r="L1032">
        <v>-1</v>
      </c>
      <c r="M1032">
        <v>1107</v>
      </c>
      <c r="N1032">
        <v>3891</v>
      </c>
      <c r="O1032">
        <v>120338</v>
      </c>
      <c r="P1032">
        <v>8318</v>
      </c>
      <c r="Q1032">
        <v>8488</v>
      </c>
      <c r="R1032">
        <v>130</v>
      </c>
      <c r="S1032">
        <v>3891</v>
      </c>
      <c r="T1032">
        <v>120407</v>
      </c>
      <c r="U1032">
        <v>0</v>
      </c>
      <c r="V1032">
        <v>170</v>
      </c>
      <c r="W1032">
        <v>130</v>
      </c>
      <c r="X1032">
        <v>8595</v>
      </c>
      <c r="Y1032">
        <v>0</v>
      </c>
    </row>
    <row r="1033" spans="1:25" x14ac:dyDescent="0.3">
      <c r="A1033">
        <v>1032</v>
      </c>
      <c r="B1033">
        <v>170000</v>
      </c>
      <c r="C1033">
        <v>1</v>
      </c>
      <c r="D1033">
        <v>1</v>
      </c>
      <c r="E1033">
        <v>2</v>
      </c>
      <c r="F1033">
        <v>33</v>
      </c>
      <c r="G1033">
        <v>-1</v>
      </c>
      <c r="H1033">
        <v>-1</v>
      </c>
      <c r="I1033">
        <v>-1</v>
      </c>
      <c r="J1033">
        <v>-1</v>
      </c>
      <c r="K1033">
        <v>-1</v>
      </c>
      <c r="L1033">
        <v>-1</v>
      </c>
      <c r="M1033">
        <v>764</v>
      </c>
      <c r="N1033">
        <v>1100</v>
      </c>
      <c r="O1033">
        <v>500</v>
      </c>
      <c r="P1033">
        <v>2499</v>
      </c>
      <c r="Q1033">
        <v>1500</v>
      </c>
      <c r="R1033">
        <v>600</v>
      </c>
      <c r="S1033">
        <v>1105</v>
      </c>
      <c r="T1033">
        <v>500</v>
      </c>
      <c r="U1033">
        <v>2499</v>
      </c>
      <c r="V1033">
        <v>1500</v>
      </c>
      <c r="W1033">
        <v>600</v>
      </c>
      <c r="X1033">
        <v>2100</v>
      </c>
      <c r="Y1033">
        <v>0</v>
      </c>
    </row>
    <row r="1034" spans="1:25" x14ac:dyDescent="0.3">
      <c r="A1034">
        <v>1033</v>
      </c>
      <c r="B1034">
        <v>140000</v>
      </c>
      <c r="C1034">
        <v>2</v>
      </c>
      <c r="D1034">
        <v>1</v>
      </c>
      <c r="E1034">
        <v>2</v>
      </c>
      <c r="F1034">
        <v>31</v>
      </c>
      <c r="G1034">
        <v>-1</v>
      </c>
      <c r="H1034">
        <v>2</v>
      </c>
      <c r="I1034">
        <v>-1</v>
      </c>
      <c r="J1034">
        <v>-1</v>
      </c>
      <c r="K1034">
        <v>-1</v>
      </c>
      <c r="L1034">
        <v>-1</v>
      </c>
      <c r="M1034">
        <v>652</v>
      </c>
      <c r="N1034">
        <v>326</v>
      </c>
      <c r="O1034">
        <v>326</v>
      </c>
      <c r="P1034">
        <v>326</v>
      </c>
      <c r="Q1034">
        <v>476</v>
      </c>
      <c r="R1034">
        <v>326</v>
      </c>
      <c r="S1034">
        <v>0</v>
      </c>
      <c r="T1034">
        <v>326</v>
      </c>
      <c r="U1034">
        <v>326</v>
      </c>
      <c r="V1034">
        <v>476</v>
      </c>
      <c r="W1034">
        <v>326</v>
      </c>
      <c r="X1034">
        <v>326</v>
      </c>
      <c r="Y1034">
        <v>1</v>
      </c>
    </row>
    <row r="1035" spans="1:25" x14ac:dyDescent="0.3">
      <c r="A1035">
        <v>1034</v>
      </c>
      <c r="B1035">
        <v>200000</v>
      </c>
      <c r="C1035">
        <v>2</v>
      </c>
      <c r="D1035">
        <v>2</v>
      </c>
      <c r="E1035">
        <v>2</v>
      </c>
      <c r="F1035">
        <v>35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64195</v>
      </c>
      <c r="N1035">
        <v>65565</v>
      </c>
      <c r="O1035">
        <v>66870</v>
      </c>
      <c r="P1035">
        <v>68752</v>
      </c>
      <c r="Q1035">
        <v>70485</v>
      </c>
      <c r="R1035">
        <v>71887</v>
      </c>
      <c r="S1035">
        <v>3000</v>
      </c>
      <c r="T1035">
        <v>3000</v>
      </c>
      <c r="U1035">
        <v>3000</v>
      </c>
      <c r="V1035">
        <v>3000</v>
      </c>
      <c r="W1035">
        <v>2575</v>
      </c>
      <c r="X1035">
        <v>3000</v>
      </c>
      <c r="Y1035">
        <v>0</v>
      </c>
    </row>
    <row r="1036" spans="1:25" x14ac:dyDescent="0.3">
      <c r="A1036">
        <v>1035</v>
      </c>
      <c r="B1036">
        <v>60000</v>
      </c>
      <c r="C1036">
        <v>2</v>
      </c>
      <c r="D1036">
        <v>2</v>
      </c>
      <c r="E1036">
        <v>3</v>
      </c>
      <c r="F1036">
        <v>39</v>
      </c>
      <c r="G1036">
        <v>1</v>
      </c>
      <c r="H1036">
        <v>-2</v>
      </c>
      <c r="I1036">
        <v>-2</v>
      </c>
      <c r="J1036">
        <v>-2</v>
      </c>
      <c r="K1036">
        <v>-2</v>
      </c>
      <c r="L1036">
        <v>-2</v>
      </c>
      <c r="M1036">
        <v>-1540</v>
      </c>
      <c r="N1036">
        <v>-1930</v>
      </c>
      <c r="O1036">
        <v>-2320</v>
      </c>
      <c r="P1036">
        <v>-1220</v>
      </c>
      <c r="Q1036">
        <v>0</v>
      </c>
      <c r="R1036">
        <v>0</v>
      </c>
      <c r="S1036">
        <v>0</v>
      </c>
      <c r="T1036">
        <v>0</v>
      </c>
      <c r="U1036">
        <v>2000</v>
      </c>
      <c r="V1036">
        <v>2000</v>
      </c>
      <c r="W1036">
        <v>0</v>
      </c>
      <c r="X1036">
        <v>0</v>
      </c>
      <c r="Y1036">
        <v>0</v>
      </c>
    </row>
    <row r="1037" spans="1:25" x14ac:dyDescent="0.3">
      <c r="A1037">
        <v>1036</v>
      </c>
      <c r="B1037">
        <v>60000</v>
      </c>
      <c r="C1037">
        <v>1</v>
      </c>
      <c r="D1037">
        <v>2</v>
      </c>
      <c r="E1037">
        <v>2</v>
      </c>
      <c r="F1037">
        <v>27</v>
      </c>
      <c r="G1037">
        <v>1</v>
      </c>
      <c r="H1037">
        <v>2</v>
      </c>
      <c r="I1037">
        <v>0</v>
      </c>
      <c r="J1037">
        <v>0</v>
      </c>
      <c r="K1037">
        <v>2</v>
      </c>
      <c r="L1037">
        <v>2</v>
      </c>
      <c r="M1037">
        <v>43356</v>
      </c>
      <c r="N1037">
        <v>42381</v>
      </c>
      <c r="O1037">
        <v>46663</v>
      </c>
      <c r="P1037">
        <v>49877</v>
      </c>
      <c r="Q1037">
        <v>50734</v>
      </c>
      <c r="R1037">
        <v>49764</v>
      </c>
      <c r="S1037">
        <v>0</v>
      </c>
      <c r="T1037">
        <v>5000</v>
      </c>
      <c r="U1037">
        <v>4000</v>
      </c>
      <c r="V1037">
        <v>1800</v>
      </c>
      <c r="W1037">
        <v>0</v>
      </c>
      <c r="X1037">
        <v>2000</v>
      </c>
      <c r="Y1037">
        <v>1</v>
      </c>
    </row>
    <row r="1038" spans="1:25" x14ac:dyDescent="0.3">
      <c r="A1038">
        <v>1037</v>
      </c>
      <c r="B1038">
        <v>150000</v>
      </c>
      <c r="C1038">
        <v>1</v>
      </c>
      <c r="D1038">
        <v>1</v>
      </c>
      <c r="E1038">
        <v>2</v>
      </c>
      <c r="F1038">
        <v>23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11109</v>
      </c>
      <c r="N1038">
        <v>83376</v>
      </c>
      <c r="O1038">
        <v>79726</v>
      </c>
      <c r="P1038">
        <v>76986</v>
      </c>
      <c r="Q1038">
        <v>78038</v>
      </c>
      <c r="R1038">
        <v>78321</v>
      </c>
      <c r="S1038">
        <v>78016</v>
      </c>
      <c r="T1038">
        <v>3048</v>
      </c>
      <c r="U1038">
        <v>4000</v>
      </c>
      <c r="V1038">
        <v>3500</v>
      </c>
      <c r="W1038">
        <v>3000</v>
      </c>
      <c r="X1038">
        <v>3000</v>
      </c>
      <c r="Y1038">
        <v>0</v>
      </c>
    </row>
    <row r="1039" spans="1:25" x14ac:dyDescent="0.3">
      <c r="A1039">
        <v>1038</v>
      </c>
      <c r="B1039">
        <v>180000</v>
      </c>
      <c r="C1039">
        <v>1</v>
      </c>
      <c r="D1039">
        <v>3</v>
      </c>
      <c r="E1039">
        <v>1</v>
      </c>
      <c r="F1039">
        <v>54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149698</v>
      </c>
      <c r="N1039">
        <v>137260</v>
      </c>
      <c r="O1039">
        <v>124500</v>
      </c>
      <c r="P1039">
        <v>111430</v>
      </c>
      <c r="Q1039">
        <v>98182</v>
      </c>
      <c r="R1039">
        <v>84598</v>
      </c>
      <c r="S1039">
        <v>4834</v>
      </c>
      <c r="T1039">
        <v>4371</v>
      </c>
      <c r="U1039">
        <v>3849</v>
      </c>
      <c r="V1039">
        <v>3405</v>
      </c>
      <c r="W1039">
        <v>2887</v>
      </c>
      <c r="X1039">
        <v>2402</v>
      </c>
      <c r="Y1039">
        <v>1</v>
      </c>
    </row>
    <row r="1040" spans="1:25" x14ac:dyDescent="0.3">
      <c r="A1040">
        <v>1039</v>
      </c>
      <c r="B1040">
        <v>50000</v>
      </c>
      <c r="C1040">
        <v>2</v>
      </c>
      <c r="D1040">
        <v>3</v>
      </c>
      <c r="E1040">
        <v>2</v>
      </c>
      <c r="F1040">
        <v>23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43979</v>
      </c>
      <c r="N1040">
        <v>33403</v>
      </c>
      <c r="O1040">
        <v>20879</v>
      </c>
      <c r="P1040">
        <v>18573</v>
      </c>
      <c r="Q1040">
        <v>17318</v>
      </c>
      <c r="R1040">
        <v>17936</v>
      </c>
      <c r="S1040">
        <v>2000</v>
      </c>
      <c r="T1040">
        <v>2000</v>
      </c>
      <c r="U1040">
        <v>2000</v>
      </c>
      <c r="V1040">
        <v>1000</v>
      </c>
      <c r="W1040">
        <v>1000</v>
      </c>
      <c r="X1040">
        <v>2800</v>
      </c>
      <c r="Y1040">
        <v>0</v>
      </c>
    </row>
    <row r="1041" spans="1:25" x14ac:dyDescent="0.3">
      <c r="A1041">
        <v>1040</v>
      </c>
      <c r="B1041">
        <v>50000</v>
      </c>
      <c r="C1041">
        <v>1</v>
      </c>
      <c r="D1041">
        <v>3</v>
      </c>
      <c r="E1041">
        <v>2</v>
      </c>
      <c r="F1041">
        <v>24</v>
      </c>
      <c r="G1041">
        <v>-1</v>
      </c>
      <c r="H1041">
        <v>-1</v>
      </c>
      <c r="I1041">
        <v>-1</v>
      </c>
      <c r="J1041">
        <v>-1</v>
      </c>
      <c r="K1041">
        <v>0</v>
      </c>
      <c r="L1041">
        <v>0</v>
      </c>
      <c r="M1041">
        <v>2562</v>
      </c>
      <c r="N1041">
        <v>8743</v>
      </c>
      <c r="O1041">
        <v>-290</v>
      </c>
      <c r="P1041">
        <v>18115</v>
      </c>
      <c r="Q1041">
        <v>18495</v>
      </c>
      <c r="R1041">
        <v>18804</v>
      </c>
      <c r="S1041">
        <v>8769</v>
      </c>
      <c r="T1041">
        <v>0</v>
      </c>
      <c r="U1041">
        <v>18650</v>
      </c>
      <c r="V1041">
        <v>659</v>
      </c>
      <c r="W1041">
        <v>1000</v>
      </c>
      <c r="X1041">
        <v>1000</v>
      </c>
      <c r="Y1041">
        <v>0</v>
      </c>
    </row>
    <row r="1042" spans="1:25" x14ac:dyDescent="0.3">
      <c r="A1042">
        <v>1041</v>
      </c>
      <c r="B1042">
        <v>20000</v>
      </c>
      <c r="C1042">
        <v>1</v>
      </c>
      <c r="D1042">
        <v>2</v>
      </c>
      <c r="E1042">
        <v>2</v>
      </c>
      <c r="F1042">
        <v>26</v>
      </c>
      <c r="G1042">
        <v>-1</v>
      </c>
      <c r="H1042">
        <v>-1</v>
      </c>
      <c r="I1042">
        <v>-2</v>
      </c>
      <c r="J1042">
        <v>-2</v>
      </c>
      <c r="K1042">
        <v>-2</v>
      </c>
      <c r="L1042">
        <v>-2</v>
      </c>
      <c r="M1042">
        <v>70</v>
      </c>
      <c r="N1042">
        <v>-620</v>
      </c>
      <c r="O1042">
        <v>-620</v>
      </c>
      <c r="P1042">
        <v>-1400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1400</v>
      </c>
      <c r="W1042">
        <v>0</v>
      </c>
      <c r="X1042">
        <v>0</v>
      </c>
      <c r="Y1042">
        <v>0</v>
      </c>
    </row>
    <row r="1043" spans="1:25" x14ac:dyDescent="0.3">
      <c r="A1043">
        <v>1042</v>
      </c>
      <c r="B1043">
        <v>230000</v>
      </c>
      <c r="C1043">
        <v>2</v>
      </c>
      <c r="D1043">
        <v>2</v>
      </c>
      <c r="E1043">
        <v>2</v>
      </c>
      <c r="F1043">
        <v>52</v>
      </c>
      <c r="G1043">
        <v>2</v>
      </c>
      <c r="H1043">
        <v>-1</v>
      </c>
      <c r="I1043">
        <v>2</v>
      </c>
      <c r="J1043">
        <v>0</v>
      </c>
      <c r="K1043">
        <v>-1</v>
      </c>
      <c r="L1043">
        <v>-1</v>
      </c>
      <c r="M1043">
        <v>1292</v>
      </c>
      <c r="N1043">
        <v>3943</v>
      </c>
      <c r="O1043">
        <v>1990</v>
      </c>
      <c r="P1043">
        <v>1499</v>
      </c>
      <c r="Q1043">
        <v>593</v>
      </c>
      <c r="R1043">
        <v>2553</v>
      </c>
      <c r="S1043">
        <v>3951</v>
      </c>
      <c r="T1043">
        <v>1</v>
      </c>
      <c r="U1043">
        <v>9</v>
      </c>
      <c r="V1043">
        <v>594</v>
      </c>
      <c r="W1043">
        <v>2560</v>
      </c>
      <c r="X1043">
        <v>3759</v>
      </c>
      <c r="Y1043">
        <v>1</v>
      </c>
    </row>
    <row r="1044" spans="1:25" x14ac:dyDescent="0.3">
      <c r="A1044">
        <v>1043</v>
      </c>
      <c r="B1044">
        <v>110000</v>
      </c>
      <c r="C1044">
        <v>2</v>
      </c>
      <c r="D1044">
        <v>2</v>
      </c>
      <c r="E1044">
        <v>1</v>
      </c>
      <c r="F1044">
        <v>42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55349</v>
      </c>
      <c r="N1044">
        <v>52914</v>
      </c>
      <c r="O1044">
        <v>49483</v>
      </c>
      <c r="P1044">
        <v>49292</v>
      </c>
      <c r="Q1044">
        <v>49460</v>
      </c>
      <c r="R1044">
        <v>49470</v>
      </c>
      <c r="S1044">
        <v>2096</v>
      </c>
      <c r="T1044">
        <v>2003</v>
      </c>
      <c r="U1044">
        <v>1802</v>
      </c>
      <c r="V1044">
        <v>1783</v>
      </c>
      <c r="W1044">
        <v>1783</v>
      </c>
      <c r="X1044">
        <v>1756</v>
      </c>
      <c r="Y1044">
        <v>0</v>
      </c>
    </row>
    <row r="1045" spans="1:25" x14ac:dyDescent="0.3">
      <c r="A1045">
        <v>1044</v>
      </c>
      <c r="B1045">
        <v>90000</v>
      </c>
      <c r="C1045">
        <v>2</v>
      </c>
      <c r="D1045">
        <v>1</v>
      </c>
      <c r="E1045">
        <v>2</v>
      </c>
      <c r="F1045">
        <v>36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90922</v>
      </c>
      <c r="N1045">
        <v>80980</v>
      </c>
      <c r="O1045">
        <v>66503</v>
      </c>
      <c r="P1045">
        <v>67347</v>
      </c>
      <c r="Q1045">
        <v>68509</v>
      </c>
      <c r="R1045">
        <v>67588</v>
      </c>
      <c r="S1045">
        <v>4273</v>
      </c>
      <c r="T1045">
        <v>3200</v>
      </c>
      <c r="U1045">
        <v>2500</v>
      </c>
      <c r="V1045">
        <v>2500</v>
      </c>
      <c r="W1045">
        <v>2631</v>
      </c>
      <c r="X1045">
        <v>2646</v>
      </c>
      <c r="Y1045">
        <v>0</v>
      </c>
    </row>
    <row r="1046" spans="1:25" x14ac:dyDescent="0.3">
      <c r="A1046">
        <v>1045</v>
      </c>
      <c r="B1046">
        <v>20000</v>
      </c>
      <c r="C1046">
        <v>2</v>
      </c>
      <c r="D1046">
        <v>1</v>
      </c>
      <c r="E1046">
        <v>2</v>
      </c>
      <c r="F1046">
        <v>22</v>
      </c>
      <c r="G1046">
        <v>2</v>
      </c>
      <c r="H1046">
        <v>2</v>
      </c>
      <c r="I1046">
        <v>2</v>
      </c>
      <c r="J1046">
        <v>2</v>
      </c>
      <c r="K1046">
        <v>2</v>
      </c>
      <c r="L1046">
        <v>2</v>
      </c>
      <c r="M1046">
        <v>16233</v>
      </c>
      <c r="N1046">
        <v>20547</v>
      </c>
      <c r="O1046">
        <v>20542</v>
      </c>
      <c r="P1046">
        <v>19572</v>
      </c>
      <c r="Q1046">
        <v>20437</v>
      </c>
      <c r="R1046">
        <v>19994</v>
      </c>
      <c r="S1046">
        <v>5383</v>
      </c>
      <c r="T1046">
        <v>660</v>
      </c>
      <c r="U1046">
        <v>0</v>
      </c>
      <c r="V1046">
        <v>1538</v>
      </c>
      <c r="W1046">
        <v>0</v>
      </c>
      <c r="X1046">
        <v>2658</v>
      </c>
      <c r="Y1046">
        <v>1</v>
      </c>
    </row>
    <row r="1047" spans="1:25" x14ac:dyDescent="0.3">
      <c r="A1047">
        <v>1046</v>
      </c>
      <c r="B1047">
        <v>30000</v>
      </c>
      <c r="C1047">
        <v>2</v>
      </c>
      <c r="D1047">
        <v>1</v>
      </c>
      <c r="E1047">
        <v>2</v>
      </c>
      <c r="F1047">
        <v>23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26847</v>
      </c>
      <c r="N1047">
        <v>24815</v>
      </c>
      <c r="O1047">
        <v>21681</v>
      </c>
      <c r="P1047">
        <v>22293</v>
      </c>
      <c r="Q1047">
        <v>17155</v>
      </c>
      <c r="R1047">
        <v>13470</v>
      </c>
      <c r="S1047">
        <v>2500</v>
      </c>
      <c r="T1047">
        <v>3500</v>
      </c>
      <c r="U1047">
        <v>2000</v>
      </c>
      <c r="V1047">
        <v>3500</v>
      </c>
      <c r="W1047">
        <v>2000</v>
      </c>
      <c r="X1047">
        <v>1000</v>
      </c>
      <c r="Y1047">
        <v>0</v>
      </c>
    </row>
    <row r="1048" spans="1:25" x14ac:dyDescent="0.3">
      <c r="A1048">
        <v>1047</v>
      </c>
      <c r="B1048">
        <v>220000</v>
      </c>
      <c r="C1048">
        <v>1</v>
      </c>
      <c r="D1048">
        <v>3</v>
      </c>
      <c r="E1048">
        <v>1</v>
      </c>
      <c r="F1048">
        <v>30</v>
      </c>
      <c r="G1048">
        <v>0</v>
      </c>
      <c r="H1048">
        <v>0</v>
      </c>
      <c r="I1048">
        <v>0</v>
      </c>
      <c r="J1048">
        <v>0</v>
      </c>
      <c r="K1048">
        <v>2</v>
      </c>
      <c r="L1048">
        <v>0</v>
      </c>
      <c r="M1048">
        <v>162105</v>
      </c>
      <c r="N1048">
        <v>170592</v>
      </c>
      <c r="O1048">
        <v>173969</v>
      </c>
      <c r="P1048">
        <v>183030</v>
      </c>
      <c r="Q1048">
        <v>181385</v>
      </c>
      <c r="R1048">
        <v>174107</v>
      </c>
      <c r="S1048">
        <v>10000</v>
      </c>
      <c r="T1048">
        <v>5013</v>
      </c>
      <c r="U1048">
        <v>10626</v>
      </c>
      <c r="V1048">
        <v>52</v>
      </c>
      <c r="W1048">
        <v>5255</v>
      </c>
      <c r="X1048">
        <v>4222</v>
      </c>
      <c r="Y1048">
        <v>1</v>
      </c>
    </row>
    <row r="1049" spans="1:25" x14ac:dyDescent="0.3">
      <c r="A1049">
        <v>1048</v>
      </c>
      <c r="B1049">
        <v>140000</v>
      </c>
      <c r="C1049">
        <v>2</v>
      </c>
      <c r="D1049">
        <v>3</v>
      </c>
      <c r="E1049">
        <v>2</v>
      </c>
      <c r="F1049">
        <v>24</v>
      </c>
      <c r="G1049">
        <v>1</v>
      </c>
      <c r="H1049">
        <v>2</v>
      </c>
      <c r="I1049">
        <v>2</v>
      </c>
      <c r="J1049">
        <v>2</v>
      </c>
      <c r="K1049">
        <v>0</v>
      </c>
      <c r="L1049">
        <v>0</v>
      </c>
      <c r="M1049">
        <v>42897</v>
      </c>
      <c r="N1049">
        <v>45739</v>
      </c>
      <c r="O1049">
        <v>46468</v>
      </c>
      <c r="P1049">
        <v>45422</v>
      </c>
      <c r="Q1049">
        <v>46371</v>
      </c>
      <c r="R1049">
        <v>47297</v>
      </c>
      <c r="S1049">
        <v>3821</v>
      </c>
      <c r="T1049">
        <v>1775</v>
      </c>
      <c r="U1049">
        <v>0</v>
      </c>
      <c r="V1049">
        <v>1833</v>
      </c>
      <c r="W1049">
        <v>1850</v>
      </c>
      <c r="X1049">
        <v>2000</v>
      </c>
      <c r="Y1049">
        <v>1</v>
      </c>
    </row>
    <row r="1050" spans="1:25" x14ac:dyDescent="0.3">
      <c r="A1050">
        <v>1049</v>
      </c>
      <c r="B1050">
        <v>300000</v>
      </c>
      <c r="C1050">
        <v>2</v>
      </c>
      <c r="D1050">
        <v>1</v>
      </c>
      <c r="E1050">
        <v>1</v>
      </c>
      <c r="F1050">
        <v>42</v>
      </c>
      <c r="G1050">
        <v>-2</v>
      </c>
      <c r="H1050">
        <v>-2</v>
      </c>
      <c r="I1050">
        <v>-2</v>
      </c>
      <c r="J1050">
        <v>-2</v>
      </c>
      <c r="K1050">
        <v>-2</v>
      </c>
      <c r="L1050">
        <v>-2</v>
      </c>
      <c r="M1050">
        <v>3000</v>
      </c>
      <c r="N1050">
        <v>3300</v>
      </c>
      <c r="O1050">
        <v>0</v>
      </c>
      <c r="P1050">
        <v>0</v>
      </c>
      <c r="Q1050">
        <v>610</v>
      </c>
      <c r="R1050">
        <v>2165</v>
      </c>
      <c r="S1050">
        <v>3300</v>
      </c>
      <c r="T1050">
        <v>0</v>
      </c>
      <c r="U1050">
        <v>0</v>
      </c>
      <c r="V1050">
        <v>610</v>
      </c>
      <c r="W1050">
        <v>2165</v>
      </c>
      <c r="X1050">
        <v>2394</v>
      </c>
      <c r="Y1050">
        <v>0</v>
      </c>
    </row>
    <row r="1051" spans="1:25" x14ac:dyDescent="0.3">
      <c r="A1051">
        <v>1050</v>
      </c>
      <c r="B1051">
        <v>100000</v>
      </c>
      <c r="C1051">
        <v>1</v>
      </c>
      <c r="D1051">
        <v>2</v>
      </c>
      <c r="E1051">
        <v>1</v>
      </c>
      <c r="F1051">
        <v>49</v>
      </c>
      <c r="G1051">
        <v>0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34704</v>
      </c>
      <c r="N1051">
        <v>30906</v>
      </c>
      <c r="O1051">
        <v>28325</v>
      </c>
      <c r="P1051">
        <v>22160</v>
      </c>
      <c r="Q1051">
        <v>18842</v>
      </c>
      <c r="R1051">
        <v>17023</v>
      </c>
      <c r="S1051">
        <v>2011</v>
      </c>
      <c r="T1051">
        <v>2028</v>
      </c>
      <c r="U1051">
        <v>10</v>
      </c>
      <c r="V1051">
        <v>558</v>
      </c>
      <c r="W1051">
        <v>1044</v>
      </c>
      <c r="X1051">
        <v>12</v>
      </c>
      <c r="Y1051">
        <v>0</v>
      </c>
    </row>
    <row r="1052" spans="1:25" x14ac:dyDescent="0.3">
      <c r="A1052">
        <v>1051</v>
      </c>
      <c r="B1052">
        <v>110000</v>
      </c>
      <c r="C1052">
        <v>1</v>
      </c>
      <c r="D1052">
        <v>2</v>
      </c>
      <c r="E1052">
        <v>2</v>
      </c>
      <c r="F1052">
        <v>31</v>
      </c>
      <c r="G1052">
        <v>2</v>
      </c>
      <c r="H1052">
        <v>2</v>
      </c>
      <c r="I1052">
        <v>3</v>
      </c>
      <c r="J1052">
        <v>3</v>
      </c>
      <c r="K1052">
        <v>2</v>
      </c>
      <c r="L1052">
        <v>-1</v>
      </c>
      <c r="M1052">
        <v>279</v>
      </c>
      <c r="N1052">
        <v>279</v>
      </c>
      <c r="O1052">
        <v>279</v>
      </c>
      <c r="P1052">
        <v>279</v>
      </c>
      <c r="Q1052">
        <v>129</v>
      </c>
      <c r="R1052">
        <v>179</v>
      </c>
      <c r="S1052">
        <v>0</v>
      </c>
      <c r="T1052">
        <v>0</v>
      </c>
      <c r="U1052">
        <v>0</v>
      </c>
      <c r="V1052">
        <v>0</v>
      </c>
      <c r="W1052">
        <v>200</v>
      </c>
      <c r="X1052">
        <v>0</v>
      </c>
      <c r="Y1052">
        <v>0</v>
      </c>
    </row>
    <row r="1053" spans="1:25" x14ac:dyDescent="0.3">
      <c r="A1053">
        <v>1052</v>
      </c>
      <c r="B1053">
        <v>270000</v>
      </c>
      <c r="C1053">
        <v>2</v>
      </c>
      <c r="D1053">
        <v>3</v>
      </c>
      <c r="E1053">
        <v>2</v>
      </c>
      <c r="F1053">
        <v>33</v>
      </c>
      <c r="G1053">
        <v>0</v>
      </c>
      <c r="H1053">
        <v>-1</v>
      </c>
      <c r="I1053">
        <v>-1</v>
      </c>
      <c r="J1053">
        <v>-1</v>
      </c>
      <c r="K1053">
        <v>0</v>
      </c>
      <c r="L1053">
        <v>0</v>
      </c>
      <c r="M1053">
        <v>10000</v>
      </c>
      <c r="N1053">
        <v>10000</v>
      </c>
      <c r="O1053">
        <v>10000</v>
      </c>
      <c r="P1053">
        <v>123693</v>
      </c>
      <c r="Q1053">
        <v>116843</v>
      </c>
      <c r="R1053">
        <v>110059</v>
      </c>
      <c r="S1053">
        <v>10000</v>
      </c>
      <c r="T1053">
        <v>10000</v>
      </c>
      <c r="U1053">
        <v>222750</v>
      </c>
      <c r="V1053">
        <v>5000</v>
      </c>
      <c r="W1053">
        <v>5008</v>
      </c>
      <c r="X1053">
        <v>5026</v>
      </c>
      <c r="Y1053">
        <v>0</v>
      </c>
    </row>
    <row r="1054" spans="1:25" x14ac:dyDescent="0.3">
      <c r="A1054">
        <v>1053</v>
      </c>
      <c r="B1054">
        <v>30000</v>
      </c>
      <c r="C1054">
        <v>1</v>
      </c>
      <c r="D1054">
        <v>1</v>
      </c>
      <c r="E1054">
        <v>1</v>
      </c>
      <c r="F1054">
        <v>42</v>
      </c>
      <c r="G1054">
        <v>0</v>
      </c>
      <c r="H1054">
        <v>0</v>
      </c>
      <c r="I1054">
        <v>-1</v>
      </c>
      <c r="J1054">
        <v>-1</v>
      </c>
      <c r="K1054">
        <v>-1</v>
      </c>
      <c r="L1054">
        <v>-1</v>
      </c>
      <c r="M1054">
        <v>28033</v>
      </c>
      <c r="N1054">
        <v>17085</v>
      </c>
      <c r="O1054">
        <v>200</v>
      </c>
      <c r="P1054">
        <v>323</v>
      </c>
      <c r="Q1054">
        <v>29525</v>
      </c>
      <c r="R1054">
        <v>0</v>
      </c>
      <c r="S1054">
        <v>1525</v>
      </c>
      <c r="T1054">
        <v>200</v>
      </c>
      <c r="U1054">
        <v>323</v>
      </c>
      <c r="V1054">
        <v>29525</v>
      </c>
      <c r="W1054">
        <v>0</v>
      </c>
      <c r="X1054">
        <v>0</v>
      </c>
      <c r="Y1054">
        <v>0</v>
      </c>
    </row>
    <row r="1055" spans="1:25" x14ac:dyDescent="0.3">
      <c r="A1055">
        <v>1054</v>
      </c>
      <c r="B1055">
        <v>70000</v>
      </c>
      <c r="C1055">
        <v>1</v>
      </c>
      <c r="D1055">
        <v>3</v>
      </c>
      <c r="E1055">
        <v>2</v>
      </c>
      <c r="F1055">
        <v>41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70476</v>
      </c>
      <c r="N1055">
        <v>68539</v>
      </c>
      <c r="O1055">
        <v>69520</v>
      </c>
      <c r="P1055">
        <v>51605</v>
      </c>
      <c r="Q1055">
        <v>50311</v>
      </c>
      <c r="R1055">
        <v>50729</v>
      </c>
      <c r="S1055">
        <v>2700</v>
      </c>
      <c r="T1055">
        <v>3500</v>
      </c>
      <c r="U1055">
        <v>2000</v>
      </c>
      <c r="V1055">
        <v>2000</v>
      </c>
      <c r="W1055">
        <v>2500</v>
      </c>
      <c r="X1055">
        <v>2500</v>
      </c>
      <c r="Y1055">
        <v>0</v>
      </c>
    </row>
    <row r="1056" spans="1:25" x14ac:dyDescent="0.3">
      <c r="A1056">
        <v>1055</v>
      </c>
      <c r="B1056">
        <v>230000</v>
      </c>
      <c r="C1056">
        <v>1</v>
      </c>
      <c r="D1056">
        <v>2</v>
      </c>
      <c r="E1056">
        <v>1</v>
      </c>
      <c r="F1056">
        <v>53</v>
      </c>
      <c r="G1056">
        <v>2</v>
      </c>
      <c r="H1056">
        <v>2</v>
      </c>
      <c r="I1056">
        <v>-2</v>
      </c>
      <c r="J1056">
        <v>-2</v>
      </c>
      <c r="K1056">
        <v>-2</v>
      </c>
      <c r="L1056">
        <v>-1</v>
      </c>
      <c r="M1056">
        <v>1350</v>
      </c>
      <c r="N1056">
        <v>0</v>
      </c>
      <c r="O1056">
        <v>0</v>
      </c>
      <c r="P1056">
        <v>0</v>
      </c>
      <c r="Q1056">
        <v>0</v>
      </c>
      <c r="R1056">
        <v>470</v>
      </c>
      <c r="S1056">
        <v>0</v>
      </c>
      <c r="T1056">
        <v>0</v>
      </c>
      <c r="U1056">
        <v>0</v>
      </c>
      <c r="V1056">
        <v>0</v>
      </c>
      <c r="W1056">
        <v>470</v>
      </c>
      <c r="X1056">
        <v>0</v>
      </c>
      <c r="Y1056">
        <v>0</v>
      </c>
    </row>
    <row r="1057" spans="1:25" x14ac:dyDescent="0.3">
      <c r="A1057">
        <v>1056</v>
      </c>
      <c r="B1057">
        <v>20000</v>
      </c>
      <c r="C1057">
        <v>1</v>
      </c>
      <c r="D1057">
        <v>2</v>
      </c>
      <c r="E1057">
        <v>2</v>
      </c>
      <c r="F1057">
        <v>23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18852</v>
      </c>
      <c r="N1057">
        <v>16648</v>
      </c>
      <c r="O1057">
        <v>19395</v>
      </c>
      <c r="P1057">
        <v>20271</v>
      </c>
      <c r="Q1057">
        <v>20445</v>
      </c>
      <c r="R1057">
        <v>17532</v>
      </c>
      <c r="S1057">
        <v>1500</v>
      </c>
      <c r="T1057">
        <v>4000</v>
      </c>
      <c r="U1057">
        <v>2000</v>
      </c>
      <c r="V1057">
        <v>2000</v>
      </c>
      <c r="W1057">
        <v>2900</v>
      </c>
      <c r="X1057">
        <v>2735</v>
      </c>
      <c r="Y1057">
        <v>0</v>
      </c>
    </row>
    <row r="1058" spans="1:25" x14ac:dyDescent="0.3">
      <c r="A1058">
        <v>1057</v>
      </c>
      <c r="B1058">
        <v>190000</v>
      </c>
      <c r="C1058">
        <v>2</v>
      </c>
      <c r="D1058">
        <v>1</v>
      </c>
      <c r="E1058">
        <v>2</v>
      </c>
      <c r="F1058">
        <v>33</v>
      </c>
      <c r="G1058">
        <v>1</v>
      </c>
      <c r="H1058">
        <v>2</v>
      </c>
      <c r="I1058">
        <v>0</v>
      </c>
      <c r="J1058">
        <v>0</v>
      </c>
      <c r="K1058">
        <v>0</v>
      </c>
      <c r="L1058">
        <v>0</v>
      </c>
      <c r="M1058">
        <v>115056</v>
      </c>
      <c r="N1058">
        <v>108137</v>
      </c>
      <c r="O1058">
        <v>89722</v>
      </c>
      <c r="P1058">
        <v>69861</v>
      </c>
      <c r="Q1058">
        <v>49894</v>
      </c>
      <c r="R1058">
        <v>49727</v>
      </c>
      <c r="S1058">
        <v>0</v>
      </c>
      <c r="T1058">
        <v>4413</v>
      </c>
      <c r="U1058">
        <v>2942</v>
      </c>
      <c r="V1058">
        <v>2000</v>
      </c>
      <c r="W1058">
        <v>1583</v>
      </c>
      <c r="X1058">
        <v>1500</v>
      </c>
      <c r="Y1058">
        <v>0</v>
      </c>
    </row>
    <row r="1059" spans="1:25" x14ac:dyDescent="0.3">
      <c r="A1059">
        <v>1058</v>
      </c>
      <c r="B1059">
        <v>20000</v>
      </c>
      <c r="C1059">
        <v>2</v>
      </c>
      <c r="D1059">
        <v>2</v>
      </c>
      <c r="E1059">
        <v>1</v>
      </c>
      <c r="F1059">
        <v>29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15890</v>
      </c>
      <c r="N1059">
        <v>13995</v>
      </c>
      <c r="O1059">
        <v>13375</v>
      </c>
      <c r="P1059">
        <v>14205</v>
      </c>
      <c r="Q1059">
        <v>15869</v>
      </c>
      <c r="R1059">
        <v>16666</v>
      </c>
      <c r="S1059">
        <v>2000</v>
      </c>
      <c r="T1059">
        <v>2000</v>
      </c>
      <c r="U1059">
        <v>1000</v>
      </c>
      <c r="V1059">
        <v>2000</v>
      </c>
      <c r="W1059">
        <v>1000</v>
      </c>
      <c r="X1059">
        <v>1000</v>
      </c>
      <c r="Y1059">
        <v>0</v>
      </c>
    </row>
    <row r="1060" spans="1:25" x14ac:dyDescent="0.3">
      <c r="A1060">
        <v>1059</v>
      </c>
      <c r="B1060">
        <v>80000</v>
      </c>
      <c r="C1060">
        <v>2</v>
      </c>
      <c r="D1060">
        <v>3</v>
      </c>
      <c r="E1060">
        <v>1</v>
      </c>
      <c r="F1060">
        <v>67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-1</v>
      </c>
      <c r="M1060">
        <v>20255</v>
      </c>
      <c r="N1060">
        <v>18885</v>
      </c>
      <c r="O1060">
        <v>21529</v>
      </c>
      <c r="P1060">
        <v>29236</v>
      </c>
      <c r="Q1060">
        <v>10662</v>
      </c>
      <c r="R1060">
        <v>2408</v>
      </c>
      <c r="S1060">
        <v>6000</v>
      </c>
      <c r="T1060">
        <v>5002</v>
      </c>
      <c r="U1060">
        <v>10662</v>
      </c>
      <c r="V1060">
        <v>2</v>
      </c>
      <c r="W1060">
        <v>2408</v>
      </c>
      <c r="X1060">
        <v>11662</v>
      </c>
      <c r="Y1060">
        <v>0</v>
      </c>
    </row>
    <row r="1061" spans="1:25" x14ac:dyDescent="0.3">
      <c r="A1061">
        <v>1060</v>
      </c>
      <c r="B1061">
        <v>20000</v>
      </c>
      <c r="C1061">
        <v>1</v>
      </c>
      <c r="D1061">
        <v>3</v>
      </c>
      <c r="E1061">
        <v>1</v>
      </c>
      <c r="F1061">
        <v>33</v>
      </c>
      <c r="G1061">
        <v>2</v>
      </c>
      <c r="H1061">
        <v>0</v>
      </c>
      <c r="I1061">
        <v>0</v>
      </c>
      <c r="J1061">
        <v>0</v>
      </c>
      <c r="K1061">
        <v>0</v>
      </c>
      <c r="L1061">
        <v>-2</v>
      </c>
      <c r="M1061">
        <v>20500</v>
      </c>
      <c r="N1061">
        <v>16237</v>
      </c>
      <c r="O1061">
        <v>20960</v>
      </c>
      <c r="P1061">
        <v>6914</v>
      </c>
      <c r="Q1061">
        <v>1017</v>
      </c>
      <c r="R1061">
        <v>780</v>
      </c>
      <c r="S1061">
        <v>2191</v>
      </c>
      <c r="T1061">
        <v>1000</v>
      </c>
      <c r="U1061">
        <v>0</v>
      </c>
      <c r="V1061">
        <v>1017</v>
      </c>
      <c r="W1061">
        <v>780</v>
      </c>
      <c r="X1061">
        <v>6380</v>
      </c>
      <c r="Y1061">
        <v>1</v>
      </c>
    </row>
    <row r="1062" spans="1:25" x14ac:dyDescent="0.3">
      <c r="A1062">
        <v>1061</v>
      </c>
      <c r="B1062">
        <v>60000</v>
      </c>
      <c r="C1062">
        <v>2</v>
      </c>
      <c r="D1062">
        <v>3</v>
      </c>
      <c r="E1062">
        <v>1</v>
      </c>
      <c r="F1062">
        <v>34</v>
      </c>
      <c r="G1062">
        <v>0</v>
      </c>
      <c r="H1062">
        <v>0</v>
      </c>
      <c r="I1062">
        <v>0</v>
      </c>
      <c r="J1062">
        <v>2</v>
      </c>
      <c r="K1062">
        <v>0</v>
      </c>
      <c r="L1062">
        <v>0</v>
      </c>
      <c r="M1062">
        <v>9928</v>
      </c>
      <c r="N1062">
        <v>11261</v>
      </c>
      <c r="O1062">
        <v>12853</v>
      </c>
      <c r="P1062">
        <v>12352</v>
      </c>
      <c r="Q1062">
        <v>12703</v>
      </c>
      <c r="R1062">
        <v>13338</v>
      </c>
      <c r="S1062">
        <v>1500</v>
      </c>
      <c r="T1062">
        <v>2090</v>
      </c>
      <c r="U1062">
        <v>0</v>
      </c>
      <c r="V1062">
        <v>700</v>
      </c>
      <c r="W1062">
        <v>1000</v>
      </c>
      <c r="X1062">
        <v>1400</v>
      </c>
      <c r="Y1062">
        <v>1</v>
      </c>
    </row>
    <row r="1063" spans="1:25" x14ac:dyDescent="0.3">
      <c r="A1063">
        <v>1062</v>
      </c>
      <c r="B1063">
        <v>50000</v>
      </c>
      <c r="C1063">
        <v>1</v>
      </c>
      <c r="D1063">
        <v>2</v>
      </c>
      <c r="E1063">
        <v>1</v>
      </c>
      <c r="F1063">
        <v>49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10750</v>
      </c>
      <c r="N1063">
        <v>8755</v>
      </c>
      <c r="O1063">
        <v>8684</v>
      </c>
      <c r="P1063">
        <v>5983</v>
      </c>
      <c r="Q1063">
        <v>4252</v>
      </c>
      <c r="R1063">
        <v>5034</v>
      </c>
      <c r="S1063">
        <v>1507</v>
      </c>
      <c r="T1063">
        <v>3109</v>
      </c>
      <c r="U1063">
        <v>2209</v>
      </c>
      <c r="V1063">
        <v>2000</v>
      </c>
      <c r="W1063">
        <v>2500</v>
      </c>
      <c r="X1063">
        <v>3000</v>
      </c>
      <c r="Y1063">
        <v>0</v>
      </c>
    </row>
    <row r="1064" spans="1:25" x14ac:dyDescent="0.3">
      <c r="A1064">
        <v>1063</v>
      </c>
      <c r="B1064">
        <v>280000</v>
      </c>
      <c r="C1064">
        <v>2</v>
      </c>
      <c r="D1064">
        <v>2</v>
      </c>
      <c r="E1064">
        <v>1</v>
      </c>
      <c r="F1064">
        <v>56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284204</v>
      </c>
      <c r="N1064">
        <v>284041</v>
      </c>
      <c r="O1064">
        <v>283396</v>
      </c>
      <c r="P1064">
        <v>213294</v>
      </c>
      <c r="Q1064">
        <v>213384</v>
      </c>
      <c r="R1064">
        <v>213604</v>
      </c>
      <c r="S1064">
        <v>10261</v>
      </c>
      <c r="T1064">
        <v>17003</v>
      </c>
      <c r="U1064">
        <v>7657</v>
      </c>
      <c r="V1064">
        <v>7750</v>
      </c>
      <c r="W1064">
        <v>7861</v>
      </c>
      <c r="X1064">
        <v>8083</v>
      </c>
      <c r="Y1064">
        <v>1</v>
      </c>
    </row>
    <row r="1065" spans="1:25" x14ac:dyDescent="0.3">
      <c r="A1065">
        <v>1064</v>
      </c>
      <c r="B1065">
        <v>300000</v>
      </c>
      <c r="C1065">
        <v>1</v>
      </c>
      <c r="D1065">
        <v>1</v>
      </c>
      <c r="E1065">
        <v>1</v>
      </c>
      <c r="F1065">
        <v>42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120151</v>
      </c>
      <c r="N1065">
        <v>89618</v>
      </c>
      <c r="O1065">
        <v>47857</v>
      </c>
      <c r="P1065">
        <v>48128</v>
      </c>
      <c r="Q1065">
        <v>50332</v>
      </c>
      <c r="R1065">
        <v>23688</v>
      </c>
      <c r="S1065">
        <v>4229</v>
      </c>
      <c r="T1065">
        <v>5024</v>
      </c>
      <c r="U1065">
        <v>6012</v>
      </c>
      <c r="V1065">
        <v>5191</v>
      </c>
      <c r="W1065">
        <v>12139</v>
      </c>
      <c r="X1065">
        <v>110247</v>
      </c>
      <c r="Y1065">
        <v>0</v>
      </c>
    </row>
    <row r="1066" spans="1:25" x14ac:dyDescent="0.3">
      <c r="A1066">
        <v>1065</v>
      </c>
      <c r="B1066">
        <v>30000</v>
      </c>
      <c r="C1066">
        <v>2</v>
      </c>
      <c r="D1066">
        <v>3</v>
      </c>
      <c r="E1066">
        <v>1</v>
      </c>
      <c r="F1066">
        <v>55</v>
      </c>
      <c r="G1066">
        <v>2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29278</v>
      </c>
      <c r="N1066">
        <v>30393</v>
      </c>
      <c r="O1066">
        <v>29785</v>
      </c>
      <c r="P1066">
        <v>30377</v>
      </c>
      <c r="Q1066">
        <v>30155</v>
      </c>
      <c r="R1066">
        <v>31098</v>
      </c>
      <c r="S1066">
        <v>1600</v>
      </c>
      <c r="T1066">
        <v>1585</v>
      </c>
      <c r="U1066">
        <v>1377</v>
      </c>
      <c r="V1066">
        <v>1155</v>
      </c>
      <c r="W1066">
        <v>2600</v>
      </c>
      <c r="X1066">
        <v>0</v>
      </c>
      <c r="Y1066">
        <v>1</v>
      </c>
    </row>
    <row r="1067" spans="1:25" x14ac:dyDescent="0.3">
      <c r="A1067">
        <v>1066</v>
      </c>
      <c r="B1067">
        <v>270000</v>
      </c>
      <c r="C1067">
        <v>2</v>
      </c>
      <c r="D1067">
        <v>2</v>
      </c>
      <c r="E1067">
        <v>1</v>
      </c>
      <c r="F1067">
        <v>25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21586</v>
      </c>
      <c r="N1067">
        <v>239499</v>
      </c>
      <c r="O1067">
        <v>203867</v>
      </c>
      <c r="P1067">
        <v>188064</v>
      </c>
      <c r="Q1067">
        <v>147915</v>
      </c>
      <c r="R1067">
        <v>139976</v>
      </c>
      <c r="S1067">
        <v>239104</v>
      </c>
      <c r="T1067">
        <v>7098</v>
      </c>
      <c r="U1067">
        <v>6179</v>
      </c>
      <c r="V1067">
        <v>5023</v>
      </c>
      <c r="W1067">
        <v>6090</v>
      </c>
      <c r="X1067">
        <v>4000</v>
      </c>
      <c r="Y1067">
        <v>0</v>
      </c>
    </row>
    <row r="1068" spans="1:25" x14ac:dyDescent="0.3">
      <c r="A1068">
        <v>1067</v>
      </c>
      <c r="B1068">
        <v>100000</v>
      </c>
      <c r="C1068">
        <v>1</v>
      </c>
      <c r="D1068">
        <v>3</v>
      </c>
      <c r="E1068">
        <v>2</v>
      </c>
      <c r="F1068">
        <v>30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87579</v>
      </c>
      <c r="N1068">
        <v>72308</v>
      </c>
      <c r="O1068">
        <v>53505</v>
      </c>
      <c r="P1068">
        <v>43371</v>
      </c>
      <c r="Q1068">
        <v>48125</v>
      </c>
      <c r="R1068">
        <v>40388</v>
      </c>
      <c r="S1068">
        <v>4172</v>
      </c>
      <c r="T1068">
        <v>2094</v>
      </c>
      <c r="U1068">
        <v>3007</v>
      </c>
      <c r="V1068">
        <v>10021</v>
      </c>
      <c r="W1068">
        <v>3012</v>
      </c>
      <c r="X1068">
        <v>1527</v>
      </c>
      <c r="Y1068">
        <v>0</v>
      </c>
    </row>
    <row r="1069" spans="1:25" x14ac:dyDescent="0.3">
      <c r="A1069">
        <v>1068</v>
      </c>
      <c r="B1069">
        <v>240000</v>
      </c>
      <c r="C1069">
        <v>1</v>
      </c>
      <c r="D1069">
        <v>2</v>
      </c>
      <c r="E1069">
        <v>2</v>
      </c>
      <c r="F1069">
        <v>43</v>
      </c>
      <c r="G1069">
        <v>-1</v>
      </c>
      <c r="H1069">
        <v>-1</v>
      </c>
      <c r="I1069">
        <v>-1</v>
      </c>
      <c r="J1069">
        <v>-1</v>
      </c>
      <c r="K1069">
        <v>-1</v>
      </c>
      <c r="L1069">
        <v>-1</v>
      </c>
      <c r="M1069">
        <v>291</v>
      </c>
      <c r="N1069">
        <v>291</v>
      </c>
      <c r="O1069">
        <v>291</v>
      </c>
      <c r="P1069">
        <v>291</v>
      </c>
      <c r="Q1069">
        <v>291</v>
      </c>
      <c r="R1069">
        <v>291</v>
      </c>
      <c r="S1069">
        <v>291</v>
      </c>
      <c r="T1069">
        <v>291</v>
      </c>
      <c r="U1069">
        <v>291</v>
      </c>
      <c r="V1069">
        <v>291</v>
      </c>
      <c r="W1069">
        <v>291</v>
      </c>
      <c r="X1069">
        <v>291</v>
      </c>
      <c r="Y1069">
        <v>1</v>
      </c>
    </row>
    <row r="1070" spans="1:25" x14ac:dyDescent="0.3">
      <c r="A1070">
        <v>1069</v>
      </c>
      <c r="B1070">
        <v>200000</v>
      </c>
      <c r="C1070">
        <v>1</v>
      </c>
      <c r="D1070">
        <v>1</v>
      </c>
      <c r="E1070">
        <v>2</v>
      </c>
      <c r="F1070">
        <v>40</v>
      </c>
      <c r="G1070">
        <v>-1</v>
      </c>
      <c r="H1070">
        <v>-1</v>
      </c>
      <c r="I1070">
        <v>-1</v>
      </c>
      <c r="J1070">
        <v>-1</v>
      </c>
      <c r="K1070">
        <v>-1</v>
      </c>
      <c r="L1070">
        <v>-1</v>
      </c>
      <c r="M1070">
        <v>2159</v>
      </c>
      <c r="N1070">
        <v>760</v>
      </c>
      <c r="O1070">
        <v>2775</v>
      </c>
      <c r="P1070">
        <v>22813</v>
      </c>
      <c r="Q1070">
        <v>10526</v>
      </c>
      <c r="R1070">
        <v>326</v>
      </c>
      <c r="S1070">
        <v>1086</v>
      </c>
      <c r="T1070">
        <v>2775</v>
      </c>
      <c r="U1070">
        <v>22813</v>
      </c>
      <c r="V1070">
        <v>10526</v>
      </c>
      <c r="W1070">
        <v>326</v>
      </c>
      <c r="X1070">
        <v>573</v>
      </c>
      <c r="Y1070">
        <v>0</v>
      </c>
    </row>
    <row r="1071" spans="1:25" x14ac:dyDescent="0.3">
      <c r="A1071">
        <v>1070</v>
      </c>
      <c r="B1071">
        <v>110000</v>
      </c>
      <c r="C1071">
        <v>2</v>
      </c>
      <c r="D1071">
        <v>1</v>
      </c>
      <c r="E1071">
        <v>2</v>
      </c>
      <c r="F1071">
        <v>35</v>
      </c>
      <c r="G1071">
        <v>0</v>
      </c>
      <c r="H1071">
        <v>0</v>
      </c>
      <c r="I1071">
        <v>2</v>
      </c>
      <c r="J1071">
        <v>2</v>
      </c>
      <c r="K1071">
        <v>0</v>
      </c>
      <c r="L1071">
        <v>0</v>
      </c>
      <c r="M1071">
        <v>32691</v>
      </c>
      <c r="N1071">
        <v>36344</v>
      </c>
      <c r="O1071">
        <v>36055</v>
      </c>
      <c r="P1071">
        <v>36163</v>
      </c>
      <c r="Q1071">
        <v>37028</v>
      </c>
      <c r="R1071">
        <v>38250</v>
      </c>
      <c r="S1071">
        <v>4500</v>
      </c>
      <c r="T1071">
        <v>600</v>
      </c>
      <c r="U1071">
        <v>1000</v>
      </c>
      <c r="V1071">
        <v>1600</v>
      </c>
      <c r="W1071">
        <v>2000</v>
      </c>
      <c r="X1071">
        <v>2000</v>
      </c>
      <c r="Y1071">
        <v>0</v>
      </c>
    </row>
    <row r="1072" spans="1:25" x14ac:dyDescent="0.3">
      <c r="A1072">
        <v>1071</v>
      </c>
      <c r="B1072">
        <v>230000</v>
      </c>
      <c r="C1072">
        <v>1</v>
      </c>
      <c r="D1072">
        <v>1</v>
      </c>
      <c r="E1072">
        <v>1</v>
      </c>
      <c r="F1072">
        <v>61</v>
      </c>
      <c r="G1072">
        <v>-1</v>
      </c>
      <c r="H1072">
        <v>-1</v>
      </c>
      <c r="I1072">
        <v>-1</v>
      </c>
      <c r="J1072">
        <v>-1</v>
      </c>
      <c r="K1072">
        <v>-1</v>
      </c>
      <c r="L1072">
        <v>-1</v>
      </c>
      <c r="M1072">
        <v>1477</v>
      </c>
      <c r="N1072">
        <v>3699</v>
      </c>
      <c r="O1072">
        <v>2252</v>
      </c>
      <c r="P1072">
        <v>4932</v>
      </c>
      <c r="Q1072">
        <v>2783</v>
      </c>
      <c r="R1072">
        <v>7411</v>
      </c>
      <c r="S1072">
        <v>3710</v>
      </c>
      <c r="T1072">
        <v>2266</v>
      </c>
      <c r="U1072">
        <v>7338</v>
      </c>
      <c r="V1072">
        <v>2791</v>
      </c>
      <c r="W1072">
        <v>7433</v>
      </c>
      <c r="X1072">
        <v>4527</v>
      </c>
      <c r="Y1072">
        <v>0</v>
      </c>
    </row>
    <row r="1073" spans="1:25" x14ac:dyDescent="0.3">
      <c r="A1073">
        <v>1072</v>
      </c>
      <c r="B1073">
        <v>150000</v>
      </c>
      <c r="C1073">
        <v>2</v>
      </c>
      <c r="D1073">
        <v>2</v>
      </c>
      <c r="E1073">
        <v>1</v>
      </c>
      <c r="F1073">
        <v>44</v>
      </c>
      <c r="G1073">
        <v>-1</v>
      </c>
      <c r="H1073">
        <v>-1</v>
      </c>
      <c r="I1073">
        <v>-1</v>
      </c>
      <c r="J1073">
        <v>-1</v>
      </c>
      <c r="K1073">
        <v>-1</v>
      </c>
      <c r="L1073">
        <v>-1</v>
      </c>
      <c r="M1073">
        <v>390</v>
      </c>
      <c r="N1073">
        <v>5104</v>
      </c>
      <c r="O1073">
        <v>10318</v>
      </c>
      <c r="P1073">
        <v>5775</v>
      </c>
      <c r="Q1073">
        <v>14441</v>
      </c>
      <c r="R1073">
        <v>780</v>
      </c>
      <c r="S1073">
        <v>5104</v>
      </c>
      <c r="T1073">
        <v>10318</v>
      </c>
      <c r="U1073">
        <v>10355</v>
      </c>
      <c r="V1073">
        <v>14441</v>
      </c>
      <c r="W1073">
        <v>780</v>
      </c>
      <c r="X1073">
        <v>66950</v>
      </c>
      <c r="Y1073">
        <v>1</v>
      </c>
    </row>
    <row r="1074" spans="1:25" x14ac:dyDescent="0.3">
      <c r="A1074">
        <v>1073</v>
      </c>
      <c r="B1074">
        <v>350000</v>
      </c>
      <c r="C1074">
        <v>1</v>
      </c>
      <c r="D1074">
        <v>1</v>
      </c>
      <c r="E1074">
        <v>2</v>
      </c>
      <c r="F1074">
        <v>33</v>
      </c>
      <c r="G1074">
        <v>-1</v>
      </c>
      <c r="H1074">
        <v>-1</v>
      </c>
      <c r="I1074">
        <v>-1</v>
      </c>
      <c r="J1074">
        <v>-1</v>
      </c>
      <c r="K1074">
        <v>-1</v>
      </c>
      <c r="L1074">
        <v>-1</v>
      </c>
      <c r="M1074">
        <v>148341</v>
      </c>
      <c r="N1074">
        <v>8095</v>
      </c>
      <c r="O1074">
        <v>15047</v>
      </c>
      <c r="P1074">
        <v>3220</v>
      </c>
      <c r="Q1074">
        <v>20461</v>
      </c>
      <c r="R1074">
        <v>3249</v>
      </c>
      <c r="S1074">
        <v>8405</v>
      </c>
      <c r="T1074">
        <v>15052</v>
      </c>
      <c r="U1074">
        <v>3805</v>
      </c>
      <c r="V1074">
        <v>20467</v>
      </c>
      <c r="W1074">
        <v>3253</v>
      </c>
      <c r="X1074">
        <v>27168</v>
      </c>
      <c r="Y1074">
        <v>0</v>
      </c>
    </row>
    <row r="1075" spans="1:25" x14ac:dyDescent="0.3">
      <c r="A1075">
        <v>1074</v>
      </c>
      <c r="B1075">
        <v>360000</v>
      </c>
      <c r="C1075">
        <v>1</v>
      </c>
      <c r="D1075">
        <v>6</v>
      </c>
      <c r="E1075">
        <v>1</v>
      </c>
      <c r="F1075">
        <v>66</v>
      </c>
      <c r="G1075">
        <v>-1</v>
      </c>
      <c r="H1075">
        <v>-1</v>
      </c>
      <c r="I1075">
        <v>-1</v>
      </c>
      <c r="J1075">
        <v>-1</v>
      </c>
      <c r="K1075">
        <v>-1</v>
      </c>
      <c r="L1075">
        <v>-1</v>
      </c>
      <c r="M1075">
        <v>47615</v>
      </c>
      <c r="N1075">
        <v>74976</v>
      </c>
      <c r="O1075">
        <v>4040</v>
      </c>
      <c r="P1075">
        <v>151858</v>
      </c>
      <c r="Q1075">
        <v>48580</v>
      </c>
      <c r="R1075">
        <v>1451</v>
      </c>
      <c r="S1075">
        <v>75351</v>
      </c>
      <c r="T1075">
        <v>4064</v>
      </c>
      <c r="U1075">
        <v>152618</v>
      </c>
      <c r="V1075">
        <v>48822</v>
      </c>
      <c r="W1075">
        <v>1451</v>
      </c>
      <c r="X1075">
        <v>171944</v>
      </c>
      <c r="Y1075">
        <v>0</v>
      </c>
    </row>
    <row r="1076" spans="1:25" x14ac:dyDescent="0.3">
      <c r="A1076">
        <v>1075</v>
      </c>
      <c r="B1076">
        <v>150000</v>
      </c>
      <c r="C1076">
        <v>2</v>
      </c>
      <c r="D1076">
        <v>2</v>
      </c>
      <c r="E1076">
        <v>2</v>
      </c>
      <c r="F1076">
        <v>40</v>
      </c>
      <c r="G1076">
        <v>1</v>
      </c>
      <c r="H1076">
        <v>-1</v>
      </c>
      <c r="I1076">
        <v>-1</v>
      </c>
      <c r="J1076">
        <v>-1</v>
      </c>
      <c r="K1076">
        <v>-1</v>
      </c>
      <c r="L1076">
        <v>-2</v>
      </c>
      <c r="M1076">
        <v>-19</v>
      </c>
      <c r="N1076">
        <v>3894</v>
      </c>
      <c r="O1076">
        <v>5570</v>
      </c>
      <c r="P1076">
        <v>10516</v>
      </c>
      <c r="Q1076">
        <v>-3</v>
      </c>
      <c r="R1076">
        <v>-3</v>
      </c>
      <c r="S1076">
        <v>3913</v>
      </c>
      <c r="T1076">
        <v>5606</v>
      </c>
      <c r="U1076">
        <v>10568</v>
      </c>
      <c r="V1076">
        <v>0</v>
      </c>
      <c r="W1076">
        <v>0</v>
      </c>
      <c r="X1076">
        <v>2379</v>
      </c>
      <c r="Y1076">
        <v>0</v>
      </c>
    </row>
    <row r="1077" spans="1:25" x14ac:dyDescent="0.3">
      <c r="A1077">
        <v>1076</v>
      </c>
      <c r="B1077">
        <v>100000</v>
      </c>
      <c r="C1077">
        <v>1</v>
      </c>
      <c r="D1077">
        <v>3</v>
      </c>
      <c r="E1077">
        <v>2</v>
      </c>
      <c r="F1077">
        <v>47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94925</v>
      </c>
      <c r="N1077">
        <v>95130</v>
      </c>
      <c r="O1077">
        <v>60003</v>
      </c>
      <c r="P1077">
        <v>38500</v>
      </c>
      <c r="Q1077">
        <v>4681</v>
      </c>
      <c r="R1077">
        <v>76728</v>
      </c>
      <c r="S1077">
        <v>3889</v>
      </c>
      <c r="T1077">
        <v>2412</v>
      </c>
      <c r="U1077">
        <v>1698</v>
      </c>
      <c r="V1077">
        <v>679</v>
      </c>
      <c r="W1077">
        <v>72809</v>
      </c>
      <c r="X1077">
        <v>2748</v>
      </c>
      <c r="Y1077">
        <v>0</v>
      </c>
    </row>
    <row r="1078" spans="1:25" x14ac:dyDescent="0.3">
      <c r="A1078">
        <v>1077</v>
      </c>
      <c r="B1078">
        <v>500000</v>
      </c>
      <c r="C1078">
        <v>1</v>
      </c>
      <c r="D1078">
        <v>1</v>
      </c>
      <c r="E1078">
        <v>2</v>
      </c>
      <c r="F1078">
        <v>27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204198</v>
      </c>
      <c r="N1078">
        <v>201648</v>
      </c>
      <c r="O1078">
        <v>197549</v>
      </c>
      <c r="P1078">
        <v>192093</v>
      </c>
      <c r="Q1078">
        <v>187726</v>
      </c>
      <c r="R1078">
        <v>183860</v>
      </c>
      <c r="S1078">
        <v>7434</v>
      </c>
      <c r="T1078">
        <v>6342</v>
      </c>
      <c r="U1078">
        <v>5276</v>
      </c>
      <c r="V1078">
        <v>5271</v>
      </c>
      <c r="W1078">
        <v>5778</v>
      </c>
      <c r="X1078">
        <v>5029</v>
      </c>
      <c r="Y1078">
        <v>0</v>
      </c>
    </row>
    <row r="1079" spans="1:25" x14ac:dyDescent="0.3">
      <c r="A1079">
        <v>1078</v>
      </c>
      <c r="B1079">
        <v>500000</v>
      </c>
      <c r="C1079">
        <v>1</v>
      </c>
      <c r="D1079">
        <v>1</v>
      </c>
      <c r="E1079">
        <v>2</v>
      </c>
      <c r="F1079">
        <v>35</v>
      </c>
      <c r="G1079">
        <v>-1</v>
      </c>
      <c r="H1079">
        <v>0</v>
      </c>
      <c r="I1079">
        <v>-1</v>
      </c>
      <c r="J1079">
        <v>-1</v>
      </c>
      <c r="K1079">
        <v>-1</v>
      </c>
      <c r="L1079">
        <v>0</v>
      </c>
      <c r="M1079">
        <v>172041</v>
      </c>
      <c r="N1079">
        <v>70011</v>
      </c>
      <c r="O1079">
        <v>12976</v>
      </c>
      <c r="P1079">
        <v>34469</v>
      </c>
      <c r="Q1079">
        <v>27425</v>
      </c>
      <c r="R1079">
        <v>28506</v>
      </c>
      <c r="S1079">
        <v>58761</v>
      </c>
      <c r="T1079">
        <v>13976</v>
      </c>
      <c r="U1079">
        <v>34828</v>
      </c>
      <c r="V1079">
        <v>28289</v>
      </c>
      <c r="W1079">
        <v>18175</v>
      </c>
      <c r="X1079">
        <v>17500</v>
      </c>
      <c r="Y1079">
        <v>0</v>
      </c>
    </row>
    <row r="1080" spans="1:25" x14ac:dyDescent="0.3">
      <c r="A1080">
        <v>1079</v>
      </c>
      <c r="B1080">
        <v>180000</v>
      </c>
      <c r="C1080">
        <v>2</v>
      </c>
      <c r="D1080">
        <v>3</v>
      </c>
      <c r="E1080">
        <v>1</v>
      </c>
      <c r="F1080">
        <v>47</v>
      </c>
      <c r="G1080">
        <v>-1</v>
      </c>
      <c r="H1080">
        <v>-1</v>
      </c>
      <c r="I1080">
        <v>-1</v>
      </c>
      <c r="J1080">
        <v>-1</v>
      </c>
      <c r="K1080">
        <v>-1</v>
      </c>
      <c r="L1080">
        <v>-1</v>
      </c>
      <c r="M1080">
        <v>316</v>
      </c>
      <c r="N1080">
        <v>316</v>
      </c>
      <c r="O1080">
        <v>316</v>
      </c>
      <c r="P1080">
        <v>316</v>
      </c>
      <c r="Q1080">
        <v>316</v>
      </c>
      <c r="R1080">
        <v>316</v>
      </c>
      <c r="S1080">
        <v>316</v>
      </c>
      <c r="T1080">
        <v>316</v>
      </c>
      <c r="U1080">
        <v>316</v>
      </c>
      <c r="V1080">
        <v>316</v>
      </c>
      <c r="W1080">
        <v>316</v>
      </c>
      <c r="X1080">
        <v>316</v>
      </c>
      <c r="Y1080">
        <v>0</v>
      </c>
    </row>
    <row r="1081" spans="1:25" x14ac:dyDescent="0.3">
      <c r="A1081">
        <v>1080</v>
      </c>
      <c r="B1081">
        <v>400000</v>
      </c>
      <c r="C1081">
        <v>2</v>
      </c>
      <c r="D1081">
        <v>3</v>
      </c>
      <c r="E1081">
        <v>1</v>
      </c>
      <c r="F1081">
        <v>39</v>
      </c>
      <c r="G1081">
        <v>1</v>
      </c>
      <c r="H1081">
        <v>-1</v>
      </c>
      <c r="I1081">
        <v>-1</v>
      </c>
      <c r="J1081">
        <v>-1</v>
      </c>
      <c r="K1081">
        <v>-2</v>
      </c>
      <c r="L1081">
        <v>-1</v>
      </c>
      <c r="M1081">
        <v>2384</v>
      </c>
      <c r="N1081">
        <v>3500</v>
      </c>
      <c r="O1081">
        <v>471</v>
      </c>
      <c r="P1081">
        <v>-203</v>
      </c>
      <c r="Q1081">
        <v>2371</v>
      </c>
      <c r="R1081">
        <v>1949</v>
      </c>
      <c r="S1081">
        <v>3603</v>
      </c>
      <c r="T1081">
        <v>471</v>
      </c>
      <c r="U1081">
        <v>203</v>
      </c>
      <c r="V1081">
        <v>2574</v>
      </c>
      <c r="W1081">
        <v>1949</v>
      </c>
      <c r="X1081">
        <v>1040</v>
      </c>
      <c r="Y1081">
        <v>0</v>
      </c>
    </row>
    <row r="1082" spans="1:25" x14ac:dyDescent="0.3">
      <c r="A1082">
        <v>1081</v>
      </c>
      <c r="B1082">
        <v>100000</v>
      </c>
      <c r="C1082">
        <v>2</v>
      </c>
      <c r="D1082">
        <v>2</v>
      </c>
      <c r="E1082">
        <v>2</v>
      </c>
      <c r="F1082">
        <v>29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61383</v>
      </c>
      <c r="N1082">
        <v>49560</v>
      </c>
      <c r="O1082">
        <v>40183</v>
      </c>
      <c r="P1082">
        <v>61820</v>
      </c>
      <c r="Q1082">
        <v>8322</v>
      </c>
      <c r="R1082">
        <v>6182</v>
      </c>
      <c r="S1082">
        <v>1908</v>
      </c>
      <c r="T1082">
        <v>2000</v>
      </c>
      <c r="U1082">
        <v>1000</v>
      </c>
      <c r="V1082">
        <v>2000</v>
      </c>
      <c r="W1082">
        <v>3000</v>
      </c>
      <c r="X1082">
        <v>5000</v>
      </c>
      <c r="Y1082">
        <v>0</v>
      </c>
    </row>
    <row r="1083" spans="1:25" x14ac:dyDescent="0.3">
      <c r="A1083">
        <v>1082</v>
      </c>
      <c r="B1083">
        <v>10000</v>
      </c>
      <c r="C1083">
        <v>1</v>
      </c>
      <c r="D1083">
        <v>2</v>
      </c>
      <c r="E1083">
        <v>1</v>
      </c>
      <c r="F1083">
        <v>32</v>
      </c>
      <c r="G1083">
        <v>1</v>
      </c>
      <c r="H1083">
        <v>2</v>
      </c>
      <c r="I1083">
        <v>2</v>
      </c>
      <c r="J1083">
        <v>2</v>
      </c>
      <c r="K1083">
        <v>2</v>
      </c>
      <c r="L1083">
        <v>2</v>
      </c>
      <c r="M1083">
        <v>8425</v>
      </c>
      <c r="N1083">
        <v>8148</v>
      </c>
      <c r="O1083">
        <v>9481</v>
      </c>
      <c r="P1083">
        <v>9180</v>
      </c>
      <c r="Q1083">
        <v>10052</v>
      </c>
      <c r="R1083">
        <v>10091</v>
      </c>
      <c r="S1083">
        <v>0</v>
      </c>
      <c r="T1083">
        <v>1632</v>
      </c>
      <c r="U1083">
        <v>0</v>
      </c>
      <c r="V1083">
        <v>1022</v>
      </c>
      <c r="W1083">
        <v>350</v>
      </c>
      <c r="X1083">
        <v>0</v>
      </c>
      <c r="Y1083">
        <v>0</v>
      </c>
    </row>
    <row r="1084" spans="1:25" x14ac:dyDescent="0.3">
      <c r="A1084">
        <v>1083</v>
      </c>
      <c r="B1084">
        <v>60000</v>
      </c>
      <c r="C1084">
        <v>2</v>
      </c>
      <c r="D1084">
        <v>1</v>
      </c>
      <c r="E1084">
        <v>2</v>
      </c>
      <c r="F1084">
        <v>30</v>
      </c>
      <c r="G1084">
        <v>2</v>
      </c>
      <c r="H1084">
        <v>2</v>
      </c>
      <c r="I1084">
        <v>2</v>
      </c>
      <c r="J1084">
        <v>2</v>
      </c>
      <c r="K1084">
        <v>2</v>
      </c>
      <c r="L1084">
        <v>2</v>
      </c>
      <c r="M1084">
        <v>34735</v>
      </c>
      <c r="N1084">
        <v>33895</v>
      </c>
      <c r="O1084">
        <v>36530</v>
      </c>
      <c r="P1084">
        <v>37133</v>
      </c>
      <c r="Q1084">
        <v>37893</v>
      </c>
      <c r="R1084">
        <v>37131</v>
      </c>
      <c r="S1084">
        <v>0</v>
      </c>
      <c r="T1084">
        <v>3200</v>
      </c>
      <c r="U1084">
        <v>1500</v>
      </c>
      <c r="V1084">
        <v>1500</v>
      </c>
      <c r="W1084">
        <v>0</v>
      </c>
      <c r="X1084">
        <v>1700</v>
      </c>
      <c r="Y1084">
        <v>0</v>
      </c>
    </row>
    <row r="1085" spans="1:25" x14ac:dyDescent="0.3">
      <c r="A1085">
        <v>1084</v>
      </c>
      <c r="B1085">
        <v>50000</v>
      </c>
      <c r="C1085">
        <v>2</v>
      </c>
      <c r="D1085">
        <v>1</v>
      </c>
      <c r="E1085">
        <v>2</v>
      </c>
      <c r="F1085">
        <v>25</v>
      </c>
      <c r="G1085">
        <v>1</v>
      </c>
      <c r="H1085">
        <v>2</v>
      </c>
      <c r="I1085">
        <v>2</v>
      </c>
      <c r="J1085">
        <v>2</v>
      </c>
      <c r="K1085">
        <v>2</v>
      </c>
      <c r="L1085">
        <v>2</v>
      </c>
      <c r="M1085">
        <v>47054</v>
      </c>
      <c r="N1085">
        <v>48008</v>
      </c>
      <c r="O1085">
        <v>48913</v>
      </c>
      <c r="P1085">
        <v>49847</v>
      </c>
      <c r="Q1085">
        <v>50840</v>
      </c>
      <c r="R1085">
        <v>49502</v>
      </c>
      <c r="S1085">
        <v>2000</v>
      </c>
      <c r="T1085">
        <v>2000</v>
      </c>
      <c r="U1085">
        <v>2000</v>
      </c>
      <c r="V1085">
        <v>1900</v>
      </c>
      <c r="W1085">
        <v>1900</v>
      </c>
      <c r="X1085">
        <v>1600</v>
      </c>
      <c r="Y1085">
        <v>1</v>
      </c>
    </row>
    <row r="1086" spans="1:25" x14ac:dyDescent="0.3">
      <c r="A1086">
        <v>1085</v>
      </c>
      <c r="B1086">
        <v>80000</v>
      </c>
      <c r="C1086">
        <v>2</v>
      </c>
      <c r="D1086">
        <v>2</v>
      </c>
      <c r="E1086">
        <v>2</v>
      </c>
      <c r="F1086">
        <v>23</v>
      </c>
      <c r="G1086">
        <v>-1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57314</v>
      </c>
      <c r="N1086">
        <v>58489</v>
      </c>
      <c r="O1086">
        <v>50452</v>
      </c>
      <c r="P1086">
        <v>51573</v>
      </c>
      <c r="Q1086">
        <v>49061</v>
      </c>
      <c r="R1086">
        <v>33931</v>
      </c>
      <c r="S1086">
        <v>2145</v>
      </c>
      <c r="T1086">
        <v>2000</v>
      </c>
      <c r="U1086">
        <v>2012</v>
      </c>
      <c r="V1086">
        <v>2049</v>
      </c>
      <c r="W1086">
        <v>2008</v>
      </c>
      <c r="X1086">
        <v>1217</v>
      </c>
      <c r="Y1086">
        <v>0</v>
      </c>
    </row>
    <row r="1087" spans="1:25" x14ac:dyDescent="0.3">
      <c r="A1087">
        <v>1086</v>
      </c>
      <c r="B1087">
        <v>110000</v>
      </c>
      <c r="C1087">
        <v>2</v>
      </c>
      <c r="D1087">
        <v>2</v>
      </c>
      <c r="E1087">
        <v>1</v>
      </c>
      <c r="F1087">
        <v>43</v>
      </c>
      <c r="G1087">
        <v>0</v>
      </c>
      <c r="H1087">
        <v>0</v>
      </c>
      <c r="I1087">
        <v>2</v>
      </c>
      <c r="J1087">
        <v>0</v>
      </c>
      <c r="K1087">
        <v>0</v>
      </c>
      <c r="L1087">
        <v>0</v>
      </c>
      <c r="M1087">
        <v>108616</v>
      </c>
      <c r="N1087">
        <v>114854</v>
      </c>
      <c r="O1087">
        <v>105275</v>
      </c>
      <c r="P1087">
        <v>107561</v>
      </c>
      <c r="Q1087">
        <v>105502</v>
      </c>
      <c r="R1087">
        <v>103813</v>
      </c>
      <c r="S1087">
        <v>9600</v>
      </c>
      <c r="T1087">
        <v>0</v>
      </c>
      <c r="U1087">
        <v>4000</v>
      </c>
      <c r="V1087">
        <v>3765</v>
      </c>
      <c r="W1087">
        <v>4000</v>
      </c>
      <c r="X1087">
        <v>4200</v>
      </c>
      <c r="Y1087">
        <v>0</v>
      </c>
    </row>
    <row r="1088" spans="1:25" x14ac:dyDescent="0.3">
      <c r="A1088">
        <v>1087</v>
      </c>
      <c r="B1088">
        <v>410000</v>
      </c>
      <c r="C1088">
        <v>2</v>
      </c>
      <c r="D1088">
        <v>2</v>
      </c>
      <c r="E1088">
        <v>1</v>
      </c>
      <c r="F1088">
        <v>41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354506</v>
      </c>
      <c r="N1088">
        <v>363666</v>
      </c>
      <c r="O1088">
        <v>369776</v>
      </c>
      <c r="P1088">
        <v>368779</v>
      </c>
      <c r="Q1088">
        <v>369358</v>
      </c>
      <c r="R1088">
        <v>368043</v>
      </c>
      <c r="S1088">
        <v>14600</v>
      </c>
      <c r="T1088">
        <v>15500</v>
      </c>
      <c r="U1088">
        <v>14000</v>
      </c>
      <c r="V1088">
        <v>13580</v>
      </c>
      <c r="W1088">
        <v>14000</v>
      </c>
      <c r="X1088">
        <v>19000</v>
      </c>
      <c r="Y1088">
        <v>1</v>
      </c>
    </row>
    <row r="1089" spans="1:25" x14ac:dyDescent="0.3">
      <c r="A1089">
        <v>1088</v>
      </c>
      <c r="B1089">
        <v>260000</v>
      </c>
      <c r="C1089">
        <v>2</v>
      </c>
      <c r="D1089">
        <v>2</v>
      </c>
      <c r="E1089">
        <v>1</v>
      </c>
      <c r="F1089">
        <v>40</v>
      </c>
      <c r="G1089">
        <v>1</v>
      </c>
      <c r="H1089">
        <v>-1</v>
      </c>
      <c r="I1089">
        <v>-1</v>
      </c>
      <c r="J1089">
        <v>-2</v>
      </c>
      <c r="K1089">
        <v>-2</v>
      </c>
      <c r="L1089">
        <v>-2</v>
      </c>
      <c r="M1089">
        <v>0</v>
      </c>
      <c r="N1089">
        <v>342</v>
      </c>
      <c r="O1089">
        <v>0</v>
      </c>
      <c r="P1089">
        <v>0</v>
      </c>
      <c r="Q1089">
        <v>0</v>
      </c>
      <c r="R1089">
        <v>0</v>
      </c>
      <c r="S1089">
        <v>342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</row>
    <row r="1090" spans="1:25" x14ac:dyDescent="0.3">
      <c r="A1090">
        <v>1089</v>
      </c>
      <c r="B1090">
        <v>30000</v>
      </c>
      <c r="C1090">
        <v>2</v>
      </c>
      <c r="D1090">
        <v>3</v>
      </c>
      <c r="E1090">
        <v>1</v>
      </c>
      <c r="F1090">
        <v>35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28786</v>
      </c>
      <c r="N1090">
        <v>26496</v>
      </c>
      <c r="O1090">
        <v>25098</v>
      </c>
      <c r="P1090">
        <v>26209</v>
      </c>
      <c r="Q1090">
        <v>25325</v>
      </c>
      <c r="R1090">
        <v>26400</v>
      </c>
      <c r="S1090">
        <v>1500</v>
      </c>
      <c r="T1090">
        <v>1450</v>
      </c>
      <c r="U1090">
        <v>1500</v>
      </c>
      <c r="V1090">
        <v>1500</v>
      </c>
      <c r="W1090">
        <v>1500</v>
      </c>
      <c r="X1090">
        <v>1500</v>
      </c>
      <c r="Y1090">
        <v>0</v>
      </c>
    </row>
    <row r="1091" spans="1:25" x14ac:dyDescent="0.3">
      <c r="A1091">
        <v>1090</v>
      </c>
      <c r="B1091">
        <v>310000</v>
      </c>
      <c r="C1091">
        <v>2</v>
      </c>
      <c r="D1091">
        <v>1</v>
      </c>
      <c r="E1091">
        <v>2</v>
      </c>
      <c r="F1091">
        <v>28</v>
      </c>
      <c r="G1091">
        <v>0</v>
      </c>
      <c r="H1091">
        <v>0</v>
      </c>
      <c r="I1091">
        <v>0</v>
      </c>
      <c r="J1091">
        <v>0</v>
      </c>
      <c r="K1091">
        <v>-1</v>
      </c>
      <c r="L1091">
        <v>-1</v>
      </c>
      <c r="M1091">
        <v>36513</v>
      </c>
      <c r="N1091">
        <v>37628</v>
      </c>
      <c r="O1091">
        <v>39579</v>
      </c>
      <c r="P1091">
        <v>40879</v>
      </c>
      <c r="Q1091">
        <v>85</v>
      </c>
      <c r="R1091">
        <v>4381</v>
      </c>
      <c r="S1091">
        <v>2500</v>
      </c>
      <c r="T1091">
        <v>3000</v>
      </c>
      <c r="U1091">
        <v>1500</v>
      </c>
      <c r="V1091">
        <v>85</v>
      </c>
      <c r="W1091">
        <v>4381</v>
      </c>
      <c r="X1091">
        <v>11100</v>
      </c>
      <c r="Y1091">
        <v>0</v>
      </c>
    </row>
    <row r="1092" spans="1:25" x14ac:dyDescent="0.3">
      <c r="A1092">
        <v>1091</v>
      </c>
      <c r="B1092">
        <v>70000</v>
      </c>
      <c r="C1092">
        <v>2</v>
      </c>
      <c r="D1092">
        <v>2</v>
      </c>
      <c r="E1092">
        <v>2</v>
      </c>
      <c r="F1092">
        <v>38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22578</v>
      </c>
      <c r="N1092">
        <v>23606</v>
      </c>
      <c r="O1092">
        <v>24619</v>
      </c>
      <c r="P1092">
        <v>25107</v>
      </c>
      <c r="Q1092">
        <v>25634</v>
      </c>
      <c r="R1092">
        <v>26143</v>
      </c>
      <c r="S1092">
        <v>1397</v>
      </c>
      <c r="T1092">
        <v>1410</v>
      </c>
      <c r="U1092">
        <v>898</v>
      </c>
      <c r="V1092">
        <v>931</v>
      </c>
      <c r="W1092">
        <v>936</v>
      </c>
      <c r="X1092">
        <v>970</v>
      </c>
      <c r="Y1092">
        <v>0</v>
      </c>
    </row>
    <row r="1093" spans="1:25" x14ac:dyDescent="0.3">
      <c r="A1093">
        <v>1092</v>
      </c>
      <c r="B1093">
        <v>250000</v>
      </c>
      <c r="C1093">
        <v>1</v>
      </c>
      <c r="D1093">
        <v>1</v>
      </c>
      <c r="E1093">
        <v>2</v>
      </c>
      <c r="F1093">
        <v>31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215316</v>
      </c>
      <c r="N1093">
        <v>198490</v>
      </c>
      <c r="O1093">
        <v>169014</v>
      </c>
      <c r="P1093">
        <v>167776</v>
      </c>
      <c r="Q1093">
        <v>168110</v>
      </c>
      <c r="R1093">
        <v>168505</v>
      </c>
      <c r="S1093">
        <v>6845</v>
      </c>
      <c r="T1093">
        <v>5945</v>
      </c>
      <c r="U1093">
        <v>5919</v>
      </c>
      <c r="V1093">
        <v>6000</v>
      </c>
      <c r="W1093">
        <v>6059</v>
      </c>
      <c r="X1093">
        <v>5837</v>
      </c>
      <c r="Y1093">
        <v>0</v>
      </c>
    </row>
    <row r="1094" spans="1:25" x14ac:dyDescent="0.3">
      <c r="A1094">
        <v>1093</v>
      </c>
      <c r="B1094">
        <v>210000</v>
      </c>
      <c r="C1094">
        <v>1</v>
      </c>
      <c r="D1094">
        <v>3</v>
      </c>
      <c r="E1094">
        <v>1</v>
      </c>
      <c r="F1094">
        <v>29</v>
      </c>
      <c r="G1094">
        <v>1</v>
      </c>
      <c r="H1094">
        <v>2</v>
      </c>
      <c r="I1094">
        <v>0</v>
      </c>
      <c r="J1094">
        <v>0</v>
      </c>
      <c r="K1094">
        <v>0</v>
      </c>
      <c r="L1094">
        <v>0</v>
      </c>
      <c r="M1094">
        <v>198510</v>
      </c>
      <c r="N1094">
        <v>194040</v>
      </c>
      <c r="O1094">
        <v>199393</v>
      </c>
      <c r="P1094">
        <v>194538</v>
      </c>
      <c r="Q1094">
        <v>195990</v>
      </c>
      <c r="R1094">
        <v>194136</v>
      </c>
      <c r="S1094">
        <v>0</v>
      </c>
      <c r="T1094">
        <v>10000</v>
      </c>
      <c r="U1094">
        <v>7000</v>
      </c>
      <c r="V1094">
        <v>8000</v>
      </c>
      <c r="W1094">
        <v>8000</v>
      </c>
      <c r="X1094">
        <v>7200</v>
      </c>
      <c r="Y1094">
        <v>0</v>
      </c>
    </row>
    <row r="1095" spans="1:25" x14ac:dyDescent="0.3">
      <c r="A1095">
        <v>1094</v>
      </c>
      <c r="B1095">
        <v>360000</v>
      </c>
      <c r="C1095">
        <v>1</v>
      </c>
      <c r="D1095">
        <v>2</v>
      </c>
      <c r="E1095">
        <v>1</v>
      </c>
      <c r="F1095">
        <v>41</v>
      </c>
      <c r="G1095">
        <v>1</v>
      </c>
      <c r="H1095">
        <v>-2</v>
      </c>
      <c r="I1095">
        <v>-2</v>
      </c>
      <c r="J1095">
        <v>-2</v>
      </c>
      <c r="K1095">
        <v>-2</v>
      </c>
      <c r="L1095">
        <v>-2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</row>
    <row r="1096" spans="1:25" x14ac:dyDescent="0.3">
      <c r="A1096">
        <v>1095</v>
      </c>
      <c r="B1096">
        <v>50000</v>
      </c>
      <c r="C1096">
        <v>1</v>
      </c>
      <c r="D1096">
        <v>2</v>
      </c>
      <c r="E1096">
        <v>2</v>
      </c>
      <c r="F1096">
        <v>31</v>
      </c>
      <c r="G1096">
        <v>1</v>
      </c>
      <c r="H1096">
        <v>2</v>
      </c>
      <c r="I1096">
        <v>0</v>
      </c>
      <c r="J1096">
        <v>0</v>
      </c>
      <c r="K1096">
        <v>2</v>
      </c>
      <c r="L1096">
        <v>0</v>
      </c>
      <c r="M1096">
        <v>48657</v>
      </c>
      <c r="N1096">
        <v>45079</v>
      </c>
      <c r="O1096">
        <v>47714</v>
      </c>
      <c r="P1096">
        <v>19586</v>
      </c>
      <c r="Q1096">
        <v>19143</v>
      </c>
      <c r="R1096">
        <v>20051</v>
      </c>
      <c r="S1096">
        <v>0</v>
      </c>
      <c r="T1096">
        <v>4300</v>
      </c>
      <c r="U1096">
        <v>2150</v>
      </c>
      <c r="V1096">
        <v>0</v>
      </c>
      <c r="W1096">
        <v>1204</v>
      </c>
      <c r="X1096">
        <v>1000</v>
      </c>
      <c r="Y1096">
        <v>0</v>
      </c>
    </row>
    <row r="1097" spans="1:25" x14ac:dyDescent="0.3">
      <c r="A1097">
        <v>1096</v>
      </c>
      <c r="B1097">
        <v>670000</v>
      </c>
      <c r="C1097">
        <v>1</v>
      </c>
      <c r="D1097">
        <v>1</v>
      </c>
      <c r="E1097">
        <v>2</v>
      </c>
      <c r="F1097">
        <v>29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244663</v>
      </c>
      <c r="N1097">
        <v>243209</v>
      </c>
      <c r="O1097">
        <v>229265</v>
      </c>
      <c r="P1097">
        <v>228114</v>
      </c>
      <c r="Q1097">
        <v>232795</v>
      </c>
      <c r="R1097">
        <v>237726</v>
      </c>
      <c r="S1097">
        <v>10000</v>
      </c>
      <c r="T1097">
        <v>8000</v>
      </c>
      <c r="U1097">
        <v>8500</v>
      </c>
      <c r="V1097">
        <v>8190</v>
      </c>
      <c r="W1097">
        <v>9000</v>
      </c>
      <c r="X1097">
        <v>8000</v>
      </c>
      <c r="Y1097">
        <v>0</v>
      </c>
    </row>
    <row r="1098" spans="1:25" x14ac:dyDescent="0.3">
      <c r="A1098">
        <v>1097</v>
      </c>
      <c r="B1098">
        <v>130000</v>
      </c>
      <c r="C1098">
        <v>1</v>
      </c>
      <c r="D1098">
        <v>1</v>
      </c>
      <c r="E1098">
        <v>2</v>
      </c>
      <c r="F1098">
        <v>26</v>
      </c>
      <c r="G1098">
        <v>-1</v>
      </c>
      <c r="H1098">
        <v>-1</v>
      </c>
      <c r="I1098">
        <v>0</v>
      </c>
      <c r="J1098">
        <v>0</v>
      </c>
      <c r="K1098">
        <v>0</v>
      </c>
      <c r="L1098">
        <v>0</v>
      </c>
      <c r="M1098">
        <v>2343</v>
      </c>
      <c r="N1098">
        <v>32278</v>
      </c>
      <c r="O1098">
        <v>24175</v>
      </c>
      <c r="P1098">
        <v>15182</v>
      </c>
      <c r="Q1098">
        <v>12805</v>
      </c>
      <c r="R1098">
        <v>14415</v>
      </c>
      <c r="S1098">
        <v>32322</v>
      </c>
      <c r="T1098">
        <v>1217</v>
      </c>
      <c r="U1098">
        <v>1000</v>
      </c>
      <c r="V1098">
        <v>3000</v>
      </c>
      <c r="W1098">
        <v>2000</v>
      </c>
      <c r="X1098">
        <v>390</v>
      </c>
      <c r="Y1098">
        <v>0</v>
      </c>
    </row>
    <row r="1099" spans="1:25" x14ac:dyDescent="0.3">
      <c r="A1099">
        <v>1098</v>
      </c>
      <c r="B1099">
        <v>170000</v>
      </c>
      <c r="C1099">
        <v>1</v>
      </c>
      <c r="D1099">
        <v>1</v>
      </c>
      <c r="E1099">
        <v>1</v>
      </c>
      <c r="F1099">
        <v>42</v>
      </c>
      <c r="G1099">
        <v>1</v>
      </c>
      <c r="H1099">
        <v>-2</v>
      </c>
      <c r="I1099">
        <v>-2</v>
      </c>
      <c r="J1099">
        <v>-2</v>
      </c>
      <c r="K1099">
        <v>-2</v>
      </c>
      <c r="L1099">
        <v>-1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2485</v>
      </c>
      <c r="S1099">
        <v>0</v>
      </c>
      <c r="T1099">
        <v>0</v>
      </c>
      <c r="U1099">
        <v>0</v>
      </c>
      <c r="V1099">
        <v>0</v>
      </c>
      <c r="W1099">
        <v>2485</v>
      </c>
      <c r="X1099">
        <v>7797</v>
      </c>
      <c r="Y1099">
        <v>0</v>
      </c>
    </row>
    <row r="1100" spans="1:25" x14ac:dyDescent="0.3">
      <c r="A1100">
        <v>1099</v>
      </c>
      <c r="B1100">
        <v>30000</v>
      </c>
      <c r="C1100">
        <v>1</v>
      </c>
      <c r="D1100">
        <v>3</v>
      </c>
      <c r="E1100">
        <v>2</v>
      </c>
      <c r="F1100">
        <v>29</v>
      </c>
      <c r="G1100">
        <v>-1</v>
      </c>
      <c r="H1100">
        <v>-1</v>
      </c>
      <c r="I1100">
        <v>-1</v>
      </c>
      <c r="J1100">
        <v>-1</v>
      </c>
      <c r="K1100">
        <v>-2</v>
      </c>
      <c r="L1100">
        <v>-2</v>
      </c>
      <c r="M1100">
        <v>390</v>
      </c>
      <c r="N1100">
        <v>0</v>
      </c>
      <c r="O1100">
        <v>780</v>
      </c>
      <c r="P1100">
        <v>0</v>
      </c>
      <c r="Q1100">
        <v>0</v>
      </c>
      <c r="R1100">
        <v>0</v>
      </c>
      <c r="S1100">
        <v>0</v>
      </c>
      <c r="T1100">
        <v>780</v>
      </c>
      <c r="U1100">
        <v>0</v>
      </c>
      <c r="V1100">
        <v>0</v>
      </c>
      <c r="W1100">
        <v>0</v>
      </c>
      <c r="X1100">
        <v>0</v>
      </c>
      <c r="Y1100">
        <v>0</v>
      </c>
    </row>
    <row r="1101" spans="1:25" x14ac:dyDescent="0.3">
      <c r="A1101">
        <v>1100</v>
      </c>
      <c r="B1101">
        <v>110000</v>
      </c>
      <c r="C1101">
        <v>1</v>
      </c>
      <c r="D1101">
        <v>1</v>
      </c>
      <c r="E1101">
        <v>1</v>
      </c>
      <c r="F1101">
        <v>50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36802</v>
      </c>
      <c r="N1101">
        <v>38210</v>
      </c>
      <c r="O1101">
        <v>40259</v>
      </c>
      <c r="P1101">
        <v>41585</v>
      </c>
      <c r="Q1101">
        <v>42913</v>
      </c>
      <c r="R1101">
        <v>44197</v>
      </c>
      <c r="S1101">
        <v>2000</v>
      </c>
      <c r="T1101">
        <v>3000</v>
      </c>
      <c r="U1101">
        <v>2000</v>
      </c>
      <c r="V1101">
        <v>2000</v>
      </c>
      <c r="W1101">
        <v>2000</v>
      </c>
      <c r="X1101">
        <v>2000</v>
      </c>
      <c r="Y1101">
        <v>0</v>
      </c>
    </row>
    <row r="1102" spans="1:25" x14ac:dyDescent="0.3">
      <c r="A1102">
        <v>1101</v>
      </c>
      <c r="B1102">
        <v>210000</v>
      </c>
      <c r="C1102">
        <v>2</v>
      </c>
      <c r="D1102">
        <v>3</v>
      </c>
      <c r="E1102">
        <v>2</v>
      </c>
      <c r="F1102">
        <v>46</v>
      </c>
      <c r="G1102">
        <v>1</v>
      </c>
      <c r="H1102">
        <v>2</v>
      </c>
      <c r="I1102">
        <v>0</v>
      </c>
      <c r="J1102">
        <v>0</v>
      </c>
      <c r="K1102">
        <v>-1</v>
      </c>
      <c r="L1102">
        <v>-1</v>
      </c>
      <c r="M1102">
        <v>5816</v>
      </c>
      <c r="N1102">
        <v>5579</v>
      </c>
      <c r="O1102">
        <v>20079</v>
      </c>
      <c r="P1102">
        <v>17309</v>
      </c>
      <c r="Q1102">
        <v>2310</v>
      </c>
      <c r="R1102">
        <v>241</v>
      </c>
      <c r="S1102">
        <v>13</v>
      </c>
      <c r="T1102">
        <v>17309</v>
      </c>
      <c r="U1102">
        <v>0</v>
      </c>
      <c r="V1102">
        <v>2310</v>
      </c>
      <c r="W1102">
        <v>241</v>
      </c>
      <c r="X1102">
        <v>4000</v>
      </c>
      <c r="Y1102">
        <v>1</v>
      </c>
    </row>
    <row r="1103" spans="1:25" x14ac:dyDescent="0.3">
      <c r="A1103">
        <v>1102</v>
      </c>
      <c r="B1103">
        <v>30000</v>
      </c>
      <c r="C1103">
        <v>2</v>
      </c>
      <c r="D1103">
        <v>2</v>
      </c>
      <c r="E1103">
        <v>2</v>
      </c>
      <c r="F1103">
        <v>24</v>
      </c>
      <c r="G1103">
        <v>0</v>
      </c>
      <c r="H1103">
        <v>0</v>
      </c>
      <c r="I1103">
        <v>2</v>
      </c>
      <c r="J1103">
        <v>2</v>
      </c>
      <c r="K1103">
        <v>2</v>
      </c>
      <c r="L1103">
        <v>0</v>
      </c>
      <c r="M1103">
        <v>24238</v>
      </c>
      <c r="N1103">
        <v>26996</v>
      </c>
      <c r="O1103">
        <v>26269</v>
      </c>
      <c r="P1103">
        <v>27734</v>
      </c>
      <c r="Q1103">
        <v>27151</v>
      </c>
      <c r="R1103">
        <v>28199</v>
      </c>
      <c r="S1103">
        <v>3462</v>
      </c>
      <c r="T1103">
        <v>0</v>
      </c>
      <c r="U1103">
        <v>2200</v>
      </c>
      <c r="V1103">
        <v>0</v>
      </c>
      <c r="W1103">
        <v>1500</v>
      </c>
      <c r="X1103">
        <v>1500</v>
      </c>
      <c r="Y1103">
        <v>1</v>
      </c>
    </row>
    <row r="1104" spans="1:25" x14ac:dyDescent="0.3">
      <c r="A1104">
        <v>1103</v>
      </c>
      <c r="B1104">
        <v>260000</v>
      </c>
      <c r="C1104">
        <v>2</v>
      </c>
      <c r="D1104">
        <v>2</v>
      </c>
      <c r="E1104">
        <v>1</v>
      </c>
      <c r="F1104">
        <v>46</v>
      </c>
      <c r="G1104">
        <v>0</v>
      </c>
      <c r="H1104">
        <v>0</v>
      </c>
      <c r="I1104">
        <v>2</v>
      </c>
      <c r="J1104">
        <v>2</v>
      </c>
      <c r="K1104">
        <v>2</v>
      </c>
      <c r="L1104">
        <v>0</v>
      </c>
      <c r="M1104">
        <v>18256</v>
      </c>
      <c r="N1104">
        <v>19556</v>
      </c>
      <c r="O1104">
        <v>18136</v>
      </c>
      <c r="P1104">
        <v>24018</v>
      </c>
      <c r="Q1104">
        <v>21490</v>
      </c>
      <c r="R1104">
        <v>18196</v>
      </c>
      <c r="S1104">
        <v>2934</v>
      </c>
      <c r="T1104">
        <v>0</v>
      </c>
      <c r="U1104">
        <v>8000</v>
      </c>
      <c r="V1104">
        <v>0</v>
      </c>
      <c r="W1104">
        <v>2000</v>
      </c>
      <c r="X1104">
        <v>8000</v>
      </c>
      <c r="Y1104">
        <v>0</v>
      </c>
    </row>
    <row r="1105" spans="1:25" x14ac:dyDescent="0.3">
      <c r="A1105">
        <v>1104</v>
      </c>
      <c r="B1105">
        <v>150000</v>
      </c>
      <c r="C1105">
        <v>2</v>
      </c>
      <c r="D1105">
        <v>3</v>
      </c>
      <c r="E1105">
        <v>2</v>
      </c>
      <c r="F1105">
        <v>28</v>
      </c>
      <c r="G1105">
        <v>-2</v>
      </c>
      <c r="H1105">
        <v>-1</v>
      </c>
      <c r="I1105">
        <v>-1</v>
      </c>
      <c r="J1105">
        <v>-1</v>
      </c>
      <c r="K1105">
        <v>-1</v>
      </c>
      <c r="L1105">
        <v>-1</v>
      </c>
      <c r="M1105">
        <v>1723</v>
      </c>
      <c r="N1105">
        <v>2292</v>
      </c>
      <c r="O1105">
        <v>240</v>
      </c>
      <c r="P1105">
        <v>683</v>
      </c>
      <c r="Q1105">
        <v>3486</v>
      </c>
      <c r="R1105">
        <v>5390</v>
      </c>
      <c r="S1105">
        <v>6876</v>
      </c>
      <c r="T1105">
        <v>240</v>
      </c>
      <c r="U1105">
        <v>683</v>
      </c>
      <c r="V1105">
        <v>3486</v>
      </c>
      <c r="W1105">
        <v>5390</v>
      </c>
      <c r="X1105">
        <v>1200</v>
      </c>
      <c r="Y1105">
        <v>0</v>
      </c>
    </row>
    <row r="1106" spans="1:25" x14ac:dyDescent="0.3">
      <c r="A1106">
        <v>1105</v>
      </c>
      <c r="B1106">
        <v>20000</v>
      </c>
      <c r="C1106">
        <v>2</v>
      </c>
      <c r="D1106">
        <v>2</v>
      </c>
      <c r="E1106">
        <v>1</v>
      </c>
      <c r="F1106">
        <v>35</v>
      </c>
      <c r="G1106">
        <v>1</v>
      </c>
      <c r="H1106">
        <v>2</v>
      </c>
      <c r="I1106">
        <v>2</v>
      </c>
      <c r="J1106">
        <v>3</v>
      </c>
      <c r="K1106">
        <v>2</v>
      </c>
      <c r="L1106">
        <v>0</v>
      </c>
      <c r="M1106">
        <v>18648</v>
      </c>
      <c r="N1106">
        <v>18061</v>
      </c>
      <c r="O1106">
        <v>21034</v>
      </c>
      <c r="P1106">
        <v>20419</v>
      </c>
      <c r="Q1106">
        <v>19289</v>
      </c>
      <c r="R1106">
        <v>19600</v>
      </c>
      <c r="S1106">
        <v>0</v>
      </c>
      <c r="T1106">
        <v>3292</v>
      </c>
      <c r="U1106">
        <v>0</v>
      </c>
      <c r="V1106">
        <v>0</v>
      </c>
      <c r="W1106">
        <v>781</v>
      </c>
      <c r="X1106">
        <v>701</v>
      </c>
      <c r="Y1106">
        <v>1</v>
      </c>
    </row>
    <row r="1107" spans="1:25" x14ac:dyDescent="0.3">
      <c r="A1107">
        <v>1106</v>
      </c>
      <c r="B1107">
        <v>380000</v>
      </c>
      <c r="C1107">
        <v>2</v>
      </c>
      <c r="D1107">
        <v>1</v>
      </c>
      <c r="E1107">
        <v>1</v>
      </c>
      <c r="F1107">
        <v>40</v>
      </c>
      <c r="G1107">
        <v>-1</v>
      </c>
      <c r="H1107">
        <v>-1</v>
      </c>
      <c r="I1107">
        <v>-2</v>
      </c>
      <c r="J1107">
        <v>-2</v>
      </c>
      <c r="K1107">
        <v>-2</v>
      </c>
      <c r="L1107">
        <v>-2</v>
      </c>
      <c r="M1107">
        <v>6614</v>
      </c>
      <c r="N1107">
        <v>54457</v>
      </c>
      <c r="O1107">
        <v>47872</v>
      </c>
      <c r="P1107">
        <v>24543</v>
      </c>
      <c r="Q1107">
        <v>0</v>
      </c>
      <c r="R1107">
        <v>0</v>
      </c>
      <c r="S1107">
        <v>49094</v>
      </c>
      <c r="T1107">
        <v>0</v>
      </c>
      <c r="U1107">
        <v>24543</v>
      </c>
      <c r="V1107">
        <v>0</v>
      </c>
      <c r="W1107">
        <v>0</v>
      </c>
      <c r="X1107">
        <v>0</v>
      </c>
      <c r="Y1107">
        <v>0</v>
      </c>
    </row>
    <row r="1108" spans="1:25" x14ac:dyDescent="0.3">
      <c r="A1108">
        <v>1107</v>
      </c>
      <c r="B1108">
        <v>200000</v>
      </c>
      <c r="C1108">
        <v>2</v>
      </c>
      <c r="D1108">
        <v>1</v>
      </c>
      <c r="E1108">
        <v>1</v>
      </c>
      <c r="F1108">
        <v>41</v>
      </c>
      <c r="G1108">
        <v>-2</v>
      </c>
      <c r="H1108">
        <v>-2</v>
      </c>
      <c r="I1108">
        <v>-2</v>
      </c>
      <c r="J1108">
        <v>-2</v>
      </c>
      <c r="K1108">
        <v>-2</v>
      </c>
      <c r="L1108">
        <v>-2</v>
      </c>
      <c r="M1108">
        <v>7812</v>
      </c>
      <c r="N1108">
        <v>0</v>
      </c>
      <c r="O1108">
        <v>0</v>
      </c>
      <c r="P1108">
        <v>1115</v>
      </c>
      <c r="Q1108">
        <v>0</v>
      </c>
      <c r="R1108">
        <v>0</v>
      </c>
      <c r="S1108">
        <v>0</v>
      </c>
      <c r="T1108">
        <v>0</v>
      </c>
      <c r="U1108">
        <v>1115</v>
      </c>
      <c r="V1108">
        <v>0</v>
      </c>
      <c r="W1108">
        <v>0</v>
      </c>
      <c r="X1108">
        <v>0</v>
      </c>
      <c r="Y1108">
        <v>0</v>
      </c>
    </row>
    <row r="1109" spans="1:25" x14ac:dyDescent="0.3">
      <c r="A1109">
        <v>1108</v>
      </c>
      <c r="B1109">
        <v>120000</v>
      </c>
      <c r="C1109">
        <v>2</v>
      </c>
      <c r="D1109">
        <v>2</v>
      </c>
      <c r="E1109">
        <v>1</v>
      </c>
      <c r="F1109">
        <v>47</v>
      </c>
      <c r="G1109">
        <v>-1</v>
      </c>
      <c r="H1109">
        <v>-1</v>
      </c>
      <c r="I1109">
        <v>-1</v>
      </c>
      <c r="J1109">
        <v>-1</v>
      </c>
      <c r="K1109">
        <v>-1</v>
      </c>
      <c r="L1109">
        <v>-1</v>
      </c>
      <c r="M1109">
        <v>1188</v>
      </c>
      <c r="N1109">
        <v>2512</v>
      </c>
      <c r="O1109">
        <v>3444</v>
      </c>
      <c r="P1109">
        <v>1742</v>
      </c>
      <c r="Q1109">
        <v>502</v>
      </c>
      <c r="R1109">
        <v>346</v>
      </c>
      <c r="S1109">
        <v>2512</v>
      </c>
      <c r="T1109">
        <v>3444</v>
      </c>
      <c r="U1109">
        <v>1742</v>
      </c>
      <c r="V1109">
        <v>502</v>
      </c>
      <c r="W1109">
        <v>346</v>
      </c>
      <c r="X1109">
        <v>325</v>
      </c>
      <c r="Y1109">
        <v>0</v>
      </c>
    </row>
    <row r="1110" spans="1:25" x14ac:dyDescent="0.3">
      <c r="A1110">
        <v>1109</v>
      </c>
      <c r="B1110">
        <v>80000</v>
      </c>
      <c r="C1110">
        <v>1</v>
      </c>
      <c r="D1110">
        <v>2</v>
      </c>
      <c r="E1110">
        <v>1</v>
      </c>
      <c r="F1110">
        <v>54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76962</v>
      </c>
      <c r="N1110">
        <v>79463</v>
      </c>
      <c r="O1110">
        <v>79761</v>
      </c>
      <c r="P1110">
        <v>30286</v>
      </c>
      <c r="Q1110">
        <v>29898</v>
      </c>
      <c r="R1110">
        <v>30364</v>
      </c>
      <c r="S1110">
        <v>4000</v>
      </c>
      <c r="T1110">
        <v>3500</v>
      </c>
      <c r="U1110">
        <v>1100</v>
      </c>
      <c r="V1110">
        <v>1100</v>
      </c>
      <c r="W1110">
        <v>1200</v>
      </c>
      <c r="X1110">
        <v>1000</v>
      </c>
      <c r="Y1110">
        <v>1</v>
      </c>
    </row>
    <row r="1111" spans="1:25" x14ac:dyDescent="0.3">
      <c r="A1111">
        <v>1110</v>
      </c>
      <c r="B1111">
        <v>30000</v>
      </c>
      <c r="C1111">
        <v>2</v>
      </c>
      <c r="D1111">
        <v>2</v>
      </c>
      <c r="E1111">
        <v>2</v>
      </c>
      <c r="F1111">
        <v>33</v>
      </c>
      <c r="G1111">
        <v>1</v>
      </c>
      <c r="H1111">
        <v>2</v>
      </c>
      <c r="I1111">
        <v>0</v>
      </c>
      <c r="J1111">
        <v>0</v>
      </c>
      <c r="K1111">
        <v>0</v>
      </c>
      <c r="L1111">
        <v>0</v>
      </c>
      <c r="M1111">
        <v>31089</v>
      </c>
      <c r="N1111">
        <v>10989</v>
      </c>
      <c r="O1111">
        <v>11997</v>
      </c>
      <c r="P1111">
        <v>12397</v>
      </c>
      <c r="Q1111">
        <v>13043</v>
      </c>
      <c r="R1111">
        <v>13325</v>
      </c>
      <c r="S1111">
        <v>0</v>
      </c>
      <c r="T1111">
        <v>1200</v>
      </c>
      <c r="U1111">
        <v>600</v>
      </c>
      <c r="V1111">
        <v>1000</v>
      </c>
      <c r="W1111">
        <v>650</v>
      </c>
      <c r="X1111">
        <v>650</v>
      </c>
      <c r="Y1111">
        <v>0</v>
      </c>
    </row>
    <row r="1112" spans="1:25" x14ac:dyDescent="0.3">
      <c r="A1112">
        <v>1111</v>
      </c>
      <c r="B1112">
        <v>110000</v>
      </c>
      <c r="C1112">
        <v>1</v>
      </c>
      <c r="D1112">
        <v>2</v>
      </c>
      <c r="E1112">
        <v>2</v>
      </c>
      <c r="F1112">
        <v>29</v>
      </c>
      <c r="G1112">
        <v>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83687</v>
      </c>
      <c r="N1112">
        <v>85360</v>
      </c>
      <c r="O1112">
        <v>86274</v>
      </c>
      <c r="P1112">
        <v>84001</v>
      </c>
      <c r="Q1112">
        <v>85897</v>
      </c>
      <c r="R1112">
        <v>88759</v>
      </c>
      <c r="S1112">
        <v>3900</v>
      </c>
      <c r="T1112">
        <v>3200</v>
      </c>
      <c r="U1112">
        <v>0</v>
      </c>
      <c r="V1112">
        <v>3400</v>
      </c>
      <c r="W1112">
        <v>4500</v>
      </c>
      <c r="X1112">
        <v>2600</v>
      </c>
      <c r="Y1112">
        <v>0</v>
      </c>
    </row>
    <row r="1113" spans="1:25" x14ac:dyDescent="0.3">
      <c r="A1113">
        <v>1112</v>
      </c>
      <c r="B1113">
        <v>50000</v>
      </c>
      <c r="C1113">
        <v>2</v>
      </c>
      <c r="D1113">
        <v>3</v>
      </c>
      <c r="E1113">
        <v>1</v>
      </c>
      <c r="F1113">
        <v>44</v>
      </c>
      <c r="G1113">
        <v>-1</v>
      </c>
      <c r="H1113">
        <v>-1</v>
      </c>
      <c r="I1113">
        <v>-1</v>
      </c>
      <c r="J1113">
        <v>-1</v>
      </c>
      <c r="K1113">
        <v>-1</v>
      </c>
      <c r="L1113">
        <v>-1</v>
      </c>
      <c r="M1113">
        <v>3424</v>
      </c>
      <c r="N1113">
        <v>155</v>
      </c>
      <c r="O1113">
        <v>1922</v>
      </c>
      <c r="P1113">
        <v>1473</v>
      </c>
      <c r="Q1113">
        <v>1865</v>
      </c>
      <c r="R1113">
        <v>835</v>
      </c>
      <c r="S1113">
        <v>155</v>
      </c>
      <c r="T1113">
        <v>1922</v>
      </c>
      <c r="U1113">
        <v>1473</v>
      </c>
      <c r="V1113">
        <v>1865</v>
      </c>
      <c r="W1113">
        <v>835</v>
      </c>
      <c r="X1113">
        <v>1833</v>
      </c>
      <c r="Y1113">
        <v>0</v>
      </c>
    </row>
    <row r="1114" spans="1:25" x14ac:dyDescent="0.3">
      <c r="A1114">
        <v>1113</v>
      </c>
      <c r="B1114">
        <v>90000</v>
      </c>
      <c r="C1114">
        <v>2</v>
      </c>
      <c r="D1114">
        <v>2</v>
      </c>
      <c r="E1114">
        <v>1</v>
      </c>
      <c r="F1114">
        <v>24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84148</v>
      </c>
      <c r="N1114">
        <v>79847</v>
      </c>
      <c r="O1114">
        <v>75576</v>
      </c>
      <c r="P1114">
        <v>75266</v>
      </c>
      <c r="Q1114">
        <v>74431</v>
      </c>
      <c r="R1114">
        <v>68399</v>
      </c>
      <c r="S1114">
        <v>5006</v>
      </c>
      <c r="T1114">
        <v>4007</v>
      </c>
      <c r="U1114">
        <v>5006</v>
      </c>
      <c r="V1114">
        <v>4003</v>
      </c>
      <c r="W1114">
        <v>3014</v>
      </c>
      <c r="X1114">
        <v>4007</v>
      </c>
      <c r="Y1114">
        <v>0</v>
      </c>
    </row>
    <row r="1115" spans="1:25" x14ac:dyDescent="0.3">
      <c r="A1115">
        <v>1114</v>
      </c>
      <c r="B1115">
        <v>110000</v>
      </c>
      <c r="C1115">
        <v>1</v>
      </c>
      <c r="D1115">
        <v>1</v>
      </c>
      <c r="E1115">
        <v>2</v>
      </c>
      <c r="F1115">
        <v>33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12633</v>
      </c>
      <c r="N1115">
        <v>88334</v>
      </c>
      <c r="O1115">
        <v>53978</v>
      </c>
      <c r="P1115">
        <v>23687</v>
      </c>
      <c r="Q1115">
        <v>26567</v>
      </c>
      <c r="R1115">
        <v>8435</v>
      </c>
      <c r="S1115">
        <v>80004</v>
      </c>
      <c r="T1115">
        <v>1500</v>
      </c>
      <c r="U1115">
        <v>12013</v>
      </c>
      <c r="V1115">
        <v>7000</v>
      </c>
      <c r="W1115">
        <v>2000</v>
      </c>
      <c r="X1115">
        <v>4000</v>
      </c>
      <c r="Y1115">
        <v>0</v>
      </c>
    </row>
    <row r="1116" spans="1:25" x14ac:dyDescent="0.3">
      <c r="A1116">
        <v>1115</v>
      </c>
      <c r="B1116">
        <v>50000</v>
      </c>
      <c r="C1116">
        <v>1</v>
      </c>
      <c r="D1116">
        <v>3</v>
      </c>
      <c r="E1116">
        <v>1</v>
      </c>
      <c r="F1116">
        <v>54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38607</v>
      </c>
      <c r="N1116">
        <v>39681</v>
      </c>
      <c r="O1116">
        <v>40717</v>
      </c>
      <c r="P1116">
        <v>41682</v>
      </c>
      <c r="Q1116">
        <v>42857</v>
      </c>
      <c r="R1116">
        <v>45581</v>
      </c>
      <c r="S1116">
        <v>2000</v>
      </c>
      <c r="T1116">
        <v>2000</v>
      </c>
      <c r="U1116">
        <v>1642</v>
      </c>
      <c r="V1116">
        <v>2000</v>
      </c>
      <c r="W1116">
        <v>3600</v>
      </c>
      <c r="X1116">
        <v>0</v>
      </c>
      <c r="Y1116">
        <v>0</v>
      </c>
    </row>
    <row r="1117" spans="1:25" x14ac:dyDescent="0.3">
      <c r="A1117">
        <v>1116</v>
      </c>
      <c r="B1117">
        <v>60000</v>
      </c>
      <c r="C1117">
        <v>1</v>
      </c>
      <c r="D1117">
        <v>1</v>
      </c>
      <c r="E1117">
        <v>2</v>
      </c>
      <c r="F1117">
        <v>27</v>
      </c>
      <c r="G1117">
        <v>-2</v>
      </c>
      <c r="H1117">
        <v>-2</v>
      </c>
      <c r="I1117">
        <v>-2</v>
      </c>
      <c r="J1117">
        <v>-2</v>
      </c>
      <c r="K1117">
        <v>-1</v>
      </c>
      <c r="L1117">
        <v>-1</v>
      </c>
      <c r="M1117">
        <v>11862</v>
      </c>
      <c r="N1117">
        <v>1856</v>
      </c>
      <c r="O1117">
        <v>-14</v>
      </c>
      <c r="P1117">
        <v>4839</v>
      </c>
      <c r="Q1117">
        <v>9567</v>
      </c>
      <c r="R1117">
        <v>11407</v>
      </c>
      <c r="S1117">
        <v>1861</v>
      </c>
      <c r="T1117">
        <v>0</v>
      </c>
      <c r="U1117">
        <v>4853</v>
      </c>
      <c r="V1117">
        <v>9567</v>
      </c>
      <c r="W1117">
        <v>2000</v>
      </c>
      <c r="X1117">
        <v>0</v>
      </c>
      <c r="Y1117">
        <v>0</v>
      </c>
    </row>
    <row r="1118" spans="1:25" x14ac:dyDescent="0.3">
      <c r="A1118">
        <v>1117</v>
      </c>
      <c r="B1118">
        <v>150000</v>
      </c>
      <c r="C1118">
        <v>2</v>
      </c>
      <c r="D1118">
        <v>2</v>
      </c>
      <c r="E1118">
        <v>2</v>
      </c>
      <c r="F1118">
        <v>37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80463</v>
      </c>
      <c r="N1118">
        <v>82513</v>
      </c>
      <c r="O1118">
        <v>84271</v>
      </c>
      <c r="P1118">
        <v>43832</v>
      </c>
      <c r="Q1118">
        <v>33963</v>
      </c>
      <c r="R1118">
        <v>34638</v>
      </c>
      <c r="S1118">
        <v>3348</v>
      </c>
      <c r="T1118">
        <v>3490</v>
      </c>
      <c r="U1118">
        <v>1402</v>
      </c>
      <c r="V1118">
        <v>1233</v>
      </c>
      <c r="W1118">
        <v>1240</v>
      </c>
      <c r="X1118">
        <v>1284</v>
      </c>
      <c r="Y1118">
        <v>1</v>
      </c>
    </row>
    <row r="1119" spans="1:25" x14ac:dyDescent="0.3">
      <c r="A1119">
        <v>1118</v>
      </c>
      <c r="B1119">
        <v>20000</v>
      </c>
      <c r="C1119">
        <v>1</v>
      </c>
      <c r="D1119">
        <v>1</v>
      </c>
      <c r="E1119">
        <v>2</v>
      </c>
      <c r="F1119">
        <v>24</v>
      </c>
      <c r="G1119">
        <v>1</v>
      </c>
      <c r="H1119">
        <v>2</v>
      </c>
      <c r="I1119">
        <v>0</v>
      </c>
      <c r="J1119">
        <v>0</v>
      </c>
      <c r="K1119">
        <v>0</v>
      </c>
      <c r="L1119">
        <v>-2</v>
      </c>
      <c r="M1119">
        <v>18738</v>
      </c>
      <c r="N1119">
        <v>18016</v>
      </c>
      <c r="O1119">
        <v>7190</v>
      </c>
      <c r="P1119">
        <v>7190</v>
      </c>
      <c r="Q1119">
        <v>0</v>
      </c>
      <c r="R1119">
        <v>0</v>
      </c>
      <c r="S1119">
        <v>20</v>
      </c>
      <c r="T1119">
        <v>1500</v>
      </c>
      <c r="U1119">
        <v>0</v>
      </c>
      <c r="V1119">
        <v>0</v>
      </c>
      <c r="W1119">
        <v>0</v>
      </c>
      <c r="X1119">
        <v>0</v>
      </c>
      <c r="Y1119">
        <v>0</v>
      </c>
    </row>
    <row r="1120" spans="1:25" x14ac:dyDescent="0.3">
      <c r="A1120">
        <v>1119</v>
      </c>
      <c r="B1120">
        <v>140000</v>
      </c>
      <c r="C1120">
        <v>2</v>
      </c>
      <c r="D1120">
        <v>3</v>
      </c>
      <c r="E1120">
        <v>1</v>
      </c>
      <c r="F1120">
        <v>54</v>
      </c>
      <c r="G1120">
        <v>1</v>
      </c>
      <c r="H1120">
        <v>-2</v>
      </c>
      <c r="I1120">
        <v>-2</v>
      </c>
      <c r="J1120">
        <v>-2</v>
      </c>
      <c r="K1120">
        <v>-2</v>
      </c>
      <c r="L1120">
        <v>-2</v>
      </c>
      <c r="M1120">
        <v>-150</v>
      </c>
      <c r="N1120">
        <v>-150</v>
      </c>
      <c r="O1120">
        <v>-150</v>
      </c>
      <c r="P1120">
        <v>-150</v>
      </c>
      <c r="Q1120">
        <v>-150</v>
      </c>
      <c r="R1120">
        <v>-150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</row>
    <row r="1121" spans="1:25" x14ac:dyDescent="0.3">
      <c r="A1121">
        <v>1120</v>
      </c>
      <c r="B1121">
        <v>120000</v>
      </c>
      <c r="C1121">
        <v>2</v>
      </c>
      <c r="D1121">
        <v>2</v>
      </c>
      <c r="E1121">
        <v>1</v>
      </c>
      <c r="F1121">
        <v>34</v>
      </c>
      <c r="G1121">
        <v>1</v>
      </c>
      <c r="H1121">
        <v>-1</v>
      </c>
      <c r="I1121">
        <v>-1</v>
      </c>
      <c r="J1121">
        <v>-1</v>
      </c>
      <c r="K1121">
        <v>-1</v>
      </c>
      <c r="L1121">
        <v>-1</v>
      </c>
      <c r="M1121">
        <v>-9</v>
      </c>
      <c r="N1121">
        <v>898</v>
      </c>
      <c r="O1121">
        <v>7752</v>
      </c>
      <c r="P1121">
        <v>4447</v>
      </c>
      <c r="Q1121">
        <v>8495</v>
      </c>
      <c r="R1121">
        <v>0</v>
      </c>
      <c r="S1121">
        <v>907</v>
      </c>
      <c r="T1121">
        <v>7772</v>
      </c>
      <c r="U1121">
        <v>4447</v>
      </c>
      <c r="V1121">
        <v>8495</v>
      </c>
      <c r="W1121">
        <v>0</v>
      </c>
      <c r="X1121">
        <v>528</v>
      </c>
      <c r="Y1121">
        <v>0</v>
      </c>
    </row>
    <row r="1122" spans="1:25" x14ac:dyDescent="0.3">
      <c r="A1122">
        <v>1121</v>
      </c>
      <c r="B1122">
        <v>200000</v>
      </c>
      <c r="C1122">
        <v>2</v>
      </c>
      <c r="D1122">
        <v>2</v>
      </c>
      <c r="E1122">
        <v>2</v>
      </c>
      <c r="F1122">
        <v>40</v>
      </c>
      <c r="G1122">
        <v>2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176502</v>
      </c>
      <c r="N1122">
        <v>176297</v>
      </c>
      <c r="O1122">
        <v>162826</v>
      </c>
      <c r="P1122">
        <v>160186</v>
      </c>
      <c r="Q1122">
        <v>161965</v>
      </c>
      <c r="R1122">
        <v>152361</v>
      </c>
      <c r="S1122">
        <v>8000</v>
      </c>
      <c r="T1122">
        <v>7300</v>
      </c>
      <c r="U1122">
        <v>6000</v>
      </c>
      <c r="V1122">
        <v>6000</v>
      </c>
      <c r="W1122">
        <v>6000</v>
      </c>
      <c r="X1122">
        <v>6000</v>
      </c>
      <c r="Y1122">
        <v>1</v>
      </c>
    </row>
    <row r="1123" spans="1:25" x14ac:dyDescent="0.3">
      <c r="A1123">
        <v>1122</v>
      </c>
      <c r="B1123">
        <v>20000</v>
      </c>
      <c r="C1123">
        <v>1</v>
      </c>
      <c r="D1123">
        <v>2</v>
      </c>
      <c r="E1123">
        <v>2</v>
      </c>
      <c r="F1123">
        <v>30</v>
      </c>
      <c r="G1123">
        <v>1</v>
      </c>
      <c r="H1123">
        <v>2</v>
      </c>
      <c r="I1123">
        <v>4</v>
      </c>
      <c r="J1123">
        <v>3</v>
      </c>
      <c r="K1123">
        <v>2</v>
      </c>
      <c r="L1123">
        <v>2</v>
      </c>
      <c r="M1123">
        <v>19977</v>
      </c>
      <c r="N1123">
        <v>21359</v>
      </c>
      <c r="O1123">
        <v>20581</v>
      </c>
      <c r="P1123">
        <v>19860</v>
      </c>
      <c r="Q1123">
        <v>19690</v>
      </c>
      <c r="R1123">
        <v>1735</v>
      </c>
      <c r="S1123">
        <v>2000</v>
      </c>
      <c r="T1123">
        <v>0</v>
      </c>
      <c r="U1123">
        <v>0</v>
      </c>
      <c r="V1123">
        <v>0</v>
      </c>
      <c r="W1123">
        <v>500</v>
      </c>
      <c r="X1123">
        <v>0</v>
      </c>
      <c r="Y1123">
        <v>1</v>
      </c>
    </row>
    <row r="1124" spans="1:25" x14ac:dyDescent="0.3">
      <c r="A1124">
        <v>1123</v>
      </c>
      <c r="B1124">
        <v>50000</v>
      </c>
      <c r="C1124">
        <v>1</v>
      </c>
      <c r="D1124">
        <v>2</v>
      </c>
      <c r="E1124">
        <v>2</v>
      </c>
      <c r="F1124">
        <v>26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48221</v>
      </c>
      <c r="N1124">
        <v>49629</v>
      </c>
      <c r="O1124">
        <v>48868</v>
      </c>
      <c r="P1124">
        <v>49668</v>
      </c>
      <c r="Q1124">
        <v>49780</v>
      </c>
      <c r="R1124">
        <v>49980</v>
      </c>
      <c r="S1124">
        <v>2571</v>
      </c>
      <c r="T1124">
        <v>1200</v>
      </c>
      <c r="U1124">
        <v>1000</v>
      </c>
      <c r="V1124">
        <v>40000</v>
      </c>
      <c r="W1124">
        <v>1000</v>
      </c>
      <c r="X1124">
        <v>0</v>
      </c>
      <c r="Y1124">
        <v>0</v>
      </c>
    </row>
    <row r="1125" spans="1:25" x14ac:dyDescent="0.3">
      <c r="A1125">
        <v>1124</v>
      </c>
      <c r="B1125">
        <v>200000</v>
      </c>
      <c r="C1125">
        <v>2</v>
      </c>
      <c r="D1125">
        <v>2</v>
      </c>
      <c r="E1125">
        <v>1</v>
      </c>
      <c r="F1125">
        <v>41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-1</v>
      </c>
      <c r="M1125">
        <v>18012</v>
      </c>
      <c r="N1125">
        <v>18367</v>
      </c>
      <c r="O1125">
        <v>16996</v>
      </c>
      <c r="P1125">
        <v>11461</v>
      </c>
      <c r="Q1125">
        <v>8150</v>
      </c>
      <c r="R1125">
        <v>5584</v>
      </c>
      <c r="S1125">
        <v>1385</v>
      </c>
      <c r="T1125">
        <v>1020</v>
      </c>
      <c r="U1125">
        <v>229</v>
      </c>
      <c r="V1125">
        <v>183</v>
      </c>
      <c r="W1125">
        <v>5584</v>
      </c>
      <c r="X1125">
        <v>888</v>
      </c>
      <c r="Y1125">
        <v>0</v>
      </c>
    </row>
    <row r="1126" spans="1:25" x14ac:dyDescent="0.3">
      <c r="A1126">
        <v>1125</v>
      </c>
      <c r="B1126">
        <v>100000</v>
      </c>
      <c r="C1126">
        <v>2</v>
      </c>
      <c r="D1126">
        <v>2</v>
      </c>
      <c r="E1126">
        <v>2</v>
      </c>
      <c r="F1126">
        <v>29</v>
      </c>
      <c r="G1126">
        <v>-2</v>
      </c>
      <c r="H1126">
        <v>-1</v>
      </c>
      <c r="I1126">
        <v>0</v>
      </c>
      <c r="J1126">
        <v>0</v>
      </c>
      <c r="K1126">
        <v>0</v>
      </c>
      <c r="L1126">
        <v>0</v>
      </c>
      <c r="M1126">
        <v>75912</v>
      </c>
      <c r="N1126">
        <v>85276</v>
      </c>
      <c r="O1126">
        <v>88498</v>
      </c>
      <c r="P1126">
        <v>90289</v>
      </c>
      <c r="Q1126">
        <v>92485</v>
      </c>
      <c r="R1126">
        <v>95630</v>
      </c>
      <c r="S1126">
        <v>10000</v>
      </c>
      <c r="T1126">
        <v>4000</v>
      </c>
      <c r="U1126">
        <v>2600</v>
      </c>
      <c r="V1126">
        <v>3000</v>
      </c>
      <c r="W1126">
        <v>4000</v>
      </c>
      <c r="X1126">
        <v>5000</v>
      </c>
      <c r="Y1126">
        <v>0</v>
      </c>
    </row>
    <row r="1127" spans="1:25" x14ac:dyDescent="0.3">
      <c r="A1127">
        <v>1126</v>
      </c>
      <c r="B1127">
        <v>300000</v>
      </c>
      <c r="C1127">
        <v>1</v>
      </c>
      <c r="D1127">
        <v>1</v>
      </c>
      <c r="E1127">
        <v>1</v>
      </c>
      <c r="F1127">
        <v>38</v>
      </c>
      <c r="G1127">
        <v>-1</v>
      </c>
      <c r="H1127">
        <v>-1</v>
      </c>
      <c r="I1127">
        <v>-2</v>
      </c>
      <c r="J1127">
        <v>-2</v>
      </c>
      <c r="K1127">
        <v>-2</v>
      </c>
      <c r="L1127">
        <v>-2</v>
      </c>
      <c r="M1127">
        <v>2285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</row>
    <row r="1128" spans="1:25" x14ac:dyDescent="0.3">
      <c r="A1128">
        <v>1127</v>
      </c>
      <c r="B1128">
        <v>500000</v>
      </c>
      <c r="C1128">
        <v>2</v>
      </c>
      <c r="D1128">
        <v>1</v>
      </c>
      <c r="E1128">
        <v>2</v>
      </c>
      <c r="F1128">
        <v>35</v>
      </c>
      <c r="G1128">
        <v>-1</v>
      </c>
      <c r="H1128">
        <v>-1</v>
      </c>
      <c r="I1128">
        <v>-1</v>
      </c>
      <c r="J1128">
        <v>-1</v>
      </c>
      <c r="K1128">
        <v>0</v>
      </c>
      <c r="L1128">
        <v>-1</v>
      </c>
      <c r="M1128">
        <v>22369</v>
      </c>
      <c r="N1128">
        <v>14100</v>
      </c>
      <c r="O1128">
        <v>24754</v>
      </c>
      <c r="P1128">
        <v>21443</v>
      </c>
      <c r="Q1128">
        <v>13892</v>
      </c>
      <c r="R1128">
        <v>11241</v>
      </c>
      <c r="S1128">
        <v>14128</v>
      </c>
      <c r="T1128">
        <v>24902</v>
      </c>
      <c r="U1128">
        <v>21479</v>
      </c>
      <c r="V1128">
        <v>11465</v>
      </c>
      <c r="W1128">
        <v>11356</v>
      </c>
      <c r="X1128">
        <v>66710</v>
      </c>
      <c r="Y1128">
        <v>0</v>
      </c>
    </row>
    <row r="1129" spans="1:25" x14ac:dyDescent="0.3">
      <c r="A1129">
        <v>1128</v>
      </c>
      <c r="B1129">
        <v>360000</v>
      </c>
      <c r="C1129">
        <v>2</v>
      </c>
      <c r="D1129">
        <v>2</v>
      </c>
      <c r="E1129">
        <v>1</v>
      </c>
      <c r="F1129">
        <v>52</v>
      </c>
      <c r="G1129">
        <v>-1</v>
      </c>
      <c r="H1129">
        <v>-1</v>
      </c>
      <c r="I1129">
        <v>-2</v>
      </c>
      <c r="J1129">
        <v>-2</v>
      </c>
      <c r="K1129">
        <v>-2</v>
      </c>
      <c r="L1129">
        <v>-2</v>
      </c>
      <c r="M1129">
        <v>2995</v>
      </c>
      <c r="N1129">
        <v>2401</v>
      </c>
      <c r="O1129">
        <v>2277</v>
      </c>
      <c r="P1129">
        <v>500</v>
      </c>
      <c r="Q1129">
        <v>3586</v>
      </c>
      <c r="R1129">
        <v>7399</v>
      </c>
      <c r="S1129">
        <v>2406</v>
      </c>
      <c r="T1129">
        <v>2282</v>
      </c>
      <c r="U1129">
        <v>500</v>
      </c>
      <c r="V1129">
        <v>3586</v>
      </c>
      <c r="W1129">
        <v>7399</v>
      </c>
      <c r="X1129">
        <v>600</v>
      </c>
      <c r="Y1129">
        <v>0</v>
      </c>
    </row>
    <row r="1130" spans="1:25" x14ac:dyDescent="0.3">
      <c r="A1130">
        <v>1129</v>
      </c>
      <c r="B1130">
        <v>160000</v>
      </c>
      <c r="C1130">
        <v>2</v>
      </c>
      <c r="D1130">
        <v>1</v>
      </c>
      <c r="E1130">
        <v>2</v>
      </c>
      <c r="F1130">
        <v>29</v>
      </c>
      <c r="G1130">
        <v>1</v>
      </c>
      <c r="H1130">
        <v>-2</v>
      </c>
      <c r="I1130">
        <v>-2</v>
      </c>
      <c r="J1130">
        <v>-2</v>
      </c>
      <c r="K1130">
        <v>-2</v>
      </c>
      <c r="L1130">
        <v>-2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</row>
    <row r="1131" spans="1:25" x14ac:dyDescent="0.3">
      <c r="A1131">
        <v>1130</v>
      </c>
      <c r="B1131">
        <v>50000</v>
      </c>
      <c r="C1131">
        <v>2</v>
      </c>
      <c r="D1131">
        <v>2</v>
      </c>
      <c r="E1131">
        <v>2</v>
      </c>
      <c r="F1131">
        <v>23</v>
      </c>
      <c r="G1131">
        <v>0</v>
      </c>
      <c r="H1131">
        <v>0</v>
      </c>
      <c r="I1131">
        <v>0</v>
      </c>
      <c r="J1131">
        <v>2</v>
      </c>
      <c r="K1131">
        <v>2</v>
      </c>
      <c r="L1131">
        <v>2</v>
      </c>
      <c r="M1131">
        <v>47053</v>
      </c>
      <c r="N1131">
        <v>47835</v>
      </c>
      <c r="O1131">
        <v>51109</v>
      </c>
      <c r="P1131">
        <v>51713</v>
      </c>
      <c r="Q1131">
        <v>52738</v>
      </c>
      <c r="R1131">
        <v>48789</v>
      </c>
      <c r="S1131">
        <v>1842</v>
      </c>
      <c r="T1131">
        <v>4116</v>
      </c>
      <c r="U1131">
        <v>2000</v>
      </c>
      <c r="V1131">
        <v>1950</v>
      </c>
      <c r="W1131">
        <v>0</v>
      </c>
      <c r="X1131">
        <v>1885</v>
      </c>
      <c r="Y1131">
        <v>1</v>
      </c>
    </row>
    <row r="1132" spans="1:25" x14ac:dyDescent="0.3">
      <c r="A1132">
        <v>1131</v>
      </c>
      <c r="B1132">
        <v>230000</v>
      </c>
      <c r="C1132">
        <v>2</v>
      </c>
      <c r="D1132">
        <v>2</v>
      </c>
      <c r="E1132">
        <v>1</v>
      </c>
      <c r="F1132">
        <v>34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234328</v>
      </c>
      <c r="N1132">
        <v>234211</v>
      </c>
      <c r="O1132">
        <v>157345</v>
      </c>
      <c r="P1132">
        <v>155335</v>
      </c>
      <c r="Q1132">
        <v>153427</v>
      </c>
      <c r="R1132">
        <v>150514</v>
      </c>
      <c r="S1132">
        <v>8913</v>
      </c>
      <c r="T1132">
        <v>5449</v>
      </c>
      <c r="U1132">
        <v>5339</v>
      </c>
      <c r="V1132">
        <v>5370</v>
      </c>
      <c r="W1132">
        <v>4435</v>
      </c>
      <c r="X1132">
        <v>4432</v>
      </c>
      <c r="Y1132">
        <v>1</v>
      </c>
    </row>
    <row r="1133" spans="1:25" x14ac:dyDescent="0.3">
      <c r="A1133">
        <v>1132</v>
      </c>
      <c r="B1133">
        <v>200000</v>
      </c>
      <c r="C1133">
        <v>2</v>
      </c>
      <c r="D1133">
        <v>2</v>
      </c>
      <c r="E1133">
        <v>2</v>
      </c>
      <c r="F1133">
        <v>34</v>
      </c>
      <c r="G1133">
        <v>1</v>
      </c>
      <c r="H1133">
        <v>-1</v>
      </c>
      <c r="I1133">
        <v>-1</v>
      </c>
      <c r="J1133">
        <v>-1</v>
      </c>
      <c r="K1133">
        <v>-1</v>
      </c>
      <c r="L1133">
        <v>-1</v>
      </c>
      <c r="M1133">
        <v>0</v>
      </c>
      <c r="N1133">
        <v>3346</v>
      </c>
      <c r="O1133">
        <v>0</v>
      </c>
      <c r="P1133">
        <v>465</v>
      </c>
      <c r="Q1133">
        <v>1775</v>
      </c>
      <c r="R1133">
        <v>8722</v>
      </c>
      <c r="S1133">
        <v>3346</v>
      </c>
      <c r="T1133">
        <v>0</v>
      </c>
      <c r="U1133">
        <v>465</v>
      </c>
      <c r="V1133">
        <v>1775</v>
      </c>
      <c r="W1133">
        <v>8722</v>
      </c>
      <c r="X1133">
        <v>0</v>
      </c>
      <c r="Y1133">
        <v>0</v>
      </c>
    </row>
    <row r="1134" spans="1:25" x14ac:dyDescent="0.3">
      <c r="A1134">
        <v>1133</v>
      </c>
      <c r="B1134">
        <v>270000</v>
      </c>
      <c r="C1134">
        <v>1</v>
      </c>
      <c r="D1134">
        <v>1</v>
      </c>
      <c r="E1134">
        <v>1</v>
      </c>
      <c r="F1134">
        <v>44</v>
      </c>
      <c r="G1134">
        <v>3</v>
      </c>
      <c r="H1134">
        <v>3</v>
      </c>
      <c r="I1134">
        <v>4</v>
      </c>
      <c r="J1134">
        <v>4</v>
      </c>
      <c r="K1134">
        <v>4</v>
      </c>
      <c r="L1134">
        <v>4</v>
      </c>
      <c r="M1134">
        <v>256402</v>
      </c>
      <c r="N1134">
        <v>264267</v>
      </c>
      <c r="O1134">
        <v>271951</v>
      </c>
      <c r="P1134">
        <v>278509</v>
      </c>
      <c r="Q1134">
        <v>283545</v>
      </c>
      <c r="R1134">
        <v>278436</v>
      </c>
      <c r="S1134">
        <v>17944</v>
      </c>
      <c r="T1134">
        <v>18112</v>
      </c>
      <c r="U1134">
        <v>15405</v>
      </c>
      <c r="V1134">
        <v>10000</v>
      </c>
      <c r="W1134">
        <v>0</v>
      </c>
      <c r="X1134">
        <v>0</v>
      </c>
      <c r="Y1134">
        <v>0</v>
      </c>
    </row>
    <row r="1135" spans="1:25" x14ac:dyDescent="0.3">
      <c r="A1135">
        <v>1134</v>
      </c>
      <c r="B1135">
        <v>50000</v>
      </c>
      <c r="C1135">
        <v>2</v>
      </c>
      <c r="D1135">
        <v>2</v>
      </c>
      <c r="E1135">
        <v>1</v>
      </c>
      <c r="F1135">
        <v>36</v>
      </c>
      <c r="G1135">
        <v>2</v>
      </c>
      <c r="H1135">
        <v>2</v>
      </c>
      <c r="I1135">
        <v>2</v>
      </c>
      <c r="J1135">
        <v>0</v>
      </c>
      <c r="K1135">
        <v>0</v>
      </c>
      <c r="L1135">
        <v>2</v>
      </c>
      <c r="M1135">
        <v>45159</v>
      </c>
      <c r="N1135">
        <v>49125</v>
      </c>
      <c r="O1135">
        <v>47956</v>
      </c>
      <c r="P1135">
        <v>43578</v>
      </c>
      <c r="Q1135">
        <v>35126</v>
      </c>
      <c r="R1135">
        <v>34420</v>
      </c>
      <c r="S1135">
        <v>4700</v>
      </c>
      <c r="T1135">
        <v>0</v>
      </c>
      <c r="U1135">
        <v>2004</v>
      </c>
      <c r="V1135">
        <v>3500</v>
      </c>
      <c r="W1135">
        <v>0</v>
      </c>
      <c r="X1135">
        <v>1000</v>
      </c>
      <c r="Y1135">
        <v>0</v>
      </c>
    </row>
    <row r="1136" spans="1:25" x14ac:dyDescent="0.3">
      <c r="A1136">
        <v>1135</v>
      </c>
      <c r="B1136">
        <v>20000</v>
      </c>
      <c r="C1136">
        <v>1</v>
      </c>
      <c r="D1136">
        <v>2</v>
      </c>
      <c r="E1136">
        <v>2</v>
      </c>
      <c r="F1136">
        <v>28</v>
      </c>
      <c r="G1136">
        <v>1</v>
      </c>
      <c r="H1136">
        <v>2</v>
      </c>
      <c r="I1136">
        <v>2</v>
      </c>
      <c r="J1136">
        <v>2</v>
      </c>
      <c r="K1136">
        <v>0</v>
      </c>
      <c r="L1136">
        <v>0</v>
      </c>
      <c r="M1136">
        <v>15764</v>
      </c>
      <c r="N1136">
        <v>15718</v>
      </c>
      <c r="O1136">
        <v>17164</v>
      </c>
      <c r="P1136">
        <v>16594</v>
      </c>
      <c r="Q1136">
        <v>18158</v>
      </c>
      <c r="R1136">
        <v>19554</v>
      </c>
      <c r="S1136">
        <v>500</v>
      </c>
      <c r="T1136">
        <v>2000</v>
      </c>
      <c r="U1136">
        <v>0</v>
      </c>
      <c r="V1136">
        <v>2000</v>
      </c>
      <c r="W1136">
        <v>1700</v>
      </c>
      <c r="X1136">
        <v>0</v>
      </c>
      <c r="Y1136">
        <v>0</v>
      </c>
    </row>
    <row r="1137" spans="1:25" x14ac:dyDescent="0.3">
      <c r="A1137">
        <v>1136</v>
      </c>
      <c r="B1137">
        <v>60000</v>
      </c>
      <c r="C1137">
        <v>2</v>
      </c>
      <c r="D1137">
        <v>2</v>
      </c>
      <c r="E1137">
        <v>2</v>
      </c>
      <c r="F1137">
        <v>31</v>
      </c>
      <c r="G1137">
        <v>0</v>
      </c>
      <c r="H1137">
        <v>0</v>
      </c>
      <c r="I1137">
        <v>0</v>
      </c>
      <c r="J1137">
        <v>0</v>
      </c>
      <c r="K1137">
        <v>2</v>
      </c>
      <c r="L1137">
        <v>0</v>
      </c>
      <c r="M1137">
        <v>59643</v>
      </c>
      <c r="N1137">
        <v>61279</v>
      </c>
      <c r="O1137">
        <v>61017</v>
      </c>
      <c r="P1137">
        <v>30117</v>
      </c>
      <c r="Q1137">
        <v>29526</v>
      </c>
      <c r="R1137">
        <v>29201</v>
      </c>
      <c r="S1137">
        <v>3200</v>
      </c>
      <c r="T1137">
        <v>2535</v>
      </c>
      <c r="U1137">
        <v>2331</v>
      </c>
      <c r="V1137">
        <v>0</v>
      </c>
      <c r="W1137">
        <v>1073</v>
      </c>
      <c r="X1137">
        <v>2134</v>
      </c>
      <c r="Y1137">
        <v>0</v>
      </c>
    </row>
    <row r="1138" spans="1:25" x14ac:dyDescent="0.3">
      <c r="A1138">
        <v>1137</v>
      </c>
      <c r="B1138">
        <v>50000</v>
      </c>
      <c r="C1138">
        <v>1</v>
      </c>
      <c r="D1138">
        <v>2</v>
      </c>
      <c r="E1138">
        <v>2</v>
      </c>
      <c r="F1138">
        <v>31</v>
      </c>
      <c r="G1138">
        <v>-1</v>
      </c>
      <c r="H1138">
        <v>-1</v>
      </c>
      <c r="I1138">
        <v>-1</v>
      </c>
      <c r="J1138">
        <v>0</v>
      </c>
      <c r="K1138">
        <v>0</v>
      </c>
      <c r="L1138">
        <v>-1</v>
      </c>
      <c r="M1138">
        <v>2522</v>
      </c>
      <c r="N1138">
        <v>0</v>
      </c>
      <c r="O1138">
        <v>18171</v>
      </c>
      <c r="P1138">
        <v>17051</v>
      </c>
      <c r="Q1138">
        <v>390</v>
      </c>
      <c r="R1138">
        <v>16526</v>
      </c>
      <c r="S1138">
        <v>0</v>
      </c>
      <c r="T1138">
        <v>18171</v>
      </c>
      <c r="U1138">
        <v>341</v>
      </c>
      <c r="V1138">
        <v>0</v>
      </c>
      <c r="W1138">
        <v>16526</v>
      </c>
      <c r="X1138">
        <v>324</v>
      </c>
      <c r="Y1138">
        <v>0</v>
      </c>
    </row>
    <row r="1139" spans="1:25" x14ac:dyDescent="0.3">
      <c r="A1139">
        <v>1138</v>
      </c>
      <c r="B1139">
        <v>50000</v>
      </c>
      <c r="C1139">
        <v>1</v>
      </c>
      <c r="D1139">
        <v>2</v>
      </c>
      <c r="E1139">
        <v>1</v>
      </c>
      <c r="F1139">
        <v>41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19339</v>
      </c>
      <c r="N1139">
        <v>20424</v>
      </c>
      <c r="O1139">
        <v>20086</v>
      </c>
      <c r="P1139">
        <v>18600</v>
      </c>
      <c r="Q1139">
        <v>19153</v>
      </c>
      <c r="R1139">
        <v>19289</v>
      </c>
      <c r="S1139">
        <v>1703</v>
      </c>
      <c r="T1139">
        <v>1306</v>
      </c>
      <c r="U1139">
        <v>810</v>
      </c>
      <c r="V1139">
        <v>1000</v>
      </c>
      <c r="W1139">
        <v>900</v>
      </c>
      <c r="X1139">
        <v>900</v>
      </c>
      <c r="Y1139">
        <v>0</v>
      </c>
    </row>
    <row r="1140" spans="1:25" x14ac:dyDescent="0.3">
      <c r="A1140">
        <v>1139</v>
      </c>
      <c r="B1140">
        <v>130000</v>
      </c>
      <c r="C1140">
        <v>2</v>
      </c>
      <c r="D1140">
        <v>3</v>
      </c>
      <c r="E1140">
        <v>1</v>
      </c>
      <c r="F1140">
        <v>44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2</v>
      </c>
      <c r="M1140">
        <v>109006</v>
      </c>
      <c r="N1140">
        <v>110256</v>
      </c>
      <c r="O1140">
        <v>113283</v>
      </c>
      <c r="P1140">
        <v>101247</v>
      </c>
      <c r="Q1140">
        <v>96939</v>
      </c>
      <c r="R1140">
        <v>81977</v>
      </c>
      <c r="S1140">
        <v>4500</v>
      </c>
      <c r="T1140">
        <v>5000</v>
      </c>
      <c r="U1140">
        <v>4000</v>
      </c>
      <c r="V1140">
        <v>10600</v>
      </c>
      <c r="W1140">
        <v>0</v>
      </c>
      <c r="X1140">
        <v>2300</v>
      </c>
      <c r="Y1140">
        <v>0</v>
      </c>
    </row>
    <row r="1141" spans="1:25" x14ac:dyDescent="0.3">
      <c r="A1141">
        <v>1140</v>
      </c>
      <c r="B1141">
        <v>230000</v>
      </c>
      <c r="C1141">
        <v>2</v>
      </c>
      <c r="D1141">
        <v>3</v>
      </c>
      <c r="E1141">
        <v>2</v>
      </c>
      <c r="F1141">
        <v>47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147300</v>
      </c>
      <c r="N1141">
        <v>121855</v>
      </c>
      <c r="O1141">
        <v>102074</v>
      </c>
      <c r="P1141">
        <v>94225</v>
      </c>
      <c r="Q1141">
        <v>96616</v>
      </c>
      <c r="R1141">
        <v>95849</v>
      </c>
      <c r="S1141">
        <v>10000</v>
      </c>
      <c r="T1141">
        <v>5000</v>
      </c>
      <c r="U1141">
        <v>4000</v>
      </c>
      <c r="V1141">
        <v>4000</v>
      </c>
      <c r="W1141">
        <v>5000</v>
      </c>
      <c r="X1141">
        <v>4000</v>
      </c>
      <c r="Y1141">
        <v>0</v>
      </c>
    </row>
    <row r="1142" spans="1:25" x14ac:dyDescent="0.3">
      <c r="A1142">
        <v>1141</v>
      </c>
      <c r="B1142">
        <v>20000</v>
      </c>
      <c r="C1142">
        <v>1</v>
      </c>
      <c r="D1142">
        <v>2</v>
      </c>
      <c r="E1142">
        <v>2</v>
      </c>
      <c r="F1142">
        <v>25</v>
      </c>
      <c r="G1142">
        <v>0</v>
      </c>
      <c r="H1142">
        <v>0</v>
      </c>
      <c r="I1142">
        <v>0</v>
      </c>
      <c r="J1142">
        <v>-2</v>
      </c>
      <c r="K1142">
        <v>-1</v>
      </c>
      <c r="L1142">
        <v>0</v>
      </c>
      <c r="M1142">
        <v>3400</v>
      </c>
      <c r="N1142">
        <v>4129</v>
      </c>
      <c r="O1142">
        <v>0</v>
      </c>
      <c r="P1142">
        <v>0</v>
      </c>
      <c r="Q1142">
        <v>3244</v>
      </c>
      <c r="R1142">
        <v>3314</v>
      </c>
      <c r="S1142">
        <v>1000</v>
      </c>
      <c r="T1142">
        <v>0</v>
      </c>
      <c r="U1142">
        <v>0</v>
      </c>
      <c r="V1142">
        <v>3244</v>
      </c>
      <c r="W1142">
        <v>124</v>
      </c>
      <c r="X1142">
        <v>66</v>
      </c>
      <c r="Y1142">
        <v>0</v>
      </c>
    </row>
    <row r="1143" spans="1:25" x14ac:dyDescent="0.3">
      <c r="A1143">
        <v>1142</v>
      </c>
      <c r="B1143">
        <v>30000</v>
      </c>
      <c r="C1143">
        <v>2</v>
      </c>
      <c r="D1143">
        <v>1</v>
      </c>
      <c r="E1143">
        <v>2</v>
      </c>
      <c r="F1143">
        <v>25</v>
      </c>
      <c r="G1143">
        <v>0</v>
      </c>
      <c r="H1143">
        <v>0</v>
      </c>
      <c r="I1143">
        <v>2</v>
      </c>
      <c r="J1143">
        <v>0</v>
      </c>
      <c r="K1143">
        <v>0</v>
      </c>
      <c r="L1143">
        <v>2</v>
      </c>
      <c r="M1143">
        <v>19801</v>
      </c>
      <c r="N1143">
        <v>20449</v>
      </c>
      <c r="O1143">
        <v>19798</v>
      </c>
      <c r="P1143">
        <v>20217</v>
      </c>
      <c r="Q1143">
        <v>21435</v>
      </c>
      <c r="R1143">
        <v>19239</v>
      </c>
      <c r="S1143">
        <v>3000</v>
      </c>
      <c r="T1143">
        <v>0</v>
      </c>
      <c r="U1143">
        <v>700</v>
      </c>
      <c r="V1143">
        <v>1500</v>
      </c>
      <c r="W1143">
        <v>0</v>
      </c>
      <c r="X1143">
        <v>323</v>
      </c>
      <c r="Y1143">
        <v>0</v>
      </c>
    </row>
    <row r="1144" spans="1:25" x14ac:dyDescent="0.3">
      <c r="A1144">
        <v>1143</v>
      </c>
      <c r="B1144">
        <v>200000</v>
      </c>
      <c r="C1144">
        <v>2</v>
      </c>
      <c r="D1144">
        <v>1</v>
      </c>
      <c r="E1144">
        <v>1</v>
      </c>
      <c r="F1144">
        <v>39</v>
      </c>
      <c r="G1144">
        <v>-1</v>
      </c>
      <c r="H1144">
        <v>0</v>
      </c>
      <c r="I1144">
        <v>-1</v>
      </c>
      <c r="J1144">
        <v>0</v>
      </c>
      <c r="K1144">
        <v>0</v>
      </c>
      <c r="L1144">
        <v>0</v>
      </c>
      <c r="M1144">
        <v>8432</v>
      </c>
      <c r="N1144">
        <v>6977</v>
      </c>
      <c r="O1144">
        <v>6727</v>
      </c>
      <c r="P1144">
        <v>6864</v>
      </c>
      <c r="Q1144">
        <v>5253</v>
      </c>
      <c r="R1144">
        <v>3388</v>
      </c>
      <c r="S1144">
        <v>3746</v>
      </c>
      <c r="T1144">
        <v>6737</v>
      </c>
      <c r="U1144">
        <v>2013</v>
      </c>
      <c r="V1144">
        <v>10</v>
      </c>
      <c r="W1144">
        <v>20</v>
      </c>
      <c r="X1144">
        <v>10901</v>
      </c>
      <c r="Y1144">
        <v>0</v>
      </c>
    </row>
    <row r="1145" spans="1:25" x14ac:dyDescent="0.3">
      <c r="A1145">
        <v>1144</v>
      </c>
      <c r="B1145">
        <v>140000</v>
      </c>
      <c r="C1145">
        <v>2</v>
      </c>
      <c r="D1145">
        <v>2</v>
      </c>
      <c r="E1145">
        <v>1</v>
      </c>
      <c r="F1145">
        <v>24</v>
      </c>
      <c r="G1145">
        <v>-1</v>
      </c>
      <c r="H1145">
        <v>-1</v>
      </c>
      <c r="I1145">
        <v>-2</v>
      </c>
      <c r="J1145">
        <v>-2</v>
      </c>
      <c r="K1145">
        <v>-1</v>
      </c>
      <c r="L1145">
        <v>-1</v>
      </c>
      <c r="M1145">
        <v>2515</v>
      </c>
      <c r="N1145">
        <v>0</v>
      </c>
      <c r="O1145">
        <v>0</v>
      </c>
      <c r="P1145">
        <v>0</v>
      </c>
      <c r="Q1145">
        <v>2243</v>
      </c>
      <c r="R1145">
        <v>5530</v>
      </c>
      <c r="S1145">
        <v>0</v>
      </c>
      <c r="T1145">
        <v>0</v>
      </c>
      <c r="U1145">
        <v>0</v>
      </c>
      <c r="V1145">
        <v>2243</v>
      </c>
      <c r="W1145">
        <v>5530</v>
      </c>
      <c r="X1145">
        <v>4441</v>
      </c>
      <c r="Y1145">
        <v>0</v>
      </c>
    </row>
    <row r="1146" spans="1:25" x14ac:dyDescent="0.3">
      <c r="A1146">
        <v>1145</v>
      </c>
      <c r="B1146">
        <v>100000</v>
      </c>
      <c r="C1146">
        <v>2</v>
      </c>
      <c r="D1146">
        <v>2</v>
      </c>
      <c r="E1146">
        <v>1</v>
      </c>
      <c r="F1146">
        <v>35</v>
      </c>
      <c r="G1146">
        <v>2</v>
      </c>
      <c r="H1146">
        <v>0</v>
      </c>
      <c r="I1146">
        <v>0</v>
      </c>
      <c r="J1146">
        <v>2</v>
      </c>
      <c r="K1146">
        <v>2</v>
      </c>
      <c r="L1146">
        <v>0</v>
      </c>
      <c r="M1146">
        <v>98845</v>
      </c>
      <c r="N1146">
        <v>95265</v>
      </c>
      <c r="O1146">
        <v>98571</v>
      </c>
      <c r="P1146">
        <v>99322</v>
      </c>
      <c r="Q1146">
        <v>96661</v>
      </c>
      <c r="R1146">
        <v>95951</v>
      </c>
      <c r="S1146">
        <v>4600</v>
      </c>
      <c r="T1146">
        <v>8002</v>
      </c>
      <c r="U1146">
        <v>4003</v>
      </c>
      <c r="V1146">
        <v>2</v>
      </c>
      <c r="W1146">
        <v>4005</v>
      </c>
      <c r="X1146">
        <v>4000</v>
      </c>
      <c r="Y1146">
        <v>1</v>
      </c>
    </row>
    <row r="1147" spans="1:25" x14ac:dyDescent="0.3">
      <c r="A1147">
        <v>1146</v>
      </c>
      <c r="B1147">
        <v>240000</v>
      </c>
      <c r="C1147">
        <v>1</v>
      </c>
      <c r="D1147">
        <v>2</v>
      </c>
      <c r="E1147">
        <v>1</v>
      </c>
      <c r="F1147">
        <v>32</v>
      </c>
      <c r="G1147">
        <v>2</v>
      </c>
      <c r="H1147">
        <v>2</v>
      </c>
      <c r="I1147">
        <v>2</v>
      </c>
      <c r="J1147">
        <v>0</v>
      </c>
      <c r="K1147">
        <v>0</v>
      </c>
      <c r="L1147">
        <v>0</v>
      </c>
      <c r="M1147">
        <v>127418</v>
      </c>
      <c r="N1147">
        <v>135942</v>
      </c>
      <c r="O1147">
        <v>132640</v>
      </c>
      <c r="P1147">
        <v>135320</v>
      </c>
      <c r="Q1147">
        <v>138523</v>
      </c>
      <c r="R1147">
        <v>141618</v>
      </c>
      <c r="S1147">
        <v>10400</v>
      </c>
      <c r="T1147">
        <v>0</v>
      </c>
      <c r="U1147">
        <v>4500</v>
      </c>
      <c r="V1147">
        <v>5000</v>
      </c>
      <c r="W1147">
        <v>5000</v>
      </c>
      <c r="X1147">
        <v>5000</v>
      </c>
      <c r="Y1147">
        <v>1</v>
      </c>
    </row>
    <row r="1148" spans="1:25" x14ac:dyDescent="0.3">
      <c r="A1148">
        <v>1147</v>
      </c>
      <c r="B1148">
        <v>70000</v>
      </c>
      <c r="C1148">
        <v>2</v>
      </c>
      <c r="D1148">
        <v>1</v>
      </c>
      <c r="E1148">
        <v>2</v>
      </c>
      <c r="F1148">
        <v>31</v>
      </c>
      <c r="G1148">
        <v>2</v>
      </c>
      <c r="H1148">
        <v>2</v>
      </c>
      <c r="I1148">
        <v>7</v>
      </c>
      <c r="J1148">
        <v>7</v>
      </c>
      <c r="K1148">
        <v>7</v>
      </c>
      <c r="L1148">
        <v>7</v>
      </c>
      <c r="M1148">
        <v>2400</v>
      </c>
      <c r="N1148">
        <v>2400</v>
      </c>
      <c r="O1148">
        <v>2400</v>
      </c>
      <c r="P1148">
        <v>2400</v>
      </c>
      <c r="Q1148">
        <v>2400</v>
      </c>
      <c r="R1148">
        <v>2400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</row>
    <row r="1149" spans="1:25" x14ac:dyDescent="0.3">
      <c r="A1149">
        <v>1148</v>
      </c>
      <c r="B1149">
        <v>360000</v>
      </c>
      <c r="C1149">
        <v>1</v>
      </c>
      <c r="D1149">
        <v>1</v>
      </c>
      <c r="E1149">
        <v>2</v>
      </c>
      <c r="F1149">
        <v>33</v>
      </c>
      <c r="G1149">
        <v>1</v>
      </c>
      <c r="H1149">
        <v>2</v>
      </c>
      <c r="I1149">
        <v>0</v>
      </c>
      <c r="J1149">
        <v>0</v>
      </c>
      <c r="K1149">
        <v>-1</v>
      </c>
      <c r="L1149">
        <v>-1</v>
      </c>
      <c r="M1149">
        <v>71195</v>
      </c>
      <c r="N1149">
        <v>60553</v>
      </c>
      <c r="O1149">
        <v>60158</v>
      </c>
      <c r="P1149">
        <v>16672</v>
      </c>
      <c r="Q1149">
        <v>35039</v>
      </c>
      <c r="R1149">
        <v>8320</v>
      </c>
      <c r="S1149">
        <v>0</v>
      </c>
      <c r="T1149">
        <v>1399</v>
      </c>
      <c r="U1149">
        <v>0</v>
      </c>
      <c r="V1149">
        <v>35039</v>
      </c>
      <c r="W1149">
        <v>8320</v>
      </c>
      <c r="X1149">
        <v>5169</v>
      </c>
      <c r="Y1149">
        <v>0</v>
      </c>
    </row>
    <row r="1150" spans="1:25" x14ac:dyDescent="0.3">
      <c r="A1150">
        <v>1149</v>
      </c>
      <c r="B1150">
        <v>140000</v>
      </c>
      <c r="C1150">
        <v>2</v>
      </c>
      <c r="D1150">
        <v>1</v>
      </c>
      <c r="E1150">
        <v>2</v>
      </c>
      <c r="F1150">
        <v>30</v>
      </c>
      <c r="G1150">
        <v>1</v>
      </c>
      <c r="H1150">
        <v>2</v>
      </c>
      <c r="I1150">
        <v>0</v>
      </c>
      <c r="J1150">
        <v>0</v>
      </c>
      <c r="K1150">
        <v>0</v>
      </c>
      <c r="L1150">
        <v>0</v>
      </c>
      <c r="M1150">
        <v>149389</v>
      </c>
      <c r="N1150">
        <v>145757</v>
      </c>
      <c r="O1150">
        <v>144229</v>
      </c>
      <c r="P1150">
        <v>144470</v>
      </c>
      <c r="Q1150">
        <v>144386</v>
      </c>
      <c r="R1150">
        <v>120586</v>
      </c>
      <c r="S1150">
        <v>0</v>
      </c>
      <c r="T1150">
        <v>5350</v>
      </c>
      <c r="U1150">
        <v>5555</v>
      </c>
      <c r="V1150">
        <v>5836</v>
      </c>
      <c r="W1150">
        <v>4191</v>
      </c>
      <c r="X1150">
        <v>4341</v>
      </c>
      <c r="Y1150">
        <v>0</v>
      </c>
    </row>
    <row r="1151" spans="1:25" x14ac:dyDescent="0.3">
      <c r="A1151">
        <v>1150</v>
      </c>
      <c r="B1151">
        <v>50000</v>
      </c>
      <c r="C1151">
        <v>1</v>
      </c>
      <c r="D1151">
        <v>2</v>
      </c>
      <c r="E1151">
        <v>1</v>
      </c>
      <c r="F1151">
        <v>52</v>
      </c>
      <c r="G1151">
        <v>-1</v>
      </c>
      <c r="H1151">
        <v>2</v>
      </c>
      <c r="I1151">
        <v>0</v>
      </c>
      <c r="J1151">
        <v>0</v>
      </c>
      <c r="K1151">
        <v>0</v>
      </c>
      <c r="L1151">
        <v>0</v>
      </c>
      <c r="M1151">
        <v>2072</v>
      </c>
      <c r="N1151">
        <v>1532</v>
      </c>
      <c r="O1151">
        <v>3106</v>
      </c>
      <c r="P1151">
        <v>2721</v>
      </c>
      <c r="Q1151">
        <v>780</v>
      </c>
      <c r="R1151">
        <v>0</v>
      </c>
      <c r="S1151">
        <v>0</v>
      </c>
      <c r="T1151">
        <v>2000</v>
      </c>
      <c r="U1151">
        <v>5</v>
      </c>
      <c r="V1151">
        <v>0</v>
      </c>
      <c r="W1151">
        <v>0</v>
      </c>
      <c r="X1151">
        <v>0</v>
      </c>
      <c r="Y1151">
        <v>0</v>
      </c>
    </row>
    <row r="1152" spans="1:25" x14ac:dyDescent="0.3">
      <c r="A1152">
        <v>1151</v>
      </c>
      <c r="B1152">
        <v>210000</v>
      </c>
      <c r="C1152">
        <v>2</v>
      </c>
      <c r="D1152">
        <v>2</v>
      </c>
      <c r="E1152">
        <v>1</v>
      </c>
      <c r="F1152">
        <v>36</v>
      </c>
      <c r="G1152">
        <v>-1</v>
      </c>
      <c r="H1152">
        <v>-1</v>
      </c>
      <c r="I1152">
        <v>-1</v>
      </c>
      <c r="J1152">
        <v>0</v>
      </c>
      <c r="K1152">
        <v>-1</v>
      </c>
      <c r="L1152">
        <v>-1</v>
      </c>
      <c r="M1152">
        <v>396</v>
      </c>
      <c r="N1152">
        <v>590</v>
      </c>
      <c r="O1152">
        <v>2042</v>
      </c>
      <c r="P1152">
        <v>1646</v>
      </c>
      <c r="Q1152">
        <v>396</v>
      </c>
      <c r="R1152">
        <v>396</v>
      </c>
      <c r="S1152">
        <v>590</v>
      </c>
      <c r="T1152">
        <v>2042</v>
      </c>
      <c r="U1152">
        <v>0</v>
      </c>
      <c r="V1152">
        <v>396</v>
      </c>
      <c r="W1152">
        <v>396</v>
      </c>
      <c r="X1152">
        <v>396</v>
      </c>
      <c r="Y1152">
        <v>0</v>
      </c>
    </row>
    <row r="1153" spans="1:25" x14ac:dyDescent="0.3">
      <c r="A1153">
        <v>1152</v>
      </c>
      <c r="B1153">
        <v>280000</v>
      </c>
      <c r="C1153">
        <v>1</v>
      </c>
      <c r="D1153">
        <v>1</v>
      </c>
      <c r="E1153">
        <v>2</v>
      </c>
      <c r="F1153">
        <v>30</v>
      </c>
      <c r="G1153">
        <v>1</v>
      </c>
      <c r="H1153">
        <v>2</v>
      </c>
      <c r="I1153">
        <v>2</v>
      </c>
      <c r="J1153">
        <v>0</v>
      </c>
      <c r="K1153">
        <v>0</v>
      </c>
      <c r="L1153">
        <v>0</v>
      </c>
      <c r="M1153">
        <v>191493</v>
      </c>
      <c r="N1153">
        <v>187913</v>
      </c>
      <c r="O1153">
        <v>169223</v>
      </c>
      <c r="P1153">
        <v>153063</v>
      </c>
      <c r="Q1153">
        <v>133490</v>
      </c>
      <c r="R1153">
        <v>130377</v>
      </c>
      <c r="S1153">
        <v>1000</v>
      </c>
      <c r="T1153">
        <v>7600</v>
      </c>
      <c r="U1153">
        <v>5949</v>
      </c>
      <c r="V1153">
        <v>6000</v>
      </c>
      <c r="W1153">
        <v>5200</v>
      </c>
      <c r="X1153">
        <v>5117</v>
      </c>
      <c r="Y1153">
        <v>0</v>
      </c>
    </row>
    <row r="1154" spans="1:25" x14ac:dyDescent="0.3">
      <c r="A1154">
        <v>1153</v>
      </c>
      <c r="B1154">
        <v>180000</v>
      </c>
      <c r="C1154">
        <v>2</v>
      </c>
      <c r="D1154">
        <v>2</v>
      </c>
      <c r="E1154">
        <v>2</v>
      </c>
      <c r="F1154">
        <v>42</v>
      </c>
      <c r="G1154">
        <v>2</v>
      </c>
      <c r="H1154">
        <v>2</v>
      </c>
      <c r="I1154">
        <v>2</v>
      </c>
      <c r="J1154">
        <v>2</v>
      </c>
      <c r="K1154">
        <v>2</v>
      </c>
      <c r="L1154">
        <v>2</v>
      </c>
      <c r="M1154">
        <v>50420</v>
      </c>
      <c r="N1154">
        <v>51818</v>
      </c>
      <c r="O1154">
        <v>52372</v>
      </c>
      <c r="P1154">
        <v>52917</v>
      </c>
      <c r="Q1154">
        <v>54123</v>
      </c>
      <c r="R1154">
        <v>55176</v>
      </c>
      <c r="S1154">
        <v>2500</v>
      </c>
      <c r="T1154">
        <v>2000</v>
      </c>
      <c r="U1154">
        <v>2000</v>
      </c>
      <c r="V1154">
        <v>2200</v>
      </c>
      <c r="W1154">
        <v>2100</v>
      </c>
      <c r="X1154">
        <v>2200</v>
      </c>
      <c r="Y1154">
        <v>1</v>
      </c>
    </row>
    <row r="1155" spans="1:25" x14ac:dyDescent="0.3">
      <c r="A1155">
        <v>1154</v>
      </c>
      <c r="B1155">
        <v>150000</v>
      </c>
      <c r="C1155">
        <v>2</v>
      </c>
      <c r="D1155">
        <v>1</v>
      </c>
      <c r="E1155">
        <v>2</v>
      </c>
      <c r="F1155">
        <v>30</v>
      </c>
      <c r="G1155">
        <v>-1</v>
      </c>
      <c r="H1155">
        <v>0</v>
      </c>
      <c r="I1155">
        <v>-1</v>
      </c>
      <c r="J1155">
        <v>0</v>
      </c>
      <c r="K1155">
        <v>-1</v>
      </c>
      <c r="L1155">
        <v>-1</v>
      </c>
      <c r="M1155">
        <v>10705</v>
      </c>
      <c r="N1155">
        <v>5416</v>
      </c>
      <c r="O1155">
        <v>5162</v>
      </c>
      <c r="P1155">
        <v>4068</v>
      </c>
      <c r="Q1155">
        <v>249</v>
      </c>
      <c r="R1155">
        <v>249</v>
      </c>
      <c r="S1155">
        <v>1000</v>
      </c>
      <c r="T1155">
        <v>5162</v>
      </c>
      <c r="U1155">
        <v>1000</v>
      </c>
      <c r="V1155">
        <v>249</v>
      </c>
      <c r="W1155">
        <v>249</v>
      </c>
      <c r="X1155">
        <v>5565</v>
      </c>
      <c r="Y1155">
        <v>0</v>
      </c>
    </row>
    <row r="1156" spans="1:25" x14ac:dyDescent="0.3">
      <c r="A1156">
        <v>1155</v>
      </c>
      <c r="B1156">
        <v>20000</v>
      </c>
      <c r="C1156">
        <v>1</v>
      </c>
      <c r="D1156">
        <v>3</v>
      </c>
      <c r="E1156">
        <v>1</v>
      </c>
      <c r="F1156">
        <v>47</v>
      </c>
      <c r="G1156">
        <v>1</v>
      </c>
      <c r="H1156">
        <v>2</v>
      </c>
      <c r="I1156">
        <v>0</v>
      </c>
      <c r="J1156">
        <v>0</v>
      </c>
      <c r="K1156">
        <v>0</v>
      </c>
      <c r="L1156">
        <v>2</v>
      </c>
      <c r="M1156">
        <v>19739</v>
      </c>
      <c r="N1156">
        <v>19137</v>
      </c>
      <c r="O1156">
        <v>19857</v>
      </c>
      <c r="P1156">
        <v>15422</v>
      </c>
      <c r="Q1156">
        <v>19279</v>
      </c>
      <c r="R1156">
        <v>9537</v>
      </c>
      <c r="S1156">
        <v>0</v>
      </c>
      <c r="T1156">
        <v>1200</v>
      </c>
      <c r="U1156">
        <v>0</v>
      </c>
      <c r="V1156">
        <v>9537</v>
      </c>
      <c r="W1156">
        <v>0</v>
      </c>
      <c r="X1156">
        <v>0</v>
      </c>
      <c r="Y1156">
        <v>0</v>
      </c>
    </row>
    <row r="1157" spans="1:25" x14ac:dyDescent="0.3">
      <c r="A1157">
        <v>1156</v>
      </c>
      <c r="B1157">
        <v>350000</v>
      </c>
      <c r="C1157">
        <v>2</v>
      </c>
      <c r="D1157">
        <v>2</v>
      </c>
      <c r="E1157">
        <v>1</v>
      </c>
      <c r="F1157">
        <v>29</v>
      </c>
      <c r="G1157">
        <v>-1</v>
      </c>
      <c r="H1157">
        <v>-1</v>
      </c>
      <c r="I1157">
        <v>-1</v>
      </c>
      <c r="J1157">
        <v>-1</v>
      </c>
      <c r="K1157">
        <v>-1</v>
      </c>
      <c r="L1157">
        <v>-1</v>
      </c>
      <c r="M1157">
        <v>8760</v>
      </c>
      <c r="N1157">
        <v>5882</v>
      </c>
      <c r="O1157">
        <v>9845</v>
      </c>
      <c r="P1157">
        <v>4677</v>
      </c>
      <c r="Q1157">
        <v>5767</v>
      </c>
      <c r="R1157">
        <v>6532</v>
      </c>
      <c r="S1157">
        <v>5932</v>
      </c>
      <c r="T1157">
        <v>9908</v>
      </c>
      <c r="U1157">
        <v>4692</v>
      </c>
      <c r="V1157">
        <v>5787</v>
      </c>
      <c r="W1157">
        <v>6548</v>
      </c>
      <c r="X1157">
        <v>4863</v>
      </c>
      <c r="Y1157">
        <v>0</v>
      </c>
    </row>
    <row r="1158" spans="1:25" x14ac:dyDescent="0.3">
      <c r="A1158">
        <v>1157</v>
      </c>
      <c r="B1158">
        <v>130000</v>
      </c>
      <c r="C1158">
        <v>2</v>
      </c>
      <c r="D1158">
        <v>1</v>
      </c>
      <c r="E1158">
        <v>2</v>
      </c>
      <c r="F1158">
        <v>23</v>
      </c>
      <c r="G1158">
        <v>-1</v>
      </c>
      <c r="H1158">
        <v>-1</v>
      </c>
      <c r="I1158">
        <v>-1</v>
      </c>
      <c r="J1158">
        <v>0</v>
      </c>
      <c r="K1158">
        <v>-1</v>
      </c>
      <c r="L1158">
        <v>0</v>
      </c>
      <c r="M1158">
        <v>3820</v>
      </c>
      <c r="N1158">
        <v>2640</v>
      </c>
      <c r="O1158">
        <v>30403</v>
      </c>
      <c r="P1158">
        <v>9630</v>
      </c>
      <c r="Q1158">
        <v>7120</v>
      </c>
      <c r="R1158">
        <v>3940</v>
      </c>
      <c r="S1158">
        <v>2640</v>
      </c>
      <c r="T1158">
        <v>30403</v>
      </c>
      <c r="U1158">
        <v>193</v>
      </c>
      <c r="V1158">
        <v>7120</v>
      </c>
      <c r="W1158">
        <v>79</v>
      </c>
      <c r="X1158">
        <v>9589</v>
      </c>
      <c r="Y1158">
        <v>0</v>
      </c>
    </row>
    <row r="1159" spans="1:25" x14ac:dyDescent="0.3">
      <c r="A1159">
        <v>1158</v>
      </c>
      <c r="B1159">
        <v>470000</v>
      </c>
      <c r="C1159">
        <v>1</v>
      </c>
      <c r="D1159">
        <v>3</v>
      </c>
      <c r="E1159">
        <v>1</v>
      </c>
      <c r="F1159">
        <v>39</v>
      </c>
      <c r="G1159">
        <v>1</v>
      </c>
      <c r="H1159">
        <v>-2</v>
      </c>
      <c r="I1159">
        <v>-2</v>
      </c>
      <c r="J1159">
        <v>-2</v>
      </c>
      <c r="K1159">
        <v>-2</v>
      </c>
      <c r="L1159">
        <v>-2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789</v>
      </c>
      <c r="Y1159">
        <v>0</v>
      </c>
    </row>
    <row r="1160" spans="1:25" x14ac:dyDescent="0.3">
      <c r="A1160">
        <v>1159</v>
      </c>
      <c r="B1160">
        <v>340000</v>
      </c>
      <c r="C1160">
        <v>2</v>
      </c>
      <c r="D1160">
        <v>2</v>
      </c>
      <c r="E1160">
        <v>1</v>
      </c>
      <c r="F1160">
        <v>48</v>
      </c>
      <c r="G1160">
        <v>-1</v>
      </c>
      <c r="H1160">
        <v>-1</v>
      </c>
      <c r="I1160">
        <v>-1</v>
      </c>
      <c r="J1160">
        <v>0</v>
      </c>
      <c r="K1160">
        <v>0</v>
      </c>
      <c r="L1160">
        <v>-1</v>
      </c>
      <c r="M1160">
        <v>4052</v>
      </c>
      <c r="N1160">
        <v>0</v>
      </c>
      <c r="O1160">
        <v>4105</v>
      </c>
      <c r="P1160">
        <v>2895</v>
      </c>
      <c r="Q1160">
        <v>2895</v>
      </c>
      <c r="R1160">
        <v>2360</v>
      </c>
      <c r="S1160">
        <v>0</v>
      </c>
      <c r="T1160">
        <v>4105</v>
      </c>
      <c r="U1160">
        <v>0</v>
      </c>
      <c r="V1160">
        <v>0</v>
      </c>
      <c r="W1160">
        <v>2360</v>
      </c>
      <c r="X1160">
        <v>1090</v>
      </c>
      <c r="Y1160">
        <v>0</v>
      </c>
    </row>
    <row r="1161" spans="1:25" x14ac:dyDescent="0.3">
      <c r="A1161">
        <v>1160</v>
      </c>
      <c r="B1161">
        <v>80000</v>
      </c>
      <c r="C1161">
        <v>1</v>
      </c>
      <c r="D1161">
        <v>2</v>
      </c>
      <c r="E1161">
        <v>2</v>
      </c>
      <c r="F1161">
        <v>26</v>
      </c>
      <c r="G1161">
        <v>1</v>
      </c>
      <c r="H1161">
        <v>2</v>
      </c>
      <c r="I1161">
        <v>2</v>
      </c>
      <c r="J1161">
        <v>2</v>
      </c>
      <c r="K1161">
        <v>0</v>
      </c>
      <c r="L1161">
        <v>0</v>
      </c>
      <c r="M1161">
        <v>77389</v>
      </c>
      <c r="N1161">
        <v>75585</v>
      </c>
      <c r="O1161">
        <v>80300</v>
      </c>
      <c r="P1161">
        <v>75724</v>
      </c>
      <c r="Q1161">
        <v>77504</v>
      </c>
      <c r="R1161">
        <v>79715</v>
      </c>
      <c r="S1161">
        <v>0</v>
      </c>
      <c r="T1161">
        <v>6000</v>
      </c>
      <c r="U1161">
        <v>0</v>
      </c>
      <c r="V1161">
        <v>3000</v>
      </c>
      <c r="W1161">
        <v>3500</v>
      </c>
      <c r="X1161">
        <v>3000</v>
      </c>
      <c r="Y1161">
        <v>0</v>
      </c>
    </row>
    <row r="1162" spans="1:25" x14ac:dyDescent="0.3">
      <c r="A1162">
        <v>1161</v>
      </c>
      <c r="B1162">
        <v>70000</v>
      </c>
      <c r="C1162">
        <v>1</v>
      </c>
      <c r="D1162">
        <v>1</v>
      </c>
      <c r="E1162">
        <v>2</v>
      </c>
      <c r="F1162">
        <v>33</v>
      </c>
      <c r="G1162">
        <v>0</v>
      </c>
      <c r="H1162">
        <v>0</v>
      </c>
      <c r="I1162">
        <v>0</v>
      </c>
      <c r="J1162">
        <v>0</v>
      </c>
      <c r="K1162">
        <v>-2</v>
      </c>
      <c r="L1162">
        <v>-2</v>
      </c>
      <c r="M1162">
        <v>70524</v>
      </c>
      <c r="N1162">
        <v>70740</v>
      </c>
      <c r="O1162">
        <v>46740</v>
      </c>
      <c r="P1162">
        <v>0</v>
      </c>
      <c r="Q1162">
        <v>0</v>
      </c>
      <c r="R1162">
        <v>0</v>
      </c>
      <c r="S1162">
        <v>2500</v>
      </c>
      <c r="T1162">
        <v>2000</v>
      </c>
      <c r="U1162">
        <v>0</v>
      </c>
      <c r="V1162">
        <v>0</v>
      </c>
      <c r="W1162">
        <v>0</v>
      </c>
      <c r="X1162">
        <v>0</v>
      </c>
      <c r="Y1162">
        <v>0</v>
      </c>
    </row>
    <row r="1163" spans="1:25" x14ac:dyDescent="0.3">
      <c r="A1163">
        <v>1162</v>
      </c>
      <c r="B1163">
        <v>230000</v>
      </c>
      <c r="C1163">
        <v>2</v>
      </c>
      <c r="D1163">
        <v>2</v>
      </c>
      <c r="E1163">
        <v>1</v>
      </c>
      <c r="F1163">
        <v>44</v>
      </c>
      <c r="G1163">
        <v>-2</v>
      </c>
      <c r="H1163">
        <v>-2</v>
      </c>
      <c r="I1163">
        <v>-2</v>
      </c>
      <c r="J1163">
        <v>-2</v>
      </c>
      <c r="K1163">
        <v>-2</v>
      </c>
      <c r="L1163">
        <v>-2</v>
      </c>
      <c r="M1163">
        <v>5990</v>
      </c>
      <c r="N1163">
        <v>1677</v>
      </c>
      <c r="O1163">
        <v>2920</v>
      </c>
      <c r="P1163">
        <v>2683</v>
      </c>
      <c r="Q1163">
        <v>1674</v>
      </c>
      <c r="R1163">
        <v>3273</v>
      </c>
      <c r="S1163">
        <v>1677</v>
      </c>
      <c r="T1163">
        <v>2920</v>
      </c>
      <c r="U1163">
        <v>2683</v>
      </c>
      <c r="V1163">
        <v>1674</v>
      </c>
      <c r="W1163">
        <v>3273</v>
      </c>
      <c r="X1163">
        <v>2749</v>
      </c>
      <c r="Y1163">
        <v>0</v>
      </c>
    </row>
    <row r="1164" spans="1:25" x14ac:dyDescent="0.3">
      <c r="A1164">
        <v>1163</v>
      </c>
      <c r="B1164">
        <v>180000</v>
      </c>
      <c r="C1164">
        <v>2</v>
      </c>
      <c r="D1164">
        <v>2</v>
      </c>
      <c r="E1164">
        <v>1</v>
      </c>
      <c r="F1164">
        <v>36</v>
      </c>
      <c r="G1164">
        <v>0</v>
      </c>
      <c r="H1164">
        <v>0</v>
      </c>
      <c r="I1164">
        <v>0</v>
      </c>
      <c r="J1164">
        <v>-2</v>
      </c>
      <c r="K1164">
        <v>-1</v>
      </c>
      <c r="L1164">
        <v>0</v>
      </c>
      <c r="M1164">
        <v>21494</v>
      </c>
      <c r="N1164">
        <v>25600</v>
      </c>
      <c r="O1164">
        <v>0</v>
      </c>
      <c r="P1164">
        <v>0</v>
      </c>
      <c r="Q1164">
        <v>36565</v>
      </c>
      <c r="R1164">
        <v>37353</v>
      </c>
      <c r="S1164">
        <v>5000</v>
      </c>
      <c r="T1164">
        <v>0</v>
      </c>
      <c r="U1164">
        <v>0</v>
      </c>
      <c r="V1164">
        <v>36565</v>
      </c>
      <c r="W1164">
        <v>1548</v>
      </c>
      <c r="X1164">
        <v>1000</v>
      </c>
      <c r="Y1164">
        <v>0</v>
      </c>
    </row>
    <row r="1165" spans="1:25" x14ac:dyDescent="0.3">
      <c r="A1165">
        <v>1164</v>
      </c>
      <c r="B1165">
        <v>210000</v>
      </c>
      <c r="C1165">
        <v>2</v>
      </c>
      <c r="D1165">
        <v>2</v>
      </c>
      <c r="E1165">
        <v>1</v>
      </c>
      <c r="F1165">
        <v>39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-1</v>
      </c>
      <c r="M1165">
        <v>26749</v>
      </c>
      <c r="N1165">
        <v>34451</v>
      </c>
      <c r="O1165">
        <v>25200</v>
      </c>
      <c r="P1165">
        <v>19850</v>
      </c>
      <c r="Q1165">
        <v>15530</v>
      </c>
      <c r="R1165">
        <v>13021</v>
      </c>
      <c r="S1165">
        <v>14000</v>
      </c>
      <c r="T1165">
        <v>3007</v>
      </c>
      <c r="U1165">
        <v>5000</v>
      </c>
      <c r="V1165">
        <v>1000</v>
      </c>
      <c r="W1165">
        <v>13021</v>
      </c>
      <c r="X1165">
        <v>22171</v>
      </c>
      <c r="Y1165">
        <v>0</v>
      </c>
    </row>
    <row r="1166" spans="1:25" x14ac:dyDescent="0.3">
      <c r="A1166">
        <v>1165</v>
      </c>
      <c r="B1166">
        <v>20000</v>
      </c>
      <c r="C1166">
        <v>1</v>
      </c>
      <c r="D1166">
        <v>2</v>
      </c>
      <c r="E1166">
        <v>2</v>
      </c>
      <c r="F1166">
        <v>24</v>
      </c>
      <c r="G1166">
        <v>-1</v>
      </c>
      <c r="H1166">
        <v>-1</v>
      </c>
      <c r="I1166">
        <v>-1</v>
      </c>
      <c r="J1166">
        <v>-1</v>
      </c>
      <c r="K1166">
        <v>-1</v>
      </c>
      <c r="L1166">
        <v>-1</v>
      </c>
      <c r="M1166">
        <v>780</v>
      </c>
      <c r="N1166">
        <v>0</v>
      </c>
      <c r="O1166">
        <v>390</v>
      </c>
      <c r="P1166">
        <v>390</v>
      </c>
      <c r="Q1166">
        <v>780</v>
      </c>
      <c r="R1166">
        <v>0</v>
      </c>
      <c r="S1166">
        <v>0</v>
      </c>
      <c r="T1166">
        <v>390</v>
      </c>
      <c r="U1166">
        <v>390</v>
      </c>
      <c r="V1166">
        <v>780</v>
      </c>
      <c r="W1166">
        <v>0</v>
      </c>
      <c r="X1166">
        <v>0</v>
      </c>
      <c r="Y1166">
        <v>0</v>
      </c>
    </row>
    <row r="1167" spans="1:25" x14ac:dyDescent="0.3">
      <c r="A1167">
        <v>1166</v>
      </c>
      <c r="B1167">
        <v>140000</v>
      </c>
      <c r="C1167">
        <v>2</v>
      </c>
      <c r="D1167">
        <v>2</v>
      </c>
      <c r="E1167">
        <v>2</v>
      </c>
      <c r="F1167">
        <v>25</v>
      </c>
      <c r="G1167">
        <v>2</v>
      </c>
      <c r="H1167">
        <v>0</v>
      </c>
      <c r="I1167">
        <v>0</v>
      </c>
      <c r="J1167">
        <v>-1</v>
      </c>
      <c r="K1167">
        <v>-1</v>
      </c>
      <c r="L1167">
        <v>0</v>
      </c>
      <c r="M1167">
        <v>137606</v>
      </c>
      <c r="N1167">
        <v>140557</v>
      </c>
      <c r="O1167">
        <v>111000</v>
      </c>
      <c r="P1167">
        <v>3238</v>
      </c>
      <c r="Q1167">
        <v>89437</v>
      </c>
      <c r="R1167">
        <v>91136</v>
      </c>
      <c r="S1167">
        <v>6000</v>
      </c>
      <c r="T1167">
        <v>3200</v>
      </c>
      <c r="U1167">
        <v>3238</v>
      </c>
      <c r="V1167">
        <v>89437</v>
      </c>
      <c r="W1167">
        <v>3228</v>
      </c>
      <c r="X1167">
        <v>3000</v>
      </c>
      <c r="Y1167">
        <v>0</v>
      </c>
    </row>
    <row r="1168" spans="1:25" x14ac:dyDescent="0.3">
      <c r="A1168">
        <v>1167</v>
      </c>
      <c r="B1168">
        <v>200000</v>
      </c>
      <c r="C1168">
        <v>1</v>
      </c>
      <c r="D1168">
        <v>1</v>
      </c>
      <c r="E1168">
        <v>2</v>
      </c>
      <c r="F1168">
        <v>52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115702</v>
      </c>
      <c r="N1168">
        <v>113576</v>
      </c>
      <c r="O1168">
        <v>109812</v>
      </c>
      <c r="P1168">
        <v>104567</v>
      </c>
      <c r="Q1168">
        <v>100541</v>
      </c>
      <c r="R1168">
        <v>96495</v>
      </c>
      <c r="S1168">
        <v>5517</v>
      </c>
      <c r="T1168">
        <v>5381</v>
      </c>
      <c r="U1168">
        <v>3838</v>
      </c>
      <c r="V1168">
        <v>3589</v>
      </c>
      <c r="W1168">
        <v>3397</v>
      </c>
      <c r="X1168">
        <v>3296</v>
      </c>
      <c r="Y1168">
        <v>0</v>
      </c>
    </row>
    <row r="1169" spans="1:25" x14ac:dyDescent="0.3">
      <c r="A1169">
        <v>1168</v>
      </c>
      <c r="B1169">
        <v>50000</v>
      </c>
      <c r="C1169">
        <v>2</v>
      </c>
      <c r="D1169">
        <v>3</v>
      </c>
      <c r="E1169">
        <v>1</v>
      </c>
      <c r="F1169">
        <v>59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47822</v>
      </c>
      <c r="N1169">
        <v>36488</v>
      </c>
      <c r="O1169">
        <v>36811</v>
      </c>
      <c r="P1169">
        <v>13234</v>
      </c>
      <c r="Q1169">
        <v>11543</v>
      </c>
      <c r="R1169">
        <v>10751</v>
      </c>
      <c r="S1169">
        <v>2009</v>
      </c>
      <c r="T1169">
        <v>2000</v>
      </c>
      <c r="U1169">
        <v>556</v>
      </c>
      <c r="V1169">
        <v>378</v>
      </c>
      <c r="W1169">
        <v>619</v>
      </c>
      <c r="X1169">
        <v>5000</v>
      </c>
      <c r="Y1169">
        <v>0</v>
      </c>
    </row>
    <row r="1170" spans="1:25" x14ac:dyDescent="0.3">
      <c r="A1170">
        <v>1169</v>
      </c>
      <c r="B1170">
        <v>80000</v>
      </c>
      <c r="C1170">
        <v>2</v>
      </c>
      <c r="D1170">
        <v>1</v>
      </c>
      <c r="E1170">
        <v>2</v>
      </c>
      <c r="F1170">
        <v>23</v>
      </c>
      <c r="G1170">
        <v>-1</v>
      </c>
      <c r="H1170">
        <v>-1</v>
      </c>
      <c r="I1170">
        <v>0</v>
      </c>
      <c r="J1170">
        <v>0</v>
      </c>
      <c r="K1170">
        <v>-1</v>
      </c>
      <c r="L1170">
        <v>-1</v>
      </c>
      <c r="M1170">
        <v>3526</v>
      </c>
      <c r="N1170">
        <v>6687</v>
      </c>
      <c r="O1170">
        <v>4356</v>
      </c>
      <c r="P1170">
        <v>3450</v>
      </c>
      <c r="Q1170">
        <v>4318</v>
      </c>
      <c r="R1170">
        <v>0</v>
      </c>
      <c r="S1170">
        <v>6687</v>
      </c>
      <c r="T1170">
        <v>1000</v>
      </c>
      <c r="U1170">
        <v>0</v>
      </c>
      <c r="V1170">
        <v>4318</v>
      </c>
      <c r="W1170">
        <v>0</v>
      </c>
      <c r="X1170">
        <v>254</v>
      </c>
      <c r="Y1170">
        <v>0</v>
      </c>
    </row>
    <row r="1171" spans="1:25" x14ac:dyDescent="0.3">
      <c r="A1171">
        <v>1170</v>
      </c>
      <c r="B1171">
        <v>30000</v>
      </c>
      <c r="C1171">
        <v>2</v>
      </c>
      <c r="D1171">
        <v>3</v>
      </c>
      <c r="E1171">
        <v>2</v>
      </c>
      <c r="F1171">
        <v>48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1445</v>
      </c>
      <c r="N1171">
        <v>3410</v>
      </c>
      <c r="O1171">
        <v>5338</v>
      </c>
      <c r="P1171">
        <v>7239</v>
      </c>
      <c r="Q1171">
        <v>9112</v>
      </c>
      <c r="R1171">
        <v>10949</v>
      </c>
      <c r="S1171">
        <v>2000</v>
      </c>
      <c r="T1171">
        <v>2000</v>
      </c>
      <c r="U1171">
        <v>2000</v>
      </c>
      <c r="V1171">
        <v>2000</v>
      </c>
      <c r="W1171">
        <v>2000</v>
      </c>
      <c r="X1171">
        <v>2000</v>
      </c>
      <c r="Y1171">
        <v>0</v>
      </c>
    </row>
    <row r="1172" spans="1:25" x14ac:dyDescent="0.3">
      <c r="A1172">
        <v>1171</v>
      </c>
      <c r="B1172">
        <v>140000</v>
      </c>
      <c r="C1172">
        <v>2</v>
      </c>
      <c r="D1172">
        <v>1</v>
      </c>
      <c r="E1172">
        <v>2</v>
      </c>
      <c r="F1172">
        <v>28</v>
      </c>
      <c r="G1172">
        <v>0</v>
      </c>
      <c r="H1172">
        <v>0</v>
      </c>
      <c r="I1172">
        <v>2</v>
      </c>
      <c r="J1172">
        <v>0</v>
      </c>
      <c r="K1172">
        <v>0</v>
      </c>
      <c r="L1172">
        <v>0</v>
      </c>
      <c r="M1172">
        <v>9305</v>
      </c>
      <c r="N1172">
        <v>13614</v>
      </c>
      <c r="O1172">
        <v>13103</v>
      </c>
      <c r="P1172">
        <v>14077</v>
      </c>
      <c r="Q1172">
        <v>15189</v>
      </c>
      <c r="R1172">
        <v>16275</v>
      </c>
      <c r="S1172">
        <v>4800</v>
      </c>
      <c r="T1172">
        <v>0</v>
      </c>
      <c r="U1172">
        <v>1500</v>
      </c>
      <c r="V1172">
        <v>1500</v>
      </c>
      <c r="W1172">
        <v>1500</v>
      </c>
      <c r="X1172">
        <v>1500</v>
      </c>
      <c r="Y1172">
        <v>1</v>
      </c>
    </row>
    <row r="1173" spans="1:25" x14ac:dyDescent="0.3">
      <c r="A1173">
        <v>1172</v>
      </c>
      <c r="B1173">
        <v>80000</v>
      </c>
      <c r="C1173">
        <v>1</v>
      </c>
      <c r="D1173">
        <v>3</v>
      </c>
      <c r="E1173">
        <v>1</v>
      </c>
      <c r="F1173">
        <v>62</v>
      </c>
      <c r="G1173">
        <v>-1</v>
      </c>
      <c r="H1173">
        <v>-1</v>
      </c>
      <c r="I1173">
        <v>-1</v>
      </c>
      <c r="J1173">
        <v>-1</v>
      </c>
      <c r="K1173">
        <v>-1</v>
      </c>
      <c r="L1173">
        <v>-1</v>
      </c>
      <c r="M1173">
        <v>1262</v>
      </c>
      <c r="N1173">
        <v>1642</v>
      </c>
      <c r="O1173">
        <v>1975</v>
      </c>
      <c r="P1173">
        <v>672</v>
      </c>
      <c r="Q1173">
        <v>5112</v>
      </c>
      <c r="R1173">
        <v>3932</v>
      </c>
      <c r="S1173">
        <v>1642</v>
      </c>
      <c r="T1173">
        <v>1975</v>
      </c>
      <c r="U1173">
        <v>672</v>
      </c>
      <c r="V1173">
        <v>5112</v>
      </c>
      <c r="W1173">
        <v>3932</v>
      </c>
      <c r="X1173">
        <v>20289</v>
      </c>
      <c r="Y1173">
        <v>0</v>
      </c>
    </row>
    <row r="1174" spans="1:25" x14ac:dyDescent="0.3">
      <c r="A1174">
        <v>1173</v>
      </c>
      <c r="B1174">
        <v>220000</v>
      </c>
      <c r="C1174">
        <v>2</v>
      </c>
      <c r="D1174">
        <v>3</v>
      </c>
      <c r="E1174">
        <v>1</v>
      </c>
      <c r="F1174">
        <v>38</v>
      </c>
      <c r="G1174">
        <v>-1</v>
      </c>
      <c r="H1174">
        <v>-1</v>
      </c>
      <c r="I1174">
        <v>-1</v>
      </c>
      <c r="J1174">
        <v>-1</v>
      </c>
      <c r="K1174">
        <v>-1</v>
      </c>
      <c r="L1174">
        <v>-1</v>
      </c>
      <c r="M1174">
        <v>20000</v>
      </c>
      <c r="N1174">
        <v>3450</v>
      </c>
      <c r="O1174">
        <v>5516</v>
      </c>
      <c r="P1174">
        <v>47619</v>
      </c>
      <c r="Q1174">
        <v>28800</v>
      </c>
      <c r="R1174">
        <v>8561</v>
      </c>
      <c r="S1174">
        <v>3450</v>
      </c>
      <c r="T1174">
        <v>5549</v>
      </c>
      <c r="U1174">
        <v>50019</v>
      </c>
      <c r="V1174">
        <v>28800</v>
      </c>
      <c r="W1174">
        <v>8561</v>
      </c>
      <c r="X1174">
        <v>16599</v>
      </c>
      <c r="Y1174">
        <v>0</v>
      </c>
    </row>
    <row r="1175" spans="1:25" x14ac:dyDescent="0.3">
      <c r="A1175">
        <v>1174</v>
      </c>
      <c r="B1175">
        <v>180000</v>
      </c>
      <c r="C1175">
        <v>2</v>
      </c>
      <c r="D1175">
        <v>1</v>
      </c>
      <c r="E1175">
        <v>2</v>
      </c>
      <c r="F1175">
        <v>32</v>
      </c>
      <c r="G1175">
        <v>-1</v>
      </c>
      <c r="H1175">
        <v>-1</v>
      </c>
      <c r="I1175">
        <v>-1</v>
      </c>
      <c r="J1175">
        <v>-1</v>
      </c>
      <c r="K1175">
        <v>-1</v>
      </c>
      <c r="L1175">
        <v>-1</v>
      </c>
      <c r="M1175">
        <v>666</v>
      </c>
      <c r="N1175">
        <v>666</v>
      </c>
      <c r="O1175">
        <v>666</v>
      </c>
      <c r="P1175">
        <v>666</v>
      </c>
      <c r="Q1175">
        <v>666</v>
      </c>
      <c r="R1175">
        <v>666</v>
      </c>
      <c r="S1175">
        <v>666</v>
      </c>
      <c r="T1175">
        <v>666</v>
      </c>
      <c r="U1175">
        <v>666</v>
      </c>
      <c r="V1175">
        <v>666</v>
      </c>
      <c r="W1175">
        <v>666</v>
      </c>
      <c r="X1175">
        <v>666</v>
      </c>
      <c r="Y1175">
        <v>0</v>
      </c>
    </row>
    <row r="1176" spans="1:25" x14ac:dyDescent="0.3">
      <c r="A1176">
        <v>1175</v>
      </c>
      <c r="B1176">
        <v>140000</v>
      </c>
      <c r="C1176">
        <v>2</v>
      </c>
      <c r="D1176">
        <v>2</v>
      </c>
      <c r="E1176">
        <v>1</v>
      </c>
      <c r="F1176">
        <v>29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81764</v>
      </c>
      <c r="N1176">
        <v>92071</v>
      </c>
      <c r="O1176">
        <v>43777</v>
      </c>
      <c r="P1176">
        <v>22806</v>
      </c>
      <c r="Q1176">
        <v>12643</v>
      </c>
      <c r="R1176">
        <v>29707</v>
      </c>
      <c r="S1176">
        <v>20167</v>
      </c>
      <c r="T1176">
        <v>5000</v>
      </c>
      <c r="U1176">
        <v>28800</v>
      </c>
      <c r="V1176">
        <v>2000</v>
      </c>
      <c r="W1176">
        <v>20007</v>
      </c>
      <c r="X1176">
        <v>10009</v>
      </c>
      <c r="Y1176">
        <v>1</v>
      </c>
    </row>
    <row r="1177" spans="1:25" x14ac:dyDescent="0.3">
      <c r="A1177">
        <v>1176</v>
      </c>
      <c r="B1177">
        <v>180000</v>
      </c>
      <c r="C1177">
        <v>1</v>
      </c>
      <c r="D1177">
        <v>2</v>
      </c>
      <c r="E1177">
        <v>2</v>
      </c>
      <c r="F1177">
        <v>25</v>
      </c>
      <c r="G1177">
        <v>2</v>
      </c>
      <c r="H1177">
        <v>2</v>
      </c>
      <c r="I1177">
        <v>2</v>
      </c>
      <c r="J1177">
        <v>0</v>
      </c>
      <c r="K1177">
        <v>0</v>
      </c>
      <c r="L1177">
        <v>0</v>
      </c>
      <c r="M1177">
        <v>10022</v>
      </c>
      <c r="N1177">
        <v>12847</v>
      </c>
      <c r="O1177">
        <v>12351</v>
      </c>
      <c r="P1177">
        <v>12350</v>
      </c>
      <c r="Q1177">
        <v>12608</v>
      </c>
      <c r="R1177">
        <v>12892</v>
      </c>
      <c r="S1177">
        <v>3000</v>
      </c>
      <c r="T1177">
        <v>0</v>
      </c>
      <c r="U1177">
        <v>500</v>
      </c>
      <c r="V1177">
        <v>455</v>
      </c>
      <c r="W1177">
        <v>491</v>
      </c>
      <c r="X1177">
        <v>500</v>
      </c>
      <c r="Y1177">
        <v>1</v>
      </c>
    </row>
    <row r="1178" spans="1:25" x14ac:dyDescent="0.3">
      <c r="A1178">
        <v>1177</v>
      </c>
      <c r="B1178">
        <v>50000</v>
      </c>
      <c r="C1178">
        <v>2</v>
      </c>
      <c r="D1178">
        <v>2</v>
      </c>
      <c r="E1178">
        <v>2</v>
      </c>
      <c r="F1178">
        <v>35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14536</v>
      </c>
      <c r="N1178">
        <v>15694</v>
      </c>
      <c r="O1178">
        <v>16431</v>
      </c>
      <c r="P1178">
        <v>17056</v>
      </c>
      <c r="Q1178">
        <v>17581</v>
      </c>
      <c r="R1178">
        <v>18089</v>
      </c>
      <c r="S1178">
        <v>1700</v>
      </c>
      <c r="T1178">
        <v>1300</v>
      </c>
      <c r="U1178">
        <v>900</v>
      </c>
      <c r="V1178">
        <v>800</v>
      </c>
      <c r="W1178">
        <v>800</v>
      </c>
      <c r="X1178">
        <v>900</v>
      </c>
      <c r="Y1178">
        <v>0</v>
      </c>
    </row>
    <row r="1179" spans="1:25" x14ac:dyDescent="0.3">
      <c r="A1179">
        <v>1178</v>
      </c>
      <c r="B1179">
        <v>170000</v>
      </c>
      <c r="C1179">
        <v>2</v>
      </c>
      <c r="D1179">
        <v>2</v>
      </c>
      <c r="E1179">
        <v>2</v>
      </c>
      <c r="F1179">
        <v>27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97474</v>
      </c>
      <c r="N1179">
        <v>78520</v>
      </c>
      <c r="O1179">
        <v>80131</v>
      </c>
      <c r="P1179">
        <v>70788</v>
      </c>
      <c r="Q1179">
        <v>68927</v>
      </c>
      <c r="R1179">
        <v>70678</v>
      </c>
      <c r="S1179">
        <v>2932</v>
      </c>
      <c r="T1179">
        <v>3000</v>
      </c>
      <c r="U1179">
        <v>2500</v>
      </c>
      <c r="V1179">
        <v>3000</v>
      </c>
      <c r="W1179">
        <v>2900</v>
      </c>
      <c r="X1179">
        <v>2918</v>
      </c>
      <c r="Y1179">
        <v>0</v>
      </c>
    </row>
    <row r="1180" spans="1:25" x14ac:dyDescent="0.3">
      <c r="A1180">
        <v>1179</v>
      </c>
      <c r="B1180">
        <v>50000</v>
      </c>
      <c r="C1180">
        <v>1</v>
      </c>
      <c r="D1180">
        <v>2</v>
      </c>
      <c r="E1180">
        <v>2</v>
      </c>
      <c r="F1180">
        <v>38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50958</v>
      </c>
      <c r="N1180">
        <v>50889</v>
      </c>
      <c r="O1180">
        <v>49697</v>
      </c>
      <c r="P1180">
        <v>9176</v>
      </c>
      <c r="Q1180">
        <v>9368</v>
      </c>
      <c r="R1180">
        <v>9554</v>
      </c>
      <c r="S1180">
        <v>2042</v>
      </c>
      <c r="T1180">
        <v>1150</v>
      </c>
      <c r="U1180">
        <v>329</v>
      </c>
      <c r="V1180">
        <v>340</v>
      </c>
      <c r="W1180">
        <v>342</v>
      </c>
      <c r="X1180">
        <v>354</v>
      </c>
      <c r="Y1180">
        <v>0</v>
      </c>
    </row>
    <row r="1181" spans="1:25" x14ac:dyDescent="0.3">
      <c r="A1181">
        <v>1180</v>
      </c>
      <c r="B1181">
        <v>50000</v>
      </c>
      <c r="C1181">
        <v>1</v>
      </c>
      <c r="D1181">
        <v>2</v>
      </c>
      <c r="E1181">
        <v>2</v>
      </c>
      <c r="F1181">
        <v>24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49144</v>
      </c>
      <c r="N1181">
        <v>20818</v>
      </c>
      <c r="O1181">
        <v>17890</v>
      </c>
      <c r="P1181">
        <v>18310</v>
      </c>
      <c r="Q1181">
        <v>17931</v>
      </c>
      <c r="R1181">
        <v>18633</v>
      </c>
      <c r="S1181">
        <v>1500</v>
      </c>
      <c r="T1181">
        <v>1300</v>
      </c>
      <c r="U1181">
        <v>700</v>
      </c>
      <c r="V1181">
        <v>1000</v>
      </c>
      <c r="W1181">
        <v>1000</v>
      </c>
      <c r="X1181">
        <v>1000</v>
      </c>
      <c r="Y1181">
        <v>0</v>
      </c>
    </row>
    <row r="1182" spans="1:25" x14ac:dyDescent="0.3">
      <c r="A1182">
        <v>1181</v>
      </c>
      <c r="B1182">
        <v>300000</v>
      </c>
      <c r="C1182">
        <v>1</v>
      </c>
      <c r="D1182">
        <v>2</v>
      </c>
      <c r="E1182">
        <v>1</v>
      </c>
      <c r="F1182">
        <v>29</v>
      </c>
      <c r="G1182">
        <v>-1</v>
      </c>
      <c r="H1182">
        <v>-1</v>
      </c>
      <c r="I1182">
        <v>-2</v>
      </c>
      <c r="J1182">
        <v>-2</v>
      </c>
      <c r="K1182">
        <v>-2</v>
      </c>
      <c r="L1182">
        <v>-2</v>
      </c>
      <c r="M1182">
        <v>1874</v>
      </c>
      <c r="N1182">
        <v>-200</v>
      </c>
      <c r="O1182">
        <v>-200</v>
      </c>
      <c r="P1182">
        <v>-200</v>
      </c>
      <c r="Q1182">
        <v>-200</v>
      </c>
      <c r="R1182">
        <v>-200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</row>
    <row r="1183" spans="1:25" x14ac:dyDescent="0.3">
      <c r="A1183">
        <v>1182</v>
      </c>
      <c r="B1183">
        <v>390000</v>
      </c>
      <c r="C1183">
        <v>2</v>
      </c>
      <c r="D1183">
        <v>1</v>
      </c>
      <c r="E1183">
        <v>2</v>
      </c>
      <c r="F1183">
        <v>27</v>
      </c>
      <c r="G1183">
        <v>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386301</v>
      </c>
      <c r="N1183">
        <v>392458</v>
      </c>
      <c r="O1183">
        <v>290201</v>
      </c>
      <c r="P1183">
        <v>295606</v>
      </c>
      <c r="Q1183">
        <v>300709</v>
      </c>
      <c r="R1183">
        <v>305904</v>
      </c>
      <c r="S1183">
        <v>17000</v>
      </c>
      <c r="T1183">
        <v>11000</v>
      </c>
      <c r="U1183">
        <v>11000</v>
      </c>
      <c r="V1183">
        <v>10656</v>
      </c>
      <c r="W1183">
        <v>11000</v>
      </c>
      <c r="X1183">
        <v>12000</v>
      </c>
      <c r="Y1183">
        <v>0</v>
      </c>
    </row>
    <row r="1184" spans="1:25" x14ac:dyDescent="0.3">
      <c r="A1184">
        <v>1183</v>
      </c>
      <c r="B1184">
        <v>90000</v>
      </c>
      <c r="C1184">
        <v>2</v>
      </c>
      <c r="D1184">
        <v>2</v>
      </c>
      <c r="E1184">
        <v>1</v>
      </c>
      <c r="F1184">
        <v>55</v>
      </c>
      <c r="G1184">
        <v>2</v>
      </c>
      <c r="H1184">
        <v>2</v>
      </c>
      <c r="I1184">
        <v>0</v>
      </c>
      <c r="J1184">
        <v>0</v>
      </c>
      <c r="K1184">
        <v>0</v>
      </c>
      <c r="L1184">
        <v>0</v>
      </c>
      <c r="M1184">
        <v>81998</v>
      </c>
      <c r="N1184">
        <v>83674</v>
      </c>
      <c r="O1184">
        <v>80890</v>
      </c>
      <c r="P1184">
        <v>31565</v>
      </c>
      <c r="Q1184">
        <v>33049</v>
      </c>
      <c r="R1184">
        <v>22694</v>
      </c>
      <c r="S1184">
        <v>4003</v>
      </c>
      <c r="T1184">
        <v>3000</v>
      </c>
      <c r="U1184">
        <v>3000</v>
      </c>
      <c r="V1184">
        <v>3000</v>
      </c>
      <c r="W1184">
        <v>2000</v>
      </c>
      <c r="X1184">
        <v>2000</v>
      </c>
      <c r="Y1184">
        <v>1</v>
      </c>
    </row>
    <row r="1185" spans="1:25" x14ac:dyDescent="0.3">
      <c r="A1185">
        <v>1184</v>
      </c>
      <c r="B1185">
        <v>200000</v>
      </c>
      <c r="C1185">
        <v>2</v>
      </c>
      <c r="D1185">
        <v>1</v>
      </c>
      <c r="E1185">
        <v>2</v>
      </c>
      <c r="F1185">
        <v>29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194241</v>
      </c>
      <c r="N1185">
        <v>193425</v>
      </c>
      <c r="O1185">
        <v>196537</v>
      </c>
      <c r="P1185">
        <v>195268</v>
      </c>
      <c r="Q1185">
        <v>192829</v>
      </c>
      <c r="R1185">
        <v>192499</v>
      </c>
      <c r="S1185">
        <v>12000</v>
      </c>
      <c r="T1185">
        <v>8500</v>
      </c>
      <c r="U1185">
        <v>7000</v>
      </c>
      <c r="V1185">
        <v>10000</v>
      </c>
      <c r="W1185">
        <v>10000</v>
      </c>
      <c r="X1185">
        <v>10000</v>
      </c>
      <c r="Y1185">
        <v>0</v>
      </c>
    </row>
    <row r="1186" spans="1:25" x14ac:dyDescent="0.3">
      <c r="A1186">
        <v>1185</v>
      </c>
      <c r="B1186">
        <v>460000</v>
      </c>
      <c r="C1186">
        <v>1</v>
      </c>
      <c r="D1186">
        <v>1</v>
      </c>
      <c r="E1186">
        <v>2</v>
      </c>
      <c r="F1186">
        <v>29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410033</v>
      </c>
      <c r="N1186">
        <v>385394</v>
      </c>
      <c r="O1186">
        <v>325663</v>
      </c>
      <c r="P1186">
        <v>324067</v>
      </c>
      <c r="Q1186">
        <v>324749</v>
      </c>
      <c r="R1186">
        <v>327929</v>
      </c>
      <c r="S1186">
        <v>16088</v>
      </c>
      <c r="T1186">
        <v>13039</v>
      </c>
      <c r="U1186">
        <v>11127</v>
      </c>
      <c r="V1186">
        <v>11017</v>
      </c>
      <c r="W1186">
        <v>11110</v>
      </c>
      <c r="X1186">
        <v>11113</v>
      </c>
      <c r="Y1186">
        <v>0</v>
      </c>
    </row>
    <row r="1187" spans="1:25" x14ac:dyDescent="0.3">
      <c r="A1187">
        <v>1186</v>
      </c>
      <c r="B1187">
        <v>10000</v>
      </c>
      <c r="C1187">
        <v>1</v>
      </c>
      <c r="D1187">
        <v>2</v>
      </c>
      <c r="E1187">
        <v>2</v>
      </c>
      <c r="F1187">
        <v>23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-2</v>
      </c>
      <c r="M1187">
        <v>3714</v>
      </c>
      <c r="N1187">
        <v>4158</v>
      </c>
      <c r="O1187">
        <v>4654</v>
      </c>
      <c r="P1187">
        <v>3080</v>
      </c>
      <c r="Q1187">
        <v>0</v>
      </c>
      <c r="R1187">
        <v>0</v>
      </c>
      <c r="S1187">
        <v>1104</v>
      </c>
      <c r="T1187">
        <v>1000</v>
      </c>
      <c r="U1187">
        <v>31</v>
      </c>
      <c r="V1187">
        <v>0</v>
      </c>
      <c r="W1187">
        <v>0</v>
      </c>
      <c r="X1187">
        <v>0</v>
      </c>
      <c r="Y1187">
        <v>0</v>
      </c>
    </row>
    <row r="1188" spans="1:25" x14ac:dyDescent="0.3">
      <c r="A1188">
        <v>1187</v>
      </c>
      <c r="B1188">
        <v>20000</v>
      </c>
      <c r="C1188">
        <v>1</v>
      </c>
      <c r="D1188">
        <v>2</v>
      </c>
      <c r="E1188">
        <v>1</v>
      </c>
      <c r="F1188">
        <v>30</v>
      </c>
      <c r="G1188">
        <v>-1</v>
      </c>
      <c r="H1188">
        <v>-1</v>
      </c>
      <c r="I1188">
        <v>0</v>
      </c>
      <c r="J1188">
        <v>0</v>
      </c>
      <c r="K1188">
        <v>-1</v>
      </c>
      <c r="L1188">
        <v>-1</v>
      </c>
      <c r="M1188">
        <v>1261</v>
      </c>
      <c r="N1188">
        <v>2835</v>
      </c>
      <c r="O1188">
        <v>2522</v>
      </c>
      <c r="P1188">
        <v>1261</v>
      </c>
      <c r="Q1188">
        <v>1261</v>
      </c>
      <c r="R1188">
        <v>930</v>
      </c>
      <c r="S1188">
        <v>2835</v>
      </c>
      <c r="T1188">
        <v>1000</v>
      </c>
      <c r="U1188">
        <v>0</v>
      </c>
      <c r="V1188">
        <v>1261</v>
      </c>
      <c r="W1188">
        <v>930</v>
      </c>
      <c r="X1188">
        <v>540</v>
      </c>
      <c r="Y1188">
        <v>1</v>
      </c>
    </row>
    <row r="1189" spans="1:25" x14ac:dyDescent="0.3">
      <c r="A1189">
        <v>1188</v>
      </c>
      <c r="B1189">
        <v>50000</v>
      </c>
      <c r="C1189">
        <v>2</v>
      </c>
      <c r="D1189">
        <v>2</v>
      </c>
      <c r="E1189">
        <v>1</v>
      </c>
      <c r="F1189">
        <v>50</v>
      </c>
      <c r="G1189">
        <v>-1</v>
      </c>
      <c r="H1189">
        <v>-1</v>
      </c>
      <c r="I1189">
        <v>-1</v>
      </c>
      <c r="J1189">
        <v>-1</v>
      </c>
      <c r="K1189">
        <v>-2</v>
      </c>
      <c r="L1189">
        <v>-1</v>
      </c>
      <c r="M1189">
        <v>1232</v>
      </c>
      <c r="N1189">
        <v>1846</v>
      </c>
      <c r="O1189">
        <v>697</v>
      </c>
      <c r="P1189">
        <v>364</v>
      </c>
      <c r="Q1189">
        <v>0</v>
      </c>
      <c r="R1189">
        <v>760</v>
      </c>
      <c r="S1189">
        <v>1846</v>
      </c>
      <c r="T1189">
        <v>697</v>
      </c>
      <c r="U1189">
        <v>364</v>
      </c>
      <c r="V1189">
        <v>0</v>
      </c>
      <c r="W1189">
        <v>760</v>
      </c>
      <c r="X1189">
        <v>5862</v>
      </c>
      <c r="Y1189">
        <v>0</v>
      </c>
    </row>
    <row r="1190" spans="1:25" x14ac:dyDescent="0.3">
      <c r="A1190">
        <v>1189</v>
      </c>
      <c r="B1190">
        <v>480000</v>
      </c>
      <c r="C1190">
        <v>2</v>
      </c>
      <c r="D1190">
        <v>2</v>
      </c>
      <c r="E1190">
        <v>1</v>
      </c>
      <c r="F1190">
        <v>38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90258</v>
      </c>
      <c r="N1190">
        <v>76099</v>
      </c>
      <c r="O1190">
        <v>56776</v>
      </c>
      <c r="P1190">
        <v>37484</v>
      </c>
      <c r="Q1190">
        <v>37906</v>
      </c>
      <c r="R1190">
        <v>18387</v>
      </c>
      <c r="S1190">
        <v>30000</v>
      </c>
      <c r="T1190">
        <v>1708</v>
      </c>
      <c r="U1190">
        <v>1292</v>
      </c>
      <c r="V1190">
        <v>1010</v>
      </c>
      <c r="W1190">
        <v>772</v>
      </c>
      <c r="X1190">
        <v>705</v>
      </c>
      <c r="Y1190">
        <v>0</v>
      </c>
    </row>
    <row r="1191" spans="1:25" x14ac:dyDescent="0.3">
      <c r="A1191">
        <v>1190</v>
      </c>
      <c r="B1191">
        <v>180000</v>
      </c>
      <c r="C1191">
        <v>2</v>
      </c>
      <c r="D1191">
        <v>1</v>
      </c>
      <c r="E1191">
        <v>2</v>
      </c>
      <c r="F1191">
        <v>24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169263</v>
      </c>
      <c r="N1191">
        <v>174532</v>
      </c>
      <c r="O1191">
        <v>176686</v>
      </c>
      <c r="P1191">
        <v>165491</v>
      </c>
      <c r="Q1191">
        <v>169222</v>
      </c>
      <c r="R1191">
        <v>173246</v>
      </c>
      <c r="S1191">
        <v>8000</v>
      </c>
      <c r="T1191">
        <v>6700</v>
      </c>
      <c r="U1191">
        <v>6000</v>
      </c>
      <c r="V1191">
        <v>6400</v>
      </c>
      <c r="W1191">
        <v>7000</v>
      </c>
      <c r="X1191">
        <v>7000</v>
      </c>
      <c r="Y1191">
        <v>0</v>
      </c>
    </row>
    <row r="1192" spans="1:25" x14ac:dyDescent="0.3">
      <c r="A1192">
        <v>1191</v>
      </c>
      <c r="B1192">
        <v>240000</v>
      </c>
      <c r="C1192">
        <v>2</v>
      </c>
      <c r="D1192">
        <v>1</v>
      </c>
      <c r="E1192">
        <v>2</v>
      </c>
      <c r="F1192">
        <v>29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-2</v>
      </c>
      <c r="M1192">
        <v>3093</v>
      </c>
      <c r="N1192">
        <v>2322</v>
      </c>
      <c r="O1192">
        <v>8186</v>
      </c>
      <c r="P1192">
        <v>3980</v>
      </c>
      <c r="Q1192">
        <v>0</v>
      </c>
      <c r="R1192">
        <v>0</v>
      </c>
      <c r="S1192">
        <v>2000</v>
      </c>
      <c r="T1192">
        <v>2020</v>
      </c>
      <c r="U1192">
        <v>2500</v>
      </c>
      <c r="V1192">
        <v>0</v>
      </c>
      <c r="W1192">
        <v>0</v>
      </c>
      <c r="X1192">
        <v>85</v>
      </c>
      <c r="Y1192">
        <v>0</v>
      </c>
    </row>
    <row r="1193" spans="1:25" x14ac:dyDescent="0.3">
      <c r="A1193">
        <v>1192</v>
      </c>
      <c r="B1193">
        <v>250000</v>
      </c>
      <c r="C1193">
        <v>1</v>
      </c>
      <c r="D1193">
        <v>1</v>
      </c>
      <c r="E1193">
        <v>2</v>
      </c>
      <c r="F1193">
        <v>38</v>
      </c>
      <c r="G1193">
        <v>-2</v>
      </c>
      <c r="H1193">
        <v>-2</v>
      </c>
      <c r="I1193">
        <v>-2</v>
      </c>
      <c r="J1193">
        <v>-2</v>
      </c>
      <c r="K1193">
        <v>-2</v>
      </c>
      <c r="L1193">
        <v>-2</v>
      </c>
      <c r="M1193">
        <v>584</v>
      </c>
      <c r="N1193">
        <v>3291</v>
      </c>
      <c r="O1193">
        <v>8660</v>
      </c>
      <c r="P1193">
        <v>7495</v>
      </c>
      <c r="Q1193">
        <v>1120</v>
      </c>
      <c r="R1193">
        <v>62</v>
      </c>
      <c r="S1193">
        <v>3307</v>
      </c>
      <c r="T1193">
        <v>8703</v>
      </c>
      <c r="U1193">
        <v>7532</v>
      </c>
      <c r="V1193">
        <v>1125</v>
      </c>
      <c r="W1193">
        <v>62</v>
      </c>
      <c r="X1193">
        <v>7718</v>
      </c>
      <c r="Y1193">
        <v>0</v>
      </c>
    </row>
    <row r="1194" spans="1:25" x14ac:dyDescent="0.3">
      <c r="A1194">
        <v>1193</v>
      </c>
      <c r="B1194">
        <v>270000</v>
      </c>
      <c r="C1194">
        <v>2</v>
      </c>
      <c r="D1194">
        <v>2</v>
      </c>
      <c r="E1194">
        <v>2</v>
      </c>
      <c r="F1194">
        <v>34</v>
      </c>
      <c r="G1194">
        <v>-1</v>
      </c>
      <c r="H1194">
        <v>-1</v>
      </c>
      <c r="I1194">
        <v>-1</v>
      </c>
      <c r="J1194">
        <v>-1</v>
      </c>
      <c r="K1194">
        <v>-1</v>
      </c>
      <c r="L1194">
        <v>-1</v>
      </c>
      <c r="M1194">
        <v>381</v>
      </c>
      <c r="N1194">
        <v>3376</v>
      </c>
      <c r="O1194">
        <v>2958</v>
      </c>
      <c r="P1194">
        <v>4154</v>
      </c>
      <c r="Q1194">
        <v>5885</v>
      </c>
      <c r="R1194">
        <v>3129</v>
      </c>
      <c r="S1194">
        <v>3406</v>
      </c>
      <c r="T1194">
        <v>2983</v>
      </c>
      <c r="U1194">
        <v>4172</v>
      </c>
      <c r="V1194">
        <v>5912</v>
      </c>
      <c r="W1194">
        <v>3143</v>
      </c>
      <c r="X1194">
        <v>0</v>
      </c>
      <c r="Y1194">
        <v>1</v>
      </c>
    </row>
    <row r="1195" spans="1:25" x14ac:dyDescent="0.3">
      <c r="A1195">
        <v>1194</v>
      </c>
      <c r="B1195">
        <v>200000</v>
      </c>
      <c r="C1195">
        <v>1</v>
      </c>
      <c r="D1195">
        <v>1</v>
      </c>
      <c r="E1195">
        <v>1</v>
      </c>
      <c r="F1195">
        <v>37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123337</v>
      </c>
      <c r="N1195">
        <v>11148</v>
      </c>
      <c r="O1195">
        <v>19165</v>
      </c>
      <c r="P1195">
        <v>21171</v>
      </c>
      <c r="Q1195">
        <v>17762</v>
      </c>
      <c r="R1195">
        <v>23670</v>
      </c>
      <c r="S1195">
        <v>11202</v>
      </c>
      <c r="T1195">
        <v>19275</v>
      </c>
      <c r="U1195">
        <v>22304</v>
      </c>
      <c r="V1195">
        <v>23850</v>
      </c>
      <c r="W1195">
        <v>23784</v>
      </c>
      <c r="X1195">
        <v>84430</v>
      </c>
      <c r="Y1195">
        <v>0</v>
      </c>
    </row>
    <row r="1196" spans="1:25" x14ac:dyDescent="0.3">
      <c r="A1196">
        <v>1195</v>
      </c>
      <c r="B1196">
        <v>100000</v>
      </c>
      <c r="C1196">
        <v>2</v>
      </c>
      <c r="D1196">
        <v>3</v>
      </c>
      <c r="E1196">
        <v>1</v>
      </c>
      <c r="F1196">
        <v>66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100036</v>
      </c>
      <c r="N1196">
        <v>100041</v>
      </c>
      <c r="O1196">
        <v>100402</v>
      </c>
      <c r="P1196">
        <v>97141</v>
      </c>
      <c r="Q1196">
        <v>97143</v>
      </c>
      <c r="R1196">
        <v>97532</v>
      </c>
      <c r="S1196">
        <v>4702</v>
      </c>
      <c r="T1196">
        <v>4617</v>
      </c>
      <c r="U1196">
        <v>3600</v>
      </c>
      <c r="V1196">
        <v>3865</v>
      </c>
      <c r="W1196">
        <v>3850</v>
      </c>
      <c r="X1196">
        <v>3705</v>
      </c>
      <c r="Y1196">
        <v>0</v>
      </c>
    </row>
    <row r="1197" spans="1:25" x14ac:dyDescent="0.3">
      <c r="A1197">
        <v>1196</v>
      </c>
      <c r="B1197">
        <v>160000</v>
      </c>
      <c r="C1197">
        <v>2</v>
      </c>
      <c r="D1197">
        <v>1</v>
      </c>
      <c r="E1197">
        <v>1</v>
      </c>
      <c r="F1197">
        <v>39</v>
      </c>
      <c r="G1197">
        <v>-2</v>
      </c>
      <c r="H1197">
        <v>-2</v>
      </c>
      <c r="I1197">
        <v>-2</v>
      </c>
      <c r="J1197">
        <v>-2</v>
      </c>
      <c r="K1197">
        <v>-2</v>
      </c>
      <c r="L1197">
        <v>-2</v>
      </c>
      <c r="M1197">
        <v>710</v>
      </c>
      <c r="N1197">
        <v>666</v>
      </c>
      <c r="O1197">
        <v>403</v>
      </c>
      <c r="P1197">
        <v>1650</v>
      </c>
      <c r="Q1197">
        <v>336</v>
      </c>
      <c r="R1197">
        <v>790</v>
      </c>
      <c r="S1197">
        <v>666</v>
      </c>
      <c r="T1197">
        <v>403</v>
      </c>
      <c r="U1197">
        <v>1650</v>
      </c>
      <c r="V1197">
        <v>336</v>
      </c>
      <c r="W1197">
        <v>790</v>
      </c>
      <c r="X1197">
        <v>1141</v>
      </c>
      <c r="Y1197">
        <v>0</v>
      </c>
    </row>
    <row r="1198" spans="1:25" x14ac:dyDescent="0.3">
      <c r="A1198">
        <v>1197</v>
      </c>
      <c r="B1198">
        <v>80000</v>
      </c>
      <c r="C1198">
        <v>2</v>
      </c>
      <c r="D1198">
        <v>2</v>
      </c>
      <c r="E1198">
        <v>1</v>
      </c>
      <c r="F1198">
        <v>45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81841</v>
      </c>
      <c r="N1198">
        <v>74516</v>
      </c>
      <c r="O1198">
        <v>69485</v>
      </c>
      <c r="P1198">
        <v>30396</v>
      </c>
      <c r="Q1198">
        <v>30595</v>
      </c>
      <c r="R1198">
        <v>29033</v>
      </c>
      <c r="S1198">
        <v>4100</v>
      </c>
      <c r="T1198">
        <v>2507</v>
      </c>
      <c r="U1198">
        <v>2140</v>
      </c>
      <c r="V1198">
        <v>2000</v>
      </c>
      <c r="W1198">
        <v>1500</v>
      </c>
      <c r="X1198">
        <v>1000</v>
      </c>
      <c r="Y1198">
        <v>0</v>
      </c>
    </row>
    <row r="1199" spans="1:25" x14ac:dyDescent="0.3">
      <c r="A1199">
        <v>1198</v>
      </c>
      <c r="B1199">
        <v>130000</v>
      </c>
      <c r="C1199">
        <v>1</v>
      </c>
      <c r="D1199">
        <v>2</v>
      </c>
      <c r="E1199">
        <v>1</v>
      </c>
      <c r="F1199">
        <v>44</v>
      </c>
      <c r="G1199">
        <v>-1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29547</v>
      </c>
      <c r="N1199">
        <v>23154</v>
      </c>
      <c r="O1199">
        <v>18637</v>
      </c>
      <c r="P1199">
        <v>14691</v>
      </c>
      <c r="Q1199">
        <v>8769</v>
      </c>
      <c r="R1199">
        <v>4166</v>
      </c>
      <c r="S1199">
        <v>0</v>
      </c>
      <c r="T1199">
        <v>1500</v>
      </c>
      <c r="U1199">
        <v>486</v>
      </c>
      <c r="V1199">
        <v>303</v>
      </c>
      <c r="W1199">
        <v>83</v>
      </c>
      <c r="X1199">
        <v>780</v>
      </c>
      <c r="Y1199">
        <v>0</v>
      </c>
    </row>
    <row r="1200" spans="1:25" x14ac:dyDescent="0.3">
      <c r="A1200">
        <v>1199</v>
      </c>
      <c r="B1200">
        <v>340000</v>
      </c>
      <c r="C1200">
        <v>2</v>
      </c>
      <c r="D1200">
        <v>3</v>
      </c>
      <c r="E1200">
        <v>2</v>
      </c>
      <c r="F1200">
        <v>44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142836</v>
      </c>
      <c r="N1200">
        <v>145125</v>
      </c>
      <c r="O1200">
        <v>146682</v>
      </c>
      <c r="P1200">
        <v>150407</v>
      </c>
      <c r="Q1200">
        <v>147868</v>
      </c>
      <c r="R1200">
        <v>149349</v>
      </c>
      <c r="S1200">
        <v>7000</v>
      </c>
      <c r="T1200">
        <v>5500</v>
      </c>
      <c r="U1200">
        <v>6027</v>
      </c>
      <c r="V1200">
        <v>5328</v>
      </c>
      <c r="W1200">
        <v>5390</v>
      </c>
      <c r="X1200">
        <v>6047</v>
      </c>
      <c r="Y1200">
        <v>1</v>
      </c>
    </row>
    <row r="1201" spans="1:25" x14ac:dyDescent="0.3">
      <c r="A1201">
        <v>1200</v>
      </c>
      <c r="B1201">
        <v>360000</v>
      </c>
      <c r="C1201">
        <v>1</v>
      </c>
      <c r="D1201">
        <v>1</v>
      </c>
      <c r="E1201">
        <v>1</v>
      </c>
      <c r="F1201">
        <v>36</v>
      </c>
      <c r="G1201">
        <v>-2</v>
      </c>
      <c r="H1201">
        <v>-1</v>
      </c>
      <c r="I1201">
        <v>-1</v>
      </c>
      <c r="J1201">
        <v>-1</v>
      </c>
      <c r="K1201">
        <v>-2</v>
      </c>
      <c r="L1201">
        <v>-2</v>
      </c>
      <c r="M1201">
        <v>0</v>
      </c>
      <c r="N1201">
        <v>394</v>
      </c>
      <c r="O1201">
        <v>11142</v>
      </c>
      <c r="P1201">
        <v>0</v>
      </c>
      <c r="Q1201">
        <v>0</v>
      </c>
      <c r="R1201">
        <v>0</v>
      </c>
      <c r="S1201">
        <v>394</v>
      </c>
      <c r="T1201">
        <v>11253</v>
      </c>
      <c r="U1201">
        <v>0</v>
      </c>
      <c r="V1201">
        <v>0</v>
      </c>
      <c r="W1201">
        <v>0</v>
      </c>
      <c r="X1201">
        <v>0</v>
      </c>
      <c r="Y1201">
        <v>0</v>
      </c>
    </row>
    <row r="1202" spans="1:25" x14ac:dyDescent="0.3">
      <c r="A1202">
        <v>1201</v>
      </c>
      <c r="B1202">
        <v>120000</v>
      </c>
      <c r="C1202">
        <v>2</v>
      </c>
      <c r="D1202">
        <v>3</v>
      </c>
      <c r="E1202">
        <v>1</v>
      </c>
      <c r="F1202">
        <v>40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108300</v>
      </c>
      <c r="N1202">
        <v>108538</v>
      </c>
      <c r="O1202">
        <v>94833</v>
      </c>
      <c r="P1202">
        <v>49078</v>
      </c>
      <c r="Q1202">
        <v>40643</v>
      </c>
      <c r="R1202">
        <v>4200</v>
      </c>
      <c r="S1202">
        <v>5000</v>
      </c>
      <c r="T1202">
        <v>4121</v>
      </c>
      <c r="U1202">
        <v>2000</v>
      </c>
      <c r="V1202">
        <v>2000</v>
      </c>
      <c r="W1202">
        <v>2000</v>
      </c>
      <c r="X1202">
        <v>96583</v>
      </c>
      <c r="Y1202">
        <v>0</v>
      </c>
    </row>
    <row r="1203" spans="1:25" x14ac:dyDescent="0.3">
      <c r="A1203">
        <v>1202</v>
      </c>
      <c r="B1203">
        <v>120000</v>
      </c>
      <c r="C1203">
        <v>1</v>
      </c>
      <c r="D1203">
        <v>1</v>
      </c>
      <c r="E1203">
        <v>2</v>
      </c>
      <c r="F1203">
        <v>29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30101</v>
      </c>
      <c r="N1203">
        <v>31281</v>
      </c>
      <c r="O1203">
        <v>30180</v>
      </c>
      <c r="P1203">
        <v>30471</v>
      </c>
      <c r="Q1203">
        <v>31110</v>
      </c>
      <c r="R1203">
        <v>31728</v>
      </c>
      <c r="S1203">
        <v>2000</v>
      </c>
      <c r="T1203">
        <v>2000</v>
      </c>
      <c r="U1203">
        <v>1090</v>
      </c>
      <c r="V1203">
        <v>1129</v>
      </c>
      <c r="W1203">
        <v>1135</v>
      </c>
      <c r="X1203">
        <v>1200</v>
      </c>
      <c r="Y1203">
        <v>0</v>
      </c>
    </row>
    <row r="1204" spans="1:25" x14ac:dyDescent="0.3">
      <c r="A1204">
        <v>1203</v>
      </c>
      <c r="B1204">
        <v>300000</v>
      </c>
      <c r="C1204">
        <v>2</v>
      </c>
      <c r="D1204">
        <v>1</v>
      </c>
      <c r="E1204">
        <v>2</v>
      </c>
      <c r="F1204">
        <v>48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247279</v>
      </c>
      <c r="N1204">
        <v>235093</v>
      </c>
      <c r="O1204">
        <v>224062</v>
      </c>
      <c r="P1204">
        <v>212480</v>
      </c>
      <c r="Q1204">
        <v>202148</v>
      </c>
      <c r="R1204">
        <v>186955</v>
      </c>
      <c r="S1204">
        <v>10005</v>
      </c>
      <c r="T1204">
        <v>9500</v>
      </c>
      <c r="U1204">
        <v>7500</v>
      </c>
      <c r="V1204">
        <v>6914</v>
      </c>
      <c r="W1204">
        <v>6100</v>
      </c>
      <c r="X1204">
        <v>5500</v>
      </c>
      <c r="Y1204">
        <v>0</v>
      </c>
    </row>
    <row r="1205" spans="1:25" x14ac:dyDescent="0.3">
      <c r="A1205">
        <v>1204</v>
      </c>
      <c r="B1205">
        <v>60000</v>
      </c>
      <c r="C1205">
        <v>2</v>
      </c>
      <c r="D1205">
        <v>2</v>
      </c>
      <c r="E1205">
        <v>2</v>
      </c>
      <c r="F1205">
        <v>23</v>
      </c>
      <c r="G1205">
        <v>2</v>
      </c>
      <c r="H1205">
        <v>2</v>
      </c>
      <c r="I1205">
        <v>-2</v>
      </c>
      <c r="J1205">
        <v>-2</v>
      </c>
      <c r="K1205">
        <v>-1</v>
      </c>
      <c r="L1205">
        <v>-1</v>
      </c>
      <c r="M1205">
        <v>2516</v>
      </c>
      <c r="N1205">
        <v>0</v>
      </c>
      <c r="O1205">
        <v>0</v>
      </c>
      <c r="P1205">
        <v>0</v>
      </c>
      <c r="Q1205">
        <v>1524</v>
      </c>
      <c r="R1205">
        <v>25421</v>
      </c>
      <c r="S1205">
        <v>0</v>
      </c>
      <c r="T1205">
        <v>0</v>
      </c>
      <c r="U1205">
        <v>0</v>
      </c>
      <c r="V1205">
        <v>1524</v>
      </c>
      <c r="W1205">
        <v>25421</v>
      </c>
      <c r="X1205">
        <v>1000</v>
      </c>
      <c r="Y1205">
        <v>0</v>
      </c>
    </row>
    <row r="1206" spans="1:25" x14ac:dyDescent="0.3">
      <c r="A1206">
        <v>1205</v>
      </c>
      <c r="B1206">
        <v>210000</v>
      </c>
      <c r="C1206">
        <v>2</v>
      </c>
      <c r="D1206">
        <v>2</v>
      </c>
      <c r="E1206">
        <v>1</v>
      </c>
      <c r="F1206">
        <v>50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106724</v>
      </c>
      <c r="N1206">
        <v>109251</v>
      </c>
      <c r="O1206">
        <v>103733</v>
      </c>
      <c r="P1206">
        <v>102027</v>
      </c>
      <c r="Q1206">
        <v>103453</v>
      </c>
      <c r="R1206">
        <v>103651</v>
      </c>
      <c r="S1206">
        <v>4037</v>
      </c>
      <c r="T1206">
        <v>3519</v>
      </c>
      <c r="U1206">
        <v>3442</v>
      </c>
      <c r="V1206">
        <v>3553</v>
      </c>
      <c r="W1206">
        <v>3625</v>
      </c>
      <c r="X1206">
        <v>3470</v>
      </c>
      <c r="Y1206">
        <v>0</v>
      </c>
    </row>
    <row r="1207" spans="1:25" x14ac:dyDescent="0.3">
      <c r="A1207">
        <v>1206</v>
      </c>
      <c r="B1207">
        <v>210000</v>
      </c>
      <c r="C1207">
        <v>2</v>
      </c>
      <c r="D1207">
        <v>2</v>
      </c>
      <c r="E1207">
        <v>1</v>
      </c>
      <c r="F1207">
        <v>29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209807</v>
      </c>
      <c r="N1207">
        <v>123664</v>
      </c>
      <c r="O1207">
        <v>51353</v>
      </c>
      <c r="P1207">
        <v>43485</v>
      </c>
      <c r="Q1207">
        <v>44784</v>
      </c>
      <c r="R1207">
        <v>45685</v>
      </c>
      <c r="S1207">
        <v>5088</v>
      </c>
      <c r="T1207">
        <v>2000</v>
      </c>
      <c r="U1207">
        <v>1600</v>
      </c>
      <c r="V1207">
        <v>2000</v>
      </c>
      <c r="W1207">
        <v>1800</v>
      </c>
      <c r="X1207">
        <v>1807</v>
      </c>
      <c r="Y1207">
        <v>1</v>
      </c>
    </row>
    <row r="1208" spans="1:25" x14ac:dyDescent="0.3">
      <c r="A1208">
        <v>1207</v>
      </c>
      <c r="B1208">
        <v>70000</v>
      </c>
      <c r="C1208">
        <v>2</v>
      </c>
      <c r="D1208">
        <v>3</v>
      </c>
      <c r="E1208">
        <v>1</v>
      </c>
      <c r="F1208">
        <v>49</v>
      </c>
      <c r="G1208">
        <v>2</v>
      </c>
      <c r="H1208">
        <v>2</v>
      </c>
      <c r="I1208">
        <v>2</v>
      </c>
      <c r="J1208">
        <v>2</v>
      </c>
      <c r="K1208">
        <v>2</v>
      </c>
      <c r="L1208">
        <v>2</v>
      </c>
      <c r="M1208">
        <v>21024</v>
      </c>
      <c r="N1208">
        <v>21790</v>
      </c>
      <c r="O1208">
        <v>21142</v>
      </c>
      <c r="P1208">
        <v>23772</v>
      </c>
      <c r="Q1208">
        <v>24930</v>
      </c>
      <c r="R1208">
        <v>25709</v>
      </c>
      <c r="S1208">
        <v>1400</v>
      </c>
      <c r="T1208">
        <v>0</v>
      </c>
      <c r="U1208">
        <v>3000</v>
      </c>
      <c r="V1208">
        <v>1700</v>
      </c>
      <c r="W1208">
        <v>1340</v>
      </c>
      <c r="X1208">
        <v>1100</v>
      </c>
      <c r="Y1208">
        <v>1</v>
      </c>
    </row>
    <row r="1209" spans="1:25" x14ac:dyDescent="0.3">
      <c r="A1209">
        <v>1208</v>
      </c>
      <c r="B1209">
        <v>200000</v>
      </c>
      <c r="C1209">
        <v>1</v>
      </c>
      <c r="D1209">
        <v>2</v>
      </c>
      <c r="E1209">
        <v>1</v>
      </c>
      <c r="F1209">
        <v>33</v>
      </c>
      <c r="G1209">
        <v>0</v>
      </c>
      <c r="H1209">
        <v>0</v>
      </c>
      <c r="I1209">
        <v>2</v>
      </c>
      <c r="J1209">
        <v>-1</v>
      </c>
      <c r="K1209">
        <v>-1</v>
      </c>
      <c r="L1209">
        <v>0</v>
      </c>
      <c r="M1209">
        <v>50612</v>
      </c>
      <c r="N1209">
        <v>10537</v>
      </c>
      <c r="O1209">
        <v>5552</v>
      </c>
      <c r="P1209">
        <v>2506</v>
      </c>
      <c r="Q1209">
        <v>9443</v>
      </c>
      <c r="R1209">
        <v>11818</v>
      </c>
      <c r="S1209">
        <v>10023</v>
      </c>
      <c r="T1209">
        <v>27</v>
      </c>
      <c r="U1209">
        <v>2614</v>
      </c>
      <c r="V1209">
        <v>9454</v>
      </c>
      <c r="W1209">
        <v>5019</v>
      </c>
      <c r="X1209">
        <v>5015</v>
      </c>
      <c r="Y1209">
        <v>0</v>
      </c>
    </row>
    <row r="1210" spans="1:25" x14ac:dyDescent="0.3">
      <c r="A1210">
        <v>1209</v>
      </c>
      <c r="B1210">
        <v>230000</v>
      </c>
      <c r="C1210">
        <v>2</v>
      </c>
      <c r="D1210">
        <v>2</v>
      </c>
      <c r="E1210">
        <v>1</v>
      </c>
      <c r="F1210">
        <v>51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51802</v>
      </c>
      <c r="N1210">
        <v>53956</v>
      </c>
      <c r="O1210">
        <v>56968</v>
      </c>
      <c r="P1210">
        <v>58099</v>
      </c>
      <c r="Q1210">
        <v>59318</v>
      </c>
      <c r="R1210">
        <v>60504</v>
      </c>
      <c r="S1210">
        <v>3000</v>
      </c>
      <c r="T1210">
        <v>3921</v>
      </c>
      <c r="U1210">
        <v>2079</v>
      </c>
      <c r="V1210">
        <v>2155</v>
      </c>
      <c r="W1210">
        <v>2174</v>
      </c>
      <c r="X1210">
        <v>2225</v>
      </c>
      <c r="Y1210">
        <v>1</v>
      </c>
    </row>
    <row r="1211" spans="1:25" x14ac:dyDescent="0.3">
      <c r="A1211">
        <v>1210</v>
      </c>
      <c r="B1211">
        <v>20000</v>
      </c>
      <c r="C1211">
        <v>1</v>
      </c>
      <c r="D1211">
        <v>3</v>
      </c>
      <c r="E1211">
        <v>1</v>
      </c>
      <c r="F1211">
        <v>23</v>
      </c>
      <c r="G1211">
        <v>-1</v>
      </c>
      <c r="H1211">
        <v>-1</v>
      </c>
      <c r="I1211">
        <v>0</v>
      </c>
      <c r="J1211">
        <v>0</v>
      </c>
      <c r="K1211">
        <v>0</v>
      </c>
      <c r="L1211">
        <v>0</v>
      </c>
      <c r="M1211">
        <v>3675</v>
      </c>
      <c r="N1211">
        <v>19316</v>
      </c>
      <c r="O1211">
        <v>19844</v>
      </c>
      <c r="P1211">
        <v>19844</v>
      </c>
      <c r="Q1211">
        <v>20388</v>
      </c>
      <c r="R1211">
        <v>19554</v>
      </c>
      <c r="S1211">
        <v>19316</v>
      </c>
      <c r="T1211">
        <v>1261</v>
      </c>
      <c r="U1211">
        <v>651</v>
      </c>
      <c r="V1211">
        <v>803</v>
      </c>
      <c r="W1211">
        <v>747</v>
      </c>
      <c r="X1211">
        <v>155</v>
      </c>
      <c r="Y1211">
        <v>1</v>
      </c>
    </row>
    <row r="1212" spans="1:25" x14ac:dyDescent="0.3">
      <c r="A1212">
        <v>1211</v>
      </c>
      <c r="B1212">
        <v>210000</v>
      </c>
      <c r="C1212">
        <v>2</v>
      </c>
      <c r="D1212">
        <v>1</v>
      </c>
      <c r="E1212">
        <v>1</v>
      </c>
      <c r="F1212">
        <v>37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211749</v>
      </c>
      <c r="N1212">
        <v>205947</v>
      </c>
      <c r="O1212">
        <v>201848</v>
      </c>
      <c r="P1212">
        <v>168664</v>
      </c>
      <c r="Q1212">
        <v>172013</v>
      </c>
      <c r="R1212">
        <v>175557</v>
      </c>
      <c r="S1212">
        <v>7000</v>
      </c>
      <c r="T1212">
        <v>10015</v>
      </c>
      <c r="U1212">
        <v>10000</v>
      </c>
      <c r="V1212">
        <v>5331</v>
      </c>
      <c r="W1212">
        <v>5748</v>
      </c>
      <c r="X1212">
        <v>48061</v>
      </c>
      <c r="Y1212">
        <v>0</v>
      </c>
    </row>
    <row r="1213" spans="1:25" x14ac:dyDescent="0.3">
      <c r="A1213">
        <v>1212</v>
      </c>
      <c r="B1213">
        <v>160000</v>
      </c>
      <c r="C1213">
        <v>2</v>
      </c>
      <c r="D1213">
        <v>3</v>
      </c>
      <c r="E1213">
        <v>2</v>
      </c>
      <c r="F1213">
        <v>26</v>
      </c>
      <c r="G1213">
        <v>-1</v>
      </c>
      <c r="H1213">
        <v>-1</v>
      </c>
      <c r="I1213">
        <v>-1</v>
      </c>
      <c r="J1213">
        <v>-1</v>
      </c>
      <c r="K1213">
        <v>-1</v>
      </c>
      <c r="L1213">
        <v>-1</v>
      </c>
      <c r="M1213">
        <v>390</v>
      </c>
      <c r="N1213">
        <v>390</v>
      </c>
      <c r="O1213">
        <v>390</v>
      </c>
      <c r="P1213">
        <v>390</v>
      </c>
      <c r="Q1213">
        <v>390</v>
      </c>
      <c r="R1213">
        <v>390</v>
      </c>
      <c r="S1213">
        <v>390</v>
      </c>
      <c r="T1213">
        <v>390</v>
      </c>
      <c r="U1213">
        <v>390</v>
      </c>
      <c r="V1213">
        <v>390</v>
      </c>
      <c r="W1213">
        <v>390</v>
      </c>
      <c r="X1213">
        <v>390</v>
      </c>
      <c r="Y1213">
        <v>0</v>
      </c>
    </row>
    <row r="1214" spans="1:25" x14ac:dyDescent="0.3">
      <c r="A1214">
        <v>1213</v>
      </c>
      <c r="B1214">
        <v>290000</v>
      </c>
      <c r="C1214">
        <v>2</v>
      </c>
      <c r="D1214">
        <v>1</v>
      </c>
      <c r="E1214">
        <v>1</v>
      </c>
      <c r="F1214">
        <v>30</v>
      </c>
      <c r="G1214">
        <v>-1</v>
      </c>
      <c r="H1214">
        <v>-1</v>
      </c>
      <c r="I1214">
        <v>-1</v>
      </c>
      <c r="J1214">
        <v>-1</v>
      </c>
      <c r="K1214">
        <v>-1</v>
      </c>
      <c r="L1214">
        <v>-1</v>
      </c>
      <c r="M1214">
        <v>1312</v>
      </c>
      <c r="N1214">
        <v>1312</v>
      </c>
      <c r="O1214">
        <v>1311</v>
      </c>
      <c r="P1214">
        <v>1486</v>
      </c>
      <c r="Q1214">
        <v>1488</v>
      </c>
      <c r="R1214">
        <v>1650</v>
      </c>
      <c r="S1214">
        <v>1318</v>
      </c>
      <c r="T1214">
        <v>1317</v>
      </c>
      <c r="U1214">
        <v>1493</v>
      </c>
      <c r="V1214">
        <v>1495</v>
      </c>
      <c r="W1214">
        <v>1657</v>
      </c>
      <c r="X1214">
        <v>35267</v>
      </c>
      <c r="Y1214">
        <v>1</v>
      </c>
    </row>
    <row r="1215" spans="1:25" x14ac:dyDescent="0.3">
      <c r="A1215">
        <v>1214</v>
      </c>
      <c r="B1215">
        <v>80000</v>
      </c>
      <c r="C1215">
        <v>2</v>
      </c>
      <c r="D1215">
        <v>3</v>
      </c>
      <c r="E1215">
        <v>1</v>
      </c>
      <c r="F1215">
        <v>26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63677</v>
      </c>
      <c r="N1215">
        <v>64162</v>
      </c>
      <c r="O1215">
        <v>38141</v>
      </c>
      <c r="P1215">
        <v>38190</v>
      </c>
      <c r="Q1215">
        <v>38586</v>
      </c>
      <c r="R1215">
        <v>39962</v>
      </c>
      <c r="S1215">
        <v>2000</v>
      </c>
      <c r="T1215">
        <v>1905</v>
      </c>
      <c r="U1215">
        <v>1350</v>
      </c>
      <c r="V1215">
        <v>1388</v>
      </c>
      <c r="W1215">
        <v>2401</v>
      </c>
      <c r="X1215">
        <v>1410</v>
      </c>
      <c r="Y1215">
        <v>0</v>
      </c>
    </row>
    <row r="1216" spans="1:25" x14ac:dyDescent="0.3">
      <c r="A1216">
        <v>1215</v>
      </c>
      <c r="B1216">
        <v>360000</v>
      </c>
      <c r="C1216">
        <v>1</v>
      </c>
      <c r="D1216">
        <v>1</v>
      </c>
      <c r="E1216">
        <v>2</v>
      </c>
      <c r="F1216">
        <v>43</v>
      </c>
      <c r="G1216">
        <v>-1</v>
      </c>
      <c r="H1216">
        <v>-1</v>
      </c>
      <c r="I1216">
        <v>-2</v>
      </c>
      <c r="J1216">
        <v>-2</v>
      </c>
      <c r="K1216">
        <v>-2</v>
      </c>
      <c r="L1216">
        <v>-2</v>
      </c>
      <c r="M1216">
        <v>4134</v>
      </c>
      <c r="N1216">
        <v>2128</v>
      </c>
      <c r="O1216">
        <v>960</v>
      </c>
      <c r="P1216">
        <v>6658</v>
      </c>
      <c r="Q1216">
        <v>0</v>
      </c>
      <c r="R1216">
        <v>0</v>
      </c>
      <c r="S1216">
        <v>2134</v>
      </c>
      <c r="T1216">
        <v>982</v>
      </c>
      <c r="U1216">
        <v>6858</v>
      </c>
      <c r="V1216">
        <v>0</v>
      </c>
      <c r="W1216">
        <v>0</v>
      </c>
      <c r="X1216">
        <v>0</v>
      </c>
      <c r="Y1216">
        <v>0</v>
      </c>
    </row>
    <row r="1217" spans="1:25" x14ac:dyDescent="0.3">
      <c r="A1217">
        <v>1216</v>
      </c>
      <c r="B1217">
        <v>230000</v>
      </c>
      <c r="C1217">
        <v>1</v>
      </c>
      <c r="D1217">
        <v>1</v>
      </c>
      <c r="E1217">
        <v>2</v>
      </c>
      <c r="F1217">
        <v>32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164634</v>
      </c>
      <c r="N1217">
        <v>166134</v>
      </c>
      <c r="O1217">
        <v>142049</v>
      </c>
      <c r="P1217">
        <v>106677</v>
      </c>
      <c r="Q1217">
        <v>88091</v>
      </c>
      <c r="R1217">
        <v>60929</v>
      </c>
      <c r="S1217">
        <v>7326</v>
      </c>
      <c r="T1217">
        <v>10000</v>
      </c>
      <c r="U1217">
        <v>10000</v>
      </c>
      <c r="V1217">
        <v>3000</v>
      </c>
      <c r="W1217">
        <v>2000</v>
      </c>
      <c r="X1217">
        <v>2000</v>
      </c>
      <c r="Y1217">
        <v>0</v>
      </c>
    </row>
    <row r="1218" spans="1:25" x14ac:dyDescent="0.3">
      <c r="A1218">
        <v>1217</v>
      </c>
      <c r="B1218">
        <v>360000</v>
      </c>
      <c r="C1218">
        <v>1</v>
      </c>
      <c r="D1218">
        <v>3</v>
      </c>
      <c r="E1218">
        <v>1</v>
      </c>
      <c r="F1218">
        <v>54</v>
      </c>
      <c r="G1218">
        <v>-2</v>
      </c>
      <c r="H1218">
        <v>-2</v>
      </c>
      <c r="I1218">
        <v>-2</v>
      </c>
      <c r="J1218">
        <v>-2</v>
      </c>
      <c r="K1218">
        <v>-2</v>
      </c>
      <c r="L1218">
        <v>-1</v>
      </c>
      <c r="M1218">
        <v>16230</v>
      </c>
      <c r="N1218">
        <v>-200</v>
      </c>
      <c r="O1218">
        <v>0</v>
      </c>
      <c r="P1218">
        <v>0</v>
      </c>
      <c r="Q1218">
        <v>69000</v>
      </c>
      <c r="R1218">
        <v>2500</v>
      </c>
      <c r="S1218">
        <v>0</v>
      </c>
      <c r="T1218">
        <v>200</v>
      </c>
      <c r="U1218">
        <v>0</v>
      </c>
      <c r="V1218">
        <v>69000</v>
      </c>
      <c r="W1218">
        <v>2500</v>
      </c>
      <c r="X1218">
        <v>0</v>
      </c>
      <c r="Y1218">
        <v>0</v>
      </c>
    </row>
    <row r="1219" spans="1:25" x14ac:dyDescent="0.3">
      <c r="A1219">
        <v>1218</v>
      </c>
      <c r="B1219">
        <v>340000</v>
      </c>
      <c r="C1219">
        <v>2</v>
      </c>
      <c r="D1219">
        <v>1</v>
      </c>
      <c r="E1219">
        <v>1</v>
      </c>
      <c r="F1219">
        <v>30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351828</v>
      </c>
      <c r="N1219">
        <v>280067</v>
      </c>
      <c r="O1219">
        <v>259651</v>
      </c>
      <c r="P1219">
        <v>243094</v>
      </c>
      <c r="Q1219">
        <v>223907</v>
      </c>
      <c r="R1219">
        <v>216912</v>
      </c>
      <c r="S1219">
        <v>30076</v>
      </c>
      <c r="T1219">
        <v>25118</v>
      </c>
      <c r="U1219">
        <v>20085</v>
      </c>
      <c r="V1219">
        <v>10041</v>
      </c>
      <c r="W1219">
        <v>8184</v>
      </c>
      <c r="X1219">
        <v>6626</v>
      </c>
      <c r="Y1219">
        <v>0</v>
      </c>
    </row>
    <row r="1220" spans="1:25" x14ac:dyDescent="0.3">
      <c r="A1220">
        <v>1219</v>
      </c>
      <c r="B1220">
        <v>50000</v>
      </c>
      <c r="C1220">
        <v>2</v>
      </c>
      <c r="D1220">
        <v>1</v>
      </c>
      <c r="E1220">
        <v>2</v>
      </c>
      <c r="F1220">
        <v>22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8537</v>
      </c>
      <c r="N1220">
        <v>9591</v>
      </c>
      <c r="O1220">
        <v>10581</v>
      </c>
      <c r="P1220">
        <v>10818</v>
      </c>
      <c r="Q1220">
        <v>11050</v>
      </c>
      <c r="R1220">
        <v>10880</v>
      </c>
      <c r="S1220">
        <v>1200</v>
      </c>
      <c r="T1220">
        <v>1163</v>
      </c>
      <c r="U1220">
        <v>400</v>
      </c>
      <c r="V1220">
        <v>790</v>
      </c>
      <c r="W1220">
        <v>400</v>
      </c>
      <c r="X1220">
        <v>380</v>
      </c>
      <c r="Y1220">
        <v>0</v>
      </c>
    </row>
    <row r="1221" spans="1:25" x14ac:dyDescent="0.3">
      <c r="A1221">
        <v>1220</v>
      </c>
      <c r="B1221">
        <v>80000</v>
      </c>
      <c r="C1221">
        <v>1</v>
      </c>
      <c r="D1221">
        <v>2</v>
      </c>
      <c r="E1221">
        <v>2</v>
      </c>
      <c r="F1221">
        <v>38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89394</v>
      </c>
      <c r="N1221">
        <v>81223</v>
      </c>
      <c r="O1221">
        <v>77198</v>
      </c>
      <c r="P1221">
        <v>29891</v>
      </c>
      <c r="Q1221">
        <v>34528</v>
      </c>
      <c r="R1221">
        <v>35229</v>
      </c>
      <c r="S1221">
        <v>5000</v>
      </c>
      <c r="T1221">
        <v>19153</v>
      </c>
      <c r="U1221">
        <v>1500</v>
      </c>
      <c r="V1221">
        <v>10000</v>
      </c>
      <c r="W1221">
        <v>1274</v>
      </c>
      <c r="X1221">
        <v>1275</v>
      </c>
      <c r="Y1221">
        <v>0</v>
      </c>
    </row>
    <row r="1222" spans="1:25" x14ac:dyDescent="0.3">
      <c r="A1222">
        <v>1221</v>
      </c>
      <c r="B1222">
        <v>50000</v>
      </c>
      <c r="C1222">
        <v>2</v>
      </c>
      <c r="D1222">
        <v>2</v>
      </c>
      <c r="E1222">
        <v>2</v>
      </c>
      <c r="F1222">
        <v>24</v>
      </c>
      <c r="G1222">
        <v>0</v>
      </c>
      <c r="H1222">
        <v>0</v>
      </c>
      <c r="I1222">
        <v>-1</v>
      </c>
      <c r="J1222">
        <v>-1</v>
      </c>
      <c r="K1222">
        <v>0</v>
      </c>
      <c r="L1222">
        <v>0</v>
      </c>
      <c r="M1222">
        <v>97043</v>
      </c>
      <c r="N1222">
        <v>39837</v>
      </c>
      <c r="O1222">
        <v>6928</v>
      </c>
      <c r="P1222">
        <v>17006</v>
      </c>
      <c r="Q1222">
        <v>17363</v>
      </c>
      <c r="R1222">
        <v>17707</v>
      </c>
      <c r="S1222">
        <v>2000</v>
      </c>
      <c r="T1222">
        <v>6943</v>
      </c>
      <c r="U1222">
        <v>17006</v>
      </c>
      <c r="V1222">
        <v>630</v>
      </c>
      <c r="W1222">
        <v>633</v>
      </c>
      <c r="X1222">
        <v>657</v>
      </c>
      <c r="Y1222">
        <v>0</v>
      </c>
    </row>
    <row r="1223" spans="1:25" x14ac:dyDescent="0.3">
      <c r="A1223">
        <v>1222</v>
      </c>
      <c r="B1223">
        <v>30000</v>
      </c>
      <c r="C1223">
        <v>2</v>
      </c>
      <c r="D1223">
        <v>1</v>
      </c>
      <c r="E1223">
        <v>2</v>
      </c>
      <c r="F1223">
        <v>24</v>
      </c>
      <c r="G1223">
        <v>-1</v>
      </c>
      <c r="H1223">
        <v>-1</v>
      </c>
      <c r="I1223">
        <v>-1</v>
      </c>
      <c r="J1223">
        <v>0</v>
      </c>
      <c r="K1223">
        <v>0</v>
      </c>
      <c r="L1223">
        <v>0</v>
      </c>
      <c r="M1223">
        <v>3019</v>
      </c>
      <c r="N1223">
        <v>1479</v>
      </c>
      <c r="O1223">
        <v>18860</v>
      </c>
      <c r="P1223">
        <v>950</v>
      </c>
      <c r="Q1223">
        <v>5660</v>
      </c>
      <c r="R1223">
        <v>0</v>
      </c>
      <c r="S1223">
        <v>1479</v>
      </c>
      <c r="T1223">
        <v>18881</v>
      </c>
      <c r="U1223">
        <v>0</v>
      </c>
      <c r="V1223">
        <v>4710</v>
      </c>
      <c r="W1223">
        <v>0</v>
      </c>
      <c r="X1223">
        <v>7153</v>
      </c>
      <c r="Y1223">
        <v>0</v>
      </c>
    </row>
    <row r="1224" spans="1:25" x14ac:dyDescent="0.3">
      <c r="A1224">
        <v>1223</v>
      </c>
      <c r="B1224">
        <v>210000</v>
      </c>
      <c r="C1224">
        <v>1</v>
      </c>
      <c r="D1224">
        <v>1</v>
      </c>
      <c r="E1224">
        <v>2</v>
      </c>
      <c r="F1224">
        <v>26</v>
      </c>
      <c r="G1224">
        <v>-1</v>
      </c>
      <c r="H1224">
        <v>-1</v>
      </c>
      <c r="I1224">
        <v>-2</v>
      </c>
      <c r="J1224">
        <v>-1</v>
      </c>
      <c r="K1224">
        <v>-1</v>
      </c>
      <c r="L1224">
        <v>-2</v>
      </c>
      <c r="M1224">
        <v>1360</v>
      </c>
      <c r="N1224">
        <v>0</v>
      </c>
      <c r="O1224">
        <v>0</v>
      </c>
      <c r="P1224">
        <v>3620</v>
      </c>
      <c r="Q1224">
        <v>0</v>
      </c>
      <c r="R1224">
        <v>0</v>
      </c>
      <c r="S1224">
        <v>0</v>
      </c>
      <c r="T1224">
        <v>0</v>
      </c>
      <c r="U1224">
        <v>3620</v>
      </c>
      <c r="V1224">
        <v>0</v>
      </c>
      <c r="W1224">
        <v>0</v>
      </c>
      <c r="X1224">
        <v>15513</v>
      </c>
      <c r="Y1224">
        <v>0</v>
      </c>
    </row>
    <row r="1225" spans="1:25" x14ac:dyDescent="0.3">
      <c r="A1225">
        <v>1224</v>
      </c>
      <c r="B1225">
        <v>150000</v>
      </c>
      <c r="C1225">
        <v>2</v>
      </c>
      <c r="D1225">
        <v>2</v>
      </c>
      <c r="E1225">
        <v>1</v>
      </c>
      <c r="F1225">
        <v>42</v>
      </c>
      <c r="G1225">
        <v>-1</v>
      </c>
      <c r="H1225">
        <v>-1</v>
      </c>
      <c r="I1225">
        <v>-1</v>
      </c>
      <c r="J1225">
        <v>-1</v>
      </c>
      <c r="K1225">
        <v>-1</v>
      </c>
      <c r="L1225">
        <v>-1</v>
      </c>
      <c r="M1225">
        <v>3260</v>
      </c>
      <c r="N1225">
        <v>2270</v>
      </c>
      <c r="O1225">
        <v>5887</v>
      </c>
      <c r="P1225">
        <v>3935</v>
      </c>
      <c r="Q1225">
        <v>3935</v>
      </c>
      <c r="R1225">
        <v>3935</v>
      </c>
      <c r="S1225">
        <v>2270</v>
      </c>
      <c r="T1225">
        <v>5887</v>
      </c>
      <c r="U1225">
        <v>3935</v>
      </c>
      <c r="V1225">
        <v>3935</v>
      </c>
      <c r="W1225">
        <v>3935</v>
      </c>
      <c r="X1225">
        <v>3935</v>
      </c>
      <c r="Y1225">
        <v>1</v>
      </c>
    </row>
    <row r="1226" spans="1:25" x14ac:dyDescent="0.3">
      <c r="A1226">
        <v>1225</v>
      </c>
      <c r="B1226">
        <v>20000</v>
      </c>
      <c r="C1226">
        <v>1</v>
      </c>
      <c r="D1226">
        <v>2</v>
      </c>
      <c r="E1226">
        <v>2</v>
      </c>
      <c r="F1226">
        <v>21</v>
      </c>
      <c r="G1226">
        <v>0</v>
      </c>
      <c r="H1226">
        <v>0</v>
      </c>
      <c r="I1226">
        <v>-1</v>
      </c>
      <c r="J1226">
        <v>0</v>
      </c>
      <c r="K1226">
        <v>0</v>
      </c>
      <c r="L1226">
        <v>-2</v>
      </c>
      <c r="M1226">
        <v>20297</v>
      </c>
      <c r="N1226">
        <v>17054</v>
      </c>
      <c r="O1226">
        <v>2333</v>
      </c>
      <c r="P1226">
        <v>1300</v>
      </c>
      <c r="Q1226">
        <v>0</v>
      </c>
      <c r="R1226">
        <v>0</v>
      </c>
      <c r="S1226">
        <v>1240</v>
      </c>
      <c r="T1226">
        <v>2333</v>
      </c>
      <c r="U1226">
        <v>0</v>
      </c>
      <c r="V1226">
        <v>0</v>
      </c>
      <c r="W1226">
        <v>0</v>
      </c>
      <c r="X1226">
        <v>0</v>
      </c>
      <c r="Y1226">
        <v>0</v>
      </c>
    </row>
    <row r="1227" spans="1:25" x14ac:dyDescent="0.3">
      <c r="A1227">
        <v>1226</v>
      </c>
      <c r="B1227">
        <v>20000</v>
      </c>
      <c r="C1227">
        <v>1</v>
      </c>
      <c r="D1227">
        <v>3</v>
      </c>
      <c r="E1227">
        <v>2</v>
      </c>
      <c r="F1227">
        <v>22</v>
      </c>
      <c r="G1227">
        <v>0</v>
      </c>
      <c r="H1227">
        <v>0</v>
      </c>
      <c r="I1227">
        <v>0</v>
      </c>
      <c r="J1227">
        <v>-2</v>
      </c>
      <c r="K1227">
        <v>-2</v>
      </c>
      <c r="L1227">
        <v>-2</v>
      </c>
      <c r="M1227">
        <v>19624</v>
      </c>
      <c r="N1227">
        <v>16972</v>
      </c>
      <c r="O1227">
        <v>0</v>
      </c>
      <c r="P1227">
        <v>0</v>
      </c>
      <c r="Q1227">
        <v>0</v>
      </c>
      <c r="R1227">
        <v>0</v>
      </c>
      <c r="S1227">
        <v>1000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</row>
    <row r="1228" spans="1:25" x14ac:dyDescent="0.3">
      <c r="A1228">
        <v>1227</v>
      </c>
      <c r="B1228">
        <v>240000</v>
      </c>
      <c r="C1228">
        <v>2</v>
      </c>
      <c r="D1228">
        <v>3</v>
      </c>
      <c r="E1228">
        <v>1</v>
      </c>
      <c r="F1228">
        <v>41</v>
      </c>
      <c r="G1228">
        <v>-1</v>
      </c>
      <c r="H1228">
        <v>-1</v>
      </c>
      <c r="I1228">
        <v>-2</v>
      </c>
      <c r="J1228">
        <v>-1</v>
      </c>
      <c r="K1228">
        <v>-1</v>
      </c>
      <c r="L1228">
        <v>-1</v>
      </c>
      <c r="M1228">
        <v>5325</v>
      </c>
      <c r="N1228">
        <v>-5</v>
      </c>
      <c r="O1228">
        <v>-5</v>
      </c>
      <c r="P1228">
        <v>1074</v>
      </c>
      <c r="Q1228">
        <v>1972</v>
      </c>
      <c r="R1228">
        <v>1876</v>
      </c>
      <c r="S1228">
        <v>5</v>
      </c>
      <c r="T1228">
        <v>0</v>
      </c>
      <c r="U1228">
        <v>1079</v>
      </c>
      <c r="V1228">
        <v>1977</v>
      </c>
      <c r="W1228">
        <v>1885</v>
      </c>
      <c r="X1228">
        <v>1211</v>
      </c>
      <c r="Y1228">
        <v>0</v>
      </c>
    </row>
    <row r="1229" spans="1:25" x14ac:dyDescent="0.3">
      <c r="A1229">
        <v>1228</v>
      </c>
      <c r="B1229">
        <v>500000</v>
      </c>
      <c r="C1229">
        <v>2</v>
      </c>
      <c r="D1229">
        <v>2</v>
      </c>
      <c r="E1229">
        <v>1</v>
      </c>
      <c r="F1229">
        <v>50</v>
      </c>
      <c r="G1229">
        <v>-2</v>
      </c>
      <c r="H1229">
        <v>-1</v>
      </c>
      <c r="I1229">
        <v>-1</v>
      </c>
      <c r="J1229">
        <v>-1</v>
      </c>
      <c r="K1229">
        <v>-1</v>
      </c>
      <c r="L1229">
        <v>-1</v>
      </c>
      <c r="M1229">
        <v>16984</v>
      </c>
      <c r="N1229">
        <v>86772</v>
      </c>
      <c r="O1229">
        <v>53170</v>
      </c>
      <c r="P1229">
        <v>28622</v>
      </c>
      <c r="Q1229">
        <v>19140</v>
      </c>
      <c r="R1229">
        <v>0</v>
      </c>
      <c r="S1229">
        <v>87004</v>
      </c>
      <c r="T1229">
        <v>53192</v>
      </c>
      <c r="U1229">
        <v>28622</v>
      </c>
      <c r="V1229">
        <v>19140</v>
      </c>
      <c r="W1229">
        <v>0</v>
      </c>
      <c r="X1229">
        <v>20211</v>
      </c>
      <c r="Y1229">
        <v>0</v>
      </c>
    </row>
    <row r="1230" spans="1:25" x14ac:dyDescent="0.3">
      <c r="A1230">
        <v>1229</v>
      </c>
      <c r="B1230">
        <v>90000</v>
      </c>
      <c r="C1230">
        <v>2</v>
      </c>
      <c r="D1230">
        <v>2</v>
      </c>
      <c r="E1230">
        <v>1</v>
      </c>
      <c r="F1230">
        <v>23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12770</v>
      </c>
      <c r="N1230">
        <v>14241</v>
      </c>
      <c r="O1230">
        <v>14895</v>
      </c>
      <c r="P1230">
        <v>25195</v>
      </c>
      <c r="Q1230">
        <v>23769</v>
      </c>
      <c r="R1230">
        <v>2269</v>
      </c>
      <c r="S1230">
        <v>2500</v>
      </c>
      <c r="T1230">
        <v>1200</v>
      </c>
      <c r="U1230">
        <v>10500</v>
      </c>
      <c r="V1230">
        <v>7000</v>
      </c>
      <c r="W1230">
        <v>1000</v>
      </c>
      <c r="X1230">
        <v>0</v>
      </c>
      <c r="Y1230">
        <v>1</v>
      </c>
    </row>
    <row r="1231" spans="1:25" x14ac:dyDescent="0.3">
      <c r="A1231">
        <v>1230</v>
      </c>
      <c r="B1231">
        <v>50000</v>
      </c>
      <c r="C1231">
        <v>1</v>
      </c>
      <c r="D1231">
        <v>3</v>
      </c>
      <c r="E1231">
        <v>2</v>
      </c>
      <c r="F1231">
        <v>46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50131</v>
      </c>
      <c r="N1231">
        <v>28152</v>
      </c>
      <c r="O1231">
        <v>20746</v>
      </c>
      <c r="P1231">
        <v>27624</v>
      </c>
      <c r="Q1231">
        <v>16015</v>
      </c>
      <c r="R1231">
        <v>16746</v>
      </c>
      <c r="S1231">
        <v>1388</v>
      </c>
      <c r="T1231">
        <v>2011</v>
      </c>
      <c r="U1231">
        <v>1006</v>
      </c>
      <c r="V1231">
        <v>1000</v>
      </c>
      <c r="W1231">
        <v>1000</v>
      </c>
      <c r="X1231">
        <v>1000</v>
      </c>
      <c r="Y1231">
        <v>0</v>
      </c>
    </row>
    <row r="1232" spans="1:25" x14ac:dyDescent="0.3">
      <c r="A1232">
        <v>1231</v>
      </c>
      <c r="B1232">
        <v>50000</v>
      </c>
      <c r="C1232">
        <v>2</v>
      </c>
      <c r="D1232">
        <v>2</v>
      </c>
      <c r="E1232">
        <v>2</v>
      </c>
      <c r="F1232">
        <v>22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50834</v>
      </c>
      <c r="N1232">
        <v>50770</v>
      </c>
      <c r="O1232">
        <v>50215</v>
      </c>
      <c r="P1232">
        <v>29386</v>
      </c>
      <c r="Q1232">
        <v>29527</v>
      </c>
      <c r="R1232">
        <v>30125</v>
      </c>
      <c r="S1232">
        <v>2200</v>
      </c>
      <c r="T1232">
        <v>1517</v>
      </c>
      <c r="U1232">
        <v>1000</v>
      </c>
      <c r="V1232">
        <v>1500</v>
      </c>
      <c r="W1232">
        <v>2005</v>
      </c>
      <c r="X1232">
        <v>1305</v>
      </c>
      <c r="Y1232">
        <v>1</v>
      </c>
    </row>
    <row r="1233" spans="1:25" x14ac:dyDescent="0.3">
      <c r="A1233">
        <v>1232</v>
      </c>
      <c r="B1233">
        <v>680000</v>
      </c>
      <c r="C1233">
        <v>1</v>
      </c>
      <c r="D1233">
        <v>1</v>
      </c>
      <c r="E1233">
        <v>2</v>
      </c>
      <c r="F1233">
        <v>37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18314</v>
      </c>
      <c r="N1233">
        <v>16088</v>
      </c>
      <c r="O1233">
        <v>17806</v>
      </c>
      <c r="P1233">
        <v>15498</v>
      </c>
      <c r="Q1233">
        <v>13810</v>
      </c>
      <c r="R1233">
        <v>164969</v>
      </c>
      <c r="S1233">
        <v>2700</v>
      </c>
      <c r="T1233">
        <v>2400</v>
      </c>
      <c r="U1233">
        <v>600</v>
      </c>
      <c r="V1233">
        <v>400</v>
      </c>
      <c r="W1233">
        <v>161000</v>
      </c>
      <c r="X1233">
        <v>5800</v>
      </c>
      <c r="Y1233">
        <v>0</v>
      </c>
    </row>
    <row r="1234" spans="1:25" x14ac:dyDescent="0.3">
      <c r="A1234">
        <v>1233</v>
      </c>
      <c r="B1234">
        <v>50000</v>
      </c>
      <c r="C1234">
        <v>1</v>
      </c>
      <c r="D1234">
        <v>1</v>
      </c>
      <c r="E1234">
        <v>1</v>
      </c>
      <c r="F1234">
        <v>47</v>
      </c>
      <c r="G1234">
        <v>0</v>
      </c>
      <c r="H1234">
        <v>0</v>
      </c>
      <c r="I1234">
        <v>2</v>
      </c>
      <c r="J1234">
        <v>2</v>
      </c>
      <c r="K1234">
        <v>2</v>
      </c>
      <c r="L1234">
        <v>2</v>
      </c>
      <c r="M1234">
        <v>45717</v>
      </c>
      <c r="N1234">
        <v>47974</v>
      </c>
      <c r="O1234">
        <v>49837</v>
      </c>
      <c r="P1234">
        <v>50807</v>
      </c>
      <c r="Q1234">
        <v>49947</v>
      </c>
      <c r="R1234">
        <v>50424</v>
      </c>
      <c r="S1234">
        <v>3000</v>
      </c>
      <c r="T1234">
        <v>3000</v>
      </c>
      <c r="U1234">
        <v>2000</v>
      </c>
      <c r="V1234">
        <v>0</v>
      </c>
      <c r="W1234">
        <v>5000</v>
      </c>
      <c r="X1234">
        <v>0</v>
      </c>
      <c r="Y1234">
        <v>0</v>
      </c>
    </row>
    <row r="1235" spans="1:25" x14ac:dyDescent="0.3">
      <c r="A1235">
        <v>1234</v>
      </c>
      <c r="B1235">
        <v>100000</v>
      </c>
      <c r="C1235">
        <v>2</v>
      </c>
      <c r="D1235">
        <v>2</v>
      </c>
      <c r="E1235">
        <v>1</v>
      </c>
      <c r="F1235">
        <v>40</v>
      </c>
      <c r="G1235">
        <v>-1</v>
      </c>
      <c r="H1235">
        <v>-1</v>
      </c>
      <c r="I1235">
        <v>-1</v>
      </c>
      <c r="J1235">
        <v>0</v>
      </c>
      <c r="K1235">
        <v>-1</v>
      </c>
      <c r="L1235">
        <v>-1</v>
      </c>
      <c r="M1235">
        <v>326</v>
      </c>
      <c r="N1235">
        <v>326</v>
      </c>
      <c r="O1235">
        <v>652</v>
      </c>
      <c r="P1235">
        <v>326</v>
      </c>
      <c r="Q1235">
        <v>326</v>
      </c>
      <c r="R1235">
        <v>326</v>
      </c>
      <c r="S1235">
        <v>326</v>
      </c>
      <c r="T1235">
        <v>652</v>
      </c>
      <c r="U1235">
        <v>0</v>
      </c>
      <c r="V1235">
        <v>326</v>
      </c>
      <c r="W1235">
        <v>326</v>
      </c>
      <c r="X1235">
        <v>652</v>
      </c>
      <c r="Y1235">
        <v>0</v>
      </c>
    </row>
    <row r="1236" spans="1:25" x14ac:dyDescent="0.3">
      <c r="A1236">
        <v>1235</v>
      </c>
      <c r="B1236">
        <v>280000</v>
      </c>
      <c r="C1236">
        <v>2</v>
      </c>
      <c r="D1236">
        <v>1</v>
      </c>
      <c r="E1236">
        <v>2</v>
      </c>
      <c r="F1236">
        <v>30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270276</v>
      </c>
      <c r="N1236">
        <v>506260</v>
      </c>
      <c r="O1236">
        <v>263734</v>
      </c>
      <c r="P1236">
        <v>268216</v>
      </c>
      <c r="Q1236">
        <v>262895</v>
      </c>
      <c r="R1236">
        <v>264508</v>
      </c>
      <c r="S1236">
        <v>11000</v>
      </c>
      <c r="T1236">
        <v>10000</v>
      </c>
      <c r="U1236">
        <v>10004</v>
      </c>
      <c r="V1236">
        <v>10020</v>
      </c>
      <c r="W1236">
        <v>10100</v>
      </c>
      <c r="X1236">
        <v>10000</v>
      </c>
      <c r="Y1236">
        <v>0</v>
      </c>
    </row>
    <row r="1237" spans="1:25" x14ac:dyDescent="0.3">
      <c r="A1237">
        <v>1236</v>
      </c>
      <c r="B1237">
        <v>30000</v>
      </c>
      <c r="C1237">
        <v>1</v>
      </c>
      <c r="D1237">
        <v>2</v>
      </c>
      <c r="E1237">
        <v>2</v>
      </c>
      <c r="F1237">
        <v>54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26278</v>
      </c>
      <c r="N1237">
        <v>24767</v>
      </c>
      <c r="O1237">
        <v>27533</v>
      </c>
      <c r="P1237">
        <v>26400</v>
      </c>
      <c r="Q1237">
        <v>25620</v>
      </c>
      <c r="R1237">
        <v>390</v>
      </c>
      <c r="S1237">
        <v>1700</v>
      </c>
      <c r="T1237">
        <v>3400</v>
      </c>
      <c r="U1237">
        <v>2528</v>
      </c>
      <c r="V1237">
        <v>0</v>
      </c>
      <c r="W1237">
        <v>390</v>
      </c>
      <c r="X1237">
        <v>780</v>
      </c>
      <c r="Y1237">
        <v>1</v>
      </c>
    </row>
    <row r="1238" spans="1:25" x14ac:dyDescent="0.3">
      <c r="A1238">
        <v>1237</v>
      </c>
      <c r="B1238">
        <v>50000</v>
      </c>
      <c r="C1238">
        <v>1</v>
      </c>
      <c r="D1238">
        <v>2</v>
      </c>
      <c r="E1238">
        <v>2</v>
      </c>
      <c r="F1238">
        <v>27</v>
      </c>
      <c r="G1238">
        <v>2</v>
      </c>
      <c r="H1238">
        <v>2</v>
      </c>
      <c r="I1238">
        <v>0</v>
      </c>
      <c r="J1238">
        <v>0</v>
      </c>
      <c r="K1238">
        <v>0</v>
      </c>
      <c r="L1238">
        <v>0</v>
      </c>
      <c r="M1238">
        <v>23901</v>
      </c>
      <c r="N1238">
        <v>13262</v>
      </c>
      <c r="O1238">
        <v>8643</v>
      </c>
      <c r="P1238">
        <v>7382</v>
      </c>
      <c r="Q1238">
        <v>1975</v>
      </c>
      <c r="R1238">
        <v>50514</v>
      </c>
      <c r="S1238">
        <v>4146</v>
      </c>
      <c r="T1238">
        <v>1200</v>
      </c>
      <c r="U1238">
        <v>0</v>
      </c>
      <c r="V1238">
        <v>0</v>
      </c>
      <c r="W1238">
        <v>49800</v>
      </c>
      <c r="X1238">
        <v>0</v>
      </c>
      <c r="Y1238">
        <v>1</v>
      </c>
    </row>
    <row r="1239" spans="1:25" x14ac:dyDescent="0.3">
      <c r="A1239">
        <v>1238</v>
      </c>
      <c r="B1239">
        <v>60000</v>
      </c>
      <c r="C1239">
        <v>1</v>
      </c>
      <c r="D1239">
        <v>1</v>
      </c>
      <c r="E1239">
        <v>1</v>
      </c>
      <c r="F1239">
        <v>33</v>
      </c>
      <c r="G1239">
        <v>-1</v>
      </c>
      <c r="H1239">
        <v>-1</v>
      </c>
      <c r="I1239">
        <v>-1</v>
      </c>
      <c r="J1239">
        <v>-1</v>
      </c>
      <c r="K1239">
        <v>-1</v>
      </c>
      <c r="L1239">
        <v>-1</v>
      </c>
      <c r="M1239">
        <v>8308</v>
      </c>
      <c r="N1239">
        <v>7565</v>
      </c>
      <c r="O1239">
        <v>8373</v>
      </c>
      <c r="P1239">
        <v>7565</v>
      </c>
      <c r="Q1239">
        <v>7565</v>
      </c>
      <c r="R1239">
        <v>7565</v>
      </c>
      <c r="S1239">
        <v>7565</v>
      </c>
      <c r="T1239">
        <v>8373</v>
      </c>
      <c r="U1239">
        <v>7565</v>
      </c>
      <c r="V1239">
        <v>7565</v>
      </c>
      <c r="W1239">
        <v>7565</v>
      </c>
      <c r="X1239">
        <v>7565</v>
      </c>
      <c r="Y1239">
        <v>0</v>
      </c>
    </row>
    <row r="1240" spans="1:25" x14ac:dyDescent="0.3">
      <c r="A1240">
        <v>1239</v>
      </c>
      <c r="B1240">
        <v>120000</v>
      </c>
      <c r="C1240">
        <v>1</v>
      </c>
      <c r="D1240">
        <v>2</v>
      </c>
      <c r="E1240">
        <v>1</v>
      </c>
      <c r="F1240">
        <v>57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118709</v>
      </c>
      <c r="N1240">
        <v>120580</v>
      </c>
      <c r="O1240">
        <v>118684</v>
      </c>
      <c r="P1240">
        <v>88557</v>
      </c>
      <c r="Q1240">
        <v>91124</v>
      </c>
      <c r="R1240">
        <v>88094</v>
      </c>
      <c r="S1240">
        <v>5000</v>
      </c>
      <c r="T1240">
        <v>5007</v>
      </c>
      <c r="U1240">
        <v>4000</v>
      </c>
      <c r="V1240">
        <v>4003</v>
      </c>
      <c r="W1240">
        <v>4003</v>
      </c>
      <c r="X1240">
        <v>4000</v>
      </c>
      <c r="Y1240">
        <v>1</v>
      </c>
    </row>
    <row r="1241" spans="1:25" x14ac:dyDescent="0.3">
      <c r="A1241">
        <v>1240</v>
      </c>
      <c r="B1241">
        <v>80000</v>
      </c>
      <c r="C1241">
        <v>2</v>
      </c>
      <c r="D1241">
        <v>2</v>
      </c>
      <c r="E1241">
        <v>1</v>
      </c>
      <c r="F1241">
        <v>35</v>
      </c>
      <c r="G1241">
        <v>-1</v>
      </c>
      <c r="H1241">
        <v>-1</v>
      </c>
      <c r="I1241">
        <v>-1</v>
      </c>
      <c r="J1241">
        <v>-1</v>
      </c>
      <c r="K1241">
        <v>-1</v>
      </c>
      <c r="L1241">
        <v>0</v>
      </c>
      <c r="M1241">
        <v>2890</v>
      </c>
      <c r="N1241">
        <v>9796</v>
      </c>
      <c r="O1241">
        <v>13443</v>
      </c>
      <c r="P1241">
        <v>396</v>
      </c>
      <c r="Q1241">
        <v>396</v>
      </c>
      <c r="R1241">
        <v>396</v>
      </c>
      <c r="S1241">
        <v>9796</v>
      </c>
      <c r="T1241">
        <v>13443</v>
      </c>
      <c r="U1241">
        <v>396</v>
      </c>
      <c r="V1241">
        <v>396</v>
      </c>
      <c r="W1241">
        <v>0</v>
      </c>
      <c r="X1241">
        <v>396</v>
      </c>
      <c r="Y1241">
        <v>0</v>
      </c>
    </row>
    <row r="1242" spans="1:25" x14ac:dyDescent="0.3">
      <c r="A1242">
        <v>1241</v>
      </c>
      <c r="B1242">
        <v>500000</v>
      </c>
      <c r="C1242">
        <v>1</v>
      </c>
      <c r="D1242">
        <v>1</v>
      </c>
      <c r="E1242">
        <v>1</v>
      </c>
      <c r="F1242">
        <v>45</v>
      </c>
      <c r="G1242">
        <v>-1</v>
      </c>
      <c r="H1242">
        <v>-1</v>
      </c>
      <c r="I1242">
        <v>-1</v>
      </c>
      <c r="J1242">
        <v>-1</v>
      </c>
      <c r="K1242">
        <v>-1</v>
      </c>
      <c r="L1242">
        <v>-2</v>
      </c>
      <c r="M1242">
        <v>140</v>
      </c>
      <c r="N1242">
        <v>94</v>
      </c>
      <c r="O1242">
        <v>39</v>
      </c>
      <c r="P1242">
        <v>44</v>
      </c>
      <c r="Q1242">
        <v>0</v>
      </c>
      <c r="R1242">
        <v>0</v>
      </c>
      <c r="S1242">
        <v>94</v>
      </c>
      <c r="T1242">
        <v>39</v>
      </c>
      <c r="U1242">
        <v>44</v>
      </c>
      <c r="V1242">
        <v>0</v>
      </c>
      <c r="W1242">
        <v>0</v>
      </c>
      <c r="X1242">
        <v>790</v>
      </c>
      <c r="Y1242">
        <v>0</v>
      </c>
    </row>
    <row r="1243" spans="1:25" x14ac:dyDescent="0.3">
      <c r="A1243">
        <v>1242</v>
      </c>
      <c r="B1243">
        <v>70000</v>
      </c>
      <c r="C1243">
        <v>2</v>
      </c>
      <c r="D1243">
        <v>3</v>
      </c>
      <c r="E1243">
        <v>1</v>
      </c>
      <c r="F1243">
        <v>32</v>
      </c>
      <c r="G1243">
        <v>2</v>
      </c>
      <c r="H1243">
        <v>2</v>
      </c>
      <c r="I1243">
        <v>0</v>
      </c>
      <c r="J1243">
        <v>0</v>
      </c>
      <c r="K1243">
        <v>0</v>
      </c>
      <c r="L1243">
        <v>-1</v>
      </c>
      <c r="M1243">
        <v>18317</v>
      </c>
      <c r="N1243">
        <v>17330</v>
      </c>
      <c r="O1243">
        <v>11400</v>
      </c>
      <c r="P1243">
        <v>11120</v>
      </c>
      <c r="Q1243">
        <v>10914</v>
      </c>
      <c r="R1243">
        <v>11315</v>
      </c>
      <c r="S1243">
        <v>0</v>
      </c>
      <c r="T1243">
        <v>1000</v>
      </c>
      <c r="U1243">
        <v>110</v>
      </c>
      <c r="V1243">
        <v>500</v>
      </c>
      <c r="W1243">
        <v>18963</v>
      </c>
      <c r="X1243">
        <v>1000</v>
      </c>
      <c r="Y1243">
        <v>0</v>
      </c>
    </row>
    <row r="1244" spans="1:25" x14ac:dyDescent="0.3">
      <c r="A1244">
        <v>1243</v>
      </c>
      <c r="B1244">
        <v>160000</v>
      </c>
      <c r="C1244">
        <v>2</v>
      </c>
      <c r="D1244">
        <v>2</v>
      </c>
      <c r="E1244">
        <v>1</v>
      </c>
      <c r="F1244">
        <v>45</v>
      </c>
      <c r="G1244">
        <v>-2</v>
      </c>
      <c r="H1244">
        <v>-2</v>
      </c>
      <c r="I1244">
        <v>-2</v>
      </c>
      <c r="J1244">
        <v>-2</v>
      </c>
      <c r="K1244">
        <v>-2</v>
      </c>
      <c r="L1244">
        <v>-2</v>
      </c>
      <c r="M1244">
        <v>0</v>
      </c>
      <c r="N1244">
        <v>0</v>
      </c>
      <c r="O1244">
        <v>0</v>
      </c>
      <c r="P1244">
        <v>1468</v>
      </c>
      <c r="Q1244">
        <v>0</v>
      </c>
      <c r="R1244">
        <v>0</v>
      </c>
      <c r="S1244">
        <v>0</v>
      </c>
      <c r="T1244">
        <v>0</v>
      </c>
      <c r="U1244">
        <v>1468</v>
      </c>
      <c r="V1244">
        <v>0</v>
      </c>
      <c r="W1244">
        <v>0</v>
      </c>
      <c r="X1244">
        <v>0</v>
      </c>
      <c r="Y1244">
        <v>0</v>
      </c>
    </row>
    <row r="1245" spans="1:25" x14ac:dyDescent="0.3">
      <c r="A1245">
        <v>1244</v>
      </c>
      <c r="B1245">
        <v>100000</v>
      </c>
      <c r="C1245">
        <v>2</v>
      </c>
      <c r="D1245">
        <v>3</v>
      </c>
      <c r="E1245">
        <v>1</v>
      </c>
      <c r="F1245">
        <v>50</v>
      </c>
      <c r="G1245">
        <v>2</v>
      </c>
      <c r="H1245">
        <v>2</v>
      </c>
      <c r="I1245">
        <v>2</v>
      </c>
      <c r="J1245">
        <v>-1</v>
      </c>
      <c r="K1245">
        <v>0</v>
      </c>
      <c r="L1245">
        <v>0</v>
      </c>
      <c r="M1245">
        <v>110537</v>
      </c>
      <c r="N1245">
        <v>99734</v>
      </c>
      <c r="O1245">
        <v>99973</v>
      </c>
      <c r="P1245">
        <v>71008</v>
      </c>
      <c r="Q1245">
        <v>66735</v>
      </c>
      <c r="R1245">
        <v>68621</v>
      </c>
      <c r="S1245">
        <v>0</v>
      </c>
      <c r="T1245">
        <v>3000</v>
      </c>
      <c r="U1245">
        <v>103000</v>
      </c>
      <c r="V1245">
        <v>2500</v>
      </c>
      <c r="W1245">
        <v>3000</v>
      </c>
      <c r="X1245">
        <v>3000</v>
      </c>
      <c r="Y1245">
        <v>1</v>
      </c>
    </row>
    <row r="1246" spans="1:25" x14ac:dyDescent="0.3">
      <c r="A1246">
        <v>1245</v>
      </c>
      <c r="B1246">
        <v>10000</v>
      </c>
      <c r="C1246">
        <v>1</v>
      </c>
      <c r="D1246">
        <v>3</v>
      </c>
      <c r="E1246">
        <v>2</v>
      </c>
      <c r="F1246">
        <v>35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7877</v>
      </c>
      <c r="N1246">
        <v>8918</v>
      </c>
      <c r="O1246">
        <v>9864</v>
      </c>
      <c r="P1246">
        <v>9673</v>
      </c>
      <c r="Q1246">
        <v>9414</v>
      </c>
      <c r="R1246">
        <v>9156</v>
      </c>
      <c r="S1246">
        <v>1174</v>
      </c>
      <c r="T1246">
        <v>1120</v>
      </c>
      <c r="U1246">
        <v>310</v>
      </c>
      <c r="V1246">
        <v>316</v>
      </c>
      <c r="W1246">
        <v>1000</v>
      </c>
      <c r="X1246">
        <v>2000</v>
      </c>
      <c r="Y1246">
        <v>0</v>
      </c>
    </row>
    <row r="1247" spans="1:25" x14ac:dyDescent="0.3">
      <c r="A1247">
        <v>1246</v>
      </c>
      <c r="B1247">
        <v>90000</v>
      </c>
      <c r="C1247">
        <v>1</v>
      </c>
      <c r="D1247">
        <v>1</v>
      </c>
      <c r="E1247">
        <v>2</v>
      </c>
      <c r="F1247">
        <v>26</v>
      </c>
      <c r="G1247">
        <v>-1</v>
      </c>
      <c r="H1247">
        <v>-1</v>
      </c>
      <c r="I1247">
        <v>-1</v>
      </c>
      <c r="J1247">
        <v>-1</v>
      </c>
      <c r="K1247">
        <v>-1</v>
      </c>
      <c r="L1247">
        <v>0</v>
      </c>
      <c r="M1247">
        <v>10750</v>
      </c>
      <c r="N1247">
        <v>100</v>
      </c>
      <c r="O1247">
        <v>200</v>
      </c>
      <c r="P1247">
        <v>100</v>
      </c>
      <c r="Q1247">
        <v>9894</v>
      </c>
      <c r="R1247">
        <v>20699</v>
      </c>
      <c r="S1247">
        <v>100</v>
      </c>
      <c r="T1247">
        <v>200</v>
      </c>
      <c r="U1247">
        <v>0</v>
      </c>
      <c r="V1247">
        <v>9894</v>
      </c>
      <c r="W1247">
        <v>20000</v>
      </c>
      <c r="X1247">
        <v>4100</v>
      </c>
      <c r="Y1247">
        <v>0</v>
      </c>
    </row>
    <row r="1248" spans="1:25" x14ac:dyDescent="0.3">
      <c r="A1248">
        <v>1247</v>
      </c>
      <c r="B1248">
        <v>170000</v>
      </c>
      <c r="C1248">
        <v>1</v>
      </c>
      <c r="D1248">
        <v>1</v>
      </c>
      <c r="E1248">
        <v>1</v>
      </c>
      <c r="F1248">
        <v>39</v>
      </c>
      <c r="G1248">
        <v>2</v>
      </c>
      <c r="H1248">
        <v>2</v>
      </c>
      <c r="I1248">
        <v>2</v>
      </c>
      <c r="J1248">
        <v>2</v>
      </c>
      <c r="K1248">
        <v>4</v>
      </c>
      <c r="L1248">
        <v>3</v>
      </c>
      <c r="M1248">
        <v>74298</v>
      </c>
      <c r="N1248">
        <v>80073</v>
      </c>
      <c r="O1248">
        <v>81959</v>
      </c>
      <c r="P1248">
        <v>89991</v>
      </c>
      <c r="Q1248">
        <v>88018</v>
      </c>
      <c r="R1248">
        <v>86299</v>
      </c>
      <c r="S1248">
        <v>7000</v>
      </c>
      <c r="T1248">
        <v>3800</v>
      </c>
      <c r="U1248">
        <v>10000</v>
      </c>
      <c r="V1248">
        <v>0</v>
      </c>
      <c r="W1248">
        <v>0</v>
      </c>
      <c r="X1248">
        <v>3100</v>
      </c>
      <c r="Y1248">
        <v>1</v>
      </c>
    </row>
    <row r="1249" spans="1:25" x14ac:dyDescent="0.3">
      <c r="A1249">
        <v>1248</v>
      </c>
      <c r="B1249">
        <v>90000</v>
      </c>
      <c r="C1249">
        <v>2</v>
      </c>
      <c r="D1249">
        <v>2</v>
      </c>
      <c r="E1249">
        <v>2</v>
      </c>
      <c r="F1249">
        <v>35</v>
      </c>
      <c r="G1249">
        <v>-1</v>
      </c>
      <c r="H1249">
        <v>-1</v>
      </c>
      <c r="I1249">
        <v>-1</v>
      </c>
      <c r="J1249">
        <v>-2</v>
      </c>
      <c r="K1249">
        <v>-2</v>
      </c>
      <c r="L1249">
        <v>-2</v>
      </c>
      <c r="M1249">
        <v>2667</v>
      </c>
      <c r="N1249">
        <v>2667</v>
      </c>
      <c r="O1249">
        <v>0</v>
      </c>
      <c r="P1249">
        <v>0</v>
      </c>
      <c r="Q1249">
        <v>0</v>
      </c>
      <c r="R1249">
        <v>0</v>
      </c>
      <c r="S1249">
        <v>2667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</row>
    <row r="1250" spans="1:25" x14ac:dyDescent="0.3">
      <c r="A1250">
        <v>1249</v>
      </c>
      <c r="B1250">
        <v>180000</v>
      </c>
      <c r="C1250">
        <v>2</v>
      </c>
      <c r="D1250">
        <v>3</v>
      </c>
      <c r="E1250">
        <v>2</v>
      </c>
      <c r="F1250">
        <v>42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67414</v>
      </c>
      <c r="N1250">
        <v>61256</v>
      </c>
      <c r="O1250">
        <v>66668</v>
      </c>
      <c r="P1250">
        <v>83568</v>
      </c>
      <c r="Q1250">
        <v>90418</v>
      </c>
      <c r="R1250">
        <v>88898</v>
      </c>
      <c r="S1250">
        <v>10000</v>
      </c>
      <c r="T1250">
        <v>10000</v>
      </c>
      <c r="U1250">
        <v>17500</v>
      </c>
      <c r="V1250">
        <v>7000</v>
      </c>
      <c r="W1250">
        <v>25000</v>
      </c>
      <c r="X1250">
        <v>33600</v>
      </c>
      <c r="Y1250">
        <v>0</v>
      </c>
    </row>
    <row r="1251" spans="1:25" x14ac:dyDescent="0.3">
      <c r="A1251">
        <v>1250</v>
      </c>
      <c r="B1251">
        <v>350000</v>
      </c>
      <c r="C1251">
        <v>2</v>
      </c>
      <c r="D1251">
        <v>1</v>
      </c>
      <c r="E1251">
        <v>1</v>
      </c>
      <c r="F1251">
        <v>52</v>
      </c>
      <c r="G1251">
        <v>2</v>
      </c>
      <c r="H1251">
        <v>2</v>
      </c>
      <c r="I1251">
        <v>7</v>
      </c>
      <c r="J1251">
        <v>7</v>
      </c>
      <c r="K1251">
        <v>7</v>
      </c>
      <c r="L1251">
        <v>7</v>
      </c>
      <c r="M1251">
        <v>2400</v>
      </c>
      <c r="N1251">
        <v>2400</v>
      </c>
      <c r="O1251">
        <v>2400</v>
      </c>
      <c r="P1251">
        <v>2400</v>
      </c>
      <c r="Q1251">
        <v>2400</v>
      </c>
      <c r="R1251">
        <v>2400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1</v>
      </c>
    </row>
    <row r="1252" spans="1:25" x14ac:dyDescent="0.3">
      <c r="A1252">
        <v>1251</v>
      </c>
      <c r="B1252">
        <v>270000</v>
      </c>
      <c r="C1252">
        <v>1</v>
      </c>
      <c r="D1252">
        <v>2</v>
      </c>
      <c r="E1252">
        <v>2</v>
      </c>
      <c r="F1252">
        <v>35</v>
      </c>
      <c r="G1252">
        <v>0</v>
      </c>
      <c r="H1252">
        <v>0</v>
      </c>
      <c r="I1252">
        <v>0</v>
      </c>
      <c r="J1252">
        <v>-1</v>
      </c>
      <c r="K1252">
        <v>-1</v>
      </c>
      <c r="L1252">
        <v>-1</v>
      </c>
      <c r="M1252">
        <v>225400</v>
      </c>
      <c r="N1252">
        <v>220202</v>
      </c>
      <c r="O1252">
        <v>215056</v>
      </c>
      <c r="P1252">
        <v>10506</v>
      </c>
      <c r="Q1252">
        <v>10224</v>
      </c>
      <c r="R1252">
        <v>9233</v>
      </c>
      <c r="S1252">
        <v>9000</v>
      </c>
      <c r="T1252">
        <v>9348</v>
      </c>
      <c r="U1252">
        <v>10600</v>
      </c>
      <c r="V1252">
        <v>10300</v>
      </c>
      <c r="W1252">
        <v>9300</v>
      </c>
      <c r="X1252">
        <v>1000</v>
      </c>
      <c r="Y1252">
        <v>0</v>
      </c>
    </row>
    <row r="1253" spans="1:25" x14ac:dyDescent="0.3">
      <c r="A1253">
        <v>1252</v>
      </c>
      <c r="B1253">
        <v>200000</v>
      </c>
      <c r="C1253">
        <v>2</v>
      </c>
      <c r="D1253">
        <v>1</v>
      </c>
      <c r="E1253">
        <v>2</v>
      </c>
      <c r="F1253">
        <v>29</v>
      </c>
      <c r="G1253">
        <v>0</v>
      </c>
      <c r="H1253">
        <v>0</v>
      </c>
      <c r="I1253">
        <v>-1</v>
      </c>
      <c r="J1253">
        <v>0</v>
      </c>
      <c r="K1253">
        <v>0</v>
      </c>
      <c r="L1253">
        <v>-2</v>
      </c>
      <c r="M1253">
        <v>65935</v>
      </c>
      <c r="N1253">
        <v>25574</v>
      </c>
      <c r="O1253">
        <v>28727</v>
      </c>
      <c r="P1253">
        <v>19164</v>
      </c>
      <c r="Q1253">
        <v>0</v>
      </c>
      <c r="R1253">
        <v>0</v>
      </c>
      <c r="S1253">
        <v>1011</v>
      </c>
      <c r="T1253">
        <v>31209</v>
      </c>
      <c r="U1253">
        <v>383</v>
      </c>
      <c r="V1253">
        <v>0</v>
      </c>
      <c r="W1253">
        <v>0</v>
      </c>
      <c r="X1253">
        <v>0</v>
      </c>
      <c r="Y1253">
        <v>1</v>
      </c>
    </row>
    <row r="1254" spans="1:25" x14ac:dyDescent="0.3">
      <c r="A1254">
        <v>1253</v>
      </c>
      <c r="B1254">
        <v>20000</v>
      </c>
      <c r="C1254">
        <v>2</v>
      </c>
      <c r="D1254">
        <v>1</v>
      </c>
      <c r="E1254">
        <v>2</v>
      </c>
      <c r="F1254">
        <v>22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15829</v>
      </c>
      <c r="N1254">
        <v>15299</v>
      </c>
      <c r="O1254">
        <v>16262</v>
      </c>
      <c r="P1254">
        <v>16749</v>
      </c>
      <c r="Q1254">
        <v>13764</v>
      </c>
      <c r="R1254">
        <v>18732</v>
      </c>
      <c r="S1254">
        <v>1600</v>
      </c>
      <c r="T1254">
        <v>1550</v>
      </c>
      <c r="U1254">
        <v>1000</v>
      </c>
      <c r="V1254">
        <v>1000</v>
      </c>
      <c r="W1254">
        <v>5283</v>
      </c>
      <c r="X1254">
        <v>0</v>
      </c>
      <c r="Y1254">
        <v>0</v>
      </c>
    </row>
    <row r="1255" spans="1:25" x14ac:dyDescent="0.3">
      <c r="A1255">
        <v>1254</v>
      </c>
      <c r="B1255">
        <v>100000</v>
      </c>
      <c r="C1255">
        <v>1</v>
      </c>
      <c r="D1255">
        <v>2</v>
      </c>
      <c r="E1255">
        <v>2</v>
      </c>
      <c r="F1255">
        <v>30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44953</v>
      </c>
      <c r="N1255">
        <v>46922</v>
      </c>
      <c r="O1255">
        <v>48677</v>
      </c>
      <c r="P1255">
        <v>49496</v>
      </c>
      <c r="Q1255">
        <v>51010</v>
      </c>
      <c r="R1255">
        <v>32630</v>
      </c>
      <c r="S1255">
        <v>3000</v>
      </c>
      <c r="T1255">
        <v>3000</v>
      </c>
      <c r="U1255">
        <v>2000</v>
      </c>
      <c r="V1255">
        <v>2000</v>
      </c>
      <c r="W1255">
        <v>2000</v>
      </c>
      <c r="X1255">
        <v>2000</v>
      </c>
      <c r="Y1255">
        <v>0</v>
      </c>
    </row>
    <row r="1256" spans="1:25" x14ac:dyDescent="0.3">
      <c r="A1256">
        <v>1255</v>
      </c>
      <c r="B1256">
        <v>290000</v>
      </c>
      <c r="C1256">
        <v>1</v>
      </c>
      <c r="D1256">
        <v>1</v>
      </c>
      <c r="E1256">
        <v>1</v>
      </c>
      <c r="F1256">
        <v>46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194301</v>
      </c>
      <c r="N1256">
        <v>199451</v>
      </c>
      <c r="O1256">
        <v>198684</v>
      </c>
      <c r="P1256">
        <v>87700</v>
      </c>
      <c r="Q1256">
        <v>88621</v>
      </c>
      <c r="R1256">
        <v>53243</v>
      </c>
      <c r="S1256">
        <v>10744</v>
      </c>
      <c r="T1256">
        <v>6000</v>
      </c>
      <c r="U1256">
        <v>1573</v>
      </c>
      <c r="V1256">
        <v>1629</v>
      </c>
      <c r="W1256">
        <v>3129</v>
      </c>
      <c r="X1256">
        <v>105423</v>
      </c>
      <c r="Y1256">
        <v>0</v>
      </c>
    </row>
    <row r="1257" spans="1:25" x14ac:dyDescent="0.3">
      <c r="A1257">
        <v>1256</v>
      </c>
      <c r="B1257">
        <v>70000</v>
      </c>
      <c r="C1257">
        <v>1</v>
      </c>
      <c r="D1257">
        <v>3</v>
      </c>
      <c r="E1257">
        <v>2</v>
      </c>
      <c r="F1257">
        <v>28</v>
      </c>
      <c r="G1257">
        <v>1</v>
      </c>
      <c r="H1257">
        <v>2</v>
      </c>
      <c r="I1257">
        <v>0</v>
      </c>
      <c r="J1257">
        <v>0</v>
      </c>
      <c r="K1257">
        <v>0</v>
      </c>
      <c r="L1257">
        <v>0</v>
      </c>
      <c r="M1257">
        <v>68970</v>
      </c>
      <c r="N1257">
        <v>67308</v>
      </c>
      <c r="O1257">
        <v>68582</v>
      </c>
      <c r="P1257">
        <v>68361</v>
      </c>
      <c r="Q1257">
        <v>68060</v>
      </c>
      <c r="R1257">
        <v>68223</v>
      </c>
      <c r="S1257">
        <v>0</v>
      </c>
      <c r="T1257">
        <v>3005</v>
      </c>
      <c r="U1257">
        <v>2546</v>
      </c>
      <c r="V1257">
        <v>2602</v>
      </c>
      <c r="W1257">
        <v>2430</v>
      </c>
      <c r="X1257">
        <v>2659</v>
      </c>
      <c r="Y1257">
        <v>0</v>
      </c>
    </row>
    <row r="1258" spans="1:25" x14ac:dyDescent="0.3">
      <c r="A1258">
        <v>1257</v>
      </c>
      <c r="B1258">
        <v>230000</v>
      </c>
      <c r="C1258">
        <v>1</v>
      </c>
      <c r="D1258">
        <v>1</v>
      </c>
      <c r="E1258">
        <v>2</v>
      </c>
      <c r="F1258">
        <v>26</v>
      </c>
      <c r="G1258">
        <v>-2</v>
      </c>
      <c r="H1258">
        <v>-2</v>
      </c>
      <c r="I1258">
        <v>-2</v>
      </c>
      <c r="J1258">
        <v>-2</v>
      </c>
      <c r="K1258">
        <v>-2</v>
      </c>
      <c r="L1258">
        <v>-2</v>
      </c>
      <c r="M1258">
        <v>416</v>
      </c>
      <c r="N1258">
        <v>371</v>
      </c>
      <c r="O1258">
        <v>416</v>
      </c>
      <c r="P1258">
        <v>416</v>
      </c>
      <c r="Q1258">
        <v>566</v>
      </c>
      <c r="R1258">
        <v>416</v>
      </c>
      <c r="S1258">
        <v>371</v>
      </c>
      <c r="T1258">
        <v>461</v>
      </c>
      <c r="U1258">
        <v>416</v>
      </c>
      <c r="V1258">
        <v>566</v>
      </c>
      <c r="W1258">
        <v>416</v>
      </c>
      <c r="X1258">
        <v>0</v>
      </c>
      <c r="Y1258">
        <v>0</v>
      </c>
    </row>
    <row r="1259" spans="1:25" x14ac:dyDescent="0.3">
      <c r="A1259">
        <v>1258</v>
      </c>
      <c r="B1259">
        <v>180000</v>
      </c>
      <c r="C1259">
        <v>2</v>
      </c>
      <c r="D1259">
        <v>1</v>
      </c>
      <c r="E1259">
        <v>2</v>
      </c>
      <c r="F1259">
        <v>28</v>
      </c>
      <c r="G1259">
        <v>-1</v>
      </c>
      <c r="H1259">
        <v>-1</v>
      </c>
      <c r="I1259">
        <v>-1</v>
      </c>
      <c r="J1259">
        <v>-1</v>
      </c>
      <c r="K1259">
        <v>-1</v>
      </c>
      <c r="L1259">
        <v>0</v>
      </c>
      <c r="M1259">
        <v>950</v>
      </c>
      <c r="N1259">
        <v>4369</v>
      </c>
      <c r="O1259">
        <v>9673</v>
      </c>
      <c r="P1259">
        <v>2861</v>
      </c>
      <c r="Q1259">
        <v>12338</v>
      </c>
      <c r="R1259">
        <v>9124</v>
      </c>
      <c r="S1259">
        <v>4369</v>
      </c>
      <c r="T1259">
        <v>9673</v>
      </c>
      <c r="U1259">
        <v>3260</v>
      </c>
      <c r="V1259">
        <v>13959</v>
      </c>
      <c r="W1259">
        <v>3000</v>
      </c>
      <c r="X1259">
        <v>18396</v>
      </c>
      <c r="Y1259">
        <v>0</v>
      </c>
    </row>
    <row r="1260" spans="1:25" x14ac:dyDescent="0.3">
      <c r="A1260">
        <v>1259</v>
      </c>
      <c r="B1260">
        <v>210000</v>
      </c>
      <c r="C1260">
        <v>1</v>
      </c>
      <c r="D1260">
        <v>1</v>
      </c>
      <c r="E1260">
        <v>2</v>
      </c>
      <c r="F1260">
        <v>33</v>
      </c>
      <c r="G1260">
        <v>-1</v>
      </c>
      <c r="H1260">
        <v>-1</v>
      </c>
      <c r="I1260">
        <v>-1</v>
      </c>
      <c r="J1260">
        <v>-1</v>
      </c>
      <c r="K1260">
        <v>-1</v>
      </c>
      <c r="L1260">
        <v>-1</v>
      </c>
      <c r="M1260">
        <v>291</v>
      </c>
      <c r="N1260">
        <v>291</v>
      </c>
      <c r="O1260">
        <v>291</v>
      </c>
      <c r="P1260">
        <v>291</v>
      </c>
      <c r="Q1260">
        <v>441</v>
      </c>
      <c r="R1260">
        <v>291</v>
      </c>
      <c r="S1260">
        <v>291</v>
      </c>
      <c r="T1260">
        <v>291</v>
      </c>
      <c r="U1260">
        <v>291</v>
      </c>
      <c r="V1260">
        <v>441</v>
      </c>
      <c r="W1260">
        <v>291</v>
      </c>
      <c r="X1260">
        <v>291</v>
      </c>
      <c r="Y1260">
        <v>0</v>
      </c>
    </row>
    <row r="1261" spans="1:25" x14ac:dyDescent="0.3">
      <c r="A1261">
        <v>1260</v>
      </c>
      <c r="B1261">
        <v>50000</v>
      </c>
      <c r="C1261">
        <v>1</v>
      </c>
      <c r="D1261">
        <v>1</v>
      </c>
      <c r="E1261">
        <v>2</v>
      </c>
      <c r="F1261">
        <v>24</v>
      </c>
      <c r="G1261">
        <v>2</v>
      </c>
      <c r="H1261">
        <v>2</v>
      </c>
      <c r="I1261">
        <v>0</v>
      </c>
      <c r="J1261">
        <v>0</v>
      </c>
      <c r="K1261">
        <v>0</v>
      </c>
      <c r="L1261">
        <v>0</v>
      </c>
      <c r="M1261">
        <v>49946</v>
      </c>
      <c r="N1261">
        <v>48808</v>
      </c>
      <c r="O1261">
        <v>45469</v>
      </c>
      <c r="P1261">
        <v>20228</v>
      </c>
      <c r="Q1261">
        <v>18900</v>
      </c>
      <c r="R1261">
        <v>19066</v>
      </c>
      <c r="S1261">
        <v>0</v>
      </c>
      <c r="T1261">
        <v>2079</v>
      </c>
      <c r="U1261">
        <v>693</v>
      </c>
      <c r="V1261">
        <v>1080</v>
      </c>
      <c r="W1261">
        <v>700</v>
      </c>
      <c r="X1261">
        <v>1004</v>
      </c>
      <c r="Y1261">
        <v>0</v>
      </c>
    </row>
    <row r="1262" spans="1:25" x14ac:dyDescent="0.3">
      <c r="A1262">
        <v>1261</v>
      </c>
      <c r="B1262">
        <v>150000</v>
      </c>
      <c r="C1262">
        <v>1</v>
      </c>
      <c r="D1262">
        <v>1</v>
      </c>
      <c r="E1262">
        <v>2</v>
      </c>
      <c r="F1262">
        <v>37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45000</v>
      </c>
      <c r="N1262">
        <v>44386</v>
      </c>
      <c r="O1262">
        <v>46505</v>
      </c>
      <c r="P1262">
        <v>49103</v>
      </c>
      <c r="Q1262">
        <v>51698</v>
      </c>
      <c r="R1262">
        <v>52549</v>
      </c>
      <c r="S1262">
        <v>3000</v>
      </c>
      <c r="T1262">
        <v>2500</v>
      </c>
      <c r="U1262">
        <v>3000</v>
      </c>
      <c r="V1262">
        <v>3000</v>
      </c>
      <c r="W1262">
        <v>1546</v>
      </c>
      <c r="X1262">
        <v>2000</v>
      </c>
      <c r="Y1262">
        <v>0</v>
      </c>
    </row>
    <row r="1263" spans="1:25" x14ac:dyDescent="0.3">
      <c r="A1263">
        <v>1262</v>
      </c>
      <c r="B1263">
        <v>380000</v>
      </c>
      <c r="C1263">
        <v>1</v>
      </c>
      <c r="D1263">
        <v>2</v>
      </c>
      <c r="E1263">
        <v>1</v>
      </c>
      <c r="F1263">
        <v>50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385662</v>
      </c>
      <c r="N1263">
        <v>294826</v>
      </c>
      <c r="O1263">
        <v>220022</v>
      </c>
      <c r="P1263">
        <v>154283</v>
      </c>
      <c r="Q1263">
        <v>35270</v>
      </c>
      <c r="R1263">
        <v>332270</v>
      </c>
      <c r="S1263">
        <v>12020</v>
      </c>
      <c r="T1263">
        <v>9009</v>
      </c>
      <c r="U1263">
        <v>6109</v>
      </c>
      <c r="V1263">
        <v>3000</v>
      </c>
      <c r="W1263">
        <v>332000</v>
      </c>
      <c r="X1263">
        <v>12000</v>
      </c>
      <c r="Y1263">
        <v>1</v>
      </c>
    </row>
    <row r="1264" spans="1:25" x14ac:dyDescent="0.3">
      <c r="A1264">
        <v>1263</v>
      </c>
      <c r="B1264">
        <v>50000</v>
      </c>
      <c r="C1264">
        <v>1</v>
      </c>
      <c r="D1264">
        <v>2</v>
      </c>
      <c r="E1264">
        <v>1</v>
      </c>
      <c r="F1264">
        <v>44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45335</v>
      </c>
      <c r="N1264">
        <v>46027</v>
      </c>
      <c r="O1264">
        <v>30286</v>
      </c>
      <c r="P1264">
        <v>26275</v>
      </c>
      <c r="Q1264">
        <v>26823</v>
      </c>
      <c r="R1264">
        <v>27371</v>
      </c>
      <c r="S1264">
        <v>1524</v>
      </c>
      <c r="T1264">
        <v>1427</v>
      </c>
      <c r="U1264">
        <v>941</v>
      </c>
      <c r="V1264">
        <v>972</v>
      </c>
      <c r="W1264">
        <v>992</v>
      </c>
      <c r="X1264">
        <v>1000</v>
      </c>
      <c r="Y1264">
        <v>0</v>
      </c>
    </row>
    <row r="1265" spans="1:25" x14ac:dyDescent="0.3">
      <c r="A1265">
        <v>1264</v>
      </c>
      <c r="B1265">
        <v>150000</v>
      </c>
      <c r="C1265">
        <v>2</v>
      </c>
      <c r="D1265">
        <v>3</v>
      </c>
      <c r="E1265">
        <v>1</v>
      </c>
      <c r="F1265">
        <v>43</v>
      </c>
      <c r="G1265">
        <v>-1</v>
      </c>
      <c r="H1265">
        <v>-1</v>
      </c>
      <c r="I1265">
        <v>2</v>
      </c>
      <c r="J1265">
        <v>0</v>
      </c>
      <c r="K1265">
        <v>-1</v>
      </c>
      <c r="L1265">
        <v>-1</v>
      </c>
      <c r="M1265">
        <v>264</v>
      </c>
      <c r="N1265">
        <v>948</v>
      </c>
      <c r="O1265">
        <v>632</v>
      </c>
      <c r="P1265">
        <v>316</v>
      </c>
      <c r="Q1265">
        <v>316</v>
      </c>
      <c r="R1265">
        <v>1414</v>
      </c>
      <c r="S1265">
        <v>1000</v>
      </c>
      <c r="T1265">
        <v>0</v>
      </c>
      <c r="U1265">
        <v>0</v>
      </c>
      <c r="V1265">
        <v>316</v>
      </c>
      <c r="W1265">
        <v>1414</v>
      </c>
      <c r="X1265">
        <v>0</v>
      </c>
      <c r="Y1265">
        <v>1</v>
      </c>
    </row>
    <row r="1266" spans="1:25" x14ac:dyDescent="0.3">
      <c r="A1266">
        <v>1265</v>
      </c>
      <c r="B1266">
        <v>220000</v>
      </c>
      <c r="C1266">
        <v>1</v>
      </c>
      <c r="D1266">
        <v>2</v>
      </c>
      <c r="E1266">
        <v>2</v>
      </c>
      <c r="F1266">
        <v>29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122286</v>
      </c>
      <c r="N1266">
        <v>122839</v>
      </c>
      <c r="O1266">
        <v>123035</v>
      </c>
      <c r="P1266">
        <v>114385</v>
      </c>
      <c r="Q1266">
        <v>115903</v>
      </c>
      <c r="R1266">
        <v>118528</v>
      </c>
      <c r="S1266">
        <v>5008</v>
      </c>
      <c r="T1266">
        <v>5007</v>
      </c>
      <c r="U1266">
        <v>6007</v>
      </c>
      <c r="V1266">
        <v>5000</v>
      </c>
      <c r="W1266">
        <v>4700</v>
      </c>
      <c r="X1266">
        <v>5503</v>
      </c>
      <c r="Y1266">
        <v>0</v>
      </c>
    </row>
    <row r="1267" spans="1:25" x14ac:dyDescent="0.3">
      <c r="A1267">
        <v>1266</v>
      </c>
      <c r="B1267">
        <v>80000</v>
      </c>
      <c r="C1267">
        <v>2</v>
      </c>
      <c r="D1267">
        <v>5</v>
      </c>
      <c r="E1267">
        <v>2</v>
      </c>
      <c r="F1267">
        <v>27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45268</v>
      </c>
      <c r="N1267">
        <v>47140</v>
      </c>
      <c r="O1267">
        <v>47411</v>
      </c>
      <c r="P1267">
        <v>48443</v>
      </c>
      <c r="Q1267">
        <v>49478</v>
      </c>
      <c r="R1267">
        <v>43264</v>
      </c>
      <c r="S1267">
        <v>2600</v>
      </c>
      <c r="T1267">
        <v>1800</v>
      </c>
      <c r="U1267">
        <v>1700</v>
      </c>
      <c r="V1267">
        <v>1700</v>
      </c>
      <c r="W1267">
        <v>1700</v>
      </c>
      <c r="X1267">
        <v>1300</v>
      </c>
      <c r="Y1267">
        <v>0</v>
      </c>
    </row>
    <row r="1268" spans="1:25" x14ac:dyDescent="0.3">
      <c r="A1268">
        <v>1267</v>
      </c>
      <c r="B1268">
        <v>220000</v>
      </c>
      <c r="C1268">
        <v>2</v>
      </c>
      <c r="D1268">
        <v>2</v>
      </c>
      <c r="E1268">
        <v>1</v>
      </c>
      <c r="F1268">
        <v>32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194961</v>
      </c>
      <c r="N1268">
        <v>197536</v>
      </c>
      <c r="O1268">
        <v>203251</v>
      </c>
      <c r="P1268">
        <v>208355</v>
      </c>
      <c r="Q1268">
        <v>213015</v>
      </c>
      <c r="R1268">
        <v>217475</v>
      </c>
      <c r="S1268">
        <v>7200</v>
      </c>
      <c r="T1268">
        <v>9000</v>
      </c>
      <c r="U1268">
        <v>10000</v>
      </c>
      <c r="V1268">
        <v>8000</v>
      </c>
      <c r="W1268">
        <v>8010</v>
      </c>
      <c r="X1268">
        <v>8500</v>
      </c>
      <c r="Y1268">
        <v>0</v>
      </c>
    </row>
    <row r="1269" spans="1:25" x14ac:dyDescent="0.3">
      <c r="A1269">
        <v>1268</v>
      </c>
      <c r="B1269">
        <v>70000</v>
      </c>
      <c r="C1269">
        <v>2</v>
      </c>
      <c r="D1269">
        <v>2</v>
      </c>
      <c r="E1269">
        <v>2</v>
      </c>
      <c r="F1269">
        <v>34</v>
      </c>
      <c r="G1269">
        <v>1</v>
      </c>
      <c r="H1269">
        <v>2</v>
      </c>
      <c r="I1269">
        <v>2</v>
      </c>
      <c r="J1269">
        <v>2</v>
      </c>
      <c r="K1269">
        <v>0</v>
      </c>
      <c r="L1269">
        <v>0</v>
      </c>
      <c r="M1269">
        <v>24208</v>
      </c>
      <c r="N1269">
        <v>25015</v>
      </c>
      <c r="O1269">
        <v>27189</v>
      </c>
      <c r="P1269">
        <v>26456</v>
      </c>
      <c r="Q1269">
        <v>28361</v>
      </c>
      <c r="R1269">
        <v>31873</v>
      </c>
      <c r="S1269">
        <v>1500</v>
      </c>
      <c r="T1269">
        <v>2900</v>
      </c>
      <c r="U1269">
        <v>0</v>
      </c>
      <c r="V1269">
        <v>2500</v>
      </c>
      <c r="W1269">
        <v>4000</v>
      </c>
      <c r="X1269">
        <v>0</v>
      </c>
      <c r="Y1269">
        <v>0</v>
      </c>
    </row>
    <row r="1270" spans="1:25" x14ac:dyDescent="0.3">
      <c r="A1270">
        <v>1269</v>
      </c>
      <c r="B1270">
        <v>120000</v>
      </c>
      <c r="C1270">
        <v>1</v>
      </c>
      <c r="D1270">
        <v>2</v>
      </c>
      <c r="E1270">
        <v>2</v>
      </c>
      <c r="F1270">
        <v>37</v>
      </c>
      <c r="G1270">
        <v>-1</v>
      </c>
      <c r="H1270">
        <v>2</v>
      </c>
      <c r="I1270">
        <v>0</v>
      </c>
      <c r="J1270">
        <v>0</v>
      </c>
      <c r="K1270">
        <v>0</v>
      </c>
      <c r="L1270">
        <v>2</v>
      </c>
      <c r="M1270">
        <v>16241</v>
      </c>
      <c r="N1270">
        <v>16680</v>
      </c>
      <c r="O1270">
        <v>17695</v>
      </c>
      <c r="P1270">
        <v>17901</v>
      </c>
      <c r="Q1270">
        <v>19608</v>
      </c>
      <c r="R1270">
        <v>19143</v>
      </c>
      <c r="S1270">
        <v>1000</v>
      </c>
      <c r="T1270">
        <v>1600</v>
      </c>
      <c r="U1270">
        <v>800</v>
      </c>
      <c r="V1270">
        <v>2000</v>
      </c>
      <c r="W1270">
        <v>0</v>
      </c>
      <c r="X1270">
        <v>1600</v>
      </c>
      <c r="Y1270">
        <v>1</v>
      </c>
    </row>
    <row r="1271" spans="1:25" x14ac:dyDescent="0.3">
      <c r="A1271">
        <v>1270</v>
      </c>
      <c r="B1271">
        <v>180000</v>
      </c>
      <c r="C1271">
        <v>2</v>
      </c>
      <c r="D1271">
        <v>2</v>
      </c>
      <c r="E1271">
        <v>2</v>
      </c>
      <c r="F1271">
        <v>32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20730</v>
      </c>
      <c r="N1271">
        <v>17107</v>
      </c>
      <c r="O1271">
        <v>35884</v>
      </c>
      <c r="P1271">
        <v>31057</v>
      </c>
      <c r="Q1271">
        <v>29052</v>
      </c>
      <c r="R1271">
        <v>25933</v>
      </c>
      <c r="S1271">
        <v>1582</v>
      </c>
      <c r="T1271">
        <v>30000</v>
      </c>
      <c r="U1271">
        <v>1000</v>
      </c>
      <c r="V1271">
        <v>1000</v>
      </c>
      <c r="W1271">
        <v>1000</v>
      </c>
      <c r="X1271">
        <v>1000</v>
      </c>
      <c r="Y1271">
        <v>0</v>
      </c>
    </row>
    <row r="1272" spans="1:25" x14ac:dyDescent="0.3">
      <c r="A1272">
        <v>1271</v>
      </c>
      <c r="B1272">
        <v>50000</v>
      </c>
      <c r="C1272">
        <v>2</v>
      </c>
      <c r="D1272">
        <v>3</v>
      </c>
      <c r="E1272">
        <v>1</v>
      </c>
      <c r="F1272">
        <v>57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49017</v>
      </c>
      <c r="N1272">
        <v>50690</v>
      </c>
      <c r="O1272">
        <v>47487</v>
      </c>
      <c r="P1272">
        <v>48319</v>
      </c>
      <c r="Q1272">
        <v>48449</v>
      </c>
      <c r="R1272">
        <v>49656</v>
      </c>
      <c r="S1272">
        <v>2500</v>
      </c>
      <c r="T1272">
        <v>2000</v>
      </c>
      <c r="U1272">
        <v>2000</v>
      </c>
      <c r="V1272">
        <v>1746</v>
      </c>
      <c r="W1272">
        <v>2000</v>
      </c>
      <c r="X1272">
        <v>1800</v>
      </c>
      <c r="Y1272">
        <v>0</v>
      </c>
    </row>
    <row r="1273" spans="1:25" x14ac:dyDescent="0.3">
      <c r="A1273">
        <v>1272</v>
      </c>
      <c r="B1273">
        <v>10000</v>
      </c>
      <c r="C1273">
        <v>2</v>
      </c>
      <c r="D1273">
        <v>2</v>
      </c>
      <c r="E1273">
        <v>3</v>
      </c>
      <c r="F1273">
        <v>46</v>
      </c>
      <c r="G1273">
        <v>1</v>
      </c>
      <c r="H1273">
        <v>2</v>
      </c>
      <c r="I1273">
        <v>0</v>
      </c>
      <c r="J1273">
        <v>0</v>
      </c>
      <c r="K1273">
        <v>0</v>
      </c>
      <c r="L1273">
        <v>0</v>
      </c>
      <c r="M1273">
        <v>9532</v>
      </c>
      <c r="N1273">
        <v>9236</v>
      </c>
      <c r="O1273">
        <v>10047</v>
      </c>
      <c r="P1273">
        <v>8775</v>
      </c>
      <c r="Q1273">
        <v>8984</v>
      </c>
      <c r="R1273">
        <v>7628</v>
      </c>
      <c r="S1273">
        <v>0</v>
      </c>
      <c r="T1273">
        <v>1006</v>
      </c>
      <c r="U1273">
        <v>1390</v>
      </c>
      <c r="V1273">
        <v>1000</v>
      </c>
      <c r="W1273">
        <v>1000</v>
      </c>
      <c r="X1273">
        <v>2000</v>
      </c>
      <c r="Y1273">
        <v>0</v>
      </c>
    </row>
    <row r="1274" spans="1:25" x14ac:dyDescent="0.3">
      <c r="A1274">
        <v>1273</v>
      </c>
      <c r="B1274">
        <v>370000</v>
      </c>
      <c r="C1274">
        <v>2</v>
      </c>
      <c r="D1274">
        <v>1</v>
      </c>
      <c r="E1274">
        <v>1</v>
      </c>
      <c r="F1274">
        <v>53</v>
      </c>
      <c r="G1274">
        <v>-1</v>
      </c>
      <c r="H1274">
        <v>-1</v>
      </c>
      <c r="I1274">
        <v>-1</v>
      </c>
      <c r="J1274">
        <v>-1</v>
      </c>
      <c r="K1274">
        <v>-1</v>
      </c>
      <c r="L1274">
        <v>0</v>
      </c>
      <c r="M1274">
        <v>21160</v>
      </c>
      <c r="N1274">
        <v>8153</v>
      </c>
      <c r="O1274">
        <v>12094</v>
      </c>
      <c r="P1274">
        <v>30751</v>
      </c>
      <c r="Q1274">
        <v>30131</v>
      </c>
      <c r="R1274">
        <v>9630</v>
      </c>
      <c r="S1274">
        <v>8162</v>
      </c>
      <c r="T1274">
        <v>12294</v>
      </c>
      <c r="U1274">
        <v>30751</v>
      </c>
      <c r="V1274">
        <v>30131</v>
      </c>
      <c r="W1274">
        <v>0</v>
      </c>
      <c r="X1274">
        <v>0</v>
      </c>
      <c r="Y1274">
        <v>0</v>
      </c>
    </row>
    <row r="1275" spans="1:25" x14ac:dyDescent="0.3">
      <c r="A1275">
        <v>1274</v>
      </c>
      <c r="B1275">
        <v>20000</v>
      </c>
      <c r="C1275">
        <v>2</v>
      </c>
      <c r="D1275">
        <v>1</v>
      </c>
      <c r="E1275">
        <v>2</v>
      </c>
      <c r="F1275">
        <v>26</v>
      </c>
      <c r="G1275">
        <v>-1</v>
      </c>
      <c r="H1275">
        <v>0</v>
      </c>
      <c r="I1275">
        <v>-1</v>
      </c>
      <c r="J1275">
        <v>-1</v>
      </c>
      <c r="K1275">
        <v>-1</v>
      </c>
      <c r="L1275">
        <v>-1</v>
      </c>
      <c r="M1275">
        <v>10658</v>
      </c>
      <c r="N1275">
        <v>9288</v>
      </c>
      <c r="O1275">
        <v>390</v>
      </c>
      <c r="P1275">
        <v>390</v>
      </c>
      <c r="Q1275">
        <v>390</v>
      </c>
      <c r="R1275">
        <v>0</v>
      </c>
      <c r="S1275">
        <v>1072</v>
      </c>
      <c r="T1275">
        <v>390</v>
      </c>
      <c r="U1275">
        <v>390</v>
      </c>
      <c r="V1275">
        <v>390</v>
      </c>
      <c r="W1275">
        <v>0</v>
      </c>
      <c r="X1275">
        <v>780</v>
      </c>
      <c r="Y1275">
        <v>0</v>
      </c>
    </row>
    <row r="1276" spans="1:25" x14ac:dyDescent="0.3">
      <c r="A1276">
        <v>1275</v>
      </c>
      <c r="B1276">
        <v>150000</v>
      </c>
      <c r="C1276">
        <v>1</v>
      </c>
      <c r="D1276">
        <v>2</v>
      </c>
      <c r="E1276">
        <v>1</v>
      </c>
      <c r="F1276">
        <v>34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132214</v>
      </c>
      <c r="N1276">
        <v>135140</v>
      </c>
      <c r="O1276">
        <v>135263</v>
      </c>
      <c r="P1276">
        <v>137540</v>
      </c>
      <c r="Q1276">
        <v>144786</v>
      </c>
      <c r="R1276">
        <v>146379</v>
      </c>
      <c r="S1276">
        <v>4414</v>
      </c>
      <c r="T1276">
        <v>4700</v>
      </c>
      <c r="U1276">
        <v>4306</v>
      </c>
      <c r="V1276">
        <v>10006</v>
      </c>
      <c r="W1276">
        <v>4822</v>
      </c>
      <c r="X1276">
        <v>4112</v>
      </c>
      <c r="Y1276">
        <v>0</v>
      </c>
    </row>
    <row r="1277" spans="1:25" x14ac:dyDescent="0.3">
      <c r="A1277">
        <v>1276</v>
      </c>
      <c r="B1277">
        <v>20000</v>
      </c>
      <c r="C1277">
        <v>1</v>
      </c>
      <c r="D1277">
        <v>1</v>
      </c>
      <c r="E1277">
        <v>2</v>
      </c>
      <c r="F1277">
        <v>26</v>
      </c>
      <c r="G1277">
        <v>-1</v>
      </c>
      <c r="H1277">
        <v>-1</v>
      </c>
      <c r="I1277">
        <v>-1</v>
      </c>
      <c r="J1277">
        <v>-1</v>
      </c>
      <c r="K1277">
        <v>-1</v>
      </c>
      <c r="L1277">
        <v>-1</v>
      </c>
      <c r="M1277">
        <v>416</v>
      </c>
      <c r="N1277">
        <v>416</v>
      </c>
      <c r="O1277">
        <v>416</v>
      </c>
      <c r="P1277">
        <v>416</v>
      </c>
      <c r="Q1277">
        <v>416</v>
      </c>
      <c r="R1277">
        <v>982</v>
      </c>
      <c r="S1277">
        <v>416</v>
      </c>
      <c r="T1277">
        <v>416</v>
      </c>
      <c r="U1277">
        <v>416</v>
      </c>
      <c r="V1277">
        <v>416</v>
      </c>
      <c r="W1277">
        <v>982</v>
      </c>
      <c r="X1277">
        <v>0</v>
      </c>
      <c r="Y1277">
        <v>1</v>
      </c>
    </row>
    <row r="1278" spans="1:25" x14ac:dyDescent="0.3">
      <c r="A1278">
        <v>1277</v>
      </c>
      <c r="B1278">
        <v>480000</v>
      </c>
      <c r="C1278">
        <v>2</v>
      </c>
      <c r="D1278">
        <v>2</v>
      </c>
      <c r="E1278">
        <v>1</v>
      </c>
      <c r="F1278">
        <v>54</v>
      </c>
      <c r="G1278">
        <v>-2</v>
      </c>
      <c r="H1278">
        <v>-2</v>
      </c>
      <c r="I1278">
        <v>-2</v>
      </c>
      <c r="J1278">
        <v>-2</v>
      </c>
      <c r="K1278">
        <v>-2</v>
      </c>
      <c r="L1278">
        <v>-2</v>
      </c>
      <c r="M1278">
        <v>17189</v>
      </c>
      <c r="N1278">
        <v>6013</v>
      </c>
      <c r="O1278">
        <v>1717</v>
      </c>
      <c r="P1278">
        <v>1385</v>
      </c>
      <c r="Q1278">
        <v>0</v>
      </c>
      <c r="R1278">
        <v>0</v>
      </c>
      <c r="S1278">
        <v>6026</v>
      </c>
      <c r="T1278">
        <v>1717</v>
      </c>
      <c r="U1278">
        <v>1390</v>
      </c>
      <c r="V1278">
        <v>0</v>
      </c>
      <c r="W1278">
        <v>0</v>
      </c>
      <c r="X1278">
        <v>2300</v>
      </c>
      <c r="Y1278">
        <v>0</v>
      </c>
    </row>
    <row r="1279" spans="1:25" x14ac:dyDescent="0.3">
      <c r="A1279">
        <v>1278</v>
      </c>
      <c r="B1279">
        <v>50000</v>
      </c>
      <c r="C1279">
        <v>1</v>
      </c>
      <c r="D1279">
        <v>3</v>
      </c>
      <c r="E1279">
        <v>2</v>
      </c>
      <c r="F1279">
        <v>26</v>
      </c>
      <c r="G1279">
        <v>0</v>
      </c>
      <c r="H1279">
        <v>0</v>
      </c>
      <c r="I1279">
        <v>0</v>
      </c>
      <c r="J1279">
        <v>0</v>
      </c>
      <c r="K1279">
        <v>2</v>
      </c>
      <c r="L1279">
        <v>0</v>
      </c>
      <c r="M1279">
        <v>25060</v>
      </c>
      <c r="N1279">
        <v>26649</v>
      </c>
      <c r="O1279">
        <v>28202</v>
      </c>
      <c r="P1279">
        <v>30727</v>
      </c>
      <c r="Q1279">
        <v>30098</v>
      </c>
      <c r="R1279">
        <v>32580</v>
      </c>
      <c r="S1279">
        <v>2000</v>
      </c>
      <c r="T1279">
        <v>2000</v>
      </c>
      <c r="U1279">
        <v>3000</v>
      </c>
      <c r="V1279">
        <v>0</v>
      </c>
      <c r="W1279">
        <v>3000</v>
      </c>
      <c r="X1279">
        <v>3000</v>
      </c>
      <c r="Y1279">
        <v>0</v>
      </c>
    </row>
    <row r="1280" spans="1:25" x14ac:dyDescent="0.3">
      <c r="A1280">
        <v>1279</v>
      </c>
      <c r="B1280">
        <v>170000</v>
      </c>
      <c r="C1280">
        <v>1</v>
      </c>
      <c r="D1280">
        <v>2</v>
      </c>
      <c r="E1280">
        <v>2</v>
      </c>
      <c r="F1280">
        <v>31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24581</v>
      </c>
      <c r="N1280">
        <v>25611</v>
      </c>
      <c r="O1280">
        <v>26631</v>
      </c>
      <c r="P1280">
        <v>27383</v>
      </c>
      <c r="Q1280">
        <v>27801</v>
      </c>
      <c r="R1280">
        <v>31337</v>
      </c>
      <c r="S1280">
        <v>1728</v>
      </c>
      <c r="T1280">
        <v>1748</v>
      </c>
      <c r="U1280">
        <v>1500</v>
      </c>
      <c r="V1280">
        <v>1011</v>
      </c>
      <c r="W1280">
        <v>4000</v>
      </c>
      <c r="X1280">
        <v>0</v>
      </c>
      <c r="Y1280">
        <v>0</v>
      </c>
    </row>
    <row r="1281" spans="1:25" x14ac:dyDescent="0.3">
      <c r="A1281">
        <v>1280</v>
      </c>
      <c r="B1281">
        <v>400000</v>
      </c>
      <c r="C1281">
        <v>2</v>
      </c>
      <c r="D1281">
        <v>2</v>
      </c>
      <c r="E1281">
        <v>2</v>
      </c>
      <c r="F1281">
        <v>30</v>
      </c>
      <c r="G1281">
        <v>-2</v>
      </c>
      <c r="H1281">
        <v>-2</v>
      </c>
      <c r="I1281">
        <v>-2</v>
      </c>
      <c r="J1281">
        <v>-2</v>
      </c>
      <c r="K1281">
        <v>-2</v>
      </c>
      <c r="L1281">
        <v>-2</v>
      </c>
      <c r="M1281">
        <v>-200</v>
      </c>
      <c r="N1281">
        <v>-200</v>
      </c>
      <c r="O1281">
        <v>-200</v>
      </c>
      <c r="P1281">
        <v>746</v>
      </c>
      <c r="Q1281">
        <v>3956</v>
      </c>
      <c r="R1281">
        <v>2500</v>
      </c>
      <c r="S1281">
        <v>0</v>
      </c>
      <c r="T1281">
        <v>0</v>
      </c>
      <c r="U1281">
        <v>946</v>
      </c>
      <c r="V1281">
        <v>3956</v>
      </c>
      <c r="W1281">
        <v>2500</v>
      </c>
      <c r="X1281">
        <v>0</v>
      </c>
      <c r="Y1281">
        <v>0</v>
      </c>
    </row>
    <row r="1282" spans="1:25" x14ac:dyDescent="0.3">
      <c r="A1282">
        <v>1281</v>
      </c>
      <c r="B1282">
        <v>200000</v>
      </c>
      <c r="C1282">
        <v>2</v>
      </c>
      <c r="D1282">
        <v>1</v>
      </c>
      <c r="E1282">
        <v>2</v>
      </c>
      <c r="F1282">
        <v>31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38635</v>
      </c>
      <c r="N1282">
        <v>41031</v>
      </c>
      <c r="O1282">
        <v>45929</v>
      </c>
      <c r="P1282">
        <v>48661</v>
      </c>
      <c r="Q1282">
        <v>49723</v>
      </c>
      <c r="R1282">
        <v>50896</v>
      </c>
      <c r="S1282">
        <v>3031</v>
      </c>
      <c r="T1282">
        <v>5929</v>
      </c>
      <c r="U1282">
        <v>3500</v>
      </c>
      <c r="V1282">
        <v>2000</v>
      </c>
      <c r="W1282">
        <v>2000</v>
      </c>
      <c r="X1282">
        <v>11028</v>
      </c>
      <c r="Y1282">
        <v>0</v>
      </c>
    </row>
    <row r="1283" spans="1:25" x14ac:dyDescent="0.3">
      <c r="A1283">
        <v>1282</v>
      </c>
      <c r="B1283">
        <v>360000</v>
      </c>
      <c r="C1283">
        <v>1</v>
      </c>
      <c r="D1283">
        <v>1</v>
      </c>
      <c r="E1283">
        <v>2</v>
      </c>
      <c r="F1283">
        <v>34</v>
      </c>
      <c r="G1283">
        <v>1</v>
      </c>
      <c r="H1283">
        <v>-2</v>
      </c>
      <c r="I1283">
        <v>-2</v>
      </c>
      <c r="J1283">
        <v>-2</v>
      </c>
      <c r="K1283">
        <v>-2</v>
      </c>
      <c r="L1283">
        <v>-1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150</v>
      </c>
      <c r="S1283">
        <v>0</v>
      </c>
      <c r="T1283">
        <v>0</v>
      </c>
      <c r="U1283">
        <v>0</v>
      </c>
      <c r="V1283">
        <v>0</v>
      </c>
      <c r="W1283">
        <v>150</v>
      </c>
      <c r="X1283">
        <v>59</v>
      </c>
      <c r="Y1283">
        <v>0</v>
      </c>
    </row>
    <row r="1284" spans="1:25" x14ac:dyDescent="0.3">
      <c r="A1284">
        <v>1283</v>
      </c>
      <c r="B1284">
        <v>140000</v>
      </c>
      <c r="C1284">
        <v>2</v>
      </c>
      <c r="D1284">
        <v>5</v>
      </c>
      <c r="E1284">
        <v>2</v>
      </c>
      <c r="F1284">
        <v>36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91226</v>
      </c>
      <c r="N1284">
        <v>83650</v>
      </c>
      <c r="O1284">
        <v>80037</v>
      </c>
      <c r="P1284">
        <v>53055</v>
      </c>
      <c r="Q1284">
        <v>102587</v>
      </c>
      <c r="R1284">
        <v>98251</v>
      </c>
      <c r="S1284">
        <v>4182</v>
      </c>
      <c r="T1284">
        <v>4000</v>
      </c>
      <c r="U1284">
        <v>4000</v>
      </c>
      <c r="V1284">
        <v>98000</v>
      </c>
      <c r="W1284">
        <v>4000</v>
      </c>
      <c r="X1284">
        <v>3500</v>
      </c>
      <c r="Y1284">
        <v>0</v>
      </c>
    </row>
    <row r="1285" spans="1:25" x14ac:dyDescent="0.3">
      <c r="A1285">
        <v>1284</v>
      </c>
      <c r="B1285">
        <v>260000</v>
      </c>
      <c r="C1285">
        <v>1</v>
      </c>
      <c r="D1285">
        <v>3</v>
      </c>
      <c r="E1285">
        <v>1</v>
      </c>
      <c r="F1285">
        <v>34</v>
      </c>
      <c r="G1285">
        <v>-2</v>
      </c>
      <c r="H1285">
        <v>-2</v>
      </c>
      <c r="I1285">
        <v>-2</v>
      </c>
      <c r="J1285">
        <v>-2</v>
      </c>
      <c r="K1285">
        <v>-2</v>
      </c>
      <c r="L1285">
        <v>-2</v>
      </c>
      <c r="M1285">
        <v>12071</v>
      </c>
      <c r="N1285">
        <v>12497</v>
      </c>
      <c r="O1285">
        <v>1027</v>
      </c>
      <c r="P1285">
        <v>-103</v>
      </c>
      <c r="Q1285">
        <v>-103</v>
      </c>
      <c r="R1285">
        <v>1047</v>
      </c>
      <c r="S1285">
        <v>2114</v>
      </c>
      <c r="T1285">
        <v>1027</v>
      </c>
      <c r="U1285">
        <v>103</v>
      </c>
      <c r="V1285">
        <v>0</v>
      </c>
      <c r="W1285">
        <v>1150</v>
      </c>
      <c r="X1285">
        <v>2503</v>
      </c>
      <c r="Y1285">
        <v>0</v>
      </c>
    </row>
    <row r="1286" spans="1:25" x14ac:dyDescent="0.3">
      <c r="A1286">
        <v>1285</v>
      </c>
      <c r="B1286">
        <v>440000</v>
      </c>
      <c r="C1286">
        <v>2</v>
      </c>
      <c r="D1286">
        <v>2</v>
      </c>
      <c r="E1286">
        <v>2</v>
      </c>
      <c r="F1286">
        <v>26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96190</v>
      </c>
      <c r="N1286">
        <v>90462</v>
      </c>
      <c r="O1286">
        <v>78267</v>
      </c>
      <c r="P1286">
        <v>71795</v>
      </c>
      <c r="Q1286">
        <v>51812</v>
      </c>
      <c r="R1286">
        <v>25064</v>
      </c>
      <c r="S1286">
        <v>3513</v>
      </c>
      <c r="T1286">
        <v>3017</v>
      </c>
      <c r="U1286">
        <v>2037</v>
      </c>
      <c r="V1286">
        <v>2019</v>
      </c>
      <c r="W1286">
        <v>3010</v>
      </c>
      <c r="X1286">
        <v>3004</v>
      </c>
      <c r="Y1286">
        <v>0</v>
      </c>
    </row>
    <row r="1287" spans="1:25" x14ac:dyDescent="0.3">
      <c r="A1287">
        <v>1286</v>
      </c>
      <c r="B1287">
        <v>500000</v>
      </c>
      <c r="C1287">
        <v>1</v>
      </c>
      <c r="D1287">
        <v>2</v>
      </c>
      <c r="E1287">
        <v>1</v>
      </c>
      <c r="F1287">
        <v>43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12200</v>
      </c>
      <c r="N1287">
        <v>8140</v>
      </c>
      <c r="O1287">
        <v>10176</v>
      </c>
      <c r="P1287">
        <v>20719</v>
      </c>
      <c r="Q1287">
        <v>15665</v>
      </c>
      <c r="R1287">
        <v>8074</v>
      </c>
      <c r="S1287">
        <v>1518</v>
      </c>
      <c r="T1287">
        <v>5019</v>
      </c>
      <c r="U1287">
        <v>15027</v>
      </c>
      <c r="V1287">
        <v>639</v>
      </c>
      <c r="W1287">
        <v>547</v>
      </c>
      <c r="X1287">
        <v>50274</v>
      </c>
      <c r="Y1287">
        <v>0</v>
      </c>
    </row>
    <row r="1288" spans="1:25" x14ac:dyDescent="0.3">
      <c r="A1288">
        <v>1287</v>
      </c>
      <c r="B1288">
        <v>230000</v>
      </c>
      <c r="C1288">
        <v>2</v>
      </c>
      <c r="D1288">
        <v>2</v>
      </c>
      <c r="E1288">
        <v>1</v>
      </c>
      <c r="F1288">
        <v>29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64982</v>
      </c>
      <c r="N1288">
        <v>44908</v>
      </c>
      <c r="O1288">
        <v>51535</v>
      </c>
      <c r="P1288">
        <v>24607</v>
      </c>
      <c r="Q1288">
        <v>28279</v>
      </c>
      <c r="R1288">
        <v>48934</v>
      </c>
      <c r="S1288">
        <v>3000</v>
      </c>
      <c r="T1288">
        <v>11000</v>
      </c>
      <c r="U1288">
        <v>15000</v>
      </c>
      <c r="V1288">
        <v>13000</v>
      </c>
      <c r="W1288">
        <v>36000</v>
      </c>
      <c r="X1288">
        <v>3000</v>
      </c>
      <c r="Y1288">
        <v>0</v>
      </c>
    </row>
    <row r="1289" spans="1:25" x14ac:dyDescent="0.3">
      <c r="A1289">
        <v>1288</v>
      </c>
      <c r="B1289">
        <v>470000</v>
      </c>
      <c r="C1289">
        <v>1</v>
      </c>
      <c r="D1289">
        <v>2</v>
      </c>
      <c r="E1289">
        <v>1</v>
      </c>
      <c r="F1289">
        <v>41</v>
      </c>
      <c r="G1289">
        <v>-2</v>
      </c>
      <c r="H1289">
        <v>-2</v>
      </c>
      <c r="I1289">
        <v>-2</v>
      </c>
      <c r="J1289">
        <v>-2</v>
      </c>
      <c r="K1289">
        <v>-2</v>
      </c>
      <c r="L1289">
        <v>-1</v>
      </c>
      <c r="M1289">
        <v>13780</v>
      </c>
      <c r="N1289">
        <v>12242</v>
      </c>
      <c r="O1289">
        <v>32463</v>
      </c>
      <c r="P1289">
        <v>20621</v>
      </c>
      <c r="Q1289">
        <v>13711</v>
      </c>
      <c r="R1289">
        <v>8294</v>
      </c>
      <c r="S1289">
        <v>12300</v>
      </c>
      <c r="T1289">
        <v>32520</v>
      </c>
      <c r="U1289">
        <v>34</v>
      </c>
      <c r="V1289">
        <v>68</v>
      </c>
      <c r="W1289">
        <v>8334</v>
      </c>
      <c r="X1289">
        <v>45684</v>
      </c>
      <c r="Y1289">
        <v>0</v>
      </c>
    </row>
    <row r="1290" spans="1:25" x14ac:dyDescent="0.3">
      <c r="A1290">
        <v>1289</v>
      </c>
      <c r="B1290">
        <v>20000</v>
      </c>
      <c r="C1290">
        <v>2</v>
      </c>
      <c r="D1290">
        <v>3</v>
      </c>
      <c r="E1290">
        <v>1</v>
      </c>
      <c r="F1290">
        <v>48</v>
      </c>
      <c r="G1290">
        <v>1</v>
      </c>
      <c r="H1290">
        <v>2</v>
      </c>
      <c r="I1290">
        <v>2</v>
      </c>
      <c r="J1290">
        <v>3</v>
      </c>
      <c r="K1290">
        <v>2</v>
      </c>
      <c r="L1290">
        <v>2</v>
      </c>
      <c r="M1290">
        <v>14589</v>
      </c>
      <c r="N1290">
        <v>16743</v>
      </c>
      <c r="O1290">
        <v>17522</v>
      </c>
      <c r="P1290">
        <v>17055</v>
      </c>
      <c r="Q1290">
        <v>10400</v>
      </c>
      <c r="R1290">
        <v>0</v>
      </c>
      <c r="S1290">
        <v>2700</v>
      </c>
      <c r="T1290">
        <v>1400</v>
      </c>
      <c r="U1290">
        <v>0</v>
      </c>
      <c r="V1290">
        <v>0</v>
      </c>
      <c r="W1290">
        <v>0</v>
      </c>
      <c r="X1290">
        <v>0</v>
      </c>
      <c r="Y1290">
        <v>1</v>
      </c>
    </row>
    <row r="1291" spans="1:25" x14ac:dyDescent="0.3">
      <c r="A1291">
        <v>1290</v>
      </c>
      <c r="B1291">
        <v>210000</v>
      </c>
      <c r="C1291">
        <v>2</v>
      </c>
      <c r="D1291">
        <v>2</v>
      </c>
      <c r="E1291">
        <v>2</v>
      </c>
      <c r="F1291">
        <v>24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108491</v>
      </c>
      <c r="N1291">
        <v>111046</v>
      </c>
      <c r="O1291">
        <v>110716</v>
      </c>
      <c r="P1291">
        <v>97168</v>
      </c>
      <c r="Q1291">
        <v>94524</v>
      </c>
      <c r="R1291">
        <v>96777</v>
      </c>
      <c r="S1291">
        <v>5800</v>
      </c>
      <c r="T1291">
        <v>3700</v>
      </c>
      <c r="U1291">
        <v>3505</v>
      </c>
      <c r="V1291">
        <v>3400</v>
      </c>
      <c r="W1291">
        <v>3769</v>
      </c>
      <c r="X1291">
        <v>3229</v>
      </c>
      <c r="Y1291">
        <v>0</v>
      </c>
    </row>
    <row r="1292" spans="1:25" x14ac:dyDescent="0.3">
      <c r="A1292">
        <v>1291</v>
      </c>
      <c r="B1292">
        <v>20000</v>
      </c>
      <c r="C1292">
        <v>2</v>
      </c>
      <c r="D1292">
        <v>1</v>
      </c>
      <c r="E1292">
        <v>2</v>
      </c>
      <c r="F1292">
        <v>23</v>
      </c>
      <c r="G1292">
        <v>0</v>
      </c>
      <c r="H1292">
        <v>0</v>
      </c>
      <c r="I1292">
        <v>-2</v>
      </c>
      <c r="J1292">
        <v>-1</v>
      </c>
      <c r="K1292">
        <v>0</v>
      </c>
      <c r="L1292">
        <v>0</v>
      </c>
      <c r="M1292">
        <v>6733</v>
      </c>
      <c r="N1292">
        <v>0</v>
      </c>
      <c r="O1292">
        <v>0</v>
      </c>
      <c r="P1292">
        <v>19132</v>
      </c>
      <c r="Q1292">
        <v>19533</v>
      </c>
      <c r="R1292">
        <v>20235</v>
      </c>
      <c r="S1292">
        <v>0</v>
      </c>
      <c r="T1292">
        <v>0</v>
      </c>
      <c r="U1292">
        <v>19132</v>
      </c>
      <c r="V1292">
        <v>709</v>
      </c>
      <c r="W1292">
        <v>1027</v>
      </c>
      <c r="X1292">
        <v>600</v>
      </c>
      <c r="Y1292">
        <v>0</v>
      </c>
    </row>
    <row r="1293" spans="1:25" x14ac:dyDescent="0.3">
      <c r="A1293">
        <v>1292</v>
      </c>
      <c r="B1293">
        <v>20000</v>
      </c>
      <c r="C1293">
        <v>2</v>
      </c>
      <c r="D1293">
        <v>3</v>
      </c>
      <c r="E1293">
        <v>1</v>
      </c>
      <c r="F1293">
        <v>53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12197</v>
      </c>
      <c r="N1293">
        <v>13292</v>
      </c>
      <c r="O1293">
        <v>14362</v>
      </c>
      <c r="P1293">
        <v>14821</v>
      </c>
      <c r="Q1293">
        <v>15143</v>
      </c>
      <c r="R1293">
        <v>15737</v>
      </c>
      <c r="S1293">
        <v>1600</v>
      </c>
      <c r="T1293">
        <v>1600</v>
      </c>
      <c r="U1293">
        <v>1000</v>
      </c>
      <c r="V1293">
        <v>710</v>
      </c>
      <c r="W1293">
        <v>1000</v>
      </c>
      <c r="X1293">
        <v>1000</v>
      </c>
      <c r="Y1293">
        <v>0</v>
      </c>
    </row>
    <row r="1294" spans="1:25" x14ac:dyDescent="0.3">
      <c r="A1294">
        <v>1293</v>
      </c>
      <c r="B1294">
        <v>200000</v>
      </c>
      <c r="C1294">
        <v>2</v>
      </c>
      <c r="D1294">
        <v>2</v>
      </c>
      <c r="E1294">
        <v>1</v>
      </c>
      <c r="F1294">
        <v>34</v>
      </c>
      <c r="G1294">
        <v>1</v>
      </c>
      <c r="H1294">
        <v>-1</v>
      </c>
      <c r="I1294">
        <v>-1</v>
      </c>
      <c r="J1294">
        <v>-1</v>
      </c>
      <c r="K1294">
        <v>-1</v>
      </c>
      <c r="L1294">
        <v>-1</v>
      </c>
      <c r="M1294">
        <v>-2</v>
      </c>
      <c r="N1294">
        <v>758</v>
      </c>
      <c r="O1294">
        <v>998</v>
      </c>
      <c r="P1294">
        <v>668</v>
      </c>
      <c r="Q1294">
        <v>9815</v>
      </c>
      <c r="R1294">
        <v>36870</v>
      </c>
      <c r="S1294">
        <v>760</v>
      </c>
      <c r="T1294">
        <v>1000</v>
      </c>
      <c r="U1294">
        <v>670</v>
      </c>
      <c r="V1294">
        <v>9852</v>
      </c>
      <c r="W1294">
        <v>40063</v>
      </c>
      <c r="X1294">
        <v>1049</v>
      </c>
      <c r="Y1294">
        <v>0</v>
      </c>
    </row>
    <row r="1295" spans="1:25" x14ac:dyDescent="0.3">
      <c r="A1295">
        <v>1294</v>
      </c>
      <c r="B1295">
        <v>250000</v>
      </c>
      <c r="C1295">
        <v>2</v>
      </c>
      <c r="D1295">
        <v>2</v>
      </c>
      <c r="E1295">
        <v>2</v>
      </c>
      <c r="F1295">
        <v>36</v>
      </c>
      <c r="G1295">
        <v>0</v>
      </c>
      <c r="H1295">
        <v>-1</v>
      </c>
      <c r="I1295">
        <v>-1</v>
      </c>
      <c r="J1295">
        <v>0</v>
      </c>
      <c r="K1295">
        <v>0</v>
      </c>
      <c r="L1295">
        <v>0</v>
      </c>
      <c r="M1295">
        <v>6220</v>
      </c>
      <c r="N1295">
        <v>27217</v>
      </c>
      <c r="O1295">
        <v>6149</v>
      </c>
      <c r="P1295">
        <v>26202</v>
      </c>
      <c r="Q1295">
        <v>6906</v>
      </c>
      <c r="R1295">
        <v>3855</v>
      </c>
      <c r="S1295">
        <v>27225</v>
      </c>
      <c r="T1295">
        <v>6159</v>
      </c>
      <c r="U1295">
        <v>25846</v>
      </c>
      <c r="V1295">
        <v>0</v>
      </c>
      <c r="W1295">
        <v>3855</v>
      </c>
      <c r="X1295">
        <v>3876</v>
      </c>
      <c r="Y1295">
        <v>1</v>
      </c>
    </row>
    <row r="1296" spans="1:25" x14ac:dyDescent="0.3">
      <c r="A1296">
        <v>1295</v>
      </c>
      <c r="B1296">
        <v>300000</v>
      </c>
      <c r="C1296">
        <v>1</v>
      </c>
      <c r="D1296">
        <v>2</v>
      </c>
      <c r="E1296">
        <v>2</v>
      </c>
      <c r="F1296">
        <v>41</v>
      </c>
      <c r="G1296">
        <v>0</v>
      </c>
      <c r="H1296">
        <v>0</v>
      </c>
      <c r="I1296">
        <v>0</v>
      </c>
      <c r="J1296">
        <v>-1</v>
      </c>
      <c r="K1296">
        <v>-1</v>
      </c>
      <c r="L1296">
        <v>2</v>
      </c>
      <c r="M1296">
        <v>34480</v>
      </c>
      <c r="N1296">
        <v>31159</v>
      </c>
      <c r="O1296">
        <v>18580</v>
      </c>
      <c r="P1296">
        <v>1400</v>
      </c>
      <c r="Q1296">
        <v>6297</v>
      </c>
      <c r="R1296">
        <v>977</v>
      </c>
      <c r="S1296">
        <v>1472</v>
      </c>
      <c r="T1296">
        <v>1000</v>
      </c>
      <c r="U1296">
        <v>1410</v>
      </c>
      <c r="V1296">
        <v>6297</v>
      </c>
      <c r="W1296">
        <v>0</v>
      </c>
      <c r="X1296">
        <v>19480</v>
      </c>
      <c r="Y1296">
        <v>0</v>
      </c>
    </row>
    <row r="1297" spans="1:25" x14ac:dyDescent="0.3">
      <c r="A1297">
        <v>1296</v>
      </c>
      <c r="B1297">
        <v>320000</v>
      </c>
      <c r="C1297">
        <v>2</v>
      </c>
      <c r="D1297">
        <v>1</v>
      </c>
      <c r="E1297">
        <v>2</v>
      </c>
      <c r="F1297">
        <v>30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113801</v>
      </c>
      <c r="N1297">
        <v>90354</v>
      </c>
      <c r="O1297">
        <v>88467</v>
      </c>
      <c r="P1297">
        <v>79241</v>
      </c>
      <c r="Q1297">
        <v>83530</v>
      </c>
      <c r="R1297">
        <v>90573</v>
      </c>
      <c r="S1297">
        <v>5017</v>
      </c>
      <c r="T1297">
        <v>4057</v>
      </c>
      <c r="U1297">
        <v>4014</v>
      </c>
      <c r="V1297">
        <v>8531</v>
      </c>
      <c r="W1297">
        <v>15005</v>
      </c>
      <c r="X1297">
        <v>5033</v>
      </c>
      <c r="Y1297">
        <v>0</v>
      </c>
    </row>
    <row r="1298" spans="1:25" x14ac:dyDescent="0.3">
      <c r="A1298">
        <v>1297</v>
      </c>
      <c r="B1298">
        <v>50000</v>
      </c>
      <c r="C1298">
        <v>1</v>
      </c>
      <c r="D1298">
        <v>2</v>
      </c>
      <c r="E1298">
        <v>2</v>
      </c>
      <c r="F1298">
        <v>29</v>
      </c>
      <c r="G1298">
        <v>1</v>
      </c>
      <c r="H1298">
        <v>2</v>
      </c>
      <c r="I1298">
        <v>2</v>
      </c>
      <c r="J1298">
        <v>2</v>
      </c>
      <c r="K1298">
        <v>0</v>
      </c>
      <c r="L1298">
        <v>0</v>
      </c>
      <c r="M1298">
        <v>37170</v>
      </c>
      <c r="N1298">
        <v>36297</v>
      </c>
      <c r="O1298">
        <v>39863</v>
      </c>
      <c r="P1298">
        <v>38924</v>
      </c>
      <c r="Q1298">
        <v>39744</v>
      </c>
      <c r="R1298">
        <v>40533</v>
      </c>
      <c r="S1298">
        <v>0</v>
      </c>
      <c r="T1298">
        <v>4500</v>
      </c>
      <c r="U1298">
        <v>0</v>
      </c>
      <c r="V1298">
        <v>1600</v>
      </c>
      <c r="W1298">
        <v>1600</v>
      </c>
      <c r="X1298">
        <v>1600</v>
      </c>
      <c r="Y1298">
        <v>0</v>
      </c>
    </row>
    <row r="1299" spans="1:25" x14ac:dyDescent="0.3">
      <c r="A1299">
        <v>1298</v>
      </c>
      <c r="B1299">
        <v>200000</v>
      </c>
      <c r="C1299">
        <v>2</v>
      </c>
      <c r="D1299">
        <v>2</v>
      </c>
      <c r="E1299">
        <v>1</v>
      </c>
      <c r="F1299">
        <v>34</v>
      </c>
      <c r="G1299">
        <v>-2</v>
      </c>
      <c r="H1299">
        <v>-2</v>
      </c>
      <c r="I1299">
        <v>-2</v>
      </c>
      <c r="J1299">
        <v>-1</v>
      </c>
      <c r="K1299">
        <v>-1</v>
      </c>
      <c r="L1299">
        <v>-1</v>
      </c>
      <c r="M1299">
        <v>6626</v>
      </c>
      <c r="N1299">
        <v>2469</v>
      </c>
      <c r="O1299">
        <v>3760</v>
      </c>
      <c r="P1299">
        <v>4273</v>
      </c>
      <c r="Q1299">
        <v>3015</v>
      </c>
      <c r="R1299">
        <v>5076</v>
      </c>
      <c r="S1299">
        <v>2476</v>
      </c>
      <c r="T1299">
        <v>3771</v>
      </c>
      <c r="U1299">
        <v>4285</v>
      </c>
      <c r="V1299">
        <v>3023</v>
      </c>
      <c r="W1299">
        <v>5088</v>
      </c>
      <c r="X1299">
        <v>6282</v>
      </c>
      <c r="Y1299">
        <v>0</v>
      </c>
    </row>
    <row r="1300" spans="1:25" x14ac:dyDescent="0.3">
      <c r="A1300">
        <v>1299</v>
      </c>
      <c r="B1300">
        <v>80000</v>
      </c>
      <c r="C1300">
        <v>2</v>
      </c>
      <c r="D1300">
        <v>1</v>
      </c>
      <c r="E1300">
        <v>2</v>
      </c>
      <c r="F1300">
        <v>29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16936</v>
      </c>
      <c r="N1300">
        <v>17963</v>
      </c>
      <c r="O1300">
        <v>18976</v>
      </c>
      <c r="P1300">
        <v>19660</v>
      </c>
      <c r="Q1300">
        <v>20343</v>
      </c>
      <c r="R1300">
        <v>21003</v>
      </c>
      <c r="S1300">
        <v>1303</v>
      </c>
      <c r="T1300">
        <v>1316</v>
      </c>
      <c r="U1300">
        <v>1000</v>
      </c>
      <c r="V1300">
        <v>1000</v>
      </c>
      <c r="W1300">
        <v>1000</v>
      </c>
      <c r="X1300">
        <v>933</v>
      </c>
      <c r="Y1300">
        <v>1</v>
      </c>
    </row>
    <row r="1301" spans="1:25" x14ac:dyDescent="0.3">
      <c r="A1301">
        <v>1300</v>
      </c>
      <c r="B1301">
        <v>70000</v>
      </c>
      <c r="C1301">
        <v>1</v>
      </c>
      <c r="D1301">
        <v>2</v>
      </c>
      <c r="E1301">
        <v>1</v>
      </c>
      <c r="F1301">
        <v>37</v>
      </c>
      <c r="G1301">
        <v>-1</v>
      </c>
      <c r="H1301">
        <v>2</v>
      </c>
      <c r="I1301">
        <v>0</v>
      </c>
      <c r="J1301">
        <v>0</v>
      </c>
      <c r="K1301">
        <v>-1</v>
      </c>
      <c r="L1301">
        <v>-1</v>
      </c>
      <c r="M1301">
        <v>10323</v>
      </c>
      <c r="N1301">
        <v>6659</v>
      </c>
      <c r="O1301">
        <v>6740</v>
      </c>
      <c r="P1301">
        <v>3559</v>
      </c>
      <c r="Q1301">
        <v>7086</v>
      </c>
      <c r="R1301">
        <v>6979</v>
      </c>
      <c r="S1301">
        <v>0</v>
      </c>
      <c r="T1301">
        <v>3559</v>
      </c>
      <c r="U1301">
        <v>189</v>
      </c>
      <c r="V1301">
        <v>7086</v>
      </c>
      <c r="W1301">
        <v>3370</v>
      </c>
      <c r="X1301">
        <v>0</v>
      </c>
      <c r="Y1301">
        <v>1</v>
      </c>
    </row>
    <row r="1302" spans="1:25" x14ac:dyDescent="0.3">
      <c r="A1302">
        <v>1301</v>
      </c>
      <c r="B1302">
        <v>60000</v>
      </c>
      <c r="C1302">
        <v>1</v>
      </c>
      <c r="D1302">
        <v>3</v>
      </c>
      <c r="E1302">
        <v>2</v>
      </c>
      <c r="F1302">
        <v>36</v>
      </c>
      <c r="G1302">
        <v>3</v>
      </c>
      <c r="H1302">
        <v>2</v>
      </c>
      <c r="I1302">
        <v>0</v>
      </c>
      <c r="J1302">
        <v>0</v>
      </c>
      <c r="K1302">
        <v>0</v>
      </c>
      <c r="L1302">
        <v>0</v>
      </c>
      <c r="M1302">
        <v>56807</v>
      </c>
      <c r="N1302">
        <v>55339</v>
      </c>
      <c r="O1302">
        <v>55751</v>
      </c>
      <c r="P1302">
        <v>37851</v>
      </c>
      <c r="Q1302">
        <v>34195</v>
      </c>
      <c r="R1302">
        <v>33499</v>
      </c>
      <c r="S1302">
        <v>0</v>
      </c>
      <c r="T1302">
        <v>2141</v>
      </c>
      <c r="U1302">
        <v>2000</v>
      </c>
      <c r="V1302">
        <v>2000</v>
      </c>
      <c r="W1302">
        <v>2000</v>
      </c>
      <c r="X1302">
        <v>2000</v>
      </c>
      <c r="Y1302">
        <v>0</v>
      </c>
    </row>
    <row r="1303" spans="1:25" x14ac:dyDescent="0.3">
      <c r="A1303">
        <v>1302</v>
      </c>
      <c r="B1303">
        <v>10000</v>
      </c>
      <c r="C1303">
        <v>2</v>
      </c>
      <c r="D1303">
        <v>3</v>
      </c>
      <c r="E1303">
        <v>2</v>
      </c>
      <c r="F1303">
        <v>22</v>
      </c>
      <c r="G1303">
        <v>0</v>
      </c>
      <c r="H1303">
        <v>0</v>
      </c>
      <c r="I1303">
        <v>2</v>
      </c>
      <c r="J1303">
        <v>0</v>
      </c>
      <c r="K1303">
        <v>0</v>
      </c>
      <c r="L1303">
        <v>0</v>
      </c>
      <c r="M1303">
        <v>10012</v>
      </c>
      <c r="N1303">
        <v>9784</v>
      </c>
      <c r="O1303">
        <v>9473</v>
      </c>
      <c r="P1303">
        <v>8947</v>
      </c>
      <c r="Q1303">
        <v>9135</v>
      </c>
      <c r="R1303">
        <v>8613</v>
      </c>
      <c r="S1303">
        <v>2452</v>
      </c>
      <c r="T1303">
        <v>7</v>
      </c>
      <c r="U1303">
        <v>308</v>
      </c>
      <c r="V1303">
        <v>320</v>
      </c>
      <c r="W1303">
        <v>328</v>
      </c>
      <c r="X1303">
        <v>1000</v>
      </c>
      <c r="Y1303">
        <v>1</v>
      </c>
    </row>
    <row r="1304" spans="1:25" x14ac:dyDescent="0.3">
      <c r="A1304">
        <v>1303</v>
      </c>
      <c r="B1304">
        <v>50000</v>
      </c>
      <c r="C1304">
        <v>2</v>
      </c>
      <c r="D1304">
        <v>3</v>
      </c>
      <c r="E1304">
        <v>2</v>
      </c>
      <c r="F1304">
        <v>30</v>
      </c>
      <c r="G1304">
        <v>0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50332</v>
      </c>
      <c r="N1304">
        <v>51247</v>
      </c>
      <c r="O1304">
        <v>50073</v>
      </c>
      <c r="P1304">
        <v>26550</v>
      </c>
      <c r="Q1304">
        <v>25842</v>
      </c>
      <c r="R1304">
        <v>25996</v>
      </c>
      <c r="S1304">
        <v>4210</v>
      </c>
      <c r="T1304">
        <v>0</v>
      </c>
      <c r="U1304">
        <v>1500</v>
      </c>
      <c r="V1304">
        <v>1090</v>
      </c>
      <c r="W1304">
        <v>2000</v>
      </c>
      <c r="X1304">
        <v>2000</v>
      </c>
      <c r="Y1304">
        <v>0</v>
      </c>
    </row>
    <row r="1305" spans="1:25" x14ac:dyDescent="0.3">
      <c r="A1305">
        <v>1304</v>
      </c>
      <c r="B1305">
        <v>140000</v>
      </c>
      <c r="C1305">
        <v>1</v>
      </c>
      <c r="D1305">
        <v>2</v>
      </c>
      <c r="E1305">
        <v>2</v>
      </c>
      <c r="F1305">
        <v>26</v>
      </c>
      <c r="G1305">
        <v>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133572</v>
      </c>
      <c r="N1305">
        <v>135367</v>
      </c>
      <c r="O1305">
        <v>113272</v>
      </c>
      <c r="P1305">
        <v>115685</v>
      </c>
      <c r="Q1305">
        <v>118171</v>
      </c>
      <c r="R1305">
        <v>120550</v>
      </c>
      <c r="S1305">
        <v>6169</v>
      </c>
      <c r="T1305">
        <v>4500</v>
      </c>
      <c r="U1305">
        <v>4287</v>
      </c>
      <c r="V1305">
        <v>4500</v>
      </c>
      <c r="W1305">
        <v>4500</v>
      </c>
      <c r="X1305">
        <v>9500</v>
      </c>
      <c r="Y1305">
        <v>1</v>
      </c>
    </row>
    <row r="1306" spans="1:25" x14ac:dyDescent="0.3">
      <c r="A1306">
        <v>1305</v>
      </c>
      <c r="B1306">
        <v>30000</v>
      </c>
      <c r="C1306">
        <v>1</v>
      </c>
      <c r="D1306">
        <v>2</v>
      </c>
      <c r="E1306">
        <v>2</v>
      </c>
      <c r="F1306">
        <v>25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7160</v>
      </c>
      <c r="N1306">
        <v>8185</v>
      </c>
      <c r="O1306">
        <v>9286</v>
      </c>
      <c r="P1306">
        <v>9483</v>
      </c>
      <c r="Q1306">
        <v>9780</v>
      </c>
      <c r="R1306">
        <v>10068</v>
      </c>
      <c r="S1306">
        <v>1300</v>
      </c>
      <c r="T1306">
        <v>1400</v>
      </c>
      <c r="U1306">
        <v>500</v>
      </c>
      <c r="V1306">
        <v>600</v>
      </c>
      <c r="W1306">
        <v>600</v>
      </c>
      <c r="X1306">
        <v>600</v>
      </c>
      <c r="Y1306">
        <v>0</v>
      </c>
    </row>
    <row r="1307" spans="1:25" x14ac:dyDescent="0.3">
      <c r="A1307">
        <v>1306</v>
      </c>
      <c r="B1307">
        <v>190000</v>
      </c>
      <c r="C1307">
        <v>1</v>
      </c>
      <c r="D1307">
        <v>2</v>
      </c>
      <c r="E1307">
        <v>1</v>
      </c>
      <c r="F1307">
        <v>49</v>
      </c>
      <c r="G1307">
        <v>-1</v>
      </c>
      <c r="H1307">
        <v>-1</v>
      </c>
      <c r="I1307">
        <v>-1</v>
      </c>
      <c r="J1307">
        <v>-1</v>
      </c>
      <c r="K1307">
        <v>-1</v>
      </c>
      <c r="L1307">
        <v>0</v>
      </c>
      <c r="M1307">
        <v>435</v>
      </c>
      <c r="N1307">
        <v>435</v>
      </c>
      <c r="O1307">
        <v>635</v>
      </c>
      <c r="P1307">
        <v>2084</v>
      </c>
      <c r="Q1307">
        <v>161110</v>
      </c>
      <c r="R1307">
        <v>149941</v>
      </c>
      <c r="S1307">
        <v>435</v>
      </c>
      <c r="T1307">
        <v>635</v>
      </c>
      <c r="U1307">
        <v>2084</v>
      </c>
      <c r="V1307">
        <v>161110</v>
      </c>
      <c r="W1307">
        <v>5800</v>
      </c>
      <c r="X1307">
        <v>4138</v>
      </c>
      <c r="Y1307">
        <v>0</v>
      </c>
    </row>
    <row r="1308" spans="1:25" x14ac:dyDescent="0.3">
      <c r="A1308">
        <v>1307</v>
      </c>
      <c r="B1308">
        <v>70000</v>
      </c>
      <c r="C1308">
        <v>2</v>
      </c>
      <c r="D1308">
        <v>1</v>
      </c>
      <c r="E1308">
        <v>2</v>
      </c>
      <c r="F1308">
        <v>23</v>
      </c>
      <c r="G1308">
        <v>-1</v>
      </c>
      <c r="H1308">
        <v>-1</v>
      </c>
      <c r="I1308">
        <v>-1</v>
      </c>
      <c r="J1308">
        <v>-1</v>
      </c>
      <c r="K1308">
        <v>-1</v>
      </c>
      <c r="L1308">
        <v>-1</v>
      </c>
      <c r="M1308">
        <v>853</v>
      </c>
      <c r="N1308">
        <v>3128</v>
      </c>
      <c r="O1308">
        <v>4719</v>
      </c>
      <c r="P1308">
        <v>100</v>
      </c>
      <c r="Q1308">
        <v>1610</v>
      </c>
      <c r="R1308">
        <v>690</v>
      </c>
      <c r="S1308">
        <v>3128</v>
      </c>
      <c r="T1308">
        <v>4722</v>
      </c>
      <c r="U1308">
        <v>0</v>
      </c>
      <c r="V1308">
        <v>1610</v>
      </c>
      <c r="W1308">
        <v>0</v>
      </c>
      <c r="X1308">
        <v>10909</v>
      </c>
      <c r="Y1308">
        <v>0</v>
      </c>
    </row>
    <row r="1309" spans="1:25" x14ac:dyDescent="0.3">
      <c r="A1309">
        <v>1308</v>
      </c>
      <c r="B1309">
        <v>330000</v>
      </c>
      <c r="C1309">
        <v>2</v>
      </c>
      <c r="D1309">
        <v>2</v>
      </c>
      <c r="E1309">
        <v>1</v>
      </c>
      <c r="F1309">
        <v>28</v>
      </c>
      <c r="G1309">
        <v>-1</v>
      </c>
      <c r="H1309">
        <v>-1</v>
      </c>
      <c r="I1309">
        <v>-1</v>
      </c>
      <c r="J1309">
        <v>-1</v>
      </c>
      <c r="K1309">
        <v>-1</v>
      </c>
      <c r="L1309">
        <v>-1</v>
      </c>
      <c r="M1309">
        <v>390</v>
      </c>
      <c r="N1309">
        <v>0</v>
      </c>
      <c r="O1309">
        <v>780</v>
      </c>
      <c r="P1309">
        <v>150</v>
      </c>
      <c r="Q1309">
        <v>320</v>
      </c>
      <c r="R1309">
        <v>780</v>
      </c>
      <c r="S1309">
        <v>0</v>
      </c>
      <c r="T1309">
        <v>780</v>
      </c>
      <c r="U1309">
        <v>150</v>
      </c>
      <c r="V1309">
        <v>320</v>
      </c>
      <c r="W1309">
        <v>1000</v>
      </c>
      <c r="X1309">
        <v>0</v>
      </c>
      <c r="Y1309">
        <v>0</v>
      </c>
    </row>
    <row r="1310" spans="1:25" x14ac:dyDescent="0.3">
      <c r="A1310">
        <v>1309</v>
      </c>
      <c r="B1310">
        <v>110000</v>
      </c>
      <c r="C1310">
        <v>2</v>
      </c>
      <c r="D1310">
        <v>2</v>
      </c>
      <c r="E1310">
        <v>2</v>
      </c>
      <c r="F1310">
        <v>24</v>
      </c>
      <c r="G1310">
        <v>0</v>
      </c>
      <c r="H1310">
        <v>0</v>
      </c>
      <c r="I1310">
        <v>0</v>
      </c>
      <c r="J1310">
        <v>2</v>
      </c>
      <c r="K1310">
        <v>0</v>
      </c>
      <c r="L1310">
        <v>0</v>
      </c>
      <c r="M1310">
        <v>6470</v>
      </c>
      <c r="N1310">
        <v>8610</v>
      </c>
      <c r="O1310">
        <v>15123</v>
      </c>
      <c r="P1310">
        <v>9761</v>
      </c>
      <c r="Q1310">
        <v>9717</v>
      </c>
      <c r="R1310">
        <v>8046</v>
      </c>
      <c r="S1310">
        <v>2654</v>
      </c>
      <c r="T1310">
        <v>7230</v>
      </c>
      <c r="U1310">
        <v>0</v>
      </c>
      <c r="V1310">
        <v>463</v>
      </c>
      <c r="W1310">
        <v>393</v>
      </c>
      <c r="X1310">
        <v>151</v>
      </c>
      <c r="Y1310">
        <v>0</v>
      </c>
    </row>
    <row r="1311" spans="1:25" x14ac:dyDescent="0.3">
      <c r="A1311">
        <v>1310</v>
      </c>
      <c r="B1311">
        <v>270000</v>
      </c>
      <c r="C1311">
        <v>1</v>
      </c>
      <c r="D1311">
        <v>3</v>
      </c>
      <c r="E1311">
        <v>1</v>
      </c>
      <c r="F1311">
        <v>47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165303</v>
      </c>
      <c r="N1311">
        <v>168837</v>
      </c>
      <c r="O1311">
        <v>172281</v>
      </c>
      <c r="P1311">
        <v>175705</v>
      </c>
      <c r="Q1311">
        <v>179582</v>
      </c>
      <c r="R1311">
        <v>184650</v>
      </c>
      <c r="S1311">
        <v>6200</v>
      </c>
      <c r="T1311">
        <v>6254</v>
      </c>
      <c r="U1311">
        <v>6290</v>
      </c>
      <c r="V1311">
        <v>6710</v>
      </c>
      <c r="W1311">
        <v>8250</v>
      </c>
      <c r="X1311">
        <v>0</v>
      </c>
      <c r="Y1311">
        <v>0</v>
      </c>
    </row>
    <row r="1312" spans="1:25" x14ac:dyDescent="0.3">
      <c r="A1312">
        <v>1311</v>
      </c>
      <c r="B1312">
        <v>160000</v>
      </c>
      <c r="C1312">
        <v>1</v>
      </c>
      <c r="D1312">
        <v>2</v>
      </c>
      <c r="E1312">
        <v>1</v>
      </c>
      <c r="F1312">
        <v>31</v>
      </c>
      <c r="G1312">
        <v>3</v>
      </c>
      <c r="H1312">
        <v>2</v>
      </c>
      <c r="I1312">
        <v>0</v>
      </c>
      <c r="J1312">
        <v>0</v>
      </c>
      <c r="K1312">
        <v>0</v>
      </c>
      <c r="L1312">
        <v>0</v>
      </c>
      <c r="M1312">
        <v>26295</v>
      </c>
      <c r="N1312">
        <v>27074</v>
      </c>
      <c r="O1312">
        <v>28314</v>
      </c>
      <c r="P1312">
        <v>29341</v>
      </c>
      <c r="Q1312">
        <v>31690</v>
      </c>
      <c r="R1312">
        <v>33993</v>
      </c>
      <c r="S1312">
        <v>1500</v>
      </c>
      <c r="T1312">
        <v>2000</v>
      </c>
      <c r="U1312">
        <v>1500</v>
      </c>
      <c r="V1312">
        <v>3000</v>
      </c>
      <c r="W1312">
        <v>3000</v>
      </c>
      <c r="X1312">
        <v>1500</v>
      </c>
      <c r="Y1312">
        <v>1</v>
      </c>
    </row>
    <row r="1313" spans="1:25" x14ac:dyDescent="0.3">
      <c r="A1313">
        <v>1312</v>
      </c>
      <c r="B1313">
        <v>20000</v>
      </c>
      <c r="C1313">
        <v>1</v>
      </c>
      <c r="D1313">
        <v>2</v>
      </c>
      <c r="E1313">
        <v>2</v>
      </c>
      <c r="F1313">
        <v>24</v>
      </c>
      <c r="G1313">
        <v>3</v>
      </c>
      <c r="H1313">
        <v>2</v>
      </c>
      <c r="I1313">
        <v>0</v>
      </c>
      <c r="J1313">
        <v>0</v>
      </c>
      <c r="K1313">
        <v>-1</v>
      </c>
      <c r="L1313">
        <v>-1</v>
      </c>
      <c r="M1313">
        <v>18937</v>
      </c>
      <c r="N1313">
        <v>18350</v>
      </c>
      <c r="O1313">
        <v>18918</v>
      </c>
      <c r="P1313">
        <v>19323</v>
      </c>
      <c r="Q1313">
        <v>13180</v>
      </c>
      <c r="R1313">
        <v>5200</v>
      </c>
      <c r="S1313">
        <v>0</v>
      </c>
      <c r="T1313">
        <v>1251</v>
      </c>
      <c r="U1313">
        <v>656</v>
      </c>
      <c r="V1313">
        <v>13180</v>
      </c>
      <c r="W1313">
        <v>5200</v>
      </c>
      <c r="X1313">
        <v>0</v>
      </c>
      <c r="Y1313">
        <v>0</v>
      </c>
    </row>
    <row r="1314" spans="1:25" x14ac:dyDescent="0.3">
      <c r="A1314">
        <v>1313</v>
      </c>
      <c r="B1314">
        <v>320000</v>
      </c>
      <c r="C1314">
        <v>1</v>
      </c>
      <c r="D1314">
        <v>2</v>
      </c>
      <c r="E1314">
        <v>2</v>
      </c>
      <c r="F1314">
        <v>32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21460</v>
      </c>
      <c r="N1314">
        <v>23412</v>
      </c>
      <c r="O1314">
        <v>25331</v>
      </c>
      <c r="P1314">
        <v>25741</v>
      </c>
      <c r="Q1314">
        <v>26800</v>
      </c>
      <c r="R1314">
        <v>28817</v>
      </c>
      <c r="S1314">
        <v>3000</v>
      </c>
      <c r="T1314">
        <v>3000</v>
      </c>
      <c r="U1314">
        <v>1500</v>
      </c>
      <c r="V1314">
        <v>2000</v>
      </c>
      <c r="W1314">
        <v>3000</v>
      </c>
      <c r="X1314">
        <v>2000</v>
      </c>
      <c r="Y1314">
        <v>0</v>
      </c>
    </row>
    <row r="1315" spans="1:25" x14ac:dyDescent="0.3">
      <c r="A1315">
        <v>1314</v>
      </c>
      <c r="B1315">
        <v>430000</v>
      </c>
      <c r="C1315">
        <v>1</v>
      </c>
      <c r="D1315">
        <v>1</v>
      </c>
      <c r="E1315">
        <v>2</v>
      </c>
      <c r="F1315">
        <v>31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29860</v>
      </c>
      <c r="N1315">
        <v>39305</v>
      </c>
      <c r="O1315">
        <v>43020</v>
      </c>
      <c r="P1315">
        <v>45540</v>
      </c>
      <c r="Q1315">
        <v>8342</v>
      </c>
      <c r="R1315">
        <v>8310</v>
      </c>
      <c r="S1315">
        <v>10000</v>
      </c>
      <c r="T1315">
        <v>5000</v>
      </c>
      <c r="U1315">
        <v>5540</v>
      </c>
      <c r="V1315">
        <v>8310</v>
      </c>
      <c r="W1315">
        <v>5640</v>
      </c>
      <c r="X1315">
        <v>2820</v>
      </c>
      <c r="Y1315">
        <v>0</v>
      </c>
    </row>
    <row r="1316" spans="1:25" x14ac:dyDescent="0.3">
      <c r="A1316">
        <v>1315</v>
      </c>
      <c r="B1316">
        <v>50000</v>
      </c>
      <c r="C1316">
        <v>2</v>
      </c>
      <c r="D1316">
        <v>1</v>
      </c>
      <c r="E1316">
        <v>1</v>
      </c>
      <c r="F1316">
        <v>37</v>
      </c>
      <c r="G1316">
        <v>2</v>
      </c>
      <c r="H1316">
        <v>0</v>
      </c>
      <c r="I1316">
        <v>0</v>
      </c>
      <c r="J1316">
        <v>0</v>
      </c>
      <c r="K1316">
        <v>-1</v>
      </c>
      <c r="L1316">
        <v>2</v>
      </c>
      <c r="M1316">
        <v>8014</v>
      </c>
      <c r="N1316">
        <v>7668</v>
      </c>
      <c r="O1316">
        <v>7081</v>
      </c>
      <c r="P1316">
        <v>5738</v>
      </c>
      <c r="Q1316">
        <v>6461</v>
      </c>
      <c r="R1316">
        <v>4822</v>
      </c>
      <c r="S1316">
        <v>1200</v>
      </c>
      <c r="T1316">
        <v>1000</v>
      </c>
      <c r="U1316">
        <v>91</v>
      </c>
      <c r="V1316">
        <v>11283</v>
      </c>
      <c r="W1316">
        <v>0</v>
      </c>
      <c r="X1316">
        <v>1000</v>
      </c>
      <c r="Y1316">
        <v>0</v>
      </c>
    </row>
    <row r="1317" spans="1:25" x14ac:dyDescent="0.3">
      <c r="A1317">
        <v>1316</v>
      </c>
      <c r="B1317">
        <v>140000</v>
      </c>
      <c r="C1317">
        <v>1</v>
      </c>
      <c r="D1317">
        <v>2</v>
      </c>
      <c r="E1317">
        <v>1</v>
      </c>
      <c r="F1317">
        <v>48</v>
      </c>
      <c r="G1317">
        <v>-1</v>
      </c>
      <c r="H1317">
        <v>-1</v>
      </c>
      <c r="I1317">
        <v>2</v>
      </c>
      <c r="J1317">
        <v>0</v>
      </c>
      <c r="K1317">
        <v>0</v>
      </c>
      <c r="L1317">
        <v>-2</v>
      </c>
      <c r="M1317">
        <v>1600</v>
      </c>
      <c r="N1317">
        <v>5012</v>
      </c>
      <c r="O1317">
        <v>4739</v>
      </c>
      <c r="P1317">
        <v>4739</v>
      </c>
      <c r="Q1317">
        <v>0</v>
      </c>
      <c r="R1317">
        <v>0</v>
      </c>
      <c r="S1317">
        <v>5012</v>
      </c>
      <c r="T1317">
        <v>0</v>
      </c>
      <c r="U1317">
        <v>0</v>
      </c>
      <c r="V1317">
        <v>0</v>
      </c>
      <c r="W1317">
        <v>0</v>
      </c>
      <c r="X1317">
        <v>2770</v>
      </c>
      <c r="Y1317">
        <v>1</v>
      </c>
    </row>
    <row r="1318" spans="1:25" x14ac:dyDescent="0.3">
      <c r="A1318">
        <v>1317</v>
      </c>
      <c r="B1318">
        <v>500000</v>
      </c>
      <c r="C1318">
        <v>1</v>
      </c>
      <c r="D1318">
        <v>2</v>
      </c>
      <c r="E1318">
        <v>1</v>
      </c>
      <c r="F1318">
        <v>49</v>
      </c>
      <c r="G1318">
        <v>-2</v>
      </c>
      <c r="H1318">
        <v>-2</v>
      </c>
      <c r="I1318">
        <v>-2</v>
      </c>
      <c r="J1318">
        <v>-2</v>
      </c>
      <c r="K1318">
        <v>-2</v>
      </c>
      <c r="L1318">
        <v>-2</v>
      </c>
      <c r="M1318">
        <v>4214</v>
      </c>
      <c r="N1318">
        <v>6378</v>
      </c>
      <c r="O1318">
        <v>4074</v>
      </c>
      <c r="P1318">
        <v>116446</v>
      </c>
      <c r="Q1318">
        <v>9335</v>
      </c>
      <c r="R1318">
        <v>3312</v>
      </c>
      <c r="S1318">
        <v>6378</v>
      </c>
      <c r="T1318">
        <v>4074</v>
      </c>
      <c r="U1318">
        <v>116446</v>
      </c>
      <c r="V1318">
        <v>9335</v>
      </c>
      <c r="W1318">
        <v>3312</v>
      </c>
      <c r="X1318">
        <v>43664</v>
      </c>
      <c r="Y1318">
        <v>0</v>
      </c>
    </row>
    <row r="1319" spans="1:25" x14ac:dyDescent="0.3">
      <c r="A1319">
        <v>1318</v>
      </c>
      <c r="B1319">
        <v>80000</v>
      </c>
      <c r="C1319">
        <v>1</v>
      </c>
      <c r="D1319">
        <v>3</v>
      </c>
      <c r="E1319">
        <v>1</v>
      </c>
      <c r="F1319">
        <v>45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26637</v>
      </c>
      <c r="N1319">
        <v>26437</v>
      </c>
      <c r="O1319">
        <v>26686</v>
      </c>
      <c r="P1319">
        <v>28372</v>
      </c>
      <c r="Q1319">
        <v>28345</v>
      </c>
      <c r="R1319">
        <v>27279</v>
      </c>
      <c r="S1319">
        <v>1490</v>
      </c>
      <c r="T1319">
        <v>2000</v>
      </c>
      <c r="U1319">
        <v>2000</v>
      </c>
      <c r="V1319">
        <v>3000</v>
      </c>
      <c r="W1319">
        <v>5000</v>
      </c>
      <c r="X1319">
        <v>865</v>
      </c>
      <c r="Y1319">
        <v>0</v>
      </c>
    </row>
    <row r="1320" spans="1:25" x14ac:dyDescent="0.3">
      <c r="A1320">
        <v>1319</v>
      </c>
      <c r="B1320">
        <v>390000</v>
      </c>
      <c r="C1320">
        <v>2</v>
      </c>
      <c r="D1320">
        <v>1</v>
      </c>
      <c r="E1320">
        <v>1</v>
      </c>
      <c r="F1320">
        <v>34</v>
      </c>
      <c r="G1320">
        <v>1</v>
      </c>
      <c r="H1320">
        <v>-2</v>
      </c>
      <c r="I1320">
        <v>-1</v>
      </c>
      <c r="J1320">
        <v>-1</v>
      </c>
      <c r="K1320">
        <v>-2</v>
      </c>
      <c r="L1320">
        <v>-2</v>
      </c>
      <c r="M1320">
        <v>0</v>
      </c>
      <c r="N1320">
        <v>0</v>
      </c>
      <c r="O1320">
        <v>1266</v>
      </c>
      <c r="P1320">
        <v>0</v>
      </c>
      <c r="Q1320">
        <v>0</v>
      </c>
      <c r="R1320">
        <v>0</v>
      </c>
      <c r="S1320">
        <v>0</v>
      </c>
      <c r="T1320">
        <v>1266</v>
      </c>
      <c r="U1320">
        <v>0</v>
      </c>
      <c r="V1320">
        <v>0</v>
      </c>
      <c r="W1320">
        <v>0</v>
      </c>
      <c r="X1320">
        <v>0</v>
      </c>
      <c r="Y1320">
        <v>0</v>
      </c>
    </row>
    <row r="1321" spans="1:25" x14ac:dyDescent="0.3">
      <c r="A1321">
        <v>1320</v>
      </c>
      <c r="B1321">
        <v>250000</v>
      </c>
      <c r="C1321">
        <v>2</v>
      </c>
      <c r="D1321">
        <v>1</v>
      </c>
      <c r="E1321">
        <v>1</v>
      </c>
      <c r="F1321">
        <v>43</v>
      </c>
      <c r="G1321">
        <v>-1</v>
      </c>
      <c r="H1321">
        <v>-1</v>
      </c>
      <c r="I1321">
        <v>-1</v>
      </c>
      <c r="J1321">
        <v>0</v>
      </c>
      <c r="K1321">
        <v>0</v>
      </c>
      <c r="L1321">
        <v>-1</v>
      </c>
      <c r="M1321">
        <v>17454</v>
      </c>
      <c r="N1321">
        <v>-50</v>
      </c>
      <c r="O1321">
        <v>45297</v>
      </c>
      <c r="P1321">
        <v>17371</v>
      </c>
      <c r="Q1321">
        <v>11481</v>
      </c>
      <c r="R1321">
        <v>5922</v>
      </c>
      <c r="S1321">
        <v>24890</v>
      </c>
      <c r="T1321">
        <v>48394</v>
      </c>
      <c r="U1321">
        <v>0</v>
      </c>
      <c r="V1321">
        <v>5461</v>
      </c>
      <c r="W1321">
        <v>15000</v>
      </c>
      <c r="X1321">
        <v>6000</v>
      </c>
      <c r="Y1321">
        <v>0</v>
      </c>
    </row>
    <row r="1322" spans="1:25" x14ac:dyDescent="0.3">
      <c r="A1322">
        <v>1321</v>
      </c>
      <c r="B1322">
        <v>390000</v>
      </c>
      <c r="C1322">
        <v>2</v>
      </c>
      <c r="D1322">
        <v>1</v>
      </c>
      <c r="E1322">
        <v>2</v>
      </c>
      <c r="F1322">
        <v>31</v>
      </c>
      <c r="G1322">
        <v>-2</v>
      </c>
      <c r="H1322">
        <v>-2</v>
      </c>
      <c r="I1322">
        <v>-2</v>
      </c>
      <c r="J1322">
        <v>-2</v>
      </c>
      <c r="K1322">
        <v>-2</v>
      </c>
      <c r="L1322">
        <v>-2</v>
      </c>
      <c r="M1322">
        <v>6466</v>
      </c>
      <c r="N1322">
        <v>6266</v>
      </c>
      <c r="O1322">
        <v>12578</v>
      </c>
      <c r="P1322">
        <v>7650</v>
      </c>
      <c r="Q1322">
        <v>48090</v>
      </c>
      <c r="R1322">
        <v>17013</v>
      </c>
      <c r="S1322">
        <v>6266</v>
      </c>
      <c r="T1322">
        <v>12581</v>
      </c>
      <c r="U1322">
        <v>7650</v>
      </c>
      <c r="V1322">
        <v>48090</v>
      </c>
      <c r="W1322">
        <v>28973</v>
      </c>
      <c r="X1322">
        <v>17271</v>
      </c>
      <c r="Y1322">
        <v>0</v>
      </c>
    </row>
    <row r="1323" spans="1:25" x14ac:dyDescent="0.3">
      <c r="A1323">
        <v>1322</v>
      </c>
      <c r="B1323">
        <v>100000</v>
      </c>
      <c r="C1323">
        <v>2</v>
      </c>
      <c r="D1323">
        <v>1</v>
      </c>
      <c r="E1323">
        <v>1</v>
      </c>
      <c r="F1323">
        <v>35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57612</v>
      </c>
      <c r="N1323">
        <v>58818</v>
      </c>
      <c r="O1323">
        <v>60841</v>
      </c>
      <c r="P1323">
        <v>61434</v>
      </c>
      <c r="Q1323">
        <v>62743</v>
      </c>
      <c r="R1323">
        <v>66677</v>
      </c>
      <c r="S1323">
        <v>2134</v>
      </c>
      <c r="T1323">
        <v>3000</v>
      </c>
      <c r="U1323">
        <v>2200</v>
      </c>
      <c r="V1323">
        <v>2300</v>
      </c>
      <c r="W1323">
        <v>5000</v>
      </c>
      <c r="X1323">
        <v>3000</v>
      </c>
      <c r="Y1323">
        <v>0</v>
      </c>
    </row>
    <row r="1324" spans="1:25" x14ac:dyDescent="0.3">
      <c r="A1324">
        <v>1323</v>
      </c>
      <c r="B1324">
        <v>360000</v>
      </c>
      <c r="C1324">
        <v>2</v>
      </c>
      <c r="D1324">
        <v>1</v>
      </c>
      <c r="E1324">
        <v>1</v>
      </c>
      <c r="F1324">
        <v>42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179851</v>
      </c>
      <c r="N1324">
        <v>186961</v>
      </c>
      <c r="O1324">
        <v>201703</v>
      </c>
      <c r="P1324">
        <v>189455</v>
      </c>
      <c r="Q1324">
        <v>194373</v>
      </c>
      <c r="R1324">
        <v>207022</v>
      </c>
      <c r="S1324">
        <v>10005</v>
      </c>
      <c r="T1324">
        <v>20117</v>
      </c>
      <c r="U1324">
        <v>15018</v>
      </c>
      <c r="V1324">
        <v>10027</v>
      </c>
      <c r="W1324">
        <v>20057</v>
      </c>
      <c r="X1324">
        <v>17000</v>
      </c>
      <c r="Y1324">
        <v>0</v>
      </c>
    </row>
    <row r="1325" spans="1:25" x14ac:dyDescent="0.3">
      <c r="A1325">
        <v>1324</v>
      </c>
      <c r="B1325">
        <v>140000</v>
      </c>
      <c r="C1325">
        <v>1</v>
      </c>
      <c r="D1325">
        <v>1</v>
      </c>
      <c r="E1325">
        <v>2</v>
      </c>
      <c r="F1325">
        <v>36</v>
      </c>
      <c r="G1325">
        <v>1</v>
      </c>
      <c r="H1325">
        <v>-1</v>
      </c>
      <c r="I1325">
        <v>-1</v>
      </c>
      <c r="J1325">
        <v>0</v>
      </c>
      <c r="K1325">
        <v>0</v>
      </c>
      <c r="L1325">
        <v>-1</v>
      </c>
      <c r="M1325">
        <v>-5</v>
      </c>
      <c r="N1325">
        <v>1135</v>
      </c>
      <c r="O1325">
        <v>17227</v>
      </c>
      <c r="P1325">
        <v>12918</v>
      </c>
      <c r="Q1325">
        <v>10898</v>
      </c>
      <c r="R1325">
        <v>823</v>
      </c>
      <c r="S1325">
        <v>1140</v>
      </c>
      <c r="T1325">
        <v>17227</v>
      </c>
      <c r="U1325">
        <v>0</v>
      </c>
      <c r="V1325">
        <v>365</v>
      </c>
      <c r="W1325">
        <v>840</v>
      </c>
      <c r="X1325">
        <v>4507</v>
      </c>
      <c r="Y1325">
        <v>0</v>
      </c>
    </row>
    <row r="1326" spans="1:25" x14ac:dyDescent="0.3">
      <c r="A1326">
        <v>1325</v>
      </c>
      <c r="B1326">
        <v>110000</v>
      </c>
      <c r="C1326">
        <v>1</v>
      </c>
      <c r="D1326">
        <v>2</v>
      </c>
      <c r="E1326">
        <v>1</v>
      </c>
      <c r="F1326">
        <v>51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45964</v>
      </c>
      <c r="N1326">
        <v>46922</v>
      </c>
      <c r="O1326">
        <v>48140</v>
      </c>
      <c r="P1326">
        <v>49339</v>
      </c>
      <c r="Q1326">
        <v>50542</v>
      </c>
      <c r="R1326">
        <v>52689</v>
      </c>
      <c r="S1326">
        <v>2000</v>
      </c>
      <c r="T1326">
        <v>2000</v>
      </c>
      <c r="U1326">
        <v>2000</v>
      </c>
      <c r="V1326">
        <v>2000</v>
      </c>
      <c r="W1326">
        <v>3000</v>
      </c>
      <c r="X1326">
        <v>2000</v>
      </c>
      <c r="Y1326">
        <v>0</v>
      </c>
    </row>
    <row r="1327" spans="1:25" x14ac:dyDescent="0.3">
      <c r="A1327">
        <v>1326</v>
      </c>
      <c r="B1327">
        <v>170000</v>
      </c>
      <c r="C1327">
        <v>1</v>
      </c>
      <c r="D1327">
        <v>3</v>
      </c>
      <c r="E1327">
        <v>1</v>
      </c>
      <c r="F1327">
        <v>48</v>
      </c>
      <c r="G1327">
        <v>2</v>
      </c>
      <c r="H1327">
        <v>-1</v>
      </c>
      <c r="I1327">
        <v>-1</v>
      </c>
      <c r="J1327">
        <v>0</v>
      </c>
      <c r="K1327">
        <v>-1</v>
      </c>
      <c r="L1327">
        <v>-1</v>
      </c>
      <c r="M1327">
        <v>316</v>
      </c>
      <c r="N1327">
        <v>316</v>
      </c>
      <c r="O1327">
        <v>632</v>
      </c>
      <c r="P1327">
        <v>316</v>
      </c>
      <c r="Q1327">
        <v>466</v>
      </c>
      <c r="R1327">
        <v>316</v>
      </c>
      <c r="S1327">
        <v>316</v>
      </c>
      <c r="T1327">
        <v>632</v>
      </c>
      <c r="U1327">
        <v>0</v>
      </c>
      <c r="V1327">
        <v>466</v>
      </c>
      <c r="W1327">
        <v>316</v>
      </c>
      <c r="X1327">
        <v>0</v>
      </c>
      <c r="Y1327">
        <v>0</v>
      </c>
    </row>
    <row r="1328" spans="1:25" x14ac:dyDescent="0.3">
      <c r="A1328">
        <v>1327</v>
      </c>
      <c r="B1328">
        <v>170000</v>
      </c>
      <c r="C1328">
        <v>1</v>
      </c>
      <c r="D1328">
        <v>2</v>
      </c>
      <c r="E1328">
        <v>1</v>
      </c>
      <c r="F1328">
        <v>48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137823</v>
      </c>
      <c r="N1328">
        <v>137199</v>
      </c>
      <c r="O1328">
        <v>136331</v>
      </c>
      <c r="P1328">
        <v>123913</v>
      </c>
      <c r="Q1328">
        <v>122657</v>
      </c>
      <c r="R1328">
        <v>122225</v>
      </c>
      <c r="S1328">
        <v>5396</v>
      </c>
      <c r="T1328">
        <v>5000</v>
      </c>
      <c r="U1328">
        <v>5000</v>
      </c>
      <c r="V1328">
        <v>5000</v>
      </c>
      <c r="W1328">
        <v>5000</v>
      </c>
      <c r="X1328">
        <v>4000</v>
      </c>
      <c r="Y1328">
        <v>0</v>
      </c>
    </row>
    <row r="1329" spans="1:25" x14ac:dyDescent="0.3">
      <c r="A1329">
        <v>1328</v>
      </c>
      <c r="B1329">
        <v>180000</v>
      </c>
      <c r="C1329">
        <v>2</v>
      </c>
      <c r="D1329">
        <v>2</v>
      </c>
      <c r="E1329">
        <v>2</v>
      </c>
      <c r="F1329">
        <v>25</v>
      </c>
      <c r="G1329">
        <v>0</v>
      </c>
      <c r="H1329">
        <v>0</v>
      </c>
      <c r="I1329">
        <v>0</v>
      </c>
      <c r="J1329">
        <v>0</v>
      </c>
      <c r="K1329">
        <v>2</v>
      </c>
      <c r="L1329">
        <v>2</v>
      </c>
      <c r="M1329">
        <v>4745</v>
      </c>
      <c r="N1329">
        <v>5765</v>
      </c>
      <c r="O1329">
        <v>6631</v>
      </c>
      <c r="P1329">
        <v>8386</v>
      </c>
      <c r="Q1329">
        <v>8109</v>
      </c>
      <c r="R1329">
        <v>8820</v>
      </c>
      <c r="S1329">
        <v>1257</v>
      </c>
      <c r="T1329">
        <v>1123</v>
      </c>
      <c r="U1329">
        <v>1878</v>
      </c>
      <c r="V1329">
        <v>0</v>
      </c>
      <c r="W1329">
        <v>1000</v>
      </c>
      <c r="X1329">
        <v>0</v>
      </c>
      <c r="Y1329">
        <v>0</v>
      </c>
    </row>
    <row r="1330" spans="1:25" x14ac:dyDescent="0.3">
      <c r="A1330">
        <v>1329</v>
      </c>
      <c r="B1330">
        <v>140000</v>
      </c>
      <c r="C1330">
        <v>1</v>
      </c>
      <c r="D1330">
        <v>2</v>
      </c>
      <c r="E1330">
        <v>1</v>
      </c>
      <c r="F1330">
        <v>41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109326</v>
      </c>
      <c r="N1330">
        <v>111679</v>
      </c>
      <c r="O1330">
        <v>113921</v>
      </c>
      <c r="P1330">
        <v>114348</v>
      </c>
      <c r="Q1330">
        <v>111382</v>
      </c>
      <c r="R1330">
        <v>112458</v>
      </c>
      <c r="S1330">
        <v>5600</v>
      </c>
      <c r="T1330">
        <v>5600</v>
      </c>
      <c r="U1330">
        <v>4500</v>
      </c>
      <c r="V1330">
        <v>4200</v>
      </c>
      <c r="W1330">
        <v>4500</v>
      </c>
      <c r="X1330">
        <v>4500</v>
      </c>
      <c r="Y1330">
        <v>0</v>
      </c>
    </row>
    <row r="1331" spans="1:25" x14ac:dyDescent="0.3">
      <c r="A1331">
        <v>1330</v>
      </c>
      <c r="B1331">
        <v>20000</v>
      </c>
      <c r="C1331">
        <v>2</v>
      </c>
      <c r="D1331">
        <v>2</v>
      </c>
      <c r="E1331">
        <v>1</v>
      </c>
      <c r="F1331">
        <v>49</v>
      </c>
      <c r="G1331">
        <v>0</v>
      </c>
      <c r="H1331">
        <v>0</v>
      </c>
      <c r="I1331">
        <v>-1</v>
      </c>
      <c r="J1331">
        <v>-1</v>
      </c>
      <c r="K1331">
        <v>0</v>
      </c>
      <c r="L1331">
        <v>0</v>
      </c>
      <c r="M1331">
        <v>13882</v>
      </c>
      <c r="N1331">
        <v>13342</v>
      </c>
      <c r="O1331">
        <v>808</v>
      </c>
      <c r="P1331">
        <v>18910</v>
      </c>
      <c r="Q1331">
        <v>19306</v>
      </c>
      <c r="R1331">
        <v>19809</v>
      </c>
      <c r="S1331">
        <v>2018</v>
      </c>
      <c r="T1331">
        <v>404</v>
      </c>
      <c r="U1331">
        <v>19000</v>
      </c>
      <c r="V1331">
        <v>677</v>
      </c>
      <c r="W1331">
        <v>800</v>
      </c>
      <c r="X1331">
        <v>601</v>
      </c>
      <c r="Y1331">
        <v>0</v>
      </c>
    </row>
    <row r="1332" spans="1:25" x14ac:dyDescent="0.3">
      <c r="A1332">
        <v>1331</v>
      </c>
      <c r="B1332">
        <v>150000</v>
      </c>
      <c r="C1332">
        <v>1</v>
      </c>
      <c r="D1332">
        <v>1</v>
      </c>
      <c r="E1332">
        <v>2</v>
      </c>
      <c r="F1332">
        <v>28</v>
      </c>
      <c r="G1332">
        <v>-2</v>
      </c>
      <c r="H1332">
        <v>-2</v>
      </c>
      <c r="I1332">
        <v>-2</v>
      </c>
      <c r="J1332">
        <v>-2</v>
      </c>
      <c r="K1332">
        <v>-2</v>
      </c>
      <c r="L1332">
        <v>-2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</row>
    <row r="1333" spans="1:25" x14ac:dyDescent="0.3">
      <c r="A1333">
        <v>1332</v>
      </c>
      <c r="B1333">
        <v>50000</v>
      </c>
      <c r="C1333">
        <v>2</v>
      </c>
      <c r="D1333">
        <v>2</v>
      </c>
      <c r="E1333">
        <v>2</v>
      </c>
      <c r="F1333">
        <v>28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48072</v>
      </c>
      <c r="N1333">
        <v>49518</v>
      </c>
      <c r="O1333">
        <v>49500</v>
      </c>
      <c r="P1333">
        <v>19600</v>
      </c>
      <c r="Q1333">
        <v>20000</v>
      </c>
      <c r="R1333">
        <v>0</v>
      </c>
      <c r="S1333">
        <v>2518</v>
      </c>
      <c r="T1333">
        <v>1500</v>
      </c>
      <c r="U1333">
        <v>500</v>
      </c>
      <c r="V1333">
        <v>400</v>
      </c>
      <c r="W1333">
        <v>0</v>
      </c>
      <c r="X1333">
        <v>0</v>
      </c>
      <c r="Y1333">
        <v>0</v>
      </c>
    </row>
    <row r="1334" spans="1:25" x14ac:dyDescent="0.3">
      <c r="A1334">
        <v>1333</v>
      </c>
      <c r="B1334">
        <v>160000</v>
      </c>
      <c r="C1334">
        <v>2</v>
      </c>
      <c r="D1334">
        <v>2</v>
      </c>
      <c r="E1334">
        <v>1</v>
      </c>
      <c r="F1334">
        <v>38</v>
      </c>
      <c r="G1334">
        <v>1</v>
      </c>
      <c r="H1334">
        <v>-2</v>
      </c>
      <c r="I1334">
        <v>-2</v>
      </c>
      <c r="J1334">
        <v>-2</v>
      </c>
      <c r="K1334">
        <v>-2</v>
      </c>
      <c r="L1334">
        <v>-2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1</v>
      </c>
    </row>
    <row r="1335" spans="1:25" x14ac:dyDescent="0.3">
      <c r="A1335">
        <v>1334</v>
      </c>
      <c r="B1335">
        <v>80000</v>
      </c>
      <c r="C1335">
        <v>1</v>
      </c>
      <c r="D1335">
        <v>2</v>
      </c>
      <c r="E1335">
        <v>1</v>
      </c>
      <c r="F1335">
        <v>41</v>
      </c>
      <c r="G1335">
        <v>-2</v>
      </c>
      <c r="H1335">
        <v>-2</v>
      </c>
      <c r="I1335">
        <v>-2</v>
      </c>
      <c r="J1335">
        <v>-2</v>
      </c>
      <c r="K1335">
        <v>-2</v>
      </c>
      <c r="L1335">
        <v>-1</v>
      </c>
      <c r="M1335">
        <v>3153</v>
      </c>
      <c r="N1335">
        <v>1013</v>
      </c>
      <c r="O1335">
        <v>0</v>
      </c>
      <c r="P1335">
        <v>0</v>
      </c>
      <c r="Q1335">
        <v>2115</v>
      </c>
      <c r="R1335">
        <v>4264</v>
      </c>
      <c r="S1335">
        <v>1013</v>
      </c>
      <c r="T1335">
        <v>0</v>
      </c>
      <c r="U1335">
        <v>0</v>
      </c>
      <c r="V1335">
        <v>2115</v>
      </c>
      <c r="W1335">
        <v>4264</v>
      </c>
      <c r="X1335">
        <v>0</v>
      </c>
      <c r="Y1335">
        <v>0</v>
      </c>
    </row>
    <row r="1336" spans="1:25" x14ac:dyDescent="0.3">
      <c r="A1336">
        <v>1335</v>
      </c>
      <c r="B1336">
        <v>300000</v>
      </c>
      <c r="C1336">
        <v>2</v>
      </c>
      <c r="D1336">
        <v>3</v>
      </c>
      <c r="E1336">
        <v>2</v>
      </c>
      <c r="F1336">
        <v>29</v>
      </c>
      <c r="G1336">
        <v>-2</v>
      </c>
      <c r="H1336">
        <v>-2</v>
      </c>
      <c r="I1336">
        <v>-2</v>
      </c>
      <c r="J1336">
        <v>-2</v>
      </c>
      <c r="K1336">
        <v>-2</v>
      </c>
      <c r="L1336">
        <v>-2</v>
      </c>
      <c r="M1336">
        <v>-140</v>
      </c>
      <c r="N1336">
        <v>28092</v>
      </c>
      <c r="O1336">
        <v>3572</v>
      </c>
      <c r="P1336">
        <v>195</v>
      </c>
      <c r="Q1336">
        <v>209</v>
      </c>
      <c r="R1336">
        <v>990</v>
      </c>
      <c r="S1336">
        <v>28232</v>
      </c>
      <c r="T1336">
        <v>3589</v>
      </c>
      <c r="U1336">
        <v>195</v>
      </c>
      <c r="V1336">
        <v>210</v>
      </c>
      <c r="W1336">
        <v>994</v>
      </c>
      <c r="X1336">
        <v>0</v>
      </c>
      <c r="Y1336">
        <v>1</v>
      </c>
    </row>
    <row r="1337" spans="1:25" x14ac:dyDescent="0.3">
      <c r="A1337">
        <v>1336</v>
      </c>
      <c r="B1337">
        <v>60000</v>
      </c>
      <c r="C1337">
        <v>2</v>
      </c>
      <c r="D1337">
        <v>3</v>
      </c>
      <c r="E1337">
        <v>2</v>
      </c>
      <c r="F1337">
        <v>32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62552</v>
      </c>
      <c r="N1337">
        <v>26929</v>
      </c>
      <c r="O1337">
        <v>27967</v>
      </c>
      <c r="P1337">
        <v>28526</v>
      </c>
      <c r="Q1337">
        <v>28275</v>
      </c>
      <c r="R1337">
        <v>29151</v>
      </c>
      <c r="S1337">
        <v>1500</v>
      </c>
      <c r="T1337">
        <v>1500</v>
      </c>
      <c r="U1337">
        <v>1003</v>
      </c>
      <c r="V1337">
        <v>1500</v>
      </c>
      <c r="W1337">
        <v>1500</v>
      </c>
      <c r="X1337">
        <v>1044</v>
      </c>
      <c r="Y1337">
        <v>0</v>
      </c>
    </row>
    <row r="1338" spans="1:25" x14ac:dyDescent="0.3">
      <c r="A1338">
        <v>1337</v>
      </c>
      <c r="B1338">
        <v>70000</v>
      </c>
      <c r="C1338">
        <v>2</v>
      </c>
      <c r="D1338">
        <v>2</v>
      </c>
      <c r="E1338">
        <v>2</v>
      </c>
      <c r="F1338">
        <v>26</v>
      </c>
      <c r="G1338">
        <v>2</v>
      </c>
      <c r="H1338">
        <v>2</v>
      </c>
      <c r="I1338">
        <v>2</v>
      </c>
      <c r="J1338">
        <v>3</v>
      </c>
      <c r="K1338">
        <v>2</v>
      </c>
      <c r="L1338">
        <v>2</v>
      </c>
      <c r="M1338">
        <v>42583</v>
      </c>
      <c r="N1338">
        <v>43600</v>
      </c>
      <c r="O1338">
        <v>47550</v>
      </c>
      <c r="P1338">
        <v>46487</v>
      </c>
      <c r="Q1338">
        <v>47298</v>
      </c>
      <c r="R1338">
        <v>46384</v>
      </c>
      <c r="S1338">
        <v>2000</v>
      </c>
      <c r="T1338">
        <v>5000</v>
      </c>
      <c r="U1338">
        <v>0</v>
      </c>
      <c r="V1338">
        <v>1700</v>
      </c>
      <c r="W1338">
        <v>0</v>
      </c>
      <c r="X1338">
        <v>3700</v>
      </c>
      <c r="Y1338">
        <v>1</v>
      </c>
    </row>
    <row r="1339" spans="1:25" x14ac:dyDescent="0.3">
      <c r="A1339">
        <v>1338</v>
      </c>
      <c r="B1339">
        <v>290000</v>
      </c>
      <c r="C1339">
        <v>2</v>
      </c>
      <c r="D1339">
        <v>1</v>
      </c>
      <c r="E1339">
        <v>2</v>
      </c>
      <c r="F1339">
        <v>31</v>
      </c>
      <c r="G1339">
        <v>-1</v>
      </c>
      <c r="H1339">
        <v>-1</v>
      </c>
      <c r="I1339">
        <v>-1</v>
      </c>
      <c r="J1339">
        <v>-1</v>
      </c>
      <c r="K1339">
        <v>-1</v>
      </c>
      <c r="L1339">
        <v>0</v>
      </c>
      <c r="M1339">
        <v>632</v>
      </c>
      <c r="N1339">
        <v>0</v>
      </c>
      <c r="O1339">
        <v>480</v>
      </c>
      <c r="P1339">
        <v>-150</v>
      </c>
      <c r="Q1339">
        <v>66675</v>
      </c>
      <c r="R1339">
        <v>68071</v>
      </c>
      <c r="S1339">
        <v>0</v>
      </c>
      <c r="T1339">
        <v>480</v>
      </c>
      <c r="U1339">
        <v>4</v>
      </c>
      <c r="V1339">
        <v>69001</v>
      </c>
      <c r="W1339">
        <v>2500</v>
      </c>
      <c r="X1339">
        <v>3000</v>
      </c>
      <c r="Y1339">
        <v>0</v>
      </c>
    </row>
    <row r="1340" spans="1:25" x14ac:dyDescent="0.3">
      <c r="A1340">
        <v>1339</v>
      </c>
      <c r="B1340">
        <v>80000</v>
      </c>
      <c r="C1340">
        <v>2</v>
      </c>
      <c r="D1340">
        <v>1</v>
      </c>
      <c r="E1340">
        <v>2</v>
      </c>
      <c r="F1340">
        <v>23</v>
      </c>
      <c r="G1340">
        <v>0</v>
      </c>
      <c r="H1340">
        <v>0</v>
      </c>
      <c r="I1340">
        <v>0</v>
      </c>
      <c r="J1340">
        <v>-2</v>
      </c>
      <c r="K1340">
        <v>-2</v>
      </c>
      <c r="L1340">
        <v>-2</v>
      </c>
      <c r="M1340">
        <v>8766</v>
      </c>
      <c r="N1340">
        <v>4777</v>
      </c>
      <c r="O1340">
        <v>0</v>
      </c>
      <c r="P1340">
        <v>0</v>
      </c>
      <c r="Q1340">
        <v>0</v>
      </c>
      <c r="R1340">
        <v>0</v>
      </c>
      <c r="S1340">
        <v>1600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</row>
    <row r="1341" spans="1:25" x14ac:dyDescent="0.3">
      <c r="A1341">
        <v>1340</v>
      </c>
      <c r="B1341">
        <v>50000</v>
      </c>
      <c r="C1341">
        <v>2</v>
      </c>
      <c r="D1341">
        <v>3</v>
      </c>
      <c r="E1341">
        <v>1</v>
      </c>
      <c r="F1341">
        <v>53</v>
      </c>
      <c r="G1341">
        <v>1</v>
      </c>
      <c r="H1341">
        <v>-2</v>
      </c>
      <c r="I1341">
        <v>-2</v>
      </c>
      <c r="J1341">
        <v>-2</v>
      </c>
      <c r="K1341">
        <v>-2</v>
      </c>
      <c r="L1341">
        <v>-2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1</v>
      </c>
    </row>
    <row r="1342" spans="1:25" x14ac:dyDescent="0.3">
      <c r="A1342">
        <v>1341</v>
      </c>
      <c r="B1342">
        <v>200000</v>
      </c>
      <c r="C1342">
        <v>2</v>
      </c>
      <c r="D1342">
        <v>3</v>
      </c>
      <c r="E1342">
        <v>2</v>
      </c>
      <c r="F1342">
        <v>49</v>
      </c>
      <c r="G1342">
        <v>-1</v>
      </c>
      <c r="H1342">
        <v>-1</v>
      </c>
      <c r="I1342">
        <v>0</v>
      </c>
      <c r="J1342">
        <v>0</v>
      </c>
      <c r="K1342">
        <v>0</v>
      </c>
      <c r="L1342">
        <v>-1</v>
      </c>
      <c r="M1342">
        <v>7697</v>
      </c>
      <c r="N1342">
        <v>18951</v>
      </c>
      <c r="O1342">
        <v>27974</v>
      </c>
      <c r="P1342">
        <v>30596</v>
      </c>
      <c r="Q1342">
        <v>38109</v>
      </c>
      <c r="R1342">
        <v>22170</v>
      </c>
      <c r="S1342">
        <v>20071</v>
      </c>
      <c r="T1342">
        <v>20036</v>
      </c>
      <c r="U1342">
        <v>15022</v>
      </c>
      <c r="V1342">
        <v>15113</v>
      </c>
      <c r="W1342">
        <v>22235</v>
      </c>
      <c r="X1342">
        <v>3919</v>
      </c>
      <c r="Y1342">
        <v>0</v>
      </c>
    </row>
    <row r="1343" spans="1:25" x14ac:dyDescent="0.3">
      <c r="A1343">
        <v>1342</v>
      </c>
      <c r="B1343">
        <v>200000</v>
      </c>
      <c r="C1343">
        <v>2</v>
      </c>
      <c r="D1343">
        <v>1</v>
      </c>
      <c r="E1343">
        <v>1</v>
      </c>
      <c r="F1343">
        <v>34</v>
      </c>
      <c r="G1343">
        <v>-2</v>
      </c>
      <c r="H1343">
        <v>-2</v>
      </c>
      <c r="I1343">
        <v>-2</v>
      </c>
      <c r="J1343">
        <v>-2</v>
      </c>
      <c r="K1343">
        <v>-2</v>
      </c>
      <c r="L1343">
        <v>-2</v>
      </c>
      <c r="M1343">
        <v>267</v>
      </c>
      <c r="N1343">
        <v>6794</v>
      </c>
      <c r="O1343">
        <v>10430</v>
      </c>
      <c r="P1343">
        <v>3576</v>
      </c>
      <c r="Q1343">
        <v>2522</v>
      </c>
      <c r="R1343">
        <v>934</v>
      </c>
      <c r="S1343">
        <v>6817</v>
      </c>
      <c r="T1343">
        <v>10671</v>
      </c>
      <c r="U1343">
        <v>3576</v>
      </c>
      <c r="V1343">
        <v>2522</v>
      </c>
      <c r="W1343">
        <v>934</v>
      </c>
      <c r="X1343">
        <v>7764</v>
      </c>
      <c r="Y1343">
        <v>0</v>
      </c>
    </row>
    <row r="1344" spans="1:25" x14ac:dyDescent="0.3">
      <c r="A1344">
        <v>1343</v>
      </c>
      <c r="B1344">
        <v>50000</v>
      </c>
      <c r="C1344">
        <v>2</v>
      </c>
      <c r="D1344">
        <v>1</v>
      </c>
      <c r="E1344">
        <v>2</v>
      </c>
      <c r="F1344">
        <v>22</v>
      </c>
      <c r="G1344">
        <v>-1</v>
      </c>
      <c r="H1344">
        <v>-1</v>
      </c>
      <c r="I1344">
        <v>-1</v>
      </c>
      <c r="J1344">
        <v>-1</v>
      </c>
      <c r="K1344">
        <v>-1</v>
      </c>
      <c r="L1344">
        <v>-1</v>
      </c>
      <c r="M1344">
        <v>586</v>
      </c>
      <c r="N1344">
        <v>297</v>
      </c>
      <c r="O1344">
        <v>3674</v>
      </c>
      <c r="P1344">
        <v>1392</v>
      </c>
      <c r="Q1344">
        <v>3085</v>
      </c>
      <c r="R1344">
        <v>3450</v>
      </c>
      <c r="S1344">
        <v>297</v>
      </c>
      <c r="T1344">
        <v>3675</v>
      </c>
      <c r="U1344">
        <v>1392</v>
      </c>
      <c r="V1344">
        <v>3086</v>
      </c>
      <c r="W1344">
        <v>3492</v>
      </c>
      <c r="X1344">
        <v>3721</v>
      </c>
      <c r="Y1344">
        <v>1</v>
      </c>
    </row>
    <row r="1345" spans="1:25" x14ac:dyDescent="0.3">
      <c r="A1345">
        <v>1344</v>
      </c>
      <c r="B1345">
        <v>20000</v>
      </c>
      <c r="C1345">
        <v>2</v>
      </c>
      <c r="D1345">
        <v>2</v>
      </c>
      <c r="E1345">
        <v>2</v>
      </c>
      <c r="F1345">
        <v>26</v>
      </c>
      <c r="G1345">
        <v>2</v>
      </c>
      <c r="H1345">
        <v>-1</v>
      </c>
      <c r="I1345">
        <v>0</v>
      </c>
      <c r="J1345">
        <v>0</v>
      </c>
      <c r="K1345">
        <v>0</v>
      </c>
      <c r="L1345">
        <v>0</v>
      </c>
      <c r="M1345">
        <v>1041</v>
      </c>
      <c r="N1345">
        <v>10757</v>
      </c>
      <c r="O1345">
        <v>11094</v>
      </c>
      <c r="P1345">
        <v>9351</v>
      </c>
      <c r="Q1345">
        <v>8562</v>
      </c>
      <c r="R1345">
        <v>8058</v>
      </c>
      <c r="S1345">
        <v>10758</v>
      </c>
      <c r="T1345">
        <v>2679</v>
      </c>
      <c r="U1345">
        <v>502</v>
      </c>
      <c r="V1345">
        <v>224</v>
      </c>
      <c r="W1345">
        <v>513</v>
      </c>
      <c r="X1345">
        <v>9</v>
      </c>
      <c r="Y1345">
        <v>0</v>
      </c>
    </row>
    <row r="1346" spans="1:25" x14ac:dyDescent="0.3">
      <c r="A1346">
        <v>1345</v>
      </c>
      <c r="B1346">
        <v>200000</v>
      </c>
      <c r="C1346">
        <v>1</v>
      </c>
      <c r="D1346">
        <v>1</v>
      </c>
      <c r="E1346">
        <v>1</v>
      </c>
      <c r="F1346">
        <v>38</v>
      </c>
      <c r="G1346">
        <v>-1</v>
      </c>
      <c r="H1346">
        <v>-1</v>
      </c>
      <c r="I1346">
        <v>-1</v>
      </c>
      <c r="J1346">
        <v>-1</v>
      </c>
      <c r="K1346">
        <v>-1</v>
      </c>
      <c r="L1346">
        <v>-1</v>
      </c>
      <c r="M1346">
        <v>6186</v>
      </c>
      <c r="N1346">
        <v>735</v>
      </c>
      <c r="O1346">
        <v>1463</v>
      </c>
      <c r="P1346">
        <v>15550</v>
      </c>
      <c r="Q1346">
        <v>5045</v>
      </c>
      <c r="R1346">
        <v>6709</v>
      </c>
      <c r="S1346">
        <v>735</v>
      </c>
      <c r="T1346">
        <v>1463</v>
      </c>
      <c r="U1346">
        <v>15550</v>
      </c>
      <c r="V1346">
        <v>5045</v>
      </c>
      <c r="W1346">
        <v>6709</v>
      </c>
      <c r="X1346">
        <v>3021</v>
      </c>
      <c r="Y1346">
        <v>1</v>
      </c>
    </row>
    <row r="1347" spans="1:25" x14ac:dyDescent="0.3">
      <c r="A1347">
        <v>1346</v>
      </c>
      <c r="B1347">
        <v>120000</v>
      </c>
      <c r="C1347">
        <v>2</v>
      </c>
      <c r="D1347">
        <v>1</v>
      </c>
      <c r="E1347">
        <v>2</v>
      </c>
      <c r="F1347">
        <v>35</v>
      </c>
      <c r="G1347">
        <v>1</v>
      </c>
      <c r="H1347">
        <v>2</v>
      </c>
      <c r="I1347">
        <v>0</v>
      </c>
      <c r="J1347">
        <v>0</v>
      </c>
      <c r="K1347">
        <v>0</v>
      </c>
      <c r="L1347">
        <v>0</v>
      </c>
      <c r="M1347">
        <v>77785</v>
      </c>
      <c r="N1347">
        <v>75984</v>
      </c>
      <c r="O1347">
        <v>78109</v>
      </c>
      <c r="P1347">
        <v>79198</v>
      </c>
      <c r="Q1347">
        <v>80865</v>
      </c>
      <c r="R1347">
        <v>82859</v>
      </c>
      <c r="S1347">
        <v>0</v>
      </c>
      <c r="T1347">
        <v>4000</v>
      </c>
      <c r="U1347">
        <v>2988</v>
      </c>
      <c r="V1347">
        <v>3100</v>
      </c>
      <c r="W1347">
        <v>3500</v>
      </c>
      <c r="X1347">
        <v>6382</v>
      </c>
      <c r="Y1347">
        <v>0</v>
      </c>
    </row>
    <row r="1348" spans="1:25" x14ac:dyDescent="0.3">
      <c r="A1348">
        <v>1347</v>
      </c>
      <c r="B1348">
        <v>220000</v>
      </c>
      <c r="C1348">
        <v>2</v>
      </c>
      <c r="D1348">
        <v>2</v>
      </c>
      <c r="E1348">
        <v>1</v>
      </c>
      <c r="F1348">
        <v>49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172184</v>
      </c>
      <c r="N1348">
        <v>170697</v>
      </c>
      <c r="O1348">
        <v>168041</v>
      </c>
      <c r="P1348">
        <v>163783</v>
      </c>
      <c r="Q1348">
        <v>160806</v>
      </c>
      <c r="R1348">
        <v>158866</v>
      </c>
      <c r="S1348">
        <v>7583</v>
      </c>
      <c r="T1348">
        <v>7461</v>
      </c>
      <c r="U1348">
        <v>5809</v>
      </c>
      <c r="V1348">
        <v>5608</v>
      </c>
      <c r="W1348">
        <v>6500</v>
      </c>
      <c r="X1348">
        <v>6100</v>
      </c>
      <c r="Y1348">
        <v>0</v>
      </c>
    </row>
    <row r="1349" spans="1:25" x14ac:dyDescent="0.3">
      <c r="A1349">
        <v>1348</v>
      </c>
      <c r="B1349">
        <v>630000</v>
      </c>
      <c r="C1349">
        <v>1</v>
      </c>
      <c r="D1349">
        <v>1</v>
      </c>
      <c r="E1349">
        <v>2</v>
      </c>
      <c r="F1349">
        <v>40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440474</v>
      </c>
      <c r="N1349">
        <v>444370</v>
      </c>
      <c r="O1349">
        <v>455286</v>
      </c>
      <c r="P1349">
        <v>327021</v>
      </c>
      <c r="Q1349">
        <v>334558</v>
      </c>
      <c r="R1349">
        <v>341439</v>
      </c>
      <c r="S1349">
        <v>18000</v>
      </c>
      <c r="T1349">
        <v>20000</v>
      </c>
      <c r="U1349">
        <v>12000</v>
      </c>
      <c r="V1349">
        <v>13000</v>
      </c>
      <c r="W1349">
        <v>13022</v>
      </c>
      <c r="X1349">
        <v>13016</v>
      </c>
      <c r="Y1349">
        <v>0</v>
      </c>
    </row>
    <row r="1350" spans="1:25" x14ac:dyDescent="0.3">
      <c r="A1350">
        <v>1349</v>
      </c>
      <c r="B1350">
        <v>300000</v>
      </c>
      <c r="C1350">
        <v>2</v>
      </c>
      <c r="D1350">
        <v>1</v>
      </c>
      <c r="E1350">
        <v>2</v>
      </c>
      <c r="F1350">
        <v>34</v>
      </c>
      <c r="G1350">
        <v>-1</v>
      </c>
      <c r="H1350">
        <v>-1</v>
      </c>
      <c r="I1350">
        <v>-1</v>
      </c>
      <c r="J1350">
        <v>-1</v>
      </c>
      <c r="K1350">
        <v>-1</v>
      </c>
      <c r="L1350">
        <v>-1</v>
      </c>
      <c r="M1350">
        <v>19357</v>
      </c>
      <c r="N1350">
        <v>5000</v>
      </c>
      <c r="O1350">
        <v>3744</v>
      </c>
      <c r="P1350">
        <v>8059</v>
      </c>
      <c r="Q1350">
        <v>3425</v>
      </c>
      <c r="R1350">
        <v>11860</v>
      </c>
      <c r="S1350">
        <v>5032</v>
      </c>
      <c r="T1350">
        <v>3744</v>
      </c>
      <c r="U1350">
        <v>8059</v>
      </c>
      <c r="V1350">
        <v>3425</v>
      </c>
      <c r="W1350">
        <v>11860</v>
      </c>
      <c r="X1350">
        <v>7595</v>
      </c>
      <c r="Y1350">
        <v>0</v>
      </c>
    </row>
    <row r="1351" spans="1:25" x14ac:dyDescent="0.3">
      <c r="A1351">
        <v>1350</v>
      </c>
      <c r="B1351">
        <v>10000</v>
      </c>
      <c r="C1351">
        <v>2</v>
      </c>
      <c r="D1351">
        <v>2</v>
      </c>
      <c r="E1351">
        <v>2</v>
      </c>
      <c r="F1351">
        <v>49</v>
      </c>
      <c r="G1351">
        <v>1</v>
      </c>
      <c r="H1351">
        <v>2</v>
      </c>
      <c r="I1351">
        <v>0</v>
      </c>
      <c r="J1351">
        <v>0</v>
      </c>
      <c r="K1351">
        <v>0</v>
      </c>
      <c r="L1351">
        <v>0</v>
      </c>
      <c r="M1351">
        <v>8184</v>
      </c>
      <c r="N1351">
        <v>5011</v>
      </c>
      <c r="O1351">
        <v>5728</v>
      </c>
      <c r="P1351">
        <v>4255</v>
      </c>
      <c r="Q1351">
        <v>2782</v>
      </c>
      <c r="R1351">
        <v>1309</v>
      </c>
      <c r="S1351">
        <v>0</v>
      </c>
      <c r="T1351">
        <v>1000</v>
      </c>
      <c r="U1351">
        <v>0</v>
      </c>
      <c r="V1351">
        <v>0</v>
      </c>
      <c r="W1351">
        <v>0</v>
      </c>
      <c r="X1351">
        <v>0</v>
      </c>
      <c r="Y1351">
        <v>1</v>
      </c>
    </row>
    <row r="1352" spans="1:25" x14ac:dyDescent="0.3">
      <c r="A1352">
        <v>1351</v>
      </c>
      <c r="B1352">
        <v>50000</v>
      </c>
      <c r="C1352">
        <v>1</v>
      </c>
      <c r="D1352">
        <v>2</v>
      </c>
      <c r="E1352">
        <v>2</v>
      </c>
      <c r="F1352">
        <v>29</v>
      </c>
      <c r="G1352">
        <v>1</v>
      </c>
      <c r="H1352">
        <v>-2</v>
      </c>
      <c r="I1352">
        <v>-2</v>
      </c>
      <c r="J1352">
        <v>-2</v>
      </c>
      <c r="K1352">
        <v>-2</v>
      </c>
      <c r="L1352">
        <v>-2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</row>
    <row r="1353" spans="1:25" x14ac:dyDescent="0.3">
      <c r="A1353">
        <v>1352</v>
      </c>
      <c r="B1353">
        <v>280000</v>
      </c>
      <c r="C1353">
        <v>2</v>
      </c>
      <c r="D1353">
        <v>1</v>
      </c>
      <c r="E1353">
        <v>1</v>
      </c>
      <c r="F1353">
        <v>39</v>
      </c>
      <c r="G1353">
        <v>-1</v>
      </c>
      <c r="H1353">
        <v>0</v>
      </c>
      <c r="I1353">
        <v>-1</v>
      </c>
      <c r="J1353">
        <v>-1</v>
      </c>
      <c r="K1353">
        <v>-1</v>
      </c>
      <c r="L1353">
        <v>-1</v>
      </c>
      <c r="M1353">
        <v>7791</v>
      </c>
      <c r="N1353">
        <v>5851</v>
      </c>
      <c r="O1353">
        <v>430</v>
      </c>
      <c r="P1353">
        <v>2041</v>
      </c>
      <c r="Q1353">
        <v>775</v>
      </c>
      <c r="R1353">
        <v>580</v>
      </c>
      <c r="S1353">
        <v>1000</v>
      </c>
      <c r="T1353">
        <v>430</v>
      </c>
      <c r="U1353">
        <v>2041</v>
      </c>
      <c r="V1353">
        <v>775</v>
      </c>
      <c r="W1353">
        <v>580</v>
      </c>
      <c r="X1353">
        <v>1029</v>
      </c>
      <c r="Y1353">
        <v>1</v>
      </c>
    </row>
    <row r="1354" spans="1:25" x14ac:dyDescent="0.3">
      <c r="A1354">
        <v>1353</v>
      </c>
      <c r="B1354">
        <v>130000</v>
      </c>
      <c r="C1354">
        <v>1</v>
      </c>
      <c r="D1354">
        <v>1</v>
      </c>
      <c r="E1354">
        <v>2</v>
      </c>
      <c r="F1354">
        <v>30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4536</v>
      </c>
      <c r="N1354">
        <v>5616</v>
      </c>
      <c r="O1354">
        <v>6455</v>
      </c>
      <c r="P1354">
        <v>6791</v>
      </c>
      <c r="Q1354">
        <v>6991</v>
      </c>
      <c r="R1354">
        <v>0</v>
      </c>
      <c r="S1354">
        <v>1161</v>
      </c>
      <c r="T1354">
        <v>1000</v>
      </c>
      <c r="U1354">
        <v>336</v>
      </c>
      <c r="V1354">
        <v>200</v>
      </c>
      <c r="W1354">
        <v>0</v>
      </c>
      <c r="X1354">
        <v>0</v>
      </c>
      <c r="Y1354">
        <v>0</v>
      </c>
    </row>
    <row r="1355" spans="1:25" x14ac:dyDescent="0.3">
      <c r="A1355">
        <v>1354</v>
      </c>
      <c r="B1355">
        <v>30000</v>
      </c>
      <c r="C1355">
        <v>2</v>
      </c>
      <c r="D1355">
        <v>3</v>
      </c>
      <c r="E1355">
        <v>1</v>
      </c>
      <c r="F1355">
        <v>28</v>
      </c>
      <c r="G1355">
        <v>0</v>
      </c>
      <c r="H1355">
        <v>0</v>
      </c>
      <c r="I1355">
        <v>0</v>
      </c>
      <c r="J1355">
        <v>2</v>
      </c>
      <c r="K1355">
        <v>0</v>
      </c>
      <c r="L1355">
        <v>0</v>
      </c>
      <c r="M1355">
        <v>23182</v>
      </c>
      <c r="N1355">
        <v>19083</v>
      </c>
      <c r="O1355">
        <v>19632</v>
      </c>
      <c r="P1355">
        <v>15252</v>
      </c>
      <c r="Q1355">
        <v>14021</v>
      </c>
      <c r="R1355">
        <v>13793</v>
      </c>
      <c r="S1355">
        <v>2000</v>
      </c>
      <c r="T1355">
        <v>2000</v>
      </c>
      <c r="U1355">
        <v>0</v>
      </c>
      <c r="V1355">
        <v>1500</v>
      </c>
      <c r="W1355">
        <v>1353</v>
      </c>
      <c r="X1355">
        <v>0</v>
      </c>
      <c r="Y1355">
        <v>0</v>
      </c>
    </row>
    <row r="1356" spans="1:25" x14ac:dyDescent="0.3">
      <c r="A1356">
        <v>1355</v>
      </c>
      <c r="B1356">
        <v>50000</v>
      </c>
      <c r="C1356">
        <v>2</v>
      </c>
      <c r="D1356">
        <v>2</v>
      </c>
      <c r="E1356">
        <v>1</v>
      </c>
      <c r="F1356">
        <v>27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9877</v>
      </c>
      <c r="N1356">
        <v>10800</v>
      </c>
      <c r="O1356">
        <v>5921</v>
      </c>
      <c r="P1356">
        <v>6042</v>
      </c>
      <c r="Q1356">
        <v>4012</v>
      </c>
      <c r="R1356">
        <v>0</v>
      </c>
      <c r="S1356">
        <v>1140</v>
      </c>
      <c r="T1356">
        <v>1000</v>
      </c>
      <c r="U1356">
        <v>121</v>
      </c>
      <c r="V1356">
        <v>0</v>
      </c>
      <c r="W1356">
        <v>0</v>
      </c>
      <c r="X1356">
        <v>10620</v>
      </c>
      <c r="Y1356">
        <v>0</v>
      </c>
    </row>
    <row r="1357" spans="1:25" x14ac:dyDescent="0.3">
      <c r="A1357">
        <v>1356</v>
      </c>
      <c r="B1357">
        <v>70000</v>
      </c>
      <c r="C1357">
        <v>2</v>
      </c>
      <c r="D1357">
        <v>3</v>
      </c>
      <c r="E1357">
        <v>1</v>
      </c>
      <c r="F1357">
        <v>38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24758</v>
      </c>
      <c r="N1357">
        <v>25581</v>
      </c>
      <c r="O1357">
        <v>16105</v>
      </c>
      <c r="P1357">
        <v>17571</v>
      </c>
      <c r="Q1357">
        <v>18330</v>
      </c>
      <c r="R1357">
        <v>16268</v>
      </c>
      <c r="S1357">
        <v>1273</v>
      </c>
      <c r="T1357">
        <v>1534</v>
      </c>
      <c r="U1357">
        <v>2000</v>
      </c>
      <c r="V1357">
        <v>1000</v>
      </c>
      <c r="W1357">
        <v>1000</v>
      </c>
      <c r="X1357">
        <v>1000</v>
      </c>
      <c r="Y1357">
        <v>0</v>
      </c>
    </row>
    <row r="1358" spans="1:25" x14ac:dyDescent="0.3">
      <c r="A1358">
        <v>1357</v>
      </c>
      <c r="B1358">
        <v>80000</v>
      </c>
      <c r="C1358">
        <v>1</v>
      </c>
      <c r="D1358">
        <v>2</v>
      </c>
      <c r="E1358">
        <v>2</v>
      </c>
      <c r="F1358">
        <v>29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41815</v>
      </c>
      <c r="N1358">
        <v>42938</v>
      </c>
      <c r="O1358">
        <v>44022</v>
      </c>
      <c r="P1358">
        <v>44792</v>
      </c>
      <c r="Q1358">
        <v>45915</v>
      </c>
      <c r="R1358">
        <v>46998</v>
      </c>
      <c r="S1358">
        <v>2100</v>
      </c>
      <c r="T1358">
        <v>2100</v>
      </c>
      <c r="U1358">
        <v>1800</v>
      </c>
      <c r="V1358">
        <v>2000</v>
      </c>
      <c r="W1358">
        <v>2000</v>
      </c>
      <c r="X1358">
        <v>2500</v>
      </c>
      <c r="Y1358">
        <v>0</v>
      </c>
    </row>
    <row r="1359" spans="1:25" x14ac:dyDescent="0.3">
      <c r="A1359">
        <v>1358</v>
      </c>
      <c r="B1359">
        <v>20000</v>
      </c>
      <c r="C1359">
        <v>2</v>
      </c>
      <c r="D1359">
        <v>2</v>
      </c>
      <c r="E1359">
        <v>1</v>
      </c>
      <c r="F1359">
        <v>22</v>
      </c>
      <c r="G1359">
        <v>2</v>
      </c>
      <c r="H1359">
        <v>2</v>
      </c>
      <c r="I1359">
        <v>2</v>
      </c>
      <c r="J1359">
        <v>0</v>
      </c>
      <c r="K1359">
        <v>0</v>
      </c>
      <c r="L1359">
        <v>0</v>
      </c>
      <c r="M1359">
        <v>16726</v>
      </c>
      <c r="N1359">
        <v>19143</v>
      </c>
      <c r="O1359">
        <v>18391</v>
      </c>
      <c r="P1359">
        <v>18562</v>
      </c>
      <c r="Q1359">
        <v>11798</v>
      </c>
      <c r="R1359">
        <v>0</v>
      </c>
      <c r="S1359">
        <v>3000</v>
      </c>
      <c r="T1359">
        <v>0</v>
      </c>
      <c r="U1359">
        <v>371</v>
      </c>
      <c r="V1359">
        <v>1236</v>
      </c>
      <c r="W1359">
        <v>0</v>
      </c>
      <c r="X1359">
        <v>0</v>
      </c>
      <c r="Y1359">
        <v>1</v>
      </c>
    </row>
    <row r="1360" spans="1:25" x14ac:dyDescent="0.3">
      <c r="A1360">
        <v>1359</v>
      </c>
      <c r="B1360">
        <v>390000</v>
      </c>
      <c r="C1360">
        <v>1</v>
      </c>
      <c r="D1360">
        <v>1</v>
      </c>
      <c r="E1360">
        <v>1</v>
      </c>
      <c r="F1360">
        <v>41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495559</v>
      </c>
      <c r="N1360">
        <v>248821</v>
      </c>
      <c r="O1360">
        <v>216051</v>
      </c>
      <c r="P1360">
        <v>208373</v>
      </c>
      <c r="Q1360">
        <v>199727</v>
      </c>
      <c r="R1360">
        <v>186332</v>
      </c>
      <c r="S1360">
        <v>10218</v>
      </c>
      <c r="T1360">
        <v>8035</v>
      </c>
      <c r="U1360">
        <v>7035</v>
      </c>
      <c r="V1360">
        <v>6056</v>
      </c>
      <c r="W1360">
        <v>8053</v>
      </c>
      <c r="X1360">
        <v>5603</v>
      </c>
      <c r="Y1360">
        <v>0</v>
      </c>
    </row>
    <row r="1361" spans="1:25" x14ac:dyDescent="0.3">
      <c r="A1361">
        <v>1360</v>
      </c>
      <c r="B1361">
        <v>470000</v>
      </c>
      <c r="C1361">
        <v>2</v>
      </c>
      <c r="D1361">
        <v>2</v>
      </c>
      <c r="E1361">
        <v>2</v>
      </c>
      <c r="F1361">
        <v>32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147113</v>
      </c>
      <c r="N1361">
        <v>133486</v>
      </c>
      <c r="O1361">
        <v>125159</v>
      </c>
      <c r="P1361">
        <v>120869</v>
      </c>
      <c r="Q1361">
        <v>60507</v>
      </c>
      <c r="R1361">
        <v>53100</v>
      </c>
      <c r="S1361">
        <v>5000</v>
      </c>
      <c r="T1361">
        <v>4500</v>
      </c>
      <c r="U1361">
        <v>2505</v>
      </c>
      <c r="V1361">
        <v>50000</v>
      </c>
      <c r="W1361">
        <v>3000</v>
      </c>
      <c r="X1361">
        <v>3000</v>
      </c>
      <c r="Y1361">
        <v>0</v>
      </c>
    </row>
    <row r="1362" spans="1:25" x14ac:dyDescent="0.3">
      <c r="A1362">
        <v>1361</v>
      </c>
      <c r="B1362">
        <v>240000</v>
      </c>
      <c r="C1362">
        <v>2</v>
      </c>
      <c r="D1362">
        <v>2</v>
      </c>
      <c r="E1362">
        <v>2</v>
      </c>
      <c r="F1362">
        <v>30</v>
      </c>
      <c r="G1362">
        <v>0</v>
      </c>
      <c r="H1362">
        <v>-1</v>
      </c>
      <c r="I1362">
        <v>-1</v>
      </c>
      <c r="J1362">
        <v>-2</v>
      </c>
      <c r="K1362">
        <v>-2</v>
      </c>
      <c r="L1362">
        <v>-2</v>
      </c>
      <c r="M1362">
        <v>7818</v>
      </c>
      <c r="N1362">
        <v>9363</v>
      </c>
      <c r="O1362">
        <v>0</v>
      </c>
      <c r="P1362">
        <v>0</v>
      </c>
      <c r="Q1362">
        <v>0</v>
      </c>
      <c r="R1362">
        <v>0</v>
      </c>
      <c r="S1362">
        <v>9434</v>
      </c>
      <c r="T1362">
        <v>0</v>
      </c>
      <c r="U1362">
        <v>0</v>
      </c>
      <c r="V1362">
        <v>0</v>
      </c>
      <c r="W1362">
        <v>0</v>
      </c>
      <c r="X1362">
        <v>178</v>
      </c>
      <c r="Y1362">
        <v>0</v>
      </c>
    </row>
    <row r="1363" spans="1:25" x14ac:dyDescent="0.3">
      <c r="A1363">
        <v>1362</v>
      </c>
      <c r="B1363">
        <v>140000</v>
      </c>
      <c r="C1363">
        <v>2</v>
      </c>
      <c r="D1363">
        <v>1</v>
      </c>
      <c r="E1363">
        <v>2</v>
      </c>
      <c r="F1363">
        <v>29</v>
      </c>
      <c r="G1363">
        <v>-1</v>
      </c>
      <c r="H1363">
        <v>-1</v>
      </c>
      <c r="I1363">
        <v>-1</v>
      </c>
      <c r="J1363">
        <v>-2</v>
      </c>
      <c r="K1363">
        <v>-2</v>
      </c>
      <c r="L1363">
        <v>-2</v>
      </c>
      <c r="M1363">
        <v>14943</v>
      </c>
      <c r="N1363">
        <v>2888</v>
      </c>
      <c r="O1363">
        <v>0</v>
      </c>
      <c r="P1363">
        <v>0</v>
      </c>
      <c r="Q1363">
        <v>0</v>
      </c>
      <c r="R1363">
        <v>0</v>
      </c>
      <c r="S1363">
        <v>2888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</row>
    <row r="1364" spans="1:25" x14ac:dyDescent="0.3">
      <c r="A1364">
        <v>1363</v>
      </c>
      <c r="B1364">
        <v>260000</v>
      </c>
      <c r="C1364">
        <v>2</v>
      </c>
      <c r="D1364">
        <v>2</v>
      </c>
      <c r="E1364">
        <v>1</v>
      </c>
      <c r="F1364">
        <v>37</v>
      </c>
      <c r="G1364">
        <v>2</v>
      </c>
      <c r="H1364">
        <v>2</v>
      </c>
      <c r="I1364">
        <v>2</v>
      </c>
      <c r="J1364">
        <v>0</v>
      </c>
      <c r="K1364">
        <v>0</v>
      </c>
      <c r="L1364">
        <v>0</v>
      </c>
      <c r="M1364">
        <v>244738</v>
      </c>
      <c r="N1364">
        <v>251351</v>
      </c>
      <c r="O1364">
        <v>244949</v>
      </c>
      <c r="P1364">
        <v>248273</v>
      </c>
      <c r="Q1364">
        <v>119124</v>
      </c>
      <c r="R1364">
        <v>132619</v>
      </c>
      <c r="S1364">
        <v>12000</v>
      </c>
      <c r="T1364">
        <v>0</v>
      </c>
      <c r="U1364">
        <v>11000</v>
      </c>
      <c r="V1364">
        <v>4321</v>
      </c>
      <c r="W1364">
        <v>20000</v>
      </c>
      <c r="X1364">
        <v>27</v>
      </c>
      <c r="Y1364">
        <v>1</v>
      </c>
    </row>
    <row r="1365" spans="1:25" x14ac:dyDescent="0.3">
      <c r="A1365">
        <v>1364</v>
      </c>
      <c r="B1365">
        <v>150000</v>
      </c>
      <c r="C1365">
        <v>2</v>
      </c>
      <c r="D1365">
        <v>1</v>
      </c>
      <c r="E1365">
        <v>2</v>
      </c>
      <c r="F1365">
        <v>25</v>
      </c>
      <c r="G1365">
        <v>1</v>
      </c>
      <c r="H1365">
        <v>-2</v>
      </c>
      <c r="I1365">
        <v>-1</v>
      </c>
      <c r="J1365">
        <v>-1</v>
      </c>
      <c r="K1365">
        <v>-1</v>
      </c>
      <c r="L1365">
        <v>-1</v>
      </c>
      <c r="M1365">
        <v>191</v>
      </c>
      <c r="N1365">
        <v>1963</v>
      </c>
      <c r="O1365">
        <v>4729</v>
      </c>
      <c r="P1365">
        <v>1568</v>
      </c>
      <c r="Q1365">
        <v>4295</v>
      </c>
      <c r="R1365">
        <v>0</v>
      </c>
      <c r="S1365">
        <v>1964</v>
      </c>
      <c r="T1365">
        <v>4729</v>
      </c>
      <c r="U1365">
        <v>1568</v>
      </c>
      <c r="V1365">
        <v>4295</v>
      </c>
      <c r="W1365">
        <v>0</v>
      </c>
      <c r="X1365">
        <v>1895</v>
      </c>
      <c r="Y1365">
        <v>0</v>
      </c>
    </row>
    <row r="1366" spans="1:25" x14ac:dyDescent="0.3">
      <c r="A1366">
        <v>1365</v>
      </c>
      <c r="B1366">
        <v>120000</v>
      </c>
      <c r="C1366">
        <v>1</v>
      </c>
      <c r="D1366">
        <v>1</v>
      </c>
      <c r="E1366">
        <v>1</v>
      </c>
      <c r="F1366">
        <v>46</v>
      </c>
      <c r="G1366">
        <v>0</v>
      </c>
      <c r="H1366">
        <v>0</v>
      </c>
      <c r="I1366">
        <v>2</v>
      </c>
      <c r="J1366">
        <v>2</v>
      </c>
      <c r="K1366">
        <v>2</v>
      </c>
      <c r="L1366">
        <v>2</v>
      </c>
      <c r="M1366">
        <v>14682</v>
      </c>
      <c r="N1366">
        <v>17325</v>
      </c>
      <c r="O1366">
        <v>17936</v>
      </c>
      <c r="P1366">
        <v>18536</v>
      </c>
      <c r="Q1366">
        <v>19091</v>
      </c>
      <c r="R1366">
        <v>19629</v>
      </c>
      <c r="S1366">
        <v>3200</v>
      </c>
      <c r="T1366">
        <v>1200</v>
      </c>
      <c r="U1366">
        <v>1200</v>
      </c>
      <c r="V1366">
        <v>1000</v>
      </c>
      <c r="W1366">
        <v>1000</v>
      </c>
      <c r="X1366">
        <v>0</v>
      </c>
      <c r="Y1366">
        <v>0</v>
      </c>
    </row>
    <row r="1367" spans="1:25" x14ac:dyDescent="0.3">
      <c r="A1367">
        <v>1366</v>
      </c>
      <c r="B1367">
        <v>20000</v>
      </c>
      <c r="C1367">
        <v>2</v>
      </c>
      <c r="D1367">
        <v>2</v>
      </c>
      <c r="E1367">
        <v>1</v>
      </c>
      <c r="F1367">
        <v>47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18021</v>
      </c>
      <c r="N1367">
        <v>17352</v>
      </c>
      <c r="O1367">
        <v>17667</v>
      </c>
      <c r="P1367">
        <v>18187</v>
      </c>
      <c r="Q1367">
        <v>20499</v>
      </c>
      <c r="R1367">
        <v>20718</v>
      </c>
      <c r="S1367">
        <v>1280</v>
      </c>
      <c r="T1367">
        <v>1293</v>
      </c>
      <c r="U1367">
        <v>813</v>
      </c>
      <c r="V1367">
        <v>2770</v>
      </c>
      <c r="W1367">
        <v>703</v>
      </c>
      <c r="X1367">
        <v>0</v>
      </c>
      <c r="Y1367">
        <v>0</v>
      </c>
    </row>
    <row r="1368" spans="1:25" x14ac:dyDescent="0.3">
      <c r="A1368">
        <v>1367</v>
      </c>
      <c r="B1368">
        <v>260000</v>
      </c>
      <c r="C1368">
        <v>2</v>
      </c>
      <c r="D1368">
        <v>4</v>
      </c>
      <c r="E1368">
        <v>2</v>
      </c>
      <c r="F1368">
        <v>42</v>
      </c>
      <c r="G1368">
        <v>-1</v>
      </c>
      <c r="H1368">
        <v>-1</v>
      </c>
      <c r="I1368">
        <v>-1</v>
      </c>
      <c r="J1368">
        <v>-1</v>
      </c>
      <c r="K1368">
        <v>-1</v>
      </c>
      <c r="L1368">
        <v>-1</v>
      </c>
      <c r="M1368">
        <v>399</v>
      </c>
      <c r="N1368">
        <v>2101</v>
      </c>
      <c r="O1368">
        <v>577</v>
      </c>
      <c r="P1368">
        <v>0</v>
      </c>
      <c r="Q1368">
        <v>200</v>
      </c>
      <c r="R1368">
        <v>0</v>
      </c>
      <c r="S1368">
        <v>2101</v>
      </c>
      <c r="T1368">
        <v>577</v>
      </c>
      <c r="U1368">
        <v>0</v>
      </c>
      <c r="V1368">
        <v>200</v>
      </c>
      <c r="W1368">
        <v>0</v>
      </c>
      <c r="X1368">
        <v>664</v>
      </c>
      <c r="Y1368">
        <v>0</v>
      </c>
    </row>
    <row r="1369" spans="1:25" x14ac:dyDescent="0.3">
      <c r="A1369">
        <v>1368</v>
      </c>
      <c r="B1369">
        <v>50000</v>
      </c>
      <c r="C1369">
        <v>1</v>
      </c>
      <c r="D1369">
        <v>3</v>
      </c>
      <c r="E1369">
        <v>2</v>
      </c>
      <c r="F1369">
        <v>22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42678</v>
      </c>
      <c r="N1369">
        <v>38239</v>
      </c>
      <c r="O1369">
        <v>22691</v>
      </c>
      <c r="P1369">
        <v>8807</v>
      </c>
      <c r="Q1369">
        <v>7143</v>
      </c>
      <c r="R1369">
        <v>6967</v>
      </c>
      <c r="S1369">
        <v>1500</v>
      </c>
      <c r="T1369">
        <v>1100</v>
      </c>
      <c r="U1369">
        <v>1000</v>
      </c>
      <c r="V1369">
        <v>500</v>
      </c>
      <c r="W1369">
        <v>500</v>
      </c>
      <c r="X1369">
        <v>1000</v>
      </c>
      <c r="Y1369">
        <v>1</v>
      </c>
    </row>
    <row r="1370" spans="1:25" x14ac:dyDescent="0.3">
      <c r="A1370">
        <v>1369</v>
      </c>
      <c r="B1370">
        <v>180000</v>
      </c>
      <c r="C1370">
        <v>2</v>
      </c>
      <c r="D1370">
        <v>2</v>
      </c>
      <c r="E1370">
        <v>2</v>
      </c>
      <c r="F1370">
        <v>27</v>
      </c>
      <c r="G1370">
        <v>2</v>
      </c>
      <c r="H1370">
        <v>2</v>
      </c>
      <c r="I1370">
        <v>2</v>
      </c>
      <c r="J1370">
        <v>2</v>
      </c>
      <c r="K1370">
        <v>0</v>
      </c>
      <c r="L1370">
        <v>0</v>
      </c>
      <c r="M1370">
        <v>126195</v>
      </c>
      <c r="N1370">
        <v>127881</v>
      </c>
      <c r="O1370">
        <v>128491</v>
      </c>
      <c r="P1370">
        <v>124080</v>
      </c>
      <c r="Q1370">
        <v>126154</v>
      </c>
      <c r="R1370">
        <v>130064</v>
      </c>
      <c r="S1370">
        <v>6000</v>
      </c>
      <c r="T1370">
        <v>4575</v>
      </c>
      <c r="U1370">
        <v>0</v>
      </c>
      <c r="V1370">
        <v>4600</v>
      </c>
      <c r="W1370">
        <v>6000</v>
      </c>
      <c r="X1370">
        <v>3100</v>
      </c>
      <c r="Y1370">
        <v>0</v>
      </c>
    </row>
    <row r="1371" spans="1:25" x14ac:dyDescent="0.3">
      <c r="A1371">
        <v>1370</v>
      </c>
      <c r="B1371">
        <v>310000</v>
      </c>
      <c r="C1371">
        <v>2</v>
      </c>
      <c r="D1371">
        <v>5</v>
      </c>
      <c r="E1371">
        <v>1</v>
      </c>
      <c r="F1371">
        <v>35</v>
      </c>
      <c r="G1371">
        <v>1</v>
      </c>
      <c r="H1371">
        <v>-2</v>
      </c>
      <c r="I1371">
        <v>-2</v>
      </c>
      <c r="J1371">
        <v>-2</v>
      </c>
      <c r="K1371">
        <v>-2</v>
      </c>
      <c r="L1371">
        <v>-2</v>
      </c>
      <c r="M1371">
        <v>10350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</row>
    <row r="1372" spans="1:25" x14ac:dyDescent="0.3">
      <c r="A1372">
        <v>1371</v>
      </c>
      <c r="B1372">
        <v>360000</v>
      </c>
      <c r="C1372">
        <v>1</v>
      </c>
      <c r="D1372">
        <v>2</v>
      </c>
      <c r="E1372">
        <v>1</v>
      </c>
      <c r="F1372">
        <v>44</v>
      </c>
      <c r="G1372">
        <v>-1</v>
      </c>
      <c r="H1372">
        <v>-1</v>
      </c>
      <c r="I1372">
        <v>-1</v>
      </c>
      <c r="J1372">
        <v>-1</v>
      </c>
      <c r="K1372">
        <v>-1</v>
      </c>
      <c r="L1372">
        <v>-1</v>
      </c>
      <c r="M1372">
        <v>5101</v>
      </c>
      <c r="N1372">
        <v>9358</v>
      </c>
      <c r="O1372">
        <v>15452</v>
      </c>
      <c r="P1372">
        <v>9990</v>
      </c>
      <c r="Q1372">
        <v>6515</v>
      </c>
      <c r="R1372">
        <v>5694</v>
      </c>
      <c r="S1372">
        <v>9419</v>
      </c>
      <c r="T1372">
        <v>15485</v>
      </c>
      <c r="U1372">
        <v>9995</v>
      </c>
      <c r="V1372">
        <v>6515</v>
      </c>
      <c r="W1372">
        <v>5694</v>
      </c>
      <c r="X1372">
        <v>12785</v>
      </c>
      <c r="Y1372">
        <v>0</v>
      </c>
    </row>
    <row r="1373" spans="1:25" x14ac:dyDescent="0.3">
      <c r="A1373">
        <v>1372</v>
      </c>
      <c r="B1373">
        <v>180000</v>
      </c>
      <c r="C1373">
        <v>2</v>
      </c>
      <c r="D1373">
        <v>2</v>
      </c>
      <c r="E1373">
        <v>2</v>
      </c>
      <c r="F1373">
        <v>30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14445</v>
      </c>
      <c r="N1373">
        <v>15404</v>
      </c>
      <c r="O1373">
        <v>19885</v>
      </c>
      <c r="P1373">
        <v>22355</v>
      </c>
      <c r="Q1373">
        <v>22902</v>
      </c>
      <c r="R1373">
        <v>15373</v>
      </c>
      <c r="S1373">
        <v>1500</v>
      </c>
      <c r="T1373">
        <v>4911</v>
      </c>
      <c r="U1373">
        <v>10355</v>
      </c>
      <c r="V1373">
        <v>10902</v>
      </c>
      <c r="W1373">
        <v>3500</v>
      </c>
      <c r="X1373">
        <v>5493</v>
      </c>
      <c r="Y1373">
        <v>0</v>
      </c>
    </row>
    <row r="1374" spans="1:25" x14ac:dyDescent="0.3">
      <c r="A1374">
        <v>1373</v>
      </c>
      <c r="B1374">
        <v>270000</v>
      </c>
      <c r="C1374">
        <v>2</v>
      </c>
      <c r="D1374">
        <v>1</v>
      </c>
      <c r="E1374">
        <v>1</v>
      </c>
      <c r="F1374">
        <v>42</v>
      </c>
      <c r="G1374">
        <v>2</v>
      </c>
      <c r="H1374">
        <v>2</v>
      </c>
      <c r="I1374">
        <v>5</v>
      </c>
      <c r="J1374">
        <v>5</v>
      </c>
      <c r="K1374">
        <v>4</v>
      </c>
      <c r="L1374">
        <v>3</v>
      </c>
      <c r="M1374">
        <v>1250</v>
      </c>
      <c r="N1374">
        <v>1250</v>
      </c>
      <c r="O1374">
        <v>1250</v>
      </c>
      <c r="P1374">
        <v>1250</v>
      </c>
      <c r="Q1374">
        <v>650</v>
      </c>
      <c r="R1374">
        <v>350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</row>
    <row r="1375" spans="1:25" x14ac:dyDescent="0.3">
      <c r="A1375">
        <v>1374</v>
      </c>
      <c r="B1375">
        <v>70000</v>
      </c>
      <c r="C1375">
        <v>1</v>
      </c>
      <c r="D1375">
        <v>1</v>
      </c>
      <c r="E1375">
        <v>2</v>
      </c>
      <c r="F1375">
        <v>28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67857</v>
      </c>
      <c r="N1375">
        <v>69711</v>
      </c>
      <c r="O1375">
        <v>64947</v>
      </c>
      <c r="P1375">
        <v>26022</v>
      </c>
      <c r="Q1375">
        <v>28575</v>
      </c>
      <c r="R1375">
        <v>21460</v>
      </c>
      <c r="S1375">
        <v>3000</v>
      </c>
      <c r="T1375">
        <v>1500</v>
      </c>
      <c r="U1375">
        <v>13959</v>
      </c>
      <c r="V1375">
        <v>3000</v>
      </c>
      <c r="W1375">
        <v>1500</v>
      </c>
      <c r="X1375">
        <v>4000</v>
      </c>
      <c r="Y1375">
        <v>0</v>
      </c>
    </row>
    <row r="1376" spans="1:25" x14ac:dyDescent="0.3">
      <c r="A1376">
        <v>1375</v>
      </c>
      <c r="B1376">
        <v>50000</v>
      </c>
      <c r="C1376">
        <v>1</v>
      </c>
      <c r="D1376">
        <v>2</v>
      </c>
      <c r="E1376">
        <v>2</v>
      </c>
      <c r="F1376">
        <v>24</v>
      </c>
      <c r="G1376">
        <v>-1</v>
      </c>
      <c r="H1376">
        <v>-1</v>
      </c>
      <c r="I1376">
        <v>-1</v>
      </c>
      <c r="J1376">
        <v>-1</v>
      </c>
      <c r="K1376">
        <v>0</v>
      </c>
      <c r="L1376">
        <v>-1</v>
      </c>
      <c r="M1376">
        <v>2155</v>
      </c>
      <c r="N1376">
        <v>0</v>
      </c>
      <c r="O1376">
        <v>1978</v>
      </c>
      <c r="P1376">
        <v>14207</v>
      </c>
      <c r="Q1376">
        <v>8602</v>
      </c>
      <c r="R1376">
        <v>7201</v>
      </c>
      <c r="S1376">
        <v>0</v>
      </c>
      <c r="T1376">
        <v>30300</v>
      </c>
      <c r="U1376">
        <v>14207</v>
      </c>
      <c r="V1376">
        <v>602</v>
      </c>
      <c r="W1376">
        <v>7201</v>
      </c>
      <c r="X1376">
        <v>383</v>
      </c>
      <c r="Y1376">
        <v>0</v>
      </c>
    </row>
    <row r="1377" spans="1:25" x14ac:dyDescent="0.3">
      <c r="A1377">
        <v>1376</v>
      </c>
      <c r="B1377">
        <v>30000</v>
      </c>
      <c r="C1377">
        <v>2</v>
      </c>
      <c r="D1377">
        <v>3</v>
      </c>
      <c r="E1377">
        <v>2</v>
      </c>
      <c r="F1377">
        <v>50</v>
      </c>
      <c r="G1377">
        <v>-2</v>
      </c>
      <c r="H1377">
        <v>-2</v>
      </c>
      <c r="I1377">
        <v>-2</v>
      </c>
      <c r="J1377">
        <v>-2</v>
      </c>
      <c r="K1377">
        <v>-1</v>
      </c>
      <c r="L1377">
        <v>2</v>
      </c>
      <c r="M1377">
        <v>0</v>
      </c>
      <c r="N1377">
        <v>0</v>
      </c>
      <c r="O1377">
        <v>0</v>
      </c>
      <c r="P1377">
        <v>0</v>
      </c>
      <c r="Q1377">
        <v>7092</v>
      </c>
      <c r="R1377">
        <v>6832</v>
      </c>
      <c r="S1377">
        <v>0</v>
      </c>
      <c r="T1377">
        <v>0</v>
      </c>
      <c r="U1377">
        <v>0</v>
      </c>
      <c r="V1377">
        <v>7092</v>
      </c>
      <c r="W1377">
        <v>0</v>
      </c>
      <c r="X1377">
        <v>0</v>
      </c>
      <c r="Y1377">
        <v>0</v>
      </c>
    </row>
    <row r="1378" spans="1:25" x14ac:dyDescent="0.3">
      <c r="A1378">
        <v>1377</v>
      </c>
      <c r="B1378">
        <v>50000</v>
      </c>
      <c r="C1378">
        <v>2</v>
      </c>
      <c r="D1378">
        <v>2</v>
      </c>
      <c r="E1378">
        <v>1</v>
      </c>
      <c r="F1378">
        <v>54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-1</v>
      </c>
      <c r="M1378">
        <v>11351</v>
      </c>
      <c r="N1378">
        <v>11449</v>
      </c>
      <c r="O1378">
        <v>6515</v>
      </c>
      <c r="P1378">
        <v>2315</v>
      </c>
      <c r="Q1378">
        <v>1817</v>
      </c>
      <c r="R1378">
        <v>2081</v>
      </c>
      <c r="S1378">
        <v>1150</v>
      </c>
      <c r="T1378">
        <v>1012</v>
      </c>
      <c r="U1378">
        <v>46</v>
      </c>
      <c r="V1378">
        <v>36</v>
      </c>
      <c r="W1378">
        <v>2081</v>
      </c>
      <c r="X1378">
        <v>2270</v>
      </c>
      <c r="Y1378">
        <v>0</v>
      </c>
    </row>
    <row r="1379" spans="1:25" x14ac:dyDescent="0.3">
      <c r="A1379">
        <v>1378</v>
      </c>
      <c r="B1379">
        <v>350000</v>
      </c>
      <c r="C1379">
        <v>1</v>
      </c>
      <c r="D1379">
        <v>2</v>
      </c>
      <c r="E1379">
        <v>1</v>
      </c>
      <c r="F1379">
        <v>37</v>
      </c>
      <c r="G1379">
        <v>-1</v>
      </c>
      <c r="H1379">
        <v>-1</v>
      </c>
      <c r="I1379">
        <v>-1</v>
      </c>
      <c r="J1379">
        <v>-1</v>
      </c>
      <c r="K1379">
        <v>-1</v>
      </c>
      <c r="L1379">
        <v>-1</v>
      </c>
      <c r="M1379">
        <v>325</v>
      </c>
      <c r="N1379">
        <v>294</v>
      </c>
      <c r="O1379">
        <v>6574</v>
      </c>
      <c r="P1379">
        <v>3543</v>
      </c>
      <c r="Q1379">
        <v>1654</v>
      </c>
      <c r="R1379">
        <v>6186</v>
      </c>
      <c r="S1379">
        <v>294</v>
      </c>
      <c r="T1379">
        <v>6636</v>
      </c>
      <c r="U1379">
        <v>3559</v>
      </c>
      <c r="V1379">
        <v>1659</v>
      </c>
      <c r="W1379">
        <v>6215</v>
      </c>
      <c r="X1379">
        <v>325</v>
      </c>
      <c r="Y1379">
        <v>0</v>
      </c>
    </row>
    <row r="1380" spans="1:25" x14ac:dyDescent="0.3">
      <c r="A1380">
        <v>1379</v>
      </c>
      <c r="B1380">
        <v>200000</v>
      </c>
      <c r="C1380">
        <v>1</v>
      </c>
      <c r="D1380">
        <v>1</v>
      </c>
      <c r="E1380">
        <v>1</v>
      </c>
      <c r="F1380">
        <v>58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192461</v>
      </c>
      <c r="N1380">
        <v>195970</v>
      </c>
      <c r="O1380">
        <v>122214</v>
      </c>
      <c r="P1380">
        <v>124647</v>
      </c>
      <c r="Q1380">
        <v>126921</v>
      </c>
      <c r="R1380">
        <v>129167</v>
      </c>
      <c r="S1380">
        <v>7822</v>
      </c>
      <c r="T1380">
        <v>4417</v>
      </c>
      <c r="U1380">
        <v>4446</v>
      </c>
      <c r="V1380">
        <v>4597</v>
      </c>
      <c r="W1380">
        <v>4677</v>
      </c>
      <c r="X1380">
        <v>4698</v>
      </c>
      <c r="Y1380">
        <v>0</v>
      </c>
    </row>
    <row r="1381" spans="1:25" x14ac:dyDescent="0.3">
      <c r="A1381">
        <v>1380</v>
      </c>
      <c r="B1381">
        <v>80000</v>
      </c>
      <c r="C1381">
        <v>1</v>
      </c>
      <c r="D1381">
        <v>3</v>
      </c>
      <c r="E1381">
        <v>2</v>
      </c>
      <c r="F1381">
        <v>26</v>
      </c>
      <c r="G1381">
        <v>1</v>
      </c>
      <c r="H1381">
        <v>2</v>
      </c>
      <c r="I1381">
        <v>2</v>
      </c>
      <c r="J1381">
        <v>2</v>
      </c>
      <c r="K1381">
        <v>2</v>
      </c>
      <c r="L1381">
        <v>2</v>
      </c>
      <c r="M1381">
        <v>71661</v>
      </c>
      <c r="N1381">
        <v>69947</v>
      </c>
      <c r="O1381">
        <v>74755</v>
      </c>
      <c r="P1381">
        <v>75732</v>
      </c>
      <c r="Q1381">
        <v>74397</v>
      </c>
      <c r="R1381">
        <v>80138</v>
      </c>
      <c r="S1381">
        <v>0</v>
      </c>
      <c r="T1381">
        <v>6000</v>
      </c>
      <c r="U1381">
        <v>2800</v>
      </c>
      <c r="V1381">
        <v>0</v>
      </c>
      <c r="W1381">
        <v>7000</v>
      </c>
      <c r="X1381">
        <v>8</v>
      </c>
      <c r="Y1381">
        <v>0</v>
      </c>
    </row>
    <row r="1382" spans="1:25" x14ac:dyDescent="0.3">
      <c r="A1382">
        <v>1381</v>
      </c>
      <c r="B1382">
        <v>60000</v>
      </c>
      <c r="C1382">
        <v>2</v>
      </c>
      <c r="D1382">
        <v>2</v>
      </c>
      <c r="E1382">
        <v>1</v>
      </c>
      <c r="F1382">
        <v>31</v>
      </c>
      <c r="G1382">
        <v>0</v>
      </c>
      <c r="H1382">
        <v>0</v>
      </c>
      <c r="I1382">
        <v>0</v>
      </c>
      <c r="J1382">
        <v>3</v>
      </c>
      <c r="K1382">
        <v>2</v>
      </c>
      <c r="L1382">
        <v>2</v>
      </c>
      <c r="M1382">
        <v>47000</v>
      </c>
      <c r="N1382">
        <v>49236</v>
      </c>
      <c r="O1382">
        <v>57752</v>
      </c>
      <c r="P1382">
        <v>56243</v>
      </c>
      <c r="Q1382">
        <v>55213</v>
      </c>
      <c r="R1382">
        <v>58700</v>
      </c>
      <c r="S1382">
        <v>3000</v>
      </c>
      <c r="T1382">
        <v>10000</v>
      </c>
      <c r="U1382">
        <v>0</v>
      </c>
      <c r="V1382">
        <v>0</v>
      </c>
      <c r="W1382">
        <v>4400</v>
      </c>
      <c r="X1382">
        <v>2200</v>
      </c>
      <c r="Y1382">
        <v>0</v>
      </c>
    </row>
    <row r="1383" spans="1:25" x14ac:dyDescent="0.3">
      <c r="A1383">
        <v>1382</v>
      </c>
      <c r="B1383">
        <v>30000</v>
      </c>
      <c r="C1383">
        <v>1</v>
      </c>
      <c r="D1383">
        <v>1</v>
      </c>
      <c r="E1383">
        <v>1</v>
      </c>
      <c r="F1383">
        <v>52</v>
      </c>
      <c r="G1383">
        <v>0</v>
      </c>
      <c r="H1383">
        <v>0</v>
      </c>
      <c r="I1383">
        <v>0</v>
      </c>
      <c r="J1383">
        <v>2</v>
      </c>
      <c r="K1383">
        <v>0</v>
      </c>
      <c r="L1383">
        <v>0</v>
      </c>
      <c r="M1383">
        <v>15743</v>
      </c>
      <c r="N1383">
        <v>16784</v>
      </c>
      <c r="O1383">
        <v>18998</v>
      </c>
      <c r="P1383">
        <v>18395</v>
      </c>
      <c r="Q1383">
        <v>19100</v>
      </c>
      <c r="R1383">
        <v>20582</v>
      </c>
      <c r="S1383">
        <v>1300</v>
      </c>
      <c r="T1383">
        <v>2500</v>
      </c>
      <c r="U1383">
        <v>0</v>
      </c>
      <c r="V1383">
        <v>1000</v>
      </c>
      <c r="W1383">
        <v>1800</v>
      </c>
      <c r="X1383">
        <v>0</v>
      </c>
      <c r="Y1383">
        <v>0</v>
      </c>
    </row>
    <row r="1384" spans="1:25" x14ac:dyDescent="0.3">
      <c r="A1384">
        <v>1383</v>
      </c>
      <c r="B1384">
        <v>110000</v>
      </c>
      <c r="C1384">
        <v>2</v>
      </c>
      <c r="D1384">
        <v>1</v>
      </c>
      <c r="E1384">
        <v>2</v>
      </c>
      <c r="F1384">
        <v>36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108316</v>
      </c>
      <c r="N1384">
        <v>100784</v>
      </c>
      <c r="O1384">
        <v>88568</v>
      </c>
      <c r="P1384">
        <v>43720</v>
      </c>
      <c r="Q1384">
        <v>42138</v>
      </c>
      <c r="R1384">
        <v>43085</v>
      </c>
      <c r="S1384">
        <v>4600</v>
      </c>
      <c r="T1384">
        <v>3500</v>
      </c>
      <c r="U1384">
        <v>2000</v>
      </c>
      <c r="V1384">
        <v>2000</v>
      </c>
      <c r="W1384">
        <v>1800</v>
      </c>
      <c r="X1384">
        <v>1700</v>
      </c>
      <c r="Y1384">
        <v>0</v>
      </c>
    </row>
    <row r="1385" spans="1:25" x14ac:dyDescent="0.3">
      <c r="A1385">
        <v>1384</v>
      </c>
      <c r="B1385">
        <v>300000</v>
      </c>
      <c r="C1385">
        <v>2</v>
      </c>
      <c r="D1385">
        <v>1</v>
      </c>
      <c r="E1385">
        <v>2</v>
      </c>
      <c r="F1385">
        <v>27</v>
      </c>
      <c r="G1385">
        <v>-1</v>
      </c>
      <c r="H1385">
        <v>-1</v>
      </c>
      <c r="I1385">
        <v>-1</v>
      </c>
      <c r="J1385">
        <v>0</v>
      </c>
      <c r="K1385">
        <v>0</v>
      </c>
      <c r="L1385">
        <v>0</v>
      </c>
      <c r="M1385">
        <v>42189</v>
      </c>
      <c r="N1385">
        <v>83754</v>
      </c>
      <c r="O1385">
        <v>120927</v>
      </c>
      <c r="P1385">
        <v>105303</v>
      </c>
      <c r="Q1385">
        <v>82475</v>
      </c>
      <c r="R1385">
        <v>33262</v>
      </c>
      <c r="S1385">
        <v>83754</v>
      </c>
      <c r="T1385">
        <v>120927</v>
      </c>
      <c r="U1385">
        <v>0</v>
      </c>
      <c r="V1385">
        <v>716</v>
      </c>
      <c r="W1385">
        <v>25213</v>
      </c>
      <c r="X1385">
        <v>92250</v>
      </c>
      <c r="Y1385">
        <v>0</v>
      </c>
    </row>
    <row r="1386" spans="1:25" x14ac:dyDescent="0.3">
      <c r="A1386">
        <v>1385</v>
      </c>
      <c r="B1386">
        <v>50000</v>
      </c>
      <c r="C1386">
        <v>2</v>
      </c>
      <c r="D1386">
        <v>3</v>
      </c>
      <c r="E1386">
        <v>1</v>
      </c>
      <c r="F1386">
        <v>22</v>
      </c>
      <c r="G1386">
        <v>0</v>
      </c>
      <c r="H1386">
        <v>0</v>
      </c>
      <c r="I1386">
        <v>0</v>
      </c>
      <c r="J1386">
        <v>0</v>
      </c>
      <c r="K1386">
        <v>-1</v>
      </c>
      <c r="L1386">
        <v>0</v>
      </c>
      <c r="M1386">
        <v>22854</v>
      </c>
      <c r="N1386">
        <v>31329</v>
      </c>
      <c r="O1386">
        <v>23927</v>
      </c>
      <c r="P1386">
        <v>0</v>
      </c>
      <c r="Q1386">
        <v>83</v>
      </c>
      <c r="R1386">
        <v>20083</v>
      </c>
      <c r="S1386">
        <v>9000</v>
      </c>
      <c r="T1386">
        <v>1507</v>
      </c>
      <c r="U1386">
        <v>0</v>
      </c>
      <c r="V1386">
        <v>83</v>
      </c>
      <c r="W1386">
        <v>20000</v>
      </c>
      <c r="X1386">
        <v>600</v>
      </c>
      <c r="Y1386">
        <v>0</v>
      </c>
    </row>
    <row r="1387" spans="1:25" x14ac:dyDescent="0.3">
      <c r="A1387">
        <v>1386</v>
      </c>
      <c r="B1387">
        <v>500000</v>
      </c>
      <c r="C1387">
        <v>1</v>
      </c>
      <c r="D1387">
        <v>1</v>
      </c>
      <c r="E1387">
        <v>2</v>
      </c>
      <c r="F1387">
        <v>39</v>
      </c>
      <c r="G1387">
        <v>-1</v>
      </c>
      <c r="H1387">
        <v>-1</v>
      </c>
      <c r="I1387">
        <v>-1</v>
      </c>
      <c r="J1387">
        <v>-1</v>
      </c>
      <c r="K1387">
        <v>0</v>
      </c>
      <c r="L1387">
        <v>-1</v>
      </c>
      <c r="M1387">
        <v>2450</v>
      </c>
      <c r="N1387">
        <v>11833</v>
      </c>
      <c r="O1387">
        <v>22963</v>
      </c>
      <c r="P1387">
        <v>7086</v>
      </c>
      <c r="Q1387">
        <v>5453</v>
      </c>
      <c r="R1387">
        <v>1486</v>
      </c>
      <c r="S1387">
        <v>11833</v>
      </c>
      <c r="T1387">
        <v>22963</v>
      </c>
      <c r="U1387">
        <v>7086</v>
      </c>
      <c r="V1387">
        <v>0</v>
      </c>
      <c r="W1387">
        <v>1486</v>
      </c>
      <c r="X1387">
        <v>7570</v>
      </c>
      <c r="Y1387">
        <v>0</v>
      </c>
    </row>
    <row r="1388" spans="1:25" x14ac:dyDescent="0.3">
      <c r="A1388">
        <v>1387</v>
      </c>
      <c r="B1388">
        <v>360000</v>
      </c>
      <c r="C1388">
        <v>1</v>
      </c>
      <c r="D1388">
        <v>1</v>
      </c>
      <c r="E1388">
        <v>2</v>
      </c>
      <c r="F1388">
        <v>36</v>
      </c>
      <c r="G1388">
        <v>-1</v>
      </c>
      <c r="H1388">
        <v>-1</v>
      </c>
      <c r="I1388">
        <v>-1</v>
      </c>
      <c r="J1388">
        <v>0</v>
      </c>
      <c r="K1388">
        <v>0</v>
      </c>
      <c r="L1388">
        <v>0</v>
      </c>
      <c r="M1388">
        <v>356913</v>
      </c>
      <c r="N1388">
        <v>208305</v>
      </c>
      <c r="O1388">
        <v>68214</v>
      </c>
      <c r="P1388">
        <v>168014</v>
      </c>
      <c r="Q1388">
        <v>16209</v>
      </c>
      <c r="R1388">
        <v>18918</v>
      </c>
      <c r="S1388">
        <v>210000</v>
      </c>
      <c r="T1388">
        <v>170000</v>
      </c>
      <c r="U1388">
        <v>100000</v>
      </c>
      <c r="V1388">
        <v>3000</v>
      </c>
      <c r="W1388">
        <v>3000</v>
      </c>
      <c r="X1388">
        <v>5000</v>
      </c>
      <c r="Y1388">
        <v>0</v>
      </c>
    </row>
    <row r="1389" spans="1:25" x14ac:dyDescent="0.3">
      <c r="A1389">
        <v>1388</v>
      </c>
      <c r="B1389">
        <v>20000</v>
      </c>
      <c r="C1389">
        <v>2</v>
      </c>
      <c r="D1389">
        <v>2</v>
      </c>
      <c r="E1389">
        <v>1</v>
      </c>
      <c r="F1389">
        <v>39</v>
      </c>
      <c r="G1389">
        <v>1</v>
      </c>
      <c r="H1389">
        <v>2</v>
      </c>
      <c r="I1389">
        <v>2</v>
      </c>
      <c r="J1389">
        <v>0</v>
      </c>
      <c r="K1389">
        <v>-1</v>
      </c>
      <c r="L1389">
        <v>-1</v>
      </c>
      <c r="M1389">
        <v>14112</v>
      </c>
      <c r="N1389">
        <v>11221</v>
      </c>
      <c r="O1389">
        <v>10656</v>
      </c>
      <c r="P1389">
        <v>7928</v>
      </c>
      <c r="Q1389">
        <v>580</v>
      </c>
      <c r="R1389">
        <v>0</v>
      </c>
      <c r="S1389">
        <v>3520</v>
      </c>
      <c r="T1389">
        <v>0</v>
      </c>
      <c r="U1389">
        <v>1000</v>
      </c>
      <c r="V1389">
        <v>580</v>
      </c>
      <c r="W1389">
        <v>0</v>
      </c>
      <c r="X1389">
        <v>0</v>
      </c>
      <c r="Y1389">
        <v>0</v>
      </c>
    </row>
    <row r="1390" spans="1:25" x14ac:dyDescent="0.3">
      <c r="A1390">
        <v>1389</v>
      </c>
      <c r="B1390">
        <v>220000</v>
      </c>
      <c r="C1390">
        <v>1</v>
      </c>
      <c r="D1390">
        <v>1</v>
      </c>
      <c r="E1390">
        <v>1</v>
      </c>
      <c r="F1390">
        <v>39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75190</v>
      </c>
      <c r="N1390">
        <v>151004</v>
      </c>
      <c r="O1390">
        <v>152786</v>
      </c>
      <c r="P1390">
        <v>137946</v>
      </c>
      <c r="Q1390">
        <v>118310</v>
      </c>
      <c r="R1390">
        <v>119147</v>
      </c>
      <c r="S1390">
        <v>100000</v>
      </c>
      <c r="T1390">
        <v>8000</v>
      </c>
      <c r="U1390">
        <v>6000</v>
      </c>
      <c r="V1390">
        <v>5000</v>
      </c>
      <c r="W1390">
        <v>5000</v>
      </c>
      <c r="X1390">
        <v>5000</v>
      </c>
      <c r="Y1390">
        <v>0</v>
      </c>
    </row>
    <row r="1391" spans="1:25" x14ac:dyDescent="0.3">
      <c r="A1391">
        <v>1390</v>
      </c>
      <c r="B1391">
        <v>20000</v>
      </c>
      <c r="C1391">
        <v>2</v>
      </c>
      <c r="D1391">
        <v>2</v>
      </c>
      <c r="E1391">
        <v>2</v>
      </c>
      <c r="F1391">
        <v>22</v>
      </c>
      <c r="G1391">
        <v>0</v>
      </c>
      <c r="H1391">
        <v>0</v>
      </c>
      <c r="I1391">
        <v>2</v>
      </c>
      <c r="J1391">
        <v>0</v>
      </c>
      <c r="K1391">
        <v>0</v>
      </c>
      <c r="L1391">
        <v>2</v>
      </c>
      <c r="M1391">
        <v>11192</v>
      </c>
      <c r="N1391">
        <v>15677</v>
      </c>
      <c r="O1391">
        <v>15133</v>
      </c>
      <c r="P1391">
        <v>15582</v>
      </c>
      <c r="Q1391">
        <v>16677</v>
      </c>
      <c r="R1391">
        <v>16259</v>
      </c>
      <c r="S1391">
        <v>5000</v>
      </c>
      <c r="T1391">
        <v>0</v>
      </c>
      <c r="U1391">
        <v>1000</v>
      </c>
      <c r="V1391">
        <v>1500</v>
      </c>
      <c r="W1391">
        <v>0</v>
      </c>
      <c r="X1391">
        <v>700</v>
      </c>
      <c r="Y1391">
        <v>0</v>
      </c>
    </row>
    <row r="1392" spans="1:25" x14ac:dyDescent="0.3">
      <c r="A1392">
        <v>1391</v>
      </c>
      <c r="B1392">
        <v>60000</v>
      </c>
      <c r="C1392">
        <v>1</v>
      </c>
      <c r="D1392">
        <v>2</v>
      </c>
      <c r="E1392">
        <v>1</v>
      </c>
      <c r="F1392">
        <v>37</v>
      </c>
      <c r="G1392">
        <v>3</v>
      </c>
      <c r="H1392">
        <v>4</v>
      </c>
      <c r="I1392">
        <v>3</v>
      </c>
      <c r="J1392">
        <v>2</v>
      </c>
      <c r="K1392">
        <v>2</v>
      </c>
      <c r="L1392">
        <v>2</v>
      </c>
      <c r="M1392">
        <v>30381</v>
      </c>
      <c r="N1392">
        <v>29986</v>
      </c>
      <c r="O1392">
        <v>29210</v>
      </c>
      <c r="P1392">
        <v>29729</v>
      </c>
      <c r="Q1392">
        <v>30505</v>
      </c>
      <c r="R1392">
        <v>32232</v>
      </c>
      <c r="S1392">
        <v>366</v>
      </c>
      <c r="T1392">
        <v>0</v>
      </c>
      <c r="U1392">
        <v>1300</v>
      </c>
      <c r="V1392">
        <v>1400</v>
      </c>
      <c r="W1392">
        <v>2400</v>
      </c>
      <c r="X1392">
        <v>2300</v>
      </c>
      <c r="Y1392">
        <v>1</v>
      </c>
    </row>
    <row r="1393" spans="1:25" x14ac:dyDescent="0.3">
      <c r="A1393">
        <v>1392</v>
      </c>
      <c r="B1393">
        <v>170000</v>
      </c>
      <c r="C1393">
        <v>2</v>
      </c>
      <c r="D1393">
        <v>1</v>
      </c>
      <c r="E1393">
        <v>2</v>
      </c>
      <c r="F1393">
        <v>30</v>
      </c>
      <c r="G1393">
        <v>-1</v>
      </c>
      <c r="H1393">
        <v>0</v>
      </c>
      <c r="I1393">
        <v>-1</v>
      </c>
      <c r="J1393">
        <v>-1</v>
      </c>
      <c r="K1393">
        <v>0</v>
      </c>
      <c r="L1393">
        <v>-1</v>
      </c>
      <c r="M1393">
        <v>1560</v>
      </c>
      <c r="N1393">
        <v>1280</v>
      </c>
      <c r="O1393">
        <v>590</v>
      </c>
      <c r="P1393">
        <v>1168</v>
      </c>
      <c r="Q1393">
        <v>2160</v>
      </c>
      <c r="R1393">
        <v>145564</v>
      </c>
      <c r="S1393">
        <v>1000</v>
      </c>
      <c r="T1393">
        <v>590</v>
      </c>
      <c r="U1393">
        <v>1168</v>
      </c>
      <c r="V1393">
        <v>1582</v>
      </c>
      <c r="W1393">
        <v>145564</v>
      </c>
      <c r="X1393">
        <v>5069</v>
      </c>
      <c r="Y1393">
        <v>0</v>
      </c>
    </row>
    <row r="1394" spans="1:25" x14ac:dyDescent="0.3">
      <c r="A1394">
        <v>1393</v>
      </c>
      <c r="B1394">
        <v>200000</v>
      </c>
      <c r="C1394">
        <v>2</v>
      </c>
      <c r="D1394">
        <v>2</v>
      </c>
      <c r="E1394">
        <v>1</v>
      </c>
      <c r="F1394">
        <v>26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47236</v>
      </c>
      <c r="N1394">
        <v>45200</v>
      </c>
      <c r="O1394">
        <v>35939</v>
      </c>
      <c r="P1394">
        <v>34096</v>
      </c>
      <c r="Q1394">
        <v>34876</v>
      </c>
      <c r="R1394">
        <v>34615</v>
      </c>
      <c r="S1394">
        <v>1800</v>
      </c>
      <c r="T1394">
        <v>1603</v>
      </c>
      <c r="U1394">
        <v>2000</v>
      </c>
      <c r="V1394">
        <v>2500</v>
      </c>
      <c r="W1394">
        <v>1500</v>
      </c>
      <c r="X1394">
        <v>1500</v>
      </c>
      <c r="Y1394">
        <v>0</v>
      </c>
    </row>
    <row r="1395" spans="1:25" x14ac:dyDescent="0.3">
      <c r="A1395">
        <v>1394</v>
      </c>
      <c r="B1395">
        <v>20000</v>
      </c>
      <c r="C1395">
        <v>2</v>
      </c>
      <c r="D1395">
        <v>1</v>
      </c>
      <c r="E1395">
        <v>2</v>
      </c>
      <c r="F1395">
        <v>23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19990</v>
      </c>
      <c r="N1395">
        <v>20038</v>
      </c>
      <c r="O1395">
        <v>19571</v>
      </c>
      <c r="P1395">
        <v>14362</v>
      </c>
      <c r="Q1395">
        <v>15127</v>
      </c>
      <c r="R1395">
        <v>15872</v>
      </c>
      <c r="S1395">
        <v>1438</v>
      </c>
      <c r="T1395">
        <v>1300</v>
      </c>
      <c r="U1395">
        <v>1000</v>
      </c>
      <c r="V1395">
        <v>1000</v>
      </c>
      <c r="W1395">
        <v>1000</v>
      </c>
      <c r="X1395">
        <v>2000</v>
      </c>
      <c r="Y1395">
        <v>0</v>
      </c>
    </row>
    <row r="1396" spans="1:25" x14ac:dyDescent="0.3">
      <c r="A1396">
        <v>1395</v>
      </c>
      <c r="B1396">
        <v>140000</v>
      </c>
      <c r="C1396">
        <v>2</v>
      </c>
      <c r="D1396">
        <v>3</v>
      </c>
      <c r="E1396">
        <v>2</v>
      </c>
      <c r="F1396">
        <v>23</v>
      </c>
      <c r="G1396">
        <v>-2</v>
      </c>
      <c r="H1396">
        <v>-2</v>
      </c>
      <c r="I1396">
        <v>-2</v>
      </c>
      <c r="J1396">
        <v>-2</v>
      </c>
      <c r="K1396">
        <v>-2</v>
      </c>
      <c r="L1396">
        <v>-2</v>
      </c>
      <c r="M1396">
        <v>67505</v>
      </c>
      <c r="N1396">
        <v>36772</v>
      </c>
      <c r="O1396">
        <v>38399</v>
      </c>
      <c r="P1396">
        <v>39131</v>
      </c>
      <c r="Q1396">
        <v>39508</v>
      </c>
      <c r="R1396">
        <v>3441</v>
      </c>
      <c r="S1396">
        <v>2000</v>
      </c>
      <c r="T1396">
        <v>2400</v>
      </c>
      <c r="U1396">
        <v>2132</v>
      </c>
      <c r="V1396">
        <v>1617</v>
      </c>
      <c r="W1396">
        <v>515</v>
      </c>
      <c r="X1396">
        <v>2031</v>
      </c>
      <c r="Y1396">
        <v>0</v>
      </c>
    </row>
    <row r="1397" spans="1:25" x14ac:dyDescent="0.3">
      <c r="A1397">
        <v>1396</v>
      </c>
      <c r="B1397">
        <v>330000</v>
      </c>
      <c r="C1397">
        <v>2</v>
      </c>
      <c r="D1397">
        <v>1</v>
      </c>
      <c r="E1397">
        <v>2</v>
      </c>
      <c r="F1397">
        <v>35</v>
      </c>
      <c r="G1397">
        <v>-2</v>
      </c>
      <c r="H1397">
        <v>-2</v>
      </c>
      <c r="I1397">
        <v>-2</v>
      </c>
      <c r="J1397">
        <v>-2</v>
      </c>
      <c r="K1397">
        <v>-2</v>
      </c>
      <c r="L1397">
        <v>-2</v>
      </c>
      <c r="M1397">
        <v>1663</v>
      </c>
      <c r="N1397">
        <v>0</v>
      </c>
      <c r="O1397">
        <v>0</v>
      </c>
      <c r="P1397">
        <v>0</v>
      </c>
      <c r="Q1397">
        <v>29221</v>
      </c>
      <c r="R1397">
        <v>3194</v>
      </c>
      <c r="S1397">
        <v>0</v>
      </c>
      <c r="T1397">
        <v>0</v>
      </c>
      <c r="U1397">
        <v>0</v>
      </c>
      <c r="V1397">
        <v>29221</v>
      </c>
      <c r="W1397">
        <v>3194</v>
      </c>
      <c r="X1397">
        <v>0</v>
      </c>
      <c r="Y1397">
        <v>0</v>
      </c>
    </row>
    <row r="1398" spans="1:25" x14ac:dyDescent="0.3">
      <c r="A1398">
        <v>1397</v>
      </c>
      <c r="B1398">
        <v>180000</v>
      </c>
      <c r="C1398">
        <v>2</v>
      </c>
      <c r="D1398">
        <v>2</v>
      </c>
      <c r="E1398">
        <v>2</v>
      </c>
      <c r="F1398">
        <v>24</v>
      </c>
      <c r="G1398">
        <v>1</v>
      </c>
      <c r="H1398">
        <v>2</v>
      </c>
      <c r="I1398">
        <v>2</v>
      </c>
      <c r="J1398">
        <v>2</v>
      </c>
      <c r="K1398">
        <v>2</v>
      </c>
      <c r="L1398">
        <v>2</v>
      </c>
      <c r="M1398">
        <v>108580</v>
      </c>
      <c r="N1398">
        <v>105403</v>
      </c>
      <c r="O1398">
        <v>112073</v>
      </c>
      <c r="P1398">
        <v>111345</v>
      </c>
      <c r="Q1398">
        <v>98404</v>
      </c>
      <c r="R1398">
        <v>102460</v>
      </c>
      <c r="S1398">
        <v>0</v>
      </c>
      <c r="T1398">
        <v>8564</v>
      </c>
      <c r="U1398">
        <v>4000</v>
      </c>
      <c r="V1398">
        <v>0</v>
      </c>
      <c r="W1398">
        <v>7414</v>
      </c>
      <c r="X1398">
        <v>0</v>
      </c>
      <c r="Y1398">
        <v>1</v>
      </c>
    </row>
    <row r="1399" spans="1:25" x14ac:dyDescent="0.3">
      <c r="A1399">
        <v>1398</v>
      </c>
      <c r="B1399">
        <v>360000</v>
      </c>
      <c r="C1399">
        <v>2</v>
      </c>
      <c r="D1399">
        <v>2</v>
      </c>
      <c r="E1399">
        <v>1</v>
      </c>
      <c r="F1399">
        <v>35</v>
      </c>
      <c r="G1399">
        <v>0</v>
      </c>
      <c r="H1399">
        <v>0</v>
      </c>
      <c r="I1399">
        <v>0</v>
      </c>
      <c r="J1399">
        <v>-1</v>
      </c>
      <c r="K1399">
        <v>-1</v>
      </c>
      <c r="L1399">
        <v>0</v>
      </c>
      <c r="M1399">
        <v>5157</v>
      </c>
      <c r="N1399">
        <v>2461</v>
      </c>
      <c r="O1399">
        <v>0</v>
      </c>
      <c r="P1399">
        <v>277</v>
      </c>
      <c r="Q1399">
        <v>2599</v>
      </c>
      <c r="R1399">
        <v>3941</v>
      </c>
      <c r="S1399">
        <v>1012</v>
      </c>
      <c r="T1399">
        <v>0</v>
      </c>
      <c r="U1399">
        <v>277</v>
      </c>
      <c r="V1399">
        <v>2602</v>
      </c>
      <c r="W1399">
        <v>2019</v>
      </c>
      <c r="X1399">
        <v>1123</v>
      </c>
      <c r="Y1399">
        <v>0</v>
      </c>
    </row>
    <row r="1400" spans="1:25" x14ac:dyDescent="0.3">
      <c r="A1400">
        <v>1399</v>
      </c>
      <c r="B1400">
        <v>20000</v>
      </c>
      <c r="C1400">
        <v>1</v>
      </c>
      <c r="D1400">
        <v>3</v>
      </c>
      <c r="E1400">
        <v>1</v>
      </c>
      <c r="F1400">
        <v>51</v>
      </c>
      <c r="G1400">
        <v>2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14815</v>
      </c>
      <c r="N1400">
        <v>15837</v>
      </c>
      <c r="O1400">
        <v>16852</v>
      </c>
      <c r="P1400">
        <v>17188</v>
      </c>
      <c r="Q1400">
        <v>17546</v>
      </c>
      <c r="R1400">
        <v>17895</v>
      </c>
      <c r="S1400">
        <v>1264</v>
      </c>
      <c r="T1400">
        <v>1279</v>
      </c>
      <c r="U1400">
        <v>615</v>
      </c>
      <c r="V1400">
        <v>635</v>
      </c>
      <c r="W1400">
        <v>639</v>
      </c>
      <c r="X1400">
        <v>664</v>
      </c>
      <c r="Y1400">
        <v>0</v>
      </c>
    </row>
    <row r="1401" spans="1:25" x14ac:dyDescent="0.3">
      <c r="A1401">
        <v>1400</v>
      </c>
      <c r="B1401">
        <v>50000</v>
      </c>
      <c r="C1401">
        <v>2</v>
      </c>
      <c r="D1401">
        <v>1</v>
      </c>
      <c r="E1401">
        <v>2</v>
      </c>
      <c r="F1401">
        <v>23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2</v>
      </c>
      <c r="M1401">
        <v>34422</v>
      </c>
      <c r="N1401">
        <v>32703</v>
      </c>
      <c r="O1401">
        <v>22851</v>
      </c>
      <c r="P1401">
        <v>6699</v>
      </c>
      <c r="Q1401">
        <v>10060</v>
      </c>
      <c r="R1401">
        <v>7737</v>
      </c>
      <c r="S1401">
        <v>1544</v>
      </c>
      <c r="T1401">
        <v>1000</v>
      </c>
      <c r="U1401">
        <v>0</v>
      </c>
      <c r="V1401">
        <v>3361</v>
      </c>
      <c r="W1401">
        <v>0</v>
      </c>
      <c r="X1401">
        <v>100</v>
      </c>
      <c r="Y1401">
        <v>0</v>
      </c>
    </row>
    <row r="1402" spans="1:25" x14ac:dyDescent="0.3">
      <c r="A1402">
        <v>1401</v>
      </c>
      <c r="B1402">
        <v>100000</v>
      </c>
      <c r="C1402">
        <v>2</v>
      </c>
      <c r="D1402">
        <v>2</v>
      </c>
      <c r="E1402">
        <v>1</v>
      </c>
      <c r="F1402">
        <v>25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20755</v>
      </c>
      <c r="N1402">
        <v>20043</v>
      </c>
      <c r="O1402">
        <v>19778</v>
      </c>
      <c r="P1402">
        <v>24939</v>
      </c>
      <c r="Q1402">
        <v>28639</v>
      </c>
      <c r="R1402">
        <v>8370</v>
      </c>
      <c r="S1402">
        <v>2000</v>
      </c>
      <c r="T1402">
        <v>2000</v>
      </c>
      <c r="U1402">
        <v>6000</v>
      </c>
      <c r="V1402">
        <v>4000</v>
      </c>
      <c r="W1402">
        <v>4000</v>
      </c>
      <c r="X1402">
        <v>3000</v>
      </c>
      <c r="Y1402">
        <v>0</v>
      </c>
    </row>
    <row r="1403" spans="1:25" x14ac:dyDescent="0.3">
      <c r="A1403">
        <v>1402</v>
      </c>
      <c r="B1403">
        <v>30000</v>
      </c>
      <c r="C1403">
        <v>1</v>
      </c>
      <c r="D1403">
        <v>2</v>
      </c>
      <c r="E1403">
        <v>1</v>
      </c>
      <c r="F1403">
        <v>36</v>
      </c>
      <c r="G1403">
        <v>2</v>
      </c>
      <c r="H1403">
        <v>2</v>
      </c>
      <c r="I1403">
        <v>0</v>
      </c>
      <c r="J1403">
        <v>0</v>
      </c>
      <c r="K1403">
        <v>0</v>
      </c>
      <c r="L1403">
        <v>0</v>
      </c>
      <c r="M1403">
        <v>30573</v>
      </c>
      <c r="N1403">
        <v>28473</v>
      </c>
      <c r="O1403">
        <v>29083</v>
      </c>
      <c r="P1403">
        <v>28313</v>
      </c>
      <c r="Q1403">
        <v>28932</v>
      </c>
      <c r="R1403">
        <v>29565</v>
      </c>
      <c r="S1403">
        <v>0</v>
      </c>
      <c r="T1403">
        <v>2000</v>
      </c>
      <c r="U1403">
        <v>940</v>
      </c>
      <c r="V1403">
        <v>1000</v>
      </c>
      <c r="W1403">
        <v>1106</v>
      </c>
      <c r="X1403">
        <v>0</v>
      </c>
      <c r="Y1403">
        <v>0</v>
      </c>
    </row>
    <row r="1404" spans="1:25" x14ac:dyDescent="0.3">
      <c r="A1404">
        <v>1403</v>
      </c>
      <c r="B1404">
        <v>70000</v>
      </c>
      <c r="C1404">
        <v>2</v>
      </c>
      <c r="D1404">
        <v>2</v>
      </c>
      <c r="E1404">
        <v>1</v>
      </c>
      <c r="F1404">
        <v>44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4221</v>
      </c>
      <c r="N1404">
        <v>6642</v>
      </c>
      <c r="O1404">
        <v>8361</v>
      </c>
      <c r="P1404">
        <v>10208</v>
      </c>
      <c r="Q1404">
        <v>11038</v>
      </c>
      <c r="R1404">
        <v>11848</v>
      </c>
      <c r="S1404">
        <v>2500</v>
      </c>
      <c r="T1404">
        <v>2000</v>
      </c>
      <c r="U1404">
        <v>2000</v>
      </c>
      <c r="V1404">
        <v>1000</v>
      </c>
      <c r="W1404">
        <v>1000</v>
      </c>
      <c r="X1404">
        <v>1000</v>
      </c>
      <c r="Y1404">
        <v>1</v>
      </c>
    </row>
    <row r="1405" spans="1:25" x14ac:dyDescent="0.3">
      <c r="A1405">
        <v>1404</v>
      </c>
      <c r="B1405">
        <v>470000</v>
      </c>
      <c r="C1405">
        <v>1</v>
      </c>
      <c r="D1405">
        <v>1</v>
      </c>
      <c r="E1405">
        <v>2</v>
      </c>
      <c r="F1405">
        <v>33</v>
      </c>
      <c r="G1405">
        <v>-1</v>
      </c>
      <c r="H1405">
        <v>-1</v>
      </c>
      <c r="I1405">
        <v>-1</v>
      </c>
      <c r="J1405">
        <v>0</v>
      </c>
      <c r="K1405">
        <v>0</v>
      </c>
      <c r="L1405">
        <v>-1</v>
      </c>
      <c r="M1405">
        <v>5613</v>
      </c>
      <c r="N1405">
        <v>11576</v>
      </c>
      <c r="O1405">
        <v>7017</v>
      </c>
      <c r="P1405">
        <v>1185</v>
      </c>
      <c r="Q1405">
        <v>0</v>
      </c>
      <c r="R1405">
        <v>542</v>
      </c>
      <c r="S1405">
        <v>11606</v>
      </c>
      <c r="T1405">
        <v>7017</v>
      </c>
      <c r="U1405">
        <v>24</v>
      </c>
      <c r="V1405">
        <v>0</v>
      </c>
      <c r="W1405">
        <v>542</v>
      </c>
      <c r="X1405">
        <v>208896</v>
      </c>
      <c r="Y1405">
        <v>0</v>
      </c>
    </row>
    <row r="1406" spans="1:25" x14ac:dyDescent="0.3">
      <c r="A1406">
        <v>1405</v>
      </c>
      <c r="B1406">
        <v>300000</v>
      </c>
      <c r="C1406">
        <v>2</v>
      </c>
      <c r="D1406">
        <v>1</v>
      </c>
      <c r="E1406">
        <v>1</v>
      </c>
      <c r="F1406">
        <v>36</v>
      </c>
      <c r="G1406">
        <v>-1</v>
      </c>
      <c r="H1406">
        <v>-1</v>
      </c>
      <c r="I1406">
        <v>-2</v>
      </c>
      <c r="J1406">
        <v>-2</v>
      </c>
      <c r="K1406">
        <v>-2</v>
      </c>
      <c r="L1406">
        <v>-2</v>
      </c>
      <c r="M1406">
        <v>8385</v>
      </c>
      <c r="N1406">
        <v>-27</v>
      </c>
      <c r="O1406">
        <v>-27</v>
      </c>
      <c r="P1406">
        <v>-27</v>
      </c>
      <c r="Q1406">
        <v>-27</v>
      </c>
      <c r="R1406">
        <v>-27</v>
      </c>
      <c r="S1406">
        <v>27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</row>
    <row r="1407" spans="1:25" x14ac:dyDescent="0.3">
      <c r="A1407">
        <v>1406</v>
      </c>
      <c r="B1407">
        <v>300000</v>
      </c>
      <c r="C1407">
        <v>2</v>
      </c>
      <c r="D1407">
        <v>1</v>
      </c>
      <c r="E1407">
        <v>1</v>
      </c>
      <c r="F1407">
        <v>45</v>
      </c>
      <c r="G1407">
        <v>-1</v>
      </c>
      <c r="H1407">
        <v>-1</v>
      </c>
      <c r="I1407">
        <v>-1</v>
      </c>
      <c r="J1407">
        <v>0</v>
      </c>
      <c r="K1407">
        <v>0</v>
      </c>
      <c r="L1407">
        <v>-1</v>
      </c>
      <c r="M1407">
        <v>6608</v>
      </c>
      <c r="N1407">
        <v>10009</v>
      </c>
      <c r="O1407">
        <v>22456</v>
      </c>
      <c r="P1407">
        <v>22056</v>
      </c>
      <c r="Q1407">
        <v>14020</v>
      </c>
      <c r="R1407">
        <v>1230</v>
      </c>
      <c r="S1407">
        <v>10017</v>
      </c>
      <c r="T1407">
        <v>22456</v>
      </c>
      <c r="U1407">
        <v>0</v>
      </c>
      <c r="V1407">
        <v>0</v>
      </c>
      <c r="W1407">
        <v>1230</v>
      </c>
      <c r="X1407">
        <v>0</v>
      </c>
      <c r="Y1407">
        <v>1</v>
      </c>
    </row>
    <row r="1408" spans="1:25" x14ac:dyDescent="0.3">
      <c r="A1408">
        <v>1407</v>
      </c>
      <c r="B1408">
        <v>200000</v>
      </c>
      <c r="C1408">
        <v>2</v>
      </c>
      <c r="D1408">
        <v>1</v>
      </c>
      <c r="E1408">
        <v>2</v>
      </c>
      <c r="F1408">
        <v>26</v>
      </c>
      <c r="G1408">
        <v>-2</v>
      </c>
      <c r="H1408">
        <v>-2</v>
      </c>
      <c r="I1408">
        <v>-2</v>
      </c>
      <c r="J1408">
        <v>-2</v>
      </c>
      <c r="K1408">
        <v>-2</v>
      </c>
      <c r="L1408">
        <v>-2</v>
      </c>
      <c r="M1408">
        <v>2179</v>
      </c>
      <c r="N1408">
        <v>6440</v>
      </c>
      <c r="O1408">
        <v>3908</v>
      </c>
      <c r="P1408">
        <v>-5</v>
      </c>
      <c r="Q1408">
        <v>1060</v>
      </c>
      <c r="R1408">
        <v>2996</v>
      </c>
      <c r="S1408">
        <v>6440</v>
      </c>
      <c r="T1408">
        <v>3908</v>
      </c>
      <c r="U1408">
        <v>5</v>
      </c>
      <c r="V1408">
        <v>1065</v>
      </c>
      <c r="W1408">
        <v>3000</v>
      </c>
      <c r="X1408">
        <v>1108</v>
      </c>
      <c r="Y1408">
        <v>0</v>
      </c>
    </row>
    <row r="1409" spans="1:25" x14ac:dyDescent="0.3">
      <c r="A1409">
        <v>1408</v>
      </c>
      <c r="B1409">
        <v>150000</v>
      </c>
      <c r="C1409">
        <v>2</v>
      </c>
      <c r="D1409">
        <v>2</v>
      </c>
      <c r="E1409">
        <v>1</v>
      </c>
      <c r="F1409">
        <v>41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79021</v>
      </c>
      <c r="N1409">
        <v>77975</v>
      </c>
      <c r="O1409">
        <v>74749</v>
      </c>
      <c r="P1409">
        <v>80757</v>
      </c>
      <c r="Q1409">
        <v>83685</v>
      </c>
      <c r="R1409">
        <v>81569</v>
      </c>
      <c r="S1409">
        <v>4023</v>
      </c>
      <c r="T1409">
        <v>3016</v>
      </c>
      <c r="U1409">
        <v>10000</v>
      </c>
      <c r="V1409">
        <v>4011</v>
      </c>
      <c r="W1409">
        <v>3073</v>
      </c>
      <c r="X1409">
        <v>3005</v>
      </c>
      <c r="Y1409">
        <v>0</v>
      </c>
    </row>
    <row r="1410" spans="1:25" x14ac:dyDescent="0.3">
      <c r="A1410">
        <v>1409</v>
      </c>
      <c r="B1410">
        <v>220000</v>
      </c>
      <c r="C1410">
        <v>2</v>
      </c>
      <c r="D1410">
        <v>2</v>
      </c>
      <c r="E1410">
        <v>2</v>
      </c>
      <c r="F1410">
        <v>25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165040</v>
      </c>
      <c r="N1410">
        <v>167485</v>
      </c>
      <c r="O1410">
        <v>148133</v>
      </c>
      <c r="P1410">
        <v>123266</v>
      </c>
      <c r="Q1410">
        <v>125736</v>
      </c>
      <c r="R1410">
        <v>128342</v>
      </c>
      <c r="S1410">
        <v>6809</v>
      </c>
      <c r="T1410">
        <v>7038</v>
      </c>
      <c r="U1410">
        <v>5000</v>
      </c>
      <c r="V1410">
        <v>4500</v>
      </c>
      <c r="W1410">
        <v>5000</v>
      </c>
      <c r="X1410">
        <v>4473</v>
      </c>
      <c r="Y1410">
        <v>1</v>
      </c>
    </row>
    <row r="1411" spans="1:25" x14ac:dyDescent="0.3">
      <c r="A1411">
        <v>1410</v>
      </c>
      <c r="B1411">
        <v>420000</v>
      </c>
      <c r="C1411">
        <v>1</v>
      </c>
      <c r="D1411">
        <v>1</v>
      </c>
      <c r="E1411">
        <v>2</v>
      </c>
      <c r="F1411">
        <v>31</v>
      </c>
      <c r="G1411">
        <v>-2</v>
      </c>
      <c r="H1411">
        <v>-2</v>
      </c>
      <c r="I1411">
        <v>-2</v>
      </c>
      <c r="J1411">
        <v>-2</v>
      </c>
      <c r="K1411">
        <v>-2</v>
      </c>
      <c r="L1411">
        <v>-2</v>
      </c>
      <c r="M1411">
        <v>1569</v>
      </c>
      <c r="N1411">
        <v>563</v>
      </c>
      <c r="O1411">
        <v>1914</v>
      </c>
      <c r="P1411">
        <v>1189</v>
      </c>
      <c r="Q1411">
        <v>1208</v>
      </c>
      <c r="R1411">
        <v>4964</v>
      </c>
      <c r="S1411">
        <v>565</v>
      </c>
      <c r="T1411">
        <v>1923</v>
      </c>
      <c r="U1411">
        <v>1194</v>
      </c>
      <c r="V1411">
        <v>1214</v>
      </c>
      <c r="W1411">
        <v>4988</v>
      </c>
      <c r="X1411">
        <v>296</v>
      </c>
      <c r="Y1411">
        <v>0</v>
      </c>
    </row>
    <row r="1412" spans="1:25" x14ac:dyDescent="0.3">
      <c r="A1412">
        <v>1411</v>
      </c>
      <c r="B1412">
        <v>210000</v>
      </c>
      <c r="C1412">
        <v>2</v>
      </c>
      <c r="D1412">
        <v>2</v>
      </c>
      <c r="E1412">
        <v>2</v>
      </c>
      <c r="F1412">
        <v>45</v>
      </c>
      <c r="G1412">
        <v>-2</v>
      </c>
      <c r="H1412">
        <v>-2</v>
      </c>
      <c r="I1412">
        <v>-2</v>
      </c>
      <c r="J1412">
        <v>-2</v>
      </c>
      <c r="K1412">
        <v>-2</v>
      </c>
      <c r="L1412">
        <v>-2</v>
      </c>
      <c r="M1412">
        <v>467</v>
      </c>
      <c r="N1412">
        <v>2050</v>
      </c>
      <c r="O1412">
        <v>416</v>
      </c>
      <c r="P1412">
        <v>416</v>
      </c>
      <c r="Q1412">
        <v>416</v>
      </c>
      <c r="R1412">
        <v>416</v>
      </c>
      <c r="S1412">
        <v>2050</v>
      </c>
      <c r="T1412">
        <v>416</v>
      </c>
      <c r="U1412">
        <v>416</v>
      </c>
      <c r="V1412">
        <v>416</v>
      </c>
      <c r="W1412">
        <v>416</v>
      </c>
      <c r="X1412">
        <v>416</v>
      </c>
      <c r="Y1412">
        <v>0</v>
      </c>
    </row>
    <row r="1413" spans="1:25" x14ac:dyDescent="0.3">
      <c r="A1413">
        <v>1412</v>
      </c>
      <c r="B1413">
        <v>450000</v>
      </c>
      <c r="C1413">
        <v>1</v>
      </c>
      <c r="D1413">
        <v>3</v>
      </c>
      <c r="E1413">
        <v>1</v>
      </c>
      <c r="F1413">
        <v>58</v>
      </c>
      <c r="G1413">
        <v>-1</v>
      </c>
      <c r="H1413">
        <v>-1</v>
      </c>
      <c r="I1413">
        <v>-1</v>
      </c>
      <c r="J1413">
        <v>-1</v>
      </c>
      <c r="K1413">
        <v>-1</v>
      </c>
      <c r="L1413">
        <v>-1</v>
      </c>
      <c r="M1413">
        <v>8940</v>
      </c>
      <c r="N1413">
        <v>6239</v>
      </c>
      <c r="O1413">
        <v>5535</v>
      </c>
      <c r="P1413">
        <v>9856</v>
      </c>
      <c r="Q1413">
        <v>819</v>
      </c>
      <c r="R1413">
        <v>863</v>
      </c>
      <c r="S1413">
        <v>6271</v>
      </c>
      <c r="T1413">
        <v>5740</v>
      </c>
      <c r="U1413">
        <v>9905</v>
      </c>
      <c r="V1413">
        <v>823</v>
      </c>
      <c r="W1413">
        <v>867</v>
      </c>
      <c r="X1413">
        <v>2488</v>
      </c>
      <c r="Y1413">
        <v>0</v>
      </c>
    </row>
    <row r="1414" spans="1:25" x14ac:dyDescent="0.3">
      <c r="A1414">
        <v>1413</v>
      </c>
      <c r="B1414">
        <v>30000</v>
      </c>
      <c r="C1414">
        <v>1</v>
      </c>
      <c r="D1414">
        <v>2</v>
      </c>
      <c r="E1414">
        <v>1</v>
      </c>
      <c r="F1414">
        <v>38</v>
      </c>
      <c r="G1414">
        <v>-1</v>
      </c>
      <c r="H1414">
        <v>-1</v>
      </c>
      <c r="I1414">
        <v>-1</v>
      </c>
      <c r="J1414">
        <v>-1</v>
      </c>
      <c r="K1414">
        <v>-1</v>
      </c>
      <c r="L1414">
        <v>-1</v>
      </c>
      <c r="M1414">
        <v>184</v>
      </c>
      <c r="N1414">
        <v>1522</v>
      </c>
      <c r="O1414">
        <v>0</v>
      </c>
      <c r="P1414">
        <v>5480</v>
      </c>
      <c r="Q1414">
        <v>175</v>
      </c>
      <c r="R1414">
        <v>-2000</v>
      </c>
      <c r="S1414">
        <v>1522</v>
      </c>
      <c r="T1414">
        <v>0</v>
      </c>
      <c r="U1414">
        <v>5480</v>
      </c>
      <c r="V1414">
        <v>175</v>
      </c>
      <c r="W1414">
        <v>0</v>
      </c>
      <c r="X1414">
        <v>2000</v>
      </c>
      <c r="Y1414">
        <v>0</v>
      </c>
    </row>
    <row r="1415" spans="1:25" x14ac:dyDescent="0.3">
      <c r="A1415">
        <v>1414</v>
      </c>
      <c r="B1415">
        <v>240000</v>
      </c>
      <c r="C1415">
        <v>1</v>
      </c>
      <c r="D1415">
        <v>2</v>
      </c>
      <c r="E1415">
        <v>1</v>
      </c>
      <c r="F1415">
        <v>30</v>
      </c>
      <c r="G1415">
        <v>-1</v>
      </c>
      <c r="H1415">
        <v>-1</v>
      </c>
      <c r="I1415">
        <v>-1</v>
      </c>
      <c r="J1415">
        <v>-1</v>
      </c>
      <c r="K1415">
        <v>-1</v>
      </c>
      <c r="L1415">
        <v>-1</v>
      </c>
      <c r="M1415">
        <v>2816</v>
      </c>
      <c r="N1415">
        <v>7608</v>
      </c>
      <c r="O1415">
        <v>26832</v>
      </c>
      <c r="P1415">
        <v>3518</v>
      </c>
      <c r="Q1415">
        <v>1280</v>
      </c>
      <c r="R1415">
        <v>5900</v>
      </c>
      <c r="S1415">
        <v>7608</v>
      </c>
      <c r="T1415">
        <v>26834</v>
      </c>
      <c r="U1415">
        <v>3518</v>
      </c>
      <c r="V1415">
        <v>1280</v>
      </c>
      <c r="W1415">
        <v>5900</v>
      </c>
      <c r="X1415">
        <v>1319</v>
      </c>
      <c r="Y1415">
        <v>0</v>
      </c>
    </row>
    <row r="1416" spans="1:25" x14ac:dyDescent="0.3">
      <c r="A1416">
        <v>1415</v>
      </c>
      <c r="B1416">
        <v>420000</v>
      </c>
      <c r="C1416">
        <v>2</v>
      </c>
      <c r="D1416">
        <v>2</v>
      </c>
      <c r="E1416">
        <v>2</v>
      </c>
      <c r="F1416">
        <v>25</v>
      </c>
      <c r="G1416">
        <v>-1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28206</v>
      </c>
      <c r="N1416">
        <v>122212</v>
      </c>
      <c r="O1416">
        <v>117835</v>
      </c>
      <c r="P1416">
        <v>112705</v>
      </c>
      <c r="Q1416">
        <v>111357</v>
      </c>
      <c r="R1416">
        <v>108306</v>
      </c>
      <c r="S1416">
        <v>100000</v>
      </c>
      <c r="T1416">
        <v>4013</v>
      </c>
      <c r="U1416">
        <v>3822</v>
      </c>
      <c r="V1416">
        <v>4086</v>
      </c>
      <c r="W1416">
        <v>3800</v>
      </c>
      <c r="X1416">
        <v>3600</v>
      </c>
      <c r="Y1416">
        <v>0</v>
      </c>
    </row>
    <row r="1417" spans="1:25" x14ac:dyDescent="0.3">
      <c r="A1417">
        <v>1416</v>
      </c>
      <c r="B1417">
        <v>60000</v>
      </c>
      <c r="C1417">
        <v>2</v>
      </c>
      <c r="D1417">
        <v>1</v>
      </c>
      <c r="E1417">
        <v>2</v>
      </c>
      <c r="F1417">
        <v>25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57174</v>
      </c>
      <c r="N1417">
        <v>58559</v>
      </c>
      <c r="O1417">
        <v>60586</v>
      </c>
      <c r="P1417">
        <v>39144</v>
      </c>
      <c r="Q1417">
        <v>39615</v>
      </c>
      <c r="R1417">
        <v>39334</v>
      </c>
      <c r="S1417">
        <v>3000</v>
      </c>
      <c r="T1417">
        <v>3800</v>
      </c>
      <c r="U1417">
        <v>3300</v>
      </c>
      <c r="V1417">
        <v>1900</v>
      </c>
      <c r="W1417">
        <v>1600</v>
      </c>
      <c r="X1417">
        <v>1500</v>
      </c>
      <c r="Y1417">
        <v>0</v>
      </c>
    </row>
    <row r="1418" spans="1:25" x14ac:dyDescent="0.3">
      <c r="A1418">
        <v>1417</v>
      </c>
      <c r="B1418">
        <v>30000</v>
      </c>
      <c r="C1418">
        <v>2</v>
      </c>
      <c r="D1418">
        <v>3</v>
      </c>
      <c r="E1418">
        <v>2</v>
      </c>
      <c r="F1418">
        <v>24</v>
      </c>
      <c r="G1418">
        <v>-1</v>
      </c>
      <c r="H1418">
        <v>-1</v>
      </c>
      <c r="I1418">
        <v>-1</v>
      </c>
      <c r="J1418">
        <v>-1</v>
      </c>
      <c r="K1418">
        <v>-1</v>
      </c>
      <c r="L1418">
        <v>-1</v>
      </c>
      <c r="M1418">
        <v>4882</v>
      </c>
      <c r="N1418">
        <v>14630</v>
      </c>
      <c r="O1418">
        <v>6323</v>
      </c>
      <c r="P1418">
        <v>2870</v>
      </c>
      <c r="Q1418">
        <v>1485</v>
      </c>
      <c r="R1418">
        <v>3926</v>
      </c>
      <c r="S1418">
        <v>14630</v>
      </c>
      <c r="T1418">
        <v>6485</v>
      </c>
      <c r="U1418">
        <v>2870</v>
      </c>
      <c r="V1418">
        <v>1485</v>
      </c>
      <c r="W1418">
        <v>3926</v>
      </c>
      <c r="X1418">
        <v>0</v>
      </c>
      <c r="Y1418">
        <v>0</v>
      </c>
    </row>
    <row r="1419" spans="1:25" x14ac:dyDescent="0.3">
      <c r="A1419">
        <v>1418</v>
      </c>
      <c r="B1419">
        <v>80000</v>
      </c>
      <c r="C1419">
        <v>2</v>
      </c>
      <c r="D1419">
        <v>1</v>
      </c>
      <c r="E1419">
        <v>2</v>
      </c>
      <c r="F1419">
        <v>29</v>
      </c>
      <c r="G1419">
        <v>-2</v>
      </c>
      <c r="H1419">
        <v>-2</v>
      </c>
      <c r="I1419">
        <v>-1</v>
      </c>
      <c r="J1419">
        <v>2</v>
      </c>
      <c r="K1419">
        <v>2</v>
      </c>
      <c r="L1419">
        <v>3</v>
      </c>
      <c r="M1419">
        <v>2673</v>
      </c>
      <c r="N1419">
        <v>0</v>
      </c>
      <c r="O1419">
        <v>317</v>
      </c>
      <c r="P1419">
        <v>317</v>
      </c>
      <c r="Q1419">
        <v>1521</v>
      </c>
      <c r="R1419">
        <v>1204</v>
      </c>
      <c r="S1419">
        <v>0</v>
      </c>
      <c r="T1419">
        <v>317</v>
      </c>
      <c r="U1419">
        <v>0</v>
      </c>
      <c r="V1419">
        <v>1204</v>
      </c>
      <c r="W1419">
        <v>0</v>
      </c>
      <c r="X1419">
        <v>0</v>
      </c>
      <c r="Y1419">
        <v>0</v>
      </c>
    </row>
    <row r="1420" spans="1:25" x14ac:dyDescent="0.3">
      <c r="A1420">
        <v>1419</v>
      </c>
      <c r="B1420">
        <v>50000</v>
      </c>
      <c r="C1420">
        <v>1</v>
      </c>
      <c r="D1420">
        <v>2</v>
      </c>
      <c r="E1420">
        <v>2</v>
      </c>
      <c r="F1420">
        <v>37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48206</v>
      </c>
      <c r="N1420">
        <v>48659</v>
      </c>
      <c r="O1420">
        <v>47248</v>
      </c>
      <c r="P1420">
        <v>48241</v>
      </c>
      <c r="Q1420">
        <v>49196</v>
      </c>
      <c r="R1420">
        <v>50296</v>
      </c>
      <c r="S1420">
        <v>2120</v>
      </c>
      <c r="T1420">
        <v>1750</v>
      </c>
      <c r="U1420">
        <v>1700</v>
      </c>
      <c r="V1420">
        <v>1800</v>
      </c>
      <c r="W1420">
        <v>2023</v>
      </c>
      <c r="X1420">
        <v>2113</v>
      </c>
      <c r="Y1420">
        <v>0</v>
      </c>
    </row>
    <row r="1421" spans="1:25" x14ac:dyDescent="0.3">
      <c r="A1421">
        <v>1420</v>
      </c>
      <c r="B1421">
        <v>230000</v>
      </c>
      <c r="C1421">
        <v>1</v>
      </c>
      <c r="D1421">
        <v>3</v>
      </c>
      <c r="E1421">
        <v>2</v>
      </c>
      <c r="F1421">
        <v>27</v>
      </c>
      <c r="G1421">
        <v>-2</v>
      </c>
      <c r="H1421">
        <v>-2</v>
      </c>
      <c r="I1421">
        <v>-2</v>
      </c>
      <c r="J1421">
        <v>-2</v>
      </c>
      <c r="K1421">
        <v>-2</v>
      </c>
      <c r="L1421">
        <v>-2</v>
      </c>
      <c r="M1421">
        <v>19200</v>
      </c>
      <c r="N1421">
        <v>10000</v>
      </c>
      <c r="O1421">
        <v>20176</v>
      </c>
      <c r="P1421">
        <v>10000</v>
      </c>
      <c r="Q1421">
        <v>10000</v>
      </c>
      <c r="R1421">
        <v>10000</v>
      </c>
      <c r="S1421">
        <v>10000</v>
      </c>
      <c r="T1421">
        <v>20176</v>
      </c>
      <c r="U1421">
        <v>200</v>
      </c>
      <c r="V1421">
        <v>10000</v>
      </c>
      <c r="W1421">
        <v>10000</v>
      </c>
      <c r="X1421">
        <v>10000</v>
      </c>
      <c r="Y1421">
        <v>0</v>
      </c>
    </row>
    <row r="1422" spans="1:25" x14ac:dyDescent="0.3">
      <c r="A1422">
        <v>1421</v>
      </c>
      <c r="B1422">
        <v>200000</v>
      </c>
      <c r="C1422">
        <v>1</v>
      </c>
      <c r="D1422">
        <v>1</v>
      </c>
      <c r="E1422">
        <v>2</v>
      </c>
      <c r="F1422">
        <v>31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6618</v>
      </c>
      <c r="N1422">
        <v>6777</v>
      </c>
      <c r="O1422">
        <v>7957</v>
      </c>
      <c r="P1422">
        <v>4667</v>
      </c>
      <c r="Q1422">
        <v>76187</v>
      </c>
      <c r="R1422">
        <v>74900</v>
      </c>
      <c r="S1422">
        <v>1900</v>
      </c>
      <c r="T1422">
        <v>3008</v>
      </c>
      <c r="U1422">
        <v>3500</v>
      </c>
      <c r="V1422">
        <v>73000</v>
      </c>
      <c r="W1422">
        <v>2700</v>
      </c>
      <c r="X1422">
        <v>3800</v>
      </c>
      <c r="Y1422">
        <v>0</v>
      </c>
    </row>
    <row r="1423" spans="1:25" x14ac:dyDescent="0.3">
      <c r="A1423">
        <v>1422</v>
      </c>
      <c r="B1423">
        <v>230000</v>
      </c>
      <c r="C1423">
        <v>2</v>
      </c>
      <c r="D1423">
        <v>2</v>
      </c>
      <c r="E1423">
        <v>2</v>
      </c>
      <c r="F1423">
        <v>28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12218</v>
      </c>
      <c r="N1423">
        <v>17667</v>
      </c>
      <c r="O1423">
        <v>20345</v>
      </c>
      <c r="P1423">
        <v>39945</v>
      </c>
      <c r="Q1423">
        <v>41352</v>
      </c>
      <c r="R1423">
        <v>11032</v>
      </c>
      <c r="S1423">
        <v>6000</v>
      </c>
      <c r="T1423">
        <v>3500</v>
      </c>
      <c r="U1423">
        <v>20000</v>
      </c>
      <c r="V1423">
        <v>2000</v>
      </c>
      <c r="W1423">
        <v>1500</v>
      </c>
      <c r="X1423">
        <v>8000</v>
      </c>
      <c r="Y1423">
        <v>0</v>
      </c>
    </row>
    <row r="1424" spans="1:25" x14ac:dyDescent="0.3">
      <c r="A1424">
        <v>1423</v>
      </c>
      <c r="B1424">
        <v>130000</v>
      </c>
      <c r="C1424">
        <v>2</v>
      </c>
      <c r="D1424">
        <v>2</v>
      </c>
      <c r="E1424">
        <v>2</v>
      </c>
      <c r="F1424">
        <v>24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122750</v>
      </c>
      <c r="N1424">
        <v>118319</v>
      </c>
      <c r="O1424">
        <v>61466</v>
      </c>
      <c r="P1424">
        <v>48288</v>
      </c>
      <c r="Q1424">
        <v>48898</v>
      </c>
      <c r="R1424">
        <v>49699</v>
      </c>
      <c r="S1424">
        <v>4966</v>
      </c>
      <c r="T1424">
        <v>2034</v>
      </c>
      <c r="U1424">
        <v>1710</v>
      </c>
      <c r="V1424">
        <v>1765</v>
      </c>
      <c r="W1424">
        <v>2000</v>
      </c>
      <c r="X1424">
        <v>2672</v>
      </c>
      <c r="Y1424">
        <v>0</v>
      </c>
    </row>
    <row r="1425" spans="1:25" x14ac:dyDescent="0.3">
      <c r="A1425">
        <v>1424</v>
      </c>
      <c r="B1425">
        <v>200000</v>
      </c>
      <c r="C1425">
        <v>2</v>
      </c>
      <c r="D1425">
        <v>3</v>
      </c>
      <c r="E1425">
        <v>2</v>
      </c>
      <c r="F1425">
        <v>27</v>
      </c>
      <c r="G1425">
        <v>1</v>
      </c>
      <c r="H1425">
        <v>-2</v>
      </c>
      <c r="I1425">
        <v>-2</v>
      </c>
      <c r="J1425">
        <v>-2</v>
      </c>
      <c r="K1425">
        <v>-2</v>
      </c>
      <c r="L1425">
        <v>-2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</row>
    <row r="1426" spans="1:25" x14ac:dyDescent="0.3">
      <c r="A1426">
        <v>1425</v>
      </c>
      <c r="B1426">
        <v>90000</v>
      </c>
      <c r="C1426">
        <v>2</v>
      </c>
      <c r="D1426">
        <v>1</v>
      </c>
      <c r="E1426">
        <v>2</v>
      </c>
      <c r="F1426">
        <v>33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80919</v>
      </c>
      <c r="N1426">
        <v>87993</v>
      </c>
      <c r="O1426">
        <v>17316</v>
      </c>
      <c r="P1426">
        <v>18026</v>
      </c>
      <c r="Q1426">
        <v>18559</v>
      </c>
      <c r="R1426">
        <v>19097</v>
      </c>
      <c r="S1426">
        <v>9000</v>
      </c>
      <c r="T1426">
        <v>1500</v>
      </c>
      <c r="U1426">
        <v>1000</v>
      </c>
      <c r="V1426">
        <v>824</v>
      </c>
      <c r="W1426">
        <v>1000</v>
      </c>
      <c r="X1426">
        <v>857</v>
      </c>
      <c r="Y1426">
        <v>0</v>
      </c>
    </row>
    <row r="1427" spans="1:25" x14ac:dyDescent="0.3">
      <c r="A1427">
        <v>1426</v>
      </c>
      <c r="B1427">
        <v>120000</v>
      </c>
      <c r="C1427">
        <v>1</v>
      </c>
      <c r="D1427">
        <v>1</v>
      </c>
      <c r="E1427">
        <v>2</v>
      </c>
      <c r="F1427">
        <v>27</v>
      </c>
      <c r="G1427">
        <v>-1</v>
      </c>
      <c r="H1427">
        <v>-1</v>
      </c>
      <c r="I1427">
        <v>-1</v>
      </c>
      <c r="J1427">
        <v>-1</v>
      </c>
      <c r="K1427">
        <v>0</v>
      </c>
      <c r="L1427">
        <v>0</v>
      </c>
      <c r="M1427">
        <v>316</v>
      </c>
      <c r="N1427">
        <v>316</v>
      </c>
      <c r="O1427">
        <v>1360</v>
      </c>
      <c r="P1427">
        <v>9474</v>
      </c>
      <c r="Q1427">
        <v>10158</v>
      </c>
      <c r="R1427">
        <v>2551</v>
      </c>
      <c r="S1427">
        <v>316</v>
      </c>
      <c r="T1427">
        <v>1360</v>
      </c>
      <c r="U1427">
        <v>10000</v>
      </c>
      <c r="V1427">
        <v>1000</v>
      </c>
      <c r="W1427">
        <v>2000</v>
      </c>
      <c r="X1427">
        <v>3000</v>
      </c>
      <c r="Y1427">
        <v>0</v>
      </c>
    </row>
    <row r="1428" spans="1:25" x14ac:dyDescent="0.3">
      <c r="A1428">
        <v>1427</v>
      </c>
      <c r="B1428">
        <v>200000</v>
      </c>
      <c r="C1428">
        <v>1</v>
      </c>
      <c r="D1428">
        <v>1</v>
      </c>
      <c r="E1428">
        <v>2</v>
      </c>
      <c r="F1428">
        <v>42</v>
      </c>
      <c r="G1428">
        <v>-2</v>
      </c>
      <c r="H1428">
        <v>-2</v>
      </c>
      <c r="I1428">
        <v>-2</v>
      </c>
      <c r="J1428">
        <v>-2</v>
      </c>
      <c r="K1428">
        <v>-2</v>
      </c>
      <c r="L1428">
        <v>-2</v>
      </c>
      <c r="M1428">
        <v>470</v>
      </c>
      <c r="N1428">
        <v>740</v>
      </c>
      <c r="O1428">
        <v>3774</v>
      </c>
      <c r="P1428">
        <v>836</v>
      </c>
      <c r="Q1428">
        <v>1325</v>
      </c>
      <c r="R1428">
        <v>1440</v>
      </c>
      <c r="S1428">
        <v>740</v>
      </c>
      <c r="T1428">
        <v>3782</v>
      </c>
      <c r="U1428">
        <v>836</v>
      </c>
      <c r="V1428">
        <v>1325</v>
      </c>
      <c r="W1428">
        <v>1440</v>
      </c>
      <c r="X1428">
        <v>506</v>
      </c>
      <c r="Y1428">
        <v>0</v>
      </c>
    </row>
    <row r="1429" spans="1:25" x14ac:dyDescent="0.3">
      <c r="A1429">
        <v>1428</v>
      </c>
      <c r="B1429">
        <v>20000</v>
      </c>
      <c r="C1429">
        <v>2</v>
      </c>
      <c r="D1429">
        <v>2</v>
      </c>
      <c r="E1429">
        <v>2</v>
      </c>
      <c r="F1429">
        <v>32</v>
      </c>
      <c r="G1429">
        <v>2</v>
      </c>
      <c r="H1429">
        <v>3</v>
      </c>
      <c r="I1429">
        <v>2</v>
      </c>
      <c r="J1429">
        <v>2</v>
      </c>
      <c r="K1429">
        <v>2</v>
      </c>
      <c r="L1429">
        <v>0</v>
      </c>
      <c r="M1429">
        <v>17757</v>
      </c>
      <c r="N1429">
        <v>17193</v>
      </c>
      <c r="O1429">
        <v>16602</v>
      </c>
      <c r="P1429">
        <v>19521</v>
      </c>
      <c r="Q1429">
        <v>18925</v>
      </c>
      <c r="R1429">
        <v>18806</v>
      </c>
      <c r="S1429">
        <v>0</v>
      </c>
      <c r="T1429">
        <v>0</v>
      </c>
      <c r="U1429">
        <v>3200</v>
      </c>
      <c r="V1429">
        <v>0</v>
      </c>
      <c r="W1429">
        <v>900</v>
      </c>
      <c r="X1429">
        <v>633</v>
      </c>
      <c r="Y1429">
        <v>0</v>
      </c>
    </row>
    <row r="1430" spans="1:25" x14ac:dyDescent="0.3">
      <c r="A1430">
        <v>1429</v>
      </c>
      <c r="B1430">
        <v>210000</v>
      </c>
      <c r="C1430">
        <v>2</v>
      </c>
      <c r="D1430">
        <v>1</v>
      </c>
      <c r="E1430">
        <v>1</v>
      </c>
      <c r="F1430">
        <v>37</v>
      </c>
      <c r="G1430">
        <v>2</v>
      </c>
      <c r="H1430">
        <v>2</v>
      </c>
      <c r="I1430">
        <v>2</v>
      </c>
      <c r="J1430">
        <v>2</v>
      </c>
      <c r="K1430">
        <v>2</v>
      </c>
      <c r="L1430">
        <v>2</v>
      </c>
      <c r="M1430">
        <v>76089</v>
      </c>
      <c r="N1430">
        <v>77985</v>
      </c>
      <c r="O1430">
        <v>79104</v>
      </c>
      <c r="P1430">
        <v>80399</v>
      </c>
      <c r="Q1430">
        <v>81462</v>
      </c>
      <c r="R1430">
        <v>83366</v>
      </c>
      <c r="S1430">
        <v>3700</v>
      </c>
      <c r="T1430">
        <v>3000</v>
      </c>
      <c r="U1430">
        <v>3200</v>
      </c>
      <c r="V1430">
        <v>2500</v>
      </c>
      <c r="W1430">
        <v>3400</v>
      </c>
      <c r="X1430">
        <v>4300</v>
      </c>
      <c r="Y1430">
        <v>1</v>
      </c>
    </row>
    <row r="1431" spans="1:25" x14ac:dyDescent="0.3">
      <c r="A1431">
        <v>1430</v>
      </c>
      <c r="B1431">
        <v>80000</v>
      </c>
      <c r="C1431">
        <v>2</v>
      </c>
      <c r="D1431">
        <v>2</v>
      </c>
      <c r="E1431">
        <v>2</v>
      </c>
      <c r="F1431">
        <v>44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80610</v>
      </c>
      <c r="N1431">
        <v>81008</v>
      </c>
      <c r="O1431">
        <v>80725</v>
      </c>
      <c r="P1431">
        <v>50472</v>
      </c>
      <c r="Q1431">
        <v>50340</v>
      </c>
      <c r="R1431">
        <v>42393</v>
      </c>
      <c r="S1431">
        <v>6502</v>
      </c>
      <c r="T1431">
        <v>4000</v>
      </c>
      <c r="U1431">
        <v>1889</v>
      </c>
      <c r="V1431">
        <v>2000</v>
      </c>
      <c r="W1431">
        <v>7700</v>
      </c>
      <c r="X1431">
        <v>9600</v>
      </c>
      <c r="Y1431">
        <v>0</v>
      </c>
    </row>
    <row r="1432" spans="1:25" x14ac:dyDescent="0.3">
      <c r="A1432">
        <v>1431</v>
      </c>
      <c r="B1432">
        <v>50000</v>
      </c>
      <c r="C1432">
        <v>2</v>
      </c>
      <c r="D1432">
        <v>1</v>
      </c>
      <c r="E1432">
        <v>1</v>
      </c>
      <c r="F1432">
        <v>29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50486</v>
      </c>
      <c r="N1432">
        <v>50035</v>
      </c>
      <c r="O1432">
        <v>49388</v>
      </c>
      <c r="P1432">
        <v>10275</v>
      </c>
      <c r="Q1432">
        <v>9598</v>
      </c>
      <c r="R1432">
        <v>8382</v>
      </c>
      <c r="S1432">
        <v>2200</v>
      </c>
      <c r="T1432">
        <v>1192</v>
      </c>
      <c r="U1432">
        <v>1000</v>
      </c>
      <c r="V1432">
        <v>2000</v>
      </c>
      <c r="W1432">
        <v>1000</v>
      </c>
      <c r="X1432">
        <v>1500</v>
      </c>
      <c r="Y1432">
        <v>0</v>
      </c>
    </row>
    <row r="1433" spans="1:25" x14ac:dyDescent="0.3">
      <c r="A1433">
        <v>1432</v>
      </c>
      <c r="B1433">
        <v>70000</v>
      </c>
      <c r="C1433">
        <v>2</v>
      </c>
      <c r="D1433">
        <v>2</v>
      </c>
      <c r="E1433">
        <v>1</v>
      </c>
      <c r="F1433">
        <v>42</v>
      </c>
      <c r="G1433">
        <v>2</v>
      </c>
      <c r="H1433">
        <v>2</v>
      </c>
      <c r="I1433">
        <v>2</v>
      </c>
      <c r="J1433">
        <v>2</v>
      </c>
      <c r="K1433">
        <v>2</v>
      </c>
      <c r="L1433">
        <v>2</v>
      </c>
      <c r="M1433">
        <v>50886</v>
      </c>
      <c r="N1433">
        <v>51975</v>
      </c>
      <c r="O1433">
        <v>52527</v>
      </c>
      <c r="P1433">
        <v>53560</v>
      </c>
      <c r="Q1433">
        <v>54653</v>
      </c>
      <c r="R1433">
        <v>55797</v>
      </c>
      <c r="S1433">
        <v>2200</v>
      </c>
      <c r="T1433">
        <v>2000</v>
      </c>
      <c r="U1433">
        <v>2500</v>
      </c>
      <c r="V1433">
        <v>2100</v>
      </c>
      <c r="W1433">
        <v>2200</v>
      </c>
      <c r="X1433">
        <v>2100</v>
      </c>
      <c r="Y1433">
        <v>1</v>
      </c>
    </row>
    <row r="1434" spans="1:25" x14ac:dyDescent="0.3">
      <c r="A1434">
        <v>1433</v>
      </c>
      <c r="B1434">
        <v>230000</v>
      </c>
      <c r="C1434">
        <v>1</v>
      </c>
      <c r="D1434">
        <v>2</v>
      </c>
      <c r="E1434">
        <v>2</v>
      </c>
      <c r="F1434">
        <v>32</v>
      </c>
      <c r="G1434">
        <v>2</v>
      </c>
      <c r="H1434">
        <v>2</v>
      </c>
      <c r="I1434">
        <v>2</v>
      </c>
      <c r="J1434">
        <v>2</v>
      </c>
      <c r="K1434">
        <v>2</v>
      </c>
      <c r="L1434">
        <v>2</v>
      </c>
      <c r="M1434">
        <v>189567</v>
      </c>
      <c r="N1434">
        <v>189023</v>
      </c>
      <c r="O1434">
        <v>187521</v>
      </c>
      <c r="P1434">
        <v>182671</v>
      </c>
      <c r="Q1434">
        <v>174794</v>
      </c>
      <c r="R1434">
        <v>182160</v>
      </c>
      <c r="S1434">
        <v>9000</v>
      </c>
      <c r="T1434">
        <v>6300</v>
      </c>
      <c r="U1434">
        <v>6200</v>
      </c>
      <c r="V1434">
        <v>500</v>
      </c>
      <c r="W1434">
        <v>12500</v>
      </c>
      <c r="X1434">
        <v>0</v>
      </c>
      <c r="Y1434">
        <v>1</v>
      </c>
    </row>
    <row r="1435" spans="1:25" x14ac:dyDescent="0.3">
      <c r="A1435">
        <v>1434</v>
      </c>
      <c r="B1435">
        <v>20000</v>
      </c>
      <c r="C1435">
        <v>1</v>
      </c>
      <c r="D1435">
        <v>2</v>
      </c>
      <c r="E1435">
        <v>2</v>
      </c>
      <c r="F1435">
        <v>52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17420</v>
      </c>
      <c r="N1435">
        <v>19130</v>
      </c>
      <c r="O1435">
        <v>20340</v>
      </c>
      <c r="P1435">
        <v>19940</v>
      </c>
      <c r="Q1435">
        <v>19940</v>
      </c>
      <c r="R1435">
        <v>0</v>
      </c>
      <c r="S1435">
        <v>2000</v>
      </c>
      <c r="T1435">
        <v>2000</v>
      </c>
      <c r="U1435">
        <v>0</v>
      </c>
      <c r="V1435">
        <v>0</v>
      </c>
      <c r="W1435">
        <v>0</v>
      </c>
      <c r="X1435">
        <v>0</v>
      </c>
      <c r="Y1435">
        <v>0</v>
      </c>
    </row>
    <row r="1436" spans="1:25" x14ac:dyDescent="0.3">
      <c r="A1436">
        <v>1435</v>
      </c>
      <c r="B1436">
        <v>30000</v>
      </c>
      <c r="C1436">
        <v>1</v>
      </c>
      <c r="D1436">
        <v>2</v>
      </c>
      <c r="E1436">
        <v>2</v>
      </c>
      <c r="F1436">
        <v>44</v>
      </c>
      <c r="G1436">
        <v>-1</v>
      </c>
      <c r="H1436">
        <v>0</v>
      </c>
      <c r="I1436">
        <v>-1</v>
      </c>
      <c r="J1436">
        <v>0</v>
      </c>
      <c r="K1436">
        <v>-1</v>
      </c>
      <c r="L1436">
        <v>-1</v>
      </c>
      <c r="M1436">
        <v>21043</v>
      </c>
      <c r="N1436">
        <v>21183</v>
      </c>
      <c r="O1436">
        <v>1754</v>
      </c>
      <c r="P1436">
        <v>666</v>
      </c>
      <c r="Q1436">
        <v>1339</v>
      </c>
      <c r="R1436">
        <v>1748</v>
      </c>
      <c r="S1436">
        <v>1196</v>
      </c>
      <c r="T1436">
        <v>1757</v>
      </c>
      <c r="U1436">
        <v>2</v>
      </c>
      <c r="V1436">
        <v>1443</v>
      </c>
      <c r="W1436">
        <v>1949</v>
      </c>
      <c r="X1436">
        <v>0</v>
      </c>
      <c r="Y1436">
        <v>0</v>
      </c>
    </row>
    <row r="1437" spans="1:25" x14ac:dyDescent="0.3">
      <c r="A1437">
        <v>1436</v>
      </c>
      <c r="B1437">
        <v>100000</v>
      </c>
      <c r="C1437">
        <v>1</v>
      </c>
      <c r="D1437">
        <v>1</v>
      </c>
      <c r="E1437">
        <v>2</v>
      </c>
      <c r="F1437">
        <v>31</v>
      </c>
      <c r="G1437">
        <v>2</v>
      </c>
      <c r="H1437">
        <v>2</v>
      </c>
      <c r="I1437">
        <v>2</v>
      </c>
      <c r="J1437">
        <v>2</v>
      </c>
      <c r="K1437">
        <v>2</v>
      </c>
      <c r="L1437">
        <v>2</v>
      </c>
      <c r="M1437">
        <v>33752</v>
      </c>
      <c r="N1437">
        <v>32928</v>
      </c>
      <c r="O1437">
        <v>35572</v>
      </c>
      <c r="P1437">
        <v>34700</v>
      </c>
      <c r="Q1437">
        <v>36942</v>
      </c>
      <c r="R1437">
        <v>36196</v>
      </c>
      <c r="S1437">
        <v>0</v>
      </c>
      <c r="T1437">
        <v>3200</v>
      </c>
      <c r="U1437">
        <v>0</v>
      </c>
      <c r="V1437">
        <v>2800</v>
      </c>
      <c r="W1437">
        <v>0</v>
      </c>
      <c r="X1437">
        <v>1511</v>
      </c>
      <c r="Y1437">
        <v>1</v>
      </c>
    </row>
    <row r="1438" spans="1:25" x14ac:dyDescent="0.3">
      <c r="A1438">
        <v>1437</v>
      </c>
      <c r="B1438">
        <v>80000</v>
      </c>
      <c r="C1438">
        <v>2</v>
      </c>
      <c r="D1438">
        <v>1</v>
      </c>
      <c r="E1438">
        <v>2</v>
      </c>
      <c r="F1438">
        <v>29</v>
      </c>
      <c r="G1438">
        <v>0</v>
      </c>
      <c r="H1438">
        <v>0</v>
      </c>
      <c r="I1438">
        <v>0</v>
      </c>
      <c r="J1438">
        <v>2</v>
      </c>
      <c r="K1438">
        <v>0</v>
      </c>
      <c r="L1438">
        <v>0</v>
      </c>
      <c r="M1438">
        <v>81337</v>
      </c>
      <c r="N1438">
        <v>80290</v>
      </c>
      <c r="O1438">
        <v>82215</v>
      </c>
      <c r="P1438">
        <v>80422</v>
      </c>
      <c r="Q1438">
        <v>78284</v>
      </c>
      <c r="R1438">
        <v>77270</v>
      </c>
      <c r="S1438">
        <v>2842</v>
      </c>
      <c r="T1438">
        <v>20412</v>
      </c>
      <c r="U1438">
        <v>0</v>
      </c>
      <c r="V1438">
        <v>3000</v>
      </c>
      <c r="W1438">
        <v>3000</v>
      </c>
      <c r="X1438">
        <v>3000</v>
      </c>
      <c r="Y1438">
        <v>1</v>
      </c>
    </row>
    <row r="1439" spans="1:25" x14ac:dyDescent="0.3">
      <c r="A1439">
        <v>1438</v>
      </c>
      <c r="B1439">
        <v>210000</v>
      </c>
      <c r="C1439">
        <v>1</v>
      </c>
      <c r="D1439">
        <v>2</v>
      </c>
      <c r="E1439">
        <v>2</v>
      </c>
      <c r="F1439">
        <v>33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187610</v>
      </c>
      <c r="N1439">
        <v>191592</v>
      </c>
      <c r="O1439">
        <v>195739</v>
      </c>
      <c r="P1439">
        <v>198081</v>
      </c>
      <c r="Q1439">
        <v>202410</v>
      </c>
      <c r="R1439">
        <v>206582</v>
      </c>
      <c r="S1439">
        <v>8500</v>
      </c>
      <c r="T1439">
        <v>9000</v>
      </c>
      <c r="U1439">
        <v>7100</v>
      </c>
      <c r="V1439">
        <v>7510</v>
      </c>
      <c r="W1439">
        <v>7700</v>
      </c>
      <c r="X1439">
        <v>9051</v>
      </c>
      <c r="Y1439">
        <v>0</v>
      </c>
    </row>
    <row r="1440" spans="1:25" x14ac:dyDescent="0.3">
      <c r="A1440">
        <v>1439</v>
      </c>
      <c r="B1440">
        <v>50000</v>
      </c>
      <c r="C1440">
        <v>1</v>
      </c>
      <c r="D1440">
        <v>2</v>
      </c>
      <c r="E1440">
        <v>2</v>
      </c>
      <c r="F1440">
        <v>54</v>
      </c>
      <c r="G1440">
        <v>1</v>
      </c>
      <c r="H1440">
        <v>2</v>
      </c>
      <c r="I1440">
        <v>0</v>
      </c>
      <c r="J1440">
        <v>0</v>
      </c>
      <c r="K1440">
        <v>0</v>
      </c>
      <c r="L1440">
        <v>0</v>
      </c>
      <c r="M1440">
        <v>48153</v>
      </c>
      <c r="N1440">
        <v>46885</v>
      </c>
      <c r="O1440">
        <v>27168</v>
      </c>
      <c r="P1440">
        <v>27585</v>
      </c>
      <c r="Q1440">
        <v>27910</v>
      </c>
      <c r="R1440">
        <v>27380</v>
      </c>
      <c r="S1440">
        <v>0</v>
      </c>
      <c r="T1440">
        <v>1400</v>
      </c>
      <c r="U1440">
        <v>1200</v>
      </c>
      <c r="V1440">
        <v>1500</v>
      </c>
      <c r="W1440">
        <v>1000</v>
      </c>
      <c r="X1440">
        <v>1500</v>
      </c>
      <c r="Y1440">
        <v>0</v>
      </c>
    </row>
    <row r="1441" spans="1:25" x14ac:dyDescent="0.3">
      <c r="A1441">
        <v>1440</v>
      </c>
      <c r="B1441">
        <v>130000</v>
      </c>
      <c r="C1441">
        <v>2</v>
      </c>
      <c r="D1441">
        <v>2</v>
      </c>
      <c r="E1441">
        <v>2</v>
      </c>
      <c r="F1441">
        <v>23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133622</v>
      </c>
      <c r="N1441">
        <v>129784</v>
      </c>
      <c r="O1441">
        <v>126021</v>
      </c>
      <c r="P1441">
        <v>70186</v>
      </c>
      <c r="Q1441">
        <v>71762</v>
      </c>
      <c r="R1441">
        <v>73192</v>
      </c>
      <c r="S1441">
        <v>4752</v>
      </c>
      <c r="T1441">
        <v>5010</v>
      </c>
      <c r="U1441">
        <v>2505</v>
      </c>
      <c r="V1441">
        <v>2700</v>
      </c>
      <c r="W1441">
        <v>2623</v>
      </c>
      <c r="X1441">
        <v>2800</v>
      </c>
      <c r="Y1441">
        <v>0</v>
      </c>
    </row>
    <row r="1442" spans="1:25" x14ac:dyDescent="0.3">
      <c r="A1442">
        <v>1441</v>
      </c>
      <c r="B1442">
        <v>70000</v>
      </c>
      <c r="C1442">
        <v>2</v>
      </c>
      <c r="D1442">
        <v>1</v>
      </c>
      <c r="E1442">
        <v>2</v>
      </c>
      <c r="F1442">
        <v>24</v>
      </c>
      <c r="G1442">
        <v>0</v>
      </c>
      <c r="H1442">
        <v>0</v>
      </c>
      <c r="I1442">
        <v>2</v>
      </c>
      <c r="J1442">
        <v>2</v>
      </c>
      <c r="K1442">
        <v>2</v>
      </c>
      <c r="L1442">
        <v>2</v>
      </c>
      <c r="M1442">
        <v>48432</v>
      </c>
      <c r="N1442">
        <v>52650</v>
      </c>
      <c r="O1442">
        <v>53099</v>
      </c>
      <c r="P1442">
        <v>51648</v>
      </c>
      <c r="Q1442">
        <v>55409</v>
      </c>
      <c r="R1442">
        <v>54366</v>
      </c>
      <c r="S1442">
        <v>5000</v>
      </c>
      <c r="T1442">
        <v>1900</v>
      </c>
      <c r="U1442">
        <v>0</v>
      </c>
      <c r="V1442">
        <v>4600</v>
      </c>
      <c r="W1442">
        <v>0</v>
      </c>
      <c r="X1442">
        <v>2300</v>
      </c>
      <c r="Y1442">
        <v>0</v>
      </c>
    </row>
    <row r="1443" spans="1:25" x14ac:dyDescent="0.3">
      <c r="A1443">
        <v>1442</v>
      </c>
      <c r="B1443">
        <v>210000</v>
      </c>
      <c r="C1443">
        <v>2</v>
      </c>
      <c r="D1443">
        <v>1</v>
      </c>
      <c r="E1443">
        <v>1</v>
      </c>
      <c r="F1443">
        <v>33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17420</v>
      </c>
      <c r="N1443">
        <v>16182</v>
      </c>
      <c r="O1443">
        <v>14109</v>
      </c>
      <c r="P1443">
        <v>10955</v>
      </c>
      <c r="Q1443">
        <v>11217</v>
      </c>
      <c r="R1443">
        <v>11367</v>
      </c>
      <c r="S1443">
        <v>1236</v>
      </c>
      <c r="T1443">
        <v>1613</v>
      </c>
      <c r="U1443">
        <v>1000</v>
      </c>
      <c r="V1443">
        <v>552</v>
      </c>
      <c r="W1443">
        <v>607</v>
      </c>
      <c r="X1443">
        <v>1500</v>
      </c>
      <c r="Y1443">
        <v>0</v>
      </c>
    </row>
    <row r="1444" spans="1:25" x14ac:dyDescent="0.3">
      <c r="A1444">
        <v>1443</v>
      </c>
      <c r="B1444">
        <v>100000</v>
      </c>
      <c r="C1444">
        <v>1</v>
      </c>
      <c r="D1444">
        <v>3</v>
      </c>
      <c r="E1444">
        <v>1</v>
      </c>
      <c r="F1444">
        <v>44</v>
      </c>
      <c r="G1444">
        <v>-1</v>
      </c>
      <c r="H1444">
        <v>-1</v>
      </c>
      <c r="I1444">
        <v>-1</v>
      </c>
      <c r="J1444">
        <v>-1</v>
      </c>
      <c r="K1444">
        <v>-1</v>
      </c>
      <c r="L1444">
        <v>-1</v>
      </c>
      <c r="M1444">
        <v>780</v>
      </c>
      <c r="N1444">
        <v>0</v>
      </c>
      <c r="O1444">
        <v>390</v>
      </c>
      <c r="P1444">
        <v>390</v>
      </c>
      <c r="Q1444">
        <v>390</v>
      </c>
      <c r="R1444">
        <v>390</v>
      </c>
      <c r="S1444">
        <v>0</v>
      </c>
      <c r="T1444">
        <v>390</v>
      </c>
      <c r="U1444">
        <v>390</v>
      </c>
      <c r="V1444">
        <v>390</v>
      </c>
      <c r="W1444">
        <v>390</v>
      </c>
      <c r="X1444">
        <v>390</v>
      </c>
      <c r="Y1444">
        <v>1</v>
      </c>
    </row>
    <row r="1445" spans="1:25" x14ac:dyDescent="0.3">
      <c r="A1445">
        <v>1444</v>
      </c>
      <c r="B1445">
        <v>200000</v>
      </c>
      <c r="C1445">
        <v>1</v>
      </c>
      <c r="D1445">
        <v>3</v>
      </c>
      <c r="E1445">
        <v>0</v>
      </c>
      <c r="F1445">
        <v>51</v>
      </c>
      <c r="G1445">
        <v>-1</v>
      </c>
      <c r="H1445">
        <v>-1</v>
      </c>
      <c r="I1445">
        <v>-1</v>
      </c>
      <c r="J1445">
        <v>-1</v>
      </c>
      <c r="K1445">
        <v>0</v>
      </c>
      <c r="L1445">
        <v>-1</v>
      </c>
      <c r="M1445">
        <v>3556</v>
      </c>
      <c r="N1445">
        <v>4993</v>
      </c>
      <c r="O1445">
        <v>9212</v>
      </c>
      <c r="P1445">
        <v>2529</v>
      </c>
      <c r="Q1445">
        <v>1036</v>
      </c>
      <c r="R1445">
        <v>4430</v>
      </c>
      <c r="S1445">
        <v>5020</v>
      </c>
      <c r="T1445">
        <v>9236</v>
      </c>
      <c r="U1445">
        <v>2529</v>
      </c>
      <c r="V1445">
        <v>0</v>
      </c>
      <c r="W1445">
        <v>4430</v>
      </c>
      <c r="X1445">
        <v>6398</v>
      </c>
      <c r="Y1445">
        <v>0</v>
      </c>
    </row>
    <row r="1446" spans="1:25" x14ac:dyDescent="0.3">
      <c r="A1446">
        <v>1445</v>
      </c>
      <c r="B1446">
        <v>40000</v>
      </c>
      <c r="C1446">
        <v>1</v>
      </c>
      <c r="D1446">
        <v>1</v>
      </c>
      <c r="E1446">
        <v>2</v>
      </c>
      <c r="F1446">
        <v>24</v>
      </c>
      <c r="G1446">
        <v>1</v>
      </c>
      <c r="H1446">
        <v>2</v>
      </c>
      <c r="I1446">
        <v>0</v>
      </c>
      <c r="J1446">
        <v>0</v>
      </c>
      <c r="K1446">
        <v>0</v>
      </c>
      <c r="L1446">
        <v>3</v>
      </c>
      <c r="M1446">
        <v>28926</v>
      </c>
      <c r="N1446">
        <v>28182</v>
      </c>
      <c r="O1446">
        <v>28912</v>
      </c>
      <c r="P1446">
        <v>29495</v>
      </c>
      <c r="Q1446">
        <v>33011</v>
      </c>
      <c r="R1446">
        <v>32194</v>
      </c>
      <c r="S1446">
        <v>0</v>
      </c>
      <c r="T1446">
        <v>1500</v>
      </c>
      <c r="U1446">
        <v>1064</v>
      </c>
      <c r="V1446">
        <v>4000</v>
      </c>
      <c r="W1446">
        <v>0</v>
      </c>
      <c r="X1446">
        <v>0</v>
      </c>
      <c r="Y1446">
        <v>1</v>
      </c>
    </row>
    <row r="1447" spans="1:25" x14ac:dyDescent="0.3">
      <c r="A1447">
        <v>1446</v>
      </c>
      <c r="B1447">
        <v>80000</v>
      </c>
      <c r="C1447">
        <v>2</v>
      </c>
      <c r="D1447">
        <v>2</v>
      </c>
      <c r="E1447">
        <v>2</v>
      </c>
      <c r="F1447">
        <v>25</v>
      </c>
      <c r="G1447">
        <v>2</v>
      </c>
      <c r="H1447">
        <v>3</v>
      </c>
      <c r="I1447">
        <v>2</v>
      </c>
      <c r="J1447">
        <v>2</v>
      </c>
      <c r="K1447">
        <v>2</v>
      </c>
      <c r="L1447">
        <v>2</v>
      </c>
      <c r="M1447">
        <v>69602</v>
      </c>
      <c r="N1447">
        <v>67930</v>
      </c>
      <c r="O1447">
        <v>72205</v>
      </c>
      <c r="P1447">
        <v>73116</v>
      </c>
      <c r="Q1447">
        <v>74801</v>
      </c>
      <c r="R1447">
        <v>73444</v>
      </c>
      <c r="S1447">
        <v>0</v>
      </c>
      <c r="T1447">
        <v>6000</v>
      </c>
      <c r="U1447">
        <v>2700</v>
      </c>
      <c r="V1447">
        <v>3000</v>
      </c>
      <c r="W1447">
        <v>0</v>
      </c>
      <c r="X1447">
        <v>5300</v>
      </c>
      <c r="Y1447">
        <v>0</v>
      </c>
    </row>
    <row r="1448" spans="1:25" x14ac:dyDescent="0.3">
      <c r="A1448">
        <v>1447</v>
      </c>
      <c r="B1448">
        <v>210000</v>
      </c>
      <c r="C1448">
        <v>2</v>
      </c>
      <c r="D1448">
        <v>1</v>
      </c>
      <c r="E1448">
        <v>1</v>
      </c>
      <c r="F1448">
        <v>37</v>
      </c>
      <c r="G1448">
        <v>1</v>
      </c>
      <c r="H1448">
        <v>-1</v>
      </c>
      <c r="I1448">
        <v>-1</v>
      </c>
      <c r="J1448">
        <v>-1</v>
      </c>
      <c r="K1448">
        <v>-1</v>
      </c>
      <c r="L1448">
        <v>-1</v>
      </c>
      <c r="M1448">
        <v>0</v>
      </c>
      <c r="N1448">
        <v>732</v>
      </c>
      <c r="O1448">
        <v>873</v>
      </c>
      <c r="P1448">
        <v>148</v>
      </c>
      <c r="Q1448">
        <v>129</v>
      </c>
      <c r="R1448">
        <v>292</v>
      </c>
      <c r="S1448">
        <v>732</v>
      </c>
      <c r="T1448">
        <v>873</v>
      </c>
      <c r="U1448">
        <v>148</v>
      </c>
      <c r="V1448">
        <v>129</v>
      </c>
      <c r="W1448">
        <v>292</v>
      </c>
      <c r="X1448">
        <v>0</v>
      </c>
      <c r="Y1448">
        <v>1</v>
      </c>
    </row>
    <row r="1449" spans="1:25" x14ac:dyDescent="0.3">
      <c r="A1449">
        <v>1448</v>
      </c>
      <c r="B1449">
        <v>20000</v>
      </c>
      <c r="C1449">
        <v>2</v>
      </c>
      <c r="D1449">
        <v>2</v>
      </c>
      <c r="E1449">
        <v>2</v>
      </c>
      <c r="F1449">
        <v>23</v>
      </c>
      <c r="G1449">
        <v>-1</v>
      </c>
      <c r="H1449">
        <v>-1</v>
      </c>
      <c r="I1449">
        <v>-1</v>
      </c>
      <c r="J1449">
        <v>2</v>
      </c>
      <c r="K1449">
        <v>-1</v>
      </c>
      <c r="L1449">
        <v>-1</v>
      </c>
      <c r="M1449">
        <v>7186</v>
      </c>
      <c r="N1449">
        <v>3478</v>
      </c>
      <c r="O1449">
        <v>137</v>
      </c>
      <c r="P1449">
        <v>1714</v>
      </c>
      <c r="Q1449">
        <v>17694</v>
      </c>
      <c r="R1449">
        <v>12237</v>
      </c>
      <c r="S1449">
        <v>8060</v>
      </c>
      <c r="T1449">
        <v>137</v>
      </c>
      <c r="U1449">
        <v>5199</v>
      </c>
      <c r="V1449">
        <v>17694</v>
      </c>
      <c r="W1449">
        <v>575</v>
      </c>
      <c r="X1449">
        <v>0</v>
      </c>
      <c r="Y1449">
        <v>0</v>
      </c>
    </row>
    <row r="1450" spans="1:25" x14ac:dyDescent="0.3">
      <c r="A1450">
        <v>1449</v>
      </c>
      <c r="B1450">
        <v>10000</v>
      </c>
      <c r="C1450">
        <v>1</v>
      </c>
      <c r="D1450">
        <v>3</v>
      </c>
      <c r="E1450">
        <v>2</v>
      </c>
      <c r="F1450">
        <v>34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8813</v>
      </c>
      <c r="N1450">
        <v>8464</v>
      </c>
      <c r="O1450">
        <v>9474</v>
      </c>
      <c r="P1450">
        <v>9716</v>
      </c>
      <c r="Q1450">
        <v>9960</v>
      </c>
      <c r="R1450">
        <v>10188</v>
      </c>
      <c r="S1450">
        <v>2148</v>
      </c>
      <c r="T1450">
        <v>1158</v>
      </c>
      <c r="U1450">
        <v>400</v>
      </c>
      <c r="V1450">
        <v>400</v>
      </c>
      <c r="W1450">
        <v>400</v>
      </c>
      <c r="X1450">
        <v>300</v>
      </c>
      <c r="Y1450">
        <v>0</v>
      </c>
    </row>
    <row r="1451" spans="1:25" x14ac:dyDescent="0.3">
      <c r="A1451">
        <v>1450</v>
      </c>
      <c r="B1451">
        <v>60000</v>
      </c>
      <c r="C1451">
        <v>2</v>
      </c>
      <c r="D1451">
        <v>3</v>
      </c>
      <c r="E1451">
        <v>1</v>
      </c>
      <c r="F1451">
        <v>50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61600</v>
      </c>
      <c r="N1451">
        <v>61952</v>
      </c>
      <c r="O1451">
        <v>60661</v>
      </c>
      <c r="P1451">
        <v>29095</v>
      </c>
      <c r="Q1451">
        <v>17636</v>
      </c>
      <c r="R1451">
        <v>31406</v>
      </c>
      <c r="S1451">
        <v>3300</v>
      </c>
      <c r="T1451">
        <v>2000</v>
      </c>
      <c r="U1451">
        <v>900</v>
      </c>
      <c r="V1451">
        <v>889</v>
      </c>
      <c r="W1451">
        <v>21500</v>
      </c>
      <c r="X1451">
        <v>3600</v>
      </c>
      <c r="Y1451">
        <v>1</v>
      </c>
    </row>
    <row r="1452" spans="1:25" x14ac:dyDescent="0.3">
      <c r="A1452">
        <v>1451</v>
      </c>
      <c r="B1452">
        <v>40000</v>
      </c>
      <c r="C1452">
        <v>2</v>
      </c>
      <c r="D1452">
        <v>2</v>
      </c>
      <c r="E1452">
        <v>1</v>
      </c>
      <c r="F1452">
        <v>25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11273</v>
      </c>
      <c r="N1452">
        <v>12307</v>
      </c>
      <c r="O1452">
        <v>13348</v>
      </c>
      <c r="P1452">
        <v>13530</v>
      </c>
      <c r="Q1452">
        <v>13811</v>
      </c>
      <c r="R1452">
        <v>14132</v>
      </c>
      <c r="S1452">
        <v>1520</v>
      </c>
      <c r="T1452">
        <v>1550</v>
      </c>
      <c r="U1452">
        <v>700</v>
      </c>
      <c r="V1452">
        <v>648</v>
      </c>
      <c r="W1452">
        <v>700</v>
      </c>
      <c r="X1452">
        <v>700</v>
      </c>
      <c r="Y1452">
        <v>0</v>
      </c>
    </row>
    <row r="1453" spans="1:25" x14ac:dyDescent="0.3">
      <c r="A1453">
        <v>1452</v>
      </c>
      <c r="B1453">
        <v>290000</v>
      </c>
      <c r="C1453">
        <v>2</v>
      </c>
      <c r="D1453">
        <v>1</v>
      </c>
      <c r="E1453">
        <v>2</v>
      </c>
      <c r="F1453">
        <v>33</v>
      </c>
      <c r="G1453">
        <v>-1</v>
      </c>
      <c r="H1453">
        <v>-1</v>
      </c>
      <c r="I1453">
        <v>-1</v>
      </c>
      <c r="J1453">
        <v>-1</v>
      </c>
      <c r="K1453">
        <v>-1</v>
      </c>
      <c r="L1453">
        <v>-1</v>
      </c>
      <c r="M1453">
        <v>413</v>
      </c>
      <c r="N1453">
        <v>486</v>
      </c>
      <c r="O1453">
        <v>820</v>
      </c>
      <c r="P1453">
        <v>60</v>
      </c>
      <c r="Q1453">
        <v>1773</v>
      </c>
      <c r="R1453">
        <v>3904</v>
      </c>
      <c r="S1453">
        <v>486</v>
      </c>
      <c r="T1453">
        <v>820</v>
      </c>
      <c r="U1453">
        <v>60</v>
      </c>
      <c r="V1453">
        <v>1773</v>
      </c>
      <c r="W1453">
        <v>3904</v>
      </c>
      <c r="X1453">
        <v>0</v>
      </c>
      <c r="Y1453">
        <v>1</v>
      </c>
    </row>
    <row r="1454" spans="1:25" x14ac:dyDescent="0.3">
      <c r="A1454">
        <v>1453</v>
      </c>
      <c r="B1454">
        <v>50000</v>
      </c>
      <c r="C1454">
        <v>1</v>
      </c>
      <c r="D1454">
        <v>2</v>
      </c>
      <c r="E1454">
        <v>1</v>
      </c>
      <c r="F1454">
        <v>54</v>
      </c>
      <c r="G1454">
        <v>-2</v>
      </c>
      <c r="H1454">
        <v>-2</v>
      </c>
      <c r="I1454">
        <v>-2</v>
      </c>
      <c r="J1454">
        <v>-2</v>
      </c>
      <c r="K1454">
        <v>-2</v>
      </c>
      <c r="L1454">
        <v>-2</v>
      </c>
      <c r="M1454">
        <v>1583</v>
      </c>
      <c r="N1454">
        <v>2134</v>
      </c>
      <c r="O1454">
        <v>0</v>
      </c>
      <c r="P1454">
        <v>2025</v>
      </c>
      <c r="Q1454">
        <v>0</v>
      </c>
      <c r="R1454">
        <v>1924</v>
      </c>
      <c r="S1454">
        <v>2134</v>
      </c>
      <c r="T1454">
        <v>0</v>
      </c>
      <c r="U1454">
        <v>2025</v>
      </c>
      <c r="V1454">
        <v>0</v>
      </c>
      <c r="W1454">
        <v>1924</v>
      </c>
      <c r="X1454">
        <v>0</v>
      </c>
      <c r="Y1454">
        <v>0</v>
      </c>
    </row>
    <row r="1455" spans="1:25" x14ac:dyDescent="0.3">
      <c r="A1455">
        <v>1454</v>
      </c>
      <c r="B1455">
        <v>20000</v>
      </c>
      <c r="C1455">
        <v>1</v>
      </c>
      <c r="D1455">
        <v>2</v>
      </c>
      <c r="E1455">
        <v>2</v>
      </c>
      <c r="F1455">
        <v>25</v>
      </c>
      <c r="G1455">
        <v>0</v>
      </c>
      <c r="H1455">
        <v>0</v>
      </c>
      <c r="I1455">
        <v>0</v>
      </c>
      <c r="J1455">
        <v>0</v>
      </c>
      <c r="K1455">
        <v>2</v>
      </c>
      <c r="L1455">
        <v>2</v>
      </c>
      <c r="M1455">
        <v>17384</v>
      </c>
      <c r="N1455">
        <v>13648</v>
      </c>
      <c r="O1455">
        <v>13924</v>
      </c>
      <c r="P1455">
        <v>15685</v>
      </c>
      <c r="Q1455">
        <v>15292</v>
      </c>
      <c r="R1455">
        <v>17524</v>
      </c>
      <c r="S1455">
        <v>1500</v>
      </c>
      <c r="T1455">
        <v>1400</v>
      </c>
      <c r="U1455">
        <v>2000</v>
      </c>
      <c r="V1455">
        <v>0</v>
      </c>
      <c r="W1455">
        <v>2500</v>
      </c>
      <c r="X1455">
        <v>0</v>
      </c>
      <c r="Y1455">
        <v>0</v>
      </c>
    </row>
    <row r="1456" spans="1:25" x14ac:dyDescent="0.3">
      <c r="A1456">
        <v>1455</v>
      </c>
      <c r="B1456">
        <v>30000</v>
      </c>
      <c r="C1456">
        <v>1</v>
      </c>
      <c r="D1456">
        <v>2</v>
      </c>
      <c r="E1456">
        <v>2</v>
      </c>
      <c r="F1456">
        <v>26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33195</v>
      </c>
      <c r="N1456">
        <v>32705</v>
      </c>
      <c r="O1456">
        <v>32406</v>
      </c>
      <c r="P1456">
        <v>32167</v>
      </c>
      <c r="Q1456">
        <v>31728</v>
      </c>
      <c r="R1456">
        <v>31061</v>
      </c>
      <c r="S1456">
        <v>1600</v>
      </c>
      <c r="T1456">
        <v>1500</v>
      </c>
      <c r="U1456">
        <v>1500</v>
      </c>
      <c r="V1456">
        <v>1300</v>
      </c>
      <c r="W1456">
        <v>1261</v>
      </c>
      <c r="X1456">
        <v>1003</v>
      </c>
      <c r="Y1456">
        <v>0</v>
      </c>
    </row>
    <row r="1457" spans="1:25" x14ac:dyDescent="0.3">
      <c r="A1457">
        <v>1456</v>
      </c>
      <c r="B1457">
        <v>20000</v>
      </c>
      <c r="C1457">
        <v>1</v>
      </c>
      <c r="D1457">
        <v>2</v>
      </c>
      <c r="E1457">
        <v>1</v>
      </c>
      <c r="F1457">
        <v>32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2</v>
      </c>
      <c r="M1457">
        <v>17104</v>
      </c>
      <c r="N1457">
        <v>18134</v>
      </c>
      <c r="O1457">
        <v>19123</v>
      </c>
      <c r="P1457">
        <v>19351</v>
      </c>
      <c r="Q1457">
        <v>20411</v>
      </c>
      <c r="R1457">
        <v>19947</v>
      </c>
      <c r="S1457">
        <v>1613</v>
      </c>
      <c r="T1457">
        <v>1602</v>
      </c>
      <c r="U1457">
        <v>830</v>
      </c>
      <c r="V1457">
        <v>1512</v>
      </c>
      <c r="W1457">
        <v>0</v>
      </c>
      <c r="X1457">
        <v>545</v>
      </c>
      <c r="Y1457">
        <v>0</v>
      </c>
    </row>
    <row r="1458" spans="1:25" x14ac:dyDescent="0.3">
      <c r="A1458">
        <v>1457</v>
      </c>
      <c r="B1458">
        <v>50000</v>
      </c>
      <c r="C1458">
        <v>2</v>
      </c>
      <c r="D1458">
        <v>3</v>
      </c>
      <c r="E1458">
        <v>3</v>
      </c>
      <c r="F1458">
        <v>43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24443</v>
      </c>
      <c r="N1458">
        <v>24391</v>
      </c>
      <c r="O1458">
        <v>23595</v>
      </c>
      <c r="P1458">
        <v>22590</v>
      </c>
      <c r="Q1458">
        <v>21788</v>
      </c>
      <c r="R1458">
        <v>21949</v>
      </c>
      <c r="S1458">
        <v>1800</v>
      </c>
      <c r="T1458">
        <v>1400</v>
      </c>
      <c r="U1458">
        <v>800</v>
      </c>
      <c r="V1458">
        <v>1000</v>
      </c>
      <c r="W1458">
        <v>900</v>
      </c>
      <c r="X1458">
        <v>900</v>
      </c>
      <c r="Y1458">
        <v>0</v>
      </c>
    </row>
    <row r="1459" spans="1:25" x14ac:dyDescent="0.3">
      <c r="A1459">
        <v>1458</v>
      </c>
      <c r="B1459">
        <v>500000</v>
      </c>
      <c r="C1459">
        <v>1</v>
      </c>
      <c r="D1459">
        <v>2</v>
      </c>
      <c r="E1459">
        <v>1</v>
      </c>
      <c r="F1459">
        <v>42</v>
      </c>
      <c r="G1459">
        <v>1</v>
      </c>
      <c r="H1459">
        <v>-1</v>
      </c>
      <c r="I1459">
        <v>2</v>
      </c>
      <c r="J1459">
        <v>2</v>
      </c>
      <c r="K1459">
        <v>0</v>
      </c>
      <c r="L1459">
        <v>0</v>
      </c>
      <c r="M1459">
        <v>-984</v>
      </c>
      <c r="N1459">
        <v>3516</v>
      </c>
      <c r="O1459">
        <v>1924</v>
      </c>
      <c r="P1459">
        <v>1924</v>
      </c>
      <c r="Q1459">
        <v>8924</v>
      </c>
      <c r="R1459">
        <v>6729</v>
      </c>
      <c r="S1459">
        <v>4500</v>
      </c>
      <c r="T1459">
        <v>0</v>
      </c>
      <c r="U1459">
        <v>0</v>
      </c>
      <c r="V1459">
        <v>7000</v>
      </c>
      <c r="W1459">
        <v>36</v>
      </c>
      <c r="X1459">
        <v>532</v>
      </c>
      <c r="Y1459">
        <v>1</v>
      </c>
    </row>
    <row r="1460" spans="1:25" x14ac:dyDescent="0.3">
      <c r="A1460">
        <v>1459</v>
      </c>
      <c r="B1460">
        <v>90000</v>
      </c>
      <c r="C1460">
        <v>2</v>
      </c>
      <c r="D1460">
        <v>3</v>
      </c>
      <c r="E1460">
        <v>2</v>
      </c>
      <c r="F1460">
        <v>24</v>
      </c>
      <c r="G1460">
        <v>-1</v>
      </c>
      <c r="H1460">
        <v>-1</v>
      </c>
      <c r="I1460">
        <v>-1</v>
      </c>
      <c r="J1460">
        <v>-1</v>
      </c>
      <c r="K1460">
        <v>-1</v>
      </c>
      <c r="L1460">
        <v>-2</v>
      </c>
      <c r="M1460">
        <v>595</v>
      </c>
      <c r="N1460">
        <v>207</v>
      </c>
      <c r="O1460">
        <v>18189</v>
      </c>
      <c r="P1460">
        <v>557</v>
      </c>
      <c r="Q1460">
        <v>0</v>
      </c>
      <c r="R1460">
        <v>0</v>
      </c>
      <c r="S1460">
        <v>207</v>
      </c>
      <c r="T1460">
        <v>18281</v>
      </c>
      <c r="U1460">
        <v>557</v>
      </c>
      <c r="V1460">
        <v>0</v>
      </c>
      <c r="W1460">
        <v>0</v>
      </c>
      <c r="X1460">
        <v>0</v>
      </c>
      <c r="Y1460">
        <v>1</v>
      </c>
    </row>
    <row r="1461" spans="1:25" x14ac:dyDescent="0.3">
      <c r="A1461">
        <v>1460</v>
      </c>
      <c r="B1461">
        <v>10000</v>
      </c>
      <c r="C1461">
        <v>1</v>
      </c>
      <c r="D1461">
        <v>2</v>
      </c>
      <c r="E1461">
        <v>2</v>
      </c>
      <c r="F1461">
        <v>26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15147</v>
      </c>
      <c r="N1461">
        <v>6641</v>
      </c>
      <c r="O1461">
        <v>15318</v>
      </c>
      <c r="P1461">
        <v>8610</v>
      </c>
      <c r="Q1461">
        <v>8790</v>
      </c>
      <c r="R1461">
        <v>8963</v>
      </c>
      <c r="S1461">
        <v>2234</v>
      </c>
      <c r="T1461">
        <v>1135</v>
      </c>
      <c r="U1461">
        <v>1086</v>
      </c>
      <c r="V1461">
        <v>319</v>
      </c>
      <c r="W1461">
        <v>319</v>
      </c>
      <c r="X1461">
        <v>180</v>
      </c>
      <c r="Y1461">
        <v>0</v>
      </c>
    </row>
    <row r="1462" spans="1:25" x14ac:dyDescent="0.3">
      <c r="A1462">
        <v>1461</v>
      </c>
      <c r="B1462">
        <v>50000</v>
      </c>
      <c r="C1462">
        <v>2</v>
      </c>
      <c r="D1462">
        <v>2</v>
      </c>
      <c r="E1462">
        <v>1</v>
      </c>
      <c r="F1462">
        <v>37</v>
      </c>
      <c r="G1462">
        <v>2</v>
      </c>
      <c r="H1462">
        <v>2</v>
      </c>
      <c r="I1462">
        <v>3</v>
      </c>
      <c r="J1462">
        <v>3</v>
      </c>
      <c r="K1462">
        <v>3</v>
      </c>
      <c r="L1462">
        <v>3</v>
      </c>
      <c r="M1462">
        <v>1050</v>
      </c>
      <c r="N1462">
        <v>1050</v>
      </c>
      <c r="O1462">
        <v>1050</v>
      </c>
      <c r="P1462">
        <v>1050</v>
      </c>
      <c r="Q1462">
        <v>1050</v>
      </c>
      <c r="R1462">
        <v>1050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</row>
    <row r="1463" spans="1:25" x14ac:dyDescent="0.3">
      <c r="A1463">
        <v>1462</v>
      </c>
      <c r="B1463">
        <v>120000</v>
      </c>
      <c r="C1463">
        <v>1</v>
      </c>
      <c r="D1463">
        <v>1</v>
      </c>
      <c r="E1463">
        <v>2</v>
      </c>
      <c r="F1463">
        <v>36</v>
      </c>
      <c r="G1463">
        <v>0</v>
      </c>
      <c r="H1463">
        <v>0</v>
      </c>
      <c r="I1463">
        <v>2</v>
      </c>
      <c r="J1463">
        <v>0</v>
      </c>
      <c r="K1463">
        <v>0</v>
      </c>
      <c r="L1463">
        <v>2</v>
      </c>
      <c r="M1463">
        <v>24466</v>
      </c>
      <c r="N1463">
        <v>28255</v>
      </c>
      <c r="O1463">
        <v>27507</v>
      </c>
      <c r="P1463">
        <v>27952</v>
      </c>
      <c r="Q1463">
        <v>31136</v>
      </c>
      <c r="R1463">
        <v>30486</v>
      </c>
      <c r="S1463">
        <v>4500</v>
      </c>
      <c r="T1463">
        <v>0</v>
      </c>
      <c r="U1463">
        <v>1200</v>
      </c>
      <c r="V1463">
        <v>3800</v>
      </c>
      <c r="W1463">
        <v>0</v>
      </c>
      <c r="X1463">
        <v>1500</v>
      </c>
      <c r="Y1463">
        <v>0</v>
      </c>
    </row>
    <row r="1464" spans="1:25" x14ac:dyDescent="0.3">
      <c r="A1464">
        <v>1463</v>
      </c>
      <c r="B1464">
        <v>200000</v>
      </c>
      <c r="C1464">
        <v>2</v>
      </c>
      <c r="D1464">
        <v>1</v>
      </c>
      <c r="E1464">
        <v>2</v>
      </c>
      <c r="F1464">
        <v>27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157607</v>
      </c>
      <c r="N1464">
        <v>155693</v>
      </c>
      <c r="O1464">
        <v>155290</v>
      </c>
      <c r="P1464">
        <v>147604</v>
      </c>
      <c r="Q1464">
        <v>146719</v>
      </c>
      <c r="R1464">
        <v>143317</v>
      </c>
      <c r="S1464">
        <v>7194</v>
      </c>
      <c r="T1464">
        <v>6760</v>
      </c>
      <c r="U1464">
        <v>5018</v>
      </c>
      <c r="V1464">
        <v>5370</v>
      </c>
      <c r="W1464">
        <v>5294</v>
      </c>
      <c r="X1464">
        <v>5300</v>
      </c>
      <c r="Y1464">
        <v>0</v>
      </c>
    </row>
    <row r="1465" spans="1:25" x14ac:dyDescent="0.3">
      <c r="A1465">
        <v>1464</v>
      </c>
      <c r="B1465">
        <v>300000</v>
      </c>
      <c r="C1465">
        <v>2</v>
      </c>
      <c r="D1465">
        <v>2</v>
      </c>
      <c r="E1465">
        <v>1</v>
      </c>
      <c r="F1465">
        <v>50</v>
      </c>
      <c r="G1465">
        <v>-1</v>
      </c>
      <c r="H1465">
        <v>-1</v>
      </c>
      <c r="I1465">
        <v>-1</v>
      </c>
      <c r="J1465">
        <v>0</v>
      </c>
      <c r="K1465">
        <v>0</v>
      </c>
      <c r="L1465">
        <v>0</v>
      </c>
      <c r="M1465">
        <v>8924</v>
      </c>
      <c r="N1465">
        <v>3131</v>
      </c>
      <c r="O1465">
        <v>117497</v>
      </c>
      <c r="P1465">
        <v>110680</v>
      </c>
      <c r="Q1465">
        <v>104016</v>
      </c>
      <c r="R1465">
        <v>109839</v>
      </c>
      <c r="S1465">
        <v>3131</v>
      </c>
      <c r="T1465">
        <v>121715</v>
      </c>
      <c r="U1465">
        <v>4000</v>
      </c>
      <c r="V1465">
        <v>5000</v>
      </c>
      <c r="W1465">
        <v>9000</v>
      </c>
      <c r="X1465">
        <v>5000</v>
      </c>
      <c r="Y1465">
        <v>0</v>
      </c>
    </row>
    <row r="1466" spans="1:25" x14ac:dyDescent="0.3">
      <c r="A1466">
        <v>1465</v>
      </c>
      <c r="B1466">
        <v>90000</v>
      </c>
      <c r="C1466">
        <v>2</v>
      </c>
      <c r="D1466">
        <v>2</v>
      </c>
      <c r="E1466">
        <v>2</v>
      </c>
      <c r="F1466">
        <v>24</v>
      </c>
      <c r="G1466">
        <v>-1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17524</v>
      </c>
      <c r="N1466">
        <v>22184</v>
      </c>
      <c r="O1466">
        <v>23270</v>
      </c>
      <c r="P1466">
        <v>27372</v>
      </c>
      <c r="Q1466">
        <v>31905</v>
      </c>
      <c r="R1466">
        <v>34954</v>
      </c>
      <c r="S1466">
        <v>5000</v>
      </c>
      <c r="T1466">
        <v>5000</v>
      </c>
      <c r="U1466">
        <v>5000</v>
      </c>
      <c r="V1466">
        <v>5000</v>
      </c>
      <c r="W1466">
        <v>3600</v>
      </c>
      <c r="X1466">
        <v>2000</v>
      </c>
      <c r="Y1466">
        <v>0</v>
      </c>
    </row>
    <row r="1467" spans="1:25" x14ac:dyDescent="0.3">
      <c r="A1467">
        <v>1466</v>
      </c>
      <c r="B1467">
        <v>90000</v>
      </c>
      <c r="C1467">
        <v>1</v>
      </c>
      <c r="D1467">
        <v>2</v>
      </c>
      <c r="E1467">
        <v>1</v>
      </c>
      <c r="F1467">
        <v>27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70482</v>
      </c>
      <c r="N1467">
        <v>70591</v>
      </c>
      <c r="O1467">
        <v>64926</v>
      </c>
      <c r="P1467">
        <v>59949</v>
      </c>
      <c r="Q1467">
        <v>54029</v>
      </c>
      <c r="R1467">
        <v>48170</v>
      </c>
      <c r="S1467">
        <v>2580</v>
      </c>
      <c r="T1467">
        <v>2337</v>
      </c>
      <c r="U1467">
        <v>1634</v>
      </c>
      <c r="V1467">
        <v>1606</v>
      </c>
      <c r="W1467">
        <v>1371</v>
      </c>
      <c r="X1467">
        <v>620</v>
      </c>
      <c r="Y1467">
        <v>0</v>
      </c>
    </row>
    <row r="1468" spans="1:25" x14ac:dyDescent="0.3">
      <c r="A1468">
        <v>1467</v>
      </c>
      <c r="B1468">
        <v>140000</v>
      </c>
      <c r="C1468">
        <v>2</v>
      </c>
      <c r="D1468">
        <v>1</v>
      </c>
      <c r="E1468">
        <v>2</v>
      </c>
      <c r="F1468">
        <v>23</v>
      </c>
      <c r="G1468">
        <v>1</v>
      </c>
      <c r="H1468">
        <v>-2</v>
      </c>
      <c r="I1468">
        <v>-2</v>
      </c>
      <c r="J1468">
        <v>-2</v>
      </c>
      <c r="K1468">
        <v>-2</v>
      </c>
      <c r="L1468">
        <v>-2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1</v>
      </c>
    </row>
    <row r="1469" spans="1:25" x14ac:dyDescent="0.3">
      <c r="A1469">
        <v>1468</v>
      </c>
      <c r="B1469">
        <v>180000</v>
      </c>
      <c r="C1469">
        <v>2</v>
      </c>
      <c r="D1469">
        <v>2</v>
      </c>
      <c r="E1469">
        <v>1</v>
      </c>
      <c r="F1469">
        <v>39</v>
      </c>
      <c r="G1469">
        <v>-1</v>
      </c>
      <c r="H1469">
        <v>-1</v>
      </c>
      <c r="I1469">
        <v>-1</v>
      </c>
      <c r="J1469">
        <v>-1</v>
      </c>
      <c r="K1469">
        <v>0</v>
      </c>
      <c r="L1469">
        <v>-1</v>
      </c>
      <c r="M1469">
        <v>1081</v>
      </c>
      <c r="N1469">
        <v>148</v>
      </c>
      <c r="O1469">
        <v>148</v>
      </c>
      <c r="P1469">
        <v>296</v>
      </c>
      <c r="Q1469">
        <v>148</v>
      </c>
      <c r="R1469">
        <v>148</v>
      </c>
      <c r="S1469">
        <v>148</v>
      </c>
      <c r="T1469">
        <v>148</v>
      </c>
      <c r="U1469">
        <v>296</v>
      </c>
      <c r="V1469">
        <v>0</v>
      </c>
      <c r="W1469">
        <v>148</v>
      </c>
      <c r="X1469">
        <v>1495</v>
      </c>
      <c r="Y1469">
        <v>0</v>
      </c>
    </row>
    <row r="1470" spans="1:25" x14ac:dyDescent="0.3">
      <c r="A1470">
        <v>1469</v>
      </c>
      <c r="B1470">
        <v>360000</v>
      </c>
      <c r="C1470">
        <v>1</v>
      </c>
      <c r="D1470">
        <v>1</v>
      </c>
      <c r="E1470">
        <v>1</v>
      </c>
      <c r="F1470">
        <v>39</v>
      </c>
      <c r="G1470">
        <v>-1</v>
      </c>
      <c r="H1470">
        <v>-1</v>
      </c>
      <c r="I1470">
        <v>-1</v>
      </c>
      <c r="J1470">
        <v>-2</v>
      </c>
      <c r="K1470">
        <v>-2</v>
      </c>
      <c r="L1470">
        <v>-2</v>
      </c>
      <c r="M1470">
        <v>1761</v>
      </c>
      <c r="N1470">
        <v>2560</v>
      </c>
      <c r="O1470">
        <v>0</v>
      </c>
      <c r="P1470">
        <v>0</v>
      </c>
      <c r="Q1470">
        <v>0</v>
      </c>
      <c r="R1470">
        <v>0</v>
      </c>
      <c r="S1470">
        <v>2816</v>
      </c>
      <c r="T1470">
        <v>0</v>
      </c>
      <c r="U1470">
        <v>0</v>
      </c>
      <c r="V1470">
        <v>0</v>
      </c>
      <c r="W1470">
        <v>0</v>
      </c>
      <c r="X1470">
        <v>2456</v>
      </c>
      <c r="Y1470">
        <v>0</v>
      </c>
    </row>
    <row r="1471" spans="1:25" x14ac:dyDescent="0.3">
      <c r="A1471">
        <v>1470</v>
      </c>
      <c r="B1471">
        <v>160000</v>
      </c>
      <c r="C1471">
        <v>2</v>
      </c>
      <c r="D1471">
        <v>3</v>
      </c>
      <c r="E1471">
        <v>2</v>
      </c>
      <c r="F1471">
        <v>29</v>
      </c>
      <c r="G1471">
        <v>1</v>
      </c>
      <c r="H1471">
        <v>-2</v>
      </c>
      <c r="I1471">
        <v>-2</v>
      </c>
      <c r="J1471">
        <v>-2</v>
      </c>
      <c r="K1471">
        <v>-2</v>
      </c>
      <c r="L1471">
        <v>-2</v>
      </c>
      <c r="M1471">
        <v>0</v>
      </c>
      <c r="N1471">
        <v>0</v>
      </c>
      <c r="O1471">
        <v>4150</v>
      </c>
      <c r="P1471">
        <v>2065</v>
      </c>
      <c r="Q1471">
        <v>0</v>
      </c>
      <c r="R1471">
        <v>500</v>
      </c>
      <c r="S1471">
        <v>0</v>
      </c>
      <c r="T1471">
        <v>4150</v>
      </c>
      <c r="U1471">
        <v>2065</v>
      </c>
      <c r="V1471">
        <v>0</v>
      </c>
      <c r="W1471">
        <v>500</v>
      </c>
      <c r="X1471">
        <v>0</v>
      </c>
      <c r="Y1471">
        <v>1</v>
      </c>
    </row>
    <row r="1472" spans="1:25" x14ac:dyDescent="0.3">
      <c r="A1472">
        <v>1471</v>
      </c>
      <c r="B1472">
        <v>100000</v>
      </c>
      <c r="C1472">
        <v>1</v>
      </c>
      <c r="D1472">
        <v>1</v>
      </c>
      <c r="E1472">
        <v>1</v>
      </c>
      <c r="F1472">
        <v>45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10529</v>
      </c>
      <c r="N1472">
        <v>12723</v>
      </c>
      <c r="O1472">
        <v>15807</v>
      </c>
      <c r="P1472">
        <v>18901</v>
      </c>
      <c r="Q1472">
        <v>21794</v>
      </c>
      <c r="R1472">
        <v>25051</v>
      </c>
      <c r="S1472">
        <v>2688</v>
      </c>
      <c r="T1472">
        <v>3688</v>
      </c>
      <c r="U1472">
        <v>3288</v>
      </c>
      <c r="V1472">
        <v>3288</v>
      </c>
      <c r="W1472">
        <v>3688</v>
      </c>
      <c r="X1472">
        <v>0</v>
      </c>
      <c r="Y1472">
        <v>0</v>
      </c>
    </row>
    <row r="1473" spans="1:25" x14ac:dyDescent="0.3">
      <c r="A1473">
        <v>1472</v>
      </c>
      <c r="B1473">
        <v>20000</v>
      </c>
      <c r="C1473">
        <v>1</v>
      </c>
      <c r="D1473">
        <v>2</v>
      </c>
      <c r="E1473">
        <v>2</v>
      </c>
      <c r="F1473">
        <v>21</v>
      </c>
      <c r="G1473">
        <v>0</v>
      </c>
      <c r="H1473">
        <v>0</v>
      </c>
      <c r="I1473">
        <v>2</v>
      </c>
      <c r="J1473">
        <v>0</v>
      </c>
      <c r="K1473">
        <v>0</v>
      </c>
      <c r="L1473">
        <v>-2</v>
      </c>
      <c r="M1473">
        <v>19277</v>
      </c>
      <c r="N1473">
        <v>20997</v>
      </c>
      <c r="O1473">
        <v>20200</v>
      </c>
      <c r="P1473">
        <v>20000</v>
      </c>
      <c r="Q1473">
        <v>0</v>
      </c>
      <c r="R1473">
        <v>0</v>
      </c>
      <c r="S1473">
        <v>5000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1</v>
      </c>
    </row>
    <row r="1474" spans="1:25" x14ac:dyDescent="0.3">
      <c r="A1474">
        <v>1473</v>
      </c>
      <c r="B1474">
        <v>360000</v>
      </c>
      <c r="C1474">
        <v>1</v>
      </c>
      <c r="D1474">
        <v>1</v>
      </c>
      <c r="E1474">
        <v>1</v>
      </c>
      <c r="F1474">
        <v>36</v>
      </c>
      <c r="G1474">
        <v>0</v>
      </c>
      <c r="H1474">
        <v>0</v>
      </c>
      <c r="I1474">
        <v>-1</v>
      </c>
      <c r="J1474">
        <v>0</v>
      </c>
      <c r="K1474">
        <v>0</v>
      </c>
      <c r="L1474">
        <v>0</v>
      </c>
      <c r="M1474">
        <v>40434</v>
      </c>
      <c r="N1474">
        <v>13352</v>
      </c>
      <c r="O1474">
        <v>129978</v>
      </c>
      <c r="P1474">
        <v>150637</v>
      </c>
      <c r="Q1474">
        <v>138969</v>
      </c>
      <c r="R1474">
        <v>132118</v>
      </c>
      <c r="S1474">
        <v>2000</v>
      </c>
      <c r="T1474">
        <v>129990</v>
      </c>
      <c r="U1474">
        <v>30000</v>
      </c>
      <c r="V1474">
        <v>25000</v>
      </c>
      <c r="W1474">
        <v>5000</v>
      </c>
      <c r="X1474">
        <v>3000</v>
      </c>
      <c r="Y1474">
        <v>0</v>
      </c>
    </row>
    <row r="1475" spans="1:25" x14ac:dyDescent="0.3">
      <c r="A1475">
        <v>1474</v>
      </c>
      <c r="B1475">
        <v>230000</v>
      </c>
      <c r="C1475">
        <v>1</v>
      </c>
      <c r="D1475">
        <v>2</v>
      </c>
      <c r="E1475">
        <v>2</v>
      </c>
      <c r="F1475">
        <v>39</v>
      </c>
      <c r="G1475">
        <v>-1</v>
      </c>
      <c r="H1475">
        <v>-1</v>
      </c>
      <c r="I1475">
        <v>-1</v>
      </c>
      <c r="J1475">
        <v>-1</v>
      </c>
      <c r="K1475">
        <v>-1</v>
      </c>
      <c r="L1475">
        <v>-1</v>
      </c>
      <c r="M1475">
        <v>326</v>
      </c>
      <c r="N1475">
        <v>326</v>
      </c>
      <c r="O1475">
        <v>326</v>
      </c>
      <c r="P1475">
        <v>326</v>
      </c>
      <c r="Q1475">
        <v>326</v>
      </c>
      <c r="R1475">
        <v>326</v>
      </c>
      <c r="S1475">
        <v>652</v>
      </c>
      <c r="T1475">
        <v>326</v>
      </c>
      <c r="U1475">
        <v>326</v>
      </c>
      <c r="V1475">
        <v>326</v>
      </c>
      <c r="W1475">
        <v>326</v>
      </c>
      <c r="X1475">
        <v>326</v>
      </c>
      <c r="Y1475">
        <v>0</v>
      </c>
    </row>
    <row r="1476" spans="1:25" x14ac:dyDescent="0.3">
      <c r="A1476">
        <v>1475</v>
      </c>
      <c r="B1476">
        <v>110000</v>
      </c>
      <c r="C1476">
        <v>2</v>
      </c>
      <c r="D1476">
        <v>3</v>
      </c>
      <c r="E1476">
        <v>2</v>
      </c>
      <c r="F1476">
        <v>29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101006</v>
      </c>
      <c r="N1476">
        <v>104474</v>
      </c>
      <c r="O1476">
        <v>106332</v>
      </c>
      <c r="P1476">
        <v>106906</v>
      </c>
      <c r="Q1476">
        <v>108952</v>
      </c>
      <c r="R1476">
        <v>110444</v>
      </c>
      <c r="S1476">
        <v>5300</v>
      </c>
      <c r="T1476">
        <v>5300</v>
      </c>
      <c r="U1476">
        <v>4000</v>
      </c>
      <c r="V1476">
        <v>4100</v>
      </c>
      <c r="W1476">
        <v>4631</v>
      </c>
      <c r="X1476">
        <v>4404</v>
      </c>
      <c r="Y1476">
        <v>1</v>
      </c>
    </row>
    <row r="1477" spans="1:25" x14ac:dyDescent="0.3">
      <c r="A1477">
        <v>1476</v>
      </c>
      <c r="B1477">
        <v>210000</v>
      </c>
      <c r="C1477">
        <v>1</v>
      </c>
      <c r="D1477">
        <v>2</v>
      </c>
      <c r="E1477">
        <v>2</v>
      </c>
      <c r="F1477">
        <v>37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142149</v>
      </c>
      <c r="N1477">
        <v>139025</v>
      </c>
      <c r="O1477">
        <v>50283</v>
      </c>
      <c r="P1477">
        <v>159231</v>
      </c>
      <c r="Q1477">
        <v>155342</v>
      </c>
      <c r="R1477">
        <v>156769</v>
      </c>
      <c r="S1477">
        <v>6534</v>
      </c>
      <c r="T1477">
        <v>3069</v>
      </c>
      <c r="U1477">
        <v>110017</v>
      </c>
      <c r="V1477">
        <v>5496</v>
      </c>
      <c r="W1477">
        <v>6307</v>
      </c>
      <c r="X1477">
        <v>5376</v>
      </c>
      <c r="Y1477">
        <v>0</v>
      </c>
    </row>
    <row r="1478" spans="1:25" x14ac:dyDescent="0.3">
      <c r="A1478">
        <v>1477</v>
      </c>
      <c r="B1478">
        <v>200000</v>
      </c>
      <c r="C1478">
        <v>1</v>
      </c>
      <c r="D1478">
        <v>2</v>
      </c>
      <c r="E1478">
        <v>2</v>
      </c>
      <c r="F1478">
        <v>26</v>
      </c>
      <c r="G1478">
        <v>-1</v>
      </c>
      <c r="H1478">
        <v>-1</v>
      </c>
      <c r="I1478">
        <v>0</v>
      </c>
      <c r="J1478">
        <v>0</v>
      </c>
      <c r="K1478">
        <v>0</v>
      </c>
      <c r="L1478">
        <v>0</v>
      </c>
      <c r="M1478">
        <v>1747</v>
      </c>
      <c r="N1478">
        <v>11817</v>
      </c>
      <c r="O1478">
        <v>14225</v>
      </c>
      <c r="P1478">
        <v>16017</v>
      </c>
      <c r="Q1478">
        <v>12613</v>
      </c>
      <c r="R1478">
        <v>6600</v>
      </c>
      <c r="S1478">
        <v>12957</v>
      </c>
      <c r="T1478">
        <v>3884</v>
      </c>
      <c r="U1478">
        <v>5010</v>
      </c>
      <c r="V1478">
        <v>700</v>
      </c>
      <c r="W1478">
        <v>360</v>
      </c>
      <c r="X1478">
        <v>1713</v>
      </c>
      <c r="Y1478">
        <v>0</v>
      </c>
    </row>
    <row r="1479" spans="1:25" x14ac:dyDescent="0.3">
      <c r="A1479">
        <v>1478</v>
      </c>
      <c r="B1479">
        <v>50000</v>
      </c>
      <c r="C1479">
        <v>1</v>
      </c>
      <c r="D1479">
        <v>2</v>
      </c>
      <c r="E1479">
        <v>2</v>
      </c>
      <c r="F1479">
        <v>44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27560</v>
      </c>
      <c r="N1479">
        <v>19002</v>
      </c>
      <c r="O1479">
        <v>8542</v>
      </c>
      <c r="P1479">
        <v>8711</v>
      </c>
      <c r="Q1479">
        <v>8893</v>
      </c>
      <c r="R1479">
        <v>9070</v>
      </c>
      <c r="S1479">
        <v>1159</v>
      </c>
      <c r="T1479">
        <v>1142</v>
      </c>
      <c r="U1479">
        <v>311</v>
      </c>
      <c r="V1479">
        <v>322</v>
      </c>
      <c r="W1479">
        <v>324</v>
      </c>
      <c r="X1479">
        <v>335</v>
      </c>
      <c r="Y1479">
        <v>0</v>
      </c>
    </row>
    <row r="1480" spans="1:25" x14ac:dyDescent="0.3">
      <c r="A1480">
        <v>1479</v>
      </c>
      <c r="B1480">
        <v>210000</v>
      </c>
      <c r="C1480">
        <v>2</v>
      </c>
      <c r="D1480">
        <v>1</v>
      </c>
      <c r="E1480">
        <v>2</v>
      </c>
      <c r="F1480">
        <v>30</v>
      </c>
      <c r="G1480">
        <v>1</v>
      </c>
      <c r="H1480">
        <v>-2</v>
      </c>
      <c r="I1480">
        <v>-2</v>
      </c>
      <c r="J1480">
        <v>-2</v>
      </c>
      <c r="K1480">
        <v>-1</v>
      </c>
      <c r="L1480">
        <v>-1</v>
      </c>
      <c r="M1480">
        <v>0</v>
      </c>
      <c r="N1480">
        <v>0</v>
      </c>
      <c r="O1480">
        <v>0</v>
      </c>
      <c r="P1480">
        <v>0</v>
      </c>
      <c r="Q1480">
        <v>49525</v>
      </c>
      <c r="R1480">
        <v>0</v>
      </c>
      <c r="S1480">
        <v>0</v>
      </c>
      <c r="T1480">
        <v>0</v>
      </c>
      <c r="U1480">
        <v>0</v>
      </c>
      <c r="V1480">
        <v>49525</v>
      </c>
      <c r="W1480">
        <v>0</v>
      </c>
      <c r="X1480">
        <v>0</v>
      </c>
      <c r="Y1480">
        <v>1</v>
      </c>
    </row>
    <row r="1481" spans="1:25" x14ac:dyDescent="0.3">
      <c r="A1481">
        <v>1480</v>
      </c>
      <c r="B1481">
        <v>280000</v>
      </c>
      <c r="C1481">
        <v>1</v>
      </c>
      <c r="D1481">
        <v>1</v>
      </c>
      <c r="E1481">
        <v>2</v>
      </c>
      <c r="F1481">
        <v>31</v>
      </c>
      <c r="G1481">
        <v>1</v>
      </c>
      <c r="H1481">
        <v>-2</v>
      </c>
      <c r="I1481">
        <v>-1</v>
      </c>
      <c r="J1481">
        <v>0</v>
      </c>
      <c r="K1481">
        <v>-1</v>
      </c>
      <c r="L1481">
        <v>-1</v>
      </c>
      <c r="M1481">
        <v>-32</v>
      </c>
      <c r="N1481">
        <v>-32</v>
      </c>
      <c r="O1481">
        <v>4887</v>
      </c>
      <c r="P1481">
        <v>2067</v>
      </c>
      <c r="Q1481">
        <v>6624</v>
      </c>
      <c r="R1481">
        <v>1489</v>
      </c>
      <c r="S1481">
        <v>0</v>
      </c>
      <c r="T1481">
        <v>4919</v>
      </c>
      <c r="U1481">
        <v>10</v>
      </c>
      <c r="V1481">
        <v>6657</v>
      </c>
      <c r="W1481">
        <v>1496</v>
      </c>
      <c r="X1481">
        <v>2244</v>
      </c>
      <c r="Y1481">
        <v>0</v>
      </c>
    </row>
    <row r="1482" spans="1:25" x14ac:dyDescent="0.3">
      <c r="A1482">
        <v>1481</v>
      </c>
      <c r="B1482">
        <v>500000</v>
      </c>
      <c r="C1482">
        <v>1</v>
      </c>
      <c r="D1482">
        <v>2</v>
      </c>
      <c r="E1482">
        <v>1</v>
      </c>
      <c r="F1482">
        <v>40</v>
      </c>
      <c r="G1482">
        <v>0</v>
      </c>
      <c r="H1482">
        <v>0</v>
      </c>
      <c r="I1482">
        <v>0</v>
      </c>
      <c r="J1482">
        <v>-1</v>
      </c>
      <c r="K1482">
        <v>-1</v>
      </c>
      <c r="L1482">
        <v>0</v>
      </c>
      <c r="M1482">
        <v>94585</v>
      </c>
      <c r="N1482">
        <v>61111</v>
      </c>
      <c r="O1482">
        <v>24801</v>
      </c>
      <c r="P1482">
        <v>6288</v>
      </c>
      <c r="Q1482">
        <v>166251</v>
      </c>
      <c r="R1482">
        <v>162785</v>
      </c>
      <c r="S1482">
        <v>2659</v>
      </c>
      <c r="T1482">
        <v>2090</v>
      </c>
      <c r="U1482">
        <v>6333</v>
      </c>
      <c r="V1482">
        <v>178460</v>
      </c>
      <c r="W1482">
        <v>5506</v>
      </c>
      <c r="X1482">
        <v>6205</v>
      </c>
      <c r="Y1482">
        <v>0</v>
      </c>
    </row>
    <row r="1483" spans="1:25" x14ac:dyDescent="0.3">
      <c r="A1483">
        <v>1482</v>
      </c>
      <c r="B1483">
        <v>30000</v>
      </c>
      <c r="C1483">
        <v>2</v>
      </c>
      <c r="D1483">
        <v>1</v>
      </c>
      <c r="E1483">
        <v>2</v>
      </c>
      <c r="F1483">
        <v>25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-2</v>
      </c>
      <c r="M1483">
        <v>3924</v>
      </c>
      <c r="N1483">
        <v>4972</v>
      </c>
      <c r="O1483">
        <v>5873</v>
      </c>
      <c r="P1483">
        <v>5993</v>
      </c>
      <c r="Q1483">
        <v>0</v>
      </c>
      <c r="R1483">
        <v>0</v>
      </c>
      <c r="S1483">
        <v>1099</v>
      </c>
      <c r="T1483">
        <v>1000</v>
      </c>
      <c r="U1483">
        <v>120</v>
      </c>
      <c r="V1483">
        <v>0</v>
      </c>
      <c r="W1483">
        <v>0</v>
      </c>
      <c r="X1483">
        <v>0</v>
      </c>
      <c r="Y1483">
        <v>0</v>
      </c>
    </row>
    <row r="1484" spans="1:25" x14ac:dyDescent="0.3">
      <c r="A1484">
        <v>1483</v>
      </c>
      <c r="B1484">
        <v>340000</v>
      </c>
      <c r="C1484">
        <v>2</v>
      </c>
      <c r="D1484">
        <v>2</v>
      </c>
      <c r="E1484">
        <v>1</v>
      </c>
      <c r="F1484">
        <v>36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167474</v>
      </c>
      <c r="N1484">
        <v>155293</v>
      </c>
      <c r="O1484">
        <v>134467</v>
      </c>
      <c r="P1484">
        <v>129891</v>
      </c>
      <c r="Q1484">
        <v>113919</v>
      </c>
      <c r="R1484">
        <v>106675</v>
      </c>
      <c r="S1484">
        <v>7106</v>
      </c>
      <c r="T1484">
        <v>4435</v>
      </c>
      <c r="U1484">
        <v>4091</v>
      </c>
      <c r="V1484">
        <v>3548</v>
      </c>
      <c r="W1484">
        <v>4535</v>
      </c>
      <c r="X1484">
        <v>4127</v>
      </c>
      <c r="Y1484">
        <v>0</v>
      </c>
    </row>
    <row r="1485" spans="1:25" x14ac:dyDescent="0.3">
      <c r="A1485">
        <v>1484</v>
      </c>
      <c r="B1485">
        <v>360000</v>
      </c>
      <c r="C1485">
        <v>1</v>
      </c>
      <c r="D1485">
        <v>1</v>
      </c>
      <c r="E1485">
        <v>2</v>
      </c>
      <c r="F1485">
        <v>32</v>
      </c>
      <c r="G1485">
        <v>-1</v>
      </c>
      <c r="H1485">
        <v>-1</v>
      </c>
      <c r="I1485">
        <v>-1</v>
      </c>
      <c r="J1485">
        <v>-1</v>
      </c>
      <c r="K1485">
        <v>-1</v>
      </c>
      <c r="L1485">
        <v>-1</v>
      </c>
      <c r="M1485">
        <v>389</v>
      </c>
      <c r="N1485">
        <v>389</v>
      </c>
      <c r="O1485">
        <v>1955</v>
      </c>
      <c r="P1485">
        <v>5316</v>
      </c>
      <c r="Q1485">
        <v>2265</v>
      </c>
      <c r="R1485">
        <v>6594</v>
      </c>
      <c r="S1485">
        <v>389</v>
      </c>
      <c r="T1485">
        <v>1955</v>
      </c>
      <c r="U1485">
        <v>5316</v>
      </c>
      <c r="V1485">
        <v>2265</v>
      </c>
      <c r="W1485">
        <v>6594</v>
      </c>
      <c r="X1485">
        <v>2974</v>
      </c>
      <c r="Y1485">
        <v>0</v>
      </c>
    </row>
    <row r="1486" spans="1:25" x14ac:dyDescent="0.3">
      <c r="A1486">
        <v>1485</v>
      </c>
      <c r="B1486">
        <v>70000</v>
      </c>
      <c r="C1486">
        <v>2</v>
      </c>
      <c r="D1486">
        <v>1</v>
      </c>
      <c r="E1486">
        <v>2</v>
      </c>
      <c r="F1486">
        <v>22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71358</v>
      </c>
      <c r="N1486">
        <v>70285</v>
      </c>
      <c r="O1486">
        <v>28867</v>
      </c>
      <c r="P1486">
        <v>29766</v>
      </c>
      <c r="Q1486">
        <v>26522</v>
      </c>
      <c r="R1486">
        <v>27584</v>
      </c>
      <c r="S1486">
        <v>3280</v>
      </c>
      <c r="T1486">
        <v>1480</v>
      </c>
      <c r="U1486">
        <v>1360</v>
      </c>
      <c r="V1486">
        <v>960</v>
      </c>
      <c r="W1486">
        <v>1500</v>
      </c>
      <c r="X1486">
        <v>1000</v>
      </c>
      <c r="Y1486">
        <v>0</v>
      </c>
    </row>
    <row r="1487" spans="1:25" x14ac:dyDescent="0.3">
      <c r="A1487">
        <v>1486</v>
      </c>
      <c r="B1487">
        <v>20000</v>
      </c>
      <c r="C1487">
        <v>2</v>
      </c>
      <c r="D1487">
        <v>2</v>
      </c>
      <c r="E1487">
        <v>3</v>
      </c>
      <c r="F1487">
        <v>44</v>
      </c>
      <c r="G1487">
        <v>2</v>
      </c>
      <c r="H1487">
        <v>2</v>
      </c>
      <c r="I1487">
        <v>7</v>
      </c>
      <c r="J1487">
        <v>7</v>
      </c>
      <c r="K1487">
        <v>7</v>
      </c>
      <c r="L1487">
        <v>6</v>
      </c>
      <c r="M1487">
        <v>2400</v>
      </c>
      <c r="N1487">
        <v>2400</v>
      </c>
      <c r="O1487">
        <v>2400</v>
      </c>
      <c r="P1487">
        <v>2400</v>
      </c>
      <c r="Q1487">
        <v>2400</v>
      </c>
      <c r="R1487">
        <v>1800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</row>
    <row r="1488" spans="1:25" x14ac:dyDescent="0.3">
      <c r="A1488">
        <v>1487</v>
      </c>
      <c r="B1488">
        <v>230000</v>
      </c>
      <c r="C1488">
        <v>1</v>
      </c>
      <c r="D1488">
        <v>1</v>
      </c>
      <c r="E1488">
        <v>2</v>
      </c>
      <c r="F1488">
        <v>32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44734</v>
      </c>
      <c r="N1488">
        <v>47178</v>
      </c>
      <c r="O1488">
        <v>29582</v>
      </c>
      <c r="P1488">
        <v>38426</v>
      </c>
      <c r="Q1488">
        <v>42500</v>
      </c>
      <c r="R1488">
        <v>43531</v>
      </c>
      <c r="S1488">
        <v>10120</v>
      </c>
      <c r="T1488">
        <v>20000</v>
      </c>
      <c r="U1488">
        <v>10000</v>
      </c>
      <c r="V1488">
        <v>5000</v>
      </c>
      <c r="W1488">
        <v>5000</v>
      </c>
      <c r="X1488">
        <v>5000</v>
      </c>
      <c r="Y1488">
        <v>0</v>
      </c>
    </row>
    <row r="1489" spans="1:25" x14ac:dyDescent="0.3">
      <c r="A1489">
        <v>1488</v>
      </c>
      <c r="B1489">
        <v>60000</v>
      </c>
      <c r="C1489">
        <v>1</v>
      </c>
      <c r="D1489">
        <v>2</v>
      </c>
      <c r="E1489">
        <v>1</v>
      </c>
      <c r="F1489">
        <v>41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-1</v>
      </c>
      <c r="M1489">
        <v>48979</v>
      </c>
      <c r="N1489">
        <v>41597</v>
      </c>
      <c r="O1489">
        <v>29347</v>
      </c>
      <c r="P1489">
        <v>19544</v>
      </c>
      <c r="Q1489">
        <v>11989</v>
      </c>
      <c r="R1489">
        <v>9079</v>
      </c>
      <c r="S1489">
        <v>5070</v>
      </c>
      <c r="T1489">
        <v>1219</v>
      </c>
      <c r="U1489">
        <v>1007</v>
      </c>
      <c r="V1489">
        <v>8</v>
      </c>
      <c r="W1489">
        <v>9381</v>
      </c>
      <c r="X1489">
        <v>1156</v>
      </c>
      <c r="Y1489">
        <v>0</v>
      </c>
    </row>
    <row r="1490" spans="1:25" x14ac:dyDescent="0.3">
      <c r="A1490">
        <v>1489</v>
      </c>
      <c r="B1490">
        <v>50000</v>
      </c>
      <c r="C1490">
        <v>1</v>
      </c>
      <c r="D1490">
        <v>1</v>
      </c>
      <c r="E1490">
        <v>2</v>
      </c>
      <c r="F1490">
        <v>28</v>
      </c>
      <c r="G1490">
        <v>3</v>
      </c>
      <c r="H1490">
        <v>2</v>
      </c>
      <c r="I1490">
        <v>2</v>
      </c>
      <c r="J1490">
        <v>0</v>
      </c>
      <c r="K1490">
        <v>0</v>
      </c>
      <c r="L1490">
        <v>0</v>
      </c>
      <c r="M1490">
        <v>49828</v>
      </c>
      <c r="N1490">
        <v>50467</v>
      </c>
      <c r="O1490">
        <v>48964</v>
      </c>
      <c r="P1490">
        <v>49447</v>
      </c>
      <c r="Q1490">
        <v>44067</v>
      </c>
      <c r="R1490">
        <v>44760</v>
      </c>
      <c r="S1490">
        <v>2121</v>
      </c>
      <c r="T1490">
        <v>0</v>
      </c>
      <c r="U1490">
        <v>2000</v>
      </c>
      <c r="V1490">
        <v>2000</v>
      </c>
      <c r="W1490">
        <v>2000</v>
      </c>
      <c r="X1490">
        <v>2000</v>
      </c>
      <c r="Y1490">
        <v>1</v>
      </c>
    </row>
    <row r="1491" spans="1:25" x14ac:dyDescent="0.3">
      <c r="A1491">
        <v>1490</v>
      </c>
      <c r="B1491">
        <v>50000</v>
      </c>
      <c r="C1491">
        <v>2</v>
      </c>
      <c r="D1491">
        <v>1</v>
      </c>
      <c r="E1491">
        <v>2</v>
      </c>
      <c r="F1491">
        <v>29</v>
      </c>
      <c r="G1491">
        <v>0</v>
      </c>
      <c r="H1491">
        <v>0</v>
      </c>
      <c r="I1491">
        <v>2</v>
      </c>
      <c r="J1491">
        <v>2</v>
      </c>
      <c r="K1491">
        <v>2</v>
      </c>
      <c r="L1491">
        <v>2</v>
      </c>
      <c r="M1491">
        <v>10532</v>
      </c>
      <c r="N1491">
        <v>13145</v>
      </c>
      <c r="O1491">
        <v>12637</v>
      </c>
      <c r="P1491">
        <v>13922</v>
      </c>
      <c r="Q1491">
        <v>13556</v>
      </c>
      <c r="R1491">
        <v>14528</v>
      </c>
      <c r="S1491">
        <v>2800</v>
      </c>
      <c r="T1491">
        <v>0</v>
      </c>
      <c r="U1491">
        <v>1500</v>
      </c>
      <c r="V1491">
        <v>0</v>
      </c>
      <c r="W1491">
        <v>1200</v>
      </c>
      <c r="X1491">
        <v>0</v>
      </c>
      <c r="Y1491">
        <v>1</v>
      </c>
    </row>
    <row r="1492" spans="1:25" x14ac:dyDescent="0.3">
      <c r="A1492">
        <v>1491</v>
      </c>
      <c r="B1492">
        <v>130000</v>
      </c>
      <c r="C1492">
        <v>2</v>
      </c>
      <c r="D1492">
        <v>4</v>
      </c>
      <c r="E1492">
        <v>2</v>
      </c>
      <c r="F1492">
        <v>28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36108</v>
      </c>
      <c r="N1492">
        <v>34256</v>
      </c>
      <c r="O1492">
        <v>36357</v>
      </c>
      <c r="P1492">
        <v>37878</v>
      </c>
      <c r="Q1492">
        <v>39489</v>
      </c>
      <c r="R1492">
        <v>41833</v>
      </c>
      <c r="S1492">
        <v>3000</v>
      </c>
      <c r="T1492">
        <v>3000</v>
      </c>
      <c r="U1492">
        <v>2500</v>
      </c>
      <c r="V1492">
        <v>3000</v>
      </c>
      <c r="W1492">
        <v>3000</v>
      </c>
      <c r="X1492">
        <v>2000</v>
      </c>
      <c r="Y1492">
        <v>0</v>
      </c>
    </row>
    <row r="1493" spans="1:25" x14ac:dyDescent="0.3">
      <c r="A1493">
        <v>1492</v>
      </c>
      <c r="B1493">
        <v>160000</v>
      </c>
      <c r="C1493">
        <v>1</v>
      </c>
      <c r="D1493">
        <v>3</v>
      </c>
      <c r="E1493">
        <v>2</v>
      </c>
      <c r="F1493">
        <v>52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155684</v>
      </c>
      <c r="N1493">
        <v>157364</v>
      </c>
      <c r="O1493">
        <v>156581</v>
      </c>
      <c r="P1493">
        <v>72814</v>
      </c>
      <c r="Q1493">
        <v>66825</v>
      </c>
      <c r="R1493">
        <v>63419</v>
      </c>
      <c r="S1493">
        <v>6525</v>
      </c>
      <c r="T1493">
        <v>6649</v>
      </c>
      <c r="U1493">
        <v>2724</v>
      </c>
      <c r="V1493">
        <v>2503</v>
      </c>
      <c r="W1493">
        <v>2310</v>
      </c>
      <c r="X1493">
        <v>2200</v>
      </c>
      <c r="Y1493">
        <v>0</v>
      </c>
    </row>
    <row r="1494" spans="1:25" x14ac:dyDescent="0.3">
      <c r="A1494">
        <v>1493</v>
      </c>
      <c r="B1494">
        <v>60000</v>
      </c>
      <c r="C1494">
        <v>2</v>
      </c>
      <c r="D1494">
        <v>3</v>
      </c>
      <c r="E1494">
        <v>2</v>
      </c>
      <c r="F1494">
        <v>48</v>
      </c>
      <c r="G1494">
        <v>2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43533</v>
      </c>
      <c r="N1494">
        <v>39252</v>
      </c>
      <c r="O1494">
        <v>38051</v>
      </c>
      <c r="P1494">
        <v>37988</v>
      </c>
      <c r="Q1494">
        <v>38725</v>
      </c>
      <c r="R1494">
        <v>39685</v>
      </c>
      <c r="S1494">
        <v>1700</v>
      </c>
      <c r="T1494">
        <v>1700</v>
      </c>
      <c r="U1494">
        <v>2000</v>
      </c>
      <c r="V1494">
        <v>1500</v>
      </c>
      <c r="W1494">
        <v>1600</v>
      </c>
      <c r="X1494">
        <v>1000</v>
      </c>
      <c r="Y1494">
        <v>0</v>
      </c>
    </row>
    <row r="1495" spans="1:25" x14ac:dyDescent="0.3">
      <c r="A1495">
        <v>1494</v>
      </c>
      <c r="B1495">
        <v>160000</v>
      </c>
      <c r="C1495">
        <v>1</v>
      </c>
      <c r="D1495">
        <v>2</v>
      </c>
      <c r="E1495">
        <v>2</v>
      </c>
      <c r="F1495">
        <v>43</v>
      </c>
      <c r="G1495">
        <v>-1</v>
      </c>
      <c r="H1495">
        <v>-1</v>
      </c>
      <c r="I1495">
        <v>0</v>
      </c>
      <c r="J1495">
        <v>0</v>
      </c>
      <c r="K1495">
        <v>0</v>
      </c>
      <c r="L1495">
        <v>-1</v>
      </c>
      <c r="M1495">
        <v>12458</v>
      </c>
      <c r="N1495">
        <v>7146</v>
      </c>
      <c r="O1495">
        <v>11529</v>
      </c>
      <c r="P1495">
        <v>20860</v>
      </c>
      <c r="Q1495">
        <v>0</v>
      </c>
      <c r="R1495">
        <v>780</v>
      </c>
      <c r="S1495">
        <v>7545</v>
      </c>
      <c r="T1495">
        <v>5000</v>
      </c>
      <c r="U1495">
        <v>10000</v>
      </c>
      <c r="V1495">
        <v>0</v>
      </c>
      <c r="W1495">
        <v>780</v>
      </c>
      <c r="X1495">
        <v>0</v>
      </c>
      <c r="Y1495">
        <v>0</v>
      </c>
    </row>
    <row r="1496" spans="1:25" x14ac:dyDescent="0.3">
      <c r="A1496">
        <v>1495</v>
      </c>
      <c r="B1496">
        <v>180000</v>
      </c>
      <c r="C1496">
        <v>2</v>
      </c>
      <c r="D1496">
        <v>1</v>
      </c>
      <c r="E1496">
        <v>2</v>
      </c>
      <c r="F1496">
        <v>25</v>
      </c>
      <c r="G1496">
        <v>0</v>
      </c>
      <c r="H1496">
        <v>-1</v>
      </c>
      <c r="I1496">
        <v>-1</v>
      </c>
      <c r="J1496">
        <v>0</v>
      </c>
      <c r="K1496">
        <v>-1</v>
      </c>
      <c r="L1496">
        <v>0</v>
      </c>
      <c r="M1496">
        <v>23800</v>
      </c>
      <c r="N1496">
        <v>1246</v>
      </c>
      <c r="O1496">
        <v>3430</v>
      </c>
      <c r="P1496">
        <v>8430</v>
      </c>
      <c r="Q1496">
        <v>92925</v>
      </c>
      <c r="R1496">
        <v>88283</v>
      </c>
      <c r="S1496">
        <v>1246</v>
      </c>
      <c r="T1496">
        <v>3430</v>
      </c>
      <c r="U1496">
        <v>5000</v>
      </c>
      <c r="V1496">
        <v>92925</v>
      </c>
      <c r="W1496">
        <v>5000</v>
      </c>
      <c r="X1496">
        <v>5000</v>
      </c>
      <c r="Y1496">
        <v>0</v>
      </c>
    </row>
    <row r="1497" spans="1:25" x14ac:dyDescent="0.3">
      <c r="A1497">
        <v>1496</v>
      </c>
      <c r="B1497">
        <v>170000</v>
      </c>
      <c r="C1497">
        <v>1</v>
      </c>
      <c r="D1497">
        <v>2</v>
      </c>
      <c r="E1497">
        <v>1</v>
      </c>
      <c r="F1497">
        <v>36</v>
      </c>
      <c r="G1497">
        <v>2</v>
      </c>
      <c r="H1497">
        <v>2</v>
      </c>
      <c r="I1497">
        <v>2</v>
      </c>
      <c r="J1497">
        <v>0</v>
      </c>
      <c r="K1497">
        <v>0</v>
      </c>
      <c r="L1497">
        <v>0</v>
      </c>
      <c r="M1497">
        <v>75960</v>
      </c>
      <c r="N1497">
        <v>64683</v>
      </c>
      <c r="O1497">
        <v>51184</v>
      </c>
      <c r="P1497">
        <v>37938</v>
      </c>
      <c r="Q1497">
        <v>25292</v>
      </c>
      <c r="R1497">
        <v>12646</v>
      </c>
      <c r="S1497">
        <v>2000</v>
      </c>
      <c r="T1497">
        <v>0</v>
      </c>
      <c r="U1497">
        <v>0</v>
      </c>
      <c r="V1497">
        <v>0</v>
      </c>
      <c r="W1497">
        <v>0</v>
      </c>
      <c r="X1497">
        <v>173869</v>
      </c>
      <c r="Y1497">
        <v>0</v>
      </c>
    </row>
    <row r="1498" spans="1:25" x14ac:dyDescent="0.3">
      <c r="A1498">
        <v>1497</v>
      </c>
      <c r="B1498">
        <v>360000</v>
      </c>
      <c r="C1498">
        <v>2</v>
      </c>
      <c r="D1498">
        <v>2</v>
      </c>
      <c r="E1498">
        <v>2</v>
      </c>
      <c r="F1498">
        <v>35</v>
      </c>
      <c r="G1498">
        <v>2</v>
      </c>
      <c r="H1498">
        <v>2</v>
      </c>
      <c r="I1498">
        <v>2</v>
      </c>
      <c r="J1498">
        <v>0</v>
      </c>
      <c r="K1498">
        <v>0</v>
      </c>
      <c r="L1498">
        <v>0</v>
      </c>
      <c r="M1498">
        <v>360023</v>
      </c>
      <c r="N1498">
        <v>363239</v>
      </c>
      <c r="O1498">
        <v>350214</v>
      </c>
      <c r="P1498">
        <v>319960</v>
      </c>
      <c r="Q1498">
        <v>260944</v>
      </c>
      <c r="R1498">
        <v>202686</v>
      </c>
      <c r="S1498">
        <v>14693</v>
      </c>
      <c r="T1498">
        <v>30</v>
      </c>
      <c r="U1498">
        <v>12302</v>
      </c>
      <c r="V1498">
        <v>10004</v>
      </c>
      <c r="W1498">
        <v>7506</v>
      </c>
      <c r="X1498">
        <v>19721</v>
      </c>
      <c r="Y1498">
        <v>1</v>
      </c>
    </row>
    <row r="1499" spans="1:25" x14ac:dyDescent="0.3">
      <c r="A1499">
        <v>1498</v>
      </c>
      <c r="B1499">
        <v>130000</v>
      </c>
      <c r="C1499">
        <v>2</v>
      </c>
      <c r="D1499">
        <v>2</v>
      </c>
      <c r="E1499">
        <v>1</v>
      </c>
      <c r="F1499">
        <v>34</v>
      </c>
      <c r="G1499">
        <v>0</v>
      </c>
      <c r="H1499">
        <v>0</v>
      </c>
      <c r="I1499">
        <v>0</v>
      </c>
      <c r="J1499">
        <v>2</v>
      </c>
      <c r="K1499">
        <v>0</v>
      </c>
      <c r="L1499">
        <v>0</v>
      </c>
      <c r="M1499">
        <v>59955</v>
      </c>
      <c r="N1499">
        <v>61252</v>
      </c>
      <c r="O1499">
        <v>65399</v>
      </c>
      <c r="P1499">
        <v>63800</v>
      </c>
      <c r="Q1499">
        <v>65312</v>
      </c>
      <c r="R1499">
        <v>37838</v>
      </c>
      <c r="S1499">
        <v>2260</v>
      </c>
      <c r="T1499">
        <v>5203</v>
      </c>
      <c r="U1499">
        <v>0</v>
      </c>
      <c r="V1499">
        <v>2670</v>
      </c>
      <c r="W1499">
        <v>1342</v>
      </c>
      <c r="X1499">
        <v>1815</v>
      </c>
      <c r="Y1499">
        <v>0</v>
      </c>
    </row>
    <row r="1500" spans="1:25" x14ac:dyDescent="0.3">
      <c r="A1500">
        <v>1499</v>
      </c>
      <c r="B1500">
        <v>180000</v>
      </c>
      <c r="C1500">
        <v>2</v>
      </c>
      <c r="D1500">
        <v>2</v>
      </c>
      <c r="E1500">
        <v>2</v>
      </c>
      <c r="F1500">
        <v>48</v>
      </c>
      <c r="G1500">
        <v>1</v>
      </c>
      <c r="H1500">
        <v>-1</v>
      </c>
      <c r="I1500">
        <v>-1</v>
      </c>
      <c r="J1500">
        <v>-1</v>
      </c>
      <c r="K1500">
        <v>-1</v>
      </c>
      <c r="L1500">
        <v>-1</v>
      </c>
      <c r="M1500">
        <v>2551</v>
      </c>
      <c r="N1500">
        <v>3044</v>
      </c>
      <c r="O1500">
        <v>3044</v>
      </c>
      <c r="P1500">
        <v>5283</v>
      </c>
      <c r="Q1500">
        <v>1660</v>
      </c>
      <c r="R1500">
        <v>6671</v>
      </c>
      <c r="S1500">
        <v>3044</v>
      </c>
      <c r="T1500">
        <v>3044</v>
      </c>
      <c r="U1500">
        <v>5283</v>
      </c>
      <c r="V1500">
        <v>1660</v>
      </c>
      <c r="W1500">
        <v>6671</v>
      </c>
      <c r="X1500">
        <v>493</v>
      </c>
      <c r="Y1500">
        <v>0</v>
      </c>
    </row>
    <row r="1501" spans="1:25" x14ac:dyDescent="0.3">
      <c r="A1501">
        <v>1500</v>
      </c>
      <c r="B1501">
        <v>20000</v>
      </c>
      <c r="C1501">
        <v>1</v>
      </c>
      <c r="D1501">
        <v>1</v>
      </c>
      <c r="E1501">
        <v>2</v>
      </c>
      <c r="F1501">
        <v>27</v>
      </c>
      <c r="G1501">
        <v>1</v>
      </c>
      <c r="H1501">
        <v>2</v>
      </c>
      <c r="I1501">
        <v>-1</v>
      </c>
      <c r="J1501">
        <v>-1</v>
      </c>
      <c r="K1501">
        <v>0</v>
      </c>
      <c r="L1501">
        <v>0</v>
      </c>
      <c r="M1501">
        <v>6274</v>
      </c>
      <c r="N1501">
        <v>5971</v>
      </c>
      <c r="O1501">
        <v>3980</v>
      </c>
      <c r="P1501">
        <v>9040</v>
      </c>
      <c r="Q1501">
        <v>9040</v>
      </c>
      <c r="R1501">
        <v>0</v>
      </c>
      <c r="S1501">
        <v>0</v>
      </c>
      <c r="T1501">
        <v>4000</v>
      </c>
      <c r="U1501">
        <v>9040</v>
      </c>
      <c r="V1501">
        <v>0</v>
      </c>
      <c r="W1501">
        <v>0</v>
      </c>
      <c r="X1501">
        <v>17291</v>
      </c>
      <c r="Y1501">
        <v>0</v>
      </c>
    </row>
    <row r="1502" spans="1:25" x14ac:dyDescent="0.3">
      <c r="A1502">
        <v>1501</v>
      </c>
      <c r="B1502">
        <v>230000</v>
      </c>
      <c r="C1502">
        <v>2</v>
      </c>
      <c r="D1502">
        <v>2</v>
      </c>
      <c r="E1502">
        <v>1</v>
      </c>
      <c r="F1502">
        <v>43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7806</v>
      </c>
      <c r="N1502">
        <v>8392</v>
      </c>
      <c r="O1502">
        <v>8967</v>
      </c>
      <c r="P1502">
        <v>8729</v>
      </c>
      <c r="Q1502">
        <v>10816</v>
      </c>
      <c r="R1502">
        <v>15893</v>
      </c>
      <c r="S1502">
        <v>1295</v>
      </c>
      <c r="T1502">
        <v>1300</v>
      </c>
      <c r="U1502">
        <v>468</v>
      </c>
      <c r="V1502">
        <v>2816</v>
      </c>
      <c r="W1502">
        <v>5893</v>
      </c>
      <c r="X1502">
        <v>5977</v>
      </c>
      <c r="Y1502">
        <v>0</v>
      </c>
    </row>
    <row r="1503" spans="1:25" x14ac:dyDescent="0.3">
      <c r="A1503">
        <v>1502</v>
      </c>
      <c r="B1503">
        <v>220000</v>
      </c>
      <c r="C1503">
        <v>2</v>
      </c>
      <c r="D1503">
        <v>2</v>
      </c>
      <c r="E1503">
        <v>1</v>
      </c>
      <c r="F1503">
        <v>30</v>
      </c>
      <c r="G1503">
        <v>1</v>
      </c>
      <c r="H1503">
        <v>-2</v>
      </c>
      <c r="I1503">
        <v>-2</v>
      </c>
      <c r="J1503">
        <v>-2</v>
      </c>
      <c r="K1503">
        <v>-2</v>
      </c>
      <c r="L1503">
        <v>-2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</row>
    <row r="1504" spans="1:25" x14ac:dyDescent="0.3">
      <c r="A1504">
        <v>1503</v>
      </c>
      <c r="B1504">
        <v>240000</v>
      </c>
      <c r="C1504">
        <v>1</v>
      </c>
      <c r="D1504">
        <v>2</v>
      </c>
      <c r="E1504">
        <v>1</v>
      </c>
      <c r="F1504">
        <v>43</v>
      </c>
      <c r="G1504">
        <v>-2</v>
      </c>
      <c r="H1504">
        <v>-2</v>
      </c>
      <c r="I1504">
        <v>-2</v>
      </c>
      <c r="J1504">
        <v>-2</v>
      </c>
      <c r="K1504">
        <v>-2</v>
      </c>
      <c r="L1504">
        <v>-2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</row>
    <row r="1505" spans="1:25" x14ac:dyDescent="0.3">
      <c r="A1505">
        <v>1504</v>
      </c>
      <c r="B1505">
        <v>50000</v>
      </c>
      <c r="C1505">
        <v>1</v>
      </c>
      <c r="D1505">
        <v>3</v>
      </c>
      <c r="E1505">
        <v>1</v>
      </c>
      <c r="F1505">
        <v>54</v>
      </c>
      <c r="G1505">
        <v>0</v>
      </c>
      <c r="H1505">
        <v>0</v>
      </c>
      <c r="I1505">
        <v>0</v>
      </c>
      <c r="J1505">
        <v>-1</v>
      </c>
      <c r="K1505">
        <v>-1</v>
      </c>
      <c r="L1505">
        <v>0</v>
      </c>
      <c r="M1505">
        <v>50356</v>
      </c>
      <c r="N1505">
        <v>48981</v>
      </c>
      <c r="O1505">
        <v>47942</v>
      </c>
      <c r="P1505">
        <v>1261</v>
      </c>
      <c r="Q1505">
        <v>17147</v>
      </c>
      <c r="R1505">
        <v>16609</v>
      </c>
      <c r="S1505">
        <v>2000</v>
      </c>
      <c r="T1505">
        <v>1120</v>
      </c>
      <c r="U1505">
        <v>1300</v>
      </c>
      <c r="V1505">
        <v>17147</v>
      </c>
      <c r="W1505">
        <v>1000</v>
      </c>
      <c r="X1505">
        <v>1000</v>
      </c>
      <c r="Y1505">
        <v>0</v>
      </c>
    </row>
    <row r="1506" spans="1:25" x14ac:dyDescent="0.3">
      <c r="A1506">
        <v>1505</v>
      </c>
      <c r="B1506">
        <v>310000</v>
      </c>
      <c r="C1506">
        <v>2</v>
      </c>
      <c r="D1506">
        <v>2</v>
      </c>
      <c r="E1506">
        <v>1</v>
      </c>
      <c r="F1506">
        <v>39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7246</v>
      </c>
      <c r="N1506">
        <v>6713</v>
      </c>
      <c r="O1506">
        <v>9507</v>
      </c>
      <c r="P1506">
        <v>8894</v>
      </c>
      <c r="Q1506">
        <v>7418</v>
      </c>
      <c r="R1506">
        <v>12154</v>
      </c>
      <c r="S1506">
        <v>1155</v>
      </c>
      <c r="T1506">
        <v>4507</v>
      </c>
      <c r="U1506">
        <v>1000</v>
      </c>
      <c r="V1506">
        <v>283</v>
      </c>
      <c r="W1506">
        <v>7482</v>
      </c>
      <c r="X1506">
        <v>2473</v>
      </c>
      <c r="Y1506">
        <v>0</v>
      </c>
    </row>
    <row r="1507" spans="1:25" x14ac:dyDescent="0.3">
      <c r="A1507">
        <v>1506</v>
      </c>
      <c r="B1507">
        <v>350000</v>
      </c>
      <c r="C1507">
        <v>1</v>
      </c>
      <c r="D1507">
        <v>1</v>
      </c>
      <c r="E1507">
        <v>1</v>
      </c>
      <c r="F1507">
        <v>70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100895</v>
      </c>
      <c r="N1507">
        <v>70244</v>
      </c>
      <c r="O1507">
        <v>64839</v>
      </c>
      <c r="P1507">
        <v>57583</v>
      </c>
      <c r="Q1507">
        <v>45554</v>
      </c>
      <c r="R1507">
        <v>37063</v>
      </c>
      <c r="S1507">
        <v>3371</v>
      </c>
      <c r="T1507">
        <v>2089</v>
      </c>
      <c r="U1507">
        <v>3008</v>
      </c>
      <c r="V1507">
        <v>1300</v>
      </c>
      <c r="W1507">
        <v>1500</v>
      </c>
      <c r="X1507">
        <v>1372</v>
      </c>
      <c r="Y1507">
        <v>0</v>
      </c>
    </row>
    <row r="1508" spans="1:25" x14ac:dyDescent="0.3">
      <c r="A1508">
        <v>1507</v>
      </c>
      <c r="B1508">
        <v>50000</v>
      </c>
      <c r="C1508">
        <v>2</v>
      </c>
      <c r="D1508">
        <v>1</v>
      </c>
      <c r="E1508">
        <v>2</v>
      </c>
      <c r="F1508">
        <v>24</v>
      </c>
      <c r="G1508">
        <v>-1</v>
      </c>
      <c r="H1508">
        <v>-1</v>
      </c>
      <c r="I1508">
        <v>-1</v>
      </c>
      <c r="J1508">
        <v>-1</v>
      </c>
      <c r="K1508">
        <v>-1</v>
      </c>
      <c r="L1508">
        <v>-1</v>
      </c>
      <c r="M1508">
        <v>629</v>
      </c>
      <c r="N1508">
        <v>351</v>
      </c>
      <c r="O1508">
        <v>784</v>
      </c>
      <c r="P1508">
        <v>696</v>
      </c>
      <c r="Q1508">
        <v>800</v>
      </c>
      <c r="R1508">
        <v>341</v>
      </c>
      <c r="S1508">
        <v>351</v>
      </c>
      <c r="T1508">
        <v>789</v>
      </c>
      <c r="U1508">
        <v>699</v>
      </c>
      <c r="V1508">
        <v>910</v>
      </c>
      <c r="W1508">
        <v>341</v>
      </c>
      <c r="X1508">
        <v>210</v>
      </c>
      <c r="Y1508">
        <v>0</v>
      </c>
    </row>
    <row r="1509" spans="1:25" x14ac:dyDescent="0.3">
      <c r="A1509">
        <v>1508</v>
      </c>
      <c r="B1509">
        <v>200000</v>
      </c>
      <c r="C1509">
        <v>2</v>
      </c>
      <c r="D1509">
        <v>2</v>
      </c>
      <c r="E1509">
        <v>1</v>
      </c>
      <c r="F1509">
        <v>30</v>
      </c>
      <c r="G1509">
        <v>1</v>
      </c>
      <c r="H1509">
        <v>-2</v>
      </c>
      <c r="I1509">
        <v>-1</v>
      </c>
      <c r="J1509">
        <v>0</v>
      </c>
      <c r="K1509">
        <v>0</v>
      </c>
      <c r="L1509">
        <v>0</v>
      </c>
      <c r="M1509">
        <v>26223</v>
      </c>
      <c r="N1509">
        <v>-137</v>
      </c>
      <c r="O1509">
        <v>73284</v>
      </c>
      <c r="P1509">
        <v>65428</v>
      </c>
      <c r="Q1509">
        <v>65820</v>
      </c>
      <c r="R1509">
        <v>2859</v>
      </c>
      <c r="S1509">
        <v>0</v>
      </c>
      <c r="T1509">
        <v>73421</v>
      </c>
      <c r="U1509">
        <v>1309</v>
      </c>
      <c r="V1509">
        <v>392</v>
      </c>
      <c r="W1509">
        <v>2859</v>
      </c>
      <c r="X1509">
        <v>1250</v>
      </c>
      <c r="Y1509">
        <v>0</v>
      </c>
    </row>
    <row r="1510" spans="1:25" x14ac:dyDescent="0.3">
      <c r="A1510">
        <v>1509</v>
      </c>
      <c r="B1510">
        <v>480000</v>
      </c>
      <c r="C1510">
        <v>1</v>
      </c>
      <c r="D1510">
        <v>3</v>
      </c>
      <c r="E1510">
        <v>2</v>
      </c>
      <c r="F1510">
        <v>53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482250</v>
      </c>
      <c r="N1510">
        <v>475931</v>
      </c>
      <c r="O1510">
        <v>429037</v>
      </c>
      <c r="P1510">
        <v>383821</v>
      </c>
      <c r="Q1510">
        <v>369920</v>
      </c>
      <c r="R1510">
        <v>699944</v>
      </c>
      <c r="S1510">
        <v>18093</v>
      </c>
      <c r="T1510">
        <v>15233</v>
      </c>
      <c r="U1510">
        <v>12597</v>
      </c>
      <c r="V1510">
        <v>15098</v>
      </c>
      <c r="W1510">
        <v>14155</v>
      </c>
      <c r="X1510">
        <v>20306</v>
      </c>
      <c r="Y1510">
        <v>0</v>
      </c>
    </row>
    <row r="1511" spans="1:25" x14ac:dyDescent="0.3">
      <c r="A1511">
        <v>1510</v>
      </c>
      <c r="B1511">
        <v>180000</v>
      </c>
      <c r="C1511">
        <v>2</v>
      </c>
      <c r="D1511">
        <v>1</v>
      </c>
      <c r="E1511">
        <v>1</v>
      </c>
      <c r="F1511">
        <v>27</v>
      </c>
      <c r="G1511">
        <v>2</v>
      </c>
      <c r="H1511">
        <v>2</v>
      </c>
      <c r="I1511">
        <v>2</v>
      </c>
      <c r="J1511">
        <v>2</v>
      </c>
      <c r="K1511">
        <v>2</v>
      </c>
      <c r="L1511">
        <v>0</v>
      </c>
      <c r="M1511">
        <v>81044</v>
      </c>
      <c r="N1511">
        <v>78403</v>
      </c>
      <c r="O1511">
        <v>58083</v>
      </c>
      <c r="P1511">
        <v>58244</v>
      </c>
      <c r="Q1511">
        <v>56041</v>
      </c>
      <c r="R1511">
        <v>50816</v>
      </c>
      <c r="S1511">
        <v>2600</v>
      </c>
      <c r="T1511">
        <v>0</v>
      </c>
      <c r="U1511">
        <v>4700</v>
      </c>
      <c r="V1511">
        <v>0</v>
      </c>
      <c r="W1511">
        <v>2500</v>
      </c>
      <c r="X1511">
        <v>1092</v>
      </c>
      <c r="Y1511">
        <v>1</v>
      </c>
    </row>
    <row r="1512" spans="1:25" x14ac:dyDescent="0.3">
      <c r="A1512">
        <v>1511</v>
      </c>
      <c r="B1512">
        <v>200000</v>
      </c>
      <c r="C1512">
        <v>2</v>
      </c>
      <c r="D1512">
        <v>2</v>
      </c>
      <c r="E1512">
        <v>2</v>
      </c>
      <c r="F1512">
        <v>33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184676</v>
      </c>
      <c r="N1512">
        <v>178491</v>
      </c>
      <c r="O1512">
        <v>169860</v>
      </c>
      <c r="P1512">
        <v>165713</v>
      </c>
      <c r="Q1512">
        <v>168199</v>
      </c>
      <c r="R1512">
        <v>160769</v>
      </c>
      <c r="S1512">
        <v>7900</v>
      </c>
      <c r="T1512">
        <v>6112</v>
      </c>
      <c r="U1512">
        <v>6000</v>
      </c>
      <c r="V1512">
        <v>6000</v>
      </c>
      <c r="W1512">
        <v>5838</v>
      </c>
      <c r="X1512">
        <v>5900</v>
      </c>
      <c r="Y1512">
        <v>0</v>
      </c>
    </row>
    <row r="1513" spans="1:25" x14ac:dyDescent="0.3">
      <c r="A1513">
        <v>1512</v>
      </c>
      <c r="B1513">
        <v>20000</v>
      </c>
      <c r="C1513">
        <v>1</v>
      </c>
      <c r="D1513">
        <v>3</v>
      </c>
      <c r="E1513">
        <v>1</v>
      </c>
      <c r="F1513">
        <v>34</v>
      </c>
      <c r="G1513">
        <v>2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15736</v>
      </c>
      <c r="N1513">
        <v>16762</v>
      </c>
      <c r="O1513">
        <v>17774</v>
      </c>
      <c r="P1513">
        <v>18125</v>
      </c>
      <c r="Q1513">
        <v>18507</v>
      </c>
      <c r="R1513">
        <v>19063</v>
      </c>
      <c r="S1513">
        <v>1284</v>
      </c>
      <c r="T1513">
        <v>1296</v>
      </c>
      <c r="U1513">
        <v>647</v>
      </c>
      <c r="V1513">
        <v>672</v>
      </c>
      <c r="W1513">
        <v>864</v>
      </c>
      <c r="X1513">
        <v>1506</v>
      </c>
      <c r="Y1513">
        <v>0</v>
      </c>
    </row>
    <row r="1514" spans="1:25" x14ac:dyDescent="0.3">
      <c r="A1514">
        <v>1513</v>
      </c>
      <c r="B1514">
        <v>50000</v>
      </c>
      <c r="C1514">
        <v>1</v>
      </c>
      <c r="D1514">
        <v>2</v>
      </c>
      <c r="E1514">
        <v>2</v>
      </c>
      <c r="F1514">
        <v>48</v>
      </c>
      <c r="G1514">
        <v>0</v>
      </c>
      <c r="H1514">
        <v>0</v>
      </c>
      <c r="I1514">
        <v>0</v>
      </c>
      <c r="J1514">
        <v>-1</v>
      </c>
      <c r="K1514">
        <v>0</v>
      </c>
      <c r="L1514">
        <v>0</v>
      </c>
      <c r="M1514">
        <v>51631</v>
      </c>
      <c r="N1514">
        <v>45223</v>
      </c>
      <c r="O1514">
        <v>45461</v>
      </c>
      <c r="P1514">
        <v>18354</v>
      </c>
      <c r="Q1514">
        <v>19118</v>
      </c>
      <c r="R1514">
        <v>19404</v>
      </c>
      <c r="S1514">
        <v>1800</v>
      </c>
      <c r="T1514">
        <v>1005</v>
      </c>
      <c r="U1514">
        <v>19763</v>
      </c>
      <c r="V1514">
        <v>1000</v>
      </c>
      <c r="W1514">
        <v>1000</v>
      </c>
      <c r="X1514">
        <v>1000</v>
      </c>
      <c r="Y1514">
        <v>0</v>
      </c>
    </row>
    <row r="1515" spans="1:25" x14ac:dyDescent="0.3">
      <c r="A1515">
        <v>1514</v>
      </c>
      <c r="B1515">
        <v>210000</v>
      </c>
      <c r="C1515">
        <v>2</v>
      </c>
      <c r="D1515">
        <v>3</v>
      </c>
      <c r="E1515">
        <v>2</v>
      </c>
      <c r="F1515">
        <v>33</v>
      </c>
      <c r="G1515">
        <v>1</v>
      </c>
      <c r="H1515">
        <v>-2</v>
      </c>
      <c r="I1515">
        <v>-1</v>
      </c>
      <c r="J1515">
        <v>-1</v>
      </c>
      <c r="K1515">
        <v>-1</v>
      </c>
      <c r="L1515">
        <v>-1</v>
      </c>
      <c r="M1515">
        <v>0</v>
      </c>
      <c r="N1515">
        <v>0</v>
      </c>
      <c r="O1515">
        <v>3104</v>
      </c>
      <c r="P1515">
        <v>4056</v>
      </c>
      <c r="Q1515">
        <v>565</v>
      </c>
      <c r="R1515">
        <v>960</v>
      </c>
      <c r="S1515">
        <v>0</v>
      </c>
      <c r="T1515">
        <v>3104</v>
      </c>
      <c r="U1515">
        <v>4056</v>
      </c>
      <c r="V1515">
        <v>565</v>
      </c>
      <c r="W1515">
        <v>960</v>
      </c>
      <c r="X1515">
        <v>1958</v>
      </c>
      <c r="Y1515">
        <v>1</v>
      </c>
    </row>
    <row r="1516" spans="1:25" x14ac:dyDescent="0.3">
      <c r="A1516">
        <v>1515</v>
      </c>
      <c r="B1516">
        <v>20000</v>
      </c>
      <c r="C1516">
        <v>2</v>
      </c>
      <c r="D1516">
        <v>2</v>
      </c>
      <c r="E1516">
        <v>2</v>
      </c>
      <c r="F1516">
        <v>24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19433</v>
      </c>
      <c r="N1516">
        <v>20508</v>
      </c>
      <c r="O1516">
        <v>19662</v>
      </c>
      <c r="P1516">
        <v>20001</v>
      </c>
      <c r="Q1516">
        <v>16448</v>
      </c>
      <c r="R1516">
        <v>16774</v>
      </c>
      <c r="S1516">
        <v>1700</v>
      </c>
      <c r="T1516">
        <v>1300</v>
      </c>
      <c r="U1516">
        <v>600</v>
      </c>
      <c r="V1516">
        <v>600</v>
      </c>
      <c r="W1516">
        <v>600</v>
      </c>
      <c r="X1516">
        <v>622</v>
      </c>
      <c r="Y1516">
        <v>0</v>
      </c>
    </row>
    <row r="1517" spans="1:25" x14ac:dyDescent="0.3">
      <c r="A1517">
        <v>1516</v>
      </c>
      <c r="B1517">
        <v>150000</v>
      </c>
      <c r="C1517">
        <v>2</v>
      </c>
      <c r="D1517">
        <v>2</v>
      </c>
      <c r="E1517">
        <v>1</v>
      </c>
      <c r="F1517">
        <v>31</v>
      </c>
      <c r="G1517">
        <v>1</v>
      </c>
      <c r="H1517">
        <v>-2</v>
      </c>
      <c r="I1517">
        <v>-1</v>
      </c>
      <c r="J1517">
        <v>-1</v>
      </c>
      <c r="K1517">
        <v>-1</v>
      </c>
      <c r="L1517">
        <v>-2</v>
      </c>
      <c r="M1517">
        <v>6526</v>
      </c>
      <c r="N1517">
        <v>779</v>
      </c>
      <c r="O1517">
        <v>8927</v>
      </c>
      <c r="P1517">
        <v>8660</v>
      </c>
      <c r="Q1517">
        <v>692</v>
      </c>
      <c r="R1517">
        <v>0</v>
      </c>
      <c r="S1517">
        <v>783</v>
      </c>
      <c r="T1517">
        <v>9098</v>
      </c>
      <c r="U1517">
        <v>8660</v>
      </c>
      <c r="V1517">
        <v>698</v>
      </c>
      <c r="W1517">
        <v>0</v>
      </c>
      <c r="X1517">
        <v>0</v>
      </c>
      <c r="Y1517">
        <v>0</v>
      </c>
    </row>
    <row r="1518" spans="1:25" x14ac:dyDescent="0.3">
      <c r="A1518">
        <v>1517</v>
      </c>
      <c r="B1518">
        <v>50000</v>
      </c>
      <c r="C1518">
        <v>2</v>
      </c>
      <c r="D1518">
        <v>2</v>
      </c>
      <c r="E1518">
        <v>2</v>
      </c>
      <c r="F1518">
        <v>25</v>
      </c>
      <c r="G1518">
        <v>0</v>
      </c>
      <c r="H1518">
        <v>0</v>
      </c>
      <c r="I1518">
        <v>0</v>
      </c>
      <c r="J1518">
        <v>-1</v>
      </c>
      <c r="K1518">
        <v>-1</v>
      </c>
      <c r="L1518">
        <v>2</v>
      </c>
      <c r="M1518">
        <v>46528</v>
      </c>
      <c r="N1518">
        <v>47456</v>
      </c>
      <c r="O1518">
        <v>36251</v>
      </c>
      <c r="P1518">
        <v>438</v>
      </c>
      <c r="Q1518">
        <v>43367</v>
      </c>
      <c r="R1518">
        <v>44305</v>
      </c>
      <c r="S1518">
        <v>1794</v>
      </c>
      <c r="T1518">
        <v>1021</v>
      </c>
      <c r="U1518">
        <v>438</v>
      </c>
      <c r="V1518">
        <v>43367</v>
      </c>
      <c r="W1518">
        <v>1800</v>
      </c>
      <c r="X1518">
        <v>0</v>
      </c>
      <c r="Y1518">
        <v>0</v>
      </c>
    </row>
    <row r="1519" spans="1:25" x14ac:dyDescent="0.3">
      <c r="A1519">
        <v>1518</v>
      </c>
      <c r="B1519">
        <v>190000</v>
      </c>
      <c r="C1519">
        <v>1</v>
      </c>
      <c r="D1519">
        <v>3</v>
      </c>
      <c r="E1519">
        <v>1</v>
      </c>
      <c r="F1519">
        <v>49</v>
      </c>
      <c r="G1519">
        <v>2</v>
      </c>
      <c r="H1519">
        <v>2</v>
      </c>
      <c r="I1519">
        <v>2</v>
      </c>
      <c r="J1519">
        <v>2</v>
      </c>
      <c r="K1519">
        <v>2</v>
      </c>
      <c r="L1519">
        <v>2</v>
      </c>
      <c r="M1519">
        <v>178367</v>
      </c>
      <c r="N1519">
        <v>179062</v>
      </c>
      <c r="O1519">
        <v>177663</v>
      </c>
      <c r="P1519">
        <v>180312</v>
      </c>
      <c r="Q1519">
        <v>185910</v>
      </c>
      <c r="R1519">
        <v>191895</v>
      </c>
      <c r="S1519">
        <v>5000</v>
      </c>
      <c r="T1519">
        <v>3000</v>
      </c>
      <c r="U1519">
        <v>7100</v>
      </c>
      <c r="V1519">
        <v>8700</v>
      </c>
      <c r="W1519">
        <v>9300</v>
      </c>
      <c r="X1519">
        <v>9500</v>
      </c>
      <c r="Y1519">
        <v>1</v>
      </c>
    </row>
    <row r="1520" spans="1:25" x14ac:dyDescent="0.3">
      <c r="A1520">
        <v>1519</v>
      </c>
      <c r="B1520">
        <v>290000</v>
      </c>
      <c r="C1520">
        <v>2</v>
      </c>
      <c r="D1520">
        <v>1</v>
      </c>
      <c r="E1520">
        <v>2</v>
      </c>
      <c r="F1520">
        <v>27</v>
      </c>
      <c r="G1520">
        <v>2</v>
      </c>
      <c r="H1520">
        <v>0</v>
      </c>
      <c r="I1520">
        <v>0</v>
      </c>
      <c r="J1520">
        <v>0</v>
      </c>
      <c r="K1520">
        <v>2</v>
      </c>
      <c r="L1520">
        <v>2</v>
      </c>
      <c r="M1520">
        <v>232523</v>
      </c>
      <c r="N1520">
        <v>243753</v>
      </c>
      <c r="O1520">
        <v>253145</v>
      </c>
      <c r="P1520">
        <v>267412</v>
      </c>
      <c r="Q1520">
        <v>273095</v>
      </c>
      <c r="R1520">
        <v>278260</v>
      </c>
      <c r="S1520">
        <v>16500</v>
      </c>
      <c r="T1520">
        <v>15000</v>
      </c>
      <c r="U1520">
        <v>20000</v>
      </c>
      <c r="V1520">
        <v>10000</v>
      </c>
      <c r="W1520">
        <v>9701</v>
      </c>
      <c r="X1520">
        <v>0</v>
      </c>
      <c r="Y1520">
        <v>0</v>
      </c>
    </row>
    <row r="1521" spans="1:25" x14ac:dyDescent="0.3">
      <c r="A1521">
        <v>1520</v>
      </c>
      <c r="B1521">
        <v>420000</v>
      </c>
      <c r="C1521">
        <v>1</v>
      </c>
      <c r="D1521">
        <v>2</v>
      </c>
      <c r="E1521">
        <v>1</v>
      </c>
      <c r="F1521">
        <v>39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171141</v>
      </c>
      <c r="N1521">
        <v>118103</v>
      </c>
      <c r="O1521">
        <v>119543</v>
      </c>
      <c r="P1521">
        <v>122851</v>
      </c>
      <c r="Q1521">
        <v>126007</v>
      </c>
      <c r="R1521">
        <v>129144</v>
      </c>
      <c r="S1521">
        <v>5700</v>
      </c>
      <c r="T1521">
        <v>4600</v>
      </c>
      <c r="U1521">
        <v>5000</v>
      </c>
      <c r="V1521">
        <v>5000</v>
      </c>
      <c r="W1521">
        <v>5000</v>
      </c>
      <c r="X1521">
        <v>4700</v>
      </c>
      <c r="Y1521">
        <v>0</v>
      </c>
    </row>
    <row r="1522" spans="1:25" x14ac:dyDescent="0.3">
      <c r="A1522">
        <v>1521</v>
      </c>
      <c r="B1522">
        <v>340000</v>
      </c>
      <c r="C1522">
        <v>2</v>
      </c>
      <c r="D1522">
        <v>2</v>
      </c>
      <c r="E1522">
        <v>2</v>
      </c>
      <c r="F1522">
        <v>36</v>
      </c>
      <c r="G1522">
        <v>2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337981</v>
      </c>
      <c r="N1522">
        <v>344920</v>
      </c>
      <c r="O1522">
        <v>18921</v>
      </c>
      <c r="P1522">
        <v>21205</v>
      </c>
      <c r="Q1522">
        <v>19810</v>
      </c>
      <c r="R1522">
        <v>13586</v>
      </c>
      <c r="S1522">
        <v>17181</v>
      </c>
      <c r="T1522">
        <v>2000</v>
      </c>
      <c r="U1522">
        <v>10000</v>
      </c>
      <c r="V1522">
        <v>5000</v>
      </c>
      <c r="W1522">
        <v>3000</v>
      </c>
      <c r="X1522">
        <v>1000</v>
      </c>
      <c r="Y1522">
        <v>0</v>
      </c>
    </row>
    <row r="1523" spans="1:25" x14ac:dyDescent="0.3">
      <c r="A1523">
        <v>1522</v>
      </c>
      <c r="B1523">
        <v>60000</v>
      </c>
      <c r="C1523">
        <v>1</v>
      </c>
      <c r="D1523">
        <v>2</v>
      </c>
      <c r="E1523">
        <v>2</v>
      </c>
      <c r="F1523">
        <v>40</v>
      </c>
      <c r="G1523">
        <v>3</v>
      </c>
      <c r="H1523">
        <v>3</v>
      </c>
      <c r="I1523">
        <v>5</v>
      </c>
      <c r="J1523">
        <v>4</v>
      </c>
      <c r="K1523">
        <v>3</v>
      </c>
      <c r="L1523">
        <v>2</v>
      </c>
      <c r="M1523">
        <v>9744</v>
      </c>
      <c r="N1523">
        <v>10940</v>
      </c>
      <c r="O1523">
        <v>10630</v>
      </c>
      <c r="P1523">
        <v>10320</v>
      </c>
      <c r="Q1523">
        <v>9865</v>
      </c>
      <c r="R1523">
        <v>10055</v>
      </c>
      <c r="S1523">
        <v>1500</v>
      </c>
      <c r="T1523">
        <v>0</v>
      </c>
      <c r="U1523">
        <v>0</v>
      </c>
      <c r="V1523">
        <v>0</v>
      </c>
      <c r="W1523">
        <v>500</v>
      </c>
      <c r="X1523">
        <v>0</v>
      </c>
      <c r="Y1523">
        <v>0</v>
      </c>
    </row>
    <row r="1524" spans="1:25" x14ac:dyDescent="0.3">
      <c r="A1524">
        <v>1523</v>
      </c>
      <c r="B1524">
        <v>90000</v>
      </c>
      <c r="C1524">
        <v>2</v>
      </c>
      <c r="D1524">
        <v>1</v>
      </c>
      <c r="E1524">
        <v>2</v>
      </c>
      <c r="F1524">
        <v>27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81111</v>
      </c>
      <c r="N1524">
        <v>83081</v>
      </c>
      <c r="O1524">
        <v>60210</v>
      </c>
      <c r="P1524">
        <v>61221</v>
      </c>
      <c r="Q1524">
        <v>62636</v>
      </c>
      <c r="R1524">
        <v>54261</v>
      </c>
      <c r="S1524">
        <v>3500</v>
      </c>
      <c r="T1524">
        <v>3000</v>
      </c>
      <c r="U1524">
        <v>2600</v>
      </c>
      <c r="V1524">
        <v>2600</v>
      </c>
      <c r="W1524">
        <v>3000</v>
      </c>
      <c r="X1524">
        <v>1500</v>
      </c>
      <c r="Y1524">
        <v>0</v>
      </c>
    </row>
    <row r="1525" spans="1:25" x14ac:dyDescent="0.3">
      <c r="A1525">
        <v>1524</v>
      </c>
      <c r="B1525">
        <v>30000</v>
      </c>
      <c r="C1525">
        <v>2</v>
      </c>
      <c r="D1525">
        <v>1</v>
      </c>
      <c r="E1525">
        <v>2</v>
      </c>
      <c r="F1525">
        <v>27</v>
      </c>
      <c r="G1525">
        <v>2</v>
      </c>
      <c r="H1525">
        <v>2</v>
      </c>
      <c r="I1525">
        <v>2</v>
      </c>
      <c r="J1525">
        <v>2</v>
      </c>
      <c r="K1525">
        <v>2</v>
      </c>
      <c r="L1525">
        <v>2</v>
      </c>
      <c r="M1525">
        <v>28207</v>
      </c>
      <c r="N1525">
        <v>29261</v>
      </c>
      <c r="O1525">
        <v>28497</v>
      </c>
      <c r="P1525">
        <v>29862</v>
      </c>
      <c r="Q1525">
        <v>43148</v>
      </c>
      <c r="R1525">
        <v>30603</v>
      </c>
      <c r="S1525">
        <v>1800</v>
      </c>
      <c r="T1525">
        <v>0</v>
      </c>
      <c r="U1525">
        <v>2150</v>
      </c>
      <c r="V1525">
        <v>900</v>
      </c>
      <c r="W1525">
        <v>3776</v>
      </c>
      <c r="X1525">
        <v>0</v>
      </c>
      <c r="Y1525">
        <v>1</v>
      </c>
    </row>
    <row r="1526" spans="1:25" x14ac:dyDescent="0.3">
      <c r="A1526">
        <v>1525</v>
      </c>
      <c r="B1526">
        <v>160000</v>
      </c>
      <c r="C1526">
        <v>2</v>
      </c>
      <c r="D1526">
        <v>2</v>
      </c>
      <c r="E1526">
        <v>1</v>
      </c>
      <c r="F1526">
        <v>37</v>
      </c>
      <c r="G1526">
        <v>-1</v>
      </c>
      <c r="H1526">
        <v>-1</v>
      </c>
      <c r="I1526">
        <v>-2</v>
      </c>
      <c r="J1526">
        <v>-1</v>
      </c>
      <c r="K1526">
        <v>-1</v>
      </c>
      <c r="L1526">
        <v>-2</v>
      </c>
      <c r="M1526">
        <v>1988</v>
      </c>
      <c r="N1526">
        <v>0</v>
      </c>
      <c r="O1526">
        <v>0</v>
      </c>
      <c r="P1526">
        <v>1188</v>
      </c>
      <c r="Q1526">
        <v>0</v>
      </c>
      <c r="R1526">
        <v>0</v>
      </c>
      <c r="S1526">
        <v>0</v>
      </c>
      <c r="T1526">
        <v>0</v>
      </c>
      <c r="U1526">
        <v>1188</v>
      </c>
      <c r="V1526">
        <v>0</v>
      </c>
      <c r="W1526">
        <v>0</v>
      </c>
      <c r="X1526">
        <v>1935</v>
      </c>
      <c r="Y1526">
        <v>0</v>
      </c>
    </row>
    <row r="1527" spans="1:25" x14ac:dyDescent="0.3">
      <c r="A1527">
        <v>1526</v>
      </c>
      <c r="B1527">
        <v>20000</v>
      </c>
      <c r="C1527">
        <v>1</v>
      </c>
      <c r="D1527">
        <v>2</v>
      </c>
      <c r="E1527">
        <v>2</v>
      </c>
      <c r="F1527">
        <v>35</v>
      </c>
      <c r="G1527">
        <v>-1</v>
      </c>
      <c r="H1527">
        <v>2</v>
      </c>
      <c r="I1527">
        <v>2</v>
      </c>
      <c r="J1527">
        <v>2</v>
      </c>
      <c r="K1527">
        <v>2</v>
      </c>
      <c r="L1527">
        <v>2</v>
      </c>
      <c r="M1527">
        <v>11916</v>
      </c>
      <c r="N1527">
        <v>11434</v>
      </c>
      <c r="O1527">
        <v>13433</v>
      </c>
      <c r="P1527">
        <v>13398</v>
      </c>
      <c r="Q1527">
        <v>13040</v>
      </c>
      <c r="R1527">
        <v>14518</v>
      </c>
      <c r="S1527">
        <v>0</v>
      </c>
      <c r="T1527">
        <v>2200</v>
      </c>
      <c r="U1527">
        <v>480</v>
      </c>
      <c r="V1527">
        <v>0</v>
      </c>
      <c r="W1527">
        <v>1702</v>
      </c>
      <c r="X1527">
        <v>200</v>
      </c>
      <c r="Y1527">
        <v>0</v>
      </c>
    </row>
    <row r="1528" spans="1:25" x14ac:dyDescent="0.3">
      <c r="A1528">
        <v>1527</v>
      </c>
      <c r="B1528">
        <v>90000</v>
      </c>
      <c r="C1528">
        <v>2</v>
      </c>
      <c r="D1528">
        <v>2</v>
      </c>
      <c r="E1528">
        <v>1</v>
      </c>
      <c r="F1528">
        <v>25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87525</v>
      </c>
      <c r="N1528">
        <v>89052</v>
      </c>
      <c r="O1528">
        <v>85807</v>
      </c>
      <c r="P1528">
        <v>68186</v>
      </c>
      <c r="Q1528">
        <v>69011</v>
      </c>
      <c r="R1528">
        <v>70341</v>
      </c>
      <c r="S1528">
        <v>4200</v>
      </c>
      <c r="T1528">
        <v>3000</v>
      </c>
      <c r="U1528">
        <v>3000</v>
      </c>
      <c r="V1528">
        <v>3000</v>
      </c>
      <c r="W1528">
        <v>2600</v>
      </c>
      <c r="X1528">
        <v>3000</v>
      </c>
      <c r="Y1528">
        <v>1</v>
      </c>
    </row>
    <row r="1529" spans="1:25" x14ac:dyDescent="0.3">
      <c r="A1529">
        <v>1528</v>
      </c>
      <c r="B1529">
        <v>120000</v>
      </c>
      <c r="C1529">
        <v>1</v>
      </c>
      <c r="D1529">
        <v>1</v>
      </c>
      <c r="E1529">
        <v>2</v>
      </c>
      <c r="F1529">
        <v>27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20874</v>
      </c>
      <c r="N1529">
        <v>21930</v>
      </c>
      <c r="O1529">
        <v>22165</v>
      </c>
      <c r="P1529">
        <v>20502</v>
      </c>
      <c r="Q1529">
        <v>19030</v>
      </c>
      <c r="R1529">
        <v>15119</v>
      </c>
      <c r="S1529">
        <v>1700</v>
      </c>
      <c r="T1529">
        <v>1500</v>
      </c>
      <c r="U1529">
        <v>700</v>
      </c>
      <c r="V1529">
        <v>1000</v>
      </c>
      <c r="W1529">
        <v>1000</v>
      </c>
      <c r="X1529">
        <v>1000</v>
      </c>
      <c r="Y1529">
        <v>0</v>
      </c>
    </row>
    <row r="1530" spans="1:25" x14ac:dyDescent="0.3">
      <c r="A1530">
        <v>1529</v>
      </c>
      <c r="B1530">
        <v>120000</v>
      </c>
      <c r="C1530">
        <v>1</v>
      </c>
      <c r="D1530">
        <v>1</v>
      </c>
      <c r="E1530">
        <v>2</v>
      </c>
      <c r="F1530">
        <v>38</v>
      </c>
      <c r="G1530">
        <v>1</v>
      </c>
      <c r="H1530">
        <v>-2</v>
      </c>
      <c r="I1530">
        <v>-2</v>
      </c>
      <c r="J1530">
        <v>-2</v>
      </c>
      <c r="K1530">
        <v>-2</v>
      </c>
      <c r="L1530">
        <v>-2</v>
      </c>
      <c r="M1530">
        <v>-284</v>
      </c>
      <c r="N1530">
        <v>-610</v>
      </c>
      <c r="O1530">
        <v>-936</v>
      </c>
      <c r="P1530">
        <v>-1262</v>
      </c>
      <c r="Q1530">
        <v>-1588</v>
      </c>
      <c r="R1530">
        <v>-1914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</row>
    <row r="1531" spans="1:25" x14ac:dyDescent="0.3">
      <c r="A1531">
        <v>1530</v>
      </c>
      <c r="B1531">
        <v>360000</v>
      </c>
      <c r="C1531">
        <v>2</v>
      </c>
      <c r="D1531">
        <v>2</v>
      </c>
      <c r="E1531">
        <v>1</v>
      </c>
      <c r="F1531">
        <v>50</v>
      </c>
      <c r="G1531">
        <v>-1</v>
      </c>
      <c r="H1531">
        <v>-1</v>
      </c>
      <c r="I1531">
        <v>-1</v>
      </c>
      <c r="J1531">
        <v>-1</v>
      </c>
      <c r="K1531">
        <v>-1</v>
      </c>
      <c r="L1531">
        <v>-1</v>
      </c>
      <c r="M1531">
        <v>147</v>
      </c>
      <c r="N1531">
        <v>686</v>
      </c>
      <c r="O1531">
        <v>6037</v>
      </c>
      <c r="P1531">
        <v>1560</v>
      </c>
      <c r="Q1531">
        <v>0</v>
      </c>
      <c r="R1531">
        <v>275</v>
      </c>
      <c r="S1531">
        <v>686</v>
      </c>
      <c r="T1531">
        <v>6041</v>
      </c>
      <c r="U1531">
        <v>1560</v>
      </c>
      <c r="V1531">
        <v>0</v>
      </c>
      <c r="W1531">
        <v>275</v>
      </c>
      <c r="X1531">
        <v>0</v>
      </c>
      <c r="Y1531">
        <v>0</v>
      </c>
    </row>
    <row r="1532" spans="1:25" x14ac:dyDescent="0.3">
      <c r="A1532">
        <v>1531</v>
      </c>
      <c r="B1532">
        <v>160000</v>
      </c>
      <c r="C1532">
        <v>2</v>
      </c>
      <c r="D1532">
        <v>1</v>
      </c>
      <c r="E1532">
        <v>2</v>
      </c>
      <c r="F1532">
        <v>32</v>
      </c>
      <c r="G1532">
        <v>-2</v>
      </c>
      <c r="H1532">
        <v>-2</v>
      </c>
      <c r="I1532">
        <v>-2</v>
      </c>
      <c r="J1532">
        <v>-2</v>
      </c>
      <c r="K1532">
        <v>-2</v>
      </c>
      <c r="L1532">
        <v>-2</v>
      </c>
      <c r="M1532">
        <v>16922</v>
      </c>
      <c r="N1532">
        <v>2552</v>
      </c>
      <c r="O1532">
        <v>0</v>
      </c>
      <c r="P1532">
        <v>0</v>
      </c>
      <c r="Q1532">
        <v>0</v>
      </c>
      <c r="R1532">
        <v>0</v>
      </c>
      <c r="S1532">
        <v>2555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</row>
    <row r="1533" spans="1:25" x14ac:dyDescent="0.3">
      <c r="A1533">
        <v>1532</v>
      </c>
      <c r="B1533">
        <v>320000</v>
      </c>
      <c r="C1533">
        <v>2</v>
      </c>
      <c r="D1533">
        <v>1</v>
      </c>
      <c r="E1533">
        <v>1</v>
      </c>
      <c r="F1533">
        <v>34</v>
      </c>
      <c r="G1533">
        <v>-2</v>
      </c>
      <c r="H1533">
        <v>-1</v>
      </c>
      <c r="I1533">
        <v>0</v>
      </c>
      <c r="J1533">
        <v>-1</v>
      </c>
      <c r="K1533">
        <v>-1</v>
      </c>
      <c r="L1533">
        <v>-1</v>
      </c>
      <c r="M1533">
        <v>65083</v>
      </c>
      <c r="N1533">
        <v>23750</v>
      </c>
      <c r="O1533">
        <v>22381</v>
      </c>
      <c r="P1533">
        <v>14685</v>
      </c>
      <c r="Q1533">
        <v>7511</v>
      </c>
      <c r="R1533">
        <v>6722</v>
      </c>
      <c r="S1533">
        <v>23750</v>
      </c>
      <c r="T1533">
        <v>10162</v>
      </c>
      <c r="U1533">
        <v>14702</v>
      </c>
      <c r="V1533">
        <v>7511</v>
      </c>
      <c r="W1533">
        <v>6722</v>
      </c>
      <c r="X1533">
        <v>10000</v>
      </c>
      <c r="Y1533">
        <v>0</v>
      </c>
    </row>
    <row r="1534" spans="1:25" x14ac:dyDescent="0.3">
      <c r="A1534">
        <v>1533</v>
      </c>
      <c r="B1534">
        <v>20000</v>
      </c>
      <c r="C1534">
        <v>1</v>
      </c>
      <c r="D1534">
        <v>2</v>
      </c>
      <c r="E1534">
        <v>2</v>
      </c>
      <c r="F1534">
        <v>25</v>
      </c>
      <c r="G1534">
        <v>0</v>
      </c>
      <c r="H1534">
        <v>0</v>
      </c>
      <c r="I1534">
        <v>2</v>
      </c>
      <c r="J1534">
        <v>2</v>
      </c>
      <c r="K1534">
        <v>4</v>
      </c>
      <c r="L1534">
        <v>3</v>
      </c>
      <c r="M1534">
        <v>16508</v>
      </c>
      <c r="N1534">
        <v>19638</v>
      </c>
      <c r="O1534">
        <v>19030</v>
      </c>
      <c r="P1534">
        <v>22033</v>
      </c>
      <c r="Q1534">
        <v>21109</v>
      </c>
      <c r="R1534">
        <v>20474</v>
      </c>
      <c r="S1534">
        <v>3400</v>
      </c>
      <c r="T1534">
        <v>0</v>
      </c>
      <c r="U1534">
        <v>3633</v>
      </c>
      <c r="V1534">
        <v>0</v>
      </c>
      <c r="W1534">
        <v>0</v>
      </c>
      <c r="X1534">
        <v>0</v>
      </c>
      <c r="Y1534">
        <v>0</v>
      </c>
    </row>
    <row r="1535" spans="1:25" x14ac:dyDescent="0.3">
      <c r="A1535">
        <v>1534</v>
      </c>
      <c r="B1535">
        <v>230000</v>
      </c>
      <c r="C1535">
        <v>2</v>
      </c>
      <c r="D1535">
        <v>1</v>
      </c>
      <c r="E1535">
        <v>2</v>
      </c>
      <c r="F1535">
        <v>29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63184</v>
      </c>
      <c r="N1535">
        <v>64667</v>
      </c>
      <c r="O1535">
        <v>65888</v>
      </c>
      <c r="P1535">
        <v>66645</v>
      </c>
      <c r="Q1535">
        <v>67865</v>
      </c>
      <c r="R1535">
        <v>69231</v>
      </c>
      <c r="S1535">
        <v>3100</v>
      </c>
      <c r="T1535">
        <v>3000</v>
      </c>
      <c r="U1535">
        <v>2300</v>
      </c>
      <c r="V1535">
        <v>2300</v>
      </c>
      <c r="W1535">
        <v>2500</v>
      </c>
      <c r="X1535">
        <v>2300</v>
      </c>
      <c r="Y1535">
        <v>0</v>
      </c>
    </row>
    <row r="1536" spans="1:25" x14ac:dyDescent="0.3">
      <c r="A1536">
        <v>1535</v>
      </c>
      <c r="B1536">
        <v>50000</v>
      </c>
      <c r="C1536">
        <v>1</v>
      </c>
      <c r="D1536">
        <v>3</v>
      </c>
      <c r="E1536">
        <v>1</v>
      </c>
      <c r="F1536">
        <v>44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15931</v>
      </c>
      <c r="N1536">
        <v>17363</v>
      </c>
      <c r="O1536">
        <v>18735</v>
      </c>
      <c r="P1536">
        <v>19188</v>
      </c>
      <c r="Q1536">
        <v>17578</v>
      </c>
      <c r="R1536">
        <v>16855</v>
      </c>
      <c r="S1536">
        <v>2000</v>
      </c>
      <c r="T1536">
        <v>2000</v>
      </c>
      <c r="U1536">
        <v>1006</v>
      </c>
      <c r="V1536">
        <v>1003</v>
      </c>
      <c r="W1536">
        <v>1000</v>
      </c>
      <c r="X1536">
        <v>1000</v>
      </c>
      <c r="Y1536">
        <v>0</v>
      </c>
    </row>
    <row r="1537" spans="1:25" x14ac:dyDescent="0.3">
      <c r="A1537">
        <v>1536</v>
      </c>
      <c r="B1537">
        <v>50000</v>
      </c>
      <c r="C1537">
        <v>1</v>
      </c>
      <c r="D1537">
        <v>3</v>
      </c>
      <c r="E1537">
        <v>1</v>
      </c>
      <c r="F1537">
        <v>48</v>
      </c>
      <c r="G1537">
        <v>-1</v>
      </c>
      <c r="H1537">
        <v>-1</v>
      </c>
      <c r="I1537">
        <v>0</v>
      </c>
      <c r="J1537">
        <v>0</v>
      </c>
      <c r="K1537">
        <v>0</v>
      </c>
      <c r="L1537">
        <v>0</v>
      </c>
      <c r="M1537">
        <v>2722</v>
      </c>
      <c r="N1537">
        <v>33868</v>
      </c>
      <c r="O1537">
        <v>26646</v>
      </c>
      <c r="P1537">
        <v>26832</v>
      </c>
      <c r="Q1537">
        <v>27395</v>
      </c>
      <c r="R1537">
        <v>27940</v>
      </c>
      <c r="S1537">
        <v>33895</v>
      </c>
      <c r="T1537">
        <v>1439</v>
      </c>
      <c r="U1537">
        <v>959</v>
      </c>
      <c r="V1537">
        <v>994</v>
      </c>
      <c r="W1537">
        <v>1000</v>
      </c>
      <c r="X1537">
        <v>1013</v>
      </c>
      <c r="Y1537">
        <v>0</v>
      </c>
    </row>
    <row r="1538" spans="1:25" x14ac:dyDescent="0.3">
      <c r="A1538">
        <v>1537</v>
      </c>
      <c r="B1538">
        <v>40000</v>
      </c>
      <c r="C1538">
        <v>2</v>
      </c>
      <c r="D1538">
        <v>3</v>
      </c>
      <c r="E1538">
        <v>2</v>
      </c>
      <c r="F1538">
        <v>24</v>
      </c>
      <c r="G1538">
        <v>-1</v>
      </c>
      <c r="H1538">
        <v>2</v>
      </c>
      <c r="I1538">
        <v>-1</v>
      </c>
      <c r="J1538">
        <v>-1</v>
      </c>
      <c r="K1538">
        <v>0</v>
      </c>
      <c r="L1538">
        <v>0</v>
      </c>
      <c r="M1538">
        <v>5496</v>
      </c>
      <c r="N1538">
        <v>698</v>
      </c>
      <c r="O1538">
        <v>400</v>
      </c>
      <c r="P1538">
        <v>25289</v>
      </c>
      <c r="Q1538">
        <v>24435</v>
      </c>
      <c r="R1538">
        <v>2201</v>
      </c>
      <c r="S1538">
        <v>0</v>
      </c>
      <c r="T1538">
        <v>400</v>
      </c>
      <c r="U1538">
        <v>25289</v>
      </c>
      <c r="V1538">
        <v>0</v>
      </c>
      <c r="W1538">
        <v>0</v>
      </c>
      <c r="X1538">
        <v>1329</v>
      </c>
      <c r="Y1538">
        <v>0</v>
      </c>
    </row>
    <row r="1539" spans="1:25" x14ac:dyDescent="0.3">
      <c r="A1539">
        <v>1538</v>
      </c>
      <c r="B1539">
        <v>120000</v>
      </c>
      <c r="C1539">
        <v>2</v>
      </c>
      <c r="D1539">
        <v>3</v>
      </c>
      <c r="E1539">
        <v>1</v>
      </c>
      <c r="F1539">
        <v>27</v>
      </c>
      <c r="G1539">
        <v>2</v>
      </c>
      <c r="H1539">
        <v>-1</v>
      </c>
      <c r="I1539">
        <v>-1</v>
      </c>
      <c r="J1539">
        <v>-1</v>
      </c>
      <c r="K1539">
        <v>2</v>
      </c>
      <c r="L1539">
        <v>-1</v>
      </c>
      <c r="M1539">
        <v>390</v>
      </c>
      <c r="N1539">
        <v>390</v>
      </c>
      <c r="O1539">
        <v>390</v>
      </c>
      <c r="P1539">
        <v>780</v>
      </c>
      <c r="Q1539">
        <v>240</v>
      </c>
      <c r="R1539">
        <v>630</v>
      </c>
      <c r="S1539">
        <v>390</v>
      </c>
      <c r="T1539">
        <v>390</v>
      </c>
      <c r="U1539">
        <v>780</v>
      </c>
      <c r="V1539">
        <v>0</v>
      </c>
      <c r="W1539">
        <v>930</v>
      </c>
      <c r="X1539">
        <v>300</v>
      </c>
      <c r="Y1539">
        <v>0</v>
      </c>
    </row>
    <row r="1540" spans="1:25" x14ac:dyDescent="0.3">
      <c r="A1540">
        <v>1539</v>
      </c>
      <c r="B1540">
        <v>130000</v>
      </c>
      <c r="C1540">
        <v>2</v>
      </c>
      <c r="D1540">
        <v>2</v>
      </c>
      <c r="E1540">
        <v>2</v>
      </c>
      <c r="F1540">
        <v>25</v>
      </c>
      <c r="G1540">
        <v>-1</v>
      </c>
      <c r="H1540">
        <v>-1</v>
      </c>
      <c r="I1540">
        <v>-1</v>
      </c>
      <c r="J1540">
        <v>-1</v>
      </c>
      <c r="K1540">
        <v>-1</v>
      </c>
      <c r="L1540">
        <v>-1</v>
      </c>
      <c r="M1540">
        <v>1031</v>
      </c>
      <c r="N1540">
        <v>1583</v>
      </c>
      <c r="O1540">
        <v>776</v>
      </c>
      <c r="P1540">
        <v>776</v>
      </c>
      <c r="Q1540">
        <v>776</v>
      </c>
      <c r="R1540">
        <v>776</v>
      </c>
      <c r="S1540">
        <v>1583</v>
      </c>
      <c r="T1540">
        <v>1000</v>
      </c>
      <c r="U1540">
        <v>776</v>
      </c>
      <c r="V1540">
        <v>776</v>
      </c>
      <c r="W1540">
        <v>776</v>
      </c>
      <c r="X1540">
        <v>12184</v>
      </c>
      <c r="Y1540">
        <v>1</v>
      </c>
    </row>
    <row r="1541" spans="1:25" x14ac:dyDescent="0.3">
      <c r="A1541">
        <v>1540</v>
      </c>
      <c r="B1541">
        <v>110000</v>
      </c>
      <c r="C1541">
        <v>2</v>
      </c>
      <c r="D1541">
        <v>3</v>
      </c>
      <c r="E1541">
        <v>2</v>
      </c>
      <c r="F1541">
        <v>28</v>
      </c>
      <c r="G1541">
        <v>0</v>
      </c>
      <c r="H1541">
        <v>0</v>
      </c>
      <c r="I1541">
        <v>2</v>
      </c>
      <c r="J1541">
        <v>2</v>
      </c>
      <c r="K1541">
        <v>0</v>
      </c>
      <c r="L1541">
        <v>0</v>
      </c>
      <c r="M1541">
        <v>85918</v>
      </c>
      <c r="N1541">
        <v>87442</v>
      </c>
      <c r="O1541">
        <v>82975</v>
      </c>
      <c r="P1541">
        <v>80446</v>
      </c>
      <c r="Q1541">
        <v>80006</v>
      </c>
      <c r="R1541">
        <v>80421</v>
      </c>
      <c r="S1541">
        <v>4000</v>
      </c>
      <c r="T1541">
        <v>6000</v>
      </c>
      <c r="U1541">
        <v>12</v>
      </c>
      <c r="V1541">
        <v>3100</v>
      </c>
      <c r="W1541">
        <v>3200</v>
      </c>
      <c r="X1541">
        <v>3000</v>
      </c>
      <c r="Y1541">
        <v>0</v>
      </c>
    </row>
    <row r="1542" spans="1:25" x14ac:dyDescent="0.3">
      <c r="A1542">
        <v>1541</v>
      </c>
      <c r="B1542">
        <v>20000</v>
      </c>
      <c r="C1542">
        <v>1</v>
      </c>
      <c r="D1542">
        <v>2</v>
      </c>
      <c r="E1542">
        <v>2</v>
      </c>
      <c r="F1542">
        <v>22</v>
      </c>
      <c r="G1542">
        <v>1</v>
      </c>
      <c r="H1542">
        <v>2</v>
      </c>
      <c r="I1542">
        <v>0</v>
      </c>
      <c r="J1542">
        <v>0</v>
      </c>
      <c r="K1542">
        <v>0</v>
      </c>
      <c r="L1542">
        <v>0</v>
      </c>
      <c r="M1542">
        <v>8222</v>
      </c>
      <c r="N1542">
        <v>7948</v>
      </c>
      <c r="O1542">
        <v>8958</v>
      </c>
      <c r="P1542">
        <v>9456</v>
      </c>
      <c r="Q1542">
        <v>10150</v>
      </c>
      <c r="R1542">
        <v>10727</v>
      </c>
      <c r="S1542">
        <v>0</v>
      </c>
      <c r="T1542">
        <v>1300</v>
      </c>
      <c r="U1542">
        <v>800</v>
      </c>
      <c r="V1542">
        <v>1000</v>
      </c>
      <c r="W1542">
        <v>900</v>
      </c>
      <c r="X1542">
        <v>2130</v>
      </c>
      <c r="Y1542">
        <v>1</v>
      </c>
    </row>
    <row r="1543" spans="1:25" x14ac:dyDescent="0.3">
      <c r="A1543">
        <v>1542</v>
      </c>
      <c r="B1543">
        <v>50000</v>
      </c>
      <c r="C1543">
        <v>1</v>
      </c>
      <c r="D1543">
        <v>3</v>
      </c>
      <c r="E1543">
        <v>2</v>
      </c>
      <c r="F1543">
        <v>22</v>
      </c>
      <c r="G1543">
        <v>1</v>
      </c>
      <c r="H1543">
        <v>-2</v>
      </c>
      <c r="I1543">
        <v>-2</v>
      </c>
      <c r="J1543">
        <v>-2</v>
      </c>
      <c r="K1543">
        <v>-2</v>
      </c>
      <c r="L1543">
        <v>-2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</row>
    <row r="1544" spans="1:25" x14ac:dyDescent="0.3">
      <c r="A1544">
        <v>1543</v>
      </c>
      <c r="B1544">
        <v>120000</v>
      </c>
      <c r="C1544">
        <v>2</v>
      </c>
      <c r="D1544">
        <v>3</v>
      </c>
      <c r="E1544">
        <v>1</v>
      </c>
      <c r="F1544">
        <v>30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115583</v>
      </c>
      <c r="N1544">
        <v>114915</v>
      </c>
      <c r="O1544">
        <v>117220</v>
      </c>
      <c r="P1544">
        <v>119599</v>
      </c>
      <c r="Q1544">
        <v>120888</v>
      </c>
      <c r="R1544">
        <v>117881</v>
      </c>
      <c r="S1544">
        <v>4178</v>
      </c>
      <c r="T1544">
        <v>4223</v>
      </c>
      <c r="U1544">
        <v>4296</v>
      </c>
      <c r="V1544">
        <v>4800</v>
      </c>
      <c r="W1544">
        <v>4423</v>
      </c>
      <c r="X1544">
        <v>4080</v>
      </c>
      <c r="Y1544">
        <v>0</v>
      </c>
    </row>
    <row r="1545" spans="1:25" x14ac:dyDescent="0.3">
      <c r="A1545">
        <v>1544</v>
      </c>
      <c r="B1545">
        <v>50000</v>
      </c>
      <c r="C1545">
        <v>1</v>
      </c>
      <c r="D1545">
        <v>3</v>
      </c>
      <c r="E1545">
        <v>2</v>
      </c>
      <c r="F1545">
        <v>34</v>
      </c>
      <c r="G1545">
        <v>0</v>
      </c>
      <c r="H1545">
        <v>0</v>
      </c>
      <c r="I1545">
        <v>0</v>
      </c>
      <c r="J1545">
        <v>-2</v>
      </c>
      <c r="K1545">
        <v>-2</v>
      </c>
      <c r="L1545">
        <v>-2</v>
      </c>
      <c r="M1545">
        <v>50375</v>
      </c>
      <c r="N1545">
        <v>51400</v>
      </c>
      <c r="O1545">
        <v>0</v>
      </c>
      <c r="P1545">
        <v>0</v>
      </c>
      <c r="Q1545">
        <v>0</v>
      </c>
      <c r="R1545">
        <v>0</v>
      </c>
      <c r="S1545">
        <v>2400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</row>
    <row r="1546" spans="1:25" x14ac:dyDescent="0.3">
      <c r="A1546">
        <v>1545</v>
      </c>
      <c r="B1546">
        <v>360000</v>
      </c>
      <c r="C1546">
        <v>2</v>
      </c>
      <c r="D1546">
        <v>2</v>
      </c>
      <c r="E1546">
        <v>2</v>
      </c>
      <c r="F1546">
        <v>34</v>
      </c>
      <c r="G1546">
        <v>1</v>
      </c>
      <c r="H1546">
        <v>-2</v>
      </c>
      <c r="I1546">
        <v>-2</v>
      </c>
      <c r="J1546">
        <v>-1</v>
      </c>
      <c r="K1546">
        <v>-1</v>
      </c>
      <c r="L1546">
        <v>-2</v>
      </c>
      <c r="M1546">
        <v>0</v>
      </c>
      <c r="N1546">
        <v>0</v>
      </c>
      <c r="O1546">
        <v>0</v>
      </c>
      <c r="P1546">
        <v>700</v>
      </c>
      <c r="Q1546">
        <v>0</v>
      </c>
      <c r="R1546">
        <v>0</v>
      </c>
      <c r="S1546">
        <v>0</v>
      </c>
      <c r="T1546">
        <v>0</v>
      </c>
      <c r="U1546">
        <v>700</v>
      </c>
      <c r="V1546">
        <v>0</v>
      </c>
      <c r="W1546">
        <v>0</v>
      </c>
      <c r="X1546">
        <v>0</v>
      </c>
      <c r="Y1546">
        <v>1</v>
      </c>
    </row>
    <row r="1547" spans="1:25" x14ac:dyDescent="0.3">
      <c r="A1547">
        <v>1546</v>
      </c>
      <c r="B1547">
        <v>240000</v>
      </c>
      <c r="C1547">
        <v>2</v>
      </c>
      <c r="D1547">
        <v>2</v>
      </c>
      <c r="E1547">
        <v>1</v>
      </c>
      <c r="F1547">
        <v>44</v>
      </c>
      <c r="G1547">
        <v>-1</v>
      </c>
      <c r="H1547">
        <v>-1</v>
      </c>
      <c r="I1547">
        <v>-1</v>
      </c>
      <c r="J1547">
        <v>-1</v>
      </c>
      <c r="K1547">
        <v>-1</v>
      </c>
      <c r="L1547">
        <v>-1</v>
      </c>
      <c r="M1547">
        <v>3313</v>
      </c>
      <c r="N1547">
        <v>7458</v>
      </c>
      <c r="O1547">
        <v>2329</v>
      </c>
      <c r="P1547">
        <v>4267</v>
      </c>
      <c r="Q1547">
        <v>2404</v>
      </c>
      <c r="R1547">
        <v>4243</v>
      </c>
      <c r="S1547">
        <v>7458</v>
      </c>
      <c r="T1547">
        <v>2335</v>
      </c>
      <c r="U1547">
        <v>4267</v>
      </c>
      <c r="V1547">
        <v>2404</v>
      </c>
      <c r="W1547">
        <v>4243</v>
      </c>
      <c r="X1547">
        <v>2952</v>
      </c>
      <c r="Y1547">
        <v>1</v>
      </c>
    </row>
    <row r="1548" spans="1:25" x14ac:dyDescent="0.3">
      <c r="A1548">
        <v>1547</v>
      </c>
      <c r="B1548">
        <v>150000</v>
      </c>
      <c r="C1548">
        <v>1</v>
      </c>
      <c r="D1548">
        <v>1</v>
      </c>
      <c r="E1548">
        <v>2</v>
      </c>
      <c r="F1548">
        <v>32</v>
      </c>
      <c r="G1548">
        <v>0</v>
      </c>
      <c r="H1548">
        <v>-1</v>
      </c>
      <c r="I1548">
        <v>-1</v>
      </c>
      <c r="J1548">
        <v>-1</v>
      </c>
      <c r="K1548">
        <v>-1</v>
      </c>
      <c r="L1548">
        <v>-2</v>
      </c>
      <c r="M1548">
        <v>46272</v>
      </c>
      <c r="N1548">
        <v>1079</v>
      </c>
      <c r="O1548">
        <v>0</v>
      </c>
      <c r="P1548">
        <v>41147</v>
      </c>
      <c r="Q1548">
        <v>-3</v>
      </c>
      <c r="R1548">
        <v>-3</v>
      </c>
      <c r="S1548">
        <v>1082</v>
      </c>
      <c r="T1548">
        <v>0</v>
      </c>
      <c r="U1548">
        <v>41147</v>
      </c>
      <c r="V1548">
        <v>0</v>
      </c>
      <c r="W1548">
        <v>0</v>
      </c>
      <c r="X1548">
        <v>0</v>
      </c>
      <c r="Y1548">
        <v>0</v>
      </c>
    </row>
    <row r="1549" spans="1:25" x14ac:dyDescent="0.3">
      <c r="A1549">
        <v>1548</v>
      </c>
      <c r="B1549">
        <v>50000</v>
      </c>
      <c r="C1549">
        <v>2</v>
      </c>
      <c r="D1549">
        <v>2</v>
      </c>
      <c r="E1549">
        <v>2</v>
      </c>
      <c r="F1549">
        <v>23</v>
      </c>
      <c r="G1549">
        <v>0</v>
      </c>
      <c r="H1549">
        <v>0</v>
      </c>
      <c r="I1549">
        <v>0</v>
      </c>
      <c r="J1549">
        <v>0</v>
      </c>
      <c r="K1549">
        <v>2</v>
      </c>
      <c r="L1549">
        <v>0</v>
      </c>
      <c r="M1549">
        <v>30501</v>
      </c>
      <c r="N1549">
        <v>33113</v>
      </c>
      <c r="O1549">
        <v>33967</v>
      </c>
      <c r="P1549">
        <v>28115</v>
      </c>
      <c r="Q1549">
        <v>27529</v>
      </c>
      <c r="R1549">
        <v>29896</v>
      </c>
      <c r="S1549">
        <v>3113</v>
      </c>
      <c r="T1549">
        <v>1421</v>
      </c>
      <c r="U1549">
        <v>4295</v>
      </c>
      <c r="V1549">
        <v>0</v>
      </c>
      <c r="W1549">
        <v>3000</v>
      </c>
      <c r="X1549">
        <v>896</v>
      </c>
      <c r="Y1549">
        <v>0</v>
      </c>
    </row>
    <row r="1550" spans="1:25" x14ac:dyDescent="0.3">
      <c r="A1550">
        <v>1549</v>
      </c>
      <c r="B1550">
        <v>500000</v>
      </c>
      <c r="C1550">
        <v>2</v>
      </c>
      <c r="D1550">
        <v>1</v>
      </c>
      <c r="E1550">
        <v>2</v>
      </c>
      <c r="F1550">
        <v>42</v>
      </c>
      <c r="G1550">
        <v>-1</v>
      </c>
      <c r="H1550">
        <v>-1</v>
      </c>
      <c r="I1550">
        <v>-1</v>
      </c>
      <c r="J1550">
        <v>2</v>
      </c>
      <c r="K1550">
        <v>-1</v>
      </c>
      <c r="L1550">
        <v>-1</v>
      </c>
      <c r="M1550">
        <v>30439</v>
      </c>
      <c r="N1550">
        <v>1844</v>
      </c>
      <c r="O1550">
        <v>844</v>
      </c>
      <c r="P1550">
        <v>614</v>
      </c>
      <c r="Q1550">
        <v>2887</v>
      </c>
      <c r="R1550">
        <v>3850</v>
      </c>
      <c r="S1550">
        <v>1844</v>
      </c>
      <c r="T1550">
        <v>1000</v>
      </c>
      <c r="U1550">
        <v>0</v>
      </c>
      <c r="V1550">
        <v>3000</v>
      </c>
      <c r="W1550">
        <v>4000</v>
      </c>
      <c r="X1550">
        <v>6000</v>
      </c>
      <c r="Y1550">
        <v>1</v>
      </c>
    </row>
    <row r="1551" spans="1:25" x14ac:dyDescent="0.3">
      <c r="A1551">
        <v>1550</v>
      </c>
      <c r="B1551">
        <v>110000</v>
      </c>
      <c r="C1551">
        <v>2</v>
      </c>
      <c r="D1551">
        <v>2</v>
      </c>
      <c r="E1551">
        <v>1</v>
      </c>
      <c r="F1551">
        <v>33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115895</v>
      </c>
      <c r="N1551">
        <v>115609</v>
      </c>
      <c r="O1551">
        <v>113984</v>
      </c>
      <c r="P1551">
        <v>112510</v>
      </c>
      <c r="Q1551">
        <v>112319</v>
      </c>
      <c r="R1551">
        <v>110730</v>
      </c>
      <c r="S1551">
        <v>6000</v>
      </c>
      <c r="T1551">
        <v>5500</v>
      </c>
      <c r="U1551">
        <v>4000</v>
      </c>
      <c r="V1551">
        <v>4000</v>
      </c>
      <c r="W1551">
        <v>4100</v>
      </c>
      <c r="X1551">
        <v>4000</v>
      </c>
      <c r="Y1551">
        <v>0</v>
      </c>
    </row>
    <row r="1552" spans="1:25" x14ac:dyDescent="0.3">
      <c r="A1552">
        <v>1551</v>
      </c>
      <c r="B1552">
        <v>170000</v>
      </c>
      <c r="C1552">
        <v>1</v>
      </c>
      <c r="D1552">
        <v>2</v>
      </c>
      <c r="E1552">
        <v>1</v>
      </c>
      <c r="F1552">
        <v>48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93420</v>
      </c>
      <c r="N1552">
        <v>96284</v>
      </c>
      <c r="O1552">
        <v>97322</v>
      </c>
      <c r="P1552">
        <v>99419</v>
      </c>
      <c r="Q1552">
        <v>101590</v>
      </c>
      <c r="R1552">
        <v>111679</v>
      </c>
      <c r="S1552">
        <v>4371</v>
      </c>
      <c r="T1552">
        <v>3533</v>
      </c>
      <c r="U1552">
        <v>3716</v>
      </c>
      <c r="V1552">
        <v>3934</v>
      </c>
      <c r="W1552">
        <v>12030</v>
      </c>
      <c r="X1552">
        <v>0</v>
      </c>
      <c r="Y1552">
        <v>1</v>
      </c>
    </row>
    <row r="1553" spans="1:25" x14ac:dyDescent="0.3">
      <c r="A1553">
        <v>1552</v>
      </c>
      <c r="B1553">
        <v>230000</v>
      </c>
      <c r="C1553">
        <v>2</v>
      </c>
      <c r="D1553">
        <v>2</v>
      </c>
      <c r="E1553">
        <v>1</v>
      </c>
      <c r="F1553">
        <v>29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30818</v>
      </c>
      <c r="N1553">
        <v>31209</v>
      </c>
      <c r="O1553">
        <v>32211</v>
      </c>
      <c r="P1553">
        <v>31647</v>
      </c>
      <c r="Q1553">
        <v>34304</v>
      </c>
      <c r="R1553">
        <v>36849</v>
      </c>
      <c r="S1553">
        <v>2000</v>
      </c>
      <c r="T1553">
        <v>2000</v>
      </c>
      <c r="U1553">
        <v>1113</v>
      </c>
      <c r="V1553">
        <v>5000</v>
      </c>
      <c r="W1553">
        <v>5000</v>
      </c>
      <c r="X1553">
        <v>2000</v>
      </c>
      <c r="Y1553">
        <v>0</v>
      </c>
    </row>
    <row r="1554" spans="1:25" x14ac:dyDescent="0.3">
      <c r="A1554">
        <v>1553</v>
      </c>
      <c r="B1554">
        <v>20000</v>
      </c>
      <c r="C1554">
        <v>2</v>
      </c>
      <c r="D1554">
        <v>3</v>
      </c>
      <c r="E1554">
        <v>3</v>
      </c>
      <c r="F1554">
        <v>47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9417</v>
      </c>
      <c r="N1554">
        <v>10436</v>
      </c>
      <c r="O1554">
        <v>11450</v>
      </c>
      <c r="P1554">
        <v>12257</v>
      </c>
      <c r="Q1554">
        <v>12685</v>
      </c>
      <c r="R1554">
        <v>13306</v>
      </c>
      <c r="S1554">
        <v>1179</v>
      </c>
      <c r="T1554">
        <v>1193</v>
      </c>
      <c r="U1554">
        <v>1000</v>
      </c>
      <c r="V1554">
        <v>625</v>
      </c>
      <c r="W1554">
        <v>1000</v>
      </c>
      <c r="X1554">
        <v>405</v>
      </c>
      <c r="Y1554">
        <v>0</v>
      </c>
    </row>
    <row r="1555" spans="1:25" x14ac:dyDescent="0.3">
      <c r="A1555">
        <v>1554</v>
      </c>
      <c r="B1555">
        <v>100000</v>
      </c>
      <c r="C1555">
        <v>2</v>
      </c>
      <c r="D1555">
        <v>1</v>
      </c>
      <c r="E1555">
        <v>1</v>
      </c>
      <c r="F1555">
        <v>41</v>
      </c>
      <c r="G1555">
        <v>1</v>
      </c>
      <c r="H1555">
        <v>-2</v>
      </c>
      <c r="I1555">
        <v>-2</v>
      </c>
      <c r="J1555">
        <v>-2</v>
      </c>
      <c r="K1555">
        <v>-2</v>
      </c>
      <c r="L1555">
        <v>-1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18149</v>
      </c>
      <c r="S1555">
        <v>0</v>
      </c>
      <c r="T1555">
        <v>0</v>
      </c>
      <c r="U1555">
        <v>0</v>
      </c>
      <c r="V1555">
        <v>0</v>
      </c>
      <c r="W1555">
        <v>18149</v>
      </c>
      <c r="X1555">
        <v>0</v>
      </c>
      <c r="Y1555">
        <v>0</v>
      </c>
    </row>
    <row r="1556" spans="1:25" x14ac:dyDescent="0.3">
      <c r="A1556">
        <v>1555</v>
      </c>
      <c r="B1556">
        <v>110000</v>
      </c>
      <c r="C1556">
        <v>1</v>
      </c>
      <c r="D1556">
        <v>1</v>
      </c>
      <c r="E1556">
        <v>2</v>
      </c>
      <c r="F1556">
        <v>28</v>
      </c>
      <c r="G1556">
        <v>1</v>
      </c>
      <c r="H1556">
        <v>2</v>
      </c>
      <c r="I1556">
        <v>0</v>
      </c>
      <c r="J1556">
        <v>0</v>
      </c>
      <c r="K1556">
        <v>0</v>
      </c>
      <c r="L1556">
        <v>0</v>
      </c>
      <c r="M1556">
        <v>44278</v>
      </c>
      <c r="N1556">
        <v>41812</v>
      </c>
      <c r="O1556">
        <v>43095</v>
      </c>
      <c r="P1556">
        <v>46292</v>
      </c>
      <c r="Q1556">
        <v>44744</v>
      </c>
      <c r="R1556">
        <v>36243</v>
      </c>
      <c r="S1556">
        <v>0</v>
      </c>
      <c r="T1556">
        <v>2000</v>
      </c>
      <c r="U1556">
        <v>5000</v>
      </c>
      <c r="V1556">
        <v>1514</v>
      </c>
      <c r="W1556">
        <v>1197</v>
      </c>
      <c r="X1556">
        <v>982</v>
      </c>
      <c r="Y1556">
        <v>0</v>
      </c>
    </row>
    <row r="1557" spans="1:25" x14ac:dyDescent="0.3">
      <c r="A1557">
        <v>1556</v>
      </c>
      <c r="B1557">
        <v>340000</v>
      </c>
      <c r="C1557">
        <v>1</v>
      </c>
      <c r="D1557">
        <v>1</v>
      </c>
      <c r="E1557">
        <v>1</v>
      </c>
      <c r="F1557">
        <v>52</v>
      </c>
      <c r="G1557">
        <v>-2</v>
      </c>
      <c r="H1557">
        <v>-2</v>
      </c>
      <c r="I1557">
        <v>-2</v>
      </c>
      <c r="J1557">
        <v>-2</v>
      </c>
      <c r="K1557">
        <v>-2</v>
      </c>
      <c r="L1557">
        <v>-2</v>
      </c>
      <c r="M1557">
        <v>30832</v>
      </c>
      <c r="N1557">
        <v>33652</v>
      </c>
      <c r="O1557">
        <v>35192</v>
      </c>
      <c r="P1557">
        <v>30000</v>
      </c>
      <c r="Q1557">
        <v>10766</v>
      </c>
      <c r="R1557">
        <v>33887</v>
      </c>
      <c r="S1557">
        <v>33670</v>
      </c>
      <c r="T1557">
        <v>35212</v>
      </c>
      <c r="U1557">
        <v>30000</v>
      </c>
      <c r="V1557">
        <v>10766</v>
      </c>
      <c r="W1557">
        <v>33905</v>
      </c>
      <c r="X1557">
        <v>30200</v>
      </c>
      <c r="Y1557">
        <v>1</v>
      </c>
    </row>
    <row r="1558" spans="1:25" x14ac:dyDescent="0.3">
      <c r="A1558">
        <v>1557</v>
      </c>
      <c r="B1558">
        <v>50000</v>
      </c>
      <c r="C1558">
        <v>1</v>
      </c>
      <c r="D1558">
        <v>1</v>
      </c>
      <c r="E1558">
        <v>2</v>
      </c>
      <c r="F1558">
        <v>37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37774</v>
      </c>
      <c r="N1558">
        <v>38492</v>
      </c>
      <c r="O1558">
        <v>36453</v>
      </c>
      <c r="P1558">
        <v>29700</v>
      </c>
      <c r="Q1558">
        <v>30167</v>
      </c>
      <c r="R1558">
        <v>29613</v>
      </c>
      <c r="S1558">
        <v>1976</v>
      </c>
      <c r="T1558">
        <v>1564</v>
      </c>
      <c r="U1558">
        <v>1170</v>
      </c>
      <c r="V1558">
        <v>1055</v>
      </c>
      <c r="W1558">
        <v>1052</v>
      </c>
      <c r="X1558">
        <v>1022</v>
      </c>
      <c r="Y1558">
        <v>0</v>
      </c>
    </row>
    <row r="1559" spans="1:25" x14ac:dyDescent="0.3">
      <c r="A1559">
        <v>1558</v>
      </c>
      <c r="B1559">
        <v>310000</v>
      </c>
      <c r="C1559">
        <v>1</v>
      </c>
      <c r="D1559">
        <v>1</v>
      </c>
      <c r="E1559">
        <v>1</v>
      </c>
      <c r="F1559">
        <v>50</v>
      </c>
      <c r="G1559">
        <v>-1</v>
      </c>
      <c r="H1559">
        <v>-1</v>
      </c>
      <c r="I1559">
        <v>-1</v>
      </c>
      <c r="J1559">
        <v>-1</v>
      </c>
      <c r="K1559">
        <v>-1</v>
      </c>
      <c r="L1559">
        <v>-1</v>
      </c>
      <c r="M1559">
        <v>316</v>
      </c>
      <c r="N1559">
        <v>316</v>
      </c>
      <c r="O1559">
        <v>10131</v>
      </c>
      <c r="P1559">
        <v>2456</v>
      </c>
      <c r="Q1559">
        <v>316</v>
      </c>
      <c r="R1559">
        <v>316</v>
      </c>
      <c r="S1559">
        <v>316</v>
      </c>
      <c r="T1559">
        <v>10131</v>
      </c>
      <c r="U1559">
        <v>2456</v>
      </c>
      <c r="V1559">
        <v>316</v>
      </c>
      <c r="W1559">
        <v>316</v>
      </c>
      <c r="X1559">
        <v>316</v>
      </c>
      <c r="Y1559">
        <v>0</v>
      </c>
    </row>
    <row r="1560" spans="1:25" x14ac:dyDescent="0.3">
      <c r="A1560">
        <v>1559</v>
      </c>
      <c r="B1560">
        <v>50000</v>
      </c>
      <c r="C1560">
        <v>2</v>
      </c>
      <c r="D1560">
        <v>3</v>
      </c>
      <c r="E1560">
        <v>1</v>
      </c>
      <c r="F1560">
        <v>31</v>
      </c>
      <c r="G1560">
        <v>1</v>
      </c>
      <c r="H1560">
        <v>2</v>
      </c>
      <c r="I1560">
        <v>2</v>
      </c>
      <c r="J1560">
        <v>2</v>
      </c>
      <c r="K1560">
        <v>2</v>
      </c>
      <c r="L1560">
        <v>2</v>
      </c>
      <c r="M1560">
        <v>38102</v>
      </c>
      <c r="N1560">
        <v>40025</v>
      </c>
      <c r="O1560">
        <v>40071</v>
      </c>
      <c r="P1560">
        <v>40906</v>
      </c>
      <c r="Q1560">
        <v>42100</v>
      </c>
      <c r="R1560">
        <v>41269</v>
      </c>
      <c r="S1560">
        <v>2830</v>
      </c>
      <c r="T1560">
        <v>1000</v>
      </c>
      <c r="U1560">
        <v>1800</v>
      </c>
      <c r="V1560">
        <v>2000</v>
      </c>
      <c r="W1560">
        <v>0</v>
      </c>
      <c r="X1560">
        <v>1704</v>
      </c>
      <c r="Y1560">
        <v>1</v>
      </c>
    </row>
    <row r="1561" spans="1:25" x14ac:dyDescent="0.3">
      <c r="A1561">
        <v>1560</v>
      </c>
      <c r="B1561">
        <v>240000</v>
      </c>
      <c r="C1561">
        <v>2</v>
      </c>
      <c r="D1561">
        <v>3</v>
      </c>
      <c r="E1561">
        <v>1</v>
      </c>
      <c r="F1561">
        <v>38</v>
      </c>
      <c r="G1561">
        <v>0</v>
      </c>
      <c r="H1561">
        <v>0</v>
      </c>
      <c r="I1561">
        <v>2</v>
      </c>
      <c r="J1561">
        <v>0</v>
      </c>
      <c r="K1561">
        <v>0</v>
      </c>
      <c r="L1561">
        <v>0</v>
      </c>
      <c r="M1561">
        <v>107148</v>
      </c>
      <c r="N1561">
        <v>113396</v>
      </c>
      <c r="O1561">
        <v>110084</v>
      </c>
      <c r="P1561">
        <v>112272</v>
      </c>
      <c r="Q1561">
        <v>114779</v>
      </c>
      <c r="R1561">
        <v>116920</v>
      </c>
      <c r="S1561">
        <v>9500</v>
      </c>
      <c r="T1561">
        <v>0</v>
      </c>
      <c r="U1561">
        <v>4019</v>
      </c>
      <c r="V1561">
        <v>4317</v>
      </c>
      <c r="W1561">
        <v>4204</v>
      </c>
      <c r="X1561">
        <v>4314</v>
      </c>
      <c r="Y1561">
        <v>1</v>
      </c>
    </row>
    <row r="1562" spans="1:25" x14ac:dyDescent="0.3">
      <c r="A1562">
        <v>1561</v>
      </c>
      <c r="B1562">
        <v>50000</v>
      </c>
      <c r="C1562">
        <v>2</v>
      </c>
      <c r="D1562">
        <v>2</v>
      </c>
      <c r="E1562">
        <v>1</v>
      </c>
      <c r="F1562">
        <v>48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10929</v>
      </c>
      <c r="N1562">
        <v>13262</v>
      </c>
      <c r="O1562">
        <v>14273</v>
      </c>
      <c r="P1562">
        <v>14555</v>
      </c>
      <c r="Q1562">
        <v>14860</v>
      </c>
      <c r="R1562">
        <v>15155</v>
      </c>
      <c r="S1562">
        <v>2526</v>
      </c>
      <c r="T1562">
        <v>1237</v>
      </c>
      <c r="U1562">
        <v>519</v>
      </c>
      <c r="V1562">
        <v>538</v>
      </c>
      <c r="W1562">
        <v>541</v>
      </c>
      <c r="X1562">
        <v>560</v>
      </c>
      <c r="Y1562">
        <v>0</v>
      </c>
    </row>
    <row r="1563" spans="1:25" x14ac:dyDescent="0.3">
      <c r="A1563">
        <v>1562</v>
      </c>
      <c r="B1563">
        <v>150000</v>
      </c>
      <c r="C1563">
        <v>2</v>
      </c>
      <c r="D1563">
        <v>1</v>
      </c>
      <c r="E1563">
        <v>2</v>
      </c>
      <c r="F1563">
        <v>34</v>
      </c>
      <c r="G1563">
        <v>-2</v>
      </c>
      <c r="H1563">
        <v>-1</v>
      </c>
      <c r="I1563">
        <v>2</v>
      </c>
      <c r="J1563">
        <v>0</v>
      </c>
      <c r="K1563">
        <v>0</v>
      </c>
      <c r="L1563">
        <v>-2</v>
      </c>
      <c r="M1563">
        <v>0</v>
      </c>
      <c r="N1563">
        <v>13206</v>
      </c>
      <c r="O1563">
        <v>10227</v>
      </c>
      <c r="P1563">
        <v>398</v>
      </c>
      <c r="Q1563">
        <v>0</v>
      </c>
      <c r="R1563">
        <v>0</v>
      </c>
      <c r="S1563">
        <v>13206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</row>
    <row r="1564" spans="1:25" x14ac:dyDescent="0.3">
      <c r="A1564">
        <v>1563</v>
      </c>
      <c r="B1564">
        <v>140000</v>
      </c>
      <c r="C1564">
        <v>1</v>
      </c>
      <c r="D1564">
        <v>2</v>
      </c>
      <c r="E1564">
        <v>2</v>
      </c>
      <c r="F1564">
        <v>44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108033</v>
      </c>
      <c r="N1564">
        <v>105021</v>
      </c>
      <c r="O1564">
        <v>107659</v>
      </c>
      <c r="P1564">
        <v>109104</v>
      </c>
      <c r="Q1564">
        <v>109352</v>
      </c>
      <c r="R1564">
        <v>101534</v>
      </c>
      <c r="S1564">
        <v>4000</v>
      </c>
      <c r="T1564">
        <v>4537</v>
      </c>
      <c r="U1564">
        <v>3800</v>
      </c>
      <c r="V1564">
        <v>3823</v>
      </c>
      <c r="W1564">
        <v>3806</v>
      </c>
      <c r="X1564">
        <v>3511</v>
      </c>
      <c r="Y1564">
        <v>0</v>
      </c>
    </row>
    <row r="1565" spans="1:25" x14ac:dyDescent="0.3">
      <c r="A1565">
        <v>1564</v>
      </c>
      <c r="B1565">
        <v>30000</v>
      </c>
      <c r="C1565">
        <v>2</v>
      </c>
      <c r="D1565">
        <v>3</v>
      </c>
      <c r="E1565">
        <v>1</v>
      </c>
      <c r="F1565">
        <v>56</v>
      </c>
      <c r="G1565">
        <v>0</v>
      </c>
      <c r="H1565">
        <v>0</v>
      </c>
      <c r="I1565">
        <v>2</v>
      </c>
      <c r="J1565">
        <v>2</v>
      </c>
      <c r="K1565">
        <v>0</v>
      </c>
      <c r="L1565">
        <v>0</v>
      </c>
      <c r="M1565">
        <v>16088</v>
      </c>
      <c r="N1565">
        <v>24800</v>
      </c>
      <c r="O1565">
        <v>25098</v>
      </c>
      <c r="P1565">
        <v>24396</v>
      </c>
      <c r="Q1565">
        <v>24907</v>
      </c>
      <c r="R1565">
        <v>25555</v>
      </c>
      <c r="S1565">
        <v>9000</v>
      </c>
      <c r="T1565">
        <v>1000</v>
      </c>
      <c r="U1565">
        <v>0</v>
      </c>
      <c r="V1565">
        <v>903</v>
      </c>
      <c r="W1565">
        <v>1061</v>
      </c>
      <c r="X1565">
        <v>942</v>
      </c>
      <c r="Y1565">
        <v>0</v>
      </c>
    </row>
    <row r="1566" spans="1:25" x14ac:dyDescent="0.3">
      <c r="A1566">
        <v>1565</v>
      </c>
      <c r="B1566">
        <v>300000</v>
      </c>
      <c r="C1566">
        <v>2</v>
      </c>
      <c r="D1566">
        <v>1</v>
      </c>
      <c r="E1566">
        <v>1</v>
      </c>
      <c r="F1566">
        <v>30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93738</v>
      </c>
      <c r="N1566">
        <v>84636</v>
      </c>
      <c r="O1566">
        <v>88446</v>
      </c>
      <c r="P1566">
        <v>76244</v>
      </c>
      <c r="Q1566">
        <v>67747</v>
      </c>
      <c r="R1566">
        <v>70389</v>
      </c>
      <c r="S1566">
        <v>3000</v>
      </c>
      <c r="T1566">
        <v>5000</v>
      </c>
      <c r="U1566">
        <v>2500</v>
      </c>
      <c r="V1566">
        <v>2500</v>
      </c>
      <c r="W1566">
        <v>3500</v>
      </c>
      <c r="X1566">
        <v>87000</v>
      </c>
      <c r="Y1566">
        <v>1</v>
      </c>
    </row>
    <row r="1567" spans="1:25" x14ac:dyDescent="0.3">
      <c r="A1567">
        <v>1566</v>
      </c>
      <c r="B1567">
        <v>50000</v>
      </c>
      <c r="C1567">
        <v>1</v>
      </c>
      <c r="D1567">
        <v>1</v>
      </c>
      <c r="E1567">
        <v>2</v>
      </c>
      <c r="F1567">
        <v>29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2087</v>
      </c>
      <c r="N1567">
        <v>2632</v>
      </c>
      <c r="O1567">
        <v>3355</v>
      </c>
      <c r="P1567">
        <v>3253</v>
      </c>
      <c r="Q1567">
        <v>3640</v>
      </c>
      <c r="R1567">
        <v>3512</v>
      </c>
      <c r="S1567">
        <v>1000</v>
      </c>
      <c r="T1567">
        <v>1186</v>
      </c>
      <c r="U1567">
        <v>500</v>
      </c>
      <c r="V1567">
        <v>1000</v>
      </c>
      <c r="W1567">
        <v>500</v>
      </c>
      <c r="X1567">
        <v>1000</v>
      </c>
      <c r="Y1567">
        <v>0</v>
      </c>
    </row>
    <row r="1568" spans="1:25" x14ac:dyDescent="0.3">
      <c r="A1568">
        <v>1567</v>
      </c>
      <c r="B1568">
        <v>280000</v>
      </c>
      <c r="C1568">
        <v>2</v>
      </c>
      <c r="D1568">
        <v>2</v>
      </c>
      <c r="E1568">
        <v>1</v>
      </c>
      <c r="F1568">
        <v>37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29078</v>
      </c>
      <c r="N1568">
        <v>30144</v>
      </c>
      <c r="O1568">
        <v>32629</v>
      </c>
      <c r="P1568">
        <v>35126</v>
      </c>
      <c r="Q1568">
        <v>35759</v>
      </c>
      <c r="R1568">
        <v>42317</v>
      </c>
      <c r="S1568">
        <v>1515</v>
      </c>
      <c r="T1568">
        <v>3000</v>
      </c>
      <c r="U1568">
        <v>3000</v>
      </c>
      <c r="V1568">
        <v>1292</v>
      </c>
      <c r="W1568">
        <v>7147</v>
      </c>
      <c r="X1568">
        <v>1415</v>
      </c>
      <c r="Y1568">
        <v>0</v>
      </c>
    </row>
    <row r="1569" spans="1:25" x14ac:dyDescent="0.3">
      <c r="A1569">
        <v>1568</v>
      </c>
      <c r="B1569">
        <v>120000</v>
      </c>
      <c r="C1569">
        <v>2</v>
      </c>
      <c r="D1569">
        <v>2</v>
      </c>
      <c r="E1569">
        <v>2</v>
      </c>
      <c r="F1569">
        <v>23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118063</v>
      </c>
      <c r="N1569">
        <v>120851</v>
      </c>
      <c r="O1569">
        <v>120013</v>
      </c>
      <c r="P1569">
        <v>77539</v>
      </c>
      <c r="Q1569">
        <v>77333</v>
      </c>
      <c r="R1569">
        <v>79113</v>
      </c>
      <c r="S1569">
        <v>4700</v>
      </c>
      <c r="T1569">
        <v>3538</v>
      </c>
      <c r="U1569">
        <v>3000</v>
      </c>
      <c r="V1569">
        <v>3000</v>
      </c>
      <c r="W1569">
        <v>3000</v>
      </c>
      <c r="X1569">
        <v>5000</v>
      </c>
      <c r="Y1569">
        <v>0</v>
      </c>
    </row>
    <row r="1570" spans="1:25" x14ac:dyDescent="0.3">
      <c r="A1570">
        <v>1569</v>
      </c>
      <c r="B1570">
        <v>30000</v>
      </c>
      <c r="C1570">
        <v>2</v>
      </c>
      <c r="D1570">
        <v>1</v>
      </c>
      <c r="E1570">
        <v>1</v>
      </c>
      <c r="F1570">
        <v>27</v>
      </c>
      <c r="G1570">
        <v>1</v>
      </c>
      <c r="H1570">
        <v>-1</v>
      </c>
      <c r="I1570">
        <v>-1</v>
      </c>
      <c r="J1570">
        <v>-1</v>
      </c>
      <c r="K1570">
        <v>0</v>
      </c>
      <c r="L1570">
        <v>0</v>
      </c>
      <c r="M1570">
        <v>0</v>
      </c>
      <c r="N1570">
        <v>306</v>
      </c>
      <c r="O1570">
        <v>2017</v>
      </c>
      <c r="P1570">
        <v>6316</v>
      </c>
      <c r="Q1570">
        <v>3107</v>
      </c>
      <c r="R1570">
        <v>0</v>
      </c>
      <c r="S1570">
        <v>306</v>
      </c>
      <c r="T1570">
        <v>2017</v>
      </c>
      <c r="U1570">
        <v>6316</v>
      </c>
      <c r="V1570">
        <v>62</v>
      </c>
      <c r="W1570">
        <v>0</v>
      </c>
      <c r="X1570">
        <v>1002</v>
      </c>
      <c r="Y1570">
        <v>0</v>
      </c>
    </row>
    <row r="1571" spans="1:25" x14ac:dyDescent="0.3">
      <c r="A1571">
        <v>1570</v>
      </c>
      <c r="B1571">
        <v>30000</v>
      </c>
      <c r="C1571">
        <v>2</v>
      </c>
      <c r="D1571">
        <v>2</v>
      </c>
      <c r="E1571">
        <v>2</v>
      </c>
      <c r="F1571">
        <v>23</v>
      </c>
      <c r="G1571">
        <v>-1</v>
      </c>
      <c r="H1571">
        <v>0</v>
      </c>
      <c r="I1571">
        <v>0</v>
      </c>
      <c r="J1571">
        <v>0</v>
      </c>
      <c r="K1571">
        <v>0</v>
      </c>
      <c r="L1571">
        <v>-1</v>
      </c>
      <c r="M1571">
        <v>3226</v>
      </c>
      <c r="N1571">
        <v>5591</v>
      </c>
      <c r="O1571">
        <v>6992</v>
      </c>
      <c r="P1571">
        <v>20412</v>
      </c>
      <c r="Q1571">
        <v>14427</v>
      </c>
      <c r="R1571">
        <v>5119</v>
      </c>
      <c r="S1571">
        <v>3596</v>
      </c>
      <c r="T1571">
        <v>2992</v>
      </c>
      <c r="U1571">
        <v>16500</v>
      </c>
      <c r="V1571">
        <v>0</v>
      </c>
      <c r="W1571">
        <v>5119</v>
      </c>
      <c r="X1571">
        <v>0</v>
      </c>
      <c r="Y1571">
        <v>1</v>
      </c>
    </row>
    <row r="1572" spans="1:25" x14ac:dyDescent="0.3">
      <c r="A1572">
        <v>1571</v>
      </c>
      <c r="B1572">
        <v>180000</v>
      </c>
      <c r="C1572">
        <v>1</v>
      </c>
      <c r="D1572">
        <v>3</v>
      </c>
      <c r="E1572">
        <v>1</v>
      </c>
      <c r="F1572">
        <v>45</v>
      </c>
      <c r="G1572">
        <v>1</v>
      </c>
      <c r="H1572">
        <v>2</v>
      </c>
      <c r="I1572">
        <v>0</v>
      </c>
      <c r="J1572">
        <v>0</v>
      </c>
      <c r="K1572">
        <v>0</v>
      </c>
      <c r="L1572">
        <v>0</v>
      </c>
      <c r="M1572">
        <v>24400</v>
      </c>
      <c r="N1572">
        <v>24508</v>
      </c>
      <c r="O1572">
        <v>22627</v>
      </c>
      <c r="P1572">
        <v>23306</v>
      </c>
      <c r="Q1572">
        <v>22780</v>
      </c>
      <c r="R1572">
        <v>20890</v>
      </c>
      <c r="S1572">
        <v>1500</v>
      </c>
      <c r="T1572">
        <v>1500</v>
      </c>
      <c r="U1572">
        <v>1000</v>
      </c>
      <c r="V1572">
        <v>1000</v>
      </c>
      <c r="W1572">
        <v>1000</v>
      </c>
      <c r="X1572">
        <v>1000</v>
      </c>
      <c r="Y1572">
        <v>0</v>
      </c>
    </row>
    <row r="1573" spans="1:25" x14ac:dyDescent="0.3">
      <c r="A1573">
        <v>1572</v>
      </c>
      <c r="B1573">
        <v>150000</v>
      </c>
      <c r="C1573">
        <v>1</v>
      </c>
      <c r="D1573">
        <v>2</v>
      </c>
      <c r="E1573">
        <v>1</v>
      </c>
      <c r="F1573">
        <v>33</v>
      </c>
      <c r="G1573">
        <v>1</v>
      </c>
      <c r="H1573">
        <v>2</v>
      </c>
      <c r="I1573">
        <v>2</v>
      </c>
      <c r="J1573">
        <v>0</v>
      </c>
      <c r="K1573">
        <v>0</v>
      </c>
      <c r="L1573">
        <v>2</v>
      </c>
      <c r="M1573">
        <v>8967</v>
      </c>
      <c r="N1573">
        <v>11510</v>
      </c>
      <c r="O1573">
        <v>12022</v>
      </c>
      <c r="P1573">
        <v>12524</v>
      </c>
      <c r="Q1573">
        <v>13868</v>
      </c>
      <c r="R1573">
        <v>13502</v>
      </c>
      <c r="S1573">
        <v>3001</v>
      </c>
      <c r="T1573">
        <v>1000</v>
      </c>
      <c r="U1573">
        <v>1000</v>
      </c>
      <c r="V1573">
        <v>1700</v>
      </c>
      <c r="W1573">
        <v>0</v>
      </c>
      <c r="X1573">
        <v>1000</v>
      </c>
      <c r="Y1573">
        <v>0</v>
      </c>
    </row>
    <row r="1574" spans="1:25" x14ac:dyDescent="0.3">
      <c r="A1574">
        <v>1573</v>
      </c>
      <c r="B1574">
        <v>110000</v>
      </c>
      <c r="C1574">
        <v>2</v>
      </c>
      <c r="D1574">
        <v>2</v>
      </c>
      <c r="E1574">
        <v>1</v>
      </c>
      <c r="F1574">
        <v>40</v>
      </c>
      <c r="G1574">
        <v>0</v>
      </c>
      <c r="H1574">
        <v>0</v>
      </c>
      <c r="I1574">
        <v>0</v>
      </c>
      <c r="J1574">
        <v>2</v>
      </c>
      <c r="K1574">
        <v>0</v>
      </c>
      <c r="L1574">
        <v>0</v>
      </c>
      <c r="M1574">
        <v>84589</v>
      </c>
      <c r="N1574">
        <v>85418</v>
      </c>
      <c r="O1574">
        <v>38333</v>
      </c>
      <c r="P1574">
        <v>37419</v>
      </c>
      <c r="Q1574">
        <v>38199</v>
      </c>
      <c r="R1574">
        <v>38957</v>
      </c>
      <c r="S1574">
        <v>3700</v>
      </c>
      <c r="T1574">
        <v>4890</v>
      </c>
      <c r="U1574">
        <v>0</v>
      </c>
      <c r="V1574">
        <v>1535</v>
      </c>
      <c r="W1574">
        <v>1545</v>
      </c>
      <c r="X1574">
        <v>1500</v>
      </c>
      <c r="Y1574">
        <v>0</v>
      </c>
    </row>
    <row r="1575" spans="1:25" x14ac:dyDescent="0.3">
      <c r="A1575">
        <v>1574</v>
      </c>
      <c r="B1575">
        <v>50000</v>
      </c>
      <c r="C1575">
        <v>1</v>
      </c>
      <c r="D1575">
        <v>1</v>
      </c>
      <c r="E1575">
        <v>2</v>
      </c>
      <c r="F1575">
        <v>24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50716</v>
      </c>
      <c r="N1575">
        <v>50606</v>
      </c>
      <c r="O1575">
        <v>33265</v>
      </c>
      <c r="P1575">
        <v>29300</v>
      </c>
      <c r="Q1575">
        <v>20703</v>
      </c>
      <c r="R1575">
        <v>30101</v>
      </c>
      <c r="S1575">
        <v>3029</v>
      </c>
      <c r="T1575">
        <v>2000</v>
      </c>
      <c r="U1575">
        <v>1021</v>
      </c>
      <c r="V1575">
        <v>1004</v>
      </c>
      <c r="W1575">
        <v>10000</v>
      </c>
      <c r="X1575">
        <v>2500</v>
      </c>
      <c r="Y1575">
        <v>1</v>
      </c>
    </row>
    <row r="1576" spans="1:25" x14ac:dyDescent="0.3">
      <c r="A1576">
        <v>1575</v>
      </c>
      <c r="B1576">
        <v>230000</v>
      </c>
      <c r="C1576">
        <v>2</v>
      </c>
      <c r="D1576">
        <v>3</v>
      </c>
      <c r="E1576">
        <v>1</v>
      </c>
      <c r="F1576">
        <v>43</v>
      </c>
      <c r="G1576">
        <v>1</v>
      </c>
      <c r="H1576">
        <v>-1</v>
      </c>
      <c r="I1576">
        <v>2</v>
      </c>
      <c r="J1576">
        <v>-1</v>
      </c>
      <c r="K1576">
        <v>0</v>
      </c>
      <c r="L1576">
        <v>-1</v>
      </c>
      <c r="M1576">
        <v>0</v>
      </c>
      <c r="N1576">
        <v>3832</v>
      </c>
      <c r="O1576">
        <v>1823</v>
      </c>
      <c r="P1576">
        <v>3646</v>
      </c>
      <c r="Q1576">
        <v>1823</v>
      </c>
      <c r="R1576">
        <v>1823</v>
      </c>
      <c r="S1576">
        <v>5655</v>
      </c>
      <c r="T1576">
        <v>0</v>
      </c>
      <c r="U1576">
        <v>3646</v>
      </c>
      <c r="V1576">
        <v>0</v>
      </c>
      <c r="W1576">
        <v>1823</v>
      </c>
      <c r="X1576">
        <v>1823</v>
      </c>
      <c r="Y1576">
        <v>0</v>
      </c>
    </row>
    <row r="1577" spans="1:25" x14ac:dyDescent="0.3">
      <c r="A1577">
        <v>1576</v>
      </c>
      <c r="B1577">
        <v>230000</v>
      </c>
      <c r="C1577">
        <v>2</v>
      </c>
      <c r="D1577">
        <v>2</v>
      </c>
      <c r="E1577">
        <v>2</v>
      </c>
      <c r="F1577">
        <v>25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2</v>
      </c>
      <c r="M1577">
        <v>95311</v>
      </c>
      <c r="N1577">
        <v>94489</v>
      </c>
      <c r="O1577">
        <v>93143</v>
      </c>
      <c r="P1577">
        <v>87654</v>
      </c>
      <c r="Q1577">
        <v>90172</v>
      </c>
      <c r="R1577">
        <v>86850</v>
      </c>
      <c r="S1577">
        <v>4500</v>
      </c>
      <c r="T1577">
        <v>4114</v>
      </c>
      <c r="U1577">
        <v>3500</v>
      </c>
      <c r="V1577">
        <v>4000</v>
      </c>
      <c r="W1577">
        <v>3000</v>
      </c>
      <c r="X1577">
        <v>3000</v>
      </c>
      <c r="Y1577">
        <v>0</v>
      </c>
    </row>
    <row r="1578" spans="1:25" x14ac:dyDescent="0.3">
      <c r="A1578">
        <v>1577</v>
      </c>
      <c r="B1578">
        <v>160000</v>
      </c>
      <c r="C1578">
        <v>2</v>
      </c>
      <c r="D1578">
        <v>1</v>
      </c>
      <c r="E1578">
        <v>2</v>
      </c>
      <c r="F1578">
        <v>46</v>
      </c>
      <c r="G1578">
        <v>-2</v>
      </c>
      <c r="H1578">
        <v>-2</v>
      </c>
      <c r="I1578">
        <v>-2</v>
      </c>
      <c r="J1578">
        <v>-2</v>
      </c>
      <c r="K1578">
        <v>-2</v>
      </c>
      <c r="L1578">
        <v>-2</v>
      </c>
      <c r="M1578">
        <v>6241</v>
      </c>
      <c r="N1578">
        <v>8788</v>
      </c>
      <c r="O1578">
        <v>0</v>
      </c>
      <c r="P1578">
        <v>0</v>
      </c>
      <c r="Q1578">
        <v>0</v>
      </c>
      <c r="R1578">
        <v>0</v>
      </c>
      <c r="S1578">
        <v>8805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</row>
    <row r="1579" spans="1:25" x14ac:dyDescent="0.3">
      <c r="A1579">
        <v>1578</v>
      </c>
      <c r="B1579">
        <v>50000</v>
      </c>
      <c r="C1579">
        <v>1</v>
      </c>
      <c r="D1579">
        <v>3</v>
      </c>
      <c r="E1579">
        <v>2</v>
      </c>
      <c r="F1579">
        <v>36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52855</v>
      </c>
      <c r="N1579">
        <v>49123</v>
      </c>
      <c r="O1579">
        <v>49522</v>
      </c>
      <c r="P1579">
        <v>19843</v>
      </c>
      <c r="Q1579">
        <v>18440</v>
      </c>
      <c r="R1579">
        <v>18272</v>
      </c>
      <c r="S1579">
        <v>2206</v>
      </c>
      <c r="T1579">
        <v>1605</v>
      </c>
      <c r="U1579">
        <v>397</v>
      </c>
      <c r="V1579">
        <v>369</v>
      </c>
      <c r="W1579">
        <v>365</v>
      </c>
      <c r="X1579">
        <v>1088</v>
      </c>
      <c r="Y1579">
        <v>0</v>
      </c>
    </row>
    <row r="1580" spans="1:25" x14ac:dyDescent="0.3">
      <c r="A1580">
        <v>1579</v>
      </c>
      <c r="B1580">
        <v>210000</v>
      </c>
      <c r="C1580">
        <v>2</v>
      </c>
      <c r="D1580">
        <v>1</v>
      </c>
      <c r="E1580">
        <v>1</v>
      </c>
      <c r="F1580">
        <v>36</v>
      </c>
      <c r="G1580">
        <v>1</v>
      </c>
      <c r="H1580">
        <v>-1</v>
      </c>
      <c r="I1580">
        <v>-1</v>
      </c>
      <c r="J1580">
        <v>-1</v>
      </c>
      <c r="K1580">
        <v>-1</v>
      </c>
      <c r="L1580">
        <v>-1</v>
      </c>
      <c r="M1580">
        <v>0</v>
      </c>
      <c r="N1580">
        <v>1690</v>
      </c>
      <c r="O1580">
        <v>0</v>
      </c>
      <c r="P1580">
        <v>5619</v>
      </c>
      <c r="Q1580">
        <v>4090</v>
      </c>
      <c r="R1580">
        <v>581</v>
      </c>
      <c r="S1580">
        <v>1690</v>
      </c>
      <c r="T1580">
        <v>0</v>
      </c>
      <c r="U1580">
        <v>5619</v>
      </c>
      <c r="V1580">
        <v>4090</v>
      </c>
      <c r="W1580">
        <v>581</v>
      </c>
      <c r="X1580">
        <v>0</v>
      </c>
      <c r="Y1580">
        <v>0</v>
      </c>
    </row>
    <row r="1581" spans="1:25" x14ac:dyDescent="0.3">
      <c r="A1581">
        <v>1580</v>
      </c>
      <c r="B1581">
        <v>120000</v>
      </c>
      <c r="C1581">
        <v>2</v>
      </c>
      <c r="D1581">
        <v>2</v>
      </c>
      <c r="E1581">
        <v>1</v>
      </c>
      <c r="F1581">
        <v>38</v>
      </c>
      <c r="G1581">
        <v>-1</v>
      </c>
      <c r="H1581">
        <v>-1</v>
      </c>
      <c r="I1581">
        <v>-1</v>
      </c>
      <c r="J1581">
        <v>-1</v>
      </c>
      <c r="K1581">
        <v>-1</v>
      </c>
      <c r="L1581">
        <v>-1</v>
      </c>
      <c r="M1581">
        <v>4100</v>
      </c>
      <c r="N1581">
        <v>7270</v>
      </c>
      <c r="O1581">
        <v>820</v>
      </c>
      <c r="P1581">
        <v>820</v>
      </c>
      <c r="Q1581">
        <v>2870</v>
      </c>
      <c r="R1581">
        <v>970</v>
      </c>
      <c r="S1581">
        <v>7270</v>
      </c>
      <c r="T1581">
        <v>820</v>
      </c>
      <c r="U1581">
        <v>820</v>
      </c>
      <c r="V1581">
        <v>2870</v>
      </c>
      <c r="W1581">
        <v>970</v>
      </c>
      <c r="X1581">
        <v>820</v>
      </c>
      <c r="Y1581">
        <v>0</v>
      </c>
    </row>
    <row r="1582" spans="1:25" x14ac:dyDescent="0.3">
      <c r="A1582">
        <v>1581</v>
      </c>
      <c r="B1582">
        <v>240000</v>
      </c>
      <c r="C1582">
        <v>2</v>
      </c>
      <c r="D1582">
        <v>2</v>
      </c>
      <c r="E1582">
        <v>1</v>
      </c>
      <c r="F1582">
        <v>42</v>
      </c>
      <c r="G1582">
        <v>0</v>
      </c>
      <c r="H1582">
        <v>0</v>
      </c>
      <c r="I1582">
        <v>0</v>
      </c>
      <c r="J1582">
        <v>2</v>
      </c>
      <c r="K1582">
        <v>0</v>
      </c>
      <c r="L1582">
        <v>0</v>
      </c>
      <c r="M1582">
        <v>21943</v>
      </c>
      <c r="N1582">
        <v>36519</v>
      </c>
      <c r="O1582">
        <v>55515</v>
      </c>
      <c r="P1582">
        <v>49049</v>
      </c>
      <c r="Q1582">
        <v>57178</v>
      </c>
      <c r="R1582">
        <v>42009</v>
      </c>
      <c r="S1582">
        <v>15000</v>
      </c>
      <c r="T1582">
        <v>20000</v>
      </c>
      <c r="U1582">
        <v>3330</v>
      </c>
      <c r="V1582">
        <v>30000</v>
      </c>
      <c r="W1582">
        <v>10000</v>
      </c>
      <c r="X1582">
        <v>10000</v>
      </c>
      <c r="Y1582">
        <v>0</v>
      </c>
    </row>
    <row r="1583" spans="1:25" x14ac:dyDescent="0.3">
      <c r="A1583">
        <v>1582</v>
      </c>
      <c r="B1583">
        <v>20000</v>
      </c>
      <c r="C1583">
        <v>1</v>
      </c>
      <c r="D1583">
        <v>3</v>
      </c>
      <c r="E1583">
        <v>3</v>
      </c>
      <c r="F1583">
        <v>47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18768</v>
      </c>
      <c r="N1583">
        <v>18795</v>
      </c>
      <c r="O1583">
        <v>19390</v>
      </c>
      <c r="P1583">
        <v>19464</v>
      </c>
      <c r="Q1583">
        <v>18126</v>
      </c>
      <c r="R1583">
        <v>18827</v>
      </c>
      <c r="S1583">
        <v>1400</v>
      </c>
      <c r="T1583">
        <v>1400</v>
      </c>
      <c r="U1583">
        <v>1000</v>
      </c>
      <c r="V1583">
        <v>700</v>
      </c>
      <c r="W1583">
        <v>1600</v>
      </c>
      <c r="X1583">
        <v>0</v>
      </c>
      <c r="Y1583">
        <v>0</v>
      </c>
    </row>
    <row r="1584" spans="1:25" x14ac:dyDescent="0.3">
      <c r="A1584">
        <v>1583</v>
      </c>
      <c r="B1584">
        <v>50000</v>
      </c>
      <c r="C1584">
        <v>2</v>
      </c>
      <c r="D1584">
        <v>3</v>
      </c>
      <c r="E1584">
        <v>2</v>
      </c>
      <c r="F1584">
        <v>40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5538</v>
      </c>
      <c r="N1584">
        <v>6563</v>
      </c>
      <c r="O1584">
        <v>7422</v>
      </c>
      <c r="P1584">
        <v>8292</v>
      </c>
      <c r="Q1584">
        <v>8465</v>
      </c>
      <c r="R1584">
        <v>8650</v>
      </c>
      <c r="S1584">
        <v>1271</v>
      </c>
      <c r="T1584">
        <v>1130</v>
      </c>
      <c r="U1584">
        <v>1000</v>
      </c>
      <c r="V1584">
        <v>307</v>
      </c>
      <c r="W1584">
        <v>325</v>
      </c>
      <c r="X1584">
        <v>436</v>
      </c>
      <c r="Y1584">
        <v>0</v>
      </c>
    </row>
    <row r="1585" spans="1:25" x14ac:dyDescent="0.3">
      <c r="A1585">
        <v>1584</v>
      </c>
      <c r="B1585">
        <v>50000</v>
      </c>
      <c r="C1585">
        <v>2</v>
      </c>
      <c r="D1585">
        <v>1</v>
      </c>
      <c r="E1585">
        <v>2</v>
      </c>
      <c r="F1585">
        <v>70</v>
      </c>
      <c r="G1585">
        <v>2</v>
      </c>
      <c r="H1585">
        <v>2</v>
      </c>
      <c r="I1585">
        <v>0</v>
      </c>
      <c r="J1585">
        <v>0</v>
      </c>
      <c r="K1585">
        <v>0</v>
      </c>
      <c r="L1585">
        <v>0</v>
      </c>
      <c r="M1585">
        <v>49546</v>
      </c>
      <c r="N1585">
        <v>48480</v>
      </c>
      <c r="O1585">
        <v>48621</v>
      </c>
      <c r="P1585">
        <v>17793</v>
      </c>
      <c r="Q1585">
        <v>18224</v>
      </c>
      <c r="R1585">
        <v>18612</v>
      </c>
      <c r="S1585">
        <v>0</v>
      </c>
      <c r="T1585">
        <v>2200</v>
      </c>
      <c r="U1585">
        <v>700</v>
      </c>
      <c r="V1585">
        <v>700</v>
      </c>
      <c r="W1585">
        <v>674</v>
      </c>
      <c r="X1585">
        <v>608</v>
      </c>
      <c r="Y1585">
        <v>0</v>
      </c>
    </row>
    <row r="1586" spans="1:25" x14ac:dyDescent="0.3">
      <c r="A1586">
        <v>1585</v>
      </c>
      <c r="B1586">
        <v>50000</v>
      </c>
      <c r="C1586">
        <v>2</v>
      </c>
      <c r="D1586">
        <v>2</v>
      </c>
      <c r="E1586">
        <v>1</v>
      </c>
      <c r="F1586">
        <v>32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48508</v>
      </c>
      <c r="N1586">
        <v>49213</v>
      </c>
      <c r="O1586">
        <v>38280</v>
      </c>
      <c r="P1586">
        <v>12305</v>
      </c>
      <c r="Q1586">
        <v>6436</v>
      </c>
      <c r="R1586">
        <v>0</v>
      </c>
      <c r="S1586">
        <v>3037</v>
      </c>
      <c r="T1586">
        <v>1800</v>
      </c>
      <c r="U1586">
        <v>1130</v>
      </c>
      <c r="V1586">
        <v>2000</v>
      </c>
      <c r="W1586">
        <v>0</v>
      </c>
      <c r="X1586">
        <v>0</v>
      </c>
      <c r="Y1586">
        <v>0</v>
      </c>
    </row>
    <row r="1587" spans="1:25" x14ac:dyDescent="0.3">
      <c r="A1587">
        <v>1586</v>
      </c>
      <c r="B1587">
        <v>100000</v>
      </c>
      <c r="C1587">
        <v>1</v>
      </c>
      <c r="D1587">
        <v>3</v>
      </c>
      <c r="E1587">
        <v>2</v>
      </c>
      <c r="F1587">
        <v>52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-1</v>
      </c>
      <c r="M1587">
        <v>73904</v>
      </c>
      <c r="N1587">
        <v>73249</v>
      </c>
      <c r="O1587">
        <v>12327</v>
      </c>
      <c r="P1587">
        <v>10793</v>
      </c>
      <c r="Q1587">
        <v>5309</v>
      </c>
      <c r="R1587">
        <v>900</v>
      </c>
      <c r="S1587">
        <v>2781</v>
      </c>
      <c r="T1587">
        <v>2101</v>
      </c>
      <c r="U1587">
        <v>216</v>
      </c>
      <c r="V1587">
        <v>0</v>
      </c>
      <c r="W1587">
        <v>900</v>
      </c>
      <c r="X1587">
        <v>500</v>
      </c>
      <c r="Y1587">
        <v>0</v>
      </c>
    </row>
    <row r="1588" spans="1:25" x14ac:dyDescent="0.3">
      <c r="A1588">
        <v>1587</v>
      </c>
      <c r="B1588">
        <v>390000</v>
      </c>
      <c r="C1588">
        <v>2</v>
      </c>
      <c r="D1588">
        <v>1</v>
      </c>
      <c r="E1588">
        <v>1</v>
      </c>
      <c r="F1588">
        <v>49</v>
      </c>
      <c r="G1588">
        <v>-1</v>
      </c>
      <c r="H1588">
        <v>-1</v>
      </c>
      <c r="I1588">
        <v>-1</v>
      </c>
      <c r="J1588">
        <v>-2</v>
      </c>
      <c r="K1588">
        <v>-2</v>
      </c>
      <c r="L1588">
        <v>-1</v>
      </c>
      <c r="M1588">
        <v>15026</v>
      </c>
      <c r="N1588">
        <v>13357</v>
      </c>
      <c r="O1588">
        <v>0</v>
      </c>
      <c r="P1588">
        <v>0</v>
      </c>
      <c r="Q1588">
        <v>0</v>
      </c>
      <c r="R1588">
        <v>100000</v>
      </c>
      <c r="S1588">
        <v>13357</v>
      </c>
      <c r="T1588">
        <v>0</v>
      </c>
      <c r="U1588">
        <v>0</v>
      </c>
      <c r="V1588">
        <v>0</v>
      </c>
      <c r="W1588">
        <v>100000</v>
      </c>
      <c r="X1588">
        <v>39268</v>
      </c>
      <c r="Y1588">
        <v>0</v>
      </c>
    </row>
    <row r="1589" spans="1:25" x14ac:dyDescent="0.3">
      <c r="A1589">
        <v>1588</v>
      </c>
      <c r="B1589">
        <v>550000</v>
      </c>
      <c r="C1589">
        <v>1</v>
      </c>
      <c r="D1589">
        <v>1</v>
      </c>
      <c r="E1589">
        <v>2</v>
      </c>
      <c r="F1589">
        <v>31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43769</v>
      </c>
      <c r="N1589">
        <v>38907</v>
      </c>
      <c r="O1589">
        <v>36111</v>
      </c>
      <c r="P1589">
        <v>32723</v>
      </c>
      <c r="Q1589">
        <v>26946</v>
      </c>
      <c r="R1589">
        <v>26439</v>
      </c>
      <c r="S1589">
        <v>2018</v>
      </c>
      <c r="T1589">
        <v>1520</v>
      </c>
      <c r="U1589">
        <v>1131</v>
      </c>
      <c r="V1589">
        <v>1005</v>
      </c>
      <c r="W1589">
        <v>1107</v>
      </c>
      <c r="X1589">
        <v>1019</v>
      </c>
      <c r="Y1589">
        <v>0</v>
      </c>
    </row>
    <row r="1590" spans="1:25" x14ac:dyDescent="0.3">
      <c r="A1590">
        <v>1589</v>
      </c>
      <c r="B1590">
        <v>450000</v>
      </c>
      <c r="C1590">
        <v>2</v>
      </c>
      <c r="D1590">
        <v>2</v>
      </c>
      <c r="E1590">
        <v>2</v>
      </c>
      <c r="F1590">
        <v>36</v>
      </c>
      <c r="G1590">
        <v>-1</v>
      </c>
      <c r="H1590">
        <v>-1</v>
      </c>
      <c r="I1590">
        <v>-1</v>
      </c>
      <c r="J1590">
        <v>-1</v>
      </c>
      <c r="K1590">
        <v>-1</v>
      </c>
      <c r="L1590">
        <v>-1</v>
      </c>
      <c r="M1590">
        <v>13500</v>
      </c>
      <c r="N1590">
        <v>6350</v>
      </c>
      <c r="O1590">
        <v>11670</v>
      </c>
      <c r="P1590">
        <v>1530</v>
      </c>
      <c r="Q1590">
        <v>1232</v>
      </c>
      <c r="R1590">
        <v>201</v>
      </c>
      <c r="S1590">
        <v>6364</v>
      </c>
      <c r="T1590">
        <v>11728</v>
      </c>
      <c r="U1590">
        <v>1532</v>
      </c>
      <c r="V1590">
        <v>1234</v>
      </c>
      <c r="W1590">
        <v>201</v>
      </c>
      <c r="X1590">
        <v>3</v>
      </c>
      <c r="Y1590">
        <v>0</v>
      </c>
    </row>
    <row r="1591" spans="1:25" x14ac:dyDescent="0.3">
      <c r="A1591">
        <v>1590</v>
      </c>
      <c r="B1591">
        <v>80000</v>
      </c>
      <c r="C1591">
        <v>2</v>
      </c>
      <c r="D1591">
        <v>2</v>
      </c>
      <c r="E1591">
        <v>1</v>
      </c>
      <c r="F1591">
        <v>50</v>
      </c>
      <c r="G1591">
        <v>-1</v>
      </c>
      <c r="H1591">
        <v>-1</v>
      </c>
      <c r="I1591">
        <v>-1</v>
      </c>
      <c r="J1591">
        <v>0</v>
      </c>
      <c r="K1591">
        <v>0</v>
      </c>
      <c r="L1591">
        <v>0</v>
      </c>
      <c r="M1591">
        <v>2587</v>
      </c>
      <c r="N1591">
        <v>2587</v>
      </c>
      <c r="O1591">
        <v>50097</v>
      </c>
      <c r="P1591">
        <v>48753</v>
      </c>
      <c r="Q1591">
        <v>50000</v>
      </c>
      <c r="R1591">
        <v>49209</v>
      </c>
      <c r="S1591">
        <v>2587</v>
      </c>
      <c r="T1591">
        <v>50097</v>
      </c>
      <c r="U1591">
        <v>2000</v>
      </c>
      <c r="V1591">
        <v>2000</v>
      </c>
      <c r="W1591">
        <v>1933</v>
      </c>
      <c r="X1591">
        <v>1700</v>
      </c>
      <c r="Y1591">
        <v>0</v>
      </c>
    </row>
    <row r="1592" spans="1:25" x14ac:dyDescent="0.3">
      <c r="A1592">
        <v>1591</v>
      </c>
      <c r="B1592">
        <v>50000</v>
      </c>
      <c r="C1592">
        <v>2</v>
      </c>
      <c r="D1592">
        <v>3</v>
      </c>
      <c r="E1592">
        <v>1</v>
      </c>
      <c r="F1592">
        <v>48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4064</v>
      </c>
      <c r="N1592">
        <v>5987</v>
      </c>
      <c r="O1592">
        <v>7719</v>
      </c>
      <c r="P1592">
        <v>8588</v>
      </c>
      <c r="Q1592">
        <v>9291</v>
      </c>
      <c r="R1592">
        <v>11127</v>
      </c>
      <c r="S1592">
        <v>2000</v>
      </c>
      <c r="T1592">
        <v>2000</v>
      </c>
      <c r="U1592">
        <v>1000</v>
      </c>
      <c r="V1592">
        <v>1000</v>
      </c>
      <c r="W1592">
        <v>2000</v>
      </c>
      <c r="X1592">
        <v>2000</v>
      </c>
      <c r="Y1592">
        <v>0</v>
      </c>
    </row>
    <row r="1593" spans="1:25" x14ac:dyDescent="0.3">
      <c r="A1593">
        <v>1592</v>
      </c>
      <c r="B1593">
        <v>50000</v>
      </c>
      <c r="C1593">
        <v>2</v>
      </c>
      <c r="D1593">
        <v>2</v>
      </c>
      <c r="E1593">
        <v>2</v>
      </c>
      <c r="F1593">
        <v>33</v>
      </c>
      <c r="G1593">
        <v>1</v>
      </c>
      <c r="H1593">
        <v>2</v>
      </c>
      <c r="I1593">
        <v>2</v>
      </c>
      <c r="J1593">
        <v>0</v>
      </c>
      <c r="K1593">
        <v>0</v>
      </c>
      <c r="L1593">
        <v>0</v>
      </c>
      <c r="M1593">
        <v>49617</v>
      </c>
      <c r="N1593">
        <v>50352</v>
      </c>
      <c r="O1593">
        <v>49243</v>
      </c>
      <c r="P1593">
        <v>49819</v>
      </c>
      <c r="Q1593">
        <v>19324</v>
      </c>
      <c r="R1593">
        <v>20103</v>
      </c>
      <c r="S1593">
        <v>1813</v>
      </c>
      <c r="T1593">
        <v>0</v>
      </c>
      <c r="U1593">
        <v>2169</v>
      </c>
      <c r="V1593">
        <v>702</v>
      </c>
      <c r="W1593">
        <v>1101</v>
      </c>
      <c r="X1593">
        <v>529</v>
      </c>
      <c r="Y1593">
        <v>0</v>
      </c>
    </row>
    <row r="1594" spans="1:25" x14ac:dyDescent="0.3">
      <c r="A1594">
        <v>1593</v>
      </c>
      <c r="B1594">
        <v>180000</v>
      </c>
      <c r="C1594">
        <v>1</v>
      </c>
      <c r="D1594">
        <v>2</v>
      </c>
      <c r="E1594">
        <v>1</v>
      </c>
      <c r="F1594">
        <v>44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70721</v>
      </c>
      <c r="N1594">
        <v>69994</v>
      </c>
      <c r="O1594">
        <v>70204</v>
      </c>
      <c r="P1594">
        <v>70238</v>
      </c>
      <c r="Q1594">
        <v>73296</v>
      </c>
      <c r="R1594">
        <v>73369</v>
      </c>
      <c r="S1594">
        <v>8000</v>
      </c>
      <c r="T1594">
        <v>3000</v>
      </c>
      <c r="U1594">
        <v>3000</v>
      </c>
      <c r="V1594">
        <v>5000</v>
      </c>
      <c r="W1594">
        <v>2595</v>
      </c>
      <c r="X1594">
        <v>3000</v>
      </c>
      <c r="Y1594">
        <v>0</v>
      </c>
    </row>
    <row r="1595" spans="1:25" x14ac:dyDescent="0.3">
      <c r="A1595">
        <v>1594</v>
      </c>
      <c r="B1595">
        <v>240000</v>
      </c>
      <c r="C1595">
        <v>1</v>
      </c>
      <c r="D1595">
        <v>1</v>
      </c>
      <c r="E1595">
        <v>2</v>
      </c>
      <c r="F1595">
        <v>35</v>
      </c>
      <c r="G1595">
        <v>-2</v>
      </c>
      <c r="H1595">
        <v>-2</v>
      </c>
      <c r="I1595">
        <v>-2</v>
      </c>
      <c r="J1595">
        <v>-2</v>
      </c>
      <c r="K1595">
        <v>-1</v>
      </c>
      <c r="L1595">
        <v>-1</v>
      </c>
      <c r="M1595">
        <v>15432</v>
      </c>
      <c r="N1595">
        <v>10835</v>
      </c>
      <c r="O1595">
        <v>22134</v>
      </c>
      <c r="P1595">
        <v>32823</v>
      </c>
      <c r="Q1595">
        <v>1897</v>
      </c>
      <c r="R1595">
        <v>5627</v>
      </c>
      <c r="S1595">
        <v>10851</v>
      </c>
      <c r="T1595">
        <v>22258</v>
      </c>
      <c r="U1595">
        <v>20076</v>
      </c>
      <c r="V1595">
        <v>2099</v>
      </c>
      <c r="W1595">
        <v>5827</v>
      </c>
      <c r="X1595">
        <v>0</v>
      </c>
      <c r="Y1595">
        <v>0</v>
      </c>
    </row>
    <row r="1596" spans="1:25" x14ac:dyDescent="0.3">
      <c r="A1596">
        <v>1595</v>
      </c>
      <c r="B1596">
        <v>320000</v>
      </c>
      <c r="C1596">
        <v>2</v>
      </c>
      <c r="D1596">
        <v>3</v>
      </c>
      <c r="E1596">
        <v>2</v>
      </c>
      <c r="F1596">
        <v>29</v>
      </c>
      <c r="G1596">
        <v>-1</v>
      </c>
      <c r="H1596">
        <v>-1</v>
      </c>
      <c r="I1596">
        <v>-1</v>
      </c>
      <c r="J1596">
        <v>-2</v>
      </c>
      <c r="K1596">
        <v>-2</v>
      </c>
      <c r="L1596">
        <v>-1</v>
      </c>
      <c r="M1596">
        <v>500</v>
      </c>
      <c r="N1596">
        <v>500</v>
      </c>
      <c r="O1596">
        <v>0</v>
      </c>
      <c r="P1596">
        <v>0</v>
      </c>
      <c r="Q1596">
        <v>0</v>
      </c>
      <c r="R1596">
        <v>2900</v>
      </c>
      <c r="S1596">
        <v>500</v>
      </c>
      <c r="T1596">
        <v>0</v>
      </c>
      <c r="U1596">
        <v>0</v>
      </c>
      <c r="V1596">
        <v>0</v>
      </c>
      <c r="W1596">
        <v>2900</v>
      </c>
      <c r="X1596">
        <v>0</v>
      </c>
      <c r="Y1596">
        <v>0</v>
      </c>
    </row>
    <row r="1597" spans="1:25" x14ac:dyDescent="0.3">
      <c r="A1597">
        <v>1596</v>
      </c>
      <c r="B1597">
        <v>480000</v>
      </c>
      <c r="C1597">
        <v>2</v>
      </c>
      <c r="D1597">
        <v>2</v>
      </c>
      <c r="E1597">
        <v>1</v>
      </c>
      <c r="F1597">
        <v>35</v>
      </c>
      <c r="G1597">
        <v>-1</v>
      </c>
      <c r="H1597">
        <v>2</v>
      </c>
      <c r="I1597">
        <v>-1</v>
      </c>
      <c r="J1597">
        <v>-1</v>
      </c>
      <c r="K1597">
        <v>2</v>
      </c>
      <c r="L1597">
        <v>0</v>
      </c>
      <c r="M1597">
        <v>18214</v>
      </c>
      <c r="N1597">
        <v>11031</v>
      </c>
      <c r="O1597">
        <v>182123</v>
      </c>
      <c r="P1597">
        <v>188956</v>
      </c>
      <c r="Q1597">
        <v>179179</v>
      </c>
      <c r="R1597">
        <v>181746</v>
      </c>
      <c r="S1597">
        <v>0</v>
      </c>
      <c r="T1597">
        <v>182123</v>
      </c>
      <c r="U1597">
        <v>12960</v>
      </c>
      <c r="V1597">
        <v>0</v>
      </c>
      <c r="W1597">
        <v>9000</v>
      </c>
      <c r="X1597">
        <v>50000</v>
      </c>
      <c r="Y1597">
        <v>0</v>
      </c>
    </row>
    <row r="1598" spans="1:25" x14ac:dyDescent="0.3">
      <c r="A1598">
        <v>1597</v>
      </c>
      <c r="B1598">
        <v>150000</v>
      </c>
      <c r="C1598">
        <v>2</v>
      </c>
      <c r="D1598">
        <v>2</v>
      </c>
      <c r="E1598">
        <v>1</v>
      </c>
      <c r="F1598">
        <v>37</v>
      </c>
      <c r="G1598">
        <v>-1</v>
      </c>
      <c r="H1598">
        <v>2</v>
      </c>
      <c r="I1598">
        <v>2</v>
      </c>
      <c r="J1598">
        <v>-2</v>
      </c>
      <c r="K1598">
        <v>-1</v>
      </c>
      <c r="L1598">
        <v>-1</v>
      </c>
      <c r="M1598">
        <v>1184</v>
      </c>
      <c r="N1598">
        <v>794</v>
      </c>
      <c r="O1598">
        <v>2756</v>
      </c>
      <c r="P1598">
        <v>0</v>
      </c>
      <c r="Q1598">
        <v>2430</v>
      </c>
      <c r="R1598">
        <v>4840</v>
      </c>
      <c r="S1598">
        <v>0</v>
      </c>
      <c r="T1598">
        <v>2772</v>
      </c>
      <c r="U1598">
        <v>0</v>
      </c>
      <c r="V1598">
        <v>2430</v>
      </c>
      <c r="W1598">
        <v>4844</v>
      </c>
      <c r="X1598">
        <v>0</v>
      </c>
      <c r="Y1598">
        <v>0</v>
      </c>
    </row>
    <row r="1599" spans="1:25" x14ac:dyDescent="0.3">
      <c r="A1599">
        <v>1598</v>
      </c>
      <c r="B1599">
        <v>110000</v>
      </c>
      <c r="C1599">
        <v>2</v>
      </c>
      <c r="D1599">
        <v>1</v>
      </c>
      <c r="E1599">
        <v>2</v>
      </c>
      <c r="F1599">
        <v>29</v>
      </c>
      <c r="G1599">
        <v>0</v>
      </c>
      <c r="H1599">
        <v>0</v>
      </c>
      <c r="I1599">
        <v>2</v>
      </c>
      <c r="J1599">
        <v>0</v>
      </c>
      <c r="K1599">
        <v>0</v>
      </c>
      <c r="L1599">
        <v>0</v>
      </c>
      <c r="M1599">
        <v>107195</v>
      </c>
      <c r="N1599">
        <v>109443</v>
      </c>
      <c r="O1599">
        <v>106637</v>
      </c>
      <c r="P1599">
        <v>106665</v>
      </c>
      <c r="Q1599">
        <v>92417</v>
      </c>
      <c r="R1599">
        <v>90730</v>
      </c>
      <c r="S1599">
        <v>7845</v>
      </c>
      <c r="T1599">
        <v>4000</v>
      </c>
      <c r="U1599">
        <v>4000</v>
      </c>
      <c r="V1599">
        <v>3500</v>
      </c>
      <c r="W1599">
        <v>9500</v>
      </c>
      <c r="X1599">
        <v>9600</v>
      </c>
      <c r="Y1599">
        <v>0</v>
      </c>
    </row>
    <row r="1600" spans="1:25" x14ac:dyDescent="0.3">
      <c r="A1600">
        <v>1599</v>
      </c>
      <c r="B1600">
        <v>240000</v>
      </c>
      <c r="C1600">
        <v>1</v>
      </c>
      <c r="D1600">
        <v>1</v>
      </c>
      <c r="E1600">
        <v>2</v>
      </c>
      <c r="F1600">
        <v>30</v>
      </c>
      <c r="G1600">
        <v>-1</v>
      </c>
      <c r="H1600">
        <v>-1</v>
      </c>
      <c r="I1600">
        <v>-1</v>
      </c>
      <c r="J1600">
        <v>0</v>
      </c>
      <c r="K1600">
        <v>0</v>
      </c>
      <c r="L1600">
        <v>0</v>
      </c>
      <c r="M1600">
        <v>7744</v>
      </c>
      <c r="N1600">
        <v>7284</v>
      </c>
      <c r="O1600">
        <v>11234</v>
      </c>
      <c r="P1600">
        <v>15214</v>
      </c>
      <c r="Q1600">
        <v>9107</v>
      </c>
      <c r="R1600">
        <v>5621</v>
      </c>
      <c r="S1600">
        <v>7305</v>
      </c>
      <c r="T1600">
        <v>11263</v>
      </c>
      <c r="U1600">
        <v>10018</v>
      </c>
      <c r="V1600">
        <v>21</v>
      </c>
      <c r="W1600">
        <v>3637</v>
      </c>
      <c r="X1600">
        <v>7008</v>
      </c>
      <c r="Y1600">
        <v>0</v>
      </c>
    </row>
    <row r="1601" spans="1:25" x14ac:dyDescent="0.3">
      <c r="A1601">
        <v>1600</v>
      </c>
      <c r="B1601">
        <v>50000</v>
      </c>
      <c r="C1601">
        <v>1</v>
      </c>
      <c r="D1601">
        <v>1</v>
      </c>
      <c r="E1601">
        <v>2</v>
      </c>
      <c r="F1601">
        <v>33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47853</v>
      </c>
      <c r="N1601">
        <v>49474</v>
      </c>
      <c r="O1601">
        <v>47822</v>
      </c>
      <c r="P1601">
        <v>8585</v>
      </c>
      <c r="Q1601">
        <v>8797</v>
      </c>
      <c r="R1601">
        <v>9001</v>
      </c>
      <c r="S1601">
        <v>2412</v>
      </c>
      <c r="T1601">
        <v>1500</v>
      </c>
      <c r="U1601">
        <v>500</v>
      </c>
      <c r="V1601">
        <v>500</v>
      </c>
      <c r="W1601">
        <v>500</v>
      </c>
      <c r="X1601">
        <v>490</v>
      </c>
      <c r="Y1601">
        <v>1</v>
      </c>
    </row>
    <row r="1602" spans="1:25" x14ac:dyDescent="0.3">
      <c r="A1602">
        <v>1601</v>
      </c>
      <c r="B1602">
        <v>120000</v>
      </c>
      <c r="C1602">
        <v>1</v>
      </c>
      <c r="D1602">
        <v>2</v>
      </c>
      <c r="E1602">
        <v>2</v>
      </c>
      <c r="F1602">
        <v>27</v>
      </c>
      <c r="G1602">
        <v>-1</v>
      </c>
      <c r="H1602">
        <v>-1</v>
      </c>
      <c r="I1602">
        <v>-1</v>
      </c>
      <c r="J1602">
        <v>-1</v>
      </c>
      <c r="K1602">
        <v>-1</v>
      </c>
      <c r="L1602">
        <v>-1</v>
      </c>
      <c r="M1602">
        <v>2474</v>
      </c>
      <c r="N1602">
        <v>2469</v>
      </c>
      <c r="O1602">
        <v>2439</v>
      </c>
      <c r="P1602">
        <v>2439</v>
      </c>
      <c r="Q1602">
        <v>2439</v>
      </c>
      <c r="R1602">
        <v>2116</v>
      </c>
      <c r="S1602">
        <v>2469</v>
      </c>
      <c r="T1602">
        <v>2439</v>
      </c>
      <c r="U1602">
        <v>2439</v>
      </c>
      <c r="V1602">
        <v>2439</v>
      </c>
      <c r="W1602">
        <v>2116</v>
      </c>
      <c r="X1602">
        <v>0</v>
      </c>
      <c r="Y1602">
        <v>0</v>
      </c>
    </row>
    <row r="1603" spans="1:25" x14ac:dyDescent="0.3">
      <c r="A1603">
        <v>1602</v>
      </c>
      <c r="B1603">
        <v>150000</v>
      </c>
      <c r="C1603">
        <v>2</v>
      </c>
      <c r="D1603">
        <v>1</v>
      </c>
      <c r="E1603">
        <v>1</v>
      </c>
      <c r="F1603">
        <v>31</v>
      </c>
      <c r="G1603">
        <v>1</v>
      </c>
      <c r="H1603">
        <v>-2</v>
      </c>
      <c r="I1603">
        <v>-2</v>
      </c>
      <c r="J1603">
        <v>-2</v>
      </c>
      <c r="K1603">
        <v>-2</v>
      </c>
      <c r="L1603">
        <v>-2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</row>
    <row r="1604" spans="1:25" x14ac:dyDescent="0.3">
      <c r="A1604">
        <v>1603</v>
      </c>
      <c r="B1604">
        <v>100000</v>
      </c>
      <c r="C1604">
        <v>2</v>
      </c>
      <c r="D1604">
        <v>3</v>
      </c>
      <c r="E1604">
        <v>2</v>
      </c>
      <c r="F1604">
        <v>53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101503</v>
      </c>
      <c r="N1604">
        <v>29880</v>
      </c>
      <c r="O1604">
        <v>31119</v>
      </c>
      <c r="P1604">
        <v>58653</v>
      </c>
      <c r="Q1604">
        <v>59477</v>
      </c>
      <c r="R1604">
        <v>60695</v>
      </c>
      <c r="S1604">
        <v>1538</v>
      </c>
      <c r="T1604">
        <v>1777</v>
      </c>
      <c r="U1604">
        <v>29103</v>
      </c>
      <c r="V1604">
        <v>2283</v>
      </c>
      <c r="W1604">
        <v>2334</v>
      </c>
      <c r="X1604">
        <v>2290</v>
      </c>
      <c r="Y1604">
        <v>0</v>
      </c>
    </row>
    <row r="1605" spans="1:25" x14ac:dyDescent="0.3">
      <c r="A1605">
        <v>1604</v>
      </c>
      <c r="B1605">
        <v>260000</v>
      </c>
      <c r="C1605">
        <v>2</v>
      </c>
      <c r="D1605">
        <v>2</v>
      </c>
      <c r="E1605">
        <v>2</v>
      </c>
      <c r="F1605">
        <v>38</v>
      </c>
      <c r="G1605">
        <v>-2</v>
      </c>
      <c r="H1605">
        <v>-2</v>
      </c>
      <c r="I1605">
        <v>-2</v>
      </c>
      <c r="J1605">
        <v>-2</v>
      </c>
      <c r="K1605">
        <v>-2</v>
      </c>
      <c r="L1605">
        <v>-2</v>
      </c>
      <c r="M1605">
        <v>-2</v>
      </c>
      <c r="N1605">
        <v>-2</v>
      </c>
      <c r="O1605">
        <v>725</v>
      </c>
      <c r="P1605">
        <v>2074</v>
      </c>
      <c r="Q1605">
        <v>0</v>
      </c>
      <c r="R1605">
        <v>585</v>
      </c>
      <c r="S1605">
        <v>0</v>
      </c>
      <c r="T1605">
        <v>727</v>
      </c>
      <c r="U1605">
        <v>2074</v>
      </c>
      <c r="V1605">
        <v>0</v>
      </c>
      <c r="W1605">
        <v>585</v>
      </c>
      <c r="X1605">
        <v>0</v>
      </c>
      <c r="Y1605">
        <v>0</v>
      </c>
    </row>
    <row r="1606" spans="1:25" x14ac:dyDescent="0.3">
      <c r="A1606">
        <v>1605</v>
      </c>
      <c r="B1606">
        <v>250000</v>
      </c>
      <c r="C1606">
        <v>2</v>
      </c>
      <c r="D1606">
        <v>2</v>
      </c>
      <c r="E1606">
        <v>2</v>
      </c>
      <c r="F1606">
        <v>26</v>
      </c>
      <c r="G1606">
        <v>-2</v>
      </c>
      <c r="H1606">
        <v>-2</v>
      </c>
      <c r="I1606">
        <v>-2</v>
      </c>
      <c r="J1606">
        <v>-2</v>
      </c>
      <c r="K1606">
        <v>-2</v>
      </c>
      <c r="L1606">
        <v>-2</v>
      </c>
      <c r="M1606">
        <v>16884</v>
      </c>
      <c r="N1606">
        <v>10397</v>
      </c>
      <c r="O1606">
        <v>5291</v>
      </c>
      <c r="P1606">
        <v>4671</v>
      </c>
      <c r="Q1606">
        <v>4400</v>
      </c>
      <c r="R1606">
        <v>6011</v>
      </c>
      <c r="S1606">
        <v>2000</v>
      </c>
      <c r="T1606">
        <v>1000</v>
      </c>
      <c r="U1606">
        <v>1010</v>
      </c>
      <c r="V1606">
        <v>2000</v>
      </c>
      <c r="W1606">
        <v>6011</v>
      </c>
      <c r="X1606">
        <v>2325</v>
      </c>
      <c r="Y1606">
        <v>0</v>
      </c>
    </row>
    <row r="1607" spans="1:25" x14ac:dyDescent="0.3">
      <c r="A1607">
        <v>1606</v>
      </c>
      <c r="B1607">
        <v>100000</v>
      </c>
      <c r="C1607">
        <v>2</v>
      </c>
      <c r="D1607">
        <v>2</v>
      </c>
      <c r="E1607">
        <v>2</v>
      </c>
      <c r="F1607">
        <v>26</v>
      </c>
      <c r="G1607">
        <v>0</v>
      </c>
      <c r="H1607">
        <v>0</v>
      </c>
      <c r="I1607">
        <v>-2</v>
      </c>
      <c r="J1607">
        <v>-2</v>
      </c>
      <c r="K1607">
        <v>-2</v>
      </c>
      <c r="L1607">
        <v>-1</v>
      </c>
      <c r="M1607">
        <v>9614</v>
      </c>
      <c r="N1607">
        <v>0</v>
      </c>
      <c r="O1607">
        <v>0</v>
      </c>
      <c r="P1607">
        <v>0</v>
      </c>
      <c r="Q1607">
        <v>0</v>
      </c>
      <c r="R1607">
        <v>16708</v>
      </c>
      <c r="S1607">
        <v>0</v>
      </c>
      <c r="T1607">
        <v>0</v>
      </c>
      <c r="U1607">
        <v>0</v>
      </c>
      <c r="V1607">
        <v>0</v>
      </c>
      <c r="W1607">
        <v>16708</v>
      </c>
      <c r="X1607">
        <v>2000</v>
      </c>
      <c r="Y1607">
        <v>0</v>
      </c>
    </row>
    <row r="1608" spans="1:25" x14ac:dyDescent="0.3">
      <c r="A1608">
        <v>1607</v>
      </c>
      <c r="B1608">
        <v>160000</v>
      </c>
      <c r="C1608">
        <v>1</v>
      </c>
      <c r="D1608">
        <v>1</v>
      </c>
      <c r="E1608">
        <v>1</v>
      </c>
      <c r="F1608">
        <v>51</v>
      </c>
      <c r="G1608">
        <v>2</v>
      </c>
      <c r="H1608">
        <v>3</v>
      </c>
      <c r="I1608">
        <v>2</v>
      </c>
      <c r="J1608">
        <v>0</v>
      </c>
      <c r="K1608">
        <v>0</v>
      </c>
      <c r="L1608">
        <v>0</v>
      </c>
      <c r="M1608">
        <v>79244</v>
      </c>
      <c r="N1608">
        <v>77441</v>
      </c>
      <c r="O1608">
        <v>75598</v>
      </c>
      <c r="P1608">
        <v>82277</v>
      </c>
      <c r="Q1608">
        <v>84955</v>
      </c>
      <c r="R1608">
        <v>87549</v>
      </c>
      <c r="S1608">
        <v>0</v>
      </c>
      <c r="T1608">
        <v>0</v>
      </c>
      <c r="U1608">
        <v>8000</v>
      </c>
      <c r="V1608">
        <v>4000</v>
      </c>
      <c r="W1608">
        <v>4000</v>
      </c>
      <c r="X1608">
        <v>4000</v>
      </c>
      <c r="Y1608">
        <v>1</v>
      </c>
    </row>
    <row r="1609" spans="1:25" x14ac:dyDescent="0.3">
      <c r="A1609">
        <v>1608</v>
      </c>
      <c r="B1609">
        <v>270000</v>
      </c>
      <c r="C1609">
        <v>2</v>
      </c>
      <c r="D1609">
        <v>1</v>
      </c>
      <c r="E1609">
        <v>1</v>
      </c>
      <c r="F1609">
        <v>37</v>
      </c>
      <c r="G1609">
        <v>-1</v>
      </c>
      <c r="H1609">
        <v>-1</v>
      </c>
      <c r="I1609">
        <v>-1</v>
      </c>
      <c r="J1609">
        <v>-1</v>
      </c>
      <c r="K1609">
        <v>-1</v>
      </c>
      <c r="L1609">
        <v>-1</v>
      </c>
      <c r="M1609">
        <v>264</v>
      </c>
      <c r="N1609">
        <v>264</v>
      </c>
      <c r="O1609">
        <v>1191</v>
      </c>
      <c r="P1609">
        <v>3691</v>
      </c>
      <c r="Q1609">
        <v>3445</v>
      </c>
      <c r="R1609">
        <v>56264</v>
      </c>
      <c r="S1609">
        <v>264</v>
      </c>
      <c r="T1609">
        <v>1191</v>
      </c>
      <c r="U1609">
        <v>3691</v>
      </c>
      <c r="V1609">
        <v>3445</v>
      </c>
      <c r="W1609">
        <v>56264</v>
      </c>
      <c r="X1609">
        <v>953</v>
      </c>
      <c r="Y1609">
        <v>1</v>
      </c>
    </row>
    <row r="1610" spans="1:25" x14ac:dyDescent="0.3">
      <c r="A1610">
        <v>1609</v>
      </c>
      <c r="B1610">
        <v>390000</v>
      </c>
      <c r="C1610">
        <v>2</v>
      </c>
      <c r="D1610">
        <v>2</v>
      </c>
      <c r="E1610">
        <v>2</v>
      </c>
      <c r="F1610">
        <v>42</v>
      </c>
      <c r="G1610">
        <v>-1</v>
      </c>
      <c r="H1610">
        <v>-1</v>
      </c>
      <c r="I1610">
        <v>0</v>
      </c>
      <c r="J1610">
        <v>0</v>
      </c>
      <c r="K1610">
        <v>0</v>
      </c>
      <c r="L1610">
        <v>0</v>
      </c>
      <c r="M1610">
        <v>5895</v>
      </c>
      <c r="N1610">
        <v>42006</v>
      </c>
      <c r="O1610">
        <v>31192</v>
      </c>
      <c r="P1610">
        <v>13859</v>
      </c>
      <c r="Q1610">
        <v>10078</v>
      </c>
      <c r="R1610">
        <v>4635</v>
      </c>
      <c r="S1610">
        <v>42016</v>
      </c>
      <c r="T1610">
        <v>1397</v>
      </c>
      <c r="U1610">
        <v>347</v>
      </c>
      <c r="V1610">
        <v>250</v>
      </c>
      <c r="W1610">
        <v>145</v>
      </c>
      <c r="X1610">
        <v>94</v>
      </c>
      <c r="Y1610">
        <v>0</v>
      </c>
    </row>
    <row r="1611" spans="1:25" x14ac:dyDescent="0.3">
      <c r="A1611">
        <v>1610</v>
      </c>
      <c r="B1611">
        <v>210000</v>
      </c>
      <c r="C1611">
        <v>2</v>
      </c>
      <c r="D1611">
        <v>2</v>
      </c>
      <c r="E1611">
        <v>1</v>
      </c>
      <c r="F1611">
        <v>43</v>
      </c>
      <c r="G1611">
        <v>0</v>
      </c>
      <c r="H1611">
        <v>0</v>
      </c>
      <c r="I1611">
        <v>0</v>
      </c>
      <c r="J1611">
        <v>0</v>
      </c>
      <c r="K1611">
        <v>2</v>
      </c>
      <c r="L1611">
        <v>0</v>
      </c>
      <c r="M1611">
        <v>80527</v>
      </c>
      <c r="N1611">
        <v>82332</v>
      </c>
      <c r="O1611">
        <v>84043</v>
      </c>
      <c r="P1611">
        <v>88508</v>
      </c>
      <c r="Q1611">
        <v>85802</v>
      </c>
      <c r="R1611">
        <v>85280</v>
      </c>
      <c r="S1611">
        <v>4000</v>
      </c>
      <c r="T1611">
        <v>4000</v>
      </c>
      <c r="U1611">
        <v>7000</v>
      </c>
      <c r="V1611">
        <v>0</v>
      </c>
      <c r="W1611">
        <v>3500</v>
      </c>
      <c r="X1611">
        <v>7000</v>
      </c>
      <c r="Y1611">
        <v>0</v>
      </c>
    </row>
    <row r="1612" spans="1:25" x14ac:dyDescent="0.3">
      <c r="A1612">
        <v>1611</v>
      </c>
      <c r="B1612">
        <v>30000</v>
      </c>
      <c r="C1612">
        <v>2</v>
      </c>
      <c r="D1612">
        <v>2</v>
      </c>
      <c r="E1612">
        <v>2</v>
      </c>
      <c r="F1612">
        <v>23</v>
      </c>
      <c r="G1612">
        <v>0</v>
      </c>
      <c r="H1612">
        <v>0</v>
      </c>
      <c r="I1612">
        <v>0</v>
      </c>
      <c r="J1612">
        <v>2</v>
      </c>
      <c r="K1612">
        <v>0</v>
      </c>
      <c r="L1612">
        <v>0</v>
      </c>
      <c r="M1612">
        <v>24285</v>
      </c>
      <c r="N1612">
        <v>26143</v>
      </c>
      <c r="O1612">
        <v>26929</v>
      </c>
      <c r="P1612">
        <v>19610</v>
      </c>
      <c r="Q1612">
        <v>20591</v>
      </c>
      <c r="R1612">
        <v>19472</v>
      </c>
      <c r="S1612">
        <v>3002</v>
      </c>
      <c r="T1612">
        <v>2130</v>
      </c>
      <c r="U1612">
        <v>2</v>
      </c>
      <c r="V1612">
        <v>3004</v>
      </c>
      <c r="W1612">
        <v>8013</v>
      </c>
      <c r="X1612">
        <v>0</v>
      </c>
      <c r="Y1612">
        <v>0</v>
      </c>
    </row>
    <row r="1613" spans="1:25" x14ac:dyDescent="0.3">
      <c r="A1613">
        <v>1612</v>
      </c>
      <c r="B1613">
        <v>300000</v>
      </c>
      <c r="C1613">
        <v>2</v>
      </c>
      <c r="D1613">
        <v>3</v>
      </c>
      <c r="E1613">
        <v>1</v>
      </c>
      <c r="F1613">
        <v>30</v>
      </c>
      <c r="G1613">
        <v>-1</v>
      </c>
      <c r="H1613">
        <v>-1</v>
      </c>
      <c r="I1613">
        <v>0</v>
      </c>
      <c r="J1613">
        <v>0</v>
      </c>
      <c r="K1613">
        <v>-1</v>
      </c>
      <c r="L1613">
        <v>-1</v>
      </c>
      <c r="M1613">
        <v>12090</v>
      </c>
      <c r="N1613">
        <v>15035</v>
      </c>
      <c r="O1613">
        <v>25895</v>
      </c>
      <c r="P1613">
        <v>16416</v>
      </c>
      <c r="Q1613">
        <v>3972</v>
      </c>
      <c r="R1613">
        <v>2200</v>
      </c>
      <c r="S1613">
        <v>15042</v>
      </c>
      <c r="T1613">
        <v>25500</v>
      </c>
      <c r="U1613">
        <v>6000</v>
      </c>
      <c r="V1613">
        <v>3972</v>
      </c>
      <c r="W1613">
        <v>2200</v>
      </c>
      <c r="X1613">
        <v>0</v>
      </c>
      <c r="Y1613">
        <v>0</v>
      </c>
    </row>
    <row r="1614" spans="1:25" x14ac:dyDescent="0.3">
      <c r="A1614">
        <v>1613</v>
      </c>
      <c r="B1614">
        <v>190000</v>
      </c>
      <c r="C1614">
        <v>2</v>
      </c>
      <c r="D1614">
        <v>3</v>
      </c>
      <c r="E1614">
        <v>1</v>
      </c>
      <c r="F1614">
        <v>38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89619</v>
      </c>
      <c r="N1614">
        <v>103095</v>
      </c>
      <c r="O1614">
        <v>110000</v>
      </c>
      <c r="P1614">
        <v>115674</v>
      </c>
      <c r="Q1614">
        <v>121313</v>
      </c>
      <c r="R1614">
        <v>15538</v>
      </c>
      <c r="S1614">
        <v>15000</v>
      </c>
      <c r="T1614">
        <v>10000</v>
      </c>
      <c r="U1614">
        <v>5674</v>
      </c>
      <c r="V1614">
        <v>11313</v>
      </c>
      <c r="W1614">
        <v>5538</v>
      </c>
      <c r="X1614">
        <v>18272</v>
      </c>
      <c r="Y1614">
        <v>0</v>
      </c>
    </row>
    <row r="1615" spans="1:25" x14ac:dyDescent="0.3">
      <c r="A1615">
        <v>1614</v>
      </c>
      <c r="B1615">
        <v>130000</v>
      </c>
      <c r="C1615">
        <v>2</v>
      </c>
      <c r="D1615">
        <v>1</v>
      </c>
      <c r="E1615">
        <v>1</v>
      </c>
      <c r="F1615">
        <v>35</v>
      </c>
      <c r="G1615">
        <v>-1</v>
      </c>
      <c r="H1615">
        <v>-1</v>
      </c>
      <c r="I1615">
        <v>-1</v>
      </c>
      <c r="J1615">
        <v>-1</v>
      </c>
      <c r="K1615">
        <v>-1</v>
      </c>
      <c r="L1615">
        <v>-1</v>
      </c>
      <c r="M1615">
        <v>6348</v>
      </c>
      <c r="N1615">
        <v>321</v>
      </c>
      <c r="O1615">
        <v>321</v>
      </c>
      <c r="P1615">
        <v>0</v>
      </c>
      <c r="Q1615">
        <v>321</v>
      </c>
      <c r="R1615">
        <v>0</v>
      </c>
      <c r="S1615">
        <v>321</v>
      </c>
      <c r="T1615">
        <v>321</v>
      </c>
      <c r="U1615">
        <v>0</v>
      </c>
      <c r="V1615">
        <v>321</v>
      </c>
      <c r="W1615">
        <v>0</v>
      </c>
      <c r="X1615">
        <v>0</v>
      </c>
      <c r="Y1615">
        <v>1</v>
      </c>
    </row>
    <row r="1616" spans="1:25" x14ac:dyDescent="0.3">
      <c r="A1616">
        <v>1615</v>
      </c>
      <c r="B1616">
        <v>360000</v>
      </c>
      <c r="C1616">
        <v>1</v>
      </c>
      <c r="D1616">
        <v>2</v>
      </c>
      <c r="E1616">
        <v>1</v>
      </c>
      <c r="F1616">
        <v>44</v>
      </c>
      <c r="G1616">
        <v>0</v>
      </c>
      <c r="H1616">
        <v>0</v>
      </c>
      <c r="I1616">
        <v>0</v>
      </c>
      <c r="J1616">
        <v>0</v>
      </c>
      <c r="K1616">
        <v>2</v>
      </c>
      <c r="L1616">
        <v>0</v>
      </c>
      <c r="M1616">
        <v>270248</v>
      </c>
      <c r="N1616">
        <v>138566</v>
      </c>
      <c r="O1616">
        <v>142337</v>
      </c>
      <c r="P1616">
        <v>149758</v>
      </c>
      <c r="Q1616">
        <v>147152</v>
      </c>
      <c r="R1616">
        <v>149460</v>
      </c>
      <c r="S1616">
        <v>5000</v>
      </c>
      <c r="T1616">
        <v>5000</v>
      </c>
      <c r="U1616">
        <v>8600</v>
      </c>
      <c r="V1616">
        <v>0</v>
      </c>
      <c r="W1616">
        <v>5000</v>
      </c>
      <c r="X1616">
        <v>5000</v>
      </c>
      <c r="Y1616">
        <v>0</v>
      </c>
    </row>
    <row r="1617" spans="1:25" x14ac:dyDescent="0.3">
      <c r="A1617">
        <v>1616</v>
      </c>
      <c r="B1617">
        <v>320000</v>
      </c>
      <c r="C1617">
        <v>1</v>
      </c>
      <c r="D1617">
        <v>1</v>
      </c>
      <c r="E1617">
        <v>1</v>
      </c>
      <c r="F1617">
        <v>35</v>
      </c>
      <c r="G1617">
        <v>1</v>
      </c>
      <c r="H1617">
        <v>-2</v>
      </c>
      <c r="I1617">
        <v>-2</v>
      </c>
      <c r="J1617">
        <v>-2</v>
      </c>
      <c r="K1617">
        <v>-2</v>
      </c>
      <c r="L1617">
        <v>-2</v>
      </c>
      <c r="M1617">
        <v>291</v>
      </c>
      <c r="N1617">
        <v>2594</v>
      </c>
      <c r="O1617">
        <v>2691</v>
      </c>
      <c r="P1617">
        <v>291</v>
      </c>
      <c r="Q1617">
        <v>291</v>
      </c>
      <c r="R1617">
        <v>291</v>
      </c>
      <c r="S1617">
        <v>2594</v>
      </c>
      <c r="T1617">
        <v>2691</v>
      </c>
      <c r="U1617">
        <v>291</v>
      </c>
      <c r="V1617">
        <v>291</v>
      </c>
      <c r="W1617">
        <v>291</v>
      </c>
      <c r="X1617">
        <v>3124</v>
      </c>
      <c r="Y1617">
        <v>1</v>
      </c>
    </row>
    <row r="1618" spans="1:25" x14ac:dyDescent="0.3">
      <c r="A1618">
        <v>1617</v>
      </c>
      <c r="B1618">
        <v>20000</v>
      </c>
      <c r="C1618">
        <v>1</v>
      </c>
      <c r="D1618">
        <v>2</v>
      </c>
      <c r="E1618">
        <v>3</v>
      </c>
      <c r="F1618">
        <v>35</v>
      </c>
      <c r="G1618">
        <v>1</v>
      </c>
      <c r="H1618">
        <v>-2</v>
      </c>
      <c r="I1618">
        <v>-2</v>
      </c>
      <c r="J1618">
        <v>-2</v>
      </c>
      <c r="K1618">
        <v>-2</v>
      </c>
      <c r="L1618">
        <v>-2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</row>
    <row r="1619" spans="1:25" x14ac:dyDescent="0.3">
      <c r="A1619">
        <v>1618</v>
      </c>
      <c r="B1619">
        <v>360000</v>
      </c>
      <c r="C1619">
        <v>1</v>
      </c>
      <c r="D1619">
        <v>1</v>
      </c>
      <c r="E1619">
        <v>1</v>
      </c>
      <c r="F1619">
        <v>32</v>
      </c>
      <c r="G1619">
        <v>-2</v>
      </c>
      <c r="H1619">
        <v>-2</v>
      </c>
      <c r="I1619">
        <v>-2</v>
      </c>
      <c r="J1619">
        <v>-2</v>
      </c>
      <c r="K1619">
        <v>-2</v>
      </c>
      <c r="L1619">
        <v>-2</v>
      </c>
      <c r="M1619">
        <v>10729</v>
      </c>
      <c r="N1619">
        <v>2523</v>
      </c>
      <c r="O1619">
        <v>-2</v>
      </c>
      <c r="P1619">
        <v>-2</v>
      </c>
      <c r="Q1619">
        <v>-2</v>
      </c>
      <c r="R1619">
        <v>-2</v>
      </c>
      <c r="S1619">
        <v>2535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</row>
    <row r="1620" spans="1:25" x14ac:dyDescent="0.3">
      <c r="A1620">
        <v>1619</v>
      </c>
      <c r="B1620">
        <v>190000</v>
      </c>
      <c r="C1620">
        <v>2</v>
      </c>
      <c r="D1620">
        <v>2</v>
      </c>
      <c r="E1620">
        <v>2</v>
      </c>
      <c r="F1620">
        <v>25</v>
      </c>
      <c r="G1620">
        <v>0</v>
      </c>
      <c r="H1620">
        <v>0</v>
      </c>
      <c r="I1620">
        <v>0</v>
      </c>
      <c r="J1620">
        <v>0</v>
      </c>
      <c r="K1620">
        <v>-1</v>
      </c>
      <c r="L1620">
        <v>0</v>
      </c>
      <c r="M1620">
        <v>110031</v>
      </c>
      <c r="N1620">
        <v>105500</v>
      </c>
      <c r="O1620">
        <v>104430</v>
      </c>
      <c r="P1620">
        <v>93</v>
      </c>
      <c r="Q1620">
        <v>158481</v>
      </c>
      <c r="R1620">
        <v>161866</v>
      </c>
      <c r="S1620">
        <v>8614</v>
      </c>
      <c r="T1620">
        <v>5000</v>
      </c>
      <c r="U1620">
        <v>93</v>
      </c>
      <c r="V1620">
        <v>159212</v>
      </c>
      <c r="W1620">
        <v>5800</v>
      </c>
      <c r="X1620">
        <v>5500</v>
      </c>
      <c r="Y1620">
        <v>0</v>
      </c>
    </row>
    <row r="1621" spans="1:25" x14ac:dyDescent="0.3">
      <c r="A1621">
        <v>1620</v>
      </c>
      <c r="B1621">
        <v>90000</v>
      </c>
      <c r="C1621">
        <v>2</v>
      </c>
      <c r="D1621">
        <v>2</v>
      </c>
      <c r="E1621">
        <v>2</v>
      </c>
      <c r="F1621">
        <v>33</v>
      </c>
      <c r="G1621">
        <v>0</v>
      </c>
      <c r="H1621">
        <v>0</v>
      </c>
      <c r="I1621">
        <v>-1</v>
      </c>
      <c r="J1621">
        <v>-1</v>
      </c>
      <c r="K1621">
        <v>0</v>
      </c>
      <c r="L1621">
        <v>0</v>
      </c>
      <c r="M1621">
        <v>63626</v>
      </c>
      <c r="N1621">
        <v>1788</v>
      </c>
      <c r="O1621">
        <v>1988</v>
      </c>
      <c r="P1621">
        <v>55970</v>
      </c>
      <c r="Q1621">
        <v>59612</v>
      </c>
      <c r="R1621">
        <v>40281</v>
      </c>
      <c r="S1621">
        <v>1000</v>
      </c>
      <c r="T1621">
        <v>2000</v>
      </c>
      <c r="U1621">
        <v>61000</v>
      </c>
      <c r="V1621">
        <v>5000</v>
      </c>
      <c r="W1621">
        <v>1800</v>
      </c>
      <c r="X1621">
        <v>1200</v>
      </c>
      <c r="Y1621">
        <v>1</v>
      </c>
    </row>
    <row r="1622" spans="1:25" x14ac:dyDescent="0.3">
      <c r="A1622">
        <v>1621</v>
      </c>
      <c r="B1622">
        <v>30000</v>
      </c>
      <c r="C1622">
        <v>2</v>
      </c>
      <c r="D1622">
        <v>1</v>
      </c>
      <c r="E1622">
        <v>2</v>
      </c>
      <c r="F1622">
        <v>26</v>
      </c>
      <c r="G1622">
        <v>-1</v>
      </c>
      <c r="H1622">
        <v>-1</v>
      </c>
      <c r="I1622">
        <v>-1</v>
      </c>
      <c r="J1622">
        <v>-1</v>
      </c>
      <c r="K1622">
        <v>-1</v>
      </c>
      <c r="L1622">
        <v>2</v>
      </c>
      <c r="M1622">
        <v>2635</v>
      </c>
      <c r="N1622">
        <v>807</v>
      </c>
      <c r="O1622">
        <v>11428</v>
      </c>
      <c r="P1622">
        <v>2462</v>
      </c>
      <c r="Q1622">
        <v>3605</v>
      </c>
      <c r="R1622">
        <v>1559</v>
      </c>
      <c r="S1622">
        <v>1270</v>
      </c>
      <c r="T1622">
        <v>11500</v>
      </c>
      <c r="U1622">
        <v>2462</v>
      </c>
      <c r="V1622">
        <v>1559</v>
      </c>
      <c r="W1622">
        <v>0</v>
      </c>
      <c r="X1622">
        <v>3192</v>
      </c>
      <c r="Y1622">
        <v>0</v>
      </c>
    </row>
    <row r="1623" spans="1:25" x14ac:dyDescent="0.3">
      <c r="A1623">
        <v>1622</v>
      </c>
      <c r="B1623">
        <v>240000</v>
      </c>
      <c r="C1623">
        <v>1</v>
      </c>
      <c r="D1623">
        <v>1</v>
      </c>
      <c r="E1623">
        <v>2</v>
      </c>
      <c r="F1623">
        <v>29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240248</v>
      </c>
      <c r="N1623">
        <v>221277</v>
      </c>
      <c r="O1623">
        <v>201606</v>
      </c>
      <c r="P1623">
        <v>183454</v>
      </c>
      <c r="Q1623">
        <v>180255</v>
      </c>
      <c r="R1623">
        <v>184230</v>
      </c>
      <c r="S1623">
        <v>11000</v>
      </c>
      <c r="T1623">
        <v>9100</v>
      </c>
      <c r="U1623">
        <v>8000</v>
      </c>
      <c r="V1623">
        <v>8000</v>
      </c>
      <c r="W1623">
        <v>7000</v>
      </c>
      <c r="X1623">
        <v>8000</v>
      </c>
      <c r="Y1623">
        <v>0</v>
      </c>
    </row>
    <row r="1624" spans="1:25" x14ac:dyDescent="0.3">
      <c r="A1624">
        <v>1623</v>
      </c>
      <c r="B1624">
        <v>40000</v>
      </c>
      <c r="C1624">
        <v>2</v>
      </c>
      <c r="D1624">
        <v>1</v>
      </c>
      <c r="E1624">
        <v>2</v>
      </c>
      <c r="F1624">
        <v>26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12308</v>
      </c>
      <c r="N1624">
        <v>13604</v>
      </c>
      <c r="O1624">
        <v>14873</v>
      </c>
      <c r="P1624">
        <v>15624</v>
      </c>
      <c r="Q1624">
        <v>15972</v>
      </c>
      <c r="R1624">
        <v>16308</v>
      </c>
      <c r="S1624">
        <v>1500</v>
      </c>
      <c r="T1624">
        <v>1500</v>
      </c>
      <c r="U1624">
        <v>1000</v>
      </c>
      <c r="V1624">
        <v>600</v>
      </c>
      <c r="W1624">
        <v>600</v>
      </c>
      <c r="X1624">
        <v>1700</v>
      </c>
      <c r="Y1624">
        <v>0</v>
      </c>
    </row>
    <row r="1625" spans="1:25" x14ac:dyDescent="0.3">
      <c r="A1625">
        <v>1624</v>
      </c>
      <c r="B1625">
        <v>170000</v>
      </c>
      <c r="C1625">
        <v>1</v>
      </c>
      <c r="D1625">
        <v>2</v>
      </c>
      <c r="E1625">
        <v>2</v>
      </c>
      <c r="F1625">
        <v>36</v>
      </c>
      <c r="G1625">
        <v>-1</v>
      </c>
      <c r="H1625">
        <v>-1</v>
      </c>
      <c r="I1625">
        <v>-1</v>
      </c>
      <c r="J1625">
        <v>-1</v>
      </c>
      <c r="K1625">
        <v>-1</v>
      </c>
      <c r="L1625">
        <v>-1</v>
      </c>
      <c r="M1625">
        <v>2104</v>
      </c>
      <c r="N1625">
        <v>2074</v>
      </c>
      <c r="O1625">
        <v>10719</v>
      </c>
      <c r="P1625">
        <v>12654</v>
      </c>
      <c r="Q1625">
        <v>25784</v>
      </c>
      <c r="R1625">
        <v>19950</v>
      </c>
      <c r="S1625">
        <v>2081</v>
      </c>
      <c r="T1625">
        <v>10725</v>
      </c>
      <c r="U1625">
        <v>12654</v>
      </c>
      <c r="V1625">
        <v>25784</v>
      </c>
      <c r="W1625">
        <v>19950</v>
      </c>
      <c r="X1625">
        <v>200</v>
      </c>
      <c r="Y1625">
        <v>0</v>
      </c>
    </row>
    <row r="1626" spans="1:25" x14ac:dyDescent="0.3">
      <c r="A1626">
        <v>1625</v>
      </c>
      <c r="B1626">
        <v>180000</v>
      </c>
      <c r="C1626">
        <v>1</v>
      </c>
      <c r="D1626">
        <v>1</v>
      </c>
      <c r="E1626">
        <v>2</v>
      </c>
      <c r="F1626">
        <v>37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22121</v>
      </c>
      <c r="N1626">
        <v>31681</v>
      </c>
      <c r="O1626">
        <v>32552</v>
      </c>
      <c r="P1626">
        <v>34004</v>
      </c>
      <c r="Q1626">
        <v>35792</v>
      </c>
      <c r="R1626">
        <v>36645</v>
      </c>
      <c r="S1626">
        <v>10000</v>
      </c>
      <c r="T1626">
        <v>1700</v>
      </c>
      <c r="U1626">
        <v>2000</v>
      </c>
      <c r="V1626">
        <v>2500</v>
      </c>
      <c r="W1626">
        <v>1600</v>
      </c>
      <c r="X1626">
        <v>2000</v>
      </c>
      <c r="Y1626">
        <v>0</v>
      </c>
    </row>
    <row r="1627" spans="1:25" x14ac:dyDescent="0.3">
      <c r="A1627">
        <v>1626</v>
      </c>
      <c r="B1627">
        <v>20000</v>
      </c>
      <c r="C1627">
        <v>1</v>
      </c>
      <c r="D1627">
        <v>3</v>
      </c>
      <c r="E1627">
        <v>1</v>
      </c>
      <c r="F1627">
        <v>63</v>
      </c>
      <c r="G1627">
        <v>2</v>
      </c>
      <c r="H1627">
        <v>2</v>
      </c>
      <c r="I1627">
        <v>2</v>
      </c>
      <c r="J1627">
        <v>2</v>
      </c>
      <c r="K1627">
        <v>2</v>
      </c>
      <c r="L1627">
        <v>0</v>
      </c>
      <c r="M1627">
        <v>16097</v>
      </c>
      <c r="N1627">
        <v>16951</v>
      </c>
      <c r="O1627">
        <v>17090</v>
      </c>
      <c r="P1627">
        <v>17128</v>
      </c>
      <c r="Q1627">
        <v>16725</v>
      </c>
      <c r="R1627">
        <v>17263</v>
      </c>
      <c r="S1627">
        <v>1400</v>
      </c>
      <c r="T1627">
        <v>700</v>
      </c>
      <c r="U1627">
        <v>600</v>
      </c>
      <c r="V1627">
        <v>0</v>
      </c>
      <c r="W1627">
        <v>800</v>
      </c>
      <c r="X1627">
        <v>772</v>
      </c>
      <c r="Y1627">
        <v>1</v>
      </c>
    </row>
    <row r="1628" spans="1:25" x14ac:dyDescent="0.3">
      <c r="A1628">
        <v>1627</v>
      </c>
      <c r="B1628">
        <v>150000</v>
      </c>
      <c r="C1628">
        <v>2</v>
      </c>
      <c r="D1628">
        <v>3</v>
      </c>
      <c r="E1628">
        <v>1</v>
      </c>
      <c r="F1628">
        <v>48</v>
      </c>
      <c r="G1628">
        <v>0</v>
      </c>
      <c r="H1628">
        <v>0</v>
      </c>
      <c r="I1628">
        <v>2</v>
      </c>
      <c r="J1628">
        <v>0</v>
      </c>
      <c r="K1628">
        <v>0</v>
      </c>
      <c r="L1628">
        <v>0</v>
      </c>
      <c r="M1628">
        <v>37800</v>
      </c>
      <c r="N1628">
        <v>40874</v>
      </c>
      <c r="O1628">
        <v>39922</v>
      </c>
      <c r="P1628">
        <v>40953</v>
      </c>
      <c r="Q1628">
        <v>42136</v>
      </c>
      <c r="R1628">
        <v>43279</v>
      </c>
      <c r="S1628">
        <v>4000</v>
      </c>
      <c r="T1628">
        <v>0</v>
      </c>
      <c r="U1628">
        <v>2000</v>
      </c>
      <c r="V1628">
        <v>2000</v>
      </c>
      <c r="W1628">
        <v>2000</v>
      </c>
      <c r="X1628">
        <v>2000</v>
      </c>
      <c r="Y1628">
        <v>0</v>
      </c>
    </row>
    <row r="1629" spans="1:25" x14ac:dyDescent="0.3">
      <c r="A1629">
        <v>1628</v>
      </c>
      <c r="B1629">
        <v>50000</v>
      </c>
      <c r="C1629">
        <v>2</v>
      </c>
      <c r="D1629">
        <v>2</v>
      </c>
      <c r="E1629">
        <v>1</v>
      </c>
      <c r="F1629">
        <v>47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44624</v>
      </c>
      <c r="N1629">
        <v>45128</v>
      </c>
      <c r="O1629">
        <v>3837</v>
      </c>
      <c r="P1629">
        <v>3913</v>
      </c>
      <c r="Q1629">
        <v>4146</v>
      </c>
      <c r="R1629">
        <v>4225</v>
      </c>
      <c r="S1629">
        <v>2355</v>
      </c>
      <c r="T1629">
        <v>1064</v>
      </c>
      <c r="U1629">
        <v>140</v>
      </c>
      <c r="V1629">
        <v>296</v>
      </c>
      <c r="W1629">
        <v>296</v>
      </c>
      <c r="X1629">
        <v>301</v>
      </c>
      <c r="Y1629">
        <v>1</v>
      </c>
    </row>
    <row r="1630" spans="1:25" x14ac:dyDescent="0.3">
      <c r="A1630">
        <v>1629</v>
      </c>
      <c r="B1630">
        <v>140000</v>
      </c>
      <c r="C1630">
        <v>2</v>
      </c>
      <c r="D1630">
        <v>3</v>
      </c>
      <c r="E1630">
        <v>1</v>
      </c>
      <c r="F1630">
        <v>31</v>
      </c>
      <c r="G1630">
        <v>2</v>
      </c>
      <c r="H1630">
        <v>2</v>
      </c>
      <c r="I1630">
        <v>2</v>
      </c>
      <c r="J1630">
        <v>2</v>
      </c>
      <c r="K1630">
        <v>2</v>
      </c>
      <c r="L1630">
        <v>2</v>
      </c>
      <c r="M1630">
        <v>89910</v>
      </c>
      <c r="N1630">
        <v>92588</v>
      </c>
      <c r="O1630">
        <v>91936</v>
      </c>
      <c r="P1630">
        <v>94623</v>
      </c>
      <c r="Q1630">
        <v>94952</v>
      </c>
      <c r="R1630">
        <v>95234</v>
      </c>
      <c r="S1630">
        <v>5000</v>
      </c>
      <c r="T1630">
        <v>1800</v>
      </c>
      <c r="U1630">
        <v>5000</v>
      </c>
      <c r="V1630">
        <v>1900</v>
      </c>
      <c r="W1630">
        <v>4700</v>
      </c>
      <c r="X1630">
        <v>0</v>
      </c>
      <c r="Y1630">
        <v>0</v>
      </c>
    </row>
    <row r="1631" spans="1:25" x14ac:dyDescent="0.3">
      <c r="A1631">
        <v>1630</v>
      </c>
      <c r="B1631">
        <v>50000</v>
      </c>
      <c r="C1631">
        <v>1</v>
      </c>
      <c r="D1631">
        <v>3</v>
      </c>
      <c r="E1631">
        <v>2</v>
      </c>
      <c r="F1631">
        <v>31</v>
      </c>
      <c r="G1631">
        <v>0</v>
      </c>
      <c r="H1631">
        <v>0</v>
      </c>
      <c r="I1631">
        <v>0</v>
      </c>
      <c r="J1631">
        <v>0</v>
      </c>
      <c r="K1631">
        <v>2</v>
      </c>
      <c r="L1631">
        <v>0</v>
      </c>
      <c r="M1631">
        <v>40011</v>
      </c>
      <c r="N1631">
        <v>33648</v>
      </c>
      <c r="O1631">
        <v>35082</v>
      </c>
      <c r="P1631">
        <v>38286</v>
      </c>
      <c r="Q1631">
        <v>37543</v>
      </c>
      <c r="R1631">
        <v>0</v>
      </c>
      <c r="S1631">
        <v>1566</v>
      </c>
      <c r="T1631">
        <v>2000</v>
      </c>
      <c r="U1631">
        <v>3800</v>
      </c>
      <c r="V1631">
        <v>0</v>
      </c>
      <c r="W1631">
        <v>1546</v>
      </c>
      <c r="X1631">
        <v>0</v>
      </c>
      <c r="Y1631">
        <v>0</v>
      </c>
    </row>
    <row r="1632" spans="1:25" x14ac:dyDescent="0.3">
      <c r="A1632">
        <v>1631</v>
      </c>
      <c r="B1632">
        <v>200000</v>
      </c>
      <c r="C1632">
        <v>1</v>
      </c>
      <c r="D1632">
        <v>1</v>
      </c>
      <c r="E1632">
        <v>2</v>
      </c>
      <c r="F1632">
        <v>34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67002</v>
      </c>
      <c r="N1632">
        <v>76429</v>
      </c>
      <c r="O1632">
        <v>94564</v>
      </c>
      <c r="P1632">
        <v>95859</v>
      </c>
      <c r="Q1632">
        <v>99593</v>
      </c>
      <c r="R1632">
        <v>101834</v>
      </c>
      <c r="S1632">
        <v>10000</v>
      </c>
      <c r="T1632">
        <v>18900</v>
      </c>
      <c r="U1632">
        <v>3000</v>
      </c>
      <c r="V1632">
        <v>4524</v>
      </c>
      <c r="W1632">
        <v>3084</v>
      </c>
      <c r="X1632">
        <v>3242</v>
      </c>
      <c r="Y1632">
        <v>0</v>
      </c>
    </row>
    <row r="1633" spans="1:25" x14ac:dyDescent="0.3">
      <c r="A1633">
        <v>1632</v>
      </c>
      <c r="B1633">
        <v>100000</v>
      </c>
      <c r="C1633">
        <v>2</v>
      </c>
      <c r="D1633">
        <v>1</v>
      </c>
      <c r="E1633">
        <v>1</v>
      </c>
      <c r="F1633">
        <v>43</v>
      </c>
      <c r="G1633">
        <v>-1</v>
      </c>
      <c r="H1633">
        <v>-1</v>
      </c>
      <c r="I1633">
        <v>-1</v>
      </c>
      <c r="J1633">
        <v>-1</v>
      </c>
      <c r="K1633">
        <v>-1</v>
      </c>
      <c r="L1633">
        <v>-1</v>
      </c>
      <c r="M1633">
        <v>9122</v>
      </c>
      <c r="N1633">
        <v>22971</v>
      </c>
      <c r="O1633">
        <v>15537</v>
      </c>
      <c r="P1633">
        <v>27075</v>
      </c>
      <c r="Q1633">
        <v>8423</v>
      </c>
      <c r="R1633">
        <v>37259</v>
      </c>
      <c r="S1633">
        <v>22982</v>
      </c>
      <c r="T1633">
        <v>15561</v>
      </c>
      <c r="U1633">
        <v>27091</v>
      </c>
      <c r="V1633">
        <v>8423</v>
      </c>
      <c r="W1633">
        <v>37259</v>
      </c>
      <c r="X1633">
        <v>16751</v>
      </c>
      <c r="Y1633">
        <v>0</v>
      </c>
    </row>
    <row r="1634" spans="1:25" x14ac:dyDescent="0.3">
      <c r="A1634">
        <v>1633</v>
      </c>
      <c r="B1634">
        <v>250000</v>
      </c>
      <c r="C1634">
        <v>2</v>
      </c>
      <c r="D1634">
        <v>1</v>
      </c>
      <c r="E1634">
        <v>2</v>
      </c>
      <c r="F1634">
        <v>32</v>
      </c>
      <c r="G1634">
        <v>0</v>
      </c>
      <c r="H1634">
        <v>0</v>
      </c>
      <c r="I1634">
        <v>0</v>
      </c>
      <c r="J1634">
        <v>0</v>
      </c>
      <c r="K1634">
        <v>-1</v>
      </c>
      <c r="L1634">
        <v>-1</v>
      </c>
      <c r="M1634">
        <v>33323</v>
      </c>
      <c r="N1634">
        <v>30090</v>
      </c>
      <c r="O1634">
        <v>21218</v>
      </c>
      <c r="P1634">
        <v>10875</v>
      </c>
      <c r="Q1634">
        <v>3328</v>
      </c>
      <c r="R1634">
        <v>1460</v>
      </c>
      <c r="S1634">
        <v>2038</v>
      </c>
      <c r="T1634">
        <v>2065</v>
      </c>
      <c r="U1634">
        <v>52</v>
      </c>
      <c r="V1634">
        <v>3336</v>
      </c>
      <c r="W1634">
        <v>1460</v>
      </c>
      <c r="X1634">
        <v>1000</v>
      </c>
      <c r="Y1634">
        <v>0</v>
      </c>
    </row>
    <row r="1635" spans="1:25" x14ac:dyDescent="0.3">
      <c r="A1635">
        <v>1634</v>
      </c>
      <c r="B1635">
        <v>80000</v>
      </c>
      <c r="C1635">
        <v>2</v>
      </c>
      <c r="D1635">
        <v>1</v>
      </c>
      <c r="E1635">
        <v>2</v>
      </c>
      <c r="F1635">
        <v>38</v>
      </c>
      <c r="G1635">
        <v>-2</v>
      </c>
      <c r="H1635">
        <v>-2</v>
      </c>
      <c r="I1635">
        <v>-2</v>
      </c>
      <c r="J1635">
        <v>-2</v>
      </c>
      <c r="K1635">
        <v>-2</v>
      </c>
      <c r="L1635">
        <v>-2</v>
      </c>
      <c r="M1635">
        <v>1927</v>
      </c>
      <c r="N1635">
        <v>446</v>
      </c>
      <c r="O1635">
        <v>909</v>
      </c>
      <c r="P1635">
        <v>1740</v>
      </c>
      <c r="Q1635">
        <v>2190</v>
      </c>
      <c r="R1635">
        <v>518</v>
      </c>
      <c r="S1635">
        <v>446</v>
      </c>
      <c r="T1635">
        <v>909</v>
      </c>
      <c r="U1635">
        <v>1740</v>
      </c>
      <c r="V1635">
        <v>2190</v>
      </c>
      <c r="W1635">
        <v>518</v>
      </c>
      <c r="X1635">
        <v>5062</v>
      </c>
      <c r="Y1635">
        <v>0</v>
      </c>
    </row>
    <row r="1636" spans="1:25" x14ac:dyDescent="0.3">
      <c r="A1636">
        <v>1635</v>
      </c>
      <c r="B1636">
        <v>170000</v>
      </c>
      <c r="C1636">
        <v>2</v>
      </c>
      <c r="D1636">
        <v>2</v>
      </c>
      <c r="E1636">
        <v>1</v>
      </c>
      <c r="F1636">
        <v>50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177956</v>
      </c>
      <c r="N1636">
        <v>176155</v>
      </c>
      <c r="O1636">
        <v>171665</v>
      </c>
      <c r="P1636">
        <v>65479</v>
      </c>
      <c r="Q1636">
        <v>61234</v>
      </c>
      <c r="R1636">
        <v>42484</v>
      </c>
      <c r="S1636">
        <v>7262</v>
      </c>
      <c r="T1636">
        <v>5586</v>
      </c>
      <c r="U1636">
        <v>2272</v>
      </c>
      <c r="V1636">
        <v>2998</v>
      </c>
      <c r="W1636">
        <v>39321</v>
      </c>
      <c r="X1636">
        <v>1390</v>
      </c>
      <c r="Y1636">
        <v>0</v>
      </c>
    </row>
    <row r="1637" spans="1:25" x14ac:dyDescent="0.3">
      <c r="A1637">
        <v>1636</v>
      </c>
      <c r="B1637">
        <v>80000</v>
      </c>
      <c r="C1637">
        <v>1</v>
      </c>
      <c r="D1637">
        <v>3</v>
      </c>
      <c r="E1637">
        <v>2</v>
      </c>
      <c r="F1637">
        <v>29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46638</v>
      </c>
      <c r="N1637">
        <v>47680</v>
      </c>
      <c r="O1637">
        <v>48395</v>
      </c>
      <c r="P1637">
        <v>49356</v>
      </c>
      <c r="Q1637">
        <v>50560</v>
      </c>
      <c r="R1637">
        <v>51431</v>
      </c>
      <c r="S1637">
        <v>2091</v>
      </c>
      <c r="T1637">
        <v>1806</v>
      </c>
      <c r="U1637">
        <v>1767</v>
      </c>
      <c r="V1637">
        <v>2000</v>
      </c>
      <c r="W1637">
        <v>1767</v>
      </c>
      <c r="X1637">
        <v>1740</v>
      </c>
      <c r="Y1637">
        <v>0</v>
      </c>
    </row>
    <row r="1638" spans="1:25" x14ac:dyDescent="0.3">
      <c r="A1638">
        <v>1637</v>
      </c>
      <c r="B1638">
        <v>50000</v>
      </c>
      <c r="C1638">
        <v>1</v>
      </c>
      <c r="D1638">
        <v>2</v>
      </c>
      <c r="E1638">
        <v>1</v>
      </c>
      <c r="F1638">
        <v>49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49816</v>
      </c>
      <c r="N1638">
        <v>49749</v>
      </c>
      <c r="O1638">
        <v>48589</v>
      </c>
      <c r="P1638">
        <v>59469</v>
      </c>
      <c r="Q1638">
        <v>20239</v>
      </c>
      <c r="R1638">
        <v>20059</v>
      </c>
      <c r="S1638">
        <v>3000</v>
      </c>
      <c r="T1638">
        <v>2000</v>
      </c>
      <c r="U1638">
        <v>1900</v>
      </c>
      <c r="V1638">
        <v>1004</v>
      </c>
      <c r="W1638">
        <v>1600</v>
      </c>
      <c r="X1638">
        <v>700</v>
      </c>
      <c r="Y1638">
        <v>0</v>
      </c>
    </row>
    <row r="1639" spans="1:25" x14ac:dyDescent="0.3">
      <c r="A1639">
        <v>1638</v>
      </c>
      <c r="B1639">
        <v>30000</v>
      </c>
      <c r="C1639">
        <v>2</v>
      </c>
      <c r="D1639">
        <v>3</v>
      </c>
      <c r="E1639">
        <v>2</v>
      </c>
      <c r="F1639">
        <v>40</v>
      </c>
      <c r="G1639">
        <v>2</v>
      </c>
      <c r="H1639">
        <v>2</v>
      </c>
      <c r="I1639">
        <v>2</v>
      </c>
      <c r="J1639">
        <v>2</v>
      </c>
      <c r="K1639">
        <v>0</v>
      </c>
      <c r="L1639">
        <v>0</v>
      </c>
      <c r="M1639">
        <v>23687</v>
      </c>
      <c r="N1639">
        <v>23020</v>
      </c>
      <c r="O1639">
        <v>25218</v>
      </c>
      <c r="P1639">
        <v>24514</v>
      </c>
      <c r="Q1639">
        <v>25030</v>
      </c>
      <c r="R1639">
        <v>25557</v>
      </c>
      <c r="S1639">
        <v>0</v>
      </c>
      <c r="T1639">
        <v>2579</v>
      </c>
      <c r="U1639">
        <v>0</v>
      </c>
      <c r="V1639">
        <v>909</v>
      </c>
      <c r="W1639">
        <v>944</v>
      </c>
      <c r="X1639">
        <v>4642</v>
      </c>
      <c r="Y1639">
        <v>0</v>
      </c>
    </row>
    <row r="1640" spans="1:25" x14ac:dyDescent="0.3">
      <c r="A1640">
        <v>1639</v>
      </c>
      <c r="B1640">
        <v>70000</v>
      </c>
      <c r="C1640">
        <v>2</v>
      </c>
      <c r="D1640">
        <v>1</v>
      </c>
      <c r="E1640">
        <v>2</v>
      </c>
      <c r="F1640">
        <v>34</v>
      </c>
      <c r="G1640">
        <v>1</v>
      </c>
      <c r="H1640">
        <v>3</v>
      </c>
      <c r="I1640">
        <v>2</v>
      </c>
      <c r="J1640">
        <v>0</v>
      </c>
      <c r="K1640">
        <v>0</v>
      </c>
      <c r="L1640">
        <v>0</v>
      </c>
      <c r="M1640">
        <v>70971</v>
      </c>
      <c r="N1640">
        <v>71272</v>
      </c>
      <c r="O1640">
        <v>69405</v>
      </c>
      <c r="P1640">
        <v>34045</v>
      </c>
      <c r="Q1640">
        <v>34995</v>
      </c>
      <c r="R1640">
        <v>36025</v>
      </c>
      <c r="S1640">
        <v>2000</v>
      </c>
      <c r="T1640">
        <v>0</v>
      </c>
      <c r="U1640">
        <v>1220</v>
      </c>
      <c r="V1640">
        <v>1500</v>
      </c>
      <c r="W1640">
        <v>1725</v>
      </c>
      <c r="X1640">
        <v>0</v>
      </c>
      <c r="Y1640">
        <v>1</v>
      </c>
    </row>
    <row r="1641" spans="1:25" x14ac:dyDescent="0.3">
      <c r="A1641">
        <v>1640</v>
      </c>
      <c r="B1641">
        <v>30000</v>
      </c>
      <c r="C1641">
        <v>2</v>
      </c>
      <c r="D1641">
        <v>3</v>
      </c>
      <c r="E1641">
        <v>1</v>
      </c>
      <c r="F1641">
        <v>47</v>
      </c>
      <c r="G1641">
        <v>-1</v>
      </c>
      <c r="H1641">
        <v>-1</v>
      </c>
      <c r="I1641">
        <v>-1</v>
      </c>
      <c r="J1641">
        <v>-1</v>
      </c>
      <c r="K1641">
        <v>-1</v>
      </c>
      <c r="L1641">
        <v>-1</v>
      </c>
      <c r="M1641">
        <v>1355</v>
      </c>
      <c r="N1641">
        <v>5137</v>
      </c>
      <c r="O1641">
        <v>1392</v>
      </c>
      <c r="P1641">
        <v>696</v>
      </c>
      <c r="Q1641">
        <v>0</v>
      </c>
      <c r="R1641">
        <v>696</v>
      </c>
      <c r="S1641">
        <v>5174</v>
      </c>
      <c r="T1641">
        <v>1392</v>
      </c>
      <c r="U1641">
        <v>696</v>
      </c>
      <c r="V1641">
        <v>0</v>
      </c>
      <c r="W1641">
        <v>696</v>
      </c>
      <c r="X1641">
        <v>696</v>
      </c>
      <c r="Y1641">
        <v>0</v>
      </c>
    </row>
    <row r="1642" spans="1:25" x14ac:dyDescent="0.3">
      <c r="A1642">
        <v>1641</v>
      </c>
      <c r="B1642">
        <v>200000</v>
      </c>
      <c r="C1642">
        <v>1</v>
      </c>
      <c r="D1642">
        <v>1</v>
      </c>
      <c r="E1642">
        <v>1</v>
      </c>
      <c r="F1642">
        <v>34</v>
      </c>
      <c r="G1642">
        <v>-1</v>
      </c>
      <c r="H1642">
        <v>-1</v>
      </c>
      <c r="I1642">
        <v>-1</v>
      </c>
      <c r="J1642">
        <v>-1</v>
      </c>
      <c r="K1642">
        <v>-1</v>
      </c>
      <c r="L1642">
        <v>-1</v>
      </c>
      <c r="M1642">
        <v>5023</v>
      </c>
      <c r="N1642">
        <v>618</v>
      </c>
      <c r="O1642">
        <v>605</v>
      </c>
      <c r="P1642">
        <v>3098</v>
      </c>
      <c r="Q1642">
        <v>805</v>
      </c>
      <c r="R1642">
        <v>2154</v>
      </c>
      <c r="S1642">
        <v>621</v>
      </c>
      <c r="T1642">
        <v>608</v>
      </c>
      <c r="U1642">
        <v>3114</v>
      </c>
      <c r="V1642">
        <v>1003</v>
      </c>
      <c r="W1642">
        <v>2164</v>
      </c>
      <c r="X1642">
        <v>1210</v>
      </c>
      <c r="Y1642">
        <v>0</v>
      </c>
    </row>
    <row r="1643" spans="1:25" x14ac:dyDescent="0.3">
      <c r="A1643">
        <v>1642</v>
      </c>
      <c r="B1643">
        <v>100000</v>
      </c>
      <c r="C1643">
        <v>2</v>
      </c>
      <c r="D1643">
        <v>2</v>
      </c>
      <c r="E1643">
        <v>2</v>
      </c>
      <c r="F1643">
        <v>27</v>
      </c>
      <c r="G1643">
        <v>-1</v>
      </c>
      <c r="H1643">
        <v>-1</v>
      </c>
      <c r="I1643">
        <v>-1</v>
      </c>
      <c r="J1643">
        <v>-2</v>
      </c>
      <c r="K1643">
        <v>-2</v>
      </c>
      <c r="L1643">
        <v>-2</v>
      </c>
      <c r="M1643">
        <v>11540</v>
      </c>
      <c r="N1643">
        <v>1300</v>
      </c>
      <c r="O1643">
        <v>0</v>
      </c>
      <c r="P1643">
        <v>0</v>
      </c>
      <c r="Q1643">
        <v>0</v>
      </c>
      <c r="R1643">
        <v>0</v>
      </c>
      <c r="S1643">
        <v>1303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</row>
    <row r="1644" spans="1:25" x14ac:dyDescent="0.3">
      <c r="A1644">
        <v>1643</v>
      </c>
      <c r="B1644">
        <v>20000</v>
      </c>
      <c r="C1644">
        <v>1</v>
      </c>
      <c r="D1644">
        <v>2</v>
      </c>
      <c r="E1644">
        <v>2</v>
      </c>
      <c r="F1644">
        <v>44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17636</v>
      </c>
      <c r="N1644">
        <v>17947</v>
      </c>
      <c r="O1644">
        <v>17914</v>
      </c>
      <c r="P1644">
        <v>18357</v>
      </c>
      <c r="Q1644">
        <v>19155</v>
      </c>
      <c r="R1644">
        <v>10200</v>
      </c>
      <c r="S1644">
        <v>1375</v>
      </c>
      <c r="T1644">
        <v>1122</v>
      </c>
      <c r="U1644">
        <v>565</v>
      </c>
      <c r="V1644">
        <v>1000</v>
      </c>
      <c r="W1644">
        <v>204</v>
      </c>
      <c r="X1644">
        <v>0</v>
      </c>
      <c r="Y1644">
        <v>1</v>
      </c>
    </row>
    <row r="1645" spans="1:25" x14ac:dyDescent="0.3">
      <c r="A1645">
        <v>1644</v>
      </c>
      <c r="B1645">
        <v>200000</v>
      </c>
      <c r="C1645">
        <v>1</v>
      </c>
      <c r="D1645">
        <v>1</v>
      </c>
      <c r="E1645">
        <v>2</v>
      </c>
      <c r="F1645">
        <v>29</v>
      </c>
      <c r="G1645">
        <v>-1</v>
      </c>
      <c r="H1645">
        <v>-1</v>
      </c>
      <c r="I1645">
        <v>-2</v>
      </c>
      <c r="J1645">
        <v>-2</v>
      </c>
      <c r="K1645">
        <v>-2</v>
      </c>
      <c r="L1645">
        <v>-2</v>
      </c>
      <c r="M1645">
        <v>2290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</row>
    <row r="1646" spans="1:25" x14ac:dyDescent="0.3">
      <c r="A1646">
        <v>1645</v>
      </c>
      <c r="B1646">
        <v>50000</v>
      </c>
      <c r="C1646">
        <v>1</v>
      </c>
      <c r="D1646">
        <v>3</v>
      </c>
      <c r="E1646">
        <v>1</v>
      </c>
      <c r="F1646">
        <v>72</v>
      </c>
      <c r="G1646">
        <v>2</v>
      </c>
      <c r="H1646">
        <v>0</v>
      </c>
      <c r="I1646">
        <v>0</v>
      </c>
      <c r="J1646">
        <v>0</v>
      </c>
      <c r="K1646">
        <v>2</v>
      </c>
      <c r="L1646">
        <v>2</v>
      </c>
      <c r="M1646">
        <v>35417</v>
      </c>
      <c r="N1646">
        <v>36453</v>
      </c>
      <c r="O1646">
        <v>37166</v>
      </c>
      <c r="P1646">
        <v>39710</v>
      </c>
      <c r="Q1646">
        <v>40519</v>
      </c>
      <c r="R1646">
        <v>41324</v>
      </c>
      <c r="S1646">
        <v>1908</v>
      </c>
      <c r="T1646">
        <v>1621</v>
      </c>
      <c r="U1646">
        <v>3165</v>
      </c>
      <c r="V1646">
        <v>1600</v>
      </c>
      <c r="W1646">
        <v>1620</v>
      </c>
      <c r="X1646">
        <v>0</v>
      </c>
      <c r="Y1646">
        <v>1</v>
      </c>
    </row>
    <row r="1647" spans="1:25" x14ac:dyDescent="0.3">
      <c r="A1647">
        <v>1646</v>
      </c>
      <c r="B1647">
        <v>50000</v>
      </c>
      <c r="C1647">
        <v>1</v>
      </c>
      <c r="D1647">
        <v>2</v>
      </c>
      <c r="E1647">
        <v>1</v>
      </c>
      <c r="F1647">
        <v>48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40931</v>
      </c>
      <c r="N1647">
        <v>40892</v>
      </c>
      <c r="O1647">
        <v>41612</v>
      </c>
      <c r="P1647">
        <v>18825</v>
      </c>
      <c r="Q1647">
        <v>18019</v>
      </c>
      <c r="R1647">
        <v>18124</v>
      </c>
      <c r="S1647">
        <v>1880</v>
      </c>
      <c r="T1647">
        <v>1650</v>
      </c>
      <c r="U1647">
        <v>10000</v>
      </c>
      <c r="V1647">
        <v>1000</v>
      </c>
      <c r="W1647">
        <v>700</v>
      </c>
      <c r="X1647">
        <v>600</v>
      </c>
      <c r="Y1647">
        <v>1</v>
      </c>
    </row>
    <row r="1648" spans="1:25" x14ac:dyDescent="0.3">
      <c r="A1648">
        <v>1647</v>
      </c>
      <c r="B1648">
        <v>50000</v>
      </c>
      <c r="C1648">
        <v>2</v>
      </c>
      <c r="D1648">
        <v>1</v>
      </c>
      <c r="E1648">
        <v>2</v>
      </c>
      <c r="F1648">
        <v>27</v>
      </c>
      <c r="G1648">
        <v>1</v>
      </c>
      <c r="H1648">
        <v>2</v>
      </c>
      <c r="I1648">
        <v>2</v>
      </c>
      <c r="J1648">
        <v>2</v>
      </c>
      <c r="K1648">
        <v>2</v>
      </c>
      <c r="L1648">
        <v>2</v>
      </c>
      <c r="M1648">
        <v>36794</v>
      </c>
      <c r="N1648">
        <v>35922</v>
      </c>
      <c r="O1648">
        <v>39319</v>
      </c>
      <c r="P1648">
        <v>38387</v>
      </c>
      <c r="Q1648">
        <v>42764</v>
      </c>
      <c r="R1648">
        <v>41926</v>
      </c>
      <c r="S1648">
        <v>0</v>
      </c>
      <c r="T1648">
        <v>4000</v>
      </c>
      <c r="U1648">
        <v>0</v>
      </c>
      <c r="V1648">
        <v>5000</v>
      </c>
      <c r="W1648">
        <v>0</v>
      </c>
      <c r="X1648">
        <v>5000</v>
      </c>
      <c r="Y1648">
        <v>1</v>
      </c>
    </row>
    <row r="1649" spans="1:25" x14ac:dyDescent="0.3">
      <c r="A1649">
        <v>1648</v>
      </c>
      <c r="B1649">
        <v>220000</v>
      </c>
      <c r="C1649">
        <v>1</v>
      </c>
      <c r="D1649">
        <v>2</v>
      </c>
      <c r="E1649">
        <v>1</v>
      </c>
      <c r="F1649">
        <v>44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217743</v>
      </c>
      <c r="N1649">
        <v>180357</v>
      </c>
      <c r="O1649">
        <v>183453</v>
      </c>
      <c r="P1649">
        <v>176900</v>
      </c>
      <c r="Q1649">
        <v>118965</v>
      </c>
      <c r="R1649">
        <v>172907</v>
      </c>
      <c r="S1649">
        <v>7000</v>
      </c>
      <c r="T1649">
        <v>8000</v>
      </c>
      <c r="U1649">
        <v>8000</v>
      </c>
      <c r="V1649">
        <v>6000</v>
      </c>
      <c r="W1649">
        <v>60000</v>
      </c>
      <c r="X1649">
        <v>7000</v>
      </c>
      <c r="Y1649">
        <v>0</v>
      </c>
    </row>
    <row r="1650" spans="1:25" x14ac:dyDescent="0.3">
      <c r="A1650">
        <v>1649</v>
      </c>
      <c r="B1650">
        <v>240000</v>
      </c>
      <c r="C1650">
        <v>2</v>
      </c>
      <c r="D1650">
        <v>3</v>
      </c>
      <c r="E1650">
        <v>1</v>
      </c>
      <c r="F1650">
        <v>39</v>
      </c>
      <c r="G1650">
        <v>-2</v>
      </c>
      <c r="H1650">
        <v>-2</v>
      </c>
      <c r="I1650">
        <v>-2</v>
      </c>
      <c r="J1650">
        <v>-2</v>
      </c>
      <c r="K1650">
        <v>-2</v>
      </c>
      <c r="L1650">
        <v>-2</v>
      </c>
      <c r="M1650">
        <v>0</v>
      </c>
      <c r="N1650">
        <v>1234</v>
      </c>
      <c r="O1650">
        <v>0</v>
      </c>
      <c r="P1650">
        <v>0</v>
      </c>
      <c r="Q1650">
        <v>620</v>
      </c>
      <c r="R1650">
        <v>0</v>
      </c>
      <c r="S1650">
        <v>1234</v>
      </c>
      <c r="T1650">
        <v>0</v>
      </c>
      <c r="U1650">
        <v>0</v>
      </c>
      <c r="V1650">
        <v>620</v>
      </c>
      <c r="W1650">
        <v>0</v>
      </c>
      <c r="X1650">
        <v>0</v>
      </c>
      <c r="Y1650">
        <v>0</v>
      </c>
    </row>
    <row r="1651" spans="1:25" x14ac:dyDescent="0.3">
      <c r="A1651">
        <v>1650</v>
      </c>
      <c r="B1651">
        <v>50000</v>
      </c>
      <c r="C1651">
        <v>1</v>
      </c>
      <c r="D1651">
        <v>1</v>
      </c>
      <c r="E1651">
        <v>1</v>
      </c>
      <c r="F1651">
        <v>40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42549</v>
      </c>
      <c r="N1651">
        <v>36110</v>
      </c>
      <c r="O1651">
        <v>9715</v>
      </c>
      <c r="P1651">
        <v>8965</v>
      </c>
      <c r="Q1651">
        <v>6652</v>
      </c>
      <c r="R1651">
        <v>7385</v>
      </c>
      <c r="S1651">
        <v>2200</v>
      </c>
      <c r="T1651">
        <v>2000</v>
      </c>
      <c r="U1651">
        <v>1000</v>
      </c>
      <c r="V1651">
        <v>500</v>
      </c>
      <c r="W1651">
        <v>1000</v>
      </c>
      <c r="X1651">
        <v>400</v>
      </c>
      <c r="Y1651">
        <v>0</v>
      </c>
    </row>
    <row r="1652" spans="1:25" x14ac:dyDescent="0.3">
      <c r="A1652">
        <v>1651</v>
      </c>
      <c r="B1652">
        <v>500000</v>
      </c>
      <c r="C1652">
        <v>2</v>
      </c>
      <c r="D1652">
        <v>1</v>
      </c>
      <c r="E1652">
        <v>1</v>
      </c>
      <c r="F1652">
        <v>45</v>
      </c>
      <c r="G1652">
        <v>-1</v>
      </c>
      <c r="H1652">
        <v>-1</v>
      </c>
      <c r="I1652">
        <v>-1</v>
      </c>
      <c r="J1652">
        <v>-1</v>
      </c>
      <c r="K1652">
        <v>-1</v>
      </c>
      <c r="L1652">
        <v>-1</v>
      </c>
      <c r="M1652">
        <v>36954</v>
      </c>
      <c r="N1652">
        <v>-24704</v>
      </c>
      <c r="O1652">
        <v>22999</v>
      </c>
      <c r="P1652">
        <v>18339</v>
      </c>
      <c r="Q1652">
        <v>-3876</v>
      </c>
      <c r="R1652">
        <v>15586</v>
      </c>
      <c r="S1652">
        <v>0</v>
      </c>
      <c r="T1652">
        <v>83000</v>
      </c>
      <c r="U1652">
        <v>0</v>
      </c>
      <c r="V1652">
        <v>0</v>
      </c>
      <c r="W1652">
        <v>20000</v>
      </c>
      <c r="X1652">
        <v>18000</v>
      </c>
      <c r="Y1652">
        <v>0</v>
      </c>
    </row>
    <row r="1653" spans="1:25" x14ac:dyDescent="0.3">
      <c r="A1653">
        <v>1652</v>
      </c>
      <c r="B1653">
        <v>170000</v>
      </c>
      <c r="C1653">
        <v>1</v>
      </c>
      <c r="D1653">
        <v>1</v>
      </c>
      <c r="E1653">
        <v>2</v>
      </c>
      <c r="F1653">
        <v>26</v>
      </c>
      <c r="G1653">
        <v>-1</v>
      </c>
      <c r="H1653">
        <v>-1</v>
      </c>
      <c r="I1653">
        <v>-1</v>
      </c>
      <c r="J1653">
        <v>-1</v>
      </c>
      <c r="K1653">
        <v>-1</v>
      </c>
      <c r="L1653">
        <v>-1</v>
      </c>
      <c r="M1653">
        <v>23594</v>
      </c>
      <c r="N1653">
        <v>1512</v>
      </c>
      <c r="O1653">
        <v>1362</v>
      </c>
      <c r="P1653">
        <v>1591</v>
      </c>
      <c r="Q1653">
        <v>3524</v>
      </c>
      <c r="R1653">
        <v>8545</v>
      </c>
      <c r="S1653">
        <v>1512</v>
      </c>
      <c r="T1653">
        <v>1362</v>
      </c>
      <c r="U1653">
        <v>1591</v>
      </c>
      <c r="V1653">
        <v>3524</v>
      </c>
      <c r="W1653">
        <v>8545</v>
      </c>
      <c r="X1653">
        <v>1485</v>
      </c>
      <c r="Y1653">
        <v>0</v>
      </c>
    </row>
    <row r="1654" spans="1:25" x14ac:dyDescent="0.3">
      <c r="A1654">
        <v>1653</v>
      </c>
      <c r="B1654">
        <v>30000</v>
      </c>
      <c r="C1654">
        <v>1</v>
      </c>
      <c r="D1654">
        <v>1</v>
      </c>
      <c r="E1654">
        <v>1</v>
      </c>
      <c r="F1654">
        <v>34</v>
      </c>
      <c r="G1654">
        <v>-1</v>
      </c>
      <c r="H1654">
        <v>-1</v>
      </c>
      <c r="I1654">
        <v>-1</v>
      </c>
      <c r="J1654">
        <v>-2</v>
      </c>
      <c r="K1654">
        <v>-2</v>
      </c>
      <c r="L1654">
        <v>-2</v>
      </c>
      <c r="M1654">
        <v>220</v>
      </c>
      <c r="N1654">
        <v>2500</v>
      </c>
      <c r="O1654">
        <v>0</v>
      </c>
      <c r="P1654">
        <v>0</v>
      </c>
      <c r="Q1654">
        <v>0</v>
      </c>
      <c r="R1654">
        <v>0</v>
      </c>
      <c r="S1654">
        <v>2500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</row>
    <row r="1655" spans="1:25" x14ac:dyDescent="0.3">
      <c r="A1655">
        <v>1654</v>
      </c>
      <c r="B1655">
        <v>300000</v>
      </c>
      <c r="C1655">
        <v>1</v>
      </c>
      <c r="D1655">
        <v>1</v>
      </c>
      <c r="E1655">
        <v>1</v>
      </c>
      <c r="F1655">
        <v>43</v>
      </c>
      <c r="G1655">
        <v>1</v>
      </c>
      <c r="H1655">
        <v>-2</v>
      </c>
      <c r="I1655">
        <v>-2</v>
      </c>
      <c r="J1655">
        <v>-2</v>
      </c>
      <c r="K1655">
        <v>-2</v>
      </c>
      <c r="L1655">
        <v>-2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1</v>
      </c>
    </row>
    <row r="1656" spans="1:25" x14ac:dyDescent="0.3">
      <c r="A1656">
        <v>1655</v>
      </c>
      <c r="B1656">
        <v>50000</v>
      </c>
      <c r="C1656">
        <v>1</v>
      </c>
      <c r="D1656">
        <v>2</v>
      </c>
      <c r="E1656">
        <v>2</v>
      </c>
      <c r="F1656">
        <v>30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50507</v>
      </c>
      <c r="N1656">
        <v>48751</v>
      </c>
      <c r="O1656">
        <v>44688</v>
      </c>
      <c r="P1656">
        <v>19823</v>
      </c>
      <c r="Q1656">
        <v>13645</v>
      </c>
      <c r="R1656">
        <v>10876</v>
      </c>
      <c r="S1656">
        <v>4000</v>
      </c>
      <c r="T1656">
        <v>2220</v>
      </c>
      <c r="U1656">
        <v>1000</v>
      </c>
      <c r="V1656">
        <v>1500</v>
      </c>
      <c r="W1656">
        <v>1000</v>
      </c>
      <c r="X1656">
        <v>1500</v>
      </c>
      <c r="Y1656">
        <v>0</v>
      </c>
    </row>
    <row r="1657" spans="1:25" x14ac:dyDescent="0.3">
      <c r="A1657">
        <v>1656</v>
      </c>
      <c r="B1657">
        <v>100000</v>
      </c>
      <c r="C1657">
        <v>2</v>
      </c>
      <c r="D1657">
        <v>3</v>
      </c>
      <c r="E1657">
        <v>1</v>
      </c>
      <c r="F1657">
        <v>31</v>
      </c>
      <c r="G1657">
        <v>-1</v>
      </c>
      <c r="H1657">
        <v>-1</v>
      </c>
      <c r="I1657">
        <v>-1</v>
      </c>
      <c r="J1657">
        <v>-2</v>
      </c>
      <c r="K1657">
        <v>-2</v>
      </c>
      <c r="L1657">
        <v>-2</v>
      </c>
      <c r="M1657">
        <v>16033</v>
      </c>
      <c r="N1657">
        <v>1716</v>
      </c>
      <c r="O1657">
        <v>1200</v>
      </c>
      <c r="P1657">
        <v>0</v>
      </c>
      <c r="Q1657">
        <v>0</v>
      </c>
      <c r="R1657">
        <v>1300</v>
      </c>
      <c r="S1657">
        <v>1716</v>
      </c>
      <c r="T1657">
        <v>1200</v>
      </c>
      <c r="U1657">
        <v>0</v>
      </c>
      <c r="V1657">
        <v>0</v>
      </c>
      <c r="W1657">
        <v>1300</v>
      </c>
      <c r="X1657">
        <v>6455</v>
      </c>
      <c r="Y1657">
        <v>0</v>
      </c>
    </row>
    <row r="1658" spans="1:25" x14ac:dyDescent="0.3">
      <c r="A1658">
        <v>1657</v>
      </c>
      <c r="B1658">
        <v>150000</v>
      </c>
      <c r="C1658">
        <v>2</v>
      </c>
      <c r="D1658">
        <v>1</v>
      </c>
      <c r="E1658">
        <v>2</v>
      </c>
      <c r="F1658">
        <v>29</v>
      </c>
      <c r="G1658">
        <v>0</v>
      </c>
      <c r="H1658">
        <v>0</v>
      </c>
      <c r="I1658">
        <v>2</v>
      </c>
      <c r="J1658">
        <v>0</v>
      </c>
      <c r="K1658">
        <v>0</v>
      </c>
      <c r="L1658">
        <v>0</v>
      </c>
      <c r="M1658">
        <v>108817</v>
      </c>
      <c r="N1658">
        <v>83654</v>
      </c>
      <c r="O1658">
        <v>79713</v>
      </c>
      <c r="P1658">
        <v>64468</v>
      </c>
      <c r="Q1658">
        <v>66488</v>
      </c>
      <c r="R1658">
        <v>58131</v>
      </c>
      <c r="S1658">
        <v>7500</v>
      </c>
      <c r="T1658">
        <v>0</v>
      </c>
      <c r="U1658">
        <v>4000</v>
      </c>
      <c r="V1658">
        <v>4000</v>
      </c>
      <c r="W1658">
        <v>4000</v>
      </c>
      <c r="X1658">
        <v>3500</v>
      </c>
      <c r="Y1658">
        <v>1</v>
      </c>
    </row>
    <row r="1659" spans="1:25" x14ac:dyDescent="0.3">
      <c r="A1659">
        <v>1658</v>
      </c>
      <c r="B1659">
        <v>50000</v>
      </c>
      <c r="C1659">
        <v>1</v>
      </c>
      <c r="D1659">
        <v>1</v>
      </c>
      <c r="E1659">
        <v>2</v>
      </c>
      <c r="F1659">
        <v>28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46176</v>
      </c>
      <c r="N1659">
        <v>40870</v>
      </c>
      <c r="O1659">
        <v>41590</v>
      </c>
      <c r="P1659">
        <v>42419</v>
      </c>
      <c r="Q1659">
        <v>43307</v>
      </c>
      <c r="R1659">
        <v>44167</v>
      </c>
      <c r="S1659">
        <v>2000</v>
      </c>
      <c r="T1659">
        <v>1700</v>
      </c>
      <c r="U1659">
        <v>1519</v>
      </c>
      <c r="V1659">
        <v>1572</v>
      </c>
      <c r="W1659">
        <v>1580</v>
      </c>
      <c r="X1659">
        <v>1637</v>
      </c>
      <c r="Y1659">
        <v>0</v>
      </c>
    </row>
    <row r="1660" spans="1:25" x14ac:dyDescent="0.3">
      <c r="A1660">
        <v>1659</v>
      </c>
      <c r="B1660">
        <v>190000</v>
      </c>
      <c r="C1660">
        <v>2</v>
      </c>
      <c r="D1660">
        <v>2</v>
      </c>
      <c r="E1660">
        <v>2</v>
      </c>
      <c r="F1660">
        <v>31</v>
      </c>
      <c r="G1660">
        <v>-1</v>
      </c>
      <c r="H1660">
        <v>-1</v>
      </c>
      <c r="I1660">
        <v>-1</v>
      </c>
      <c r="J1660">
        <v>-1</v>
      </c>
      <c r="K1660">
        <v>-2</v>
      </c>
      <c r="L1660">
        <v>-1</v>
      </c>
      <c r="M1660">
        <v>771</v>
      </c>
      <c r="N1660">
        <v>0</v>
      </c>
      <c r="O1660">
        <v>4251</v>
      </c>
      <c r="P1660">
        <v>0</v>
      </c>
      <c r="Q1660">
        <v>0</v>
      </c>
      <c r="R1660">
        <v>6732</v>
      </c>
      <c r="S1660">
        <v>0</v>
      </c>
      <c r="T1660">
        <v>4251</v>
      </c>
      <c r="U1660">
        <v>0</v>
      </c>
      <c r="V1660">
        <v>0</v>
      </c>
      <c r="W1660">
        <v>6732</v>
      </c>
      <c r="X1660">
        <v>11306</v>
      </c>
      <c r="Y1660">
        <v>0</v>
      </c>
    </row>
    <row r="1661" spans="1:25" x14ac:dyDescent="0.3">
      <c r="A1661">
        <v>1660</v>
      </c>
      <c r="B1661">
        <v>20000</v>
      </c>
      <c r="C1661">
        <v>2</v>
      </c>
      <c r="D1661">
        <v>3</v>
      </c>
      <c r="E1661">
        <v>2</v>
      </c>
      <c r="F1661">
        <v>22</v>
      </c>
      <c r="G1661">
        <v>0</v>
      </c>
      <c r="H1661">
        <v>0</v>
      </c>
      <c r="I1661">
        <v>0</v>
      </c>
      <c r="J1661">
        <v>0</v>
      </c>
      <c r="K1661">
        <v>-1</v>
      </c>
      <c r="L1661">
        <v>-1</v>
      </c>
      <c r="M1661">
        <v>14562</v>
      </c>
      <c r="N1661">
        <v>5991</v>
      </c>
      <c r="O1661">
        <v>6870</v>
      </c>
      <c r="P1661">
        <v>0</v>
      </c>
      <c r="Q1661">
        <v>2734</v>
      </c>
      <c r="R1661">
        <v>0</v>
      </c>
      <c r="S1661">
        <v>1121</v>
      </c>
      <c r="T1661">
        <v>1000</v>
      </c>
      <c r="U1661">
        <v>0</v>
      </c>
      <c r="V1661">
        <v>1367</v>
      </c>
      <c r="W1661">
        <v>0</v>
      </c>
      <c r="X1661">
        <v>0</v>
      </c>
      <c r="Y1661">
        <v>0</v>
      </c>
    </row>
    <row r="1662" spans="1:25" x14ac:dyDescent="0.3">
      <c r="A1662">
        <v>1661</v>
      </c>
      <c r="B1662">
        <v>50000</v>
      </c>
      <c r="C1662">
        <v>2</v>
      </c>
      <c r="D1662">
        <v>3</v>
      </c>
      <c r="E1662">
        <v>1</v>
      </c>
      <c r="F1662">
        <v>55</v>
      </c>
      <c r="G1662">
        <v>1</v>
      </c>
      <c r="H1662">
        <v>2</v>
      </c>
      <c r="I1662">
        <v>2</v>
      </c>
      <c r="J1662">
        <v>2</v>
      </c>
      <c r="K1662">
        <v>0</v>
      </c>
      <c r="L1662">
        <v>0</v>
      </c>
      <c r="M1662">
        <v>49003</v>
      </c>
      <c r="N1662">
        <v>49067</v>
      </c>
      <c r="O1662">
        <v>50498</v>
      </c>
      <c r="P1662">
        <v>47579</v>
      </c>
      <c r="Q1662">
        <v>47567</v>
      </c>
      <c r="R1662">
        <v>48155</v>
      </c>
      <c r="S1662">
        <v>2005</v>
      </c>
      <c r="T1662">
        <v>3900</v>
      </c>
      <c r="U1662">
        <v>0</v>
      </c>
      <c r="V1662">
        <v>2000</v>
      </c>
      <c r="W1662">
        <v>1900</v>
      </c>
      <c r="X1662">
        <v>1900</v>
      </c>
      <c r="Y1662">
        <v>0</v>
      </c>
    </row>
    <row r="1663" spans="1:25" x14ac:dyDescent="0.3">
      <c r="A1663">
        <v>1662</v>
      </c>
      <c r="B1663">
        <v>30000</v>
      </c>
      <c r="C1663">
        <v>2</v>
      </c>
      <c r="D1663">
        <v>2</v>
      </c>
      <c r="E1663">
        <v>1</v>
      </c>
      <c r="F1663">
        <v>39</v>
      </c>
      <c r="G1663">
        <v>-1</v>
      </c>
      <c r="H1663">
        <v>-1</v>
      </c>
      <c r="I1663">
        <v>-1</v>
      </c>
      <c r="J1663">
        <v>-1</v>
      </c>
      <c r="K1663">
        <v>-1</v>
      </c>
      <c r="L1663">
        <v>-1</v>
      </c>
      <c r="M1663">
        <v>223</v>
      </c>
      <c r="N1663">
        <v>223</v>
      </c>
      <c r="O1663">
        <v>223</v>
      </c>
      <c r="P1663">
        <v>223</v>
      </c>
      <c r="Q1663">
        <v>223</v>
      </c>
      <c r="R1663">
        <v>675</v>
      </c>
      <c r="S1663">
        <v>223</v>
      </c>
      <c r="T1663">
        <v>223</v>
      </c>
      <c r="U1663">
        <v>223</v>
      </c>
      <c r="V1663">
        <v>223</v>
      </c>
      <c r="W1663">
        <v>675</v>
      </c>
      <c r="X1663">
        <v>10473</v>
      </c>
      <c r="Y1663">
        <v>1</v>
      </c>
    </row>
    <row r="1664" spans="1:25" x14ac:dyDescent="0.3">
      <c r="A1664">
        <v>1663</v>
      </c>
      <c r="B1664">
        <v>90000</v>
      </c>
      <c r="C1664">
        <v>2</v>
      </c>
      <c r="D1664">
        <v>1</v>
      </c>
      <c r="E1664">
        <v>2</v>
      </c>
      <c r="F1664">
        <v>27</v>
      </c>
      <c r="G1664">
        <v>-2</v>
      </c>
      <c r="H1664">
        <v>-2</v>
      </c>
      <c r="I1664">
        <v>2</v>
      </c>
      <c r="J1664">
        <v>2</v>
      </c>
      <c r="K1664">
        <v>-2</v>
      </c>
      <c r="L1664">
        <v>-2</v>
      </c>
      <c r="M1664">
        <v>1179</v>
      </c>
      <c r="N1664">
        <v>6346</v>
      </c>
      <c r="O1664">
        <v>4607</v>
      </c>
      <c r="P1664">
        <v>-6</v>
      </c>
      <c r="Q1664">
        <v>-2153</v>
      </c>
      <c r="R1664">
        <v>-4306</v>
      </c>
      <c r="S1664">
        <v>7020</v>
      </c>
      <c r="T1664">
        <v>2980</v>
      </c>
      <c r="U1664">
        <v>3000</v>
      </c>
      <c r="V1664">
        <v>0</v>
      </c>
      <c r="W1664">
        <v>0</v>
      </c>
      <c r="X1664">
        <v>0</v>
      </c>
      <c r="Y1664">
        <v>0</v>
      </c>
    </row>
    <row r="1665" spans="1:25" x14ac:dyDescent="0.3">
      <c r="A1665">
        <v>1664</v>
      </c>
      <c r="B1665">
        <v>500000</v>
      </c>
      <c r="C1665">
        <v>2</v>
      </c>
      <c r="D1665">
        <v>1</v>
      </c>
      <c r="E1665">
        <v>2</v>
      </c>
      <c r="F1665">
        <v>36</v>
      </c>
      <c r="G1665">
        <v>-2</v>
      </c>
      <c r="H1665">
        <v>-2</v>
      </c>
      <c r="I1665">
        <v>-2</v>
      </c>
      <c r="J1665">
        <v>-2</v>
      </c>
      <c r="K1665">
        <v>-2</v>
      </c>
      <c r="L1665">
        <v>-2</v>
      </c>
      <c r="M1665">
        <v>-312</v>
      </c>
      <c r="N1665">
        <v>-2479</v>
      </c>
      <c r="O1665">
        <v>2479</v>
      </c>
      <c r="P1665">
        <v>2479</v>
      </c>
      <c r="Q1665">
        <v>763</v>
      </c>
      <c r="R1665">
        <v>288</v>
      </c>
      <c r="S1665">
        <v>0</v>
      </c>
      <c r="T1665">
        <v>4958</v>
      </c>
      <c r="U1665">
        <v>0</v>
      </c>
      <c r="V1665">
        <v>763</v>
      </c>
      <c r="W1665">
        <v>0</v>
      </c>
      <c r="X1665">
        <v>14472</v>
      </c>
      <c r="Y1665">
        <v>1</v>
      </c>
    </row>
    <row r="1666" spans="1:25" x14ac:dyDescent="0.3">
      <c r="A1666">
        <v>1665</v>
      </c>
      <c r="B1666">
        <v>280000</v>
      </c>
      <c r="C1666">
        <v>1</v>
      </c>
      <c r="D1666">
        <v>1</v>
      </c>
      <c r="E1666">
        <v>1</v>
      </c>
      <c r="F1666">
        <v>40</v>
      </c>
      <c r="G1666">
        <v>-1</v>
      </c>
      <c r="H1666">
        <v>-1</v>
      </c>
      <c r="I1666">
        <v>-1</v>
      </c>
      <c r="J1666">
        <v>-1</v>
      </c>
      <c r="K1666">
        <v>-1</v>
      </c>
      <c r="L1666">
        <v>-1</v>
      </c>
      <c r="M1666">
        <v>5310</v>
      </c>
      <c r="N1666">
        <v>2196</v>
      </c>
      <c r="O1666">
        <v>2928</v>
      </c>
      <c r="P1666">
        <v>9564</v>
      </c>
      <c r="Q1666">
        <v>22017</v>
      </c>
      <c r="R1666">
        <v>5220</v>
      </c>
      <c r="S1666">
        <v>2196</v>
      </c>
      <c r="T1666">
        <v>2928</v>
      </c>
      <c r="U1666">
        <v>9564</v>
      </c>
      <c r="V1666">
        <v>22017</v>
      </c>
      <c r="W1666">
        <v>5220</v>
      </c>
      <c r="X1666">
        <v>1964</v>
      </c>
      <c r="Y1666">
        <v>0</v>
      </c>
    </row>
    <row r="1667" spans="1:25" x14ac:dyDescent="0.3">
      <c r="A1667">
        <v>1666</v>
      </c>
      <c r="B1667">
        <v>30000</v>
      </c>
      <c r="C1667">
        <v>1</v>
      </c>
      <c r="D1667">
        <v>2</v>
      </c>
      <c r="E1667">
        <v>1</v>
      </c>
      <c r="F1667">
        <v>31</v>
      </c>
      <c r="G1667">
        <v>0</v>
      </c>
      <c r="H1667">
        <v>0</v>
      </c>
      <c r="I1667">
        <v>0</v>
      </c>
      <c r="J1667">
        <v>-1</v>
      </c>
      <c r="K1667">
        <v>-1</v>
      </c>
      <c r="L1667">
        <v>-2</v>
      </c>
      <c r="M1667">
        <v>13265</v>
      </c>
      <c r="N1667">
        <v>7206</v>
      </c>
      <c r="O1667">
        <v>0</v>
      </c>
      <c r="P1667">
        <v>2320</v>
      </c>
      <c r="Q1667">
        <v>0</v>
      </c>
      <c r="R1667">
        <v>0</v>
      </c>
      <c r="S1667">
        <v>1632</v>
      </c>
      <c r="T1667">
        <v>780</v>
      </c>
      <c r="U1667">
        <v>2320</v>
      </c>
      <c r="V1667">
        <v>0</v>
      </c>
      <c r="W1667">
        <v>0</v>
      </c>
      <c r="X1667">
        <v>0</v>
      </c>
      <c r="Y1667">
        <v>0</v>
      </c>
    </row>
    <row r="1668" spans="1:25" x14ac:dyDescent="0.3">
      <c r="A1668">
        <v>1667</v>
      </c>
      <c r="B1668">
        <v>90000</v>
      </c>
      <c r="C1668">
        <v>2</v>
      </c>
      <c r="D1668">
        <v>2</v>
      </c>
      <c r="E1668">
        <v>1</v>
      </c>
      <c r="F1668">
        <v>36</v>
      </c>
      <c r="G1668">
        <v>2</v>
      </c>
      <c r="H1668">
        <v>2</v>
      </c>
      <c r="I1668">
        <v>2</v>
      </c>
      <c r="J1668">
        <v>2</v>
      </c>
      <c r="K1668">
        <v>2</v>
      </c>
      <c r="L1668">
        <v>2</v>
      </c>
      <c r="M1668">
        <v>49295</v>
      </c>
      <c r="N1668">
        <v>50206</v>
      </c>
      <c r="O1668">
        <v>50781</v>
      </c>
      <c r="P1668">
        <v>51840</v>
      </c>
      <c r="Q1668">
        <v>52607</v>
      </c>
      <c r="R1668">
        <v>53784</v>
      </c>
      <c r="S1668">
        <v>2000</v>
      </c>
      <c r="T1668">
        <v>1700</v>
      </c>
      <c r="U1668">
        <v>2200</v>
      </c>
      <c r="V1668">
        <v>1750</v>
      </c>
      <c r="W1668">
        <v>2200</v>
      </c>
      <c r="X1668">
        <v>2000</v>
      </c>
      <c r="Y1668">
        <v>0</v>
      </c>
    </row>
    <row r="1669" spans="1:25" x14ac:dyDescent="0.3">
      <c r="A1669">
        <v>1668</v>
      </c>
      <c r="B1669">
        <v>200000</v>
      </c>
      <c r="C1669">
        <v>1</v>
      </c>
      <c r="D1669">
        <v>2</v>
      </c>
      <c r="E1669">
        <v>1</v>
      </c>
      <c r="F1669">
        <v>42</v>
      </c>
      <c r="G1669">
        <v>1</v>
      </c>
      <c r="H1669">
        <v>2</v>
      </c>
      <c r="I1669">
        <v>0</v>
      </c>
      <c r="J1669">
        <v>0</v>
      </c>
      <c r="K1669">
        <v>2</v>
      </c>
      <c r="L1669">
        <v>2</v>
      </c>
      <c r="M1669">
        <v>38187</v>
      </c>
      <c r="N1669">
        <v>35827</v>
      </c>
      <c r="O1669">
        <v>19208</v>
      </c>
      <c r="P1669">
        <v>20023</v>
      </c>
      <c r="Q1669">
        <v>19572</v>
      </c>
      <c r="R1669">
        <v>19652</v>
      </c>
      <c r="S1669">
        <v>44</v>
      </c>
      <c r="T1669">
        <v>1303</v>
      </c>
      <c r="U1669">
        <v>1522</v>
      </c>
      <c r="V1669">
        <v>0</v>
      </c>
      <c r="W1669">
        <v>1099</v>
      </c>
      <c r="X1669">
        <v>1339</v>
      </c>
      <c r="Y1669">
        <v>1</v>
      </c>
    </row>
    <row r="1670" spans="1:25" x14ac:dyDescent="0.3">
      <c r="A1670">
        <v>1669</v>
      </c>
      <c r="B1670">
        <v>100000</v>
      </c>
      <c r="C1670">
        <v>1</v>
      </c>
      <c r="D1670">
        <v>2</v>
      </c>
      <c r="E1670">
        <v>2</v>
      </c>
      <c r="F1670">
        <v>30</v>
      </c>
      <c r="G1670">
        <v>-2</v>
      </c>
      <c r="H1670">
        <v>-2</v>
      </c>
      <c r="I1670">
        <v>-2</v>
      </c>
      <c r="J1670">
        <v>-2</v>
      </c>
      <c r="K1670">
        <v>-2</v>
      </c>
      <c r="L1670">
        <v>-2</v>
      </c>
      <c r="M1670">
        <v>914</v>
      </c>
      <c r="N1670">
        <v>1170</v>
      </c>
      <c r="O1670">
        <v>0</v>
      </c>
      <c r="P1670">
        <v>0</v>
      </c>
      <c r="Q1670">
        <v>1756</v>
      </c>
      <c r="R1670">
        <v>0</v>
      </c>
      <c r="S1670">
        <v>1475</v>
      </c>
      <c r="T1670">
        <v>0</v>
      </c>
      <c r="U1670">
        <v>0</v>
      </c>
      <c r="V1670">
        <v>1756</v>
      </c>
      <c r="W1670">
        <v>0</v>
      </c>
      <c r="X1670">
        <v>0</v>
      </c>
      <c r="Y1670">
        <v>0</v>
      </c>
    </row>
    <row r="1671" spans="1:25" x14ac:dyDescent="0.3">
      <c r="A1671">
        <v>1670</v>
      </c>
      <c r="B1671">
        <v>20000</v>
      </c>
      <c r="C1671">
        <v>1</v>
      </c>
      <c r="D1671">
        <v>3</v>
      </c>
      <c r="E1671">
        <v>2</v>
      </c>
      <c r="F1671">
        <v>40</v>
      </c>
      <c r="G1671">
        <v>0</v>
      </c>
      <c r="H1671">
        <v>0</v>
      </c>
      <c r="I1671">
        <v>2</v>
      </c>
      <c r="J1671">
        <v>3</v>
      </c>
      <c r="K1671">
        <v>2</v>
      </c>
      <c r="L1671">
        <v>2</v>
      </c>
      <c r="M1671">
        <v>12649</v>
      </c>
      <c r="N1671">
        <v>15526</v>
      </c>
      <c r="O1671">
        <v>16383</v>
      </c>
      <c r="P1671">
        <v>15831</v>
      </c>
      <c r="Q1671">
        <v>15438</v>
      </c>
      <c r="R1671">
        <v>17371</v>
      </c>
      <c r="S1671">
        <v>3103</v>
      </c>
      <c r="T1671">
        <v>1408</v>
      </c>
      <c r="U1671">
        <v>0</v>
      </c>
      <c r="V1671">
        <v>0</v>
      </c>
      <c r="W1671">
        <v>2346</v>
      </c>
      <c r="X1671">
        <v>0</v>
      </c>
      <c r="Y1671">
        <v>0</v>
      </c>
    </row>
    <row r="1672" spans="1:25" x14ac:dyDescent="0.3">
      <c r="A1672">
        <v>1671</v>
      </c>
      <c r="B1672">
        <v>50000</v>
      </c>
      <c r="C1672">
        <v>1</v>
      </c>
      <c r="D1672">
        <v>2</v>
      </c>
      <c r="E1672">
        <v>1</v>
      </c>
      <c r="F1672">
        <v>51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49613</v>
      </c>
      <c r="N1672">
        <v>49326</v>
      </c>
      <c r="O1672">
        <v>47010</v>
      </c>
      <c r="P1672">
        <v>20661</v>
      </c>
      <c r="Q1672">
        <v>14528</v>
      </c>
      <c r="R1672">
        <v>15544</v>
      </c>
      <c r="S1672">
        <v>3036</v>
      </c>
      <c r="T1672">
        <v>6000</v>
      </c>
      <c r="U1672">
        <v>1000</v>
      </c>
      <c r="V1672">
        <v>2000</v>
      </c>
      <c r="W1672">
        <v>2500</v>
      </c>
      <c r="X1672">
        <v>3000</v>
      </c>
      <c r="Y1672">
        <v>0</v>
      </c>
    </row>
    <row r="1673" spans="1:25" x14ac:dyDescent="0.3">
      <c r="A1673">
        <v>1672</v>
      </c>
      <c r="B1673">
        <v>50000</v>
      </c>
      <c r="C1673">
        <v>2</v>
      </c>
      <c r="D1673">
        <v>2</v>
      </c>
      <c r="E1673">
        <v>3</v>
      </c>
      <c r="F1673">
        <v>51</v>
      </c>
      <c r="G1673">
        <v>0</v>
      </c>
      <c r="H1673">
        <v>-1</v>
      </c>
      <c r="I1673">
        <v>0</v>
      </c>
      <c r="J1673">
        <v>0</v>
      </c>
      <c r="K1673">
        <v>0</v>
      </c>
      <c r="L1673">
        <v>-2</v>
      </c>
      <c r="M1673">
        <v>10571</v>
      </c>
      <c r="N1673">
        <v>2477</v>
      </c>
      <c r="O1673">
        <v>3234</v>
      </c>
      <c r="P1673">
        <v>2904</v>
      </c>
      <c r="Q1673">
        <v>0</v>
      </c>
      <c r="R1673">
        <v>0</v>
      </c>
      <c r="S1673">
        <v>2477</v>
      </c>
      <c r="T1673">
        <v>2904</v>
      </c>
      <c r="U1673">
        <v>0</v>
      </c>
      <c r="V1673">
        <v>0</v>
      </c>
      <c r="W1673">
        <v>0</v>
      </c>
      <c r="X1673">
        <v>0</v>
      </c>
      <c r="Y1673">
        <v>0</v>
      </c>
    </row>
    <row r="1674" spans="1:25" x14ac:dyDescent="0.3">
      <c r="A1674">
        <v>1673</v>
      </c>
      <c r="B1674">
        <v>290000</v>
      </c>
      <c r="C1674">
        <v>1</v>
      </c>
      <c r="D1674">
        <v>3</v>
      </c>
      <c r="E1674">
        <v>2</v>
      </c>
      <c r="F1674">
        <v>32</v>
      </c>
      <c r="G1674">
        <v>-1</v>
      </c>
      <c r="H1674">
        <v>-1</v>
      </c>
      <c r="I1674">
        <v>-1</v>
      </c>
      <c r="J1674">
        <v>-1</v>
      </c>
      <c r="K1674">
        <v>-1</v>
      </c>
      <c r="L1674">
        <v>0</v>
      </c>
      <c r="M1674">
        <v>1520</v>
      </c>
      <c r="N1674">
        <v>1200</v>
      </c>
      <c r="O1674">
        <v>0</v>
      </c>
      <c r="P1674">
        <v>1000</v>
      </c>
      <c r="Q1674">
        <v>28661</v>
      </c>
      <c r="R1674">
        <v>8976</v>
      </c>
      <c r="S1674">
        <v>1200</v>
      </c>
      <c r="T1674">
        <v>0</v>
      </c>
      <c r="U1674">
        <v>1000</v>
      </c>
      <c r="V1674">
        <v>9948</v>
      </c>
      <c r="W1674">
        <v>8974</v>
      </c>
      <c r="X1674">
        <v>175000</v>
      </c>
      <c r="Y1674">
        <v>0</v>
      </c>
    </row>
    <row r="1675" spans="1:25" x14ac:dyDescent="0.3">
      <c r="A1675">
        <v>1674</v>
      </c>
      <c r="B1675">
        <v>220000</v>
      </c>
      <c r="C1675">
        <v>2</v>
      </c>
      <c r="D1675">
        <v>1</v>
      </c>
      <c r="E1675">
        <v>2</v>
      </c>
      <c r="F1675">
        <v>36</v>
      </c>
      <c r="G1675">
        <v>-2</v>
      </c>
      <c r="H1675">
        <v>-2</v>
      </c>
      <c r="I1675">
        <v>-2</v>
      </c>
      <c r="J1675">
        <v>-2</v>
      </c>
      <c r="K1675">
        <v>-2</v>
      </c>
      <c r="L1675">
        <v>-2</v>
      </c>
      <c r="M1675">
        <v>0</v>
      </c>
      <c r="N1675">
        <v>420</v>
      </c>
      <c r="O1675">
        <v>0</v>
      </c>
      <c r="P1675">
        <v>584</v>
      </c>
      <c r="Q1675">
        <v>790</v>
      </c>
      <c r="R1675">
        <v>0</v>
      </c>
      <c r="S1675">
        <v>420</v>
      </c>
      <c r="T1675">
        <v>0</v>
      </c>
      <c r="U1675">
        <v>584</v>
      </c>
      <c r="V1675">
        <v>790</v>
      </c>
      <c r="W1675">
        <v>0</v>
      </c>
      <c r="X1675">
        <v>1309</v>
      </c>
      <c r="Y1675">
        <v>0</v>
      </c>
    </row>
    <row r="1676" spans="1:25" x14ac:dyDescent="0.3">
      <c r="A1676">
        <v>1675</v>
      </c>
      <c r="B1676">
        <v>440000</v>
      </c>
      <c r="C1676">
        <v>1</v>
      </c>
      <c r="D1676">
        <v>1</v>
      </c>
      <c r="E1676">
        <v>1</v>
      </c>
      <c r="F1676">
        <v>37</v>
      </c>
      <c r="G1676">
        <v>-1</v>
      </c>
      <c r="H1676">
        <v>-1</v>
      </c>
      <c r="I1676">
        <v>-1</v>
      </c>
      <c r="J1676">
        <v>-1</v>
      </c>
      <c r="K1676">
        <v>-1</v>
      </c>
      <c r="L1676">
        <v>-1</v>
      </c>
      <c r="M1676">
        <v>4330</v>
      </c>
      <c r="N1676">
        <v>8369</v>
      </c>
      <c r="O1676">
        <v>16786</v>
      </c>
      <c r="P1676">
        <v>396</v>
      </c>
      <c r="Q1676">
        <v>600</v>
      </c>
      <c r="R1676">
        <v>3596</v>
      </c>
      <c r="S1676">
        <v>8369</v>
      </c>
      <c r="T1676">
        <v>16786</v>
      </c>
      <c r="U1676">
        <v>396</v>
      </c>
      <c r="V1676">
        <v>600</v>
      </c>
      <c r="W1676">
        <v>3596</v>
      </c>
      <c r="X1676">
        <v>4095</v>
      </c>
      <c r="Y1676">
        <v>0</v>
      </c>
    </row>
    <row r="1677" spans="1:25" x14ac:dyDescent="0.3">
      <c r="A1677">
        <v>1676</v>
      </c>
      <c r="B1677">
        <v>50000</v>
      </c>
      <c r="C1677">
        <v>1</v>
      </c>
      <c r="D1677">
        <v>2</v>
      </c>
      <c r="E1677">
        <v>2</v>
      </c>
      <c r="F1677">
        <v>49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90231</v>
      </c>
      <c r="N1677">
        <v>90647</v>
      </c>
      <c r="O1677">
        <v>92309</v>
      </c>
      <c r="P1677">
        <v>93880</v>
      </c>
      <c r="Q1677">
        <v>99418</v>
      </c>
      <c r="R1677">
        <v>101392</v>
      </c>
      <c r="S1677">
        <v>2852</v>
      </c>
      <c r="T1677">
        <v>2784</v>
      </c>
      <c r="U1677">
        <v>2603</v>
      </c>
      <c r="V1677">
        <v>10000</v>
      </c>
      <c r="W1677">
        <v>3164</v>
      </c>
      <c r="X1677">
        <v>2868</v>
      </c>
      <c r="Y1677">
        <v>1</v>
      </c>
    </row>
    <row r="1678" spans="1:25" x14ac:dyDescent="0.3">
      <c r="A1678">
        <v>1677</v>
      </c>
      <c r="B1678">
        <v>300000</v>
      </c>
      <c r="C1678">
        <v>1</v>
      </c>
      <c r="D1678">
        <v>1</v>
      </c>
      <c r="E1678">
        <v>2</v>
      </c>
      <c r="F1678">
        <v>31</v>
      </c>
      <c r="G1678">
        <v>-1</v>
      </c>
      <c r="H1678">
        <v>-1</v>
      </c>
      <c r="I1678">
        <v>-1</v>
      </c>
      <c r="J1678">
        <v>-1</v>
      </c>
      <c r="K1678">
        <v>-1</v>
      </c>
      <c r="L1678">
        <v>-1</v>
      </c>
      <c r="M1678">
        <v>40779</v>
      </c>
      <c r="N1678">
        <v>5401</v>
      </c>
      <c r="O1678">
        <v>2444</v>
      </c>
      <c r="P1678">
        <v>578</v>
      </c>
      <c r="Q1678">
        <v>390</v>
      </c>
      <c r="R1678">
        <v>1424</v>
      </c>
      <c r="S1678">
        <v>5401</v>
      </c>
      <c r="T1678">
        <v>2444</v>
      </c>
      <c r="U1678">
        <v>578</v>
      </c>
      <c r="V1678">
        <v>390</v>
      </c>
      <c r="W1678">
        <v>1424</v>
      </c>
      <c r="X1678">
        <v>390</v>
      </c>
      <c r="Y1678">
        <v>0</v>
      </c>
    </row>
    <row r="1679" spans="1:25" x14ac:dyDescent="0.3">
      <c r="A1679">
        <v>1678</v>
      </c>
      <c r="B1679">
        <v>290000</v>
      </c>
      <c r="C1679">
        <v>2</v>
      </c>
      <c r="D1679">
        <v>1</v>
      </c>
      <c r="E1679">
        <v>1</v>
      </c>
      <c r="F1679">
        <v>50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165563</v>
      </c>
      <c r="N1679">
        <v>128747</v>
      </c>
      <c r="O1679">
        <v>120469</v>
      </c>
      <c r="P1679">
        <v>78892</v>
      </c>
      <c r="Q1679">
        <v>81561</v>
      </c>
      <c r="R1679">
        <v>83687</v>
      </c>
      <c r="S1679">
        <v>7000</v>
      </c>
      <c r="T1679">
        <v>10009</v>
      </c>
      <c r="U1679">
        <v>5000</v>
      </c>
      <c r="V1679">
        <v>5000</v>
      </c>
      <c r="W1679">
        <v>5000</v>
      </c>
      <c r="X1679">
        <v>10000</v>
      </c>
      <c r="Y1679">
        <v>0</v>
      </c>
    </row>
    <row r="1680" spans="1:25" x14ac:dyDescent="0.3">
      <c r="A1680">
        <v>1679</v>
      </c>
      <c r="B1680">
        <v>390000</v>
      </c>
      <c r="C1680">
        <v>1</v>
      </c>
      <c r="D1680">
        <v>2</v>
      </c>
      <c r="E1680">
        <v>1</v>
      </c>
      <c r="F1680">
        <v>40</v>
      </c>
      <c r="G1680">
        <v>1</v>
      </c>
      <c r="H1680">
        <v>2</v>
      </c>
      <c r="I1680">
        <v>0</v>
      </c>
      <c r="J1680">
        <v>0</v>
      </c>
      <c r="K1680">
        <v>0</v>
      </c>
      <c r="L1680">
        <v>0</v>
      </c>
      <c r="M1680">
        <v>424244</v>
      </c>
      <c r="N1680">
        <v>395060</v>
      </c>
      <c r="O1680">
        <v>258372</v>
      </c>
      <c r="P1680">
        <v>261498</v>
      </c>
      <c r="Q1680">
        <v>213003</v>
      </c>
      <c r="R1680">
        <v>102423</v>
      </c>
      <c r="S1680">
        <v>587</v>
      </c>
      <c r="T1680">
        <v>9500</v>
      </c>
      <c r="U1680">
        <v>30140</v>
      </c>
      <c r="V1680">
        <v>4235</v>
      </c>
      <c r="W1680">
        <v>1998</v>
      </c>
      <c r="X1680">
        <v>25226</v>
      </c>
      <c r="Y1680">
        <v>0</v>
      </c>
    </row>
    <row r="1681" spans="1:25" x14ac:dyDescent="0.3">
      <c r="A1681">
        <v>1680</v>
      </c>
      <c r="B1681">
        <v>50000</v>
      </c>
      <c r="C1681">
        <v>2</v>
      </c>
      <c r="D1681">
        <v>2</v>
      </c>
      <c r="E1681">
        <v>2</v>
      </c>
      <c r="F1681">
        <v>24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29186</v>
      </c>
      <c r="N1681">
        <v>29792</v>
      </c>
      <c r="O1681">
        <v>26660</v>
      </c>
      <c r="P1681">
        <v>27416</v>
      </c>
      <c r="Q1681">
        <v>27836</v>
      </c>
      <c r="R1681">
        <v>28473</v>
      </c>
      <c r="S1681">
        <v>1500</v>
      </c>
      <c r="T1681">
        <v>1500</v>
      </c>
      <c r="U1681">
        <v>1200</v>
      </c>
      <c r="V1681">
        <v>1010</v>
      </c>
      <c r="W1681">
        <v>1100</v>
      </c>
      <c r="X1681">
        <v>980</v>
      </c>
      <c r="Y1681">
        <v>0</v>
      </c>
    </row>
    <row r="1682" spans="1:25" x14ac:dyDescent="0.3">
      <c r="A1682">
        <v>1681</v>
      </c>
      <c r="B1682">
        <v>220000</v>
      </c>
      <c r="C1682">
        <v>2</v>
      </c>
      <c r="D1682">
        <v>2</v>
      </c>
      <c r="E1682">
        <v>2</v>
      </c>
      <c r="F1682">
        <v>31</v>
      </c>
      <c r="G1682">
        <v>-1</v>
      </c>
      <c r="H1682">
        <v>-1</v>
      </c>
      <c r="I1682">
        <v>-2</v>
      </c>
      <c r="J1682">
        <v>-1</v>
      </c>
      <c r="K1682">
        <v>-1</v>
      </c>
      <c r="L1682">
        <v>-2</v>
      </c>
      <c r="M1682">
        <v>38746</v>
      </c>
      <c r="N1682">
        <v>0</v>
      </c>
      <c r="O1682">
        <v>0</v>
      </c>
      <c r="P1682">
        <v>110699</v>
      </c>
      <c r="Q1682">
        <v>0</v>
      </c>
      <c r="R1682">
        <v>0</v>
      </c>
      <c r="S1682">
        <v>0</v>
      </c>
      <c r="T1682">
        <v>0</v>
      </c>
      <c r="U1682">
        <v>110699</v>
      </c>
      <c r="V1682">
        <v>0</v>
      </c>
      <c r="W1682">
        <v>0</v>
      </c>
      <c r="X1682">
        <v>0</v>
      </c>
      <c r="Y1682">
        <v>1</v>
      </c>
    </row>
    <row r="1683" spans="1:25" x14ac:dyDescent="0.3">
      <c r="A1683">
        <v>1682</v>
      </c>
      <c r="B1683">
        <v>150000</v>
      </c>
      <c r="C1683">
        <v>2</v>
      </c>
      <c r="D1683">
        <v>2</v>
      </c>
      <c r="E1683">
        <v>2</v>
      </c>
      <c r="F1683">
        <v>29</v>
      </c>
      <c r="G1683">
        <v>0</v>
      </c>
      <c r="H1683">
        <v>0</v>
      </c>
      <c r="I1683">
        <v>-1</v>
      </c>
      <c r="J1683">
        <v>0</v>
      </c>
      <c r="K1683">
        <v>0</v>
      </c>
      <c r="L1683">
        <v>0</v>
      </c>
      <c r="M1683">
        <v>3559</v>
      </c>
      <c r="N1683">
        <v>4724</v>
      </c>
      <c r="O1683">
        <v>2629</v>
      </c>
      <c r="P1683">
        <v>2584</v>
      </c>
      <c r="Q1683">
        <v>1371</v>
      </c>
      <c r="R1683">
        <v>0</v>
      </c>
      <c r="S1683">
        <v>1222</v>
      </c>
      <c r="T1683">
        <v>2634</v>
      </c>
      <c r="U1683">
        <v>1008</v>
      </c>
      <c r="V1683">
        <v>506</v>
      </c>
      <c r="W1683">
        <v>0</v>
      </c>
      <c r="X1683">
        <v>0</v>
      </c>
      <c r="Y1683">
        <v>0</v>
      </c>
    </row>
    <row r="1684" spans="1:25" x14ac:dyDescent="0.3">
      <c r="A1684">
        <v>1683</v>
      </c>
      <c r="B1684">
        <v>50000</v>
      </c>
      <c r="C1684">
        <v>1</v>
      </c>
      <c r="D1684">
        <v>1</v>
      </c>
      <c r="E1684">
        <v>2</v>
      </c>
      <c r="F1684">
        <v>24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50963</v>
      </c>
      <c r="N1684">
        <v>49720</v>
      </c>
      <c r="O1684">
        <v>50839</v>
      </c>
      <c r="P1684">
        <v>93436</v>
      </c>
      <c r="Q1684">
        <v>46733</v>
      </c>
      <c r="R1684">
        <v>50925</v>
      </c>
      <c r="S1684">
        <v>1844</v>
      </c>
      <c r="T1684">
        <v>1963</v>
      </c>
      <c r="U1684">
        <v>2635</v>
      </c>
      <c r="V1684">
        <v>1750</v>
      </c>
      <c r="W1684">
        <v>5000</v>
      </c>
      <c r="X1684">
        <v>2160</v>
      </c>
      <c r="Y1684">
        <v>0</v>
      </c>
    </row>
    <row r="1685" spans="1:25" x14ac:dyDescent="0.3">
      <c r="A1685">
        <v>1684</v>
      </c>
      <c r="B1685">
        <v>200000</v>
      </c>
      <c r="C1685">
        <v>1</v>
      </c>
      <c r="D1685">
        <v>1</v>
      </c>
      <c r="E1685">
        <v>1</v>
      </c>
      <c r="F1685">
        <v>44</v>
      </c>
      <c r="G1685">
        <v>-1</v>
      </c>
      <c r="H1685">
        <v>-1</v>
      </c>
      <c r="I1685">
        <v>-2</v>
      </c>
      <c r="J1685">
        <v>-2</v>
      </c>
      <c r="K1685">
        <v>-2</v>
      </c>
      <c r="L1685">
        <v>-2</v>
      </c>
      <c r="M1685">
        <v>667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</row>
    <row r="1686" spans="1:25" x14ac:dyDescent="0.3">
      <c r="A1686">
        <v>1685</v>
      </c>
      <c r="B1686">
        <v>120000</v>
      </c>
      <c r="C1686">
        <v>2</v>
      </c>
      <c r="D1686">
        <v>2</v>
      </c>
      <c r="E1686">
        <v>2</v>
      </c>
      <c r="F1686">
        <v>30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16812</v>
      </c>
      <c r="N1686">
        <v>17571</v>
      </c>
      <c r="O1686">
        <v>18013</v>
      </c>
      <c r="P1686">
        <v>18197</v>
      </c>
      <c r="Q1686">
        <v>9032</v>
      </c>
      <c r="R1686">
        <v>11951</v>
      </c>
      <c r="S1686">
        <v>1358</v>
      </c>
      <c r="T1686">
        <v>1126</v>
      </c>
      <c r="U1686">
        <v>636</v>
      </c>
      <c r="V1686">
        <v>650</v>
      </c>
      <c r="W1686">
        <v>4000</v>
      </c>
      <c r="X1686">
        <v>1800</v>
      </c>
      <c r="Y1686">
        <v>0</v>
      </c>
    </row>
    <row r="1687" spans="1:25" x14ac:dyDescent="0.3">
      <c r="A1687">
        <v>1686</v>
      </c>
      <c r="B1687">
        <v>230000</v>
      </c>
      <c r="C1687">
        <v>2</v>
      </c>
      <c r="D1687">
        <v>1</v>
      </c>
      <c r="E1687">
        <v>1</v>
      </c>
      <c r="F1687">
        <v>61</v>
      </c>
      <c r="G1687">
        <v>-2</v>
      </c>
      <c r="H1687">
        <v>-2</v>
      </c>
      <c r="I1687">
        <v>-2</v>
      </c>
      <c r="J1687">
        <v>-2</v>
      </c>
      <c r="K1687">
        <v>-2</v>
      </c>
      <c r="L1687">
        <v>-2</v>
      </c>
      <c r="M1687">
        <v>1443</v>
      </c>
      <c r="N1687">
        <v>1443</v>
      </c>
      <c r="O1687">
        <v>1443</v>
      </c>
      <c r="P1687">
        <v>1443</v>
      </c>
      <c r="Q1687">
        <v>1443</v>
      </c>
      <c r="R1687">
        <v>1443</v>
      </c>
      <c r="S1687">
        <v>1443</v>
      </c>
      <c r="T1687">
        <v>1443</v>
      </c>
      <c r="U1687">
        <v>1443</v>
      </c>
      <c r="V1687">
        <v>1443</v>
      </c>
      <c r="W1687">
        <v>1443</v>
      </c>
      <c r="X1687">
        <v>1443</v>
      </c>
      <c r="Y1687">
        <v>0</v>
      </c>
    </row>
    <row r="1688" spans="1:25" x14ac:dyDescent="0.3">
      <c r="A1688">
        <v>1687</v>
      </c>
      <c r="B1688">
        <v>180000</v>
      </c>
      <c r="C1688">
        <v>2</v>
      </c>
      <c r="D1688">
        <v>2</v>
      </c>
      <c r="E1688">
        <v>1</v>
      </c>
      <c r="F1688">
        <v>28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133868</v>
      </c>
      <c r="N1688">
        <v>125613</v>
      </c>
      <c r="O1688">
        <v>86893</v>
      </c>
      <c r="P1688">
        <v>89014</v>
      </c>
      <c r="Q1688">
        <v>91946</v>
      </c>
      <c r="R1688">
        <v>93237</v>
      </c>
      <c r="S1688">
        <v>5300</v>
      </c>
      <c r="T1688">
        <v>4000</v>
      </c>
      <c r="U1688">
        <v>4000</v>
      </c>
      <c r="V1688">
        <v>10000</v>
      </c>
      <c r="W1688">
        <v>3200</v>
      </c>
      <c r="X1688">
        <v>3100</v>
      </c>
      <c r="Y1688">
        <v>0</v>
      </c>
    </row>
    <row r="1689" spans="1:25" x14ac:dyDescent="0.3">
      <c r="A1689">
        <v>1688</v>
      </c>
      <c r="B1689">
        <v>20000</v>
      </c>
      <c r="C1689">
        <v>1</v>
      </c>
      <c r="D1689">
        <v>1</v>
      </c>
      <c r="E1689">
        <v>2</v>
      </c>
      <c r="F1689">
        <v>22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23538</v>
      </c>
      <c r="N1689">
        <v>22780</v>
      </c>
      <c r="O1689">
        <v>23623</v>
      </c>
      <c r="P1689">
        <v>19600</v>
      </c>
      <c r="Q1689">
        <v>20100</v>
      </c>
      <c r="R1689">
        <v>0</v>
      </c>
      <c r="S1689">
        <v>3000</v>
      </c>
      <c r="T1689">
        <v>1400</v>
      </c>
      <c r="U1689">
        <v>2500</v>
      </c>
      <c r="V1689">
        <v>500</v>
      </c>
      <c r="W1689">
        <v>0</v>
      </c>
      <c r="X1689">
        <v>0</v>
      </c>
      <c r="Y1689">
        <v>0</v>
      </c>
    </row>
    <row r="1690" spans="1:25" x14ac:dyDescent="0.3">
      <c r="A1690">
        <v>1689</v>
      </c>
      <c r="B1690">
        <v>20000</v>
      </c>
      <c r="C1690">
        <v>1</v>
      </c>
      <c r="D1690">
        <v>2</v>
      </c>
      <c r="E1690">
        <v>2</v>
      </c>
      <c r="F1690">
        <v>23</v>
      </c>
      <c r="G1690">
        <v>0</v>
      </c>
      <c r="H1690">
        <v>0</v>
      </c>
      <c r="I1690">
        <v>2</v>
      </c>
      <c r="J1690">
        <v>0</v>
      </c>
      <c r="K1690">
        <v>0</v>
      </c>
      <c r="L1690">
        <v>0</v>
      </c>
      <c r="M1690">
        <v>18804</v>
      </c>
      <c r="N1690">
        <v>17855</v>
      </c>
      <c r="O1690">
        <v>17199</v>
      </c>
      <c r="P1690">
        <v>17548</v>
      </c>
      <c r="Q1690">
        <v>17992</v>
      </c>
      <c r="R1690">
        <v>31150</v>
      </c>
      <c r="S1690">
        <v>2150</v>
      </c>
      <c r="T1690">
        <v>1000</v>
      </c>
      <c r="U1690">
        <v>504</v>
      </c>
      <c r="V1690">
        <v>600</v>
      </c>
      <c r="W1690">
        <v>4000</v>
      </c>
      <c r="X1690">
        <v>4000</v>
      </c>
      <c r="Y1690">
        <v>0</v>
      </c>
    </row>
    <row r="1691" spans="1:25" x14ac:dyDescent="0.3">
      <c r="A1691">
        <v>1690</v>
      </c>
      <c r="B1691">
        <v>50000</v>
      </c>
      <c r="C1691">
        <v>1</v>
      </c>
      <c r="D1691">
        <v>3</v>
      </c>
      <c r="E1691">
        <v>1</v>
      </c>
      <c r="F1691">
        <v>46</v>
      </c>
      <c r="G1691">
        <v>-1</v>
      </c>
      <c r="H1691">
        <v>2</v>
      </c>
      <c r="I1691">
        <v>2</v>
      </c>
      <c r="J1691">
        <v>-2</v>
      </c>
      <c r="K1691">
        <v>-2</v>
      </c>
      <c r="L1691">
        <v>-2</v>
      </c>
      <c r="M1691">
        <v>13473</v>
      </c>
      <c r="N1691">
        <v>12800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1</v>
      </c>
    </row>
    <row r="1692" spans="1:25" x14ac:dyDescent="0.3">
      <c r="A1692">
        <v>1691</v>
      </c>
      <c r="B1692">
        <v>290000</v>
      </c>
      <c r="C1692">
        <v>2</v>
      </c>
      <c r="D1692">
        <v>1</v>
      </c>
      <c r="E1692">
        <v>2</v>
      </c>
      <c r="F1692">
        <v>24</v>
      </c>
      <c r="G1692">
        <v>-2</v>
      </c>
      <c r="H1692">
        <v>-2</v>
      </c>
      <c r="I1692">
        <v>-1</v>
      </c>
      <c r="J1692">
        <v>-1</v>
      </c>
      <c r="K1692">
        <v>-1</v>
      </c>
      <c r="L1692">
        <v>0</v>
      </c>
      <c r="M1692">
        <v>14931</v>
      </c>
      <c r="N1692">
        <v>15090</v>
      </c>
      <c r="O1692">
        <v>19239</v>
      </c>
      <c r="P1692">
        <v>4940</v>
      </c>
      <c r="Q1692">
        <v>93332</v>
      </c>
      <c r="R1692">
        <v>96112</v>
      </c>
      <c r="S1692">
        <v>15090</v>
      </c>
      <c r="T1692">
        <v>19239</v>
      </c>
      <c r="U1692">
        <v>4975</v>
      </c>
      <c r="V1692">
        <v>96151</v>
      </c>
      <c r="W1692">
        <v>5500</v>
      </c>
      <c r="X1692">
        <v>4000</v>
      </c>
      <c r="Y1692">
        <v>0</v>
      </c>
    </row>
    <row r="1693" spans="1:25" x14ac:dyDescent="0.3">
      <c r="A1693">
        <v>1692</v>
      </c>
      <c r="B1693">
        <v>290000</v>
      </c>
      <c r="C1693">
        <v>2</v>
      </c>
      <c r="D1693">
        <v>2</v>
      </c>
      <c r="E1693">
        <v>2</v>
      </c>
      <c r="F1693">
        <v>54</v>
      </c>
      <c r="G1693">
        <v>-2</v>
      </c>
      <c r="H1693">
        <v>-2</v>
      </c>
      <c r="I1693">
        <v>-2</v>
      </c>
      <c r="J1693">
        <v>-2</v>
      </c>
      <c r="K1693">
        <v>-2</v>
      </c>
      <c r="L1693">
        <v>-2</v>
      </c>
      <c r="M1693">
        <v>-68</v>
      </c>
      <c r="N1693">
        <v>-68</v>
      </c>
      <c r="O1693">
        <v>-68</v>
      </c>
      <c r="P1693">
        <v>675</v>
      </c>
      <c r="Q1693">
        <v>-6</v>
      </c>
      <c r="R1693">
        <v>2168</v>
      </c>
      <c r="S1693">
        <v>0</v>
      </c>
      <c r="T1693">
        <v>0</v>
      </c>
      <c r="U1693">
        <v>743</v>
      </c>
      <c r="V1693">
        <v>0</v>
      </c>
      <c r="W1693">
        <v>2174</v>
      </c>
      <c r="X1693">
        <v>972</v>
      </c>
      <c r="Y1693">
        <v>0</v>
      </c>
    </row>
    <row r="1694" spans="1:25" x14ac:dyDescent="0.3">
      <c r="A1694">
        <v>1693</v>
      </c>
      <c r="B1694">
        <v>150000</v>
      </c>
      <c r="C1694">
        <v>2</v>
      </c>
      <c r="D1694">
        <v>1</v>
      </c>
      <c r="E1694">
        <v>2</v>
      </c>
      <c r="F1694">
        <v>27</v>
      </c>
      <c r="G1694">
        <v>-2</v>
      </c>
      <c r="H1694">
        <v>-2</v>
      </c>
      <c r="I1694">
        <v>-2</v>
      </c>
      <c r="J1694">
        <v>-2</v>
      </c>
      <c r="K1694">
        <v>-2</v>
      </c>
      <c r="L1694">
        <v>-2</v>
      </c>
      <c r="M1694">
        <v>0</v>
      </c>
      <c r="N1694">
        <v>610</v>
      </c>
      <c r="O1694">
        <v>610</v>
      </c>
      <c r="P1694">
        <v>0</v>
      </c>
      <c r="Q1694">
        <v>610</v>
      </c>
      <c r="R1694">
        <v>0</v>
      </c>
      <c r="S1694">
        <v>610</v>
      </c>
      <c r="T1694">
        <v>610</v>
      </c>
      <c r="U1694">
        <v>0</v>
      </c>
      <c r="V1694">
        <v>610</v>
      </c>
      <c r="W1694">
        <v>0</v>
      </c>
      <c r="X1694">
        <v>0</v>
      </c>
      <c r="Y1694">
        <v>0</v>
      </c>
    </row>
    <row r="1695" spans="1:25" x14ac:dyDescent="0.3">
      <c r="A1695">
        <v>1694</v>
      </c>
      <c r="B1695">
        <v>190000</v>
      </c>
      <c r="C1695">
        <v>2</v>
      </c>
      <c r="D1695">
        <v>2</v>
      </c>
      <c r="E1695">
        <v>2</v>
      </c>
      <c r="F1695">
        <v>53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173058</v>
      </c>
      <c r="N1695">
        <v>133198</v>
      </c>
      <c r="O1695">
        <v>131891</v>
      </c>
      <c r="P1695">
        <v>133516</v>
      </c>
      <c r="Q1695">
        <v>135008</v>
      </c>
      <c r="R1695">
        <v>136486</v>
      </c>
      <c r="S1695">
        <v>6300</v>
      </c>
      <c r="T1695">
        <v>5000</v>
      </c>
      <c r="U1695">
        <v>5000</v>
      </c>
      <c r="V1695">
        <v>5000</v>
      </c>
      <c r="W1695">
        <v>5100</v>
      </c>
      <c r="X1695">
        <v>5000</v>
      </c>
      <c r="Y1695">
        <v>0</v>
      </c>
    </row>
    <row r="1696" spans="1:25" x14ac:dyDescent="0.3">
      <c r="A1696">
        <v>1695</v>
      </c>
      <c r="B1696">
        <v>80000</v>
      </c>
      <c r="C1696">
        <v>2</v>
      </c>
      <c r="D1696">
        <v>2</v>
      </c>
      <c r="E1696">
        <v>2</v>
      </c>
      <c r="F1696">
        <v>25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81003</v>
      </c>
      <c r="N1696">
        <v>85894</v>
      </c>
      <c r="O1696">
        <v>87061</v>
      </c>
      <c r="P1696">
        <v>89008</v>
      </c>
      <c r="Q1696">
        <v>93523</v>
      </c>
      <c r="R1696">
        <v>80288</v>
      </c>
      <c r="S1696">
        <v>8213</v>
      </c>
      <c r="T1696">
        <v>3491</v>
      </c>
      <c r="U1696">
        <v>3508</v>
      </c>
      <c r="V1696">
        <v>19523</v>
      </c>
      <c r="W1696">
        <v>3288</v>
      </c>
      <c r="X1696">
        <v>1570</v>
      </c>
      <c r="Y1696">
        <v>1</v>
      </c>
    </row>
    <row r="1697" spans="1:25" x14ac:dyDescent="0.3">
      <c r="A1697">
        <v>1696</v>
      </c>
      <c r="B1697">
        <v>250000</v>
      </c>
      <c r="C1697">
        <v>1</v>
      </c>
      <c r="D1697">
        <v>3</v>
      </c>
      <c r="E1697">
        <v>1</v>
      </c>
      <c r="F1697">
        <v>47</v>
      </c>
      <c r="G1697">
        <v>-1</v>
      </c>
      <c r="H1697">
        <v>-1</v>
      </c>
      <c r="I1697">
        <v>-1</v>
      </c>
      <c r="J1697">
        <v>-1</v>
      </c>
      <c r="K1697">
        <v>-1</v>
      </c>
      <c r="L1697">
        <v>-1</v>
      </c>
      <c r="M1697">
        <v>1170</v>
      </c>
      <c r="N1697">
        <v>1863</v>
      </c>
      <c r="O1697">
        <v>3100</v>
      </c>
      <c r="P1697">
        <v>2560</v>
      </c>
      <c r="Q1697">
        <v>2580</v>
      </c>
      <c r="R1697">
        <v>3699</v>
      </c>
      <c r="S1697">
        <v>1863</v>
      </c>
      <c r="T1697">
        <v>3112</v>
      </c>
      <c r="U1697">
        <v>2950</v>
      </c>
      <c r="V1697">
        <v>2580</v>
      </c>
      <c r="W1697">
        <v>3699</v>
      </c>
      <c r="X1697">
        <v>0</v>
      </c>
      <c r="Y1697">
        <v>0</v>
      </c>
    </row>
    <row r="1698" spans="1:25" x14ac:dyDescent="0.3">
      <c r="A1698">
        <v>1697</v>
      </c>
      <c r="B1698">
        <v>20000</v>
      </c>
      <c r="C1698">
        <v>1</v>
      </c>
      <c r="D1698">
        <v>2</v>
      </c>
      <c r="E1698">
        <v>1</v>
      </c>
      <c r="F1698">
        <v>35</v>
      </c>
      <c r="G1698">
        <v>1</v>
      </c>
      <c r="H1698">
        <v>2</v>
      </c>
      <c r="I1698">
        <v>2</v>
      </c>
      <c r="J1698">
        <v>0</v>
      </c>
      <c r="K1698">
        <v>0</v>
      </c>
      <c r="L1698">
        <v>0</v>
      </c>
      <c r="M1698">
        <v>19755</v>
      </c>
      <c r="N1698">
        <v>19661</v>
      </c>
      <c r="O1698">
        <v>20018</v>
      </c>
      <c r="P1698">
        <v>20427</v>
      </c>
      <c r="Q1698">
        <v>19377</v>
      </c>
      <c r="R1698">
        <v>19386</v>
      </c>
      <c r="S1698">
        <v>1000</v>
      </c>
      <c r="T1698">
        <v>1000</v>
      </c>
      <c r="U1698">
        <v>1000</v>
      </c>
      <c r="V1698">
        <v>1500</v>
      </c>
      <c r="W1698">
        <v>900</v>
      </c>
      <c r="X1698">
        <v>1000</v>
      </c>
      <c r="Y1698">
        <v>1</v>
      </c>
    </row>
    <row r="1699" spans="1:25" x14ac:dyDescent="0.3">
      <c r="A1699">
        <v>1698</v>
      </c>
      <c r="B1699">
        <v>180000</v>
      </c>
      <c r="C1699">
        <v>2</v>
      </c>
      <c r="D1699">
        <v>3</v>
      </c>
      <c r="E1699">
        <v>1</v>
      </c>
      <c r="F1699">
        <v>45</v>
      </c>
      <c r="G1699">
        <v>-1</v>
      </c>
      <c r="H1699">
        <v>-1</v>
      </c>
      <c r="I1699">
        <v>-1</v>
      </c>
      <c r="J1699">
        <v>-1</v>
      </c>
      <c r="K1699">
        <v>-1</v>
      </c>
      <c r="L1699">
        <v>-1</v>
      </c>
      <c r="M1699">
        <v>396</v>
      </c>
      <c r="N1699">
        <v>396</v>
      </c>
      <c r="O1699">
        <v>396</v>
      </c>
      <c r="P1699">
        <v>396</v>
      </c>
      <c r="Q1699">
        <v>396</v>
      </c>
      <c r="R1699">
        <v>396</v>
      </c>
      <c r="S1699">
        <v>396</v>
      </c>
      <c r="T1699">
        <v>396</v>
      </c>
      <c r="U1699">
        <v>396</v>
      </c>
      <c r="V1699">
        <v>396</v>
      </c>
      <c r="W1699">
        <v>396</v>
      </c>
      <c r="X1699">
        <v>396</v>
      </c>
      <c r="Y1699">
        <v>0</v>
      </c>
    </row>
    <row r="1700" spans="1:25" x14ac:dyDescent="0.3">
      <c r="A1700">
        <v>1699</v>
      </c>
      <c r="B1700">
        <v>80000</v>
      </c>
      <c r="C1700">
        <v>1</v>
      </c>
      <c r="D1700">
        <v>1</v>
      </c>
      <c r="E1700">
        <v>2</v>
      </c>
      <c r="F1700">
        <v>25</v>
      </c>
      <c r="G1700">
        <v>-1</v>
      </c>
      <c r="H1700">
        <v>-1</v>
      </c>
      <c r="I1700">
        <v>-1</v>
      </c>
      <c r="J1700">
        <v>-1</v>
      </c>
      <c r="K1700">
        <v>-1</v>
      </c>
      <c r="L1700">
        <v>2</v>
      </c>
      <c r="M1700">
        <v>2109</v>
      </c>
      <c r="N1700">
        <v>1257</v>
      </c>
      <c r="O1700">
        <v>466</v>
      </c>
      <c r="P1700">
        <v>628</v>
      </c>
      <c r="Q1700">
        <v>2395</v>
      </c>
      <c r="R1700">
        <v>930</v>
      </c>
      <c r="S1700">
        <v>1257</v>
      </c>
      <c r="T1700">
        <v>466</v>
      </c>
      <c r="U1700">
        <v>628</v>
      </c>
      <c r="V1700">
        <v>2395</v>
      </c>
      <c r="W1700">
        <v>0</v>
      </c>
      <c r="X1700">
        <v>601</v>
      </c>
      <c r="Y1700">
        <v>0</v>
      </c>
    </row>
    <row r="1701" spans="1:25" x14ac:dyDescent="0.3">
      <c r="A1701">
        <v>1700</v>
      </c>
      <c r="B1701">
        <v>300000</v>
      </c>
      <c r="C1701">
        <v>1</v>
      </c>
      <c r="D1701">
        <v>1</v>
      </c>
      <c r="E1701">
        <v>2</v>
      </c>
      <c r="F1701">
        <v>31</v>
      </c>
      <c r="G1701">
        <v>-1</v>
      </c>
      <c r="H1701">
        <v>-1</v>
      </c>
      <c r="I1701">
        <v>-1</v>
      </c>
      <c r="J1701">
        <v>-1</v>
      </c>
      <c r="K1701">
        <v>0</v>
      </c>
      <c r="L1701">
        <v>-1</v>
      </c>
      <c r="M1701">
        <v>2166</v>
      </c>
      <c r="N1701">
        <v>2894</v>
      </c>
      <c r="O1701">
        <v>8903</v>
      </c>
      <c r="P1701">
        <v>12445</v>
      </c>
      <c r="Q1701">
        <v>24650</v>
      </c>
      <c r="R1701">
        <v>8339</v>
      </c>
      <c r="S1701">
        <v>2918</v>
      </c>
      <c r="T1701">
        <v>8974</v>
      </c>
      <c r="U1701">
        <v>12457</v>
      </c>
      <c r="V1701">
        <v>15113</v>
      </c>
      <c r="W1701">
        <v>8369</v>
      </c>
      <c r="X1701">
        <v>3832</v>
      </c>
      <c r="Y1701">
        <v>0</v>
      </c>
    </row>
    <row r="1702" spans="1:25" x14ac:dyDescent="0.3">
      <c r="A1702">
        <v>1701</v>
      </c>
      <c r="B1702">
        <v>50000</v>
      </c>
      <c r="C1702">
        <v>2</v>
      </c>
      <c r="D1702">
        <v>3</v>
      </c>
      <c r="E1702">
        <v>1</v>
      </c>
      <c r="F1702">
        <v>51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-1</v>
      </c>
      <c r="M1702">
        <v>20454</v>
      </c>
      <c r="N1702">
        <v>21899</v>
      </c>
      <c r="O1702">
        <v>20895</v>
      </c>
      <c r="P1702">
        <v>11241</v>
      </c>
      <c r="Q1702">
        <v>-861</v>
      </c>
      <c r="R1702">
        <v>38040</v>
      </c>
      <c r="S1702">
        <v>2100</v>
      </c>
      <c r="T1702">
        <v>2000</v>
      </c>
      <c r="U1702">
        <v>1000</v>
      </c>
      <c r="V1702">
        <v>0</v>
      </c>
      <c r="W1702">
        <v>39500</v>
      </c>
      <c r="X1702">
        <v>1500</v>
      </c>
      <c r="Y1702">
        <v>0</v>
      </c>
    </row>
    <row r="1703" spans="1:25" x14ac:dyDescent="0.3">
      <c r="A1703">
        <v>1702</v>
      </c>
      <c r="B1703">
        <v>70000</v>
      </c>
      <c r="C1703">
        <v>2</v>
      </c>
      <c r="D1703">
        <v>1</v>
      </c>
      <c r="E1703">
        <v>1</v>
      </c>
      <c r="F1703">
        <v>40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51959</v>
      </c>
      <c r="N1703">
        <v>40519</v>
      </c>
      <c r="O1703">
        <v>31310</v>
      </c>
      <c r="P1703">
        <v>28929</v>
      </c>
      <c r="Q1703">
        <v>29535</v>
      </c>
      <c r="R1703">
        <v>28160</v>
      </c>
      <c r="S1703">
        <v>1597</v>
      </c>
      <c r="T1703">
        <v>1407</v>
      </c>
      <c r="U1703">
        <v>972</v>
      </c>
      <c r="V1703">
        <v>1007</v>
      </c>
      <c r="W1703">
        <v>1028</v>
      </c>
      <c r="X1703">
        <v>913</v>
      </c>
      <c r="Y1703">
        <v>0</v>
      </c>
    </row>
    <row r="1704" spans="1:25" x14ac:dyDescent="0.3">
      <c r="A1704">
        <v>1703</v>
      </c>
      <c r="B1704">
        <v>150000</v>
      </c>
      <c r="C1704">
        <v>2</v>
      </c>
      <c r="D1704">
        <v>1</v>
      </c>
      <c r="E1704">
        <v>2</v>
      </c>
      <c r="F1704">
        <v>30</v>
      </c>
      <c r="G1704">
        <v>0</v>
      </c>
      <c r="H1704">
        <v>0</v>
      </c>
      <c r="I1704">
        <v>2</v>
      </c>
      <c r="J1704">
        <v>0</v>
      </c>
      <c r="K1704">
        <v>0</v>
      </c>
      <c r="L1704">
        <v>2</v>
      </c>
      <c r="M1704">
        <v>44795</v>
      </c>
      <c r="N1704">
        <v>43700</v>
      </c>
      <c r="O1704">
        <v>19543</v>
      </c>
      <c r="P1704">
        <v>34648</v>
      </c>
      <c r="Q1704">
        <v>24241</v>
      </c>
      <c r="R1704">
        <v>19339</v>
      </c>
      <c r="S1704">
        <v>10000</v>
      </c>
      <c r="T1704">
        <v>20</v>
      </c>
      <c r="U1704">
        <v>30000</v>
      </c>
      <c r="V1704">
        <v>19800</v>
      </c>
      <c r="W1704">
        <v>0</v>
      </c>
      <c r="X1704">
        <v>5000</v>
      </c>
      <c r="Y1704">
        <v>1</v>
      </c>
    </row>
    <row r="1705" spans="1:25" x14ac:dyDescent="0.3">
      <c r="A1705">
        <v>1704</v>
      </c>
      <c r="B1705">
        <v>320000</v>
      </c>
      <c r="C1705">
        <v>2</v>
      </c>
      <c r="D1705">
        <v>1</v>
      </c>
      <c r="E1705">
        <v>2</v>
      </c>
      <c r="F1705">
        <v>29</v>
      </c>
      <c r="G1705">
        <v>-1</v>
      </c>
      <c r="H1705">
        <v>-1</v>
      </c>
      <c r="I1705">
        <v>-1</v>
      </c>
      <c r="J1705">
        <v>-1</v>
      </c>
      <c r="K1705">
        <v>-1</v>
      </c>
      <c r="L1705">
        <v>0</v>
      </c>
      <c r="M1705">
        <v>179226</v>
      </c>
      <c r="N1705">
        <v>-200</v>
      </c>
      <c r="O1705">
        <v>200</v>
      </c>
      <c r="P1705">
        <v>0</v>
      </c>
      <c r="Q1705">
        <v>10000</v>
      </c>
      <c r="R1705">
        <v>210000</v>
      </c>
      <c r="S1705">
        <v>0</v>
      </c>
      <c r="T1705">
        <v>400</v>
      </c>
      <c r="U1705">
        <v>0</v>
      </c>
      <c r="V1705">
        <v>10000</v>
      </c>
      <c r="W1705">
        <v>200000</v>
      </c>
      <c r="X1705">
        <v>0</v>
      </c>
      <c r="Y1705">
        <v>0</v>
      </c>
    </row>
    <row r="1706" spans="1:25" x14ac:dyDescent="0.3">
      <c r="A1706">
        <v>1705</v>
      </c>
      <c r="B1706">
        <v>60000</v>
      </c>
      <c r="C1706">
        <v>2</v>
      </c>
      <c r="D1706">
        <v>1</v>
      </c>
      <c r="E1706">
        <v>2</v>
      </c>
      <c r="F1706">
        <v>24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60381</v>
      </c>
      <c r="N1706">
        <v>39798</v>
      </c>
      <c r="O1706">
        <v>38344</v>
      </c>
      <c r="P1706">
        <v>37311</v>
      </c>
      <c r="Q1706">
        <v>37428</v>
      </c>
      <c r="R1706">
        <v>38187</v>
      </c>
      <c r="S1706">
        <v>1639</v>
      </c>
      <c r="T1706">
        <v>1590</v>
      </c>
      <c r="U1706">
        <v>1500</v>
      </c>
      <c r="V1706">
        <v>1354</v>
      </c>
      <c r="W1706">
        <v>1377</v>
      </c>
      <c r="X1706">
        <v>1514</v>
      </c>
      <c r="Y1706">
        <v>0</v>
      </c>
    </row>
    <row r="1707" spans="1:25" x14ac:dyDescent="0.3">
      <c r="A1707">
        <v>1706</v>
      </c>
      <c r="B1707">
        <v>20000</v>
      </c>
      <c r="C1707">
        <v>1</v>
      </c>
      <c r="D1707">
        <v>3</v>
      </c>
      <c r="E1707">
        <v>2</v>
      </c>
      <c r="F1707">
        <v>32</v>
      </c>
      <c r="G1707">
        <v>0</v>
      </c>
      <c r="H1707">
        <v>0</v>
      </c>
      <c r="I1707">
        <v>2</v>
      </c>
      <c r="J1707">
        <v>2</v>
      </c>
      <c r="K1707">
        <v>2</v>
      </c>
      <c r="L1707">
        <v>0</v>
      </c>
      <c r="M1707">
        <v>3677</v>
      </c>
      <c r="N1707">
        <v>6002</v>
      </c>
      <c r="O1707">
        <v>5758</v>
      </c>
      <c r="P1707">
        <v>12619</v>
      </c>
      <c r="Q1707">
        <v>12274</v>
      </c>
      <c r="R1707">
        <v>15049</v>
      </c>
      <c r="S1707">
        <v>2400</v>
      </c>
      <c r="T1707">
        <v>0</v>
      </c>
      <c r="U1707">
        <v>7000</v>
      </c>
      <c r="V1707">
        <v>0</v>
      </c>
      <c r="W1707">
        <v>3000</v>
      </c>
      <c r="X1707">
        <v>4000</v>
      </c>
      <c r="Y1707">
        <v>1</v>
      </c>
    </row>
    <row r="1708" spans="1:25" x14ac:dyDescent="0.3">
      <c r="A1708">
        <v>1707</v>
      </c>
      <c r="B1708">
        <v>230000</v>
      </c>
      <c r="C1708">
        <v>1</v>
      </c>
      <c r="D1708">
        <v>1</v>
      </c>
      <c r="E1708">
        <v>2</v>
      </c>
      <c r="F1708">
        <v>35</v>
      </c>
      <c r="G1708">
        <v>2</v>
      </c>
      <c r="H1708">
        <v>2</v>
      </c>
      <c r="I1708">
        <v>2</v>
      </c>
      <c r="J1708">
        <v>2</v>
      </c>
      <c r="K1708">
        <v>2</v>
      </c>
      <c r="L1708">
        <v>2</v>
      </c>
      <c r="M1708">
        <v>117277</v>
      </c>
      <c r="N1708">
        <v>119823</v>
      </c>
      <c r="O1708">
        <v>120988</v>
      </c>
      <c r="P1708">
        <v>121464</v>
      </c>
      <c r="Q1708">
        <v>123740</v>
      </c>
      <c r="R1708">
        <v>120937</v>
      </c>
      <c r="S1708">
        <v>5800</v>
      </c>
      <c r="T1708">
        <v>4500</v>
      </c>
      <c r="U1708">
        <v>3800</v>
      </c>
      <c r="V1708">
        <v>5000</v>
      </c>
      <c r="W1708">
        <v>0</v>
      </c>
      <c r="X1708">
        <v>4500</v>
      </c>
      <c r="Y1708">
        <v>0</v>
      </c>
    </row>
    <row r="1709" spans="1:25" x14ac:dyDescent="0.3">
      <c r="A1709">
        <v>1708</v>
      </c>
      <c r="B1709">
        <v>310000</v>
      </c>
      <c r="C1709">
        <v>2</v>
      </c>
      <c r="D1709">
        <v>2</v>
      </c>
      <c r="E1709">
        <v>1</v>
      </c>
      <c r="F1709">
        <v>29</v>
      </c>
      <c r="G1709">
        <v>0</v>
      </c>
      <c r="H1709">
        <v>0</v>
      </c>
      <c r="I1709">
        <v>0</v>
      </c>
      <c r="J1709">
        <v>-1</v>
      </c>
      <c r="K1709">
        <v>0</v>
      </c>
      <c r="L1709">
        <v>0</v>
      </c>
      <c r="M1709">
        <v>74955</v>
      </c>
      <c r="N1709">
        <v>77730</v>
      </c>
      <c r="O1709">
        <v>78497</v>
      </c>
      <c r="P1709">
        <v>72529</v>
      </c>
      <c r="Q1709">
        <v>76345</v>
      </c>
      <c r="R1709">
        <v>79072</v>
      </c>
      <c r="S1709">
        <v>4000</v>
      </c>
      <c r="T1709">
        <v>5000</v>
      </c>
      <c r="U1709">
        <v>72529</v>
      </c>
      <c r="V1709">
        <v>5000</v>
      </c>
      <c r="W1709">
        <v>4000</v>
      </c>
      <c r="X1709">
        <v>4000</v>
      </c>
      <c r="Y1709">
        <v>0</v>
      </c>
    </row>
    <row r="1710" spans="1:25" x14ac:dyDescent="0.3">
      <c r="A1710">
        <v>1709</v>
      </c>
      <c r="B1710">
        <v>230000</v>
      </c>
      <c r="C1710">
        <v>2</v>
      </c>
      <c r="D1710">
        <v>1</v>
      </c>
      <c r="E1710">
        <v>2</v>
      </c>
      <c r="F1710">
        <v>36</v>
      </c>
      <c r="G1710">
        <v>-1</v>
      </c>
      <c r="H1710">
        <v>-1</v>
      </c>
      <c r="I1710">
        <v>-1</v>
      </c>
      <c r="J1710">
        <v>0</v>
      </c>
      <c r="K1710">
        <v>0</v>
      </c>
      <c r="L1710">
        <v>0</v>
      </c>
      <c r="M1710">
        <v>1545</v>
      </c>
      <c r="N1710">
        <v>306</v>
      </c>
      <c r="O1710">
        <v>8389</v>
      </c>
      <c r="P1710">
        <v>7465</v>
      </c>
      <c r="Q1710">
        <v>6549</v>
      </c>
      <c r="R1710">
        <v>576</v>
      </c>
      <c r="S1710">
        <v>306</v>
      </c>
      <c r="T1710">
        <v>8389</v>
      </c>
      <c r="U1710">
        <v>9</v>
      </c>
      <c r="V1710">
        <v>0</v>
      </c>
      <c r="W1710">
        <v>0</v>
      </c>
      <c r="X1710">
        <v>342</v>
      </c>
      <c r="Y1710">
        <v>0</v>
      </c>
    </row>
    <row r="1711" spans="1:25" x14ac:dyDescent="0.3">
      <c r="A1711">
        <v>1710</v>
      </c>
      <c r="B1711">
        <v>200000</v>
      </c>
      <c r="C1711">
        <v>2</v>
      </c>
      <c r="D1711">
        <v>1</v>
      </c>
      <c r="E1711">
        <v>1</v>
      </c>
      <c r="F1711">
        <v>40</v>
      </c>
      <c r="G1711">
        <v>-2</v>
      </c>
      <c r="H1711">
        <v>-2</v>
      </c>
      <c r="I1711">
        <v>-2</v>
      </c>
      <c r="J1711">
        <v>-2</v>
      </c>
      <c r="K1711">
        <v>-2</v>
      </c>
      <c r="L1711">
        <v>-2</v>
      </c>
      <c r="M1711">
        <v>2552</v>
      </c>
      <c r="N1711">
        <v>8064</v>
      </c>
      <c r="O1711">
        <v>32082</v>
      </c>
      <c r="P1711">
        <v>6914</v>
      </c>
      <c r="Q1711">
        <v>1905</v>
      </c>
      <c r="R1711">
        <v>3244</v>
      </c>
      <c r="S1711">
        <v>8084</v>
      </c>
      <c r="T1711">
        <v>32105</v>
      </c>
      <c r="U1711">
        <v>7186</v>
      </c>
      <c r="V1711">
        <v>1905</v>
      </c>
      <c r="W1711">
        <v>3244</v>
      </c>
      <c r="X1711">
        <v>9768</v>
      </c>
      <c r="Y1711">
        <v>0</v>
      </c>
    </row>
    <row r="1712" spans="1:25" x14ac:dyDescent="0.3">
      <c r="A1712">
        <v>1711</v>
      </c>
      <c r="B1712">
        <v>100000</v>
      </c>
      <c r="C1712">
        <v>2</v>
      </c>
      <c r="D1712">
        <v>1</v>
      </c>
      <c r="E1712">
        <v>2</v>
      </c>
      <c r="F1712">
        <v>30</v>
      </c>
      <c r="G1712">
        <v>0</v>
      </c>
      <c r="H1712">
        <v>0</v>
      </c>
      <c r="I1712">
        <v>0</v>
      </c>
      <c r="J1712">
        <v>0</v>
      </c>
      <c r="K1712">
        <v>2</v>
      </c>
      <c r="L1712">
        <v>0</v>
      </c>
      <c r="M1712">
        <v>28383</v>
      </c>
      <c r="N1712">
        <v>32903</v>
      </c>
      <c r="O1712">
        <v>42283</v>
      </c>
      <c r="P1712">
        <v>51539</v>
      </c>
      <c r="Q1712">
        <v>50583</v>
      </c>
      <c r="R1712">
        <v>52588</v>
      </c>
      <c r="S1712">
        <v>5000</v>
      </c>
      <c r="T1712">
        <v>10000</v>
      </c>
      <c r="U1712">
        <v>10000</v>
      </c>
      <c r="V1712">
        <v>0</v>
      </c>
      <c r="W1712">
        <v>2846</v>
      </c>
      <c r="X1712">
        <v>1936</v>
      </c>
      <c r="Y1712">
        <v>1</v>
      </c>
    </row>
    <row r="1713" spans="1:25" x14ac:dyDescent="0.3">
      <c r="A1713">
        <v>1712</v>
      </c>
      <c r="B1713">
        <v>310000</v>
      </c>
      <c r="C1713">
        <v>1</v>
      </c>
      <c r="D1713">
        <v>2</v>
      </c>
      <c r="E1713">
        <v>1</v>
      </c>
      <c r="F1713">
        <v>64</v>
      </c>
      <c r="G1713">
        <v>-1</v>
      </c>
      <c r="H1713">
        <v>-1</v>
      </c>
      <c r="I1713">
        <v>-1</v>
      </c>
      <c r="J1713">
        <v>0</v>
      </c>
      <c r="K1713">
        <v>-1</v>
      </c>
      <c r="L1713">
        <v>-1</v>
      </c>
      <c r="M1713">
        <v>1920</v>
      </c>
      <c r="N1713">
        <v>0</v>
      </c>
      <c r="O1713">
        <v>10124</v>
      </c>
      <c r="P1713">
        <v>10130</v>
      </c>
      <c r="Q1713">
        <v>7958</v>
      </c>
      <c r="R1713">
        <v>0</v>
      </c>
      <c r="S1713">
        <v>0</v>
      </c>
      <c r="T1713">
        <v>10124</v>
      </c>
      <c r="U1713">
        <v>6</v>
      </c>
      <c r="V1713">
        <v>7958</v>
      </c>
      <c r="W1713">
        <v>0</v>
      </c>
      <c r="X1713">
        <v>0</v>
      </c>
      <c r="Y1713">
        <v>0</v>
      </c>
    </row>
    <row r="1714" spans="1:25" x14ac:dyDescent="0.3">
      <c r="A1714">
        <v>1713</v>
      </c>
      <c r="B1714">
        <v>180000</v>
      </c>
      <c r="C1714">
        <v>1</v>
      </c>
      <c r="D1714">
        <v>3</v>
      </c>
      <c r="E1714">
        <v>1</v>
      </c>
      <c r="F1714">
        <v>33</v>
      </c>
      <c r="G1714">
        <v>2</v>
      </c>
      <c r="H1714">
        <v>2</v>
      </c>
      <c r="I1714">
        <v>0</v>
      </c>
      <c r="J1714">
        <v>0</v>
      </c>
      <c r="K1714">
        <v>0</v>
      </c>
      <c r="L1714">
        <v>2</v>
      </c>
      <c r="M1714">
        <v>159999</v>
      </c>
      <c r="N1714">
        <v>156038</v>
      </c>
      <c r="O1714">
        <v>159924</v>
      </c>
      <c r="P1714">
        <v>162775</v>
      </c>
      <c r="Q1714">
        <v>174719</v>
      </c>
      <c r="R1714">
        <v>178651</v>
      </c>
      <c r="S1714">
        <v>0</v>
      </c>
      <c r="T1714">
        <v>8000</v>
      </c>
      <c r="U1714">
        <v>7000</v>
      </c>
      <c r="V1714">
        <v>15000</v>
      </c>
      <c r="W1714">
        <v>7000</v>
      </c>
      <c r="X1714">
        <v>0</v>
      </c>
      <c r="Y1714">
        <v>1</v>
      </c>
    </row>
    <row r="1715" spans="1:25" x14ac:dyDescent="0.3">
      <c r="A1715">
        <v>1714</v>
      </c>
      <c r="B1715">
        <v>390000</v>
      </c>
      <c r="C1715">
        <v>2</v>
      </c>
      <c r="D1715">
        <v>1</v>
      </c>
      <c r="E1715">
        <v>1</v>
      </c>
      <c r="F1715">
        <v>38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164418</v>
      </c>
      <c r="N1715">
        <v>167501</v>
      </c>
      <c r="O1715">
        <v>134282</v>
      </c>
      <c r="P1715">
        <v>128701</v>
      </c>
      <c r="Q1715">
        <v>131529</v>
      </c>
      <c r="R1715">
        <v>135242</v>
      </c>
      <c r="S1715">
        <v>9000</v>
      </c>
      <c r="T1715">
        <v>7027</v>
      </c>
      <c r="U1715">
        <v>5000</v>
      </c>
      <c r="V1715">
        <v>5000</v>
      </c>
      <c r="W1715">
        <v>6000</v>
      </c>
      <c r="X1715">
        <v>5000</v>
      </c>
      <c r="Y1715">
        <v>0</v>
      </c>
    </row>
    <row r="1716" spans="1:25" x14ac:dyDescent="0.3">
      <c r="A1716">
        <v>1715</v>
      </c>
      <c r="B1716">
        <v>20000</v>
      </c>
      <c r="C1716">
        <v>2</v>
      </c>
      <c r="D1716">
        <v>1</v>
      </c>
      <c r="E1716">
        <v>2</v>
      </c>
      <c r="F1716">
        <v>26</v>
      </c>
      <c r="G1716">
        <v>1</v>
      </c>
      <c r="H1716">
        <v>-2</v>
      </c>
      <c r="I1716">
        <v>-1</v>
      </c>
      <c r="J1716">
        <v>-1</v>
      </c>
      <c r="K1716">
        <v>-1</v>
      </c>
      <c r="L1716">
        <v>-1</v>
      </c>
      <c r="M1716">
        <v>0</v>
      </c>
      <c r="N1716">
        <v>0</v>
      </c>
      <c r="O1716">
        <v>450</v>
      </c>
      <c r="P1716">
        <v>-150</v>
      </c>
      <c r="Q1716">
        <v>750</v>
      </c>
      <c r="R1716">
        <v>568</v>
      </c>
      <c r="S1716">
        <v>0</v>
      </c>
      <c r="T1716">
        <v>450</v>
      </c>
      <c r="U1716">
        <v>0</v>
      </c>
      <c r="V1716">
        <v>900</v>
      </c>
      <c r="W1716">
        <v>568</v>
      </c>
      <c r="X1716">
        <v>1769</v>
      </c>
      <c r="Y1716">
        <v>0</v>
      </c>
    </row>
    <row r="1717" spans="1:25" x14ac:dyDescent="0.3">
      <c r="A1717">
        <v>1716</v>
      </c>
      <c r="B1717">
        <v>50000</v>
      </c>
      <c r="C1717">
        <v>2</v>
      </c>
      <c r="D1717">
        <v>2</v>
      </c>
      <c r="E1717">
        <v>1</v>
      </c>
      <c r="F1717">
        <v>26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45663</v>
      </c>
      <c r="N1717">
        <v>43522</v>
      </c>
      <c r="O1717">
        <v>43193</v>
      </c>
      <c r="P1717">
        <v>18768</v>
      </c>
      <c r="Q1717">
        <v>19182</v>
      </c>
      <c r="R1717">
        <v>19447</v>
      </c>
      <c r="S1717">
        <v>2300</v>
      </c>
      <c r="T1717">
        <v>2349</v>
      </c>
      <c r="U1717">
        <v>800</v>
      </c>
      <c r="V1717">
        <v>835</v>
      </c>
      <c r="W1717">
        <v>726</v>
      </c>
      <c r="X1717">
        <v>361</v>
      </c>
      <c r="Y1717">
        <v>0</v>
      </c>
    </row>
    <row r="1718" spans="1:25" x14ac:dyDescent="0.3">
      <c r="A1718">
        <v>1717</v>
      </c>
      <c r="B1718">
        <v>140000</v>
      </c>
      <c r="C1718">
        <v>1</v>
      </c>
      <c r="D1718">
        <v>1</v>
      </c>
      <c r="E1718">
        <v>2</v>
      </c>
      <c r="F1718">
        <v>29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142087</v>
      </c>
      <c r="N1718">
        <v>255846</v>
      </c>
      <c r="O1718">
        <v>140057</v>
      </c>
      <c r="P1718">
        <v>100177</v>
      </c>
      <c r="Q1718">
        <v>100873</v>
      </c>
      <c r="R1718">
        <v>98363</v>
      </c>
      <c r="S1718">
        <v>5528</v>
      </c>
      <c r="T1718">
        <v>4500</v>
      </c>
      <c r="U1718">
        <v>3500</v>
      </c>
      <c r="V1718">
        <v>4000</v>
      </c>
      <c r="W1718">
        <v>4000</v>
      </c>
      <c r="X1718">
        <v>4000</v>
      </c>
      <c r="Y1718">
        <v>0</v>
      </c>
    </row>
    <row r="1719" spans="1:25" x14ac:dyDescent="0.3">
      <c r="A1719">
        <v>1718</v>
      </c>
      <c r="B1719">
        <v>170000</v>
      </c>
      <c r="C1719">
        <v>1</v>
      </c>
      <c r="D1719">
        <v>1</v>
      </c>
      <c r="E1719">
        <v>2</v>
      </c>
      <c r="F1719">
        <v>37</v>
      </c>
      <c r="G1719">
        <v>-1</v>
      </c>
      <c r="H1719">
        <v>-1</v>
      </c>
      <c r="I1719">
        <v>-1</v>
      </c>
      <c r="J1719">
        <v>-1</v>
      </c>
      <c r="K1719">
        <v>-1</v>
      </c>
      <c r="L1719">
        <v>-1</v>
      </c>
      <c r="M1719">
        <v>4334</v>
      </c>
      <c r="N1719">
        <v>1343</v>
      </c>
      <c r="O1719">
        <v>1078</v>
      </c>
      <c r="P1719">
        <v>1392</v>
      </c>
      <c r="Q1719">
        <v>1606</v>
      </c>
      <c r="R1719">
        <v>9955</v>
      </c>
      <c r="S1719">
        <v>1343</v>
      </c>
      <c r="T1719">
        <v>1078</v>
      </c>
      <c r="U1719">
        <v>1392</v>
      </c>
      <c r="V1719">
        <v>1606</v>
      </c>
      <c r="W1719">
        <v>9955</v>
      </c>
      <c r="X1719">
        <v>4382</v>
      </c>
      <c r="Y1719">
        <v>1</v>
      </c>
    </row>
    <row r="1720" spans="1:25" x14ac:dyDescent="0.3">
      <c r="A1720">
        <v>1719</v>
      </c>
      <c r="B1720">
        <v>250000</v>
      </c>
      <c r="C1720">
        <v>2</v>
      </c>
      <c r="D1720">
        <v>2</v>
      </c>
      <c r="E1720">
        <v>1</v>
      </c>
      <c r="F1720">
        <v>45</v>
      </c>
      <c r="G1720">
        <v>-2</v>
      </c>
      <c r="H1720">
        <v>-2</v>
      </c>
      <c r="I1720">
        <v>-2</v>
      </c>
      <c r="J1720">
        <v>-2</v>
      </c>
      <c r="K1720">
        <v>-2</v>
      </c>
      <c r="L1720">
        <v>-2</v>
      </c>
      <c r="M1720">
        <v>100323</v>
      </c>
      <c r="N1720">
        <v>37494</v>
      </c>
      <c r="O1720">
        <v>41300</v>
      </c>
      <c r="P1720">
        <v>0</v>
      </c>
      <c r="Q1720">
        <v>0</v>
      </c>
      <c r="R1720">
        <v>0</v>
      </c>
      <c r="S1720">
        <v>2500</v>
      </c>
      <c r="T1720">
        <v>5300</v>
      </c>
      <c r="U1720">
        <v>0</v>
      </c>
      <c r="V1720">
        <v>0</v>
      </c>
      <c r="W1720">
        <v>0</v>
      </c>
      <c r="X1720">
        <v>0</v>
      </c>
      <c r="Y1720">
        <v>0</v>
      </c>
    </row>
    <row r="1721" spans="1:25" x14ac:dyDescent="0.3">
      <c r="A1721">
        <v>1720</v>
      </c>
      <c r="B1721">
        <v>50000</v>
      </c>
      <c r="C1721">
        <v>2</v>
      </c>
      <c r="D1721">
        <v>3</v>
      </c>
      <c r="E1721">
        <v>1</v>
      </c>
      <c r="F1721">
        <v>40</v>
      </c>
      <c r="G1721">
        <v>2</v>
      </c>
      <c r="H1721">
        <v>2</v>
      </c>
      <c r="I1721">
        <v>0</v>
      </c>
      <c r="J1721">
        <v>0</v>
      </c>
      <c r="K1721">
        <v>0</v>
      </c>
      <c r="L1721">
        <v>0</v>
      </c>
      <c r="M1721">
        <v>49157</v>
      </c>
      <c r="N1721">
        <v>47990</v>
      </c>
      <c r="O1721">
        <v>38426</v>
      </c>
      <c r="P1721">
        <v>7816</v>
      </c>
      <c r="Q1721">
        <v>7859</v>
      </c>
      <c r="R1721">
        <v>7979</v>
      </c>
      <c r="S1721">
        <v>0</v>
      </c>
      <c r="T1721">
        <v>2050</v>
      </c>
      <c r="U1721">
        <v>500</v>
      </c>
      <c r="V1721">
        <v>500</v>
      </c>
      <c r="W1721">
        <v>400</v>
      </c>
      <c r="X1721">
        <v>400</v>
      </c>
      <c r="Y1721">
        <v>1</v>
      </c>
    </row>
    <row r="1722" spans="1:25" x14ac:dyDescent="0.3">
      <c r="A1722">
        <v>1721</v>
      </c>
      <c r="B1722">
        <v>250000</v>
      </c>
      <c r="C1722">
        <v>2</v>
      </c>
      <c r="D1722">
        <v>1</v>
      </c>
      <c r="E1722">
        <v>2</v>
      </c>
      <c r="F1722">
        <v>36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130360</v>
      </c>
      <c r="N1722">
        <v>133799</v>
      </c>
      <c r="O1722">
        <v>137119</v>
      </c>
      <c r="P1722">
        <v>141367</v>
      </c>
      <c r="Q1722">
        <v>133174</v>
      </c>
      <c r="R1722">
        <v>136481</v>
      </c>
      <c r="S1722">
        <v>5000</v>
      </c>
      <c r="T1722">
        <v>5000</v>
      </c>
      <c r="U1722">
        <v>5847</v>
      </c>
      <c r="V1722">
        <v>5000</v>
      </c>
      <c r="W1722">
        <v>5000</v>
      </c>
      <c r="X1722">
        <v>5018</v>
      </c>
      <c r="Y1722">
        <v>0</v>
      </c>
    </row>
    <row r="1723" spans="1:25" x14ac:dyDescent="0.3">
      <c r="A1723">
        <v>1722</v>
      </c>
      <c r="B1723">
        <v>90000</v>
      </c>
      <c r="C1723">
        <v>1</v>
      </c>
      <c r="D1723">
        <v>1</v>
      </c>
      <c r="E1723">
        <v>2</v>
      </c>
      <c r="F1723">
        <v>27</v>
      </c>
      <c r="G1723">
        <v>0</v>
      </c>
      <c r="H1723">
        <v>0</v>
      </c>
      <c r="I1723">
        <v>0</v>
      </c>
      <c r="J1723">
        <v>2</v>
      </c>
      <c r="K1723">
        <v>2</v>
      </c>
      <c r="L1723">
        <v>2</v>
      </c>
      <c r="M1723">
        <v>56608</v>
      </c>
      <c r="N1723">
        <v>57897</v>
      </c>
      <c r="O1723">
        <v>63686</v>
      </c>
      <c r="P1723">
        <v>65233</v>
      </c>
      <c r="Q1723">
        <v>66637</v>
      </c>
      <c r="R1723">
        <v>67882</v>
      </c>
      <c r="S1723">
        <v>2800</v>
      </c>
      <c r="T1723">
        <v>7400</v>
      </c>
      <c r="U1723">
        <v>3200</v>
      </c>
      <c r="V1723">
        <v>2600</v>
      </c>
      <c r="W1723">
        <v>2500</v>
      </c>
      <c r="X1723">
        <v>2500</v>
      </c>
      <c r="Y1723">
        <v>0</v>
      </c>
    </row>
    <row r="1724" spans="1:25" x14ac:dyDescent="0.3">
      <c r="A1724">
        <v>1723</v>
      </c>
      <c r="B1724">
        <v>90000</v>
      </c>
      <c r="C1724">
        <v>1</v>
      </c>
      <c r="D1724">
        <v>2</v>
      </c>
      <c r="E1724">
        <v>1</v>
      </c>
      <c r="F1724">
        <v>44</v>
      </c>
      <c r="G1724">
        <v>2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89875</v>
      </c>
      <c r="N1724">
        <v>92338</v>
      </c>
      <c r="O1724">
        <v>87511</v>
      </c>
      <c r="P1724">
        <v>47796</v>
      </c>
      <c r="Q1724">
        <v>48306</v>
      </c>
      <c r="R1724">
        <v>49054</v>
      </c>
      <c r="S1724">
        <v>4000</v>
      </c>
      <c r="T1724">
        <v>4200</v>
      </c>
      <c r="U1724">
        <v>1700</v>
      </c>
      <c r="V1724">
        <v>1800</v>
      </c>
      <c r="W1724">
        <v>2083</v>
      </c>
      <c r="X1724">
        <v>1827</v>
      </c>
      <c r="Y1724">
        <v>1</v>
      </c>
    </row>
    <row r="1725" spans="1:25" x14ac:dyDescent="0.3">
      <c r="A1725">
        <v>1724</v>
      </c>
      <c r="B1725">
        <v>160000</v>
      </c>
      <c r="C1725">
        <v>2</v>
      </c>
      <c r="D1725">
        <v>1</v>
      </c>
      <c r="E1725">
        <v>2</v>
      </c>
      <c r="F1725">
        <v>27</v>
      </c>
      <c r="G1725">
        <v>0</v>
      </c>
      <c r="H1725">
        <v>0</v>
      </c>
      <c r="I1725">
        <v>-2</v>
      </c>
      <c r="J1725">
        <v>-1</v>
      </c>
      <c r="K1725">
        <v>-1</v>
      </c>
      <c r="L1725">
        <v>-1</v>
      </c>
      <c r="M1725">
        <v>13234</v>
      </c>
      <c r="N1725">
        <v>0</v>
      </c>
      <c r="O1725">
        <v>6000</v>
      </c>
      <c r="P1725">
        <v>15866</v>
      </c>
      <c r="Q1725">
        <v>4168</v>
      </c>
      <c r="R1725">
        <v>2067</v>
      </c>
      <c r="S1725">
        <v>0</v>
      </c>
      <c r="T1725">
        <v>6000</v>
      </c>
      <c r="U1725">
        <v>15866</v>
      </c>
      <c r="V1725">
        <v>4168</v>
      </c>
      <c r="W1725">
        <v>2067</v>
      </c>
      <c r="X1725">
        <v>11826</v>
      </c>
      <c r="Y1725">
        <v>0</v>
      </c>
    </row>
    <row r="1726" spans="1:25" x14ac:dyDescent="0.3">
      <c r="A1726">
        <v>1725</v>
      </c>
      <c r="B1726">
        <v>360000</v>
      </c>
      <c r="C1726">
        <v>1</v>
      </c>
      <c r="D1726">
        <v>2</v>
      </c>
      <c r="E1726">
        <v>2</v>
      </c>
      <c r="F1726">
        <v>29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114527</v>
      </c>
      <c r="N1726">
        <v>119487</v>
      </c>
      <c r="O1726">
        <v>113438</v>
      </c>
      <c r="P1726">
        <v>112940</v>
      </c>
      <c r="Q1726">
        <v>122122</v>
      </c>
      <c r="R1726">
        <v>121547</v>
      </c>
      <c r="S1726">
        <v>20046</v>
      </c>
      <c r="T1726">
        <v>5046</v>
      </c>
      <c r="U1726">
        <v>10000</v>
      </c>
      <c r="V1726">
        <v>10048</v>
      </c>
      <c r="W1726">
        <v>10043</v>
      </c>
      <c r="X1726">
        <v>5014</v>
      </c>
      <c r="Y1726">
        <v>0</v>
      </c>
    </row>
    <row r="1727" spans="1:25" x14ac:dyDescent="0.3">
      <c r="A1727">
        <v>1726</v>
      </c>
      <c r="B1727">
        <v>330000</v>
      </c>
      <c r="C1727">
        <v>2</v>
      </c>
      <c r="D1727">
        <v>1</v>
      </c>
      <c r="E1727">
        <v>2</v>
      </c>
      <c r="F1727">
        <v>26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58667</v>
      </c>
      <c r="N1727">
        <v>38323</v>
      </c>
      <c r="O1727">
        <v>32726</v>
      </c>
      <c r="P1727">
        <v>43579</v>
      </c>
      <c r="Q1727">
        <v>28908</v>
      </c>
      <c r="R1727">
        <v>20777</v>
      </c>
      <c r="S1727">
        <v>2213</v>
      </c>
      <c r="T1727">
        <v>5000</v>
      </c>
      <c r="U1727">
        <v>20000</v>
      </c>
      <c r="V1727">
        <v>1000</v>
      </c>
      <c r="W1727">
        <v>672</v>
      </c>
      <c r="X1727">
        <v>1200</v>
      </c>
      <c r="Y1727">
        <v>0</v>
      </c>
    </row>
    <row r="1728" spans="1:25" x14ac:dyDescent="0.3">
      <c r="A1728">
        <v>1727</v>
      </c>
      <c r="B1728">
        <v>50000</v>
      </c>
      <c r="C1728">
        <v>2</v>
      </c>
      <c r="D1728">
        <v>3</v>
      </c>
      <c r="E1728">
        <v>1</v>
      </c>
      <c r="F1728">
        <v>54</v>
      </c>
      <c r="G1728">
        <v>1</v>
      </c>
      <c r="H1728">
        <v>2</v>
      </c>
      <c r="I1728">
        <v>0</v>
      </c>
      <c r="J1728">
        <v>0</v>
      </c>
      <c r="K1728">
        <v>0</v>
      </c>
      <c r="L1728">
        <v>0</v>
      </c>
      <c r="M1728">
        <v>64069</v>
      </c>
      <c r="N1728">
        <v>59153</v>
      </c>
      <c r="O1728">
        <v>56275</v>
      </c>
      <c r="P1728">
        <v>53936</v>
      </c>
      <c r="Q1728">
        <v>51740</v>
      </c>
      <c r="R1728">
        <v>49043</v>
      </c>
      <c r="S1728">
        <v>0</v>
      </c>
      <c r="T1728">
        <v>2031</v>
      </c>
      <c r="U1728">
        <v>1918</v>
      </c>
      <c r="V1728">
        <v>1993</v>
      </c>
      <c r="W1728">
        <v>1614</v>
      </c>
      <c r="X1728">
        <v>1789</v>
      </c>
      <c r="Y1728">
        <v>0</v>
      </c>
    </row>
    <row r="1729" spans="1:25" x14ac:dyDescent="0.3">
      <c r="A1729">
        <v>1728</v>
      </c>
      <c r="B1729">
        <v>60000</v>
      </c>
      <c r="C1729">
        <v>2</v>
      </c>
      <c r="D1729">
        <v>2</v>
      </c>
      <c r="E1729">
        <v>1</v>
      </c>
      <c r="F1729">
        <v>42</v>
      </c>
      <c r="G1729">
        <v>2</v>
      </c>
      <c r="H1729">
        <v>2</v>
      </c>
      <c r="I1729">
        <v>0</v>
      </c>
      <c r="J1729">
        <v>0</v>
      </c>
      <c r="K1729">
        <v>0</v>
      </c>
      <c r="L1729">
        <v>0</v>
      </c>
      <c r="M1729">
        <v>57598</v>
      </c>
      <c r="N1729">
        <v>50821</v>
      </c>
      <c r="O1729">
        <v>19638</v>
      </c>
      <c r="P1729">
        <v>18919</v>
      </c>
      <c r="Q1729">
        <v>16853</v>
      </c>
      <c r="R1729">
        <v>29682</v>
      </c>
      <c r="S1729">
        <v>0</v>
      </c>
      <c r="T1729">
        <v>2000</v>
      </c>
      <c r="U1729">
        <v>2000</v>
      </c>
      <c r="V1729">
        <v>1000</v>
      </c>
      <c r="W1729">
        <v>20000</v>
      </c>
      <c r="X1729">
        <v>10000</v>
      </c>
      <c r="Y1729">
        <v>1</v>
      </c>
    </row>
    <row r="1730" spans="1:25" x14ac:dyDescent="0.3">
      <c r="A1730">
        <v>1729</v>
      </c>
      <c r="B1730">
        <v>10000</v>
      </c>
      <c r="C1730">
        <v>2</v>
      </c>
      <c r="D1730">
        <v>3</v>
      </c>
      <c r="E1730">
        <v>2</v>
      </c>
      <c r="F1730">
        <v>42</v>
      </c>
      <c r="G1730">
        <v>0</v>
      </c>
      <c r="H1730">
        <v>0</v>
      </c>
      <c r="I1730">
        <v>-1</v>
      </c>
      <c r="J1730">
        <v>-1</v>
      </c>
      <c r="K1730">
        <v>-1</v>
      </c>
      <c r="L1730">
        <v>-1</v>
      </c>
      <c r="M1730">
        <v>4908</v>
      </c>
      <c r="N1730">
        <v>5665</v>
      </c>
      <c r="O1730">
        <v>381</v>
      </c>
      <c r="P1730">
        <v>390</v>
      </c>
      <c r="Q1730">
        <v>0</v>
      </c>
      <c r="R1730">
        <v>780</v>
      </c>
      <c r="S1730">
        <v>1275</v>
      </c>
      <c r="T1730">
        <v>381</v>
      </c>
      <c r="U1730">
        <v>399</v>
      </c>
      <c r="V1730">
        <v>0</v>
      </c>
      <c r="W1730">
        <v>780</v>
      </c>
      <c r="X1730">
        <v>0</v>
      </c>
      <c r="Y1730">
        <v>0</v>
      </c>
    </row>
    <row r="1731" spans="1:25" x14ac:dyDescent="0.3">
      <c r="A1731">
        <v>1730</v>
      </c>
      <c r="B1731">
        <v>70000</v>
      </c>
      <c r="C1731">
        <v>1</v>
      </c>
      <c r="D1731">
        <v>2</v>
      </c>
      <c r="E1731">
        <v>1</v>
      </c>
      <c r="F1731">
        <v>41</v>
      </c>
      <c r="G1731">
        <v>1</v>
      </c>
      <c r="H1731">
        <v>2</v>
      </c>
      <c r="I1731">
        <v>2</v>
      </c>
      <c r="J1731">
        <v>2</v>
      </c>
      <c r="K1731">
        <v>0</v>
      </c>
      <c r="L1731">
        <v>0</v>
      </c>
      <c r="M1731">
        <v>34779</v>
      </c>
      <c r="N1731">
        <v>35921</v>
      </c>
      <c r="O1731">
        <v>36536</v>
      </c>
      <c r="P1731">
        <v>35651</v>
      </c>
      <c r="Q1731">
        <v>36427</v>
      </c>
      <c r="R1731">
        <v>37169</v>
      </c>
      <c r="S1731">
        <v>2000</v>
      </c>
      <c r="T1731">
        <v>1500</v>
      </c>
      <c r="U1731">
        <v>0</v>
      </c>
      <c r="V1731">
        <v>1500</v>
      </c>
      <c r="W1731">
        <v>1500</v>
      </c>
      <c r="X1731">
        <v>3000</v>
      </c>
      <c r="Y1731">
        <v>0</v>
      </c>
    </row>
    <row r="1732" spans="1:25" x14ac:dyDescent="0.3">
      <c r="A1732">
        <v>1731</v>
      </c>
      <c r="B1732">
        <v>150000</v>
      </c>
      <c r="C1732">
        <v>2</v>
      </c>
      <c r="D1732">
        <v>1</v>
      </c>
      <c r="E1732">
        <v>1</v>
      </c>
      <c r="F1732">
        <v>31</v>
      </c>
      <c r="G1732">
        <v>-2</v>
      </c>
      <c r="H1732">
        <v>-2</v>
      </c>
      <c r="I1732">
        <v>-2</v>
      </c>
      <c r="J1732">
        <v>-2</v>
      </c>
      <c r="K1732">
        <v>-2</v>
      </c>
      <c r="L1732">
        <v>-2</v>
      </c>
      <c r="M1732">
        <v>2977</v>
      </c>
      <c r="N1732">
        <v>1408</v>
      </c>
      <c r="O1732">
        <v>0</v>
      </c>
      <c r="P1732">
        <v>0</v>
      </c>
      <c r="Q1732">
        <v>0</v>
      </c>
      <c r="R1732">
        <v>0</v>
      </c>
      <c r="S1732">
        <v>1408</v>
      </c>
      <c r="T1732">
        <v>0</v>
      </c>
      <c r="U1732">
        <v>0</v>
      </c>
      <c r="V1732">
        <v>0</v>
      </c>
      <c r="W1732">
        <v>0</v>
      </c>
      <c r="X1732">
        <v>4400</v>
      </c>
      <c r="Y1732">
        <v>1</v>
      </c>
    </row>
    <row r="1733" spans="1:25" x14ac:dyDescent="0.3">
      <c r="A1733">
        <v>1732</v>
      </c>
      <c r="B1733">
        <v>250000</v>
      </c>
      <c r="C1733">
        <v>2</v>
      </c>
      <c r="D1733">
        <v>2</v>
      </c>
      <c r="E1733">
        <v>2</v>
      </c>
      <c r="F1733">
        <v>33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255223</v>
      </c>
      <c r="N1733">
        <v>47070</v>
      </c>
      <c r="O1733">
        <v>48130</v>
      </c>
      <c r="P1733">
        <v>49625</v>
      </c>
      <c r="Q1733">
        <v>51500</v>
      </c>
      <c r="R1733">
        <v>0</v>
      </c>
      <c r="S1733">
        <v>1600</v>
      </c>
      <c r="T1733">
        <v>1650</v>
      </c>
      <c r="U1733">
        <v>2100</v>
      </c>
      <c r="V1733">
        <v>3000</v>
      </c>
      <c r="W1733">
        <v>0</v>
      </c>
      <c r="X1733">
        <v>94825</v>
      </c>
      <c r="Y1733">
        <v>1</v>
      </c>
    </row>
    <row r="1734" spans="1:25" x14ac:dyDescent="0.3">
      <c r="A1734">
        <v>1733</v>
      </c>
      <c r="B1734">
        <v>130000</v>
      </c>
      <c r="C1734">
        <v>2</v>
      </c>
      <c r="D1734">
        <v>3</v>
      </c>
      <c r="E1734">
        <v>1</v>
      </c>
      <c r="F1734">
        <v>33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122199</v>
      </c>
      <c r="N1734">
        <v>125283</v>
      </c>
      <c r="O1734">
        <v>120957</v>
      </c>
      <c r="P1734">
        <v>41771</v>
      </c>
      <c r="Q1734">
        <v>42648</v>
      </c>
      <c r="R1734">
        <v>43495</v>
      </c>
      <c r="S1734">
        <v>5100</v>
      </c>
      <c r="T1734">
        <v>3085</v>
      </c>
      <c r="U1734">
        <v>1493</v>
      </c>
      <c r="V1734">
        <v>1548</v>
      </c>
      <c r="W1734">
        <v>1556</v>
      </c>
      <c r="X1734">
        <v>1700</v>
      </c>
      <c r="Y1734">
        <v>0</v>
      </c>
    </row>
    <row r="1735" spans="1:25" x14ac:dyDescent="0.3">
      <c r="A1735">
        <v>1734</v>
      </c>
      <c r="B1735">
        <v>130000</v>
      </c>
      <c r="C1735">
        <v>1</v>
      </c>
      <c r="D1735">
        <v>1</v>
      </c>
      <c r="E1735">
        <v>2</v>
      </c>
      <c r="F1735">
        <v>27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84664</v>
      </c>
      <c r="N1735">
        <v>72079</v>
      </c>
      <c r="O1735">
        <v>24934</v>
      </c>
      <c r="P1735">
        <v>17810</v>
      </c>
      <c r="Q1735">
        <v>11705</v>
      </c>
      <c r="R1735">
        <v>10007</v>
      </c>
      <c r="S1735">
        <v>2039</v>
      </c>
      <c r="T1735">
        <v>2007</v>
      </c>
      <c r="U1735">
        <v>1000</v>
      </c>
      <c r="V1735">
        <v>1000</v>
      </c>
      <c r="W1735">
        <v>600</v>
      </c>
      <c r="X1735">
        <v>2000</v>
      </c>
      <c r="Y1735">
        <v>0</v>
      </c>
    </row>
    <row r="1736" spans="1:25" x14ac:dyDescent="0.3">
      <c r="A1736">
        <v>1735</v>
      </c>
      <c r="B1736">
        <v>100000</v>
      </c>
      <c r="C1736">
        <v>2</v>
      </c>
      <c r="D1736">
        <v>2</v>
      </c>
      <c r="E1736">
        <v>1</v>
      </c>
      <c r="F1736">
        <v>36</v>
      </c>
      <c r="G1736">
        <v>-2</v>
      </c>
      <c r="H1736">
        <v>-2</v>
      </c>
      <c r="I1736">
        <v>-2</v>
      </c>
      <c r="J1736">
        <v>-2</v>
      </c>
      <c r="K1736">
        <v>-2</v>
      </c>
      <c r="L1736">
        <v>-2</v>
      </c>
      <c r="M1736">
        <v>2205</v>
      </c>
      <c r="N1736">
        <v>0</v>
      </c>
      <c r="O1736">
        <v>1983</v>
      </c>
      <c r="P1736">
        <v>3543</v>
      </c>
      <c r="Q1736">
        <v>0</v>
      </c>
      <c r="R1736">
        <v>0</v>
      </c>
      <c r="S1736">
        <v>0</v>
      </c>
      <c r="T1736">
        <v>1983</v>
      </c>
      <c r="U1736">
        <v>3543</v>
      </c>
      <c r="V1736">
        <v>0</v>
      </c>
      <c r="W1736">
        <v>0</v>
      </c>
      <c r="X1736">
        <v>2645</v>
      </c>
      <c r="Y1736">
        <v>0</v>
      </c>
    </row>
    <row r="1737" spans="1:25" x14ac:dyDescent="0.3">
      <c r="A1737">
        <v>1736</v>
      </c>
      <c r="B1737">
        <v>130000</v>
      </c>
      <c r="C1737">
        <v>1</v>
      </c>
      <c r="D1737">
        <v>2</v>
      </c>
      <c r="E1737">
        <v>2</v>
      </c>
      <c r="F1737">
        <v>37</v>
      </c>
      <c r="G1737">
        <v>0</v>
      </c>
      <c r="H1737">
        <v>0</v>
      </c>
      <c r="I1737">
        <v>0</v>
      </c>
      <c r="J1737">
        <v>-2</v>
      </c>
      <c r="K1737">
        <v>-2</v>
      </c>
      <c r="L1737">
        <v>-2</v>
      </c>
      <c r="M1737">
        <v>131446</v>
      </c>
      <c r="N1737">
        <v>102650</v>
      </c>
      <c r="O1737">
        <v>0</v>
      </c>
      <c r="P1737">
        <v>0</v>
      </c>
      <c r="Q1737">
        <v>0</v>
      </c>
      <c r="R1737">
        <v>0</v>
      </c>
      <c r="S1737">
        <v>5000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</row>
    <row r="1738" spans="1:25" x14ac:dyDescent="0.3">
      <c r="A1738">
        <v>1737</v>
      </c>
      <c r="B1738">
        <v>80000</v>
      </c>
      <c r="C1738">
        <v>2</v>
      </c>
      <c r="D1738">
        <v>2</v>
      </c>
      <c r="E1738">
        <v>2</v>
      </c>
      <c r="F1738">
        <v>29</v>
      </c>
      <c r="G1738">
        <v>2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77416</v>
      </c>
      <c r="N1738">
        <v>75500</v>
      </c>
      <c r="O1738">
        <v>69313</v>
      </c>
      <c r="P1738">
        <v>67972</v>
      </c>
      <c r="Q1738">
        <v>66800</v>
      </c>
      <c r="R1738">
        <v>68693</v>
      </c>
      <c r="S1738">
        <v>2661</v>
      </c>
      <c r="T1738">
        <v>2509</v>
      </c>
      <c r="U1738">
        <v>2500</v>
      </c>
      <c r="V1738">
        <v>3000</v>
      </c>
      <c r="W1738">
        <v>3000</v>
      </c>
      <c r="X1738">
        <v>3000</v>
      </c>
      <c r="Y1738">
        <v>1</v>
      </c>
    </row>
    <row r="1739" spans="1:25" x14ac:dyDescent="0.3">
      <c r="A1739">
        <v>1738</v>
      </c>
      <c r="B1739">
        <v>380000</v>
      </c>
      <c r="C1739">
        <v>1</v>
      </c>
      <c r="D1739">
        <v>1</v>
      </c>
      <c r="E1739">
        <v>2</v>
      </c>
      <c r="F1739">
        <v>41</v>
      </c>
      <c r="G1739">
        <v>0</v>
      </c>
      <c r="H1739">
        <v>0</v>
      </c>
      <c r="I1739">
        <v>2</v>
      </c>
      <c r="J1739">
        <v>0</v>
      </c>
      <c r="K1739">
        <v>0</v>
      </c>
      <c r="L1739">
        <v>0</v>
      </c>
      <c r="M1739">
        <v>350341</v>
      </c>
      <c r="N1739">
        <v>357703</v>
      </c>
      <c r="O1739">
        <v>344460</v>
      </c>
      <c r="P1739">
        <v>347754</v>
      </c>
      <c r="Q1739">
        <v>334891</v>
      </c>
      <c r="R1739">
        <v>340728</v>
      </c>
      <c r="S1739">
        <v>28400</v>
      </c>
      <c r="T1739">
        <v>0</v>
      </c>
      <c r="U1739">
        <v>12800</v>
      </c>
      <c r="V1739">
        <v>12500</v>
      </c>
      <c r="W1739">
        <v>12500</v>
      </c>
      <c r="X1739">
        <v>12000</v>
      </c>
      <c r="Y1739">
        <v>0</v>
      </c>
    </row>
    <row r="1740" spans="1:25" x14ac:dyDescent="0.3">
      <c r="A1740">
        <v>1739</v>
      </c>
      <c r="B1740">
        <v>20000</v>
      </c>
      <c r="C1740">
        <v>2</v>
      </c>
      <c r="D1740">
        <v>2</v>
      </c>
      <c r="E1740">
        <v>2</v>
      </c>
      <c r="F1740">
        <v>23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17257</v>
      </c>
      <c r="N1740">
        <v>17417</v>
      </c>
      <c r="O1740">
        <v>14462</v>
      </c>
      <c r="P1740">
        <v>14750</v>
      </c>
      <c r="Q1740">
        <v>15215</v>
      </c>
      <c r="R1740">
        <v>16209</v>
      </c>
      <c r="S1740">
        <v>1230</v>
      </c>
      <c r="T1740">
        <v>1239</v>
      </c>
      <c r="U1740">
        <v>527</v>
      </c>
      <c r="V1740">
        <v>702</v>
      </c>
      <c r="W1740">
        <v>1400</v>
      </c>
      <c r="X1740">
        <v>0</v>
      </c>
      <c r="Y1740">
        <v>1</v>
      </c>
    </row>
    <row r="1741" spans="1:25" x14ac:dyDescent="0.3">
      <c r="A1741">
        <v>1740</v>
      </c>
      <c r="B1741">
        <v>20000</v>
      </c>
      <c r="C1741">
        <v>1</v>
      </c>
      <c r="D1741">
        <v>2</v>
      </c>
      <c r="E1741">
        <v>2</v>
      </c>
      <c r="F1741">
        <v>25</v>
      </c>
      <c r="G1741">
        <v>0</v>
      </c>
      <c r="H1741">
        <v>0</v>
      </c>
      <c r="I1741">
        <v>3</v>
      </c>
      <c r="J1741">
        <v>2</v>
      </c>
      <c r="K1741">
        <v>2</v>
      </c>
      <c r="L1741">
        <v>-1</v>
      </c>
      <c r="M1741">
        <v>15789</v>
      </c>
      <c r="N1741">
        <v>21698</v>
      </c>
      <c r="O1741">
        <v>21054</v>
      </c>
      <c r="P1741">
        <v>20355</v>
      </c>
      <c r="Q1741">
        <v>19980</v>
      </c>
      <c r="R1741">
        <v>3470</v>
      </c>
      <c r="S1741">
        <v>6500</v>
      </c>
      <c r="T1741">
        <v>0</v>
      </c>
      <c r="U1741">
        <v>0</v>
      </c>
      <c r="V1741">
        <v>10000</v>
      </c>
      <c r="W1741">
        <v>25065</v>
      </c>
      <c r="X1741">
        <v>177</v>
      </c>
      <c r="Y1741">
        <v>0</v>
      </c>
    </row>
    <row r="1742" spans="1:25" x14ac:dyDescent="0.3">
      <c r="A1742">
        <v>1741</v>
      </c>
      <c r="B1742">
        <v>140000</v>
      </c>
      <c r="C1742">
        <v>1</v>
      </c>
      <c r="D1742">
        <v>1</v>
      </c>
      <c r="E1742">
        <v>1</v>
      </c>
      <c r="F1742">
        <v>54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139406</v>
      </c>
      <c r="N1742">
        <v>140295</v>
      </c>
      <c r="O1742">
        <v>134000</v>
      </c>
      <c r="P1742">
        <v>74388</v>
      </c>
      <c r="Q1742">
        <v>92555</v>
      </c>
      <c r="R1742">
        <v>86993</v>
      </c>
      <c r="S1742">
        <v>5545</v>
      </c>
      <c r="T1742">
        <v>4200</v>
      </c>
      <c r="U1742">
        <v>3105</v>
      </c>
      <c r="V1742">
        <v>86417</v>
      </c>
      <c r="W1742">
        <v>3936</v>
      </c>
      <c r="X1742">
        <v>48390</v>
      </c>
      <c r="Y1742">
        <v>1</v>
      </c>
    </row>
    <row r="1743" spans="1:25" x14ac:dyDescent="0.3">
      <c r="A1743">
        <v>1742</v>
      </c>
      <c r="B1743">
        <v>180000</v>
      </c>
      <c r="C1743">
        <v>1</v>
      </c>
      <c r="D1743">
        <v>1</v>
      </c>
      <c r="E1743">
        <v>2</v>
      </c>
      <c r="F1743">
        <v>33</v>
      </c>
      <c r="G1743">
        <v>-1</v>
      </c>
      <c r="H1743">
        <v>-1</v>
      </c>
      <c r="I1743">
        <v>-1</v>
      </c>
      <c r="J1743">
        <v>-1</v>
      </c>
      <c r="K1743">
        <v>-1</v>
      </c>
      <c r="L1743">
        <v>-1</v>
      </c>
      <c r="M1743">
        <v>2217</v>
      </c>
      <c r="N1743">
        <v>0</v>
      </c>
      <c r="O1743">
        <v>8264</v>
      </c>
      <c r="P1743">
        <v>0</v>
      </c>
      <c r="Q1743">
        <v>3278</v>
      </c>
      <c r="R1743">
        <v>0</v>
      </c>
      <c r="S1743">
        <v>0</v>
      </c>
      <c r="T1743">
        <v>8264</v>
      </c>
      <c r="U1743">
        <v>0</v>
      </c>
      <c r="V1743">
        <v>3278</v>
      </c>
      <c r="W1743">
        <v>0</v>
      </c>
      <c r="X1743">
        <v>4646</v>
      </c>
      <c r="Y1743">
        <v>0</v>
      </c>
    </row>
    <row r="1744" spans="1:25" x14ac:dyDescent="0.3">
      <c r="A1744">
        <v>1743</v>
      </c>
      <c r="B1744">
        <v>230000</v>
      </c>
      <c r="C1744">
        <v>2</v>
      </c>
      <c r="D1744">
        <v>1</v>
      </c>
      <c r="E1744">
        <v>2</v>
      </c>
      <c r="F1744">
        <v>29</v>
      </c>
      <c r="G1744">
        <v>-2</v>
      </c>
      <c r="H1744">
        <v>-2</v>
      </c>
      <c r="I1744">
        <v>-2</v>
      </c>
      <c r="J1744">
        <v>-2</v>
      </c>
      <c r="K1744">
        <v>-2</v>
      </c>
      <c r="L1744">
        <v>-2</v>
      </c>
      <c r="M1744">
        <v>-5</v>
      </c>
      <c r="N1744">
        <v>-5</v>
      </c>
      <c r="O1744">
        <v>2969</v>
      </c>
      <c r="P1744">
        <v>3419</v>
      </c>
      <c r="Q1744">
        <v>0</v>
      </c>
      <c r="R1744">
        <v>1841</v>
      </c>
      <c r="S1744">
        <v>0</v>
      </c>
      <c r="T1744">
        <v>2974</v>
      </c>
      <c r="U1744">
        <v>3425</v>
      </c>
      <c r="V1744">
        <v>0</v>
      </c>
      <c r="W1744">
        <v>1841</v>
      </c>
      <c r="X1744">
        <v>200</v>
      </c>
      <c r="Y1744">
        <v>0</v>
      </c>
    </row>
    <row r="1745" spans="1:25" x14ac:dyDescent="0.3">
      <c r="A1745">
        <v>1744</v>
      </c>
      <c r="B1745">
        <v>90000</v>
      </c>
      <c r="C1745">
        <v>1</v>
      </c>
      <c r="D1745">
        <v>1</v>
      </c>
      <c r="E1745">
        <v>2</v>
      </c>
      <c r="F1745">
        <v>32</v>
      </c>
      <c r="G1745">
        <v>-1</v>
      </c>
      <c r="H1745">
        <v>-1</v>
      </c>
      <c r="I1745">
        <v>-1</v>
      </c>
      <c r="J1745">
        <v>-1</v>
      </c>
      <c r="K1745">
        <v>-1</v>
      </c>
      <c r="L1745">
        <v>2</v>
      </c>
      <c r="M1745">
        <v>6546</v>
      </c>
      <c r="N1745">
        <v>1485</v>
      </c>
      <c r="O1745">
        <v>25558</v>
      </c>
      <c r="P1745">
        <v>1443</v>
      </c>
      <c r="Q1745">
        <v>1677</v>
      </c>
      <c r="R1745">
        <v>1480</v>
      </c>
      <c r="S1745">
        <v>1498</v>
      </c>
      <c r="T1745">
        <v>25572</v>
      </c>
      <c r="U1745">
        <v>1443</v>
      </c>
      <c r="V1745">
        <v>257</v>
      </c>
      <c r="W1745">
        <v>0</v>
      </c>
      <c r="X1745">
        <v>58</v>
      </c>
      <c r="Y1745">
        <v>0</v>
      </c>
    </row>
    <row r="1746" spans="1:25" x14ac:dyDescent="0.3">
      <c r="A1746">
        <v>1745</v>
      </c>
      <c r="B1746">
        <v>160000</v>
      </c>
      <c r="C1746">
        <v>1</v>
      </c>
      <c r="D1746">
        <v>2</v>
      </c>
      <c r="E1746">
        <v>2</v>
      </c>
      <c r="F1746">
        <v>29</v>
      </c>
      <c r="G1746">
        <v>-1</v>
      </c>
      <c r="H1746">
        <v>-1</v>
      </c>
      <c r="I1746">
        <v>-1</v>
      </c>
      <c r="J1746">
        <v>-1</v>
      </c>
      <c r="K1746">
        <v>-1</v>
      </c>
      <c r="L1746">
        <v>-1</v>
      </c>
      <c r="M1746">
        <v>7002</v>
      </c>
      <c r="N1746">
        <v>6696</v>
      </c>
      <c r="O1746">
        <v>6062</v>
      </c>
      <c r="P1746">
        <v>4203</v>
      </c>
      <c r="Q1746">
        <v>5780</v>
      </c>
      <c r="R1746">
        <v>12575</v>
      </c>
      <c r="S1746">
        <v>7229</v>
      </c>
      <c r="T1746">
        <v>6085</v>
      </c>
      <c r="U1746">
        <v>4230</v>
      </c>
      <c r="V1746">
        <v>5797</v>
      </c>
      <c r="W1746">
        <v>12589</v>
      </c>
      <c r="X1746">
        <v>6233</v>
      </c>
      <c r="Y1746">
        <v>0</v>
      </c>
    </row>
    <row r="1747" spans="1:25" x14ac:dyDescent="0.3">
      <c r="A1747">
        <v>1746</v>
      </c>
      <c r="B1747">
        <v>50000</v>
      </c>
      <c r="C1747">
        <v>2</v>
      </c>
      <c r="D1747">
        <v>1</v>
      </c>
      <c r="E1747">
        <v>2</v>
      </c>
      <c r="F1747">
        <v>22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49459</v>
      </c>
      <c r="N1747">
        <v>49281</v>
      </c>
      <c r="O1747">
        <v>50071</v>
      </c>
      <c r="P1747">
        <v>10104</v>
      </c>
      <c r="Q1747">
        <v>9208</v>
      </c>
      <c r="R1747">
        <v>10075</v>
      </c>
      <c r="S1747">
        <v>2300</v>
      </c>
      <c r="T1747">
        <v>2000</v>
      </c>
      <c r="U1747">
        <v>1000</v>
      </c>
      <c r="V1747">
        <v>500</v>
      </c>
      <c r="W1747">
        <v>1000</v>
      </c>
      <c r="X1747">
        <v>500</v>
      </c>
      <c r="Y1747">
        <v>0</v>
      </c>
    </row>
    <row r="1748" spans="1:25" x14ac:dyDescent="0.3">
      <c r="A1748">
        <v>1747</v>
      </c>
      <c r="B1748">
        <v>140000</v>
      </c>
      <c r="C1748">
        <v>2</v>
      </c>
      <c r="D1748">
        <v>2</v>
      </c>
      <c r="E1748">
        <v>2</v>
      </c>
      <c r="F1748">
        <v>29</v>
      </c>
      <c r="G1748">
        <v>-2</v>
      </c>
      <c r="H1748">
        <v>-2</v>
      </c>
      <c r="I1748">
        <v>-2</v>
      </c>
      <c r="J1748">
        <v>-2</v>
      </c>
      <c r="K1748">
        <v>-2</v>
      </c>
      <c r="L1748">
        <v>-2</v>
      </c>
      <c r="M1748">
        <v>945</v>
      </c>
      <c r="N1748">
        <v>945</v>
      </c>
      <c r="O1748">
        <v>0</v>
      </c>
      <c r="P1748">
        <v>0</v>
      </c>
      <c r="Q1748">
        <v>0</v>
      </c>
      <c r="R1748">
        <v>0</v>
      </c>
      <c r="S1748">
        <v>945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</row>
    <row r="1749" spans="1:25" x14ac:dyDescent="0.3">
      <c r="A1749">
        <v>1748</v>
      </c>
      <c r="B1749">
        <v>250000</v>
      </c>
      <c r="C1749">
        <v>2</v>
      </c>
      <c r="D1749">
        <v>2</v>
      </c>
      <c r="E1749">
        <v>1</v>
      </c>
      <c r="F1749">
        <v>31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42441</v>
      </c>
      <c r="N1749">
        <v>43061</v>
      </c>
      <c r="O1749">
        <v>29385</v>
      </c>
      <c r="P1749">
        <v>27677</v>
      </c>
      <c r="Q1749">
        <v>86250</v>
      </c>
      <c r="R1749">
        <v>65710</v>
      </c>
      <c r="S1749">
        <v>4000</v>
      </c>
      <c r="T1749">
        <v>3000</v>
      </c>
      <c r="U1749">
        <v>901</v>
      </c>
      <c r="V1749">
        <v>63000</v>
      </c>
      <c r="W1749">
        <v>2700</v>
      </c>
      <c r="X1749">
        <v>2000</v>
      </c>
      <c r="Y1749">
        <v>0</v>
      </c>
    </row>
    <row r="1750" spans="1:25" x14ac:dyDescent="0.3">
      <c r="A1750">
        <v>1749</v>
      </c>
      <c r="B1750">
        <v>120000</v>
      </c>
      <c r="C1750">
        <v>2</v>
      </c>
      <c r="D1750">
        <v>2</v>
      </c>
      <c r="E1750">
        <v>2</v>
      </c>
      <c r="F1750">
        <v>24</v>
      </c>
      <c r="G1750">
        <v>-1</v>
      </c>
      <c r="H1750">
        <v>-1</v>
      </c>
      <c r="I1750">
        <v>-2</v>
      </c>
      <c r="J1750">
        <v>-1</v>
      </c>
      <c r="K1750">
        <v>-1</v>
      </c>
      <c r="L1750">
        <v>-1</v>
      </c>
      <c r="M1750">
        <v>100</v>
      </c>
      <c r="N1750">
        <v>0</v>
      </c>
      <c r="O1750">
        <v>0</v>
      </c>
      <c r="P1750">
        <v>618</v>
      </c>
      <c r="Q1750">
        <v>9614</v>
      </c>
      <c r="R1750">
        <v>39133</v>
      </c>
      <c r="S1750">
        <v>0</v>
      </c>
      <c r="T1750">
        <v>0</v>
      </c>
      <c r="U1750">
        <v>618</v>
      </c>
      <c r="V1750">
        <v>9614</v>
      </c>
      <c r="W1750">
        <v>39133</v>
      </c>
      <c r="X1750">
        <v>1500</v>
      </c>
      <c r="Y1750">
        <v>0</v>
      </c>
    </row>
    <row r="1751" spans="1:25" x14ac:dyDescent="0.3">
      <c r="A1751">
        <v>1750</v>
      </c>
      <c r="B1751">
        <v>120000</v>
      </c>
      <c r="C1751">
        <v>2</v>
      </c>
      <c r="D1751">
        <v>1</v>
      </c>
      <c r="E1751">
        <v>2</v>
      </c>
      <c r="F1751">
        <v>27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79072</v>
      </c>
      <c r="N1751">
        <v>80795</v>
      </c>
      <c r="O1751">
        <v>82451</v>
      </c>
      <c r="P1751">
        <v>84177</v>
      </c>
      <c r="Q1751">
        <v>85945</v>
      </c>
      <c r="R1751">
        <v>87813</v>
      </c>
      <c r="S1751">
        <v>3000</v>
      </c>
      <c r="T1751">
        <v>3000</v>
      </c>
      <c r="U1751">
        <v>3100</v>
      </c>
      <c r="V1751">
        <v>3122</v>
      </c>
      <c r="W1751">
        <v>3300</v>
      </c>
      <c r="X1751">
        <v>3060</v>
      </c>
      <c r="Y1751">
        <v>0</v>
      </c>
    </row>
    <row r="1752" spans="1:25" x14ac:dyDescent="0.3">
      <c r="A1752">
        <v>1751</v>
      </c>
      <c r="B1752">
        <v>260000</v>
      </c>
      <c r="C1752">
        <v>2</v>
      </c>
      <c r="D1752">
        <v>2</v>
      </c>
      <c r="E1752">
        <v>1</v>
      </c>
      <c r="F1752">
        <v>40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243196</v>
      </c>
      <c r="N1752">
        <v>258720</v>
      </c>
      <c r="O1752">
        <v>178102</v>
      </c>
      <c r="P1752">
        <v>77215</v>
      </c>
      <c r="Q1752">
        <v>79331</v>
      </c>
      <c r="R1752">
        <v>81483</v>
      </c>
      <c r="S1752">
        <v>20008</v>
      </c>
      <c r="T1752">
        <v>7500</v>
      </c>
      <c r="U1752">
        <v>3000</v>
      </c>
      <c r="V1752">
        <v>3500</v>
      </c>
      <c r="W1752">
        <v>3605</v>
      </c>
      <c r="X1752">
        <v>3750</v>
      </c>
      <c r="Y1752">
        <v>0</v>
      </c>
    </row>
    <row r="1753" spans="1:25" x14ac:dyDescent="0.3">
      <c r="A1753">
        <v>1752</v>
      </c>
      <c r="B1753">
        <v>10000</v>
      </c>
      <c r="C1753">
        <v>1</v>
      </c>
      <c r="D1753">
        <v>2</v>
      </c>
      <c r="E1753">
        <v>2</v>
      </c>
      <c r="F1753">
        <v>38</v>
      </c>
      <c r="G1753">
        <v>2</v>
      </c>
      <c r="H1753">
        <v>2</v>
      </c>
      <c r="I1753">
        <v>3</v>
      </c>
      <c r="J1753">
        <v>3</v>
      </c>
      <c r="K1753">
        <v>3</v>
      </c>
      <c r="L1753">
        <v>3</v>
      </c>
      <c r="M1753">
        <v>1050</v>
      </c>
      <c r="N1753">
        <v>1050</v>
      </c>
      <c r="O1753">
        <v>1050</v>
      </c>
      <c r="P1753">
        <v>1050</v>
      </c>
      <c r="Q1753">
        <v>1050</v>
      </c>
      <c r="R1753">
        <v>1050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1</v>
      </c>
    </row>
    <row r="1754" spans="1:25" x14ac:dyDescent="0.3">
      <c r="A1754">
        <v>1753</v>
      </c>
      <c r="B1754">
        <v>60000</v>
      </c>
      <c r="C1754">
        <v>2</v>
      </c>
      <c r="D1754">
        <v>2</v>
      </c>
      <c r="E1754">
        <v>1</v>
      </c>
      <c r="F1754">
        <v>38</v>
      </c>
      <c r="G1754">
        <v>-2</v>
      </c>
      <c r="H1754">
        <v>-2</v>
      </c>
      <c r="I1754">
        <v>-2</v>
      </c>
      <c r="J1754">
        <v>-2</v>
      </c>
      <c r="K1754">
        <v>-2</v>
      </c>
      <c r="L1754">
        <v>-2</v>
      </c>
      <c r="M1754">
        <v>4764</v>
      </c>
      <c r="N1754">
        <v>30500</v>
      </c>
      <c r="O1754">
        <v>0</v>
      </c>
      <c r="P1754">
        <v>0</v>
      </c>
      <c r="Q1754">
        <v>52829</v>
      </c>
      <c r="R1754">
        <v>41404</v>
      </c>
      <c r="S1754">
        <v>30500</v>
      </c>
      <c r="T1754">
        <v>0</v>
      </c>
      <c r="U1754">
        <v>0</v>
      </c>
      <c r="V1754">
        <v>52829</v>
      </c>
      <c r="W1754">
        <v>41404</v>
      </c>
      <c r="X1754">
        <v>22401</v>
      </c>
      <c r="Y1754">
        <v>0</v>
      </c>
    </row>
    <row r="1755" spans="1:25" x14ac:dyDescent="0.3">
      <c r="A1755">
        <v>1754</v>
      </c>
      <c r="B1755">
        <v>60000</v>
      </c>
      <c r="C1755">
        <v>2</v>
      </c>
      <c r="D1755">
        <v>2</v>
      </c>
      <c r="E1755">
        <v>1</v>
      </c>
      <c r="F1755">
        <v>29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33147</v>
      </c>
      <c r="N1755">
        <v>54511</v>
      </c>
      <c r="O1755">
        <v>56167</v>
      </c>
      <c r="P1755">
        <v>28609</v>
      </c>
      <c r="Q1755">
        <v>27660</v>
      </c>
      <c r="R1755">
        <v>27059</v>
      </c>
      <c r="S1755">
        <v>24511</v>
      </c>
      <c r="T1755">
        <v>6000</v>
      </c>
      <c r="U1755">
        <v>17000</v>
      </c>
      <c r="V1755">
        <v>1984</v>
      </c>
      <c r="W1755">
        <v>1100</v>
      </c>
      <c r="X1755">
        <v>1600</v>
      </c>
      <c r="Y1755">
        <v>0</v>
      </c>
    </row>
    <row r="1756" spans="1:25" x14ac:dyDescent="0.3">
      <c r="A1756">
        <v>1755</v>
      </c>
      <c r="B1756">
        <v>50000</v>
      </c>
      <c r="C1756">
        <v>1</v>
      </c>
      <c r="D1756">
        <v>2</v>
      </c>
      <c r="E1756">
        <v>2</v>
      </c>
      <c r="F1756">
        <v>27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17771</v>
      </c>
      <c r="N1756">
        <v>18794</v>
      </c>
      <c r="O1756">
        <v>19062</v>
      </c>
      <c r="P1756">
        <v>19443</v>
      </c>
      <c r="Q1756">
        <v>19849</v>
      </c>
      <c r="R1756">
        <v>20287</v>
      </c>
      <c r="S1756">
        <v>1311</v>
      </c>
      <c r="T1756">
        <v>1299</v>
      </c>
      <c r="U1756">
        <v>680</v>
      </c>
      <c r="V1756">
        <v>703</v>
      </c>
      <c r="W1756">
        <v>750</v>
      </c>
      <c r="X1756">
        <v>626</v>
      </c>
      <c r="Y1756">
        <v>0</v>
      </c>
    </row>
    <row r="1757" spans="1:25" x14ac:dyDescent="0.3">
      <c r="A1757">
        <v>1756</v>
      </c>
      <c r="B1757">
        <v>130000</v>
      </c>
      <c r="C1757">
        <v>1</v>
      </c>
      <c r="D1757">
        <v>3</v>
      </c>
      <c r="E1757">
        <v>1</v>
      </c>
      <c r="F1757">
        <v>34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5444</v>
      </c>
      <c r="N1757">
        <v>5927</v>
      </c>
      <c r="O1757">
        <v>7106</v>
      </c>
      <c r="P1757">
        <v>7106</v>
      </c>
      <c r="Q1757">
        <v>8106</v>
      </c>
      <c r="R1757">
        <v>9106</v>
      </c>
      <c r="S1757">
        <v>1321</v>
      </c>
      <c r="T1757">
        <v>1500</v>
      </c>
      <c r="U1757">
        <v>0</v>
      </c>
      <c r="V1757">
        <v>1000</v>
      </c>
      <c r="W1757">
        <v>1000</v>
      </c>
      <c r="X1757">
        <v>598</v>
      </c>
      <c r="Y1757">
        <v>0</v>
      </c>
    </row>
    <row r="1758" spans="1:25" x14ac:dyDescent="0.3">
      <c r="A1758">
        <v>1757</v>
      </c>
      <c r="B1758">
        <v>130000</v>
      </c>
      <c r="C1758">
        <v>1</v>
      </c>
      <c r="D1758">
        <v>1</v>
      </c>
      <c r="E1758">
        <v>2</v>
      </c>
      <c r="F1758">
        <v>34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31179</v>
      </c>
      <c r="N1758">
        <v>30569</v>
      </c>
      <c r="O1758">
        <v>28659</v>
      </c>
      <c r="P1758">
        <v>26952</v>
      </c>
      <c r="Q1758">
        <v>15852</v>
      </c>
      <c r="R1758">
        <v>0</v>
      </c>
      <c r="S1758">
        <v>2002</v>
      </c>
      <c r="T1758">
        <v>1400</v>
      </c>
      <c r="U1758">
        <v>600</v>
      </c>
      <c r="V1758">
        <v>1000</v>
      </c>
      <c r="W1758">
        <v>0</v>
      </c>
      <c r="X1758">
        <v>0</v>
      </c>
      <c r="Y1758">
        <v>0</v>
      </c>
    </row>
    <row r="1759" spans="1:25" x14ac:dyDescent="0.3">
      <c r="A1759">
        <v>1758</v>
      </c>
      <c r="B1759">
        <v>360000</v>
      </c>
      <c r="C1759">
        <v>2</v>
      </c>
      <c r="D1759">
        <v>1</v>
      </c>
      <c r="E1759">
        <v>2</v>
      </c>
      <c r="F1759">
        <v>32</v>
      </c>
      <c r="G1759">
        <v>-2</v>
      </c>
      <c r="H1759">
        <v>-2</v>
      </c>
      <c r="I1759">
        <v>-2</v>
      </c>
      <c r="J1759">
        <v>-2</v>
      </c>
      <c r="K1759">
        <v>-2</v>
      </c>
      <c r="L1759">
        <v>-2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</row>
    <row r="1760" spans="1:25" x14ac:dyDescent="0.3">
      <c r="A1760">
        <v>1759</v>
      </c>
      <c r="B1760">
        <v>80000</v>
      </c>
      <c r="C1760">
        <v>2</v>
      </c>
      <c r="D1760">
        <v>2</v>
      </c>
      <c r="E1760">
        <v>1</v>
      </c>
      <c r="F1760">
        <v>36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20366</v>
      </c>
      <c r="N1760">
        <v>21084</v>
      </c>
      <c r="O1760">
        <v>22411</v>
      </c>
      <c r="P1760">
        <v>23624</v>
      </c>
      <c r="Q1760">
        <v>23964</v>
      </c>
      <c r="R1760">
        <v>25661</v>
      </c>
      <c r="S1760">
        <v>1352</v>
      </c>
      <c r="T1760">
        <v>1679</v>
      </c>
      <c r="U1760">
        <v>1892</v>
      </c>
      <c r="V1760">
        <v>870</v>
      </c>
      <c r="W1760">
        <v>2096</v>
      </c>
      <c r="X1760">
        <v>0</v>
      </c>
      <c r="Y1760">
        <v>0</v>
      </c>
    </row>
    <row r="1761" spans="1:25" x14ac:dyDescent="0.3">
      <c r="A1761">
        <v>1760</v>
      </c>
      <c r="B1761">
        <v>50000</v>
      </c>
      <c r="C1761">
        <v>1</v>
      </c>
      <c r="D1761">
        <v>2</v>
      </c>
      <c r="E1761">
        <v>2</v>
      </c>
      <c r="F1761">
        <v>26</v>
      </c>
      <c r="G1761">
        <v>1</v>
      </c>
      <c r="H1761">
        <v>-2</v>
      </c>
      <c r="I1761">
        <v>-2</v>
      </c>
      <c r="J1761">
        <v>-2</v>
      </c>
      <c r="K1761">
        <v>-2</v>
      </c>
      <c r="L1761">
        <v>-2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</row>
    <row r="1762" spans="1:25" x14ac:dyDescent="0.3">
      <c r="A1762">
        <v>1761</v>
      </c>
      <c r="B1762">
        <v>290000</v>
      </c>
      <c r="C1762">
        <v>2</v>
      </c>
      <c r="D1762">
        <v>1</v>
      </c>
      <c r="E1762">
        <v>1</v>
      </c>
      <c r="F1762">
        <v>33</v>
      </c>
      <c r="G1762">
        <v>1</v>
      </c>
      <c r="H1762">
        <v>2</v>
      </c>
      <c r="I1762">
        <v>-1</v>
      </c>
      <c r="J1762">
        <v>-1</v>
      </c>
      <c r="K1762">
        <v>-1</v>
      </c>
      <c r="L1762">
        <v>-1</v>
      </c>
      <c r="M1762">
        <v>7064</v>
      </c>
      <c r="N1762">
        <v>1875</v>
      </c>
      <c r="O1762">
        <v>1814</v>
      </c>
      <c r="P1762">
        <v>8537</v>
      </c>
      <c r="Q1762">
        <v>25576</v>
      </c>
      <c r="R1762">
        <v>13475</v>
      </c>
      <c r="S1762">
        <v>0</v>
      </c>
      <c r="T1762">
        <v>1814</v>
      </c>
      <c r="U1762">
        <v>8537</v>
      </c>
      <c r="V1762">
        <v>25576</v>
      </c>
      <c r="W1762">
        <v>13475</v>
      </c>
      <c r="X1762">
        <v>6000</v>
      </c>
      <c r="Y1762">
        <v>0</v>
      </c>
    </row>
    <row r="1763" spans="1:25" x14ac:dyDescent="0.3">
      <c r="A1763">
        <v>1762</v>
      </c>
      <c r="B1763">
        <v>200000</v>
      </c>
      <c r="C1763">
        <v>1</v>
      </c>
      <c r="D1763">
        <v>1</v>
      </c>
      <c r="E1763">
        <v>1</v>
      </c>
      <c r="F1763">
        <v>53</v>
      </c>
      <c r="G1763">
        <v>0</v>
      </c>
      <c r="H1763">
        <v>0</v>
      </c>
      <c r="I1763">
        <v>-2</v>
      </c>
      <c r="J1763">
        <v>-2</v>
      </c>
      <c r="K1763">
        <v>-1</v>
      </c>
      <c r="L1763">
        <v>-1</v>
      </c>
      <c r="M1763">
        <v>195050</v>
      </c>
      <c r="N1763">
        <v>0</v>
      </c>
      <c r="O1763">
        <v>0</v>
      </c>
      <c r="P1763">
        <v>0</v>
      </c>
      <c r="Q1763">
        <v>1000</v>
      </c>
      <c r="R1763">
        <v>0</v>
      </c>
      <c r="S1763">
        <v>0</v>
      </c>
      <c r="T1763">
        <v>0</v>
      </c>
      <c r="U1763">
        <v>0</v>
      </c>
      <c r="V1763">
        <v>1000</v>
      </c>
      <c r="W1763">
        <v>0</v>
      </c>
      <c r="X1763">
        <v>0</v>
      </c>
      <c r="Y1763">
        <v>0</v>
      </c>
    </row>
    <row r="1764" spans="1:25" x14ac:dyDescent="0.3">
      <c r="A1764">
        <v>1763</v>
      </c>
      <c r="B1764">
        <v>20000</v>
      </c>
      <c r="C1764">
        <v>1</v>
      </c>
      <c r="D1764">
        <v>2</v>
      </c>
      <c r="E1764">
        <v>2</v>
      </c>
      <c r="F1764">
        <v>27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-2</v>
      </c>
      <c r="M1764">
        <v>18290</v>
      </c>
      <c r="N1764">
        <v>20144</v>
      </c>
      <c r="O1764">
        <v>19106</v>
      </c>
      <c r="P1764">
        <v>19292</v>
      </c>
      <c r="Q1764">
        <v>0</v>
      </c>
      <c r="R1764">
        <v>0</v>
      </c>
      <c r="S1764">
        <v>2458</v>
      </c>
      <c r="T1764">
        <v>1200</v>
      </c>
      <c r="U1764">
        <v>386</v>
      </c>
      <c r="V1764">
        <v>1000</v>
      </c>
      <c r="W1764">
        <v>0</v>
      </c>
      <c r="X1764">
        <v>0</v>
      </c>
      <c r="Y1764">
        <v>0</v>
      </c>
    </row>
    <row r="1765" spans="1:25" x14ac:dyDescent="0.3">
      <c r="A1765">
        <v>1764</v>
      </c>
      <c r="B1765">
        <v>500000</v>
      </c>
      <c r="C1765">
        <v>1</v>
      </c>
      <c r="D1765">
        <v>1</v>
      </c>
      <c r="E1765">
        <v>2</v>
      </c>
      <c r="F1765">
        <v>33</v>
      </c>
      <c r="G1765">
        <v>-1</v>
      </c>
      <c r="H1765">
        <v>-1</v>
      </c>
      <c r="I1765">
        <v>-1</v>
      </c>
      <c r="J1765">
        <v>-2</v>
      </c>
      <c r="K1765">
        <v>-1</v>
      </c>
      <c r="L1765">
        <v>-1</v>
      </c>
      <c r="M1765">
        <v>5379</v>
      </c>
      <c r="N1765">
        <v>2062</v>
      </c>
      <c r="O1765">
        <v>10515</v>
      </c>
      <c r="P1765">
        <v>4158</v>
      </c>
      <c r="Q1765">
        <v>7958</v>
      </c>
      <c r="R1765">
        <v>-196</v>
      </c>
      <c r="S1765">
        <v>2065</v>
      </c>
      <c r="T1765">
        <v>10556</v>
      </c>
      <c r="U1765">
        <v>4170</v>
      </c>
      <c r="V1765">
        <v>7963</v>
      </c>
      <c r="W1765">
        <v>196</v>
      </c>
      <c r="X1765">
        <v>7083</v>
      </c>
      <c r="Y1765">
        <v>0</v>
      </c>
    </row>
    <row r="1766" spans="1:25" x14ac:dyDescent="0.3">
      <c r="A1766">
        <v>1765</v>
      </c>
      <c r="B1766">
        <v>130000</v>
      </c>
      <c r="C1766">
        <v>2</v>
      </c>
      <c r="D1766">
        <v>1</v>
      </c>
      <c r="E1766">
        <v>2</v>
      </c>
      <c r="F1766">
        <v>26</v>
      </c>
      <c r="G1766">
        <v>1</v>
      </c>
      <c r="H1766">
        <v>2</v>
      </c>
      <c r="I1766">
        <v>2</v>
      </c>
      <c r="J1766">
        <v>2</v>
      </c>
      <c r="K1766">
        <v>2</v>
      </c>
      <c r="L1766">
        <v>2</v>
      </c>
      <c r="M1766">
        <v>22415</v>
      </c>
      <c r="N1766">
        <v>21146</v>
      </c>
      <c r="O1766">
        <v>23647</v>
      </c>
      <c r="P1766">
        <v>22984</v>
      </c>
      <c r="Q1766">
        <v>24315</v>
      </c>
      <c r="R1766">
        <v>23155</v>
      </c>
      <c r="S1766">
        <v>0</v>
      </c>
      <c r="T1766">
        <v>3500</v>
      </c>
      <c r="U1766">
        <v>0</v>
      </c>
      <c r="V1766">
        <v>2000</v>
      </c>
      <c r="W1766">
        <v>0</v>
      </c>
      <c r="X1766">
        <v>2000</v>
      </c>
      <c r="Y1766">
        <v>0</v>
      </c>
    </row>
    <row r="1767" spans="1:25" x14ac:dyDescent="0.3">
      <c r="A1767">
        <v>1766</v>
      </c>
      <c r="B1767">
        <v>30000</v>
      </c>
      <c r="C1767">
        <v>2</v>
      </c>
      <c r="D1767">
        <v>1</v>
      </c>
      <c r="E1767">
        <v>2</v>
      </c>
      <c r="F1767">
        <v>27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23447</v>
      </c>
      <c r="N1767">
        <v>24563</v>
      </c>
      <c r="O1767">
        <v>25650</v>
      </c>
      <c r="P1767">
        <v>26222</v>
      </c>
      <c r="Q1767">
        <v>26800</v>
      </c>
      <c r="R1767">
        <v>27554</v>
      </c>
      <c r="S1767">
        <v>1500</v>
      </c>
      <c r="T1767">
        <v>1500</v>
      </c>
      <c r="U1767">
        <v>1000</v>
      </c>
      <c r="V1767">
        <v>1000</v>
      </c>
      <c r="W1767">
        <v>1200</v>
      </c>
      <c r="X1767">
        <v>4271</v>
      </c>
      <c r="Y1767">
        <v>1</v>
      </c>
    </row>
    <row r="1768" spans="1:25" x14ac:dyDescent="0.3">
      <c r="A1768">
        <v>1767</v>
      </c>
      <c r="B1768">
        <v>20000</v>
      </c>
      <c r="C1768">
        <v>2</v>
      </c>
      <c r="D1768">
        <v>1</v>
      </c>
      <c r="E1768">
        <v>2</v>
      </c>
      <c r="F1768">
        <v>24</v>
      </c>
      <c r="G1768">
        <v>2</v>
      </c>
      <c r="H1768">
        <v>2</v>
      </c>
      <c r="I1768">
        <v>2</v>
      </c>
      <c r="J1768">
        <v>0</v>
      </c>
      <c r="K1768">
        <v>0</v>
      </c>
      <c r="L1768">
        <v>0</v>
      </c>
      <c r="M1768">
        <v>7919</v>
      </c>
      <c r="N1768">
        <v>8637</v>
      </c>
      <c r="O1768">
        <v>9339</v>
      </c>
      <c r="P1768">
        <v>10029</v>
      </c>
      <c r="Q1768">
        <v>10615</v>
      </c>
      <c r="R1768">
        <v>11285</v>
      </c>
      <c r="S1768">
        <v>1000</v>
      </c>
      <c r="T1768">
        <v>1000</v>
      </c>
      <c r="U1768">
        <v>1000</v>
      </c>
      <c r="V1768">
        <v>900</v>
      </c>
      <c r="W1768">
        <v>1000</v>
      </c>
      <c r="X1768">
        <v>500</v>
      </c>
      <c r="Y1768">
        <v>1</v>
      </c>
    </row>
    <row r="1769" spans="1:25" x14ac:dyDescent="0.3">
      <c r="A1769">
        <v>1768</v>
      </c>
      <c r="B1769">
        <v>70000</v>
      </c>
      <c r="C1769">
        <v>2</v>
      </c>
      <c r="D1769">
        <v>2</v>
      </c>
      <c r="E1769">
        <v>2</v>
      </c>
      <c r="F1769">
        <v>26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30139</v>
      </c>
      <c r="N1769">
        <v>8241</v>
      </c>
      <c r="O1769">
        <v>8398</v>
      </c>
      <c r="P1769">
        <v>8864</v>
      </c>
      <c r="Q1769">
        <v>9301</v>
      </c>
      <c r="R1769">
        <v>10702</v>
      </c>
      <c r="S1769">
        <v>2000</v>
      </c>
      <c r="T1769">
        <v>2000</v>
      </c>
      <c r="U1769">
        <v>2000</v>
      </c>
      <c r="V1769">
        <v>2000</v>
      </c>
      <c r="W1769">
        <v>3000</v>
      </c>
      <c r="X1769">
        <v>1500</v>
      </c>
      <c r="Y1769">
        <v>0</v>
      </c>
    </row>
    <row r="1770" spans="1:25" x14ac:dyDescent="0.3">
      <c r="A1770">
        <v>1769</v>
      </c>
      <c r="B1770">
        <v>200000</v>
      </c>
      <c r="C1770">
        <v>1</v>
      </c>
      <c r="D1770">
        <v>1</v>
      </c>
      <c r="E1770">
        <v>2</v>
      </c>
      <c r="F1770">
        <v>27</v>
      </c>
      <c r="G1770">
        <v>-1</v>
      </c>
      <c r="H1770">
        <v>-1</v>
      </c>
      <c r="I1770">
        <v>-1</v>
      </c>
      <c r="J1770">
        <v>-1</v>
      </c>
      <c r="K1770">
        <v>-1</v>
      </c>
      <c r="L1770">
        <v>-1</v>
      </c>
      <c r="M1770">
        <v>4890</v>
      </c>
      <c r="N1770">
        <v>3630</v>
      </c>
      <c r="O1770">
        <v>4882</v>
      </c>
      <c r="P1770">
        <v>10955</v>
      </c>
      <c r="Q1770">
        <v>10435</v>
      </c>
      <c r="R1770">
        <v>1665</v>
      </c>
      <c r="S1770">
        <v>3630</v>
      </c>
      <c r="T1770">
        <v>4882</v>
      </c>
      <c r="U1770">
        <v>11034</v>
      </c>
      <c r="V1770">
        <v>10435</v>
      </c>
      <c r="W1770">
        <v>1665</v>
      </c>
      <c r="X1770">
        <v>3765</v>
      </c>
      <c r="Y1770">
        <v>0</v>
      </c>
    </row>
    <row r="1771" spans="1:25" x14ac:dyDescent="0.3">
      <c r="A1771">
        <v>1770</v>
      </c>
      <c r="B1771">
        <v>50000</v>
      </c>
      <c r="C1771">
        <v>2</v>
      </c>
      <c r="D1771">
        <v>2</v>
      </c>
      <c r="E1771">
        <v>1</v>
      </c>
      <c r="F1771">
        <v>46</v>
      </c>
      <c r="G1771">
        <v>-1</v>
      </c>
      <c r="H1771">
        <v>-1</v>
      </c>
      <c r="I1771">
        <v>-1</v>
      </c>
      <c r="J1771">
        <v>-1</v>
      </c>
      <c r="K1771">
        <v>-1</v>
      </c>
      <c r="L1771">
        <v>-1</v>
      </c>
      <c r="M1771">
        <v>569</v>
      </c>
      <c r="N1771">
        <v>1436</v>
      </c>
      <c r="O1771">
        <v>3220</v>
      </c>
      <c r="P1771">
        <v>6592</v>
      </c>
      <c r="Q1771">
        <v>5085</v>
      </c>
      <c r="R1771">
        <v>1050</v>
      </c>
      <c r="S1771">
        <v>1440</v>
      </c>
      <c r="T1771">
        <v>3224</v>
      </c>
      <c r="U1771">
        <v>6621</v>
      </c>
      <c r="V1771">
        <v>5396</v>
      </c>
      <c r="W1771">
        <v>1050</v>
      </c>
      <c r="X1771">
        <v>0</v>
      </c>
      <c r="Y1771">
        <v>1</v>
      </c>
    </row>
    <row r="1772" spans="1:25" x14ac:dyDescent="0.3">
      <c r="A1772">
        <v>1771</v>
      </c>
      <c r="B1772">
        <v>360000</v>
      </c>
      <c r="C1772">
        <v>1</v>
      </c>
      <c r="D1772">
        <v>2</v>
      </c>
      <c r="E1772">
        <v>1</v>
      </c>
      <c r="F1772">
        <v>56</v>
      </c>
      <c r="G1772">
        <v>-1</v>
      </c>
      <c r="H1772">
        <v>-1</v>
      </c>
      <c r="I1772">
        <v>-1</v>
      </c>
      <c r="J1772">
        <v>-1</v>
      </c>
      <c r="K1772">
        <v>-1</v>
      </c>
      <c r="L1772">
        <v>-1</v>
      </c>
      <c r="M1772">
        <v>750</v>
      </c>
      <c r="N1772">
        <v>1224</v>
      </c>
      <c r="O1772">
        <v>3206</v>
      </c>
      <c r="P1772">
        <v>291</v>
      </c>
      <c r="Q1772">
        <v>951</v>
      </c>
      <c r="R1772">
        <v>2941</v>
      </c>
      <c r="S1772">
        <v>1236</v>
      </c>
      <c r="T1772">
        <v>3537</v>
      </c>
      <c r="U1772">
        <v>291</v>
      </c>
      <c r="V1772">
        <v>951</v>
      </c>
      <c r="W1772">
        <v>2941</v>
      </c>
      <c r="X1772">
        <v>291</v>
      </c>
      <c r="Y1772">
        <v>0</v>
      </c>
    </row>
    <row r="1773" spans="1:25" x14ac:dyDescent="0.3">
      <c r="A1773">
        <v>1772</v>
      </c>
      <c r="B1773">
        <v>50000</v>
      </c>
      <c r="C1773">
        <v>2</v>
      </c>
      <c r="D1773">
        <v>3</v>
      </c>
      <c r="E1773">
        <v>1</v>
      </c>
      <c r="F1773">
        <v>56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33197</v>
      </c>
      <c r="N1773">
        <v>34961</v>
      </c>
      <c r="O1773">
        <v>28913</v>
      </c>
      <c r="P1773">
        <v>29093</v>
      </c>
      <c r="Q1773">
        <v>29306</v>
      </c>
      <c r="R1773">
        <v>29506</v>
      </c>
      <c r="S1773">
        <v>2407</v>
      </c>
      <c r="T1773">
        <v>2960</v>
      </c>
      <c r="U1773">
        <v>1029</v>
      </c>
      <c r="V1773">
        <v>1059</v>
      </c>
      <c r="W1773">
        <v>1073</v>
      </c>
      <c r="X1773">
        <v>1200</v>
      </c>
      <c r="Y1773">
        <v>0</v>
      </c>
    </row>
    <row r="1774" spans="1:25" x14ac:dyDescent="0.3">
      <c r="A1774">
        <v>1773</v>
      </c>
      <c r="B1774">
        <v>180000</v>
      </c>
      <c r="C1774">
        <v>2</v>
      </c>
      <c r="D1774">
        <v>3</v>
      </c>
      <c r="E1774">
        <v>1</v>
      </c>
      <c r="F1774">
        <v>26</v>
      </c>
      <c r="G1774">
        <v>0</v>
      </c>
      <c r="H1774">
        <v>0</v>
      </c>
      <c r="I1774">
        <v>0</v>
      </c>
      <c r="J1774">
        <v>-2</v>
      </c>
      <c r="K1774">
        <v>-2</v>
      </c>
      <c r="L1774">
        <v>-2</v>
      </c>
      <c r="M1774">
        <v>32023</v>
      </c>
      <c r="N1774">
        <v>20233</v>
      </c>
      <c r="O1774">
        <v>0</v>
      </c>
      <c r="P1774">
        <v>0</v>
      </c>
      <c r="Q1774">
        <v>0</v>
      </c>
      <c r="R1774">
        <v>0</v>
      </c>
      <c r="S1774">
        <v>10000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</row>
    <row r="1775" spans="1:25" x14ac:dyDescent="0.3">
      <c r="A1775">
        <v>1774</v>
      </c>
      <c r="B1775">
        <v>50000</v>
      </c>
      <c r="C1775">
        <v>1</v>
      </c>
      <c r="D1775">
        <v>2</v>
      </c>
      <c r="E1775">
        <v>2</v>
      </c>
      <c r="F1775">
        <v>25</v>
      </c>
      <c r="G1775">
        <v>2</v>
      </c>
      <c r="H1775">
        <v>2</v>
      </c>
      <c r="I1775">
        <v>0</v>
      </c>
      <c r="J1775">
        <v>0</v>
      </c>
      <c r="K1775">
        <v>0</v>
      </c>
      <c r="L1775">
        <v>2</v>
      </c>
      <c r="M1775">
        <v>7180</v>
      </c>
      <c r="N1775">
        <v>6922</v>
      </c>
      <c r="O1775">
        <v>7849</v>
      </c>
      <c r="P1775">
        <v>8018</v>
      </c>
      <c r="Q1775">
        <v>8884</v>
      </c>
      <c r="R1775">
        <v>8593</v>
      </c>
      <c r="S1775">
        <v>0</v>
      </c>
      <c r="T1775">
        <v>1200</v>
      </c>
      <c r="U1775">
        <v>300</v>
      </c>
      <c r="V1775">
        <v>1000</v>
      </c>
      <c r="W1775">
        <v>0</v>
      </c>
      <c r="X1775">
        <v>1000</v>
      </c>
      <c r="Y1775">
        <v>1</v>
      </c>
    </row>
    <row r="1776" spans="1:25" x14ac:dyDescent="0.3">
      <c r="A1776">
        <v>1775</v>
      </c>
      <c r="B1776">
        <v>120000</v>
      </c>
      <c r="C1776">
        <v>2</v>
      </c>
      <c r="D1776">
        <v>1</v>
      </c>
      <c r="E1776">
        <v>2</v>
      </c>
      <c r="F1776">
        <v>28</v>
      </c>
      <c r="G1776">
        <v>-2</v>
      </c>
      <c r="H1776">
        <v>-2</v>
      </c>
      <c r="I1776">
        <v>-2</v>
      </c>
      <c r="J1776">
        <v>-2</v>
      </c>
      <c r="K1776">
        <v>-2</v>
      </c>
      <c r="L1776">
        <v>-2</v>
      </c>
      <c r="M1776">
        <v>-8</v>
      </c>
      <c r="N1776">
        <v>2046</v>
      </c>
      <c r="O1776">
        <v>0</v>
      </c>
      <c r="P1776">
        <v>409</v>
      </c>
      <c r="Q1776">
        <v>872</v>
      </c>
      <c r="R1776">
        <v>1539</v>
      </c>
      <c r="S1776">
        <v>2054</v>
      </c>
      <c r="T1776">
        <v>0</v>
      </c>
      <c r="U1776">
        <v>409</v>
      </c>
      <c r="V1776">
        <v>872</v>
      </c>
      <c r="W1776">
        <v>1539</v>
      </c>
      <c r="X1776">
        <v>580</v>
      </c>
      <c r="Y1776">
        <v>0</v>
      </c>
    </row>
    <row r="1777" spans="1:25" x14ac:dyDescent="0.3">
      <c r="A1777">
        <v>1776</v>
      </c>
      <c r="B1777">
        <v>80000</v>
      </c>
      <c r="C1777">
        <v>2</v>
      </c>
      <c r="D1777">
        <v>2</v>
      </c>
      <c r="E1777">
        <v>1</v>
      </c>
      <c r="F1777">
        <v>37</v>
      </c>
      <c r="G1777">
        <v>2</v>
      </c>
      <c r="H1777">
        <v>2</v>
      </c>
      <c r="I1777">
        <v>2</v>
      </c>
      <c r="J1777">
        <v>2</v>
      </c>
      <c r="K1777">
        <v>2</v>
      </c>
      <c r="L1777">
        <v>2</v>
      </c>
      <c r="M1777">
        <v>15234</v>
      </c>
      <c r="N1777">
        <v>16893</v>
      </c>
      <c r="O1777">
        <v>17834</v>
      </c>
      <c r="P1777">
        <v>17250</v>
      </c>
      <c r="Q1777">
        <v>18470</v>
      </c>
      <c r="R1777">
        <v>18023</v>
      </c>
      <c r="S1777">
        <v>2200</v>
      </c>
      <c r="T1777">
        <v>1500</v>
      </c>
      <c r="U1777">
        <v>0</v>
      </c>
      <c r="V1777">
        <v>1500</v>
      </c>
      <c r="W1777">
        <v>0</v>
      </c>
      <c r="X1777">
        <v>1600</v>
      </c>
      <c r="Y1777">
        <v>1</v>
      </c>
    </row>
    <row r="1778" spans="1:25" x14ac:dyDescent="0.3">
      <c r="A1778">
        <v>1777</v>
      </c>
      <c r="B1778">
        <v>330000</v>
      </c>
      <c r="C1778">
        <v>2</v>
      </c>
      <c r="D1778">
        <v>1</v>
      </c>
      <c r="E1778">
        <v>1</v>
      </c>
      <c r="F1778">
        <v>47</v>
      </c>
      <c r="G1778">
        <v>1</v>
      </c>
      <c r="H1778">
        <v>-2</v>
      </c>
      <c r="I1778">
        <v>-2</v>
      </c>
      <c r="J1778">
        <v>-2</v>
      </c>
      <c r="K1778">
        <v>-2</v>
      </c>
      <c r="L1778">
        <v>-1</v>
      </c>
      <c r="M1778">
        <v>2246</v>
      </c>
      <c r="N1778">
        <v>13990</v>
      </c>
      <c r="O1778">
        <v>20992</v>
      </c>
      <c r="P1778">
        <v>681</v>
      </c>
      <c r="Q1778">
        <v>0</v>
      </c>
      <c r="R1778">
        <v>5180</v>
      </c>
      <c r="S1778">
        <v>13990</v>
      </c>
      <c r="T1778">
        <v>21060</v>
      </c>
      <c r="U1778">
        <v>681</v>
      </c>
      <c r="V1778">
        <v>0</v>
      </c>
      <c r="W1778">
        <v>5180</v>
      </c>
      <c r="X1778">
        <v>3820</v>
      </c>
      <c r="Y1778">
        <v>0</v>
      </c>
    </row>
    <row r="1779" spans="1:25" x14ac:dyDescent="0.3">
      <c r="A1779">
        <v>1778</v>
      </c>
      <c r="B1779">
        <v>40000</v>
      </c>
      <c r="C1779">
        <v>1</v>
      </c>
      <c r="D1779">
        <v>3</v>
      </c>
      <c r="E1779">
        <v>1</v>
      </c>
      <c r="F1779">
        <v>43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41094</v>
      </c>
      <c r="N1779">
        <v>36554</v>
      </c>
      <c r="O1779">
        <v>37568</v>
      </c>
      <c r="P1779">
        <v>38314</v>
      </c>
      <c r="Q1779">
        <v>39141</v>
      </c>
      <c r="R1779">
        <v>40231</v>
      </c>
      <c r="S1779">
        <v>1611</v>
      </c>
      <c r="T1779">
        <v>1625</v>
      </c>
      <c r="U1779">
        <v>1371</v>
      </c>
      <c r="V1779">
        <v>1444</v>
      </c>
      <c r="W1779">
        <v>1765</v>
      </c>
      <c r="X1779">
        <v>1283</v>
      </c>
      <c r="Y1779">
        <v>1</v>
      </c>
    </row>
    <row r="1780" spans="1:25" x14ac:dyDescent="0.3">
      <c r="A1780">
        <v>1779</v>
      </c>
      <c r="B1780">
        <v>50000</v>
      </c>
      <c r="C1780">
        <v>1</v>
      </c>
      <c r="D1780">
        <v>2</v>
      </c>
      <c r="E1780">
        <v>2</v>
      </c>
      <c r="F1780">
        <v>26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27570</v>
      </c>
      <c r="N1780">
        <v>28820</v>
      </c>
      <c r="O1780">
        <v>29400</v>
      </c>
      <c r="P1780">
        <v>5124</v>
      </c>
      <c r="Q1780">
        <v>6874</v>
      </c>
      <c r="R1780">
        <v>7654</v>
      </c>
      <c r="S1780">
        <v>2000</v>
      </c>
      <c r="T1780">
        <v>1200</v>
      </c>
      <c r="U1780">
        <v>1000</v>
      </c>
      <c r="V1780">
        <v>2000</v>
      </c>
      <c r="W1780">
        <v>1000</v>
      </c>
      <c r="X1780">
        <v>1979</v>
      </c>
      <c r="Y1780">
        <v>0</v>
      </c>
    </row>
    <row r="1781" spans="1:25" x14ac:dyDescent="0.3">
      <c r="A1781">
        <v>1780</v>
      </c>
      <c r="B1781">
        <v>80000</v>
      </c>
      <c r="C1781">
        <v>1</v>
      </c>
      <c r="D1781">
        <v>3</v>
      </c>
      <c r="E1781">
        <v>1</v>
      </c>
      <c r="F1781">
        <v>48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71515</v>
      </c>
      <c r="N1781">
        <v>70287</v>
      </c>
      <c r="O1781">
        <v>61892</v>
      </c>
      <c r="P1781">
        <v>26779</v>
      </c>
      <c r="Q1781">
        <v>25464</v>
      </c>
      <c r="R1781">
        <v>25993</v>
      </c>
      <c r="S1781">
        <v>3679</v>
      </c>
      <c r="T1781">
        <v>2305</v>
      </c>
      <c r="U1781">
        <v>924</v>
      </c>
      <c r="V1781">
        <v>1069</v>
      </c>
      <c r="W1781">
        <v>1100</v>
      </c>
      <c r="X1781">
        <v>1110</v>
      </c>
      <c r="Y1781">
        <v>0</v>
      </c>
    </row>
    <row r="1782" spans="1:25" x14ac:dyDescent="0.3">
      <c r="A1782">
        <v>1781</v>
      </c>
      <c r="B1782">
        <v>450000</v>
      </c>
      <c r="C1782">
        <v>1</v>
      </c>
      <c r="D1782">
        <v>1</v>
      </c>
      <c r="E1782">
        <v>1</v>
      </c>
      <c r="F1782">
        <v>41</v>
      </c>
      <c r="G1782">
        <v>-1</v>
      </c>
      <c r="H1782">
        <v>-1</v>
      </c>
      <c r="I1782">
        <v>-1</v>
      </c>
      <c r="J1782">
        <v>-2</v>
      </c>
      <c r="K1782">
        <v>-1</v>
      </c>
      <c r="L1782">
        <v>-1</v>
      </c>
      <c r="M1782">
        <v>697</v>
      </c>
      <c r="N1782">
        <v>500</v>
      </c>
      <c r="O1782">
        <v>0</v>
      </c>
      <c r="P1782">
        <v>0</v>
      </c>
      <c r="Q1782">
        <v>461</v>
      </c>
      <c r="R1782">
        <v>-3</v>
      </c>
      <c r="S1782">
        <v>505</v>
      </c>
      <c r="T1782">
        <v>0</v>
      </c>
      <c r="U1782">
        <v>0</v>
      </c>
      <c r="V1782">
        <v>461</v>
      </c>
      <c r="W1782">
        <v>3</v>
      </c>
      <c r="X1782">
        <v>0</v>
      </c>
      <c r="Y1782">
        <v>0</v>
      </c>
    </row>
    <row r="1783" spans="1:25" x14ac:dyDescent="0.3">
      <c r="A1783">
        <v>1782</v>
      </c>
      <c r="B1783">
        <v>30000</v>
      </c>
      <c r="C1783">
        <v>2</v>
      </c>
      <c r="D1783">
        <v>3</v>
      </c>
      <c r="E1783">
        <v>1</v>
      </c>
      <c r="F1783">
        <v>48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27947</v>
      </c>
      <c r="N1783">
        <v>27035</v>
      </c>
      <c r="O1783">
        <v>27876</v>
      </c>
      <c r="P1783">
        <v>26640</v>
      </c>
      <c r="Q1783">
        <v>25896</v>
      </c>
      <c r="R1783">
        <v>25481</v>
      </c>
      <c r="S1783">
        <v>2000</v>
      </c>
      <c r="T1783">
        <v>1800</v>
      </c>
      <c r="U1783">
        <v>1500</v>
      </c>
      <c r="V1783">
        <v>1500</v>
      </c>
      <c r="W1783">
        <v>1500</v>
      </c>
      <c r="X1783">
        <v>1500</v>
      </c>
      <c r="Y1783">
        <v>0</v>
      </c>
    </row>
    <row r="1784" spans="1:25" x14ac:dyDescent="0.3">
      <c r="A1784">
        <v>1783</v>
      </c>
      <c r="B1784">
        <v>160000</v>
      </c>
      <c r="C1784">
        <v>1</v>
      </c>
      <c r="D1784">
        <v>2</v>
      </c>
      <c r="E1784">
        <v>1</v>
      </c>
      <c r="F1784">
        <v>28</v>
      </c>
      <c r="G1784">
        <v>0</v>
      </c>
      <c r="H1784">
        <v>0</v>
      </c>
      <c r="I1784">
        <v>2</v>
      </c>
      <c r="J1784">
        <v>2</v>
      </c>
      <c r="K1784">
        <v>0</v>
      </c>
      <c r="L1784">
        <v>0</v>
      </c>
      <c r="M1784">
        <v>62312</v>
      </c>
      <c r="N1784">
        <v>66965</v>
      </c>
      <c r="O1784">
        <v>67648</v>
      </c>
      <c r="P1784">
        <v>66020</v>
      </c>
      <c r="Q1784">
        <v>67386</v>
      </c>
      <c r="R1784">
        <v>68336</v>
      </c>
      <c r="S1784">
        <v>5856</v>
      </c>
      <c r="T1784">
        <v>2311</v>
      </c>
      <c r="U1784">
        <v>0</v>
      </c>
      <c r="V1784">
        <v>2377</v>
      </c>
      <c r="W1784">
        <v>2000</v>
      </c>
      <c r="X1784">
        <v>1881</v>
      </c>
      <c r="Y1784">
        <v>0</v>
      </c>
    </row>
    <row r="1785" spans="1:25" x14ac:dyDescent="0.3">
      <c r="A1785">
        <v>1784</v>
      </c>
      <c r="B1785">
        <v>80000</v>
      </c>
      <c r="C1785">
        <v>2</v>
      </c>
      <c r="D1785">
        <v>1</v>
      </c>
      <c r="E1785">
        <v>2</v>
      </c>
      <c r="F1785">
        <v>22</v>
      </c>
      <c r="G1785">
        <v>-1</v>
      </c>
      <c r="H1785">
        <v>-1</v>
      </c>
      <c r="I1785">
        <v>0</v>
      </c>
      <c r="J1785">
        <v>0</v>
      </c>
      <c r="K1785">
        <v>-2</v>
      </c>
      <c r="L1785">
        <v>-2</v>
      </c>
      <c r="M1785">
        <v>10439</v>
      </c>
      <c r="N1785">
        <v>11501</v>
      </c>
      <c r="O1785">
        <v>12113</v>
      </c>
      <c r="P1785">
        <v>-33</v>
      </c>
      <c r="Q1785">
        <v>2748</v>
      </c>
      <c r="R1785">
        <v>90</v>
      </c>
      <c r="S1785">
        <v>11501</v>
      </c>
      <c r="T1785">
        <v>1000</v>
      </c>
      <c r="U1785">
        <v>33</v>
      </c>
      <c r="V1785">
        <v>2871</v>
      </c>
      <c r="W1785">
        <v>90</v>
      </c>
      <c r="X1785">
        <v>0</v>
      </c>
      <c r="Y1785">
        <v>0</v>
      </c>
    </row>
    <row r="1786" spans="1:25" x14ac:dyDescent="0.3">
      <c r="A1786">
        <v>1785</v>
      </c>
      <c r="B1786">
        <v>400000</v>
      </c>
      <c r="C1786">
        <v>1</v>
      </c>
      <c r="D1786">
        <v>2</v>
      </c>
      <c r="E1786">
        <v>1</v>
      </c>
      <c r="F1786">
        <v>34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2</v>
      </c>
      <c r="M1786">
        <v>52271</v>
      </c>
      <c r="N1786">
        <v>56788</v>
      </c>
      <c r="O1786">
        <v>60049</v>
      </c>
      <c r="P1786">
        <v>60876</v>
      </c>
      <c r="Q1786">
        <v>65178</v>
      </c>
      <c r="R1786">
        <v>45933</v>
      </c>
      <c r="S1786">
        <v>6000</v>
      </c>
      <c r="T1786">
        <v>5000</v>
      </c>
      <c r="U1786">
        <v>1902</v>
      </c>
      <c r="V1786">
        <v>5000</v>
      </c>
      <c r="W1786">
        <v>0</v>
      </c>
      <c r="X1786">
        <v>5000</v>
      </c>
      <c r="Y1786">
        <v>0</v>
      </c>
    </row>
    <row r="1787" spans="1:25" x14ac:dyDescent="0.3">
      <c r="A1787">
        <v>1786</v>
      </c>
      <c r="B1787">
        <v>220000</v>
      </c>
      <c r="C1787">
        <v>1</v>
      </c>
      <c r="D1787">
        <v>2</v>
      </c>
      <c r="E1787">
        <v>1</v>
      </c>
      <c r="F1787">
        <v>60</v>
      </c>
      <c r="G1787">
        <v>-1</v>
      </c>
      <c r="H1787">
        <v>-1</v>
      </c>
      <c r="I1787">
        <v>-1</v>
      </c>
      <c r="J1787">
        <v>-1</v>
      </c>
      <c r="K1787">
        <v>-1</v>
      </c>
      <c r="L1787">
        <v>-1</v>
      </c>
      <c r="M1787">
        <v>1994</v>
      </c>
      <c r="N1787">
        <v>1598</v>
      </c>
      <c r="O1787">
        <v>6944</v>
      </c>
      <c r="P1787">
        <v>7161</v>
      </c>
      <c r="Q1787">
        <v>1534</v>
      </c>
      <c r="R1787">
        <v>11248</v>
      </c>
      <c r="S1787">
        <v>1606</v>
      </c>
      <c r="T1787">
        <v>6978</v>
      </c>
      <c r="U1787">
        <v>7196</v>
      </c>
      <c r="V1787">
        <v>1541</v>
      </c>
      <c r="W1787">
        <v>11304</v>
      </c>
      <c r="X1787">
        <v>483</v>
      </c>
      <c r="Y1787">
        <v>1</v>
      </c>
    </row>
    <row r="1788" spans="1:25" x14ac:dyDescent="0.3">
      <c r="A1788">
        <v>1787</v>
      </c>
      <c r="B1788">
        <v>40000</v>
      </c>
      <c r="C1788">
        <v>2</v>
      </c>
      <c r="D1788">
        <v>2</v>
      </c>
      <c r="E1788">
        <v>1</v>
      </c>
      <c r="F1788">
        <v>25</v>
      </c>
      <c r="G1788">
        <v>0</v>
      </c>
      <c r="H1788">
        <v>0</v>
      </c>
      <c r="I1788">
        <v>2</v>
      </c>
      <c r="J1788">
        <v>2</v>
      </c>
      <c r="K1788">
        <v>2</v>
      </c>
      <c r="L1788">
        <v>2</v>
      </c>
      <c r="M1788">
        <v>21590</v>
      </c>
      <c r="N1788">
        <v>24326</v>
      </c>
      <c r="O1788">
        <v>23642</v>
      </c>
      <c r="P1788">
        <v>25936</v>
      </c>
      <c r="Q1788">
        <v>25384</v>
      </c>
      <c r="R1788">
        <v>26905</v>
      </c>
      <c r="S1788">
        <v>3400</v>
      </c>
      <c r="T1788">
        <v>0</v>
      </c>
      <c r="U1788">
        <v>3000</v>
      </c>
      <c r="V1788">
        <v>0</v>
      </c>
      <c r="W1788">
        <v>2100</v>
      </c>
      <c r="X1788">
        <v>0</v>
      </c>
      <c r="Y1788">
        <v>1</v>
      </c>
    </row>
    <row r="1789" spans="1:25" x14ac:dyDescent="0.3">
      <c r="A1789">
        <v>1788</v>
      </c>
      <c r="B1789">
        <v>280000</v>
      </c>
      <c r="C1789">
        <v>2</v>
      </c>
      <c r="D1789">
        <v>2</v>
      </c>
      <c r="E1789">
        <v>2</v>
      </c>
      <c r="F1789">
        <v>27</v>
      </c>
      <c r="G1789">
        <v>-1</v>
      </c>
      <c r="H1789">
        <v>0</v>
      </c>
      <c r="I1789">
        <v>0</v>
      </c>
      <c r="J1789">
        <v>0</v>
      </c>
      <c r="K1789">
        <v>2</v>
      </c>
      <c r="L1789">
        <v>0</v>
      </c>
      <c r="M1789">
        <v>82742</v>
      </c>
      <c r="N1789">
        <v>153791</v>
      </c>
      <c r="O1789">
        <v>85601</v>
      </c>
      <c r="P1789">
        <v>108984</v>
      </c>
      <c r="Q1789">
        <v>105275</v>
      </c>
      <c r="R1789">
        <v>117635</v>
      </c>
      <c r="S1789">
        <v>10077</v>
      </c>
      <c r="T1789">
        <v>27785</v>
      </c>
      <c r="U1789">
        <v>30000</v>
      </c>
      <c r="V1789">
        <v>23</v>
      </c>
      <c r="W1789">
        <v>20000</v>
      </c>
      <c r="X1789">
        <v>3406</v>
      </c>
      <c r="Y1789">
        <v>0</v>
      </c>
    </row>
    <row r="1790" spans="1:25" x14ac:dyDescent="0.3">
      <c r="A1790">
        <v>1789</v>
      </c>
      <c r="B1790">
        <v>50000</v>
      </c>
      <c r="C1790">
        <v>2</v>
      </c>
      <c r="D1790">
        <v>1</v>
      </c>
      <c r="E1790">
        <v>2</v>
      </c>
      <c r="F1790">
        <v>25</v>
      </c>
      <c r="G1790">
        <v>0</v>
      </c>
      <c r="H1790">
        <v>0</v>
      </c>
      <c r="I1790">
        <v>0</v>
      </c>
      <c r="J1790">
        <v>-2</v>
      </c>
      <c r="K1790">
        <v>-2</v>
      </c>
      <c r="L1790">
        <v>-2</v>
      </c>
      <c r="M1790">
        <v>50380</v>
      </c>
      <c r="N1790">
        <v>38712</v>
      </c>
      <c r="O1790">
        <v>0</v>
      </c>
      <c r="P1790">
        <v>0</v>
      </c>
      <c r="Q1790">
        <v>0</v>
      </c>
      <c r="R1790">
        <v>0</v>
      </c>
      <c r="S1790">
        <v>4000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</row>
    <row r="1791" spans="1:25" x14ac:dyDescent="0.3">
      <c r="A1791">
        <v>1790</v>
      </c>
      <c r="B1791">
        <v>110000</v>
      </c>
      <c r="C1791">
        <v>1</v>
      </c>
      <c r="D1791">
        <v>2</v>
      </c>
      <c r="E1791">
        <v>2</v>
      </c>
      <c r="F1791">
        <v>26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106417</v>
      </c>
      <c r="N1791">
        <v>103587</v>
      </c>
      <c r="O1791">
        <v>56676</v>
      </c>
      <c r="P1791">
        <v>47332</v>
      </c>
      <c r="Q1791">
        <v>45171</v>
      </c>
      <c r="R1791">
        <v>47092</v>
      </c>
      <c r="S1791">
        <v>9026</v>
      </c>
      <c r="T1791">
        <v>6000</v>
      </c>
      <c r="U1791">
        <v>2000</v>
      </c>
      <c r="V1791">
        <v>2000</v>
      </c>
      <c r="W1791">
        <v>3000</v>
      </c>
      <c r="X1791">
        <v>4006</v>
      </c>
      <c r="Y1791">
        <v>0</v>
      </c>
    </row>
    <row r="1792" spans="1:25" x14ac:dyDescent="0.3">
      <c r="A1792">
        <v>1791</v>
      </c>
      <c r="B1792">
        <v>180000</v>
      </c>
      <c r="C1792">
        <v>2</v>
      </c>
      <c r="D1792">
        <v>1</v>
      </c>
      <c r="E1792">
        <v>1</v>
      </c>
      <c r="F1792">
        <v>44</v>
      </c>
      <c r="G1792">
        <v>1</v>
      </c>
      <c r="H1792">
        <v>-1</v>
      </c>
      <c r="I1792">
        <v>-1</v>
      </c>
      <c r="J1792">
        <v>-1</v>
      </c>
      <c r="K1792">
        <v>-1</v>
      </c>
      <c r="L1792">
        <v>-1</v>
      </c>
      <c r="M1792">
        <v>2788</v>
      </c>
      <c r="N1792">
        <v>5646</v>
      </c>
      <c r="O1792">
        <v>13647</v>
      </c>
      <c r="P1792">
        <v>30848</v>
      </c>
      <c r="Q1792">
        <v>15520</v>
      </c>
      <c r="R1792">
        <v>558</v>
      </c>
      <c r="S1792">
        <v>5646</v>
      </c>
      <c r="T1792">
        <v>13901</v>
      </c>
      <c r="U1792">
        <v>30848</v>
      </c>
      <c r="V1792">
        <v>15520</v>
      </c>
      <c r="W1792">
        <v>558</v>
      </c>
      <c r="X1792">
        <v>26733</v>
      </c>
      <c r="Y1792">
        <v>0</v>
      </c>
    </row>
    <row r="1793" spans="1:25" x14ac:dyDescent="0.3">
      <c r="A1793">
        <v>1792</v>
      </c>
      <c r="B1793">
        <v>200000</v>
      </c>
      <c r="C1793">
        <v>2</v>
      </c>
      <c r="D1793">
        <v>1</v>
      </c>
      <c r="E1793">
        <v>2</v>
      </c>
      <c r="F1793">
        <v>26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18630</v>
      </c>
      <c r="N1793">
        <v>15996</v>
      </c>
      <c r="O1793">
        <v>16304</v>
      </c>
      <c r="P1793">
        <v>14973</v>
      </c>
      <c r="Q1793">
        <v>20542</v>
      </c>
      <c r="R1793">
        <v>15810</v>
      </c>
      <c r="S1793">
        <v>1502</v>
      </c>
      <c r="T1793">
        <v>1200</v>
      </c>
      <c r="U1793">
        <v>300</v>
      </c>
      <c r="V1793">
        <v>7000</v>
      </c>
      <c r="W1793">
        <v>8000</v>
      </c>
      <c r="X1793">
        <v>4000</v>
      </c>
      <c r="Y1793">
        <v>0</v>
      </c>
    </row>
    <row r="1794" spans="1:25" x14ac:dyDescent="0.3">
      <c r="A1794">
        <v>1793</v>
      </c>
      <c r="B1794">
        <v>390000</v>
      </c>
      <c r="C1794">
        <v>2</v>
      </c>
      <c r="D1794">
        <v>1</v>
      </c>
      <c r="E1794">
        <v>2</v>
      </c>
      <c r="F1794">
        <v>33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85538</v>
      </c>
      <c r="N1794">
        <v>79875</v>
      </c>
      <c r="O1794">
        <v>82853</v>
      </c>
      <c r="P1794">
        <v>82747</v>
      </c>
      <c r="Q1794">
        <v>44143</v>
      </c>
      <c r="R1794">
        <v>38488</v>
      </c>
      <c r="S1794">
        <v>3500</v>
      </c>
      <c r="T1794">
        <v>4502</v>
      </c>
      <c r="U1794">
        <v>3518</v>
      </c>
      <c r="V1794">
        <v>2003</v>
      </c>
      <c r="W1794">
        <v>3001</v>
      </c>
      <c r="X1794">
        <v>3000</v>
      </c>
      <c r="Y1794">
        <v>0</v>
      </c>
    </row>
    <row r="1795" spans="1:25" x14ac:dyDescent="0.3">
      <c r="A1795">
        <v>1794</v>
      </c>
      <c r="B1795">
        <v>400000</v>
      </c>
      <c r="C1795">
        <v>2</v>
      </c>
      <c r="D1795">
        <v>1</v>
      </c>
      <c r="E1795">
        <v>2</v>
      </c>
      <c r="F1795">
        <v>29</v>
      </c>
      <c r="G1795">
        <v>-1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5154</v>
      </c>
      <c r="N1795">
        <v>6016</v>
      </c>
      <c r="O1795">
        <v>7056</v>
      </c>
      <c r="P1795">
        <v>7310</v>
      </c>
      <c r="Q1795">
        <v>9943</v>
      </c>
      <c r="R1795">
        <v>12849</v>
      </c>
      <c r="S1795">
        <v>1060</v>
      </c>
      <c r="T1795">
        <v>1100</v>
      </c>
      <c r="U1795">
        <v>310</v>
      </c>
      <c r="V1795">
        <v>3000</v>
      </c>
      <c r="W1795">
        <v>3000</v>
      </c>
      <c r="X1795">
        <v>6100</v>
      </c>
      <c r="Y1795">
        <v>0</v>
      </c>
    </row>
    <row r="1796" spans="1:25" x14ac:dyDescent="0.3">
      <c r="A1796">
        <v>1795</v>
      </c>
      <c r="B1796">
        <v>120000</v>
      </c>
      <c r="C1796">
        <v>2</v>
      </c>
      <c r="D1796">
        <v>3</v>
      </c>
      <c r="E1796">
        <v>2</v>
      </c>
      <c r="F1796">
        <v>37</v>
      </c>
      <c r="G1796">
        <v>-1</v>
      </c>
      <c r="H1796">
        <v>-1</v>
      </c>
      <c r="I1796">
        <v>-1</v>
      </c>
      <c r="J1796">
        <v>-1</v>
      </c>
      <c r="K1796">
        <v>-1</v>
      </c>
      <c r="L1796">
        <v>-1</v>
      </c>
      <c r="M1796">
        <v>776</v>
      </c>
      <c r="N1796">
        <v>1616</v>
      </c>
      <c r="O1796">
        <v>776</v>
      </c>
      <c r="P1796">
        <v>776</v>
      </c>
      <c r="Q1796">
        <v>776</v>
      </c>
      <c r="R1796">
        <v>776</v>
      </c>
      <c r="S1796">
        <v>1616</v>
      </c>
      <c r="T1796">
        <v>776</v>
      </c>
      <c r="U1796">
        <v>776</v>
      </c>
      <c r="V1796">
        <v>776</v>
      </c>
      <c r="W1796">
        <v>776</v>
      </c>
      <c r="X1796">
        <v>776</v>
      </c>
      <c r="Y1796">
        <v>1</v>
      </c>
    </row>
    <row r="1797" spans="1:25" x14ac:dyDescent="0.3">
      <c r="A1797">
        <v>1796</v>
      </c>
      <c r="B1797">
        <v>200000</v>
      </c>
      <c r="C1797">
        <v>1</v>
      </c>
      <c r="D1797">
        <v>1</v>
      </c>
      <c r="E1797">
        <v>2</v>
      </c>
      <c r="F1797">
        <v>34</v>
      </c>
      <c r="G1797">
        <v>1</v>
      </c>
      <c r="H1797">
        <v>-2</v>
      </c>
      <c r="I1797">
        <v>-2</v>
      </c>
      <c r="J1797">
        <v>-2</v>
      </c>
      <c r="K1797">
        <v>-2</v>
      </c>
      <c r="L1797">
        <v>-2</v>
      </c>
      <c r="M1797">
        <v>-800</v>
      </c>
      <c r="N1797">
        <v>-2685</v>
      </c>
      <c r="O1797">
        <v>-6144</v>
      </c>
      <c r="P1797">
        <v>-7905</v>
      </c>
      <c r="Q1797">
        <v>-10213</v>
      </c>
      <c r="R1797">
        <v>-11060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</row>
    <row r="1798" spans="1:25" x14ac:dyDescent="0.3">
      <c r="A1798">
        <v>1797</v>
      </c>
      <c r="B1798">
        <v>280000</v>
      </c>
      <c r="C1798">
        <v>1</v>
      </c>
      <c r="D1798">
        <v>2</v>
      </c>
      <c r="E1798">
        <v>1</v>
      </c>
      <c r="F1798">
        <v>33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207982</v>
      </c>
      <c r="N1798">
        <v>196055</v>
      </c>
      <c r="O1798">
        <v>182099</v>
      </c>
      <c r="P1798">
        <v>185925</v>
      </c>
      <c r="Q1798">
        <v>188224</v>
      </c>
      <c r="R1798">
        <v>186529</v>
      </c>
      <c r="S1798">
        <v>8644</v>
      </c>
      <c r="T1798">
        <v>6445</v>
      </c>
      <c r="U1798">
        <v>15934</v>
      </c>
      <c r="V1798">
        <v>7016</v>
      </c>
      <c r="W1798">
        <v>6753</v>
      </c>
      <c r="X1798">
        <v>6008</v>
      </c>
      <c r="Y1798">
        <v>0</v>
      </c>
    </row>
    <row r="1799" spans="1:25" x14ac:dyDescent="0.3">
      <c r="A1799">
        <v>1798</v>
      </c>
      <c r="B1799">
        <v>230000</v>
      </c>
      <c r="C1799">
        <v>2</v>
      </c>
      <c r="D1799">
        <v>1</v>
      </c>
      <c r="E1799">
        <v>2</v>
      </c>
      <c r="F1799">
        <v>27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105217</v>
      </c>
      <c r="N1799">
        <v>107857</v>
      </c>
      <c r="O1799">
        <v>110177</v>
      </c>
      <c r="P1799">
        <v>60137</v>
      </c>
      <c r="Q1799">
        <v>62035</v>
      </c>
      <c r="R1799">
        <v>64034</v>
      </c>
      <c r="S1799">
        <v>4326</v>
      </c>
      <c r="T1799">
        <v>4533</v>
      </c>
      <c r="U1799">
        <v>2337</v>
      </c>
      <c r="V1799">
        <v>3035</v>
      </c>
      <c r="W1799">
        <v>3034</v>
      </c>
      <c r="X1799">
        <v>3101</v>
      </c>
      <c r="Y1799">
        <v>0</v>
      </c>
    </row>
    <row r="1800" spans="1:25" x14ac:dyDescent="0.3">
      <c r="A1800">
        <v>1799</v>
      </c>
      <c r="B1800">
        <v>280000</v>
      </c>
      <c r="C1800">
        <v>2</v>
      </c>
      <c r="D1800">
        <v>1</v>
      </c>
      <c r="E1800">
        <v>1</v>
      </c>
      <c r="F1800">
        <v>36</v>
      </c>
      <c r="G1800">
        <v>-1</v>
      </c>
      <c r="H1800">
        <v>-1</v>
      </c>
      <c r="I1800">
        <v>-1</v>
      </c>
      <c r="J1800">
        <v>-1</v>
      </c>
      <c r="K1800">
        <v>-1</v>
      </c>
      <c r="L1800">
        <v>-1</v>
      </c>
      <c r="M1800">
        <v>21251</v>
      </c>
      <c r="N1800">
        <v>33746</v>
      </c>
      <c r="O1800">
        <v>8689</v>
      </c>
      <c r="P1800">
        <v>41652</v>
      </c>
      <c r="Q1800">
        <v>9031</v>
      </c>
      <c r="R1800">
        <v>14106</v>
      </c>
      <c r="S1800">
        <v>33840</v>
      </c>
      <c r="T1800">
        <v>8689</v>
      </c>
      <c r="U1800">
        <v>41652</v>
      </c>
      <c r="V1800">
        <v>9031</v>
      </c>
      <c r="W1800">
        <v>14106</v>
      </c>
      <c r="X1800">
        <v>6680</v>
      </c>
      <c r="Y1800">
        <v>0</v>
      </c>
    </row>
    <row r="1801" spans="1:25" x14ac:dyDescent="0.3">
      <c r="A1801">
        <v>1800</v>
      </c>
      <c r="B1801">
        <v>130000</v>
      </c>
      <c r="C1801">
        <v>1</v>
      </c>
      <c r="D1801">
        <v>3</v>
      </c>
      <c r="E1801">
        <v>2</v>
      </c>
      <c r="F1801">
        <v>28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132258</v>
      </c>
      <c r="N1801">
        <v>133781</v>
      </c>
      <c r="O1801">
        <v>133834</v>
      </c>
      <c r="P1801">
        <v>132336</v>
      </c>
      <c r="Q1801">
        <v>132614</v>
      </c>
      <c r="R1801">
        <v>132208</v>
      </c>
      <c r="S1801">
        <v>6900</v>
      </c>
      <c r="T1801">
        <v>7000</v>
      </c>
      <c r="U1801">
        <v>7000</v>
      </c>
      <c r="V1801">
        <v>6000</v>
      </c>
      <c r="W1801">
        <v>5500</v>
      </c>
      <c r="X1801">
        <v>6000</v>
      </c>
      <c r="Y1801">
        <v>0</v>
      </c>
    </row>
    <row r="1802" spans="1:25" x14ac:dyDescent="0.3">
      <c r="A1802">
        <v>1801</v>
      </c>
      <c r="B1802">
        <v>160000</v>
      </c>
      <c r="C1802">
        <v>2</v>
      </c>
      <c r="D1802">
        <v>2</v>
      </c>
      <c r="E1802">
        <v>1</v>
      </c>
      <c r="F1802">
        <v>35</v>
      </c>
      <c r="G1802">
        <v>-1</v>
      </c>
      <c r="H1802">
        <v>-1</v>
      </c>
      <c r="I1802">
        <v>-1</v>
      </c>
      <c r="J1802">
        <v>-1</v>
      </c>
      <c r="K1802">
        <v>-1</v>
      </c>
      <c r="L1802">
        <v>-1</v>
      </c>
      <c r="M1802">
        <v>776</v>
      </c>
      <c r="N1802">
        <v>1172</v>
      </c>
      <c r="O1802">
        <v>380</v>
      </c>
      <c r="P1802">
        <v>776</v>
      </c>
      <c r="Q1802">
        <v>1172</v>
      </c>
      <c r="R1802">
        <v>380</v>
      </c>
      <c r="S1802">
        <v>1172</v>
      </c>
      <c r="T1802">
        <v>380</v>
      </c>
      <c r="U1802">
        <v>776</v>
      </c>
      <c r="V1802">
        <v>1172</v>
      </c>
      <c r="W1802">
        <v>380</v>
      </c>
      <c r="X1802">
        <v>776</v>
      </c>
      <c r="Y1802">
        <v>1</v>
      </c>
    </row>
    <row r="1803" spans="1:25" x14ac:dyDescent="0.3">
      <c r="A1803">
        <v>1802</v>
      </c>
      <c r="B1803">
        <v>120000</v>
      </c>
      <c r="C1803">
        <v>1</v>
      </c>
      <c r="D1803">
        <v>3</v>
      </c>
      <c r="E1803">
        <v>1</v>
      </c>
      <c r="F1803">
        <v>47</v>
      </c>
      <c r="G1803">
        <v>-1</v>
      </c>
      <c r="H1803">
        <v>-1</v>
      </c>
      <c r="I1803">
        <v>-1</v>
      </c>
      <c r="J1803">
        <v>-1</v>
      </c>
      <c r="K1803">
        <v>-1</v>
      </c>
      <c r="L1803">
        <v>-1</v>
      </c>
      <c r="M1803">
        <v>1051</v>
      </c>
      <c r="N1803">
        <v>671</v>
      </c>
      <c r="O1803">
        <v>291</v>
      </c>
      <c r="P1803">
        <v>1051</v>
      </c>
      <c r="Q1803">
        <v>291</v>
      </c>
      <c r="R1803">
        <v>671</v>
      </c>
      <c r="S1803">
        <v>671</v>
      </c>
      <c r="T1803">
        <v>291</v>
      </c>
      <c r="U1803">
        <v>1051</v>
      </c>
      <c r="V1803">
        <v>291</v>
      </c>
      <c r="W1803">
        <v>671</v>
      </c>
      <c r="X1803">
        <v>1051</v>
      </c>
      <c r="Y1803">
        <v>0</v>
      </c>
    </row>
    <row r="1804" spans="1:25" x14ac:dyDescent="0.3">
      <c r="A1804">
        <v>1803</v>
      </c>
      <c r="B1804">
        <v>300000</v>
      </c>
      <c r="C1804">
        <v>2</v>
      </c>
      <c r="D1804">
        <v>3</v>
      </c>
      <c r="E1804">
        <v>1</v>
      </c>
      <c r="F1804">
        <v>31</v>
      </c>
      <c r="G1804">
        <v>-1</v>
      </c>
      <c r="H1804">
        <v>-1</v>
      </c>
      <c r="I1804">
        <v>-1</v>
      </c>
      <c r="J1804">
        <v>-1</v>
      </c>
      <c r="K1804">
        <v>-1</v>
      </c>
      <c r="L1804">
        <v>-1</v>
      </c>
      <c r="M1804">
        <v>331</v>
      </c>
      <c r="N1804">
        <v>331</v>
      </c>
      <c r="O1804">
        <v>331</v>
      </c>
      <c r="P1804">
        <v>331</v>
      </c>
      <c r="Q1804">
        <v>-1</v>
      </c>
      <c r="R1804">
        <v>199</v>
      </c>
      <c r="S1804">
        <v>332</v>
      </c>
      <c r="T1804">
        <v>332</v>
      </c>
      <c r="U1804">
        <v>332</v>
      </c>
      <c r="V1804">
        <v>0</v>
      </c>
      <c r="W1804">
        <v>200</v>
      </c>
      <c r="X1804">
        <v>0</v>
      </c>
      <c r="Y1804">
        <v>0</v>
      </c>
    </row>
    <row r="1805" spans="1:25" x14ac:dyDescent="0.3">
      <c r="A1805">
        <v>1804</v>
      </c>
      <c r="B1805">
        <v>20000</v>
      </c>
      <c r="C1805">
        <v>2</v>
      </c>
      <c r="D1805">
        <v>1</v>
      </c>
      <c r="E1805">
        <v>2</v>
      </c>
      <c r="F1805">
        <v>31</v>
      </c>
      <c r="G1805">
        <v>-2</v>
      </c>
      <c r="H1805">
        <v>-2</v>
      </c>
      <c r="I1805">
        <v>-2</v>
      </c>
      <c r="J1805">
        <v>-2</v>
      </c>
      <c r="K1805">
        <v>-2</v>
      </c>
      <c r="L1805">
        <v>-2</v>
      </c>
      <c r="M1805">
        <v>264</v>
      </c>
      <c r="N1805">
        <v>264</v>
      </c>
      <c r="O1805">
        <v>2227</v>
      </c>
      <c r="P1805">
        <v>1357</v>
      </c>
      <c r="Q1805">
        <v>1357</v>
      </c>
      <c r="R1805">
        <v>4500</v>
      </c>
      <c r="S1805">
        <v>264</v>
      </c>
      <c r="T1805">
        <v>2227</v>
      </c>
      <c r="U1805">
        <v>1357</v>
      </c>
      <c r="V1805">
        <v>1357</v>
      </c>
      <c r="W1805">
        <v>4500</v>
      </c>
      <c r="X1805">
        <v>1357</v>
      </c>
      <c r="Y1805">
        <v>0</v>
      </c>
    </row>
    <row r="1806" spans="1:25" x14ac:dyDescent="0.3">
      <c r="A1806">
        <v>1805</v>
      </c>
      <c r="B1806">
        <v>450000</v>
      </c>
      <c r="C1806">
        <v>1</v>
      </c>
      <c r="D1806">
        <v>1</v>
      </c>
      <c r="E1806">
        <v>2</v>
      </c>
      <c r="F1806">
        <v>31</v>
      </c>
      <c r="G1806">
        <v>-1</v>
      </c>
      <c r="H1806">
        <v>-1</v>
      </c>
      <c r="I1806">
        <v>-1</v>
      </c>
      <c r="J1806">
        <v>-1</v>
      </c>
      <c r="K1806">
        <v>-1</v>
      </c>
      <c r="L1806">
        <v>-1</v>
      </c>
      <c r="M1806">
        <v>10350</v>
      </c>
      <c r="N1806">
        <v>3629</v>
      </c>
      <c r="O1806">
        <v>3271</v>
      </c>
      <c r="P1806">
        <v>6271</v>
      </c>
      <c r="Q1806">
        <v>2135</v>
      </c>
      <c r="R1806">
        <v>2546</v>
      </c>
      <c r="S1806">
        <v>3629</v>
      </c>
      <c r="T1806">
        <v>3271</v>
      </c>
      <c r="U1806">
        <v>6271</v>
      </c>
      <c r="V1806">
        <v>2135</v>
      </c>
      <c r="W1806">
        <v>2546</v>
      </c>
      <c r="X1806">
        <v>4877</v>
      </c>
      <c r="Y1806">
        <v>1</v>
      </c>
    </row>
    <row r="1807" spans="1:25" x14ac:dyDescent="0.3">
      <c r="A1807">
        <v>1806</v>
      </c>
      <c r="B1807">
        <v>250000</v>
      </c>
      <c r="C1807">
        <v>1</v>
      </c>
      <c r="D1807">
        <v>2</v>
      </c>
      <c r="E1807">
        <v>1</v>
      </c>
      <c r="F1807">
        <v>30</v>
      </c>
      <c r="G1807">
        <v>-2</v>
      </c>
      <c r="H1807">
        <v>-2</v>
      </c>
      <c r="I1807">
        <v>-2</v>
      </c>
      <c r="J1807">
        <v>-2</v>
      </c>
      <c r="K1807">
        <v>-2</v>
      </c>
      <c r="L1807">
        <v>-2</v>
      </c>
      <c r="M1807">
        <v>2419</v>
      </c>
      <c r="N1807">
        <v>28965</v>
      </c>
      <c r="O1807">
        <v>44179</v>
      </c>
      <c r="P1807">
        <v>37145</v>
      </c>
      <c r="Q1807">
        <v>46733</v>
      </c>
      <c r="R1807">
        <v>46963</v>
      </c>
      <c r="S1807">
        <v>29062</v>
      </c>
      <c r="T1807">
        <v>44385</v>
      </c>
      <c r="U1807">
        <v>40682</v>
      </c>
      <c r="V1807">
        <v>46873</v>
      </c>
      <c r="W1807">
        <v>47104</v>
      </c>
      <c r="X1807">
        <v>52448</v>
      </c>
      <c r="Y1807">
        <v>0</v>
      </c>
    </row>
    <row r="1808" spans="1:25" x14ac:dyDescent="0.3">
      <c r="A1808">
        <v>1807</v>
      </c>
      <c r="B1808">
        <v>100000</v>
      </c>
      <c r="C1808">
        <v>2</v>
      </c>
      <c r="D1808">
        <v>2</v>
      </c>
      <c r="E1808">
        <v>1</v>
      </c>
      <c r="F1808">
        <v>58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101249</v>
      </c>
      <c r="N1808">
        <v>101476</v>
      </c>
      <c r="O1808">
        <v>94893</v>
      </c>
      <c r="P1808">
        <v>101301</v>
      </c>
      <c r="Q1808">
        <v>101451</v>
      </c>
      <c r="R1808">
        <v>99319</v>
      </c>
      <c r="S1808">
        <v>3642</v>
      </c>
      <c r="T1808">
        <v>4230</v>
      </c>
      <c r="U1808">
        <v>10000</v>
      </c>
      <c r="V1808">
        <v>3582</v>
      </c>
      <c r="W1808">
        <v>5000</v>
      </c>
      <c r="X1808">
        <v>4133</v>
      </c>
      <c r="Y1808">
        <v>0</v>
      </c>
    </row>
    <row r="1809" spans="1:25" x14ac:dyDescent="0.3">
      <c r="A1809">
        <v>1808</v>
      </c>
      <c r="B1809">
        <v>150000</v>
      </c>
      <c r="C1809">
        <v>2</v>
      </c>
      <c r="D1809">
        <v>2</v>
      </c>
      <c r="E1809">
        <v>2</v>
      </c>
      <c r="F1809">
        <v>27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23165</v>
      </c>
      <c r="N1809">
        <v>24515</v>
      </c>
      <c r="O1809">
        <v>25592</v>
      </c>
      <c r="P1809">
        <v>24949</v>
      </c>
      <c r="Q1809">
        <v>26846</v>
      </c>
      <c r="R1809">
        <v>26908</v>
      </c>
      <c r="S1809">
        <v>1723</v>
      </c>
      <c r="T1809">
        <v>1800</v>
      </c>
      <c r="U1809">
        <v>1100</v>
      </c>
      <c r="V1809">
        <v>2300</v>
      </c>
      <c r="W1809">
        <v>1000</v>
      </c>
      <c r="X1809">
        <v>1300</v>
      </c>
      <c r="Y1809">
        <v>0</v>
      </c>
    </row>
    <row r="1810" spans="1:25" x14ac:dyDescent="0.3">
      <c r="A1810">
        <v>1809</v>
      </c>
      <c r="B1810">
        <v>140000</v>
      </c>
      <c r="C1810">
        <v>1</v>
      </c>
      <c r="D1810">
        <v>2</v>
      </c>
      <c r="E1810">
        <v>2</v>
      </c>
      <c r="F1810">
        <v>35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101038</v>
      </c>
      <c r="N1810">
        <v>66734</v>
      </c>
      <c r="O1810">
        <v>64018</v>
      </c>
      <c r="P1810">
        <v>64656</v>
      </c>
      <c r="Q1810">
        <v>65341</v>
      </c>
      <c r="R1810">
        <v>66277</v>
      </c>
      <c r="S1810">
        <v>4215</v>
      </c>
      <c r="T1810">
        <v>3221</v>
      </c>
      <c r="U1810">
        <v>2066</v>
      </c>
      <c r="V1810">
        <v>1864</v>
      </c>
      <c r="W1810">
        <v>1895</v>
      </c>
      <c r="X1810">
        <v>1883</v>
      </c>
      <c r="Y1810">
        <v>0</v>
      </c>
    </row>
    <row r="1811" spans="1:25" x14ac:dyDescent="0.3">
      <c r="A1811">
        <v>1810</v>
      </c>
      <c r="B1811">
        <v>500000</v>
      </c>
      <c r="C1811">
        <v>2</v>
      </c>
      <c r="D1811">
        <v>1</v>
      </c>
      <c r="E1811">
        <v>2</v>
      </c>
      <c r="F1811">
        <v>46</v>
      </c>
      <c r="G1811">
        <v>-2</v>
      </c>
      <c r="H1811">
        <v>-1</v>
      </c>
      <c r="I1811">
        <v>-1</v>
      </c>
      <c r="J1811">
        <v>-1</v>
      </c>
      <c r="K1811">
        <v>-1</v>
      </c>
      <c r="L1811">
        <v>-1</v>
      </c>
      <c r="M1811">
        <v>33332</v>
      </c>
      <c r="N1811">
        <v>163500</v>
      </c>
      <c r="O1811">
        <v>60560</v>
      </c>
      <c r="P1811">
        <v>104734</v>
      </c>
      <c r="Q1811">
        <v>41018</v>
      </c>
      <c r="R1811">
        <v>6258</v>
      </c>
      <c r="S1811">
        <v>163500</v>
      </c>
      <c r="T1811">
        <v>70160</v>
      </c>
      <c r="U1811">
        <v>104734</v>
      </c>
      <c r="V1811">
        <v>41018</v>
      </c>
      <c r="W1811">
        <v>6258</v>
      </c>
      <c r="X1811">
        <v>70356</v>
      </c>
      <c r="Y1811">
        <v>0</v>
      </c>
    </row>
    <row r="1812" spans="1:25" x14ac:dyDescent="0.3">
      <c r="A1812">
        <v>1811</v>
      </c>
      <c r="B1812">
        <v>20000</v>
      </c>
      <c r="C1812">
        <v>1</v>
      </c>
      <c r="D1812">
        <v>2</v>
      </c>
      <c r="E1812">
        <v>2</v>
      </c>
      <c r="F1812">
        <v>36</v>
      </c>
      <c r="G1812">
        <v>-1</v>
      </c>
      <c r="H1812">
        <v>-1</v>
      </c>
      <c r="I1812">
        <v>-1</v>
      </c>
      <c r="J1812">
        <v>0</v>
      </c>
      <c r="K1812">
        <v>0</v>
      </c>
      <c r="L1812">
        <v>0</v>
      </c>
      <c r="M1812">
        <v>3152</v>
      </c>
      <c r="N1812">
        <v>0</v>
      </c>
      <c r="O1812">
        <v>4956</v>
      </c>
      <c r="P1812">
        <v>10148</v>
      </c>
      <c r="Q1812">
        <v>6979</v>
      </c>
      <c r="R1812">
        <v>8353</v>
      </c>
      <c r="S1812">
        <v>0</v>
      </c>
      <c r="T1812">
        <v>4956</v>
      </c>
      <c r="U1812">
        <v>200</v>
      </c>
      <c r="V1812">
        <v>2000</v>
      </c>
      <c r="W1812">
        <v>1500</v>
      </c>
      <c r="X1812">
        <v>500</v>
      </c>
      <c r="Y1812">
        <v>0</v>
      </c>
    </row>
    <row r="1813" spans="1:25" x14ac:dyDescent="0.3">
      <c r="A1813">
        <v>1812</v>
      </c>
      <c r="B1813">
        <v>50000</v>
      </c>
      <c r="C1813">
        <v>1</v>
      </c>
      <c r="D1813">
        <v>2</v>
      </c>
      <c r="E1813">
        <v>2</v>
      </c>
      <c r="F1813">
        <v>53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18922</v>
      </c>
      <c r="N1813">
        <v>19486</v>
      </c>
      <c r="O1813">
        <v>19917</v>
      </c>
      <c r="P1813">
        <v>20017</v>
      </c>
      <c r="Q1813">
        <v>20146</v>
      </c>
      <c r="R1813">
        <v>20221</v>
      </c>
      <c r="S1813">
        <v>1329</v>
      </c>
      <c r="T1813">
        <v>1310</v>
      </c>
      <c r="U1813">
        <v>680</v>
      </c>
      <c r="V1813">
        <v>705</v>
      </c>
      <c r="W1813">
        <v>728</v>
      </c>
      <c r="X1813">
        <v>690</v>
      </c>
      <c r="Y1813">
        <v>0</v>
      </c>
    </row>
    <row r="1814" spans="1:25" x14ac:dyDescent="0.3">
      <c r="A1814">
        <v>1813</v>
      </c>
      <c r="B1814">
        <v>100000</v>
      </c>
      <c r="C1814">
        <v>1</v>
      </c>
      <c r="D1814">
        <v>2</v>
      </c>
      <c r="E1814">
        <v>2</v>
      </c>
      <c r="F1814">
        <v>39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121895</v>
      </c>
      <c r="N1814">
        <v>107315</v>
      </c>
      <c r="O1814">
        <v>115214</v>
      </c>
      <c r="P1814">
        <v>83649</v>
      </c>
      <c r="Q1814">
        <v>59993</v>
      </c>
      <c r="R1814">
        <v>62813</v>
      </c>
      <c r="S1814">
        <v>4500</v>
      </c>
      <c r="T1814">
        <v>10000</v>
      </c>
      <c r="U1814">
        <v>11000</v>
      </c>
      <c r="V1814">
        <v>3000</v>
      </c>
      <c r="W1814">
        <v>4000</v>
      </c>
      <c r="X1814">
        <v>3000</v>
      </c>
      <c r="Y1814">
        <v>1</v>
      </c>
    </row>
    <row r="1815" spans="1:25" x14ac:dyDescent="0.3">
      <c r="A1815">
        <v>1814</v>
      </c>
      <c r="B1815">
        <v>200000</v>
      </c>
      <c r="C1815">
        <v>2</v>
      </c>
      <c r="D1815">
        <v>2</v>
      </c>
      <c r="E1815">
        <v>2</v>
      </c>
      <c r="F1815">
        <v>27</v>
      </c>
      <c r="G1815">
        <v>2</v>
      </c>
      <c r="H1815">
        <v>2</v>
      </c>
      <c r="I1815">
        <v>0</v>
      </c>
      <c r="J1815">
        <v>0</v>
      </c>
      <c r="K1815">
        <v>0</v>
      </c>
      <c r="L1815">
        <v>0</v>
      </c>
      <c r="M1815">
        <v>186806</v>
      </c>
      <c r="N1815">
        <v>166153</v>
      </c>
      <c r="O1815">
        <v>157633</v>
      </c>
      <c r="P1815">
        <v>145423</v>
      </c>
      <c r="Q1815">
        <v>146202</v>
      </c>
      <c r="R1815">
        <v>144685</v>
      </c>
      <c r="S1815">
        <v>0</v>
      </c>
      <c r="T1815">
        <v>6908</v>
      </c>
      <c r="U1815">
        <v>5200</v>
      </c>
      <c r="V1815">
        <v>5400</v>
      </c>
      <c r="W1815">
        <v>5700</v>
      </c>
      <c r="X1815">
        <v>9101</v>
      </c>
      <c r="Y1815">
        <v>0</v>
      </c>
    </row>
    <row r="1816" spans="1:25" x14ac:dyDescent="0.3">
      <c r="A1816">
        <v>1815</v>
      </c>
      <c r="B1816">
        <v>150000</v>
      </c>
      <c r="C1816">
        <v>2</v>
      </c>
      <c r="D1816">
        <v>2</v>
      </c>
      <c r="E1816">
        <v>2</v>
      </c>
      <c r="F1816">
        <v>37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86037</v>
      </c>
      <c r="N1816">
        <v>84679</v>
      </c>
      <c r="O1816">
        <v>82490</v>
      </c>
      <c r="P1816">
        <v>78890</v>
      </c>
      <c r="Q1816">
        <v>75240</v>
      </c>
      <c r="R1816">
        <v>75639</v>
      </c>
      <c r="S1816">
        <v>5000</v>
      </c>
      <c r="T1816">
        <v>5000</v>
      </c>
      <c r="U1816">
        <v>4000</v>
      </c>
      <c r="V1816">
        <v>3500</v>
      </c>
      <c r="W1816">
        <v>3000</v>
      </c>
      <c r="X1816">
        <v>4000</v>
      </c>
      <c r="Y1816">
        <v>0</v>
      </c>
    </row>
    <row r="1817" spans="1:25" x14ac:dyDescent="0.3">
      <c r="A1817">
        <v>1816</v>
      </c>
      <c r="B1817">
        <v>80000</v>
      </c>
      <c r="C1817">
        <v>1</v>
      </c>
      <c r="D1817">
        <v>1</v>
      </c>
      <c r="E1817">
        <v>2</v>
      </c>
      <c r="F1817">
        <v>23</v>
      </c>
      <c r="G1817">
        <v>0</v>
      </c>
      <c r="H1817">
        <v>0</v>
      </c>
      <c r="I1817">
        <v>0</v>
      </c>
      <c r="J1817">
        <v>-1</v>
      </c>
      <c r="K1817">
        <v>2</v>
      </c>
      <c r="L1817">
        <v>2</v>
      </c>
      <c r="M1817">
        <v>60130</v>
      </c>
      <c r="N1817">
        <v>59744</v>
      </c>
      <c r="O1817">
        <v>44031</v>
      </c>
      <c r="P1817">
        <v>48089</v>
      </c>
      <c r="Q1817">
        <v>44789</v>
      </c>
      <c r="R1817">
        <v>30423</v>
      </c>
      <c r="S1817">
        <v>2550</v>
      </c>
      <c r="T1817">
        <v>1848</v>
      </c>
      <c r="U1817">
        <v>6084</v>
      </c>
      <c r="V1817">
        <v>38</v>
      </c>
      <c r="W1817">
        <v>4</v>
      </c>
      <c r="X1817">
        <v>70</v>
      </c>
      <c r="Y1817">
        <v>0</v>
      </c>
    </row>
    <row r="1818" spans="1:25" x14ac:dyDescent="0.3">
      <c r="A1818">
        <v>1817</v>
      </c>
      <c r="B1818">
        <v>160000</v>
      </c>
      <c r="C1818">
        <v>1</v>
      </c>
      <c r="D1818">
        <v>1</v>
      </c>
      <c r="E1818">
        <v>1</v>
      </c>
      <c r="F1818">
        <v>40</v>
      </c>
      <c r="G1818">
        <v>1</v>
      </c>
      <c r="H1818">
        <v>-1</v>
      </c>
      <c r="I1818">
        <v>-1</v>
      </c>
      <c r="J1818">
        <v>-1</v>
      </c>
      <c r="K1818">
        <v>-1</v>
      </c>
      <c r="L1818">
        <v>-1</v>
      </c>
      <c r="M1818">
        <v>0</v>
      </c>
      <c r="N1818">
        <v>567</v>
      </c>
      <c r="O1818">
        <v>4027</v>
      </c>
      <c r="P1818">
        <v>3100</v>
      </c>
      <c r="Q1818">
        <v>2123</v>
      </c>
      <c r="R1818">
        <v>4899</v>
      </c>
      <c r="S1818">
        <v>567</v>
      </c>
      <c r="T1818">
        <v>4059</v>
      </c>
      <c r="U1818">
        <v>3100</v>
      </c>
      <c r="V1818">
        <v>2123</v>
      </c>
      <c r="W1818">
        <v>4899</v>
      </c>
      <c r="X1818">
        <v>3165</v>
      </c>
      <c r="Y1818">
        <v>0</v>
      </c>
    </row>
    <row r="1819" spans="1:25" x14ac:dyDescent="0.3">
      <c r="A1819">
        <v>1818</v>
      </c>
      <c r="B1819">
        <v>180000</v>
      </c>
      <c r="C1819">
        <v>2</v>
      </c>
      <c r="D1819">
        <v>2</v>
      </c>
      <c r="E1819">
        <v>1</v>
      </c>
      <c r="F1819">
        <v>44</v>
      </c>
      <c r="G1819">
        <v>-1</v>
      </c>
      <c r="H1819">
        <v>-1</v>
      </c>
      <c r="I1819">
        <v>-1</v>
      </c>
      <c r="J1819">
        <v>-1</v>
      </c>
      <c r="K1819">
        <v>-1</v>
      </c>
      <c r="L1819">
        <v>-1</v>
      </c>
      <c r="M1819">
        <v>816</v>
      </c>
      <c r="N1819">
        <v>803</v>
      </c>
      <c r="O1819">
        <v>2599</v>
      </c>
      <c r="P1819">
        <v>0</v>
      </c>
      <c r="Q1819">
        <v>2311</v>
      </c>
      <c r="R1819">
        <v>2194</v>
      </c>
      <c r="S1819">
        <v>803</v>
      </c>
      <c r="T1819">
        <v>2800</v>
      </c>
      <c r="U1819">
        <v>0</v>
      </c>
      <c r="V1819">
        <v>2311</v>
      </c>
      <c r="W1819">
        <v>2542</v>
      </c>
      <c r="X1819">
        <v>236</v>
      </c>
      <c r="Y1819">
        <v>0</v>
      </c>
    </row>
    <row r="1820" spans="1:25" x14ac:dyDescent="0.3">
      <c r="A1820">
        <v>1819</v>
      </c>
      <c r="B1820">
        <v>270000</v>
      </c>
      <c r="C1820">
        <v>2</v>
      </c>
      <c r="D1820">
        <v>1</v>
      </c>
      <c r="E1820">
        <v>1</v>
      </c>
      <c r="F1820">
        <v>32</v>
      </c>
      <c r="G1820">
        <v>-1</v>
      </c>
      <c r="H1820">
        <v>-1</v>
      </c>
      <c r="I1820">
        <v>-1</v>
      </c>
      <c r="J1820">
        <v>0</v>
      </c>
      <c r="K1820">
        <v>0</v>
      </c>
      <c r="L1820">
        <v>-1</v>
      </c>
      <c r="M1820">
        <v>23351</v>
      </c>
      <c r="N1820">
        <v>30960</v>
      </c>
      <c r="O1820">
        <v>180473</v>
      </c>
      <c r="P1820">
        <v>58839</v>
      </c>
      <c r="Q1820">
        <v>21334</v>
      </c>
      <c r="R1820">
        <v>19080</v>
      </c>
      <c r="S1820">
        <v>30972</v>
      </c>
      <c r="T1820">
        <v>180519</v>
      </c>
      <c r="U1820">
        <v>1177</v>
      </c>
      <c r="V1820">
        <v>0</v>
      </c>
      <c r="W1820">
        <v>19080</v>
      </c>
      <c r="X1820">
        <v>133504</v>
      </c>
      <c r="Y1820">
        <v>0</v>
      </c>
    </row>
    <row r="1821" spans="1:25" x14ac:dyDescent="0.3">
      <c r="A1821">
        <v>1820</v>
      </c>
      <c r="B1821">
        <v>180000</v>
      </c>
      <c r="C1821">
        <v>2</v>
      </c>
      <c r="D1821">
        <v>1</v>
      </c>
      <c r="E1821">
        <v>2</v>
      </c>
      <c r="F1821">
        <v>41</v>
      </c>
      <c r="G1821">
        <v>0</v>
      </c>
      <c r="H1821">
        <v>0</v>
      </c>
      <c r="I1821">
        <v>-1</v>
      </c>
      <c r="J1821">
        <v>0</v>
      </c>
      <c r="K1821">
        <v>-1</v>
      </c>
      <c r="L1821">
        <v>-1</v>
      </c>
      <c r="M1821">
        <v>37353</v>
      </c>
      <c r="N1821">
        <v>24797</v>
      </c>
      <c r="O1821">
        <v>5549</v>
      </c>
      <c r="P1821">
        <v>22349</v>
      </c>
      <c r="Q1821">
        <v>2974</v>
      </c>
      <c r="R1821">
        <v>0</v>
      </c>
      <c r="S1821">
        <v>1012</v>
      </c>
      <c r="T1821">
        <v>5549</v>
      </c>
      <c r="U1821">
        <v>17000</v>
      </c>
      <c r="V1821">
        <v>3322</v>
      </c>
      <c r="W1821">
        <v>0</v>
      </c>
      <c r="X1821">
        <v>2633</v>
      </c>
      <c r="Y1821">
        <v>0</v>
      </c>
    </row>
    <row r="1822" spans="1:25" x14ac:dyDescent="0.3">
      <c r="A1822">
        <v>1821</v>
      </c>
      <c r="B1822">
        <v>120000</v>
      </c>
      <c r="C1822">
        <v>1</v>
      </c>
      <c r="D1822">
        <v>1</v>
      </c>
      <c r="E1822">
        <v>1</v>
      </c>
      <c r="F1822">
        <v>54</v>
      </c>
      <c r="G1822">
        <v>-1</v>
      </c>
      <c r="H1822">
        <v>-1</v>
      </c>
      <c r="I1822">
        <v>-1</v>
      </c>
      <c r="J1822">
        <v>-1</v>
      </c>
      <c r="K1822">
        <v>0</v>
      </c>
      <c r="L1822">
        <v>-1</v>
      </c>
      <c r="M1822">
        <v>390</v>
      </c>
      <c r="N1822">
        <v>390</v>
      </c>
      <c r="O1822">
        <v>390</v>
      </c>
      <c r="P1822">
        <v>1878</v>
      </c>
      <c r="Q1822">
        <v>390</v>
      </c>
      <c r="R1822">
        <v>930</v>
      </c>
      <c r="S1822">
        <v>390</v>
      </c>
      <c r="T1822">
        <v>390</v>
      </c>
      <c r="U1822">
        <v>1878</v>
      </c>
      <c r="V1822">
        <v>0</v>
      </c>
      <c r="W1822">
        <v>930</v>
      </c>
      <c r="X1822">
        <v>0</v>
      </c>
      <c r="Y1822">
        <v>1</v>
      </c>
    </row>
    <row r="1823" spans="1:25" x14ac:dyDescent="0.3">
      <c r="A1823">
        <v>1822</v>
      </c>
      <c r="B1823">
        <v>110000</v>
      </c>
      <c r="C1823">
        <v>2</v>
      </c>
      <c r="D1823">
        <v>1</v>
      </c>
      <c r="E1823">
        <v>2</v>
      </c>
      <c r="F1823">
        <v>29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48088</v>
      </c>
      <c r="N1823">
        <v>45980</v>
      </c>
      <c r="O1823">
        <v>44231</v>
      </c>
      <c r="P1823">
        <v>32489</v>
      </c>
      <c r="Q1823">
        <v>26354</v>
      </c>
      <c r="R1823">
        <v>20221</v>
      </c>
      <c r="S1823">
        <v>2000</v>
      </c>
      <c r="T1823">
        <v>2010</v>
      </c>
      <c r="U1823">
        <v>3000</v>
      </c>
      <c r="V1823">
        <v>3000</v>
      </c>
      <c r="W1823">
        <v>3000</v>
      </c>
      <c r="X1823">
        <v>1000</v>
      </c>
      <c r="Y1823">
        <v>0</v>
      </c>
    </row>
    <row r="1824" spans="1:25" x14ac:dyDescent="0.3">
      <c r="A1824">
        <v>1823</v>
      </c>
      <c r="B1824">
        <v>50000</v>
      </c>
      <c r="C1824">
        <v>2</v>
      </c>
      <c r="D1824">
        <v>3</v>
      </c>
      <c r="E1824">
        <v>1</v>
      </c>
      <c r="F1824">
        <v>61</v>
      </c>
      <c r="G1824">
        <v>0</v>
      </c>
      <c r="H1824">
        <v>0</v>
      </c>
      <c r="I1824">
        <v>-2</v>
      </c>
      <c r="J1824">
        <v>-2</v>
      </c>
      <c r="K1824">
        <v>-1</v>
      </c>
      <c r="L1824">
        <v>0</v>
      </c>
      <c r="M1824">
        <v>42200</v>
      </c>
      <c r="N1824">
        <v>0</v>
      </c>
      <c r="O1824">
        <v>0</v>
      </c>
      <c r="P1824">
        <v>0</v>
      </c>
      <c r="Q1824">
        <v>15883</v>
      </c>
      <c r="R1824">
        <v>16617</v>
      </c>
      <c r="S1824">
        <v>0</v>
      </c>
      <c r="T1824">
        <v>0</v>
      </c>
      <c r="U1824">
        <v>0</v>
      </c>
      <c r="V1824">
        <v>15883</v>
      </c>
      <c r="W1824">
        <v>1000</v>
      </c>
      <c r="X1824">
        <v>792</v>
      </c>
      <c r="Y1824">
        <v>0</v>
      </c>
    </row>
    <row r="1825" spans="1:25" x14ac:dyDescent="0.3">
      <c r="A1825">
        <v>1824</v>
      </c>
      <c r="B1825">
        <v>200000</v>
      </c>
      <c r="C1825">
        <v>2</v>
      </c>
      <c r="D1825">
        <v>3</v>
      </c>
      <c r="E1825">
        <v>2</v>
      </c>
      <c r="F1825">
        <v>30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185723</v>
      </c>
      <c r="N1825">
        <v>166726</v>
      </c>
      <c r="O1825">
        <v>160181</v>
      </c>
      <c r="P1825">
        <v>161469</v>
      </c>
      <c r="Q1825">
        <v>104232</v>
      </c>
      <c r="R1825">
        <v>151726</v>
      </c>
      <c r="S1825">
        <v>8009</v>
      </c>
      <c r="T1825">
        <v>6402</v>
      </c>
      <c r="U1825">
        <v>6715</v>
      </c>
      <c r="V1825">
        <v>4625</v>
      </c>
      <c r="W1825">
        <v>50086</v>
      </c>
      <c r="X1825">
        <v>5458</v>
      </c>
      <c r="Y1825">
        <v>0</v>
      </c>
    </row>
    <row r="1826" spans="1:25" x14ac:dyDescent="0.3">
      <c r="A1826">
        <v>1825</v>
      </c>
      <c r="B1826">
        <v>70000</v>
      </c>
      <c r="C1826">
        <v>2</v>
      </c>
      <c r="D1826">
        <v>3</v>
      </c>
      <c r="E1826">
        <v>1</v>
      </c>
      <c r="F1826">
        <v>23</v>
      </c>
      <c r="G1826">
        <v>2</v>
      </c>
      <c r="H1826">
        <v>-1</v>
      </c>
      <c r="I1826">
        <v>-1</v>
      </c>
      <c r="J1826">
        <v>-1</v>
      </c>
      <c r="K1826">
        <v>-1</v>
      </c>
      <c r="L1826">
        <v>-1</v>
      </c>
      <c r="M1826">
        <v>254</v>
      </c>
      <c r="N1826">
        <v>2746</v>
      </c>
      <c r="O1826">
        <v>1885</v>
      </c>
      <c r="P1826">
        <v>2216</v>
      </c>
      <c r="Q1826">
        <v>1348</v>
      </c>
      <c r="R1826">
        <v>29873</v>
      </c>
      <c r="S1826">
        <v>6840</v>
      </c>
      <c r="T1826">
        <v>1885</v>
      </c>
      <c r="U1826">
        <v>2216</v>
      </c>
      <c r="V1826">
        <v>1348</v>
      </c>
      <c r="W1826">
        <v>29873</v>
      </c>
      <c r="X1826">
        <v>1000</v>
      </c>
      <c r="Y1826">
        <v>0</v>
      </c>
    </row>
    <row r="1827" spans="1:25" x14ac:dyDescent="0.3">
      <c r="A1827">
        <v>1826</v>
      </c>
      <c r="B1827">
        <v>360000</v>
      </c>
      <c r="C1827">
        <v>2</v>
      </c>
      <c r="D1827">
        <v>2</v>
      </c>
      <c r="E1827">
        <v>2</v>
      </c>
      <c r="F1827">
        <v>30</v>
      </c>
      <c r="G1827">
        <v>0</v>
      </c>
      <c r="H1827">
        <v>0</v>
      </c>
      <c r="I1827">
        <v>-2</v>
      </c>
      <c r="J1827">
        <v>-1</v>
      </c>
      <c r="K1827">
        <v>0</v>
      </c>
      <c r="L1827">
        <v>0</v>
      </c>
      <c r="M1827">
        <v>23900</v>
      </c>
      <c r="N1827">
        <v>0</v>
      </c>
      <c r="O1827">
        <v>0</v>
      </c>
      <c r="P1827">
        <v>150</v>
      </c>
      <c r="Q1827">
        <v>205150</v>
      </c>
      <c r="R1827">
        <v>0</v>
      </c>
      <c r="S1827">
        <v>0</v>
      </c>
      <c r="T1827">
        <v>0</v>
      </c>
      <c r="U1827">
        <v>150</v>
      </c>
      <c r="V1827">
        <v>205000</v>
      </c>
      <c r="W1827">
        <v>0</v>
      </c>
      <c r="X1827">
        <v>0</v>
      </c>
      <c r="Y1827">
        <v>0</v>
      </c>
    </row>
    <row r="1828" spans="1:25" x14ac:dyDescent="0.3">
      <c r="A1828">
        <v>1827</v>
      </c>
      <c r="B1828">
        <v>260000</v>
      </c>
      <c r="C1828">
        <v>2</v>
      </c>
      <c r="D1828">
        <v>2</v>
      </c>
      <c r="E1828">
        <v>1</v>
      </c>
      <c r="F1828">
        <v>35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425349</v>
      </c>
      <c r="N1828">
        <v>435873</v>
      </c>
      <c r="O1828">
        <v>445129</v>
      </c>
      <c r="P1828">
        <v>452162</v>
      </c>
      <c r="Q1828">
        <v>258010</v>
      </c>
      <c r="R1828">
        <v>221780</v>
      </c>
      <c r="S1828">
        <v>14347</v>
      </c>
      <c r="T1828">
        <v>15000</v>
      </c>
      <c r="U1828">
        <v>12406</v>
      </c>
      <c r="V1828">
        <v>9279</v>
      </c>
      <c r="W1828">
        <v>6078</v>
      </c>
      <c r="X1828">
        <v>0</v>
      </c>
      <c r="Y1828">
        <v>1</v>
      </c>
    </row>
    <row r="1829" spans="1:25" x14ac:dyDescent="0.3">
      <c r="A1829">
        <v>1828</v>
      </c>
      <c r="B1829">
        <v>50000</v>
      </c>
      <c r="C1829">
        <v>1</v>
      </c>
      <c r="D1829">
        <v>3</v>
      </c>
      <c r="E1829">
        <v>1</v>
      </c>
      <c r="F1829">
        <v>32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40992</v>
      </c>
      <c r="N1829">
        <v>35215</v>
      </c>
      <c r="O1829">
        <v>29156</v>
      </c>
      <c r="P1829">
        <v>18891</v>
      </c>
      <c r="Q1829">
        <v>19443</v>
      </c>
      <c r="R1829">
        <v>19478</v>
      </c>
      <c r="S1829">
        <v>2026</v>
      </c>
      <c r="T1829">
        <v>2021</v>
      </c>
      <c r="U1829">
        <v>1000</v>
      </c>
      <c r="V1829">
        <v>1001</v>
      </c>
      <c r="W1829">
        <v>1000</v>
      </c>
      <c r="X1829">
        <v>707</v>
      </c>
      <c r="Y1829">
        <v>0</v>
      </c>
    </row>
    <row r="1830" spans="1:25" x14ac:dyDescent="0.3">
      <c r="A1830">
        <v>1829</v>
      </c>
      <c r="B1830">
        <v>380000</v>
      </c>
      <c r="C1830">
        <v>2</v>
      </c>
      <c r="D1830">
        <v>2</v>
      </c>
      <c r="E1830">
        <v>1</v>
      </c>
      <c r="F1830">
        <v>39</v>
      </c>
      <c r="G1830">
        <v>-1</v>
      </c>
      <c r="H1830">
        <v>-1</v>
      </c>
      <c r="I1830">
        <v>0</v>
      </c>
      <c r="J1830">
        <v>0</v>
      </c>
      <c r="K1830">
        <v>0</v>
      </c>
      <c r="L1830">
        <v>0</v>
      </c>
      <c r="M1830">
        <v>19261</v>
      </c>
      <c r="N1830">
        <v>81961</v>
      </c>
      <c r="O1830">
        <v>61189</v>
      </c>
      <c r="P1830">
        <v>38875</v>
      </c>
      <c r="Q1830">
        <v>17876</v>
      </c>
      <c r="R1830">
        <v>13313</v>
      </c>
      <c r="S1830">
        <v>81975</v>
      </c>
      <c r="T1830">
        <v>1480</v>
      </c>
      <c r="U1830">
        <v>3000</v>
      </c>
      <c r="V1830">
        <v>1000</v>
      </c>
      <c r="W1830">
        <v>3000</v>
      </c>
      <c r="X1830">
        <v>10024</v>
      </c>
      <c r="Y1830">
        <v>0</v>
      </c>
    </row>
    <row r="1831" spans="1:25" x14ac:dyDescent="0.3">
      <c r="A1831">
        <v>1830</v>
      </c>
      <c r="B1831">
        <v>50000</v>
      </c>
      <c r="C1831">
        <v>1</v>
      </c>
      <c r="D1831">
        <v>2</v>
      </c>
      <c r="E1831">
        <v>2</v>
      </c>
      <c r="F1831">
        <v>24</v>
      </c>
      <c r="G1831">
        <v>-1</v>
      </c>
      <c r="H1831">
        <v>-1</v>
      </c>
      <c r="I1831">
        <v>-2</v>
      </c>
      <c r="J1831">
        <v>-2</v>
      </c>
      <c r="K1831">
        <v>-2</v>
      </c>
      <c r="L1831">
        <v>-2</v>
      </c>
      <c r="M1831">
        <v>402</v>
      </c>
      <c r="N1831">
        <v>-2760</v>
      </c>
      <c r="O1831">
        <v>-3650</v>
      </c>
      <c r="P1831">
        <v>-3650</v>
      </c>
      <c r="Q1831">
        <v>-3650</v>
      </c>
      <c r="R1831">
        <v>-3650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</row>
    <row r="1832" spans="1:25" x14ac:dyDescent="0.3">
      <c r="A1832">
        <v>1831</v>
      </c>
      <c r="B1832">
        <v>20000</v>
      </c>
      <c r="C1832">
        <v>1</v>
      </c>
      <c r="D1832">
        <v>3</v>
      </c>
      <c r="E1832">
        <v>1</v>
      </c>
      <c r="F1832">
        <v>38</v>
      </c>
      <c r="G1832">
        <v>0</v>
      </c>
      <c r="H1832">
        <v>0</v>
      </c>
      <c r="I1832">
        <v>-1</v>
      </c>
      <c r="J1832">
        <v>-1</v>
      </c>
      <c r="K1832">
        <v>-1</v>
      </c>
      <c r="L1832">
        <v>-1</v>
      </c>
      <c r="M1832">
        <v>19805</v>
      </c>
      <c r="N1832">
        <v>19900</v>
      </c>
      <c r="O1832">
        <v>390</v>
      </c>
      <c r="P1832">
        <v>390</v>
      </c>
      <c r="Q1832">
        <v>0</v>
      </c>
      <c r="R1832">
        <v>780</v>
      </c>
      <c r="S1832">
        <v>1000</v>
      </c>
      <c r="T1832">
        <v>390</v>
      </c>
      <c r="U1832">
        <v>390</v>
      </c>
      <c r="V1832">
        <v>0</v>
      </c>
      <c r="W1832">
        <v>780</v>
      </c>
      <c r="X1832">
        <v>0</v>
      </c>
      <c r="Y1832">
        <v>1</v>
      </c>
    </row>
    <row r="1833" spans="1:25" x14ac:dyDescent="0.3">
      <c r="A1833">
        <v>1832</v>
      </c>
      <c r="B1833">
        <v>270000</v>
      </c>
      <c r="C1833">
        <v>1</v>
      </c>
      <c r="D1833">
        <v>6</v>
      </c>
      <c r="E1833">
        <v>2</v>
      </c>
      <c r="F1833">
        <v>32</v>
      </c>
      <c r="G1833">
        <v>-2</v>
      </c>
      <c r="H1833">
        <v>-2</v>
      </c>
      <c r="I1833">
        <v>-2</v>
      </c>
      <c r="J1833">
        <v>-2</v>
      </c>
      <c r="K1833">
        <v>-2</v>
      </c>
      <c r="L1833">
        <v>-2</v>
      </c>
      <c r="M1833">
        <v>24089</v>
      </c>
      <c r="N1833">
        <v>51408</v>
      </c>
      <c r="O1833">
        <v>27067</v>
      </c>
      <c r="P1833">
        <v>40359</v>
      </c>
      <c r="Q1833">
        <v>51264</v>
      </c>
      <c r="R1833">
        <v>34874</v>
      </c>
      <c r="S1833">
        <v>52398</v>
      </c>
      <c r="T1833">
        <v>27787</v>
      </c>
      <c r="U1833">
        <v>40569</v>
      </c>
      <c r="V1833">
        <v>53500</v>
      </c>
      <c r="W1833">
        <v>35051</v>
      </c>
      <c r="X1833">
        <v>120391</v>
      </c>
      <c r="Y1833">
        <v>0</v>
      </c>
    </row>
    <row r="1834" spans="1:25" x14ac:dyDescent="0.3">
      <c r="A1834">
        <v>1833</v>
      </c>
      <c r="B1834">
        <v>460000</v>
      </c>
      <c r="C1834">
        <v>1</v>
      </c>
      <c r="D1834">
        <v>1</v>
      </c>
      <c r="E1834">
        <v>2</v>
      </c>
      <c r="F1834">
        <v>32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386437</v>
      </c>
      <c r="N1834">
        <v>393742</v>
      </c>
      <c r="O1834">
        <v>392625</v>
      </c>
      <c r="P1834">
        <v>368365</v>
      </c>
      <c r="Q1834">
        <v>377858</v>
      </c>
      <c r="R1834">
        <v>362132</v>
      </c>
      <c r="S1834">
        <v>15000</v>
      </c>
      <c r="T1834">
        <v>15000</v>
      </c>
      <c r="U1834">
        <v>15000</v>
      </c>
      <c r="V1834">
        <v>15000</v>
      </c>
      <c r="W1834">
        <v>15000</v>
      </c>
      <c r="X1834">
        <v>20000</v>
      </c>
      <c r="Y1834">
        <v>0</v>
      </c>
    </row>
    <row r="1835" spans="1:25" x14ac:dyDescent="0.3">
      <c r="A1835">
        <v>1834</v>
      </c>
      <c r="B1835">
        <v>60000</v>
      </c>
      <c r="C1835">
        <v>1</v>
      </c>
      <c r="D1835">
        <v>3</v>
      </c>
      <c r="E1835">
        <v>2</v>
      </c>
      <c r="F1835">
        <v>24</v>
      </c>
      <c r="G1835">
        <v>0</v>
      </c>
      <c r="H1835">
        <v>0</v>
      </c>
      <c r="I1835">
        <v>0</v>
      </c>
      <c r="J1835">
        <v>0</v>
      </c>
      <c r="K1835">
        <v>2</v>
      </c>
      <c r="L1835">
        <v>0</v>
      </c>
      <c r="M1835">
        <v>58819</v>
      </c>
      <c r="N1835">
        <v>59810</v>
      </c>
      <c r="O1835">
        <v>56566</v>
      </c>
      <c r="P1835">
        <v>30627</v>
      </c>
      <c r="Q1835">
        <v>30203</v>
      </c>
      <c r="R1835">
        <v>28648</v>
      </c>
      <c r="S1835">
        <v>3000</v>
      </c>
      <c r="T1835">
        <v>1768</v>
      </c>
      <c r="U1835">
        <v>3954</v>
      </c>
      <c r="V1835">
        <v>1000</v>
      </c>
      <c r="W1835">
        <v>1500</v>
      </c>
      <c r="X1835">
        <v>1200</v>
      </c>
      <c r="Y1835">
        <v>0</v>
      </c>
    </row>
    <row r="1836" spans="1:25" x14ac:dyDescent="0.3">
      <c r="A1836">
        <v>1835</v>
      </c>
      <c r="B1836">
        <v>200000</v>
      </c>
      <c r="C1836">
        <v>2</v>
      </c>
      <c r="D1836">
        <v>1</v>
      </c>
      <c r="E1836">
        <v>1</v>
      </c>
      <c r="F1836">
        <v>35</v>
      </c>
      <c r="G1836">
        <v>-1</v>
      </c>
      <c r="H1836">
        <v>-1</v>
      </c>
      <c r="I1836">
        <v>-1</v>
      </c>
      <c r="J1836">
        <v>-1</v>
      </c>
      <c r="K1836">
        <v>-1</v>
      </c>
      <c r="L1836">
        <v>-1</v>
      </c>
      <c r="M1836">
        <v>25663</v>
      </c>
      <c r="N1836">
        <v>14224</v>
      </c>
      <c r="O1836">
        <v>17560</v>
      </c>
      <c r="P1836">
        <v>3300</v>
      </c>
      <c r="Q1836">
        <v>1920</v>
      </c>
      <c r="R1836">
        <v>2731</v>
      </c>
      <c r="S1836">
        <v>14224</v>
      </c>
      <c r="T1836">
        <v>17560</v>
      </c>
      <c r="U1836">
        <v>3300</v>
      </c>
      <c r="V1836">
        <v>1920</v>
      </c>
      <c r="W1836">
        <v>2731</v>
      </c>
      <c r="X1836">
        <v>0</v>
      </c>
      <c r="Y1836">
        <v>0</v>
      </c>
    </row>
    <row r="1837" spans="1:25" x14ac:dyDescent="0.3">
      <c r="A1837">
        <v>1836</v>
      </c>
      <c r="B1837">
        <v>50000</v>
      </c>
      <c r="C1837">
        <v>2</v>
      </c>
      <c r="D1837">
        <v>2</v>
      </c>
      <c r="E1837">
        <v>2</v>
      </c>
      <c r="F1837">
        <v>37</v>
      </c>
      <c r="G1837">
        <v>1</v>
      </c>
      <c r="H1837">
        <v>2</v>
      </c>
      <c r="I1837">
        <v>2</v>
      </c>
      <c r="J1837">
        <v>2</v>
      </c>
      <c r="K1837">
        <v>2</v>
      </c>
      <c r="L1837">
        <v>2</v>
      </c>
      <c r="M1837">
        <v>14008</v>
      </c>
      <c r="N1837">
        <v>13493</v>
      </c>
      <c r="O1837">
        <v>17259</v>
      </c>
      <c r="P1837">
        <v>16684</v>
      </c>
      <c r="Q1837">
        <v>18017</v>
      </c>
      <c r="R1837">
        <v>17581</v>
      </c>
      <c r="S1837">
        <v>0</v>
      </c>
      <c r="T1837">
        <v>4000</v>
      </c>
      <c r="U1837">
        <v>0</v>
      </c>
      <c r="V1837">
        <v>1600</v>
      </c>
      <c r="W1837">
        <v>0</v>
      </c>
      <c r="X1837">
        <v>3000</v>
      </c>
      <c r="Y1837">
        <v>1</v>
      </c>
    </row>
    <row r="1838" spans="1:25" x14ac:dyDescent="0.3">
      <c r="A1838">
        <v>1837</v>
      </c>
      <c r="B1838">
        <v>20000</v>
      </c>
      <c r="C1838">
        <v>2</v>
      </c>
      <c r="D1838">
        <v>1</v>
      </c>
      <c r="E1838">
        <v>2</v>
      </c>
      <c r="F1838">
        <v>22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19760</v>
      </c>
      <c r="N1838">
        <v>18570</v>
      </c>
      <c r="O1838">
        <v>17604</v>
      </c>
      <c r="P1838">
        <v>11973</v>
      </c>
      <c r="Q1838">
        <v>9517</v>
      </c>
      <c r="R1838">
        <v>6799</v>
      </c>
      <c r="S1838">
        <v>1376</v>
      </c>
      <c r="T1838">
        <v>1383</v>
      </c>
      <c r="U1838">
        <v>1000</v>
      </c>
      <c r="V1838">
        <v>455</v>
      </c>
      <c r="W1838">
        <v>1500</v>
      </c>
      <c r="X1838">
        <v>2200</v>
      </c>
      <c r="Y1838">
        <v>0</v>
      </c>
    </row>
    <row r="1839" spans="1:25" x14ac:dyDescent="0.3">
      <c r="A1839">
        <v>1838</v>
      </c>
      <c r="B1839">
        <v>290000</v>
      </c>
      <c r="C1839">
        <v>2</v>
      </c>
      <c r="D1839">
        <v>2</v>
      </c>
      <c r="E1839">
        <v>1</v>
      </c>
      <c r="F1839">
        <v>40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274558</v>
      </c>
      <c r="N1839">
        <v>256910</v>
      </c>
      <c r="O1839">
        <v>229566</v>
      </c>
      <c r="P1839">
        <v>148812</v>
      </c>
      <c r="Q1839">
        <v>53157</v>
      </c>
      <c r="R1839">
        <v>47998</v>
      </c>
      <c r="S1839">
        <v>10700</v>
      </c>
      <c r="T1839">
        <v>11014</v>
      </c>
      <c r="U1839">
        <v>5800</v>
      </c>
      <c r="V1839">
        <v>1820</v>
      </c>
      <c r="W1839">
        <v>2000</v>
      </c>
      <c r="X1839">
        <v>2000</v>
      </c>
      <c r="Y1839">
        <v>1</v>
      </c>
    </row>
    <row r="1840" spans="1:25" x14ac:dyDescent="0.3">
      <c r="A1840">
        <v>1839</v>
      </c>
      <c r="B1840">
        <v>110000</v>
      </c>
      <c r="C1840">
        <v>2</v>
      </c>
      <c r="D1840">
        <v>2</v>
      </c>
      <c r="E1840">
        <v>2</v>
      </c>
      <c r="F1840">
        <v>36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116486</v>
      </c>
      <c r="N1840">
        <v>105604</v>
      </c>
      <c r="O1840">
        <v>96945</v>
      </c>
      <c r="P1840">
        <v>74171</v>
      </c>
      <c r="Q1840">
        <v>70012</v>
      </c>
      <c r="R1840">
        <v>62256</v>
      </c>
      <c r="S1840">
        <v>4353</v>
      </c>
      <c r="T1840">
        <v>3294</v>
      </c>
      <c r="U1840">
        <v>5000</v>
      </c>
      <c r="V1840">
        <v>8300</v>
      </c>
      <c r="W1840">
        <v>5000</v>
      </c>
      <c r="X1840">
        <v>5000</v>
      </c>
      <c r="Y1840">
        <v>0</v>
      </c>
    </row>
    <row r="1841" spans="1:25" x14ac:dyDescent="0.3">
      <c r="A1841">
        <v>1840</v>
      </c>
      <c r="B1841">
        <v>160000</v>
      </c>
      <c r="C1841">
        <v>2</v>
      </c>
      <c r="D1841">
        <v>3</v>
      </c>
      <c r="E1841">
        <v>1</v>
      </c>
      <c r="F1841">
        <v>51</v>
      </c>
      <c r="G1841">
        <v>2</v>
      </c>
      <c r="H1841">
        <v>2</v>
      </c>
      <c r="I1841">
        <v>2</v>
      </c>
      <c r="J1841">
        <v>2</v>
      </c>
      <c r="K1841">
        <v>2</v>
      </c>
      <c r="L1841">
        <v>2</v>
      </c>
      <c r="M1841">
        <v>142064</v>
      </c>
      <c r="N1841">
        <v>144900</v>
      </c>
      <c r="O1841">
        <v>146534</v>
      </c>
      <c r="P1841">
        <v>147955</v>
      </c>
      <c r="Q1841">
        <v>145488</v>
      </c>
      <c r="R1841">
        <v>155041</v>
      </c>
      <c r="S1841">
        <v>6600</v>
      </c>
      <c r="T1841">
        <v>5500</v>
      </c>
      <c r="U1841">
        <v>5310</v>
      </c>
      <c r="V1841">
        <v>0</v>
      </c>
      <c r="W1841">
        <v>12000</v>
      </c>
      <c r="X1841">
        <v>0</v>
      </c>
      <c r="Y1841">
        <v>1</v>
      </c>
    </row>
    <row r="1842" spans="1:25" x14ac:dyDescent="0.3">
      <c r="A1842">
        <v>1841</v>
      </c>
      <c r="B1842">
        <v>70000</v>
      </c>
      <c r="C1842">
        <v>2</v>
      </c>
      <c r="D1842">
        <v>2</v>
      </c>
      <c r="E1842">
        <v>1</v>
      </c>
      <c r="F1842">
        <v>31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60058</v>
      </c>
      <c r="N1842">
        <v>49647</v>
      </c>
      <c r="O1842">
        <v>43968</v>
      </c>
      <c r="P1842">
        <v>41127</v>
      </c>
      <c r="Q1842">
        <v>39137</v>
      </c>
      <c r="R1842">
        <v>28712</v>
      </c>
      <c r="S1842">
        <v>1834</v>
      </c>
      <c r="T1842">
        <v>1608</v>
      </c>
      <c r="U1842">
        <v>1559</v>
      </c>
      <c r="V1842">
        <v>1630</v>
      </c>
      <c r="W1842">
        <v>1300</v>
      </c>
      <c r="X1842">
        <v>1000</v>
      </c>
      <c r="Y1842">
        <v>0</v>
      </c>
    </row>
    <row r="1843" spans="1:25" x14ac:dyDescent="0.3">
      <c r="A1843">
        <v>1842</v>
      </c>
      <c r="B1843">
        <v>200000</v>
      </c>
      <c r="C1843">
        <v>2</v>
      </c>
      <c r="D1843">
        <v>1</v>
      </c>
      <c r="E1843">
        <v>2</v>
      </c>
      <c r="F1843">
        <v>39</v>
      </c>
      <c r="G1843">
        <v>-2</v>
      </c>
      <c r="H1843">
        <v>-2</v>
      </c>
      <c r="I1843">
        <v>-2</v>
      </c>
      <c r="J1843">
        <v>-2</v>
      </c>
      <c r="K1843">
        <v>-1</v>
      </c>
      <c r="L1843">
        <v>-1</v>
      </c>
      <c r="M1843">
        <v>0</v>
      </c>
      <c r="N1843">
        <v>0</v>
      </c>
      <c r="O1843">
        <v>0</v>
      </c>
      <c r="P1843">
        <v>0</v>
      </c>
      <c r="Q1843">
        <v>2330</v>
      </c>
      <c r="R1843">
        <v>0</v>
      </c>
      <c r="S1843">
        <v>0</v>
      </c>
      <c r="T1843">
        <v>0</v>
      </c>
      <c r="U1843">
        <v>0</v>
      </c>
      <c r="V1843">
        <v>2330</v>
      </c>
      <c r="W1843">
        <v>0</v>
      </c>
      <c r="X1843">
        <v>0</v>
      </c>
      <c r="Y1843">
        <v>1</v>
      </c>
    </row>
    <row r="1844" spans="1:25" x14ac:dyDescent="0.3">
      <c r="A1844">
        <v>1843</v>
      </c>
      <c r="B1844">
        <v>80000</v>
      </c>
      <c r="C1844">
        <v>2</v>
      </c>
      <c r="D1844">
        <v>2</v>
      </c>
      <c r="E1844">
        <v>2</v>
      </c>
      <c r="F1844">
        <v>40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78717</v>
      </c>
      <c r="N1844">
        <v>75873</v>
      </c>
      <c r="O1844">
        <v>68602</v>
      </c>
      <c r="P1844">
        <v>54617</v>
      </c>
      <c r="Q1844">
        <v>55987</v>
      </c>
      <c r="R1844">
        <v>53895</v>
      </c>
      <c r="S1844">
        <v>3300</v>
      </c>
      <c r="T1844">
        <v>3300</v>
      </c>
      <c r="U1844">
        <v>2000</v>
      </c>
      <c r="V1844">
        <v>2200</v>
      </c>
      <c r="W1844">
        <v>2100</v>
      </c>
      <c r="X1844">
        <v>1900</v>
      </c>
      <c r="Y1844">
        <v>0</v>
      </c>
    </row>
    <row r="1845" spans="1:25" x14ac:dyDescent="0.3">
      <c r="A1845">
        <v>1844</v>
      </c>
      <c r="B1845">
        <v>20000</v>
      </c>
      <c r="C1845">
        <v>1</v>
      </c>
      <c r="D1845">
        <v>1</v>
      </c>
      <c r="E1845">
        <v>2</v>
      </c>
      <c r="F1845">
        <v>41</v>
      </c>
      <c r="G1845">
        <v>-2</v>
      </c>
      <c r="H1845">
        <v>-2</v>
      </c>
      <c r="I1845">
        <v>0</v>
      </c>
      <c r="J1845">
        <v>0</v>
      </c>
      <c r="K1845">
        <v>0</v>
      </c>
      <c r="L1845">
        <v>0</v>
      </c>
      <c r="M1845">
        <v>18803</v>
      </c>
      <c r="N1845">
        <v>18376</v>
      </c>
      <c r="O1845">
        <v>19342</v>
      </c>
      <c r="P1845">
        <v>19081</v>
      </c>
      <c r="Q1845">
        <v>19799</v>
      </c>
      <c r="R1845">
        <v>18718</v>
      </c>
      <c r="S1845">
        <v>36147</v>
      </c>
      <c r="T1845">
        <v>1281</v>
      </c>
      <c r="U1845">
        <v>658</v>
      </c>
      <c r="V1845">
        <v>1000</v>
      </c>
      <c r="W1845">
        <v>1000</v>
      </c>
      <c r="X1845">
        <v>760</v>
      </c>
      <c r="Y1845">
        <v>1</v>
      </c>
    </row>
    <row r="1846" spans="1:25" x14ac:dyDescent="0.3">
      <c r="A1846">
        <v>1845</v>
      </c>
      <c r="B1846">
        <v>210000</v>
      </c>
      <c r="C1846">
        <v>1</v>
      </c>
      <c r="D1846">
        <v>1</v>
      </c>
      <c r="E1846">
        <v>2</v>
      </c>
      <c r="F1846">
        <v>48</v>
      </c>
      <c r="G1846">
        <v>-2</v>
      </c>
      <c r="H1846">
        <v>-2</v>
      </c>
      <c r="I1846">
        <v>-2</v>
      </c>
      <c r="J1846">
        <v>-2</v>
      </c>
      <c r="K1846">
        <v>-2</v>
      </c>
      <c r="L1846">
        <v>-2</v>
      </c>
      <c r="M1846">
        <v>0</v>
      </c>
      <c r="N1846">
        <v>570</v>
      </c>
      <c r="O1846">
        <v>0</v>
      </c>
      <c r="P1846">
        <v>0</v>
      </c>
      <c r="Q1846">
        <v>0</v>
      </c>
      <c r="R1846">
        <v>0</v>
      </c>
      <c r="S1846">
        <v>570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</row>
    <row r="1847" spans="1:25" x14ac:dyDescent="0.3">
      <c r="A1847">
        <v>1846</v>
      </c>
      <c r="B1847">
        <v>180000</v>
      </c>
      <c r="C1847">
        <v>2</v>
      </c>
      <c r="D1847">
        <v>3</v>
      </c>
      <c r="E1847">
        <v>1</v>
      </c>
      <c r="F1847">
        <v>39</v>
      </c>
      <c r="G1847">
        <v>2</v>
      </c>
      <c r="H1847">
        <v>0</v>
      </c>
      <c r="I1847">
        <v>0</v>
      </c>
      <c r="J1847">
        <v>-2</v>
      </c>
      <c r="K1847">
        <v>-2</v>
      </c>
      <c r="L1847">
        <v>-2</v>
      </c>
      <c r="M1847">
        <v>172488</v>
      </c>
      <c r="N1847">
        <v>72050</v>
      </c>
      <c r="O1847">
        <v>0</v>
      </c>
      <c r="P1847">
        <v>0</v>
      </c>
      <c r="Q1847">
        <v>0</v>
      </c>
      <c r="R1847">
        <v>0</v>
      </c>
      <c r="S1847">
        <v>3450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1</v>
      </c>
    </row>
    <row r="1848" spans="1:25" x14ac:dyDescent="0.3">
      <c r="A1848">
        <v>1847</v>
      </c>
      <c r="B1848">
        <v>50000</v>
      </c>
      <c r="C1848">
        <v>1</v>
      </c>
      <c r="D1848">
        <v>2</v>
      </c>
      <c r="E1848">
        <v>3</v>
      </c>
      <c r="F1848">
        <v>53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34664</v>
      </c>
      <c r="N1848">
        <v>17242</v>
      </c>
      <c r="O1848">
        <v>18417</v>
      </c>
      <c r="P1848">
        <v>18877</v>
      </c>
      <c r="Q1848">
        <v>18985</v>
      </c>
      <c r="R1848">
        <v>18184</v>
      </c>
      <c r="S1848">
        <v>1500</v>
      </c>
      <c r="T1848">
        <v>1500</v>
      </c>
      <c r="U1848">
        <v>1000</v>
      </c>
      <c r="V1848">
        <v>800</v>
      </c>
      <c r="W1848">
        <v>2000</v>
      </c>
      <c r="X1848">
        <v>1000</v>
      </c>
      <c r="Y1848">
        <v>0</v>
      </c>
    </row>
    <row r="1849" spans="1:25" x14ac:dyDescent="0.3">
      <c r="A1849">
        <v>1848</v>
      </c>
      <c r="B1849">
        <v>30000</v>
      </c>
      <c r="C1849">
        <v>1</v>
      </c>
      <c r="D1849">
        <v>2</v>
      </c>
      <c r="E1849">
        <v>2</v>
      </c>
      <c r="F1849">
        <v>26</v>
      </c>
      <c r="G1849">
        <v>1</v>
      </c>
      <c r="H1849">
        <v>3</v>
      </c>
      <c r="I1849">
        <v>2</v>
      </c>
      <c r="J1849">
        <v>2</v>
      </c>
      <c r="K1849">
        <v>0</v>
      </c>
      <c r="L1849">
        <v>0</v>
      </c>
      <c r="M1849">
        <v>31305</v>
      </c>
      <c r="N1849">
        <v>30527</v>
      </c>
      <c r="O1849">
        <v>30789</v>
      </c>
      <c r="P1849">
        <v>29504</v>
      </c>
      <c r="Q1849">
        <v>30276</v>
      </c>
      <c r="R1849">
        <v>29695</v>
      </c>
      <c r="S1849">
        <v>0</v>
      </c>
      <c r="T1849">
        <v>1060</v>
      </c>
      <c r="U1849">
        <v>0</v>
      </c>
      <c r="V1849">
        <v>1251</v>
      </c>
      <c r="W1849">
        <v>1078</v>
      </c>
      <c r="X1849">
        <v>1243</v>
      </c>
      <c r="Y1849">
        <v>1</v>
      </c>
    </row>
    <row r="1850" spans="1:25" x14ac:dyDescent="0.3">
      <c r="A1850">
        <v>1849</v>
      </c>
      <c r="B1850">
        <v>150000</v>
      </c>
      <c r="C1850">
        <v>1</v>
      </c>
      <c r="D1850">
        <v>1</v>
      </c>
      <c r="E1850">
        <v>2</v>
      </c>
      <c r="F1850">
        <v>30</v>
      </c>
      <c r="G1850">
        <v>-1</v>
      </c>
      <c r="H1850">
        <v>-1</v>
      </c>
      <c r="I1850">
        <v>-1</v>
      </c>
      <c r="J1850">
        <v>-1</v>
      </c>
      <c r="K1850">
        <v>-1</v>
      </c>
      <c r="L1850">
        <v>-1</v>
      </c>
      <c r="M1850">
        <v>6708</v>
      </c>
      <c r="N1850">
        <v>1098</v>
      </c>
      <c r="O1850">
        <v>1908</v>
      </c>
      <c r="P1850">
        <v>1589</v>
      </c>
      <c r="Q1850">
        <v>9918</v>
      </c>
      <c r="R1850">
        <v>-16586</v>
      </c>
      <c r="S1850">
        <v>1098</v>
      </c>
      <c r="T1850">
        <v>2000</v>
      </c>
      <c r="U1850">
        <v>1589</v>
      </c>
      <c r="V1850">
        <v>9918</v>
      </c>
      <c r="W1850">
        <v>1157</v>
      </c>
      <c r="X1850">
        <v>0</v>
      </c>
      <c r="Y1850">
        <v>0</v>
      </c>
    </row>
    <row r="1851" spans="1:25" x14ac:dyDescent="0.3">
      <c r="A1851">
        <v>1850</v>
      </c>
      <c r="B1851">
        <v>150000</v>
      </c>
      <c r="C1851">
        <v>1</v>
      </c>
      <c r="D1851">
        <v>1</v>
      </c>
      <c r="E1851">
        <v>2</v>
      </c>
      <c r="F1851">
        <v>28</v>
      </c>
      <c r="G1851">
        <v>-1</v>
      </c>
      <c r="H1851">
        <v>2</v>
      </c>
      <c r="I1851">
        <v>2</v>
      </c>
      <c r="J1851">
        <v>-2</v>
      </c>
      <c r="K1851">
        <v>-2</v>
      </c>
      <c r="L1851">
        <v>-2</v>
      </c>
      <c r="M1851">
        <v>1111</v>
      </c>
      <c r="N1851">
        <v>820</v>
      </c>
      <c r="O1851">
        <v>-311</v>
      </c>
      <c r="P1851">
        <v>-602</v>
      </c>
      <c r="Q1851">
        <v>-893</v>
      </c>
      <c r="R1851">
        <v>-1184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1</v>
      </c>
    </row>
    <row r="1852" spans="1:25" x14ac:dyDescent="0.3">
      <c r="A1852">
        <v>1851</v>
      </c>
      <c r="B1852">
        <v>260000</v>
      </c>
      <c r="C1852">
        <v>1</v>
      </c>
      <c r="D1852">
        <v>1</v>
      </c>
      <c r="E1852">
        <v>1</v>
      </c>
      <c r="F1852">
        <v>43</v>
      </c>
      <c r="G1852">
        <v>1</v>
      </c>
      <c r="H1852">
        <v>-1</v>
      </c>
      <c r="I1852">
        <v>-1</v>
      </c>
      <c r="J1852">
        <v>-1</v>
      </c>
      <c r="K1852">
        <v>-1</v>
      </c>
      <c r="L1852">
        <v>-2</v>
      </c>
      <c r="M1852">
        <v>0</v>
      </c>
      <c r="N1852">
        <v>2000</v>
      </c>
      <c r="O1852">
        <v>1620</v>
      </c>
      <c r="P1852">
        <v>8010</v>
      </c>
      <c r="Q1852">
        <v>0</v>
      </c>
      <c r="R1852">
        <v>0</v>
      </c>
      <c r="S1852">
        <v>2000</v>
      </c>
      <c r="T1852">
        <v>1620</v>
      </c>
      <c r="U1852">
        <v>8080</v>
      </c>
      <c r="V1852">
        <v>0</v>
      </c>
      <c r="W1852">
        <v>0</v>
      </c>
      <c r="X1852">
        <v>0</v>
      </c>
      <c r="Y1852">
        <v>0</v>
      </c>
    </row>
    <row r="1853" spans="1:25" x14ac:dyDescent="0.3">
      <c r="A1853">
        <v>1852</v>
      </c>
      <c r="B1853">
        <v>310000</v>
      </c>
      <c r="C1853">
        <v>2</v>
      </c>
      <c r="D1853">
        <v>1</v>
      </c>
      <c r="E1853">
        <v>2</v>
      </c>
      <c r="F1853">
        <v>30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304329</v>
      </c>
      <c r="N1853">
        <v>292848</v>
      </c>
      <c r="O1853">
        <v>279138</v>
      </c>
      <c r="P1853">
        <v>252703</v>
      </c>
      <c r="Q1853">
        <v>248895</v>
      </c>
      <c r="R1853">
        <v>244026</v>
      </c>
      <c r="S1853">
        <v>14027</v>
      </c>
      <c r="T1853">
        <v>16800</v>
      </c>
      <c r="U1853">
        <v>11600</v>
      </c>
      <c r="V1853">
        <v>11000</v>
      </c>
      <c r="W1853">
        <v>10000</v>
      </c>
      <c r="X1853">
        <v>30000</v>
      </c>
      <c r="Y1853">
        <v>0</v>
      </c>
    </row>
    <row r="1854" spans="1:25" x14ac:dyDescent="0.3">
      <c r="A1854">
        <v>1853</v>
      </c>
      <c r="B1854">
        <v>150000</v>
      </c>
      <c r="C1854">
        <v>2</v>
      </c>
      <c r="D1854">
        <v>1</v>
      </c>
      <c r="E1854">
        <v>2</v>
      </c>
      <c r="F1854">
        <v>33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96066</v>
      </c>
      <c r="N1854">
        <v>98277</v>
      </c>
      <c r="O1854">
        <v>88202</v>
      </c>
      <c r="P1854">
        <v>48179</v>
      </c>
      <c r="Q1854">
        <v>49426</v>
      </c>
      <c r="R1854">
        <v>50534</v>
      </c>
      <c r="S1854">
        <v>4400</v>
      </c>
      <c r="T1854">
        <v>4000</v>
      </c>
      <c r="U1854">
        <v>2000</v>
      </c>
      <c r="V1854">
        <v>2000</v>
      </c>
      <c r="W1854">
        <v>1900</v>
      </c>
      <c r="X1854">
        <v>1700</v>
      </c>
      <c r="Y1854">
        <v>0</v>
      </c>
    </row>
    <row r="1855" spans="1:25" x14ac:dyDescent="0.3">
      <c r="A1855">
        <v>1854</v>
      </c>
      <c r="B1855">
        <v>200000</v>
      </c>
      <c r="C1855">
        <v>2</v>
      </c>
      <c r="D1855">
        <v>1</v>
      </c>
      <c r="E1855">
        <v>2</v>
      </c>
      <c r="F1855">
        <v>27</v>
      </c>
      <c r="G1855">
        <v>-1</v>
      </c>
      <c r="H1855">
        <v>-1</v>
      </c>
      <c r="I1855">
        <v>-1</v>
      </c>
      <c r="J1855">
        <v>-1</v>
      </c>
      <c r="K1855">
        <v>-1</v>
      </c>
      <c r="L1855">
        <v>-1</v>
      </c>
      <c r="M1855">
        <v>16093</v>
      </c>
      <c r="N1855">
        <v>11163</v>
      </c>
      <c r="O1855">
        <v>11657</v>
      </c>
      <c r="P1855">
        <v>9423</v>
      </c>
      <c r="Q1855">
        <v>9726</v>
      </c>
      <c r="R1855">
        <v>11070</v>
      </c>
      <c r="S1855">
        <v>11197</v>
      </c>
      <c r="T1855">
        <v>11657</v>
      </c>
      <c r="U1855">
        <v>9423</v>
      </c>
      <c r="V1855">
        <v>9726</v>
      </c>
      <c r="W1855">
        <v>11070</v>
      </c>
      <c r="X1855">
        <v>7976</v>
      </c>
      <c r="Y1855">
        <v>0</v>
      </c>
    </row>
    <row r="1856" spans="1:25" x14ac:dyDescent="0.3">
      <c r="A1856">
        <v>1855</v>
      </c>
      <c r="B1856">
        <v>150000</v>
      </c>
      <c r="C1856">
        <v>1</v>
      </c>
      <c r="D1856">
        <v>3</v>
      </c>
      <c r="E1856">
        <v>2</v>
      </c>
      <c r="F1856">
        <v>45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99247</v>
      </c>
      <c r="N1856">
        <v>101194</v>
      </c>
      <c r="O1856">
        <v>81194</v>
      </c>
      <c r="P1856">
        <v>70590</v>
      </c>
      <c r="Q1856">
        <v>72040</v>
      </c>
      <c r="R1856">
        <v>73423</v>
      </c>
      <c r="S1856">
        <v>4268</v>
      </c>
      <c r="T1856">
        <v>2725</v>
      </c>
      <c r="U1856">
        <v>2505</v>
      </c>
      <c r="V1856">
        <v>3000</v>
      </c>
      <c r="W1856">
        <v>3000</v>
      </c>
      <c r="X1856">
        <v>3000</v>
      </c>
      <c r="Y1856">
        <v>0</v>
      </c>
    </row>
    <row r="1857" spans="1:25" x14ac:dyDescent="0.3">
      <c r="A1857">
        <v>1856</v>
      </c>
      <c r="B1857">
        <v>220000</v>
      </c>
      <c r="C1857">
        <v>2</v>
      </c>
      <c r="D1857">
        <v>2</v>
      </c>
      <c r="E1857">
        <v>1</v>
      </c>
      <c r="F1857">
        <v>54</v>
      </c>
      <c r="G1857">
        <v>-1</v>
      </c>
      <c r="H1857">
        <v>-1</v>
      </c>
      <c r="I1857">
        <v>-1</v>
      </c>
      <c r="J1857">
        <v>-1</v>
      </c>
      <c r="K1857">
        <v>-2</v>
      </c>
      <c r="L1857">
        <v>-2</v>
      </c>
      <c r="M1857">
        <v>8727</v>
      </c>
      <c r="N1857">
        <v>2553</v>
      </c>
      <c r="O1857">
        <v>147</v>
      </c>
      <c r="P1857">
        <v>0</v>
      </c>
      <c r="Q1857">
        <v>0</v>
      </c>
      <c r="R1857">
        <v>0</v>
      </c>
      <c r="S1857">
        <v>3011</v>
      </c>
      <c r="T1857">
        <v>147</v>
      </c>
      <c r="U1857">
        <v>0</v>
      </c>
      <c r="V1857">
        <v>0</v>
      </c>
      <c r="W1857">
        <v>0</v>
      </c>
      <c r="X1857">
        <v>0</v>
      </c>
      <c r="Y1857">
        <v>0</v>
      </c>
    </row>
    <row r="1858" spans="1:25" x14ac:dyDescent="0.3">
      <c r="A1858">
        <v>1857</v>
      </c>
      <c r="B1858">
        <v>540000</v>
      </c>
      <c r="C1858">
        <v>2</v>
      </c>
      <c r="D1858">
        <v>1</v>
      </c>
      <c r="E1858">
        <v>2</v>
      </c>
      <c r="F1858">
        <v>34</v>
      </c>
      <c r="G1858">
        <v>-1</v>
      </c>
      <c r="H1858">
        <v>-1</v>
      </c>
      <c r="I1858">
        <v>-1</v>
      </c>
      <c r="J1858">
        <v>-1</v>
      </c>
      <c r="K1858">
        <v>-1</v>
      </c>
      <c r="L1858">
        <v>-1</v>
      </c>
      <c r="M1858">
        <v>1784</v>
      </c>
      <c r="N1858">
        <v>892</v>
      </c>
      <c r="O1858">
        <v>946</v>
      </c>
      <c r="P1858">
        <v>946</v>
      </c>
      <c r="Q1858">
        <v>946</v>
      </c>
      <c r="R1858">
        <v>946</v>
      </c>
      <c r="S1858">
        <v>892</v>
      </c>
      <c r="T1858">
        <v>1000</v>
      </c>
      <c r="U1858">
        <v>946</v>
      </c>
      <c r="V1858">
        <v>946</v>
      </c>
      <c r="W1858">
        <v>946</v>
      </c>
      <c r="X1858">
        <v>946</v>
      </c>
      <c r="Y1858">
        <v>0</v>
      </c>
    </row>
    <row r="1859" spans="1:25" x14ac:dyDescent="0.3">
      <c r="A1859">
        <v>1858</v>
      </c>
      <c r="B1859">
        <v>280000</v>
      </c>
      <c r="C1859">
        <v>1</v>
      </c>
      <c r="D1859">
        <v>2</v>
      </c>
      <c r="E1859">
        <v>2</v>
      </c>
      <c r="F1859">
        <v>30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204773</v>
      </c>
      <c r="N1859">
        <v>188704</v>
      </c>
      <c r="O1859">
        <v>185257</v>
      </c>
      <c r="P1859">
        <v>188344</v>
      </c>
      <c r="Q1859">
        <v>179764</v>
      </c>
      <c r="R1859">
        <v>167051</v>
      </c>
      <c r="S1859">
        <v>8038</v>
      </c>
      <c r="T1859">
        <v>6000</v>
      </c>
      <c r="U1859">
        <v>5083</v>
      </c>
      <c r="V1859">
        <v>5000</v>
      </c>
      <c r="W1859">
        <v>5036</v>
      </c>
      <c r="X1859">
        <v>5000</v>
      </c>
      <c r="Y1859">
        <v>0</v>
      </c>
    </row>
    <row r="1860" spans="1:25" x14ac:dyDescent="0.3">
      <c r="A1860">
        <v>1859</v>
      </c>
      <c r="B1860">
        <v>230000</v>
      </c>
      <c r="C1860">
        <v>1</v>
      </c>
      <c r="D1860">
        <v>2</v>
      </c>
      <c r="E1860">
        <v>2</v>
      </c>
      <c r="F1860">
        <v>32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49619</v>
      </c>
      <c r="N1860">
        <v>43435</v>
      </c>
      <c r="O1860">
        <v>41719</v>
      </c>
      <c r="P1860">
        <v>38072</v>
      </c>
      <c r="Q1860">
        <v>33802</v>
      </c>
      <c r="R1860">
        <v>30435</v>
      </c>
      <c r="S1860">
        <v>2072</v>
      </c>
      <c r="T1860">
        <v>1689</v>
      </c>
      <c r="U1860">
        <v>1046</v>
      </c>
      <c r="V1860">
        <v>1025</v>
      </c>
      <c r="W1860">
        <v>928</v>
      </c>
      <c r="X1860">
        <v>277</v>
      </c>
      <c r="Y1860">
        <v>0</v>
      </c>
    </row>
    <row r="1861" spans="1:25" x14ac:dyDescent="0.3">
      <c r="A1861">
        <v>1860</v>
      </c>
      <c r="B1861">
        <v>50000</v>
      </c>
      <c r="C1861">
        <v>1</v>
      </c>
      <c r="D1861">
        <v>1</v>
      </c>
      <c r="E1861">
        <v>1</v>
      </c>
      <c r="F1861">
        <v>39</v>
      </c>
      <c r="G1861">
        <v>0</v>
      </c>
      <c r="H1861">
        <v>0</v>
      </c>
      <c r="I1861">
        <v>2</v>
      </c>
      <c r="J1861">
        <v>3</v>
      </c>
      <c r="K1861">
        <v>2</v>
      </c>
      <c r="L1861">
        <v>2</v>
      </c>
      <c r="M1861">
        <v>33849</v>
      </c>
      <c r="N1861">
        <v>36798</v>
      </c>
      <c r="O1861">
        <v>37890</v>
      </c>
      <c r="P1861">
        <v>37131</v>
      </c>
      <c r="Q1861">
        <v>38381</v>
      </c>
      <c r="R1861">
        <v>39585</v>
      </c>
      <c r="S1861">
        <v>3817</v>
      </c>
      <c r="T1861">
        <v>2000</v>
      </c>
      <c r="U1861">
        <v>150</v>
      </c>
      <c r="V1861">
        <v>2000</v>
      </c>
      <c r="W1861">
        <v>2000</v>
      </c>
      <c r="X1861">
        <v>1600</v>
      </c>
      <c r="Y1861">
        <v>0</v>
      </c>
    </row>
    <row r="1862" spans="1:25" x14ac:dyDescent="0.3">
      <c r="A1862">
        <v>1861</v>
      </c>
      <c r="B1862">
        <v>20000</v>
      </c>
      <c r="C1862">
        <v>2</v>
      </c>
      <c r="D1862">
        <v>2</v>
      </c>
      <c r="E1862">
        <v>2</v>
      </c>
      <c r="F1862">
        <v>24</v>
      </c>
      <c r="G1862">
        <v>1</v>
      </c>
      <c r="H1862">
        <v>-2</v>
      </c>
      <c r="I1862">
        <v>-2</v>
      </c>
      <c r="J1862">
        <v>-2</v>
      </c>
      <c r="K1862">
        <v>-1</v>
      </c>
      <c r="L1862">
        <v>-1</v>
      </c>
      <c r="M1862">
        <v>0</v>
      </c>
      <c r="N1862">
        <v>0</v>
      </c>
      <c r="O1862">
        <v>0</v>
      </c>
      <c r="P1862">
        <v>0</v>
      </c>
      <c r="Q1862">
        <v>222</v>
      </c>
      <c r="R1862">
        <v>6345</v>
      </c>
      <c r="S1862">
        <v>0</v>
      </c>
      <c r="T1862">
        <v>0</v>
      </c>
      <c r="U1862">
        <v>0</v>
      </c>
      <c r="V1862">
        <v>222</v>
      </c>
      <c r="W1862">
        <v>6345</v>
      </c>
      <c r="X1862">
        <v>2000</v>
      </c>
      <c r="Y1862">
        <v>0</v>
      </c>
    </row>
    <row r="1863" spans="1:25" x14ac:dyDescent="0.3">
      <c r="A1863">
        <v>1862</v>
      </c>
      <c r="B1863">
        <v>10000</v>
      </c>
      <c r="C1863">
        <v>1</v>
      </c>
      <c r="D1863">
        <v>2</v>
      </c>
      <c r="E1863">
        <v>2</v>
      </c>
      <c r="F1863">
        <v>35</v>
      </c>
      <c r="G1863">
        <v>1</v>
      </c>
      <c r="H1863">
        <v>6</v>
      </c>
      <c r="I1863">
        <v>5</v>
      </c>
      <c r="J1863">
        <v>4</v>
      </c>
      <c r="K1863">
        <v>3</v>
      </c>
      <c r="L1863">
        <v>2</v>
      </c>
      <c r="M1863">
        <v>8257</v>
      </c>
      <c r="N1863">
        <v>8001</v>
      </c>
      <c r="O1863">
        <v>7741</v>
      </c>
      <c r="P1863">
        <v>7481</v>
      </c>
      <c r="Q1863">
        <v>7075</v>
      </c>
      <c r="R1863">
        <v>6815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700</v>
      </c>
      <c r="Y1863">
        <v>1</v>
      </c>
    </row>
    <row r="1864" spans="1:25" x14ac:dyDescent="0.3">
      <c r="A1864">
        <v>1863</v>
      </c>
      <c r="B1864">
        <v>500000</v>
      </c>
      <c r="C1864">
        <v>1</v>
      </c>
      <c r="D1864">
        <v>1</v>
      </c>
      <c r="E1864">
        <v>1</v>
      </c>
      <c r="F1864">
        <v>46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407331</v>
      </c>
      <c r="N1864">
        <v>403816</v>
      </c>
      <c r="O1864">
        <v>386053</v>
      </c>
      <c r="P1864">
        <v>389008</v>
      </c>
      <c r="Q1864">
        <v>392650</v>
      </c>
      <c r="R1864">
        <v>391336</v>
      </c>
      <c r="S1864">
        <v>15043</v>
      </c>
      <c r="T1864">
        <v>14000</v>
      </c>
      <c r="U1864">
        <v>14003</v>
      </c>
      <c r="V1864">
        <v>14011</v>
      </c>
      <c r="W1864">
        <v>15003</v>
      </c>
      <c r="X1864">
        <v>14009</v>
      </c>
      <c r="Y1864">
        <v>0</v>
      </c>
    </row>
    <row r="1865" spans="1:25" x14ac:dyDescent="0.3">
      <c r="A1865">
        <v>1864</v>
      </c>
      <c r="B1865">
        <v>50000</v>
      </c>
      <c r="C1865">
        <v>2</v>
      </c>
      <c r="D1865">
        <v>2</v>
      </c>
      <c r="E1865">
        <v>2</v>
      </c>
      <c r="F1865">
        <v>24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49819</v>
      </c>
      <c r="N1865">
        <v>50135</v>
      </c>
      <c r="O1865">
        <v>32101</v>
      </c>
      <c r="P1865">
        <v>17401</v>
      </c>
      <c r="Q1865">
        <v>19820</v>
      </c>
      <c r="R1865">
        <v>17399</v>
      </c>
      <c r="S1865">
        <v>1672</v>
      </c>
      <c r="T1865">
        <v>1246</v>
      </c>
      <c r="U1865">
        <v>574</v>
      </c>
      <c r="V1865">
        <v>3000</v>
      </c>
      <c r="W1865">
        <v>649</v>
      </c>
      <c r="X1865">
        <v>285</v>
      </c>
      <c r="Y1865">
        <v>0</v>
      </c>
    </row>
    <row r="1866" spans="1:25" x14ac:dyDescent="0.3">
      <c r="A1866">
        <v>1865</v>
      </c>
      <c r="B1866">
        <v>420000</v>
      </c>
      <c r="C1866">
        <v>2</v>
      </c>
      <c r="D1866">
        <v>2</v>
      </c>
      <c r="E1866">
        <v>2</v>
      </c>
      <c r="F1866">
        <v>35</v>
      </c>
      <c r="G1866">
        <v>-1</v>
      </c>
      <c r="H1866">
        <v>-1</v>
      </c>
      <c r="I1866">
        <v>-1</v>
      </c>
      <c r="J1866">
        <v>-1</v>
      </c>
      <c r="K1866">
        <v>-1</v>
      </c>
      <c r="L1866">
        <v>-1</v>
      </c>
      <c r="M1866">
        <v>7572</v>
      </c>
      <c r="N1866">
        <v>18847</v>
      </c>
      <c r="O1866">
        <v>16615</v>
      </c>
      <c r="P1866">
        <v>14156</v>
      </c>
      <c r="Q1866">
        <v>9058</v>
      </c>
      <c r="R1866">
        <v>3281</v>
      </c>
      <c r="S1866">
        <v>18920</v>
      </c>
      <c r="T1866">
        <v>16615</v>
      </c>
      <c r="U1866">
        <v>14156</v>
      </c>
      <c r="V1866">
        <v>9058</v>
      </c>
      <c r="W1866">
        <v>3281</v>
      </c>
      <c r="X1866">
        <v>5971</v>
      </c>
      <c r="Y1866">
        <v>0</v>
      </c>
    </row>
    <row r="1867" spans="1:25" x14ac:dyDescent="0.3">
      <c r="A1867">
        <v>1866</v>
      </c>
      <c r="B1867">
        <v>50000</v>
      </c>
      <c r="C1867">
        <v>2</v>
      </c>
      <c r="D1867">
        <v>2</v>
      </c>
      <c r="E1867">
        <v>2</v>
      </c>
      <c r="F1867">
        <v>23</v>
      </c>
      <c r="G1867">
        <v>0</v>
      </c>
      <c r="H1867">
        <v>0</v>
      </c>
      <c r="I1867">
        <v>-1</v>
      </c>
      <c r="J1867">
        <v>2</v>
      </c>
      <c r="K1867">
        <v>0</v>
      </c>
      <c r="L1867">
        <v>0</v>
      </c>
      <c r="M1867">
        <v>21998</v>
      </c>
      <c r="N1867">
        <v>15299</v>
      </c>
      <c r="O1867">
        <v>32514</v>
      </c>
      <c r="P1867">
        <v>26479</v>
      </c>
      <c r="Q1867">
        <v>27396</v>
      </c>
      <c r="R1867">
        <v>27789</v>
      </c>
      <c r="S1867">
        <v>2063</v>
      </c>
      <c r="T1867">
        <v>33730</v>
      </c>
      <c r="U1867">
        <v>0</v>
      </c>
      <c r="V1867">
        <v>1500</v>
      </c>
      <c r="W1867">
        <v>1000</v>
      </c>
      <c r="X1867">
        <v>1019</v>
      </c>
      <c r="Y1867">
        <v>0</v>
      </c>
    </row>
    <row r="1868" spans="1:25" x14ac:dyDescent="0.3">
      <c r="A1868">
        <v>1867</v>
      </c>
      <c r="B1868">
        <v>280000</v>
      </c>
      <c r="C1868">
        <v>2</v>
      </c>
      <c r="D1868">
        <v>1</v>
      </c>
      <c r="E1868">
        <v>2</v>
      </c>
      <c r="F1868">
        <v>29</v>
      </c>
      <c r="G1868">
        <v>-2</v>
      </c>
      <c r="H1868">
        <v>-2</v>
      </c>
      <c r="I1868">
        <v>-2</v>
      </c>
      <c r="J1868">
        <v>-2</v>
      </c>
      <c r="K1868">
        <v>-2</v>
      </c>
      <c r="L1868">
        <v>-2</v>
      </c>
      <c r="M1868">
        <v>0</v>
      </c>
      <c r="N1868">
        <v>0</v>
      </c>
      <c r="O1868">
        <v>320</v>
      </c>
      <c r="P1868">
        <v>2139</v>
      </c>
      <c r="Q1868">
        <v>0</v>
      </c>
      <c r="R1868">
        <v>0</v>
      </c>
      <c r="S1868">
        <v>0</v>
      </c>
      <c r="T1868">
        <v>320</v>
      </c>
      <c r="U1868">
        <v>2139</v>
      </c>
      <c r="V1868">
        <v>0</v>
      </c>
      <c r="W1868">
        <v>0</v>
      </c>
      <c r="X1868">
        <v>0</v>
      </c>
      <c r="Y1868">
        <v>0</v>
      </c>
    </row>
    <row r="1869" spans="1:25" x14ac:dyDescent="0.3">
      <c r="A1869">
        <v>1868</v>
      </c>
      <c r="B1869">
        <v>50000</v>
      </c>
      <c r="C1869">
        <v>1</v>
      </c>
      <c r="D1869">
        <v>2</v>
      </c>
      <c r="E1869">
        <v>1</v>
      </c>
      <c r="F1869">
        <v>46</v>
      </c>
      <c r="G1869">
        <v>0</v>
      </c>
      <c r="H1869">
        <v>0</v>
      </c>
      <c r="I1869">
        <v>0</v>
      </c>
      <c r="J1869">
        <v>-1</v>
      </c>
      <c r="K1869">
        <v>0</v>
      </c>
      <c r="L1869">
        <v>0</v>
      </c>
      <c r="M1869">
        <v>3656</v>
      </c>
      <c r="N1869">
        <v>4400</v>
      </c>
      <c r="O1869">
        <v>0</v>
      </c>
      <c r="P1869">
        <v>1704</v>
      </c>
      <c r="Q1869">
        <v>3715</v>
      </c>
      <c r="R1869">
        <v>-105</v>
      </c>
      <c r="S1869">
        <v>1000</v>
      </c>
      <c r="T1869">
        <v>0</v>
      </c>
      <c r="U1869">
        <v>1704</v>
      </c>
      <c r="V1869">
        <v>2011</v>
      </c>
      <c r="W1869">
        <v>0</v>
      </c>
      <c r="X1869">
        <v>1649</v>
      </c>
      <c r="Y1869">
        <v>0</v>
      </c>
    </row>
    <row r="1870" spans="1:25" x14ac:dyDescent="0.3">
      <c r="A1870">
        <v>1869</v>
      </c>
      <c r="B1870">
        <v>160000</v>
      </c>
      <c r="C1870">
        <v>2</v>
      </c>
      <c r="D1870">
        <v>3</v>
      </c>
      <c r="E1870">
        <v>1</v>
      </c>
      <c r="F1870">
        <v>41</v>
      </c>
      <c r="G1870">
        <v>2</v>
      </c>
      <c r="H1870">
        <v>2</v>
      </c>
      <c r="I1870">
        <v>2</v>
      </c>
      <c r="J1870">
        <v>0</v>
      </c>
      <c r="K1870">
        <v>0</v>
      </c>
      <c r="L1870">
        <v>2</v>
      </c>
      <c r="M1870">
        <v>46017</v>
      </c>
      <c r="N1870">
        <v>47188</v>
      </c>
      <c r="O1870">
        <v>46134</v>
      </c>
      <c r="P1870">
        <v>47063</v>
      </c>
      <c r="Q1870">
        <v>50034</v>
      </c>
      <c r="R1870">
        <v>51063</v>
      </c>
      <c r="S1870">
        <v>2200</v>
      </c>
      <c r="T1870">
        <v>0</v>
      </c>
      <c r="U1870">
        <v>2000</v>
      </c>
      <c r="V1870">
        <v>3900</v>
      </c>
      <c r="W1870">
        <v>2000</v>
      </c>
      <c r="X1870">
        <v>0</v>
      </c>
      <c r="Y1870">
        <v>1</v>
      </c>
    </row>
    <row r="1871" spans="1:25" x14ac:dyDescent="0.3">
      <c r="A1871">
        <v>1870</v>
      </c>
      <c r="B1871">
        <v>40000</v>
      </c>
      <c r="C1871">
        <v>2</v>
      </c>
      <c r="D1871">
        <v>2</v>
      </c>
      <c r="E1871">
        <v>1</v>
      </c>
      <c r="F1871">
        <v>23</v>
      </c>
      <c r="G1871">
        <v>2</v>
      </c>
      <c r="H1871">
        <v>2</v>
      </c>
      <c r="I1871">
        <v>2</v>
      </c>
      <c r="J1871">
        <v>2</v>
      </c>
      <c r="K1871">
        <v>2</v>
      </c>
      <c r="L1871">
        <v>2</v>
      </c>
      <c r="M1871">
        <v>33895</v>
      </c>
      <c r="N1871">
        <v>33068</v>
      </c>
      <c r="O1871">
        <v>35704</v>
      </c>
      <c r="P1871">
        <v>36173</v>
      </c>
      <c r="Q1871">
        <v>36796</v>
      </c>
      <c r="R1871">
        <v>37288</v>
      </c>
      <c r="S1871">
        <v>0</v>
      </c>
      <c r="T1871">
        <v>3200</v>
      </c>
      <c r="U1871">
        <v>1500</v>
      </c>
      <c r="V1871">
        <v>1500</v>
      </c>
      <c r="W1871">
        <v>1400</v>
      </c>
      <c r="X1871">
        <v>1500</v>
      </c>
      <c r="Y1871">
        <v>1</v>
      </c>
    </row>
    <row r="1872" spans="1:25" x14ac:dyDescent="0.3">
      <c r="A1872">
        <v>1871</v>
      </c>
      <c r="B1872">
        <v>100000</v>
      </c>
      <c r="C1872">
        <v>2</v>
      </c>
      <c r="D1872">
        <v>2</v>
      </c>
      <c r="E1872">
        <v>1</v>
      </c>
      <c r="F1872">
        <v>31</v>
      </c>
      <c r="G1872">
        <v>0</v>
      </c>
      <c r="H1872">
        <v>0</v>
      </c>
      <c r="I1872">
        <v>-1</v>
      </c>
      <c r="J1872">
        <v>-1</v>
      </c>
      <c r="K1872">
        <v>0</v>
      </c>
      <c r="L1872">
        <v>-1</v>
      </c>
      <c r="M1872">
        <v>92265</v>
      </c>
      <c r="N1872">
        <v>93873</v>
      </c>
      <c r="O1872">
        <v>1473</v>
      </c>
      <c r="P1872">
        <v>2946</v>
      </c>
      <c r="Q1872">
        <v>1473</v>
      </c>
      <c r="R1872">
        <v>540</v>
      </c>
      <c r="S1872">
        <v>5000</v>
      </c>
      <c r="T1872">
        <v>1473</v>
      </c>
      <c r="U1872">
        <v>2946</v>
      </c>
      <c r="V1872">
        <v>0</v>
      </c>
      <c r="W1872">
        <v>540</v>
      </c>
      <c r="X1872">
        <v>780</v>
      </c>
      <c r="Y1872">
        <v>0</v>
      </c>
    </row>
    <row r="1873" spans="1:25" x14ac:dyDescent="0.3">
      <c r="A1873">
        <v>1872</v>
      </c>
      <c r="B1873">
        <v>50000</v>
      </c>
      <c r="C1873">
        <v>2</v>
      </c>
      <c r="D1873">
        <v>1</v>
      </c>
      <c r="E1873">
        <v>2</v>
      </c>
      <c r="F1873">
        <v>26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41003</v>
      </c>
      <c r="N1873">
        <v>42032</v>
      </c>
      <c r="O1873">
        <v>42699</v>
      </c>
      <c r="P1873">
        <v>43617</v>
      </c>
      <c r="Q1873">
        <v>44509</v>
      </c>
      <c r="R1873">
        <v>45420</v>
      </c>
      <c r="S1873">
        <v>1733</v>
      </c>
      <c r="T1873">
        <v>1400</v>
      </c>
      <c r="U1873">
        <v>1300</v>
      </c>
      <c r="V1873">
        <v>1271</v>
      </c>
      <c r="W1873">
        <v>1300</v>
      </c>
      <c r="X1873">
        <v>4500</v>
      </c>
      <c r="Y1873">
        <v>0</v>
      </c>
    </row>
    <row r="1874" spans="1:25" x14ac:dyDescent="0.3">
      <c r="A1874">
        <v>1873</v>
      </c>
      <c r="B1874">
        <v>130000</v>
      </c>
      <c r="C1874">
        <v>2</v>
      </c>
      <c r="D1874">
        <v>3</v>
      </c>
      <c r="E1874">
        <v>2</v>
      </c>
      <c r="F1874">
        <v>32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</v>
      </c>
      <c r="M1874">
        <v>119312</v>
      </c>
      <c r="N1874">
        <v>116259</v>
      </c>
      <c r="O1874">
        <v>103438</v>
      </c>
      <c r="P1874">
        <v>49319</v>
      </c>
      <c r="Q1874">
        <v>91191</v>
      </c>
      <c r="R1874">
        <v>82168</v>
      </c>
      <c r="S1874">
        <v>20021</v>
      </c>
      <c r="T1874">
        <v>40354</v>
      </c>
      <c r="U1874">
        <v>20000</v>
      </c>
      <c r="V1874">
        <v>43608</v>
      </c>
      <c r="W1874">
        <v>103</v>
      </c>
      <c r="X1874">
        <v>10000</v>
      </c>
      <c r="Y1874">
        <v>0</v>
      </c>
    </row>
    <row r="1875" spans="1:25" x14ac:dyDescent="0.3">
      <c r="A1875">
        <v>1874</v>
      </c>
      <c r="B1875">
        <v>30000</v>
      </c>
      <c r="C1875">
        <v>2</v>
      </c>
      <c r="D1875">
        <v>2</v>
      </c>
      <c r="E1875">
        <v>2</v>
      </c>
      <c r="F1875">
        <v>22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27358</v>
      </c>
      <c r="N1875">
        <v>28612</v>
      </c>
      <c r="O1875">
        <v>29183</v>
      </c>
      <c r="P1875">
        <v>28983</v>
      </c>
      <c r="Q1875">
        <v>13100</v>
      </c>
      <c r="R1875">
        <v>0</v>
      </c>
      <c r="S1875">
        <v>2000</v>
      </c>
      <c r="T1875">
        <v>1500</v>
      </c>
      <c r="U1875">
        <v>0</v>
      </c>
      <c r="V1875">
        <v>500</v>
      </c>
      <c r="W1875">
        <v>0</v>
      </c>
      <c r="X1875">
        <v>0</v>
      </c>
      <c r="Y1875">
        <v>0</v>
      </c>
    </row>
    <row r="1876" spans="1:25" x14ac:dyDescent="0.3">
      <c r="A1876">
        <v>1875</v>
      </c>
      <c r="B1876">
        <v>140000</v>
      </c>
      <c r="C1876">
        <v>1</v>
      </c>
      <c r="D1876">
        <v>2</v>
      </c>
      <c r="E1876">
        <v>1</v>
      </c>
      <c r="F1876">
        <v>34</v>
      </c>
      <c r="G1876">
        <v>-1</v>
      </c>
      <c r="H1876">
        <v>-1</v>
      </c>
      <c r="I1876">
        <v>-1</v>
      </c>
      <c r="J1876">
        <v>-1</v>
      </c>
      <c r="K1876">
        <v>-1</v>
      </c>
      <c r="L1876">
        <v>-1</v>
      </c>
      <c r="M1876">
        <v>430</v>
      </c>
      <c r="N1876">
        <v>430</v>
      </c>
      <c r="O1876">
        <v>702</v>
      </c>
      <c r="P1876">
        <v>430</v>
      </c>
      <c r="Q1876">
        <v>430</v>
      </c>
      <c r="R1876">
        <v>430</v>
      </c>
      <c r="S1876">
        <v>430</v>
      </c>
      <c r="T1876">
        <v>702</v>
      </c>
      <c r="U1876">
        <v>430</v>
      </c>
      <c r="V1876">
        <v>430</v>
      </c>
      <c r="W1876">
        <v>430</v>
      </c>
      <c r="X1876">
        <v>860</v>
      </c>
      <c r="Y1876">
        <v>1</v>
      </c>
    </row>
    <row r="1877" spans="1:25" x14ac:dyDescent="0.3">
      <c r="A1877">
        <v>1876</v>
      </c>
      <c r="B1877">
        <v>210000</v>
      </c>
      <c r="C1877">
        <v>2</v>
      </c>
      <c r="D1877">
        <v>2</v>
      </c>
      <c r="E1877">
        <v>1</v>
      </c>
      <c r="F1877">
        <v>32</v>
      </c>
      <c r="G1877">
        <v>-1</v>
      </c>
      <c r="H1877">
        <v>0</v>
      </c>
      <c r="I1877">
        <v>0</v>
      </c>
      <c r="J1877">
        <v>0</v>
      </c>
      <c r="K1877">
        <v>2</v>
      </c>
      <c r="L1877">
        <v>0</v>
      </c>
      <c r="M1877">
        <v>164015</v>
      </c>
      <c r="N1877">
        <v>155235</v>
      </c>
      <c r="O1877">
        <v>151267</v>
      </c>
      <c r="P1877">
        <v>149478</v>
      </c>
      <c r="Q1877">
        <v>145041</v>
      </c>
      <c r="R1877">
        <v>107495</v>
      </c>
      <c r="S1877">
        <v>9320</v>
      </c>
      <c r="T1877">
        <v>4894</v>
      </c>
      <c r="U1877">
        <v>3301</v>
      </c>
      <c r="V1877">
        <v>3</v>
      </c>
      <c r="W1877">
        <v>4994</v>
      </c>
      <c r="X1877">
        <v>116880</v>
      </c>
      <c r="Y1877">
        <v>0</v>
      </c>
    </row>
    <row r="1878" spans="1:25" x14ac:dyDescent="0.3">
      <c r="A1878">
        <v>1877</v>
      </c>
      <c r="B1878">
        <v>50000</v>
      </c>
      <c r="C1878">
        <v>1</v>
      </c>
      <c r="D1878">
        <v>2</v>
      </c>
      <c r="E1878">
        <v>1</v>
      </c>
      <c r="F1878">
        <v>38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48797</v>
      </c>
      <c r="N1878">
        <v>47153</v>
      </c>
      <c r="O1878">
        <v>43238</v>
      </c>
      <c r="P1878">
        <v>17253</v>
      </c>
      <c r="Q1878">
        <v>16307</v>
      </c>
      <c r="R1878">
        <v>16651</v>
      </c>
      <c r="S1878">
        <v>1864</v>
      </c>
      <c r="T1878">
        <v>1811</v>
      </c>
      <c r="U1878">
        <v>594</v>
      </c>
      <c r="V1878">
        <v>587</v>
      </c>
      <c r="W1878">
        <v>1000</v>
      </c>
      <c r="X1878">
        <v>1000</v>
      </c>
      <c r="Y1878">
        <v>0</v>
      </c>
    </row>
    <row r="1879" spans="1:25" x14ac:dyDescent="0.3">
      <c r="A1879">
        <v>1878</v>
      </c>
      <c r="B1879">
        <v>310000</v>
      </c>
      <c r="C1879">
        <v>1</v>
      </c>
      <c r="D1879">
        <v>2</v>
      </c>
      <c r="E1879">
        <v>1</v>
      </c>
      <c r="F1879">
        <v>29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31132</v>
      </c>
      <c r="N1879">
        <v>45718</v>
      </c>
      <c r="O1879">
        <v>62992</v>
      </c>
      <c r="P1879">
        <v>62473</v>
      </c>
      <c r="Q1879">
        <v>69837</v>
      </c>
      <c r="R1879">
        <v>69898</v>
      </c>
      <c r="S1879">
        <v>20000</v>
      </c>
      <c r="T1879">
        <v>20000</v>
      </c>
      <c r="U1879">
        <v>2500</v>
      </c>
      <c r="V1879">
        <v>11056</v>
      </c>
      <c r="W1879">
        <v>3000</v>
      </c>
      <c r="X1879">
        <v>4377</v>
      </c>
      <c r="Y1879">
        <v>0</v>
      </c>
    </row>
    <row r="1880" spans="1:25" x14ac:dyDescent="0.3">
      <c r="A1880">
        <v>1879</v>
      </c>
      <c r="B1880">
        <v>300000</v>
      </c>
      <c r="C1880">
        <v>2</v>
      </c>
      <c r="D1880">
        <v>1</v>
      </c>
      <c r="E1880">
        <v>1</v>
      </c>
      <c r="F1880">
        <v>31</v>
      </c>
      <c r="G1880">
        <v>-2</v>
      </c>
      <c r="H1880">
        <v>-2</v>
      </c>
      <c r="I1880">
        <v>-1</v>
      </c>
      <c r="J1880">
        <v>0</v>
      </c>
      <c r="K1880">
        <v>0</v>
      </c>
      <c r="L1880">
        <v>0</v>
      </c>
      <c r="M1880">
        <v>0</v>
      </c>
      <c r="N1880">
        <v>1110</v>
      </c>
      <c r="O1880">
        <v>12192</v>
      </c>
      <c r="P1880">
        <v>7639</v>
      </c>
      <c r="Q1880">
        <v>1722</v>
      </c>
      <c r="R1880">
        <v>4064</v>
      </c>
      <c r="S1880">
        <v>1110</v>
      </c>
      <c r="T1880">
        <v>12192</v>
      </c>
      <c r="U1880">
        <v>300</v>
      </c>
      <c r="V1880">
        <v>191</v>
      </c>
      <c r="W1880">
        <v>4064</v>
      </c>
      <c r="X1880">
        <v>390</v>
      </c>
      <c r="Y1880">
        <v>0</v>
      </c>
    </row>
    <row r="1881" spans="1:25" x14ac:dyDescent="0.3">
      <c r="A1881">
        <v>1880</v>
      </c>
      <c r="B1881">
        <v>30000</v>
      </c>
      <c r="C1881">
        <v>2</v>
      </c>
      <c r="D1881">
        <v>2</v>
      </c>
      <c r="E1881">
        <v>2</v>
      </c>
      <c r="F1881">
        <v>47</v>
      </c>
      <c r="G1881">
        <v>2</v>
      </c>
      <c r="H1881">
        <v>2</v>
      </c>
      <c r="I1881">
        <v>2</v>
      </c>
      <c r="J1881">
        <v>2</v>
      </c>
      <c r="K1881">
        <v>2</v>
      </c>
      <c r="L1881">
        <v>2</v>
      </c>
      <c r="M1881">
        <v>16039</v>
      </c>
      <c r="N1881">
        <v>17080</v>
      </c>
      <c r="O1881">
        <v>17302</v>
      </c>
      <c r="P1881">
        <v>17521</v>
      </c>
      <c r="Q1881">
        <v>17893</v>
      </c>
      <c r="R1881">
        <v>18252</v>
      </c>
      <c r="S1881">
        <v>1600</v>
      </c>
      <c r="T1881">
        <v>800</v>
      </c>
      <c r="U1881">
        <v>800</v>
      </c>
      <c r="V1881">
        <v>800</v>
      </c>
      <c r="W1881">
        <v>800</v>
      </c>
      <c r="X1881">
        <v>0</v>
      </c>
      <c r="Y1881">
        <v>1</v>
      </c>
    </row>
    <row r="1882" spans="1:25" x14ac:dyDescent="0.3">
      <c r="A1882">
        <v>1881</v>
      </c>
      <c r="B1882">
        <v>90000</v>
      </c>
      <c r="C1882">
        <v>2</v>
      </c>
      <c r="D1882">
        <v>3</v>
      </c>
      <c r="E1882">
        <v>1</v>
      </c>
      <c r="F1882">
        <v>40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89928</v>
      </c>
      <c r="N1882">
        <v>81721</v>
      </c>
      <c r="O1882">
        <v>76947</v>
      </c>
      <c r="P1882">
        <v>46589</v>
      </c>
      <c r="Q1882">
        <v>47730</v>
      </c>
      <c r="R1882">
        <v>49488</v>
      </c>
      <c r="S1882">
        <v>3416</v>
      </c>
      <c r="T1882">
        <v>4142</v>
      </c>
      <c r="U1882">
        <v>1700</v>
      </c>
      <c r="V1882">
        <v>1888</v>
      </c>
      <c r="W1882">
        <v>2710</v>
      </c>
      <c r="X1882">
        <v>1500</v>
      </c>
      <c r="Y1882">
        <v>0</v>
      </c>
    </row>
    <row r="1883" spans="1:25" x14ac:dyDescent="0.3">
      <c r="A1883">
        <v>1882</v>
      </c>
      <c r="B1883">
        <v>150000</v>
      </c>
      <c r="C1883">
        <v>2</v>
      </c>
      <c r="D1883">
        <v>2</v>
      </c>
      <c r="E1883">
        <v>1</v>
      </c>
      <c r="F1883">
        <v>34</v>
      </c>
      <c r="G1883">
        <v>2</v>
      </c>
      <c r="H1883">
        <v>2</v>
      </c>
      <c r="I1883">
        <v>2</v>
      </c>
      <c r="J1883">
        <v>0</v>
      </c>
      <c r="K1883">
        <v>0</v>
      </c>
      <c r="L1883">
        <v>0</v>
      </c>
      <c r="M1883">
        <v>39465</v>
      </c>
      <c r="N1883">
        <v>42829</v>
      </c>
      <c r="O1883">
        <v>41845</v>
      </c>
      <c r="P1883">
        <v>42844</v>
      </c>
      <c r="Q1883">
        <v>43999</v>
      </c>
      <c r="R1883">
        <v>45110</v>
      </c>
      <c r="S1883">
        <v>4000</v>
      </c>
      <c r="T1883">
        <v>0</v>
      </c>
      <c r="U1883">
        <v>2000</v>
      </c>
      <c r="V1883">
        <v>2000</v>
      </c>
      <c r="W1883">
        <v>2000</v>
      </c>
      <c r="X1883">
        <v>2000</v>
      </c>
      <c r="Y1883">
        <v>1</v>
      </c>
    </row>
    <row r="1884" spans="1:25" x14ac:dyDescent="0.3">
      <c r="A1884">
        <v>1883</v>
      </c>
      <c r="B1884">
        <v>90000</v>
      </c>
      <c r="C1884">
        <v>1</v>
      </c>
      <c r="D1884">
        <v>1</v>
      </c>
      <c r="E1884">
        <v>2</v>
      </c>
      <c r="F1884">
        <v>25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32755</v>
      </c>
      <c r="N1884">
        <v>31325</v>
      </c>
      <c r="O1884">
        <v>28034</v>
      </c>
      <c r="P1884">
        <v>29753</v>
      </c>
      <c r="Q1884">
        <v>30601</v>
      </c>
      <c r="R1884">
        <v>33083</v>
      </c>
      <c r="S1884">
        <v>2000</v>
      </c>
      <c r="T1884">
        <v>3000</v>
      </c>
      <c r="U1884">
        <v>2000</v>
      </c>
      <c r="V1884">
        <v>3000</v>
      </c>
      <c r="W1884">
        <v>3000</v>
      </c>
      <c r="X1884">
        <v>1000</v>
      </c>
      <c r="Y1884">
        <v>0</v>
      </c>
    </row>
    <row r="1885" spans="1:25" x14ac:dyDescent="0.3">
      <c r="A1885">
        <v>1884</v>
      </c>
      <c r="B1885">
        <v>80000</v>
      </c>
      <c r="C1885">
        <v>2</v>
      </c>
      <c r="D1885">
        <v>3</v>
      </c>
      <c r="E1885">
        <v>2</v>
      </c>
      <c r="F1885">
        <v>65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84985</v>
      </c>
      <c r="N1885">
        <v>84247</v>
      </c>
      <c r="O1885">
        <v>81619</v>
      </c>
      <c r="P1885">
        <v>30095</v>
      </c>
      <c r="Q1885">
        <v>20639</v>
      </c>
      <c r="R1885">
        <v>7849</v>
      </c>
      <c r="S1885">
        <v>4000</v>
      </c>
      <c r="T1885">
        <v>2048</v>
      </c>
      <c r="U1885">
        <v>1300</v>
      </c>
      <c r="V1885">
        <v>1700</v>
      </c>
      <c r="W1885">
        <v>401</v>
      </c>
      <c r="X1885">
        <v>180</v>
      </c>
      <c r="Y1885">
        <v>0</v>
      </c>
    </row>
    <row r="1886" spans="1:25" x14ac:dyDescent="0.3">
      <c r="A1886">
        <v>1885</v>
      </c>
      <c r="B1886">
        <v>100000</v>
      </c>
      <c r="C1886">
        <v>2</v>
      </c>
      <c r="D1886">
        <v>1</v>
      </c>
      <c r="E1886">
        <v>2</v>
      </c>
      <c r="F1886">
        <v>28</v>
      </c>
      <c r="G1886">
        <v>-1</v>
      </c>
      <c r="H1886">
        <v>-1</v>
      </c>
      <c r="I1886">
        <v>-1</v>
      </c>
      <c r="J1886">
        <v>-1</v>
      </c>
      <c r="K1886">
        <v>-1</v>
      </c>
      <c r="L1886">
        <v>-1</v>
      </c>
      <c r="M1886">
        <v>555</v>
      </c>
      <c r="N1886">
        <v>712</v>
      </c>
      <c r="O1886">
        <v>712</v>
      </c>
      <c r="P1886">
        <v>712</v>
      </c>
      <c r="Q1886">
        <v>862</v>
      </c>
      <c r="R1886">
        <v>712</v>
      </c>
      <c r="S1886">
        <v>712</v>
      </c>
      <c r="T1886">
        <v>712</v>
      </c>
      <c r="U1886">
        <v>712</v>
      </c>
      <c r="V1886">
        <v>862</v>
      </c>
      <c r="W1886">
        <v>712</v>
      </c>
      <c r="X1886">
        <v>1840</v>
      </c>
      <c r="Y1886">
        <v>1</v>
      </c>
    </row>
    <row r="1887" spans="1:25" x14ac:dyDescent="0.3">
      <c r="A1887">
        <v>1886</v>
      </c>
      <c r="B1887">
        <v>10000</v>
      </c>
      <c r="C1887">
        <v>1</v>
      </c>
      <c r="D1887">
        <v>2</v>
      </c>
      <c r="E1887">
        <v>2</v>
      </c>
      <c r="F1887">
        <v>33</v>
      </c>
      <c r="G1887">
        <v>-2</v>
      </c>
      <c r="H1887">
        <v>-2</v>
      </c>
      <c r="I1887">
        <v>-2</v>
      </c>
      <c r="J1887">
        <v>-2</v>
      </c>
      <c r="K1887">
        <v>-2</v>
      </c>
      <c r="L1887">
        <v>-2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</row>
    <row r="1888" spans="1:25" x14ac:dyDescent="0.3">
      <c r="A1888">
        <v>1887</v>
      </c>
      <c r="B1888">
        <v>210000</v>
      </c>
      <c r="C1888">
        <v>1</v>
      </c>
      <c r="D1888">
        <v>1</v>
      </c>
      <c r="E1888">
        <v>2</v>
      </c>
      <c r="F1888">
        <v>31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161159</v>
      </c>
      <c r="N1888">
        <v>165071</v>
      </c>
      <c r="O1888">
        <v>173443</v>
      </c>
      <c r="P1888">
        <v>179686</v>
      </c>
      <c r="Q1888">
        <v>197458</v>
      </c>
      <c r="R1888">
        <v>138218</v>
      </c>
      <c r="S1888">
        <v>8000</v>
      </c>
      <c r="T1888">
        <v>13000</v>
      </c>
      <c r="U1888">
        <v>10000</v>
      </c>
      <c r="V1888">
        <v>20000</v>
      </c>
      <c r="W1888">
        <v>7000</v>
      </c>
      <c r="X1888">
        <v>7000</v>
      </c>
      <c r="Y1888">
        <v>0</v>
      </c>
    </row>
    <row r="1889" spans="1:25" x14ac:dyDescent="0.3">
      <c r="A1889">
        <v>1888</v>
      </c>
      <c r="B1889">
        <v>170000</v>
      </c>
      <c r="C1889">
        <v>2</v>
      </c>
      <c r="D1889">
        <v>2</v>
      </c>
      <c r="E1889">
        <v>1</v>
      </c>
      <c r="F1889">
        <v>41</v>
      </c>
      <c r="G1889">
        <v>0</v>
      </c>
      <c r="H1889">
        <v>-1</v>
      </c>
      <c r="I1889">
        <v>-1</v>
      </c>
      <c r="J1889">
        <v>-1</v>
      </c>
      <c r="K1889">
        <v>-1</v>
      </c>
      <c r="L1889">
        <v>0</v>
      </c>
      <c r="M1889">
        <v>21170</v>
      </c>
      <c r="N1889">
        <v>9698</v>
      </c>
      <c r="O1889">
        <v>7360</v>
      </c>
      <c r="P1889">
        <v>6380</v>
      </c>
      <c r="Q1889">
        <v>11937</v>
      </c>
      <c r="R1889">
        <v>6378</v>
      </c>
      <c r="S1889">
        <v>9734</v>
      </c>
      <c r="T1889">
        <v>7373</v>
      </c>
      <c r="U1889">
        <v>6380</v>
      </c>
      <c r="V1889">
        <v>11937</v>
      </c>
      <c r="W1889">
        <v>1000</v>
      </c>
      <c r="X1889">
        <v>6881</v>
      </c>
      <c r="Y1889">
        <v>0</v>
      </c>
    </row>
    <row r="1890" spans="1:25" x14ac:dyDescent="0.3">
      <c r="A1890">
        <v>1889</v>
      </c>
      <c r="B1890">
        <v>90000</v>
      </c>
      <c r="C1890">
        <v>2</v>
      </c>
      <c r="D1890">
        <v>2</v>
      </c>
      <c r="E1890">
        <v>1</v>
      </c>
      <c r="F1890">
        <v>32</v>
      </c>
      <c r="G1890">
        <v>1</v>
      </c>
      <c r="H1890">
        <v>2</v>
      </c>
      <c r="I1890">
        <v>2</v>
      </c>
      <c r="J1890">
        <v>2</v>
      </c>
      <c r="K1890">
        <v>2</v>
      </c>
      <c r="L1890">
        <v>2</v>
      </c>
      <c r="M1890">
        <v>85997</v>
      </c>
      <c r="N1890">
        <v>83779</v>
      </c>
      <c r="O1890">
        <v>88577</v>
      </c>
      <c r="P1890">
        <v>86365</v>
      </c>
      <c r="Q1890">
        <v>91105</v>
      </c>
      <c r="R1890">
        <v>89347</v>
      </c>
      <c r="S1890">
        <v>0</v>
      </c>
      <c r="T1890">
        <v>7200</v>
      </c>
      <c r="U1890">
        <v>0</v>
      </c>
      <c r="V1890">
        <v>6200</v>
      </c>
      <c r="W1890">
        <v>24</v>
      </c>
      <c r="X1890">
        <v>3300</v>
      </c>
      <c r="Y1890">
        <v>0</v>
      </c>
    </row>
    <row r="1891" spans="1:25" x14ac:dyDescent="0.3">
      <c r="A1891">
        <v>1890</v>
      </c>
      <c r="B1891">
        <v>210000</v>
      </c>
      <c r="C1891">
        <v>2</v>
      </c>
      <c r="D1891">
        <v>3</v>
      </c>
      <c r="E1891">
        <v>2</v>
      </c>
      <c r="F1891">
        <v>36</v>
      </c>
      <c r="G1891">
        <v>1</v>
      </c>
      <c r="H1891">
        <v>-1</v>
      </c>
      <c r="I1891">
        <v>-1</v>
      </c>
      <c r="J1891">
        <v>-2</v>
      </c>
      <c r="K1891">
        <v>-1</v>
      </c>
      <c r="L1891">
        <v>-1</v>
      </c>
      <c r="M1891">
        <v>0</v>
      </c>
      <c r="N1891">
        <v>4866</v>
      </c>
      <c r="O1891">
        <v>0</v>
      </c>
      <c r="P1891">
        <v>0</v>
      </c>
      <c r="Q1891">
        <v>5916</v>
      </c>
      <c r="R1891">
        <v>0</v>
      </c>
      <c r="S1891">
        <v>4866</v>
      </c>
      <c r="T1891">
        <v>0</v>
      </c>
      <c r="U1891">
        <v>0</v>
      </c>
      <c r="V1891">
        <v>5916</v>
      </c>
      <c r="W1891">
        <v>0</v>
      </c>
      <c r="X1891">
        <v>0</v>
      </c>
      <c r="Y1891">
        <v>1</v>
      </c>
    </row>
    <row r="1892" spans="1:25" x14ac:dyDescent="0.3">
      <c r="A1892">
        <v>1891</v>
      </c>
      <c r="B1892">
        <v>50000</v>
      </c>
      <c r="C1892">
        <v>2</v>
      </c>
      <c r="D1892">
        <v>1</v>
      </c>
      <c r="E1892">
        <v>2</v>
      </c>
      <c r="F1892">
        <v>26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36806</v>
      </c>
      <c r="N1892">
        <v>38212</v>
      </c>
      <c r="O1892">
        <v>39141</v>
      </c>
      <c r="P1892">
        <v>35524</v>
      </c>
      <c r="Q1892">
        <v>30842</v>
      </c>
      <c r="R1892">
        <v>17043</v>
      </c>
      <c r="S1892">
        <v>2000</v>
      </c>
      <c r="T1892">
        <v>2000</v>
      </c>
      <c r="U1892">
        <v>8156</v>
      </c>
      <c r="V1892">
        <v>30000</v>
      </c>
      <c r="W1892">
        <v>1644</v>
      </c>
      <c r="X1892">
        <v>1209</v>
      </c>
      <c r="Y1892">
        <v>0</v>
      </c>
    </row>
    <row r="1893" spans="1:25" x14ac:dyDescent="0.3">
      <c r="A1893">
        <v>1892</v>
      </c>
      <c r="B1893">
        <v>150000</v>
      </c>
      <c r="C1893">
        <v>1</v>
      </c>
      <c r="D1893">
        <v>1</v>
      </c>
      <c r="E1893">
        <v>1</v>
      </c>
      <c r="F1893">
        <v>30</v>
      </c>
      <c r="G1893">
        <v>1</v>
      </c>
      <c r="H1893">
        <v>-1</v>
      </c>
      <c r="I1893">
        <v>2</v>
      </c>
      <c r="J1893">
        <v>-1</v>
      </c>
      <c r="K1893">
        <v>-1</v>
      </c>
      <c r="L1893">
        <v>-1</v>
      </c>
      <c r="M1893">
        <v>-819</v>
      </c>
      <c r="N1893">
        <v>35457</v>
      </c>
      <c r="O1893">
        <v>819</v>
      </c>
      <c r="P1893">
        <v>2145</v>
      </c>
      <c r="Q1893">
        <v>17000</v>
      </c>
      <c r="R1893">
        <v>23698</v>
      </c>
      <c r="S1893">
        <v>36276</v>
      </c>
      <c r="T1893">
        <v>0</v>
      </c>
      <c r="U1893">
        <v>2145</v>
      </c>
      <c r="V1893">
        <v>17000</v>
      </c>
      <c r="W1893">
        <v>23698</v>
      </c>
      <c r="X1893">
        <v>411</v>
      </c>
      <c r="Y1893">
        <v>0</v>
      </c>
    </row>
    <row r="1894" spans="1:25" x14ac:dyDescent="0.3">
      <c r="A1894">
        <v>1893</v>
      </c>
      <c r="B1894">
        <v>80000</v>
      </c>
      <c r="C1894">
        <v>2</v>
      </c>
      <c r="D1894">
        <v>1</v>
      </c>
      <c r="E1894">
        <v>2</v>
      </c>
      <c r="F1894">
        <v>30</v>
      </c>
      <c r="G1894">
        <v>1</v>
      </c>
      <c r="H1894">
        <v>-1</v>
      </c>
      <c r="I1894">
        <v>-1</v>
      </c>
      <c r="J1894">
        <v>-1</v>
      </c>
      <c r="K1894">
        <v>-2</v>
      </c>
      <c r="L1894">
        <v>-2</v>
      </c>
      <c r="M1894">
        <v>0</v>
      </c>
      <c r="N1894">
        <v>1313</v>
      </c>
      <c r="O1894">
        <v>880</v>
      </c>
      <c r="P1894">
        <v>0</v>
      </c>
      <c r="Q1894">
        <v>0</v>
      </c>
      <c r="R1894">
        <v>0</v>
      </c>
      <c r="S1894">
        <v>1313</v>
      </c>
      <c r="T1894">
        <v>883</v>
      </c>
      <c r="U1894">
        <v>0</v>
      </c>
      <c r="V1894">
        <v>0</v>
      </c>
      <c r="W1894">
        <v>0</v>
      </c>
      <c r="X1894">
        <v>0</v>
      </c>
      <c r="Y1894">
        <v>0</v>
      </c>
    </row>
    <row r="1895" spans="1:25" x14ac:dyDescent="0.3">
      <c r="A1895">
        <v>1894</v>
      </c>
      <c r="B1895">
        <v>130000</v>
      </c>
      <c r="C1895">
        <v>2</v>
      </c>
      <c r="D1895">
        <v>1</v>
      </c>
      <c r="E1895">
        <v>1</v>
      </c>
      <c r="F1895">
        <v>38</v>
      </c>
      <c r="G1895">
        <v>0</v>
      </c>
      <c r="H1895">
        <v>0</v>
      </c>
      <c r="I1895">
        <v>0</v>
      </c>
      <c r="J1895">
        <v>-2</v>
      </c>
      <c r="K1895">
        <v>-2</v>
      </c>
      <c r="L1895">
        <v>-2</v>
      </c>
      <c r="M1895">
        <v>64942</v>
      </c>
      <c r="N1895">
        <v>66775</v>
      </c>
      <c r="O1895">
        <v>0</v>
      </c>
      <c r="P1895">
        <v>0</v>
      </c>
      <c r="Q1895">
        <v>0</v>
      </c>
      <c r="R1895">
        <v>0</v>
      </c>
      <c r="S1895">
        <v>4000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1</v>
      </c>
    </row>
    <row r="1896" spans="1:25" x14ac:dyDescent="0.3">
      <c r="A1896">
        <v>1895</v>
      </c>
      <c r="B1896">
        <v>100000</v>
      </c>
      <c r="C1896">
        <v>1</v>
      </c>
      <c r="D1896">
        <v>2</v>
      </c>
      <c r="E1896">
        <v>2</v>
      </c>
      <c r="F1896">
        <v>30</v>
      </c>
      <c r="G1896">
        <v>1</v>
      </c>
      <c r="H1896">
        <v>3</v>
      </c>
      <c r="I1896">
        <v>7</v>
      </c>
      <c r="J1896">
        <v>6</v>
      </c>
      <c r="K1896">
        <v>7</v>
      </c>
      <c r="L1896">
        <v>8</v>
      </c>
      <c r="M1896">
        <v>72652</v>
      </c>
      <c r="N1896">
        <v>90461</v>
      </c>
      <c r="O1896">
        <v>89011</v>
      </c>
      <c r="P1896">
        <v>96593</v>
      </c>
      <c r="Q1896">
        <v>105083</v>
      </c>
      <c r="R1896">
        <v>103522</v>
      </c>
      <c r="S1896">
        <v>20000</v>
      </c>
      <c r="T1896">
        <v>0</v>
      </c>
      <c r="U1896">
        <v>10000</v>
      </c>
      <c r="V1896">
        <v>10000</v>
      </c>
      <c r="W1896">
        <v>0</v>
      </c>
      <c r="X1896">
        <v>0</v>
      </c>
      <c r="Y1896">
        <v>1</v>
      </c>
    </row>
    <row r="1897" spans="1:25" x14ac:dyDescent="0.3">
      <c r="A1897">
        <v>1896</v>
      </c>
      <c r="B1897">
        <v>160000</v>
      </c>
      <c r="C1897">
        <v>1</v>
      </c>
      <c r="D1897">
        <v>1</v>
      </c>
      <c r="E1897">
        <v>1</v>
      </c>
      <c r="F1897">
        <v>41</v>
      </c>
      <c r="G1897">
        <v>0</v>
      </c>
      <c r="H1897">
        <v>0</v>
      </c>
      <c r="I1897">
        <v>0</v>
      </c>
      <c r="J1897">
        <v>-2</v>
      </c>
      <c r="K1897">
        <v>-1</v>
      </c>
      <c r="L1897">
        <v>0</v>
      </c>
      <c r="M1897">
        <v>53935</v>
      </c>
      <c r="N1897">
        <v>57997</v>
      </c>
      <c r="O1897">
        <v>-3</v>
      </c>
      <c r="P1897">
        <v>-3</v>
      </c>
      <c r="Q1897">
        <v>2987</v>
      </c>
      <c r="R1897">
        <v>1993</v>
      </c>
      <c r="S1897">
        <v>5000</v>
      </c>
      <c r="T1897">
        <v>0</v>
      </c>
      <c r="U1897">
        <v>0</v>
      </c>
      <c r="V1897">
        <v>2990</v>
      </c>
      <c r="W1897">
        <v>6</v>
      </c>
      <c r="X1897">
        <v>2409</v>
      </c>
      <c r="Y1897">
        <v>0</v>
      </c>
    </row>
    <row r="1898" spans="1:25" x14ac:dyDescent="0.3">
      <c r="A1898">
        <v>1897</v>
      </c>
      <c r="B1898">
        <v>250000</v>
      </c>
      <c r="C1898">
        <v>1</v>
      </c>
      <c r="D1898">
        <v>2</v>
      </c>
      <c r="E1898">
        <v>2</v>
      </c>
      <c r="F1898">
        <v>31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14451</v>
      </c>
      <c r="N1898">
        <v>15774</v>
      </c>
      <c r="O1898">
        <v>16780</v>
      </c>
      <c r="P1898">
        <v>16807</v>
      </c>
      <c r="Q1898">
        <v>17158</v>
      </c>
      <c r="R1898">
        <v>17500</v>
      </c>
      <c r="S1898">
        <v>1504</v>
      </c>
      <c r="T1898">
        <v>1510</v>
      </c>
      <c r="U1898">
        <v>537</v>
      </c>
      <c r="V1898">
        <v>556</v>
      </c>
      <c r="W1898">
        <v>559</v>
      </c>
      <c r="X1898">
        <v>658</v>
      </c>
      <c r="Y1898">
        <v>0</v>
      </c>
    </row>
    <row r="1899" spans="1:25" x14ac:dyDescent="0.3">
      <c r="A1899">
        <v>1898</v>
      </c>
      <c r="B1899">
        <v>500000</v>
      </c>
      <c r="C1899">
        <v>2</v>
      </c>
      <c r="D1899">
        <v>2</v>
      </c>
      <c r="E1899">
        <v>1</v>
      </c>
      <c r="F1899">
        <v>42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-1</v>
      </c>
      <c r="M1899">
        <v>60246</v>
      </c>
      <c r="N1899">
        <v>74832</v>
      </c>
      <c r="O1899">
        <v>126778</v>
      </c>
      <c r="P1899">
        <v>82611</v>
      </c>
      <c r="Q1899">
        <v>71338</v>
      </c>
      <c r="R1899">
        <v>29756</v>
      </c>
      <c r="S1899">
        <v>40000</v>
      </c>
      <c r="T1899">
        <v>85000</v>
      </c>
      <c r="U1899">
        <v>139</v>
      </c>
      <c r="V1899">
        <v>20000</v>
      </c>
      <c r="W1899">
        <v>29761</v>
      </c>
      <c r="X1899">
        <v>70000</v>
      </c>
      <c r="Y1899">
        <v>0</v>
      </c>
    </row>
    <row r="1900" spans="1:25" x14ac:dyDescent="0.3">
      <c r="A1900">
        <v>1899</v>
      </c>
      <c r="B1900">
        <v>260000</v>
      </c>
      <c r="C1900">
        <v>1</v>
      </c>
      <c r="D1900">
        <v>2</v>
      </c>
      <c r="E1900">
        <v>2</v>
      </c>
      <c r="F1900">
        <v>32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106093</v>
      </c>
      <c r="N1900">
        <v>95060</v>
      </c>
      <c r="O1900">
        <v>90948</v>
      </c>
      <c r="P1900">
        <v>84986</v>
      </c>
      <c r="Q1900">
        <v>84491</v>
      </c>
      <c r="R1900">
        <v>72248</v>
      </c>
      <c r="S1900">
        <v>4410</v>
      </c>
      <c r="T1900">
        <v>6500</v>
      </c>
      <c r="U1900">
        <v>9500</v>
      </c>
      <c r="V1900">
        <v>10000</v>
      </c>
      <c r="W1900">
        <v>9000</v>
      </c>
      <c r="X1900">
        <v>8000</v>
      </c>
      <c r="Y1900">
        <v>0</v>
      </c>
    </row>
    <row r="1901" spans="1:25" x14ac:dyDescent="0.3">
      <c r="A1901">
        <v>1900</v>
      </c>
      <c r="B1901">
        <v>50000</v>
      </c>
      <c r="C1901">
        <v>2</v>
      </c>
      <c r="D1901">
        <v>2</v>
      </c>
      <c r="E1901">
        <v>1</v>
      </c>
      <c r="F1901">
        <v>44</v>
      </c>
      <c r="G1901">
        <v>-2</v>
      </c>
      <c r="H1901">
        <v>-2</v>
      </c>
      <c r="I1901">
        <v>-2</v>
      </c>
      <c r="J1901">
        <v>-2</v>
      </c>
      <c r="K1901">
        <v>-2</v>
      </c>
      <c r="L1901">
        <v>-2</v>
      </c>
      <c r="M1901">
        <v>1473</v>
      </c>
      <c r="N1901">
        <v>390</v>
      </c>
      <c r="O1901">
        <v>390</v>
      </c>
      <c r="P1901">
        <v>390</v>
      </c>
      <c r="Q1901">
        <v>390</v>
      </c>
      <c r="R1901">
        <v>0</v>
      </c>
      <c r="S1901">
        <v>390</v>
      </c>
      <c r="T1901">
        <v>390</v>
      </c>
      <c r="U1901">
        <v>390</v>
      </c>
      <c r="V1901">
        <v>390</v>
      </c>
      <c r="W1901">
        <v>0</v>
      </c>
      <c r="X1901">
        <v>780</v>
      </c>
      <c r="Y1901">
        <v>0</v>
      </c>
    </row>
    <row r="1902" spans="1:25" x14ac:dyDescent="0.3">
      <c r="A1902">
        <v>1901</v>
      </c>
      <c r="B1902">
        <v>30000</v>
      </c>
      <c r="C1902">
        <v>2</v>
      </c>
      <c r="D1902">
        <v>2</v>
      </c>
      <c r="E1902">
        <v>2</v>
      </c>
      <c r="F1902">
        <v>22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27388</v>
      </c>
      <c r="N1902">
        <v>29016</v>
      </c>
      <c r="O1902">
        <v>26941</v>
      </c>
      <c r="P1902">
        <v>27491</v>
      </c>
      <c r="Q1902">
        <v>6726</v>
      </c>
      <c r="R1902">
        <v>0</v>
      </c>
      <c r="S1902">
        <v>2075</v>
      </c>
      <c r="T1902">
        <v>1000</v>
      </c>
      <c r="U1902">
        <v>550</v>
      </c>
      <c r="V1902">
        <v>135</v>
      </c>
      <c r="W1902">
        <v>0</v>
      </c>
      <c r="X1902">
        <v>0</v>
      </c>
      <c r="Y1902">
        <v>0</v>
      </c>
    </row>
    <row r="1903" spans="1:25" x14ac:dyDescent="0.3">
      <c r="A1903">
        <v>1902</v>
      </c>
      <c r="B1903">
        <v>110000</v>
      </c>
      <c r="C1903">
        <v>2</v>
      </c>
      <c r="D1903">
        <v>2</v>
      </c>
      <c r="E1903">
        <v>2</v>
      </c>
      <c r="F1903">
        <v>42</v>
      </c>
      <c r="G1903">
        <v>1</v>
      </c>
      <c r="H1903">
        <v>2</v>
      </c>
      <c r="I1903">
        <v>0</v>
      </c>
      <c r="J1903">
        <v>0</v>
      </c>
      <c r="K1903">
        <v>0</v>
      </c>
      <c r="L1903">
        <v>0</v>
      </c>
      <c r="M1903">
        <v>57046</v>
      </c>
      <c r="N1903">
        <v>51005</v>
      </c>
      <c r="O1903">
        <v>48572</v>
      </c>
      <c r="P1903">
        <v>49299</v>
      </c>
      <c r="Q1903">
        <v>47126</v>
      </c>
      <c r="R1903">
        <v>48215</v>
      </c>
      <c r="S1903">
        <v>0</v>
      </c>
      <c r="T1903">
        <v>2100</v>
      </c>
      <c r="U1903">
        <v>2500</v>
      </c>
      <c r="V1903">
        <v>2000</v>
      </c>
      <c r="W1903">
        <v>2250</v>
      </c>
      <c r="X1903">
        <v>1200</v>
      </c>
      <c r="Y1903">
        <v>0</v>
      </c>
    </row>
    <row r="1904" spans="1:25" x14ac:dyDescent="0.3">
      <c r="A1904">
        <v>1903</v>
      </c>
      <c r="B1904">
        <v>500000</v>
      </c>
      <c r="C1904">
        <v>1</v>
      </c>
      <c r="D1904">
        <v>1</v>
      </c>
      <c r="E1904">
        <v>1</v>
      </c>
      <c r="F1904">
        <v>39</v>
      </c>
      <c r="G1904">
        <v>-1</v>
      </c>
      <c r="H1904">
        <v>-1</v>
      </c>
      <c r="I1904">
        <v>-1</v>
      </c>
      <c r="J1904">
        <v>-1</v>
      </c>
      <c r="K1904">
        <v>-1</v>
      </c>
      <c r="L1904">
        <v>-1</v>
      </c>
      <c r="M1904">
        <v>6057</v>
      </c>
      <c r="N1904">
        <v>9418</v>
      </c>
      <c r="O1904">
        <v>7667</v>
      </c>
      <c r="P1904">
        <v>6222</v>
      </c>
      <c r="Q1904">
        <v>9435</v>
      </c>
      <c r="R1904">
        <v>7235</v>
      </c>
      <c r="S1904">
        <v>9418</v>
      </c>
      <c r="T1904">
        <v>7667</v>
      </c>
      <c r="U1904">
        <v>6222</v>
      </c>
      <c r="V1904">
        <v>9435</v>
      </c>
      <c r="W1904">
        <v>7235</v>
      </c>
      <c r="X1904">
        <v>8840</v>
      </c>
      <c r="Y1904">
        <v>0</v>
      </c>
    </row>
    <row r="1905" spans="1:25" x14ac:dyDescent="0.3">
      <c r="A1905">
        <v>1904</v>
      </c>
      <c r="B1905">
        <v>310000</v>
      </c>
      <c r="C1905">
        <v>2</v>
      </c>
      <c r="D1905">
        <v>1</v>
      </c>
      <c r="E1905">
        <v>2</v>
      </c>
      <c r="F1905">
        <v>32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35064</v>
      </c>
      <c r="N1905">
        <v>38195</v>
      </c>
      <c r="O1905">
        <v>39233</v>
      </c>
      <c r="P1905">
        <v>39577</v>
      </c>
      <c r="Q1905">
        <v>42996</v>
      </c>
      <c r="R1905">
        <v>46319</v>
      </c>
      <c r="S1905">
        <v>4000</v>
      </c>
      <c r="T1905">
        <v>2000</v>
      </c>
      <c r="U1905">
        <v>2000</v>
      </c>
      <c r="V1905">
        <v>4000</v>
      </c>
      <c r="W1905">
        <v>4000</v>
      </c>
      <c r="X1905">
        <v>4000</v>
      </c>
      <c r="Y1905">
        <v>0</v>
      </c>
    </row>
    <row r="1906" spans="1:25" x14ac:dyDescent="0.3">
      <c r="A1906">
        <v>1905</v>
      </c>
      <c r="B1906">
        <v>580000</v>
      </c>
      <c r="C1906">
        <v>1</v>
      </c>
      <c r="D1906">
        <v>2</v>
      </c>
      <c r="E1906">
        <v>1</v>
      </c>
      <c r="F1906">
        <v>37</v>
      </c>
      <c r="G1906">
        <v>0</v>
      </c>
      <c r="H1906">
        <v>0</v>
      </c>
      <c r="I1906">
        <v>0</v>
      </c>
      <c r="J1906">
        <v>0</v>
      </c>
      <c r="K1906">
        <v>-1</v>
      </c>
      <c r="L1906">
        <v>-1</v>
      </c>
      <c r="M1906">
        <v>110417</v>
      </c>
      <c r="N1906">
        <v>89301</v>
      </c>
      <c r="O1906">
        <v>82057</v>
      </c>
      <c r="P1906">
        <v>27666</v>
      </c>
      <c r="Q1906">
        <v>20226</v>
      </c>
      <c r="R1906">
        <v>276422</v>
      </c>
      <c r="S1906">
        <v>3757</v>
      </c>
      <c r="T1906">
        <v>2299</v>
      </c>
      <c r="U1906">
        <v>618</v>
      </c>
      <c r="V1906">
        <v>2636</v>
      </c>
      <c r="W1906">
        <v>326889</v>
      </c>
      <c r="X1906">
        <v>8689</v>
      </c>
      <c r="Y1906">
        <v>0</v>
      </c>
    </row>
    <row r="1907" spans="1:25" x14ac:dyDescent="0.3">
      <c r="A1907">
        <v>1906</v>
      </c>
      <c r="B1907">
        <v>340000</v>
      </c>
      <c r="C1907">
        <v>2</v>
      </c>
      <c r="D1907">
        <v>1</v>
      </c>
      <c r="E1907">
        <v>1</v>
      </c>
      <c r="F1907">
        <v>36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185268</v>
      </c>
      <c r="N1907">
        <v>326074</v>
      </c>
      <c r="O1907">
        <v>276519</v>
      </c>
      <c r="P1907">
        <v>251815</v>
      </c>
      <c r="Q1907">
        <v>218706</v>
      </c>
      <c r="R1907">
        <v>165666</v>
      </c>
      <c r="S1907">
        <v>160444</v>
      </c>
      <c r="T1907">
        <v>10143</v>
      </c>
      <c r="U1907">
        <v>7190</v>
      </c>
      <c r="V1907">
        <v>6283</v>
      </c>
      <c r="W1907">
        <v>5208</v>
      </c>
      <c r="X1907">
        <v>4177</v>
      </c>
      <c r="Y1907">
        <v>0</v>
      </c>
    </row>
    <row r="1908" spans="1:25" x14ac:dyDescent="0.3">
      <c r="A1908">
        <v>1907</v>
      </c>
      <c r="B1908">
        <v>360000</v>
      </c>
      <c r="C1908">
        <v>2</v>
      </c>
      <c r="D1908">
        <v>2</v>
      </c>
      <c r="E1908">
        <v>1</v>
      </c>
      <c r="F1908">
        <v>42</v>
      </c>
      <c r="G1908">
        <v>-1</v>
      </c>
      <c r="H1908">
        <v>-1</v>
      </c>
      <c r="I1908">
        <v>-1</v>
      </c>
      <c r="J1908">
        <v>-1</v>
      </c>
      <c r="K1908">
        <v>-1</v>
      </c>
      <c r="L1908">
        <v>-1</v>
      </c>
      <c r="M1908">
        <v>22237</v>
      </c>
      <c r="N1908">
        <v>5683</v>
      </c>
      <c r="O1908">
        <v>1632</v>
      </c>
      <c r="P1908">
        <v>1632</v>
      </c>
      <c r="Q1908">
        <v>22379</v>
      </c>
      <c r="R1908">
        <v>8901</v>
      </c>
      <c r="S1908">
        <v>6695</v>
      </c>
      <c r="T1908">
        <v>1632</v>
      </c>
      <c r="U1908">
        <v>1632</v>
      </c>
      <c r="V1908">
        <v>22379</v>
      </c>
      <c r="W1908">
        <v>8901</v>
      </c>
      <c r="X1908">
        <v>4852</v>
      </c>
      <c r="Y1908">
        <v>0</v>
      </c>
    </row>
    <row r="1909" spans="1:25" x14ac:dyDescent="0.3">
      <c r="A1909">
        <v>1908</v>
      </c>
      <c r="B1909">
        <v>290000</v>
      </c>
      <c r="C1909">
        <v>2</v>
      </c>
      <c r="D1909">
        <v>1</v>
      </c>
      <c r="E1909">
        <v>2</v>
      </c>
      <c r="F1909">
        <v>29</v>
      </c>
      <c r="G1909">
        <v>-1</v>
      </c>
      <c r="H1909">
        <v>-1</v>
      </c>
      <c r="I1909">
        <v>-1</v>
      </c>
      <c r="J1909">
        <v>-1</v>
      </c>
      <c r="K1909">
        <v>-1</v>
      </c>
      <c r="L1909">
        <v>-1</v>
      </c>
      <c r="M1909">
        <v>578</v>
      </c>
      <c r="N1909">
        <v>7124</v>
      </c>
      <c r="O1909">
        <v>7620</v>
      </c>
      <c r="P1909">
        <v>0</v>
      </c>
      <c r="Q1909">
        <v>4788</v>
      </c>
      <c r="R1909">
        <v>0</v>
      </c>
      <c r="S1909">
        <v>7129</v>
      </c>
      <c r="T1909">
        <v>7620</v>
      </c>
      <c r="U1909">
        <v>0</v>
      </c>
      <c r="V1909">
        <v>4788</v>
      </c>
      <c r="W1909">
        <v>0</v>
      </c>
      <c r="X1909">
        <v>7026</v>
      </c>
      <c r="Y1909">
        <v>0</v>
      </c>
    </row>
    <row r="1910" spans="1:25" x14ac:dyDescent="0.3">
      <c r="A1910">
        <v>1909</v>
      </c>
      <c r="B1910">
        <v>30000</v>
      </c>
      <c r="C1910">
        <v>1</v>
      </c>
      <c r="D1910">
        <v>2</v>
      </c>
      <c r="E1910">
        <v>2</v>
      </c>
      <c r="F1910">
        <v>36</v>
      </c>
      <c r="G1910">
        <v>3</v>
      </c>
      <c r="H1910">
        <v>2</v>
      </c>
      <c r="I1910">
        <v>2</v>
      </c>
      <c r="J1910">
        <v>2</v>
      </c>
      <c r="K1910">
        <v>3</v>
      </c>
      <c r="L1910">
        <v>2</v>
      </c>
      <c r="M1910">
        <v>20424</v>
      </c>
      <c r="N1910">
        <v>19809</v>
      </c>
      <c r="O1910">
        <v>22478</v>
      </c>
      <c r="P1910">
        <v>24111</v>
      </c>
      <c r="Q1910">
        <v>23447</v>
      </c>
      <c r="R1910">
        <v>24951</v>
      </c>
      <c r="S1910">
        <v>0</v>
      </c>
      <c r="T1910">
        <v>3000</v>
      </c>
      <c r="U1910">
        <v>2300</v>
      </c>
      <c r="V1910">
        <v>0</v>
      </c>
      <c r="W1910">
        <v>2500</v>
      </c>
      <c r="X1910">
        <v>0</v>
      </c>
      <c r="Y1910">
        <v>0</v>
      </c>
    </row>
    <row r="1911" spans="1:25" x14ac:dyDescent="0.3">
      <c r="A1911">
        <v>1910</v>
      </c>
      <c r="B1911">
        <v>80000</v>
      </c>
      <c r="C1911">
        <v>2</v>
      </c>
      <c r="D1911">
        <v>1</v>
      </c>
      <c r="E1911">
        <v>2</v>
      </c>
      <c r="F1911">
        <v>29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26524</v>
      </c>
      <c r="N1911">
        <v>23224</v>
      </c>
      <c r="O1911">
        <v>23141</v>
      </c>
      <c r="P1911">
        <v>22160</v>
      </c>
      <c r="Q1911">
        <v>21478</v>
      </c>
      <c r="R1911">
        <v>20441</v>
      </c>
      <c r="S1911">
        <v>1500</v>
      </c>
      <c r="T1911">
        <v>1700</v>
      </c>
      <c r="U1911">
        <v>1000</v>
      </c>
      <c r="V1911">
        <v>1000</v>
      </c>
      <c r="W1911">
        <v>1000</v>
      </c>
      <c r="X1911">
        <v>1500</v>
      </c>
      <c r="Y1911">
        <v>0</v>
      </c>
    </row>
    <row r="1912" spans="1:25" x14ac:dyDescent="0.3">
      <c r="A1912">
        <v>1911</v>
      </c>
      <c r="B1912">
        <v>360000</v>
      </c>
      <c r="C1912">
        <v>1</v>
      </c>
      <c r="D1912">
        <v>1</v>
      </c>
      <c r="E1912">
        <v>1</v>
      </c>
      <c r="F1912">
        <v>38</v>
      </c>
      <c r="G1912">
        <v>-1</v>
      </c>
      <c r="H1912">
        <v>-1</v>
      </c>
      <c r="I1912">
        <v>-1</v>
      </c>
      <c r="J1912">
        <v>-1</v>
      </c>
      <c r="K1912">
        <v>-1</v>
      </c>
      <c r="L1912">
        <v>-1</v>
      </c>
      <c r="M1912">
        <v>780</v>
      </c>
      <c r="N1912">
        <v>0</v>
      </c>
      <c r="O1912">
        <v>390</v>
      </c>
      <c r="P1912">
        <v>390</v>
      </c>
      <c r="Q1912">
        <v>390</v>
      </c>
      <c r="R1912">
        <v>390</v>
      </c>
      <c r="S1912">
        <v>0</v>
      </c>
      <c r="T1912">
        <v>390</v>
      </c>
      <c r="U1912">
        <v>390</v>
      </c>
      <c r="V1912">
        <v>390</v>
      </c>
      <c r="W1912">
        <v>390</v>
      </c>
      <c r="X1912">
        <v>390</v>
      </c>
      <c r="Y1912">
        <v>1</v>
      </c>
    </row>
    <row r="1913" spans="1:25" x14ac:dyDescent="0.3">
      <c r="A1913">
        <v>1912</v>
      </c>
      <c r="B1913">
        <v>170000</v>
      </c>
      <c r="C1913">
        <v>2</v>
      </c>
      <c r="D1913">
        <v>1</v>
      </c>
      <c r="E1913">
        <v>2</v>
      </c>
      <c r="F1913">
        <v>31</v>
      </c>
      <c r="G1913">
        <v>-1</v>
      </c>
      <c r="H1913">
        <v>-1</v>
      </c>
      <c r="I1913">
        <v>-1</v>
      </c>
      <c r="J1913">
        <v>-1</v>
      </c>
      <c r="K1913">
        <v>-1</v>
      </c>
      <c r="L1913">
        <v>-1</v>
      </c>
      <c r="M1913">
        <v>1561</v>
      </c>
      <c r="N1913">
        <v>1239</v>
      </c>
      <c r="O1913">
        <v>7315</v>
      </c>
      <c r="P1913">
        <v>10730</v>
      </c>
      <c r="Q1913">
        <v>1686</v>
      </c>
      <c r="R1913">
        <v>9445</v>
      </c>
      <c r="S1913">
        <v>1239</v>
      </c>
      <c r="T1913">
        <v>7352</v>
      </c>
      <c r="U1913">
        <v>10730</v>
      </c>
      <c r="V1913">
        <v>1686</v>
      </c>
      <c r="W1913">
        <v>9445</v>
      </c>
      <c r="X1913">
        <v>3444</v>
      </c>
      <c r="Y1913">
        <v>0</v>
      </c>
    </row>
    <row r="1914" spans="1:25" x14ac:dyDescent="0.3">
      <c r="A1914">
        <v>1913</v>
      </c>
      <c r="B1914">
        <v>100000</v>
      </c>
      <c r="C1914">
        <v>1</v>
      </c>
      <c r="D1914">
        <v>2</v>
      </c>
      <c r="E1914">
        <v>1</v>
      </c>
      <c r="F1914">
        <v>42</v>
      </c>
      <c r="G1914">
        <v>0</v>
      </c>
      <c r="H1914">
        <v>0</v>
      </c>
      <c r="I1914">
        <v>0</v>
      </c>
      <c r="J1914">
        <v>0</v>
      </c>
      <c r="K1914">
        <v>2</v>
      </c>
      <c r="L1914">
        <v>0</v>
      </c>
      <c r="M1914">
        <v>56256</v>
      </c>
      <c r="N1914">
        <v>57685</v>
      </c>
      <c r="O1914">
        <v>58156</v>
      </c>
      <c r="P1914">
        <v>61103</v>
      </c>
      <c r="Q1914">
        <v>59358</v>
      </c>
      <c r="R1914">
        <v>60060</v>
      </c>
      <c r="S1914">
        <v>3000</v>
      </c>
      <c r="T1914">
        <v>2688</v>
      </c>
      <c r="U1914">
        <v>5163</v>
      </c>
      <c r="V1914">
        <v>0</v>
      </c>
      <c r="W1914">
        <v>2358</v>
      </c>
      <c r="X1914">
        <v>2472</v>
      </c>
      <c r="Y1914">
        <v>0</v>
      </c>
    </row>
    <row r="1915" spans="1:25" x14ac:dyDescent="0.3">
      <c r="A1915">
        <v>1914</v>
      </c>
      <c r="B1915">
        <v>450000</v>
      </c>
      <c r="C1915">
        <v>1</v>
      </c>
      <c r="D1915">
        <v>2</v>
      </c>
      <c r="E1915">
        <v>2</v>
      </c>
      <c r="F1915">
        <v>37</v>
      </c>
      <c r="G1915">
        <v>0</v>
      </c>
      <c r="H1915">
        <v>0</v>
      </c>
      <c r="I1915">
        <v>-1</v>
      </c>
      <c r="J1915">
        <v>-1</v>
      </c>
      <c r="K1915">
        <v>0</v>
      </c>
      <c r="L1915">
        <v>0</v>
      </c>
      <c r="M1915">
        <v>457627</v>
      </c>
      <c r="N1915">
        <v>38692</v>
      </c>
      <c r="O1915">
        <v>4549</v>
      </c>
      <c r="P1915">
        <v>16885</v>
      </c>
      <c r="Q1915">
        <v>6440</v>
      </c>
      <c r="R1915">
        <v>7440</v>
      </c>
      <c r="S1915">
        <v>1000</v>
      </c>
      <c r="T1915">
        <v>4549</v>
      </c>
      <c r="U1915">
        <v>16885</v>
      </c>
      <c r="V1915">
        <v>129</v>
      </c>
      <c r="W1915">
        <v>1000</v>
      </c>
      <c r="X1915">
        <v>0</v>
      </c>
      <c r="Y1915">
        <v>0</v>
      </c>
    </row>
    <row r="1916" spans="1:25" x14ac:dyDescent="0.3">
      <c r="A1916">
        <v>1915</v>
      </c>
      <c r="B1916">
        <v>260000</v>
      </c>
      <c r="C1916">
        <v>2</v>
      </c>
      <c r="D1916">
        <v>1</v>
      </c>
      <c r="E1916">
        <v>2</v>
      </c>
      <c r="F1916">
        <v>33</v>
      </c>
      <c r="G1916">
        <v>-2</v>
      </c>
      <c r="H1916">
        <v>-1</v>
      </c>
      <c r="I1916">
        <v>-1</v>
      </c>
      <c r="J1916">
        <v>-1</v>
      </c>
      <c r="K1916">
        <v>0</v>
      </c>
      <c r="L1916">
        <v>0</v>
      </c>
      <c r="M1916">
        <v>0</v>
      </c>
      <c r="N1916">
        <v>204</v>
      </c>
      <c r="O1916">
        <v>-810</v>
      </c>
      <c r="P1916">
        <v>2190</v>
      </c>
      <c r="Q1916">
        <v>810</v>
      </c>
      <c r="R1916">
        <v>0</v>
      </c>
      <c r="S1916">
        <v>204</v>
      </c>
      <c r="T1916">
        <v>0</v>
      </c>
      <c r="U1916">
        <v>3000</v>
      </c>
      <c r="V1916">
        <v>0</v>
      </c>
      <c r="W1916">
        <v>0</v>
      </c>
      <c r="X1916">
        <v>0</v>
      </c>
      <c r="Y1916">
        <v>0</v>
      </c>
    </row>
    <row r="1917" spans="1:25" x14ac:dyDescent="0.3">
      <c r="A1917">
        <v>1916</v>
      </c>
      <c r="B1917">
        <v>240000</v>
      </c>
      <c r="C1917">
        <v>2</v>
      </c>
      <c r="D1917">
        <v>1</v>
      </c>
      <c r="E1917">
        <v>2</v>
      </c>
      <c r="F1917">
        <v>29</v>
      </c>
      <c r="G1917">
        <v>0</v>
      </c>
      <c r="H1917">
        <v>0</v>
      </c>
      <c r="I1917">
        <v>0</v>
      </c>
      <c r="J1917">
        <v>-1</v>
      </c>
      <c r="K1917">
        <v>-1</v>
      </c>
      <c r="L1917">
        <v>-1</v>
      </c>
      <c r="M1917">
        <v>25700</v>
      </c>
      <c r="N1917">
        <v>28677</v>
      </c>
      <c r="O1917">
        <v>22081</v>
      </c>
      <c r="P1917">
        <v>3428</v>
      </c>
      <c r="Q1917">
        <v>67</v>
      </c>
      <c r="R1917">
        <v>1832</v>
      </c>
      <c r="S1917">
        <v>5009</v>
      </c>
      <c r="T1917">
        <v>2000</v>
      </c>
      <c r="U1917">
        <v>5000</v>
      </c>
      <c r="V1917">
        <v>0</v>
      </c>
      <c r="W1917">
        <v>3332</v>
      </c>
      <c r="X1917">
        <v>0</v>
      </c>
      <c r="Y1917">
        <v>0</v>
      </c>
    </row>
    <row r="1918" spans="1:25" x14ac:dyDescent="0.3">
      <c r="A1918">
        <v>1917</v>
      </c>
      <c r="B1918">
        <v>110000</v>
      </c>
      <c r="C1918">
        <v>2</v>
      </c>
      <c r="D1918">
        <v>2</v>
      </c>
      <c r="E1918">
        <v>2</v>
      </c>
      <c r="F1918">
        <v>28</v>
      </c>
      <c r="G1918">
        <v>0</v>
      </c>
      <c r="H1918">
        <v>0</v>
      </c>
      <c r="I1918">
        <v>0</v>
      </c>
      <c r="J1918">
        <v>-2</v>
      </c>
      <c r="K1918">
        <v>-2</v>
      </c>
      <c r="L1918">
        <v>-2</v>
      </c>
      <c r="M1918">
        <v>5660</v>
      </c>
      <c r="N1918">
        <v>1150</v>
      </c>
      <c r="O1918">
        <v>0</v>
      </c>
      <c r="P1918">
        <v>0</v>
      </c>
      <c r="Q1918">
        <v>0</v>
      </c>
      <c r="R1918">
        <v>0</v>
      </c>
      <c r="S1918">
        <v>2000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</row>
    <row r="1919" spans="1:25" x14ac:dyDescent="0.3">
      <c r="A1919">
        <v>1918</v>
      </c>
      <c r="B1919">
        <v>240000</v>
      </c>
      <c r="C1919">
        <v>2</v>
      </c>
      <c r="D1919">
        <v>2</v>
      </c>
      <c r="E1919">
        <v>2</v>
      </c>
      <c r="F1919">
        <v>26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184501</v>
      </c>
      <c r="N1919">
        <v>177846</v>
      </c>
      <c r="O1919">
        <v>167934</v>
      </c>
      <c r="P1919">
        <v>169133</v>
      </c>
      <c r="Q1919">
        <v>175175</v>
      </c>
      <c r="R1919">
        <v>146093</v>
      </c>
      <c r="S1919">
        <v>7627</v>
      </c>
      <c r="T1919">
        <v>6003</v>
      </c>
      <c r="U1919">
        <v>5504</v>
      </c>
      <c r="V1919">
        <v>10158</v>
      </c>
      <c r="W1919">
        <v>6000</v>
      </c>
      <c r="X1919">
        <v>6012</v>
      </c>
      <c r="Y1919">
        <v>0</v>
      </c>
    </row>
    <row r="1920" spans="1:25" x14ac:dyDescent="0.3">
      <c r="A1920">
        <v>1919</v>
      </c>
      <c r="B1920">
        <v>220000</v>
      </c>
      <c r="C1920">
        <v>2</v>
      </c>
      <c r="D1920">
        <v>2</v>
      </c>
      <c r="E1920">
        <v>2</v>
      </c>
      <c r="F1920">
        <v>35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34819</v>
      </c>
      <c r="N1920">
        <v>30937</v>
      </c>
      <c r="O1920">
        <v>30348</v>
      </c>
      <c r="P1920">
        <v>23459</v>
      </c>
      <c r="Q1920">
        <v>23200</v>
      </c>
      <c r="R1920">
        <v>21281</v>
      </c>
      <c r="S1920">
        <v>2006</v>
      </c>
      <c r="T1920">
        <v>2022</v>
      </c>
      <c r="U1920">
        <v>1002</v>
      </c>
      <c r="V1920">
        <v>1007</v>
      </c>
      <c r="W1920">
        <v>1000</v>
      </c>
      <c r="X1920">
        <v>1008</v>
      </c>
      <c r="Y1920">
        <v>0</v>
      </c>
    </row>
    <row r="1921" spans="1:25" x14ac:dyDescent="0.3">
      <c r="A1921">
        <v>1920</v>
      </c>
      <c r="B1921">
        <v>20000</v>
      </c>
      <c r="C1921">
        <v>1</v>
      </c>
      <c r="D1921">
        <v>2</v>
      </c>
      <c r="E1921">
        <v>1</v>
      </c>
      <c r="F1921">
        <v>33</v>
      </c>
      <c r="G1921">
        <v>0</v>
      </c>
      <c r="H1921">
        <v>0</v>
      </c>
      <c r="I1921">
        <v>0</v>
      </c>
      <c r="J1921">
        <v>-2</v>
      </c>
      <c r="K1921">
        <v>-2</v>
      </c>
      <c r="L1921">
        <v>-2</v>
      </c>
      <c r="M1921">
        <v>2508</v>
      </c>
      <c r="N1921">
        <v>3448</v>
      </c>
      <c r="O1921">
        <v>-202</v>
      </c>
      <c r="P1921">
        <v>-202</v>
      </c>
      <c r="Q1921">
        <v>950</v>
      </c>
      <c r="R1921">
        <v>0</v>
      </c>
      <c r="S1921">
        <v>1000</v>
      </c>
      <c r="T1921">
        <v>202</v>
      </c>
      <c r="U1921">
        <v>0</v>
      </c>
      <c r="V1921">
        <v>1152</v>
      </c>
      <c r="W1921">
        <v>0</v>
      </c>
      <c r="X1921">
        <v>1000</v>
      </c>
      <c r="Y1921">
        <v>0</v>
      </c>
    </row>
    <row r="1922" spans="1:25" x14ac:dyDescent="0.3">
      <c r="A1922">
        <v>1921</v>
      </c>
      <c r="B1922">
        <v>100000</v>
      </c>
      <c r="C1922">
        <v>2</v>
      </c>
      <c r="D1922">
        <v>1</v>
      </c>
      <c r="E1922">
        <v>1</v>
      </c>
      <c r="F1922">
        <v>51</v>
      </c>
      <c r="G1922">
        <v>1</v>
      </c>
      <c r="H1922">
        <v>-2</v>
      </c>
      <c r="I1922">
        <v>-2</v>
      </c>
      <c r="J1922">
        <v>-1</v>
      </c>
      <c r="K1922">
        <v>2</v>
      </c>
      <c r="L1922">
        <v>2</v>
      </c>
      <c r="M1922">
        <v>0</v>
      </c>
      <c r="N1922">
        <v>0</v>
      </c>
      <c r="O1922">
        <v>0</v>
      </c>
      <c r="P1922">
        <v>300</v>
      </c>
      <c r="Q1922">
        <v>150</v>
      </c>
      <c r="R1922">
        <v>780</v>
      </c>
      <c r="S1922">
        <v>0</v>
      </c>
      <c r="T1922">
        <v>0</v>
      </c>
      <c r="U1922">
        <v>300</v>
      </c>
      <c r="V1922">
        <v>0</v>
      </c>
      <c r="W1922">
        <v>630</v>
      </c>
      <c r="X1922">
        <v>0</v>
      </c>
      <c r="Y1922">
        <v>1</v>
      </c>
    </row>
    <row r="1923" spans="1:25" x14ac:dyDescent="0.3">
      <c r="A1923">
        <v>1922</v>
      </c>
      <c r="B1923">
        <v>300000</v>
      </c>
      <c r="C1923">
        <v>1</v>
      </c>
      <c r="D1923">
        <v>1</v>
      </c>
      <c r="E1923">
        <v>2</v>
      </c>
      <c r="F1923">
        <v>32</v>
      </c>
      <c r="G1923">
        <v>-2</v>
      </c>
      <c r="H1923">
        <v>-2</v>
      </c>
      <c r="I1923">
        <v>-2</v>
      </c>
      <c r="J1923">
        <v>-2</v>
      </c>
      <c r="K1923">
        <v>-2</v>
      </c>
      <c r="L1923">
        <v>-2</v>
      </c>
      <c r="M1923">
        <v>264</v>
      </c>
      <c r="N1923">
        <v>264</v>
      </c>
      <c r="O1923">
        <v>264</v>
      </c>
      <c r="P1923">
        <v>264</v>
      </c>
      <c r="Q1923">
        <v>414</v>
      </c>
      <c r="R1923">
        <v>264</v>
      </c>
      <c r="S1923">
        <v>264</v>
      </c>
      <c r="T1923">
        <v>264</v>
      </c>
      <c r="U1923">
        <v>264</v>
      </c>
      <c r="V1923">
        <v>414</v>
      </c>
      <c r="W1923">
        <v>264</v>
      </c>
      <c r="X1923">
        <v>264</v>
      </c>
      <c r="Y1923">
        <v>0</v>
      </c>
    </row>
    <row r="1924" spans="1:25" x14ac:dyDescent="0.3">
      <c r="A1924">
        <v>1923</v>
      </c>
      <c r="B1924">
        <v>20000</v>
      </c>
      <c r="C1924">
        <v>1</v>
      </c>
      <c r="D1924">
        <v>2</v>
      </c>
      <c r="E1924">
        <v>2</v>
      </c>
      <c r="F1924">
        <v>33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-1</v>
      </c>
      <c r="M1924">
        <v>8488</v>
      </c>
      <c r="N1924">
        <v>10179</v>
      </c>
      <c r="O1924">
        <v>11901</v>
      </c>
      <c r="P1924">
        <v>11901</v>
      </c>
      <c r="Q1924">
        <v>9336</v>
      </c>
      <c r="R1924">
        <v>9054</v>
      </c>
      <c r="S1924">
        <v>2000</v>
      </c>
      <c r="T1924">
        <v>2000</v>
      </c>
      <c r="U1924">
        <v>0</v>
      </c>
      <c r="V1924">
        <v>0</v>
      </c>
      <c r="W1924">
        <v>9054</v>
      </c>
      <c r="X1924">
        <v>2000</v>
      </c>
      <c r="Y1924">
        <v>1</v>
      </c>
    </row>
    <row r="1925" spans="1:25" x14ac:dyDescent="0.3">
      <c r="A1925">
        <v>1924</v>
      </c>
      <c r="B1925">
        <v>360000</v>
      </c>
      <c r="C1925">
        <v>2</v>
      </c>
      <c r="D1925">
        <v>1</v>
      </c>
      <c r="E1925">
        <v>2</v>
      </c>
      <c r="F1925">
        <v>30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139762</v>
      </c>
      <c r="N1925">
        <v>143515</v>
      </c>
      <c r="O1925">
        <v>147037</v>
      </c>
      <c r="P1925">
        <v>146117</v>
      </c>
      <c r="Q1925">
        <v>145884</v>
      </c>
      <c r="R1925">
        <v>147645</v>
      </c>
      <c r="S1925">
        <v>6000</v>
      </c>
      <c r="T1925">
        <v>6000</v>
      </c>
      <c r="U1925">
        <v>4818</v>
      </c>
      <c r="V1925">
        <v>5000</v>
      </c>
      <c r="W1925">
        <v>5000</v>
      </c>
      <c r="X1925">
        <v>4500</v>
      </c>
      <c r="Y1925">
        <v>0</v>
      </c>
    </row>
    <row r="1926" spans="1:25" x14ac:dyDescent="0.3">
      <c r="A1926">
        <v>1925</v>
      </c>
      <c r="B1926">
        <v>220000</v>
      </c>
      <c r="C1926">
        <v>1</v>
      </c>
      <c r="D1926">
        <v>1</v>
      </c>
      <c r="E1926">
        <v>2</v>
      </c>
      <c r="F1926">
        <v>28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221268</v>
      </c>
      <c r="N1926">
        <v>219545</v>
      </c>
      <c r="O1926">
        <v>216317</v>
      </c>
      <c r="P1926">
        <v>181012</v>
      </c>
      <c r="Q1926">
        <v>181435</v>
      </c>
      <c r="R1926">
        <v>183283</v>
      </c>
      <c r="S1926">
        <v>8700</v>
      </c>
      <c r="T1926">
        <v>8500</v>
      </c>
      <c r="U1926">
        <v>6300</v>
      </c>
      <c r="V1926">
        <v>6700</v>
      </c>
      <c r="W1926">
        <v>7200</v>
      </c>
      <c r="X1926">
        <v>5300</v>
      </c>
      <c r="Y1926">
        <v>1</v>
      </c>
    </row>
    <row r="1927" spans="1:25" x14ac:dyDescent="0.3">
      <c r="A1927">
        <v>1926</v>
      </c>
      <c r="B1927">
        <v>470000</v>
      </c>
      <c r="C1927">
        <v>2</v>
      </c>
      <c r="D1927">
        <v>2</v>
      </c>
      <c r="E1927">
        <v>2</v>
      </c>
      <c r="F1927">
        <v>26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169699</v>
      </c>
      <c r="N1927">
        <v>170309</v>
      </c>
      <c r="O1927">
        <v>167876</v>
      </c>
      <c r="P1927">
        <v>170610</v>
      </c>
      <c r="Q1927">
        <v>173643</v>
      </c>
      <c r="R1927">
        <v>178083</v>
      </c>
      <c r="S1927">
        <v>6200</v>
      </c>
      <c r="T1927">
        <v>7000</v>
      </c>
      <c r="U1927">
        <v>5716</v>
      </c>
      <c r="V1927">
        <v>5982</v>
      </c>
      <c r="W1927">
        <v>7000</v>
      </c>
      <c r="X1927">
        <v>5500</v>
      </c>
      <c r="Y1927">
        <v>0</v>
      </c>
    </row>
    <row r="1928" spans="1:25" x14ac:dyDescent="0.3">
      <c r="A1928">
        <v>1927</v>
      </c>
      <c r="B1928">
        <v>70000</v>
      </c>
      <c r="C1928">
        <v>2</v>
      </c>
      <c r="D1928">
        <v>2</v>
      </c>
      <c r="E1928">
        <v>2</v>
      </c>
      <c r="F1928">
        <v>22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65793</v>
      </c>
      <c r="N1928">
        <v>26665</v>
      </c>
      <c r="O1928">
        <v>22630</v>
      </c>
      <c r="P1928">
        <v>14573</v>
      </c>
      <c r="Q1928">
        <v>15127</v>
      </c>
      <c r="R1928">
        <v>12596</v>
      </c>
      <c r="S1928">
        <v>2000</v>
      </c>
      <c r="T1928">
        <v>1400</v>
      </c>
      <c r="U1928">
        <v>291</v>
      </c>
      <c r="V1928">
        <v>1500</v>
      </c>
      <c r="W1928">
        <v>5000</v>
      </c>
      <c r="X1928">
        <v>2000</v>
      </c>
      <c r="Y1928">
        <v>0</v>
      </c>
    </row>
    <row r="1929" spans="1:25" x14ac:dyDescent="0.3">
      <c r="A1929">
        <v>1928</v>
      </c>
      <c r="B1929">
        <v>120000</v>
      </c>
      <c r="C1929">
        <v>2</v>
      </c>
      <c r="D1929">
        <v>1</v>
      </c>
      <c r="E1929">
        <v>2</v>
      </c>
      <c r="F1929">
        <v>26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10172</v>
      </c>
      <c r="N1929">
        <v>12400</v>
      </c>
      <c r="O1929">
        <v>14256</v>
      </c>
      <c r="P1929">
        <v>16859</v>
      </c>
      <c r="Q1929">
        <v>17477</v>
      </c>
      <c r="R1929">
        <v>21588</v>
      </c>
      <c r="S1929">
        <v>3000</v>
      </c>
      <c r="T1929">
        <v>3000</v>
      </c>
      <c r="U1929">
        <v>4000</v>
      </c>
      <c r="V1929">
        <v>4000</v>
      </c>
      <c r="W1929">
        <v>5000</v>
      </c>
      <c r="X1929">
        <v>5000</v>
      </c>
      <c r="Y1929">
        <v>0</v>
      </c>
    </row>
    <row r="1930" spans="1:25" x14ac:dyDescent="0.3">
      <c r="A1930">
        <v>1929</v>
      </c>
      <c r="B1930">
        <v>50000</v>
      </c>
      <c r="C1930">
        <v>1</v>
      </c>
      <c r="D1930">
        <v>2</v>
      </c>
      <c r="E1930">
        <v>2</v>
      </c>
      <c r="F1930">
        <v>35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18510</v>
      </c>
      <c r="N1930">
        <v>19418</v>
      </c>
      <c r="O1930">
        <v>21097</v>
      </c>
      <c r="P1930">
        <v>21759</v>
      </c>
      <c r="Q1930">
        <v>22421</v>
      </c>
      <c r="R1930">
        <v>23061</v>
      </c>
      <c r="S1930">
        <v>1500</v>
      </c>
      <c r="T1930">
        <v>2000</v>
      </c>
      <c r="U1930">
        <v>1000</v>
      </c>
      <c r="V1930">
        <v>1000</v>
      </c>
      <c r="W1930">
        <v>1000</v>
      </c>
      <c r="X1930">
        <v>1203</v>
      </c>
      <c r="Y1930">
        <v>0</v>
      </c>
    </row>
    <row r="1931" spans="1:25" x14ac:dyDescent="0.3">
      <c r="A1931">
        <v>1930</v>
      </c>
      <c r="B1931">
        <v>470000</v>
      </c>
      <c r="C1931">
        <v>1</v>
      </c>
      <c r="D1931">
        <v>2</v>
      </c>
      <c r="E1931">
        <v>1</v>
      </c>
      <c r="F1931">
        <v>49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169260</v>
      </c>
      <c r="N1931">
        <v>161760</v>
      </c>
      <c r="O1931">
        <v>154424</v>
      </c>
      <c r="P1931">
        <v>147137</v>
      </c>
      <c r="Q1931">
        <v>138240</v>
      </c>
      <c r="R1931">
        <v>125866</v>
      </c>
      <c r="S1931">
        <v>6600</v>
      </c>
      <c r="T1931">
        <v>6170</v>
      </c>
      <c r="U1931">
        <v>5100</v>
      </c>
      <c r="V1931">
        <v>4726</v>
      </c>
      <c r="W1931">
        <v>4555</v>
      </c>
      <c r="X1931">
        <v>4375</v>
      </c>
      <c r="Y1931">
        <v>0</v>
      </c>
    </row>
    <row r="1932" spans="1:25" x14ac:dyDescent="0.3">
      <c r="A1932">
        <v>1931</v>
      </c>
      <c r="B1932">
        <v>130000</v>
      </c>
      <c r="C1932">
        <v>1</v>
      </c>
      <c r="D1932">
        <v>2</v>
      </c>
      <c r="E1932">
        <v>1</v>
      </c>
      <c r="F1932">
        <v>49</v>
      </c>
      <c r="G1932">
        <v>0</v>
      </c>
      <c r="H1932">
        <v>0</v>
      </c>
      <c r="I1932">
        <v>0</v>
      </c>
      <c r="J1932">
        <v>0</v>
      </c>
      <c r="K1932">
        <v>-1</v>
      </c>
      <c r="L1932">
        <v>-1</v>
      </c>
      <c r="M1932">
        <v>24008</v>
      </c>
      <c r="N1932">
        <v>21231</v>
      </c>
      <c r="O1932">
        <v>14323</v>
      </c>
      <c r="P1932">
        <v>7722</v>
      </c>
      <c r="Q1932">
        <v>4689</v>
      </c>
      <c r="R1932">
        <v>-3614</v>
      </c>
      <c r="S1932">
        <v>3000</v>
      </c>
      <c r="T1932">
        <v>5000</v>
      </c>
      <c r="U1932">
        <v>2822</v>
      </c>
      <c r="V1932">
        <v>5000</v>
      </c>
      <c r="W1932">
        <v>0</v>
      </c>
      <c r="X1932">
        <v>6500</v>
      </c>
      <c r="Y1932">
        <v>0</v>
      </c>
    </row>
    <row r="1933" spans="1:25" x14ac:dyDescent="0.3">
      <c r="A1933">
        <v>1932</v>
      </c>
      <c r="B1933">
        <v>20000</v>
      </c>
      <c r="C1933">
        <v>2</v>
      </c>
      <c r="D1933">
        <v>1</v>
      </c>
      <c r="E1933">
        <v>2</v>
      </c>
      <c r="F1933">
        <v>24</v>
      </c>
      <c r="G1933">
        <v>-1</v>
      </c>
      <c r="H1933">
        <v>-1</v>
      </c>
      <c r="I1933">
        <v>-1</v>
      </c>
      <c r="J1933">
        <v>2</v>
      </c>
      <c r="K1933">
        <v>2</v>
      </c>
      <c r="L1933">
        <v>2</v>
      </c>
      <c r="M1933">
        <v>390</v>
      </c>
      <c r="N1933">
        <v>707</v>
      </c>
      <c r="O1933">
        <v>1320</v>
      </c>
      <c r="P1933">
        <v>930</v>
      </c>
      <c r="Q1933">
        <v>780</v>
      </c>
      <c r="R1933">
        <v>240</v>
      </c>
      <c r="S1933">
        <v>1097</v>
      </c>
      <c r="T1933">
        <v>1003</v>
      </c>
      <c r="U1933">
        <v>0</v>
      </c>
      <c r="V1933">
        <v>240</v>
      </c>
      <c r="W1933">
        <v>0</v>
      </c>
      <c r="X1933">
        <v>780</v>
      </c>
      <c r="Y1933">
        <v>1</v>
      </c>
    </row>
    <row r="1934" spans="1:25" x14ac:dyDescent="0.3">
      <c r="A1934">
        <v>1933</v>
      </c>
      <c r="B1934">
        <v>260000</v>
      </c>
      <c r="C1934">
        <v>2</v>
      </c>
      <c r="D1934">
        <v>1</v>
      </c>
      <c r="E1934">
        <v>2</v>
      </c>
      <c r="F1934">
        <v>36</v>
      </c>
      <c r="G1934">
        <v>-2</v>
      </c>
      <c r="H1934">
        <v>-2</v>
      </c>
      <c r="I1934">
        <v>-2</v>
      </c>
      <c r="J1934">
        <v>-2</v>
      </c>
      <c r="K1934">
        <v>-1</v>
      </c>
      <c r="L1934">
        <v>-1</v>
      </c>
      <c r="M1934">
        <v>1891</v>
      </c>
      <c r="N1934">
        <v>2438</v>
      </c>
      <c r="O1934">
        <v>2280</v>
      </c>
      <c r="P1934">
        <v>746</v>
      </c>
      <c r="Q1934">
        <v>1989</v>
      </c>
      <c r="R1934">
        <v>1668</v>
      </c>
      <c r="S1934">
        <v>2637</v>
      </c>
      <c r="T1934">
        <v>2280</v>
      </c>
      <c r="U1934">
        <v>746</v>
      </c>
      <c r="V1934">
        <v>1989</v>
      </c>
      <c r="W1934">
        <v>1668</v>
      </c>
      <c r="X1934">
        <v>2605</v>
      </c>
      <c r="Y1934">
        <v>0</v>
      </c>
    </row>
    <row r="1935" spans="1:25" x14ac:dyDescent="0.3">
      <c r="A1935">
        <v>1934</v>
      </c>
      <c r="B1935">
        <v>20000</v>
      </c>
      <c r="C1935">
        <v>1</v>
      </c>
      <c r="D1935">
        <v>1</v>
      </c>
      <c r="E1935">
        <v>1</v>
      </c>
      <c r="F1935">
        <v>39</v>
      </c>
      <c r="G1935">
        <v>-1</v>
      </c>
      <c r="H1935">
        <v>-1</v>
      </c>
      <c r="I1935">
        <v>-1</v>
      </c>
      <c r="J1935">
        <v>-1</v>
      </c>
      <c r="K1935">
        <v>-1</v>
      </c>
      <c r="L1935">
        <v>-1</v>
      </c>
      <c r="M1935">
        <v>628</v>
      </c>
      <c r="N1935">
        <v>662</v>
      </c>
      <c r="O1935">
        <v>596</v>
      </c>
      <c r="P1935">
        <v>630</v>
      </c>
      <c r="Q1935">
        <v>664</v>
      </c>
      <c r="R1935">
        <v>598</v>
      </c>
      <c r="S1935">
        <v>700</v>
      </c>
      <c r="T1935">
        <v>600</v>
      </c>
      <c r="U1935">
        <v>700</v>
      </c>
      <c r="V1935">
        <v>700</v>
      </c>
      <c r="W1935">
        <v>600</v>
      </c>
      <c r="X1935">
        <v>1400</v>
      </c>
      <c r="Y1935">
        <v>0</v>
      </c>
    </row>
    <row r="1936" spans="1:25" x14ac:dyDescent="0.3">
      <c r="A1936">
        <v>1935</v>
      </c>
      <c r="B1936">
        <v>300000</v>
      </c>
      <c r="C1936">
        <v>2</v>
      </c>
      <c r="D1936">
        <v>1</v>
      </c>
      <c r="E1936">
        <v>2</v>
      </c>
      <c r="F1936">
        <v>28</v>
      </c>
      <c r="G1936">
        <v>2</v>
      </c>
      <c r="H1936">
        <v>-1</v>
      </c>
      <c r="I1936">
        <v>-1</v>
      </c>
      <c r="J1936">
        <v>0</v>
      </c>
      <c r="K1936">
        <v>0</v>
      </c>
      <c r="L1936">
        <v>-2</v>
      </c>
      <c r="M1936">
        <v>1314</v>
      </c>
      <c r="N1936">
        <v>168</v>
      </c>
      <c r="O1936">
        <v>1080</v>
      </c>
      <c r="P1936">
        <v>1080</v>
      </c>
      <c r="Q1936">
        <v>0</v>
      </c>
      <c r="R1936">
        <v>0</v>
      </c>
      <c r="S1936">
        <v>170</v>
      </c>
      <c r="T1936">
        <v>1080</v>
      </c>
      <c r="U1936">
        <v>0</v>
      </c>
      <c r="V1936">
        <v>0</v>
      </c>
      <c r="W1936">
        <v>0</v>
      </c>
      <c r="X1936">
        <v>2500</v>
      </c>
      <c r="Y1936">
        <v>1</v>
      </c>
    </row>
    <row r="1937" spans="1:25" x14ac:dyDescent="0.3">
      <c r="A1937">
        <v>1936</v>
      </c>
      <c r="B1937">
        <v>460000</v>
      </c>
      <c r="C1937">
        <v>2</v>
      </c>
      <c r="D1937">
        <v>2</v>
      </c>
      <c r="E1937">
        <v>2</v>
      </c>
      <c r="F1937">
        <v>35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449790</v>
      </c>
      <c r="N1937">
        <v>450047</v>
      </c>
      <c r="O1937">
        <v>453770</v>
      </c>
      <c r="P1937">
        <v>396600</v>
      </c>
      <c r="Q1937">
        <v>392879</v>
      </c>
      <c r="R1937">
        <v>398478</v>
      </c>
      <c r="S1937">
        <v>17610</v>
      </c>
      <c r="T1937">
        <v>17500</v>
      </c>
      <c r="U1937">
        <v>13810</v>
      </c>
      <c r="V1937">
        <v>14100</v>
      </c>
      <c r="W1937">
        <v>14520</v>
      </c>
      <c r="X1937">
        <v>15000</v>
      </c>
      <c r="Y1937">
        <v>0</v>
      </c>
    </row>
    <row r="1938" spans="1:25" x14ac:dyDescent="0.3">
      <c r="A1938">
        <v>1937</v>
      </c>
      <c r="B1938">
        <v>20000</v>
      </c>
      <c r="C1938">
        <v>2</v>
      </c>
      <c r="D1938">
        <v>1</v>
      </c>
      <c r="E1938">
        <v>2</v>
      </c>
      <c r="F1938">
        <v>24</v>
      </c>
      <c r="G1938">
        <v>1</v>
      </c>
      <c r="H1938">
        <v>-1</v>
      </c>
      <c r="I1938">
        <v>-1</v>
      </c>
      <c r="J1938">
        <v>-1</v>
      </c>
      <c r="K1938">
        <v>2</v>
      </c>
      <c r="L1938">
        <v>2</v>
      </c>
      <c r="M1938">
        <v>0</v>
      </c>
      <c r="N1938">
        <v>20087</v>
      </c>
      <c r="O1938">
        <v>2110</v>
      </c>
      <c r="P1938">
        <v>300</v>
      </c>
      <c r="Q1938">
        <v>150</v>
      </c>
      <c r="R1938">
        <v>650</v>
      </c>
      <c r="S1938">
        <v>20087</v>
      </c>
      <c r="T1938">
        <v>2200</v>
      </c>
      <c r="U1938">
        <v>600</v>
      </c>
      <c r="V1938">
        <v>0</v>
      </c>
      <c r="W1938">
        <v>500</v>
      </c>
      <c r="X1938">
        <v>0</v>
      </c>
      <c r="Y1938">
        <v>1</v>
      </c>
    </row>
    <row r="1939" spans="1:25" x14ac:dyDescent="0.3">
      <c r="A1939">
        <v>1938</v>
      </c>
      <c r="B1939">
        <v>360000</v>
      </c>
      <c r="C1939">
        <v>2</v>
      </c>
      <c r="D1939">
        <v>2</v>
      </c>
      <c r="E1939">
        <v>2</v>
      </c>
      <c r="F1939">
        <v>27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238971</v>
      </c>
      <c r="N1939">
        <v>245515</v>
      </c>
      <c r="O1939">
        <v>248969</v>
      </c>
      <c r="P1939">
        <v>253896</v>
      </c>
      <c r="Q1939">
        <v>259403</v>
      </c>
      <c r="R1939">
        <v>264352</v>
      </c>
      <c r="S1939">
        <v>10381</v>
      </c>
      <c r="T1939">
        <v>9036</v>
      </c>
      <c r="U1939">
        <v>9066</v>
      </c>
      <c r="V1939">
        <v>9576</v>
      </c>
      <c r="W1939">
        <v>9426</v>
      </c>
      <c r="X1939">
        <v>9435</v>
      </c>
      <c r="Y1939">
        <v>1</v>
      </c>
    </row>
    <row r="1940" spans="1:25" x14ac:dyDescent="0.3">
      <c r="A1940">
        <v>1939</v>
      </c>
      <c r="B1940">
        <v>290000</v>
      </c>
      <c r="C1940">
        <v>1</v>
      </c>
      <c r="D1940">
        <v>1</v>
      </c>
      <c r="E1940">
        <v>1</v>
      </c>
      <c r="F1940">
        <v>40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98441</v>
      </c>
      <c r="N1940">
        <v>95169</v>
      </c>
      <c r="O1940">
        <v>93718</v>
      </c>
      <c r="P1940">
        <v>89712</v>
      </c>
      <c r="Q1940">
        <v>82809</v>
      </c>
      <c r="R1940">
        <v>76334</v>
      </c>
      <c r="S1940">
        <v>4000</v>
      </c>
      <c r="T1940">
        <v>4250</v>
      </c>
      <c r="U1940">
        <v>5000</v>
      </c>
      <c r="V1940">
        <v>3241</v>
      </c>
      <c r="W1940">
        <v>3500</v>
      </c>
      <c r="X1940">
        <v>7000</v>
      </c>
      <c r="Y1940">
        <v>0</v>
      </c>
    </row>
    <row r="1941" spans="1:25" x14ac:dyDescent="0.3">
      <c r="A1941">
        <v>1940</v>
      </c>
      <c r="B1941">
        <v>90000</v>
      </c>
      <c r="C1941">
        <v>1</v>
      </c>
      <c r="D1941">
        <v>1</v>
      </c>
      <c r="E1941">
        <v>1</v>
      </c>
      <c r="F1941">
        <v>30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38921</v>
      </c>
      <c r="N1941">
        <v>45577</v>
      </c>
      <c r="O1941">
        <v>46496</v>
      </c>
      <c r="P1941">
        <v>40244</v>
      </c>
      <c r="Q1941">
        <v>39903</v>
      </c>
      <c r="R1941">
        <v>8629</v>
      </c>
      <c r="S1941">
        <v>12000</v>
      </c>
      <c r="T1941">
        <v>5000</v>
      </c>
      <c r="U1941">
        <v>3000</v>
      </c>
      <c r="V1941">
        <v>10000</v>
      </c>
      <c r="W1941">
        <v>1000</v>
      </c>
      <c r="X1941">
        <v>1838</v>
      </c>
      <c r="Y1941">
        <v>0</v>
      </c>
    </row>
    <row r="1942" spans="1:25" x14ac:dyDescent="0.3">
      <c r="A1942">
        <v>1941</v>
      </c>
      <c r="B1942">
        <v>180000</v>
      </c>
      <c r="C1942">
        <v>2</v>
      </c>
      <c r="D1942">
        <v>1</v>
      </c>
      <c r="E1942">
        <v>2</v>
      </c>
      <c r="F1942">
        <v>26</v>
      </c>
      <c r="G1942">
        <v>-1</v>
      </c>
      <c r="H1942">
        <v>-1</v>
      </c>
      <c r="I1942">
        <v>-1</v>
      </c>
      <c r="J1942">
        <v>-1</v>
      </c>
      <c r="K1942">
        <v>-1</v>
      </c>
      <c r="L1942">
        <v>-1</v>
      </c>
      <c r="M1942">
        <v>2049</v>
      </c>
      <c r="N1942">
        <v>0</v>
      </c>
      <c r="O1942">
        <v>351</v>
      </c>
      <c r="P1942">
        <v>631</v>
      </c>
      <c r="Q1942">
        <v>13359</v>
      </c>
      <c r="R1942">
        <v>384</v>
      </c>
      <c r="S1942">
        <v>0</v>
      </c>
      <c r="T1942">
        <v>351</v>
      </c>
      <c r="U1942">
        <v>631</v>
      </c>
      <c r="V1942">
        <v>13359</v>
      </c>
      <c r="W1942">
        <v>384</v>
      </c>
      <c r="X1942">
        <v>487</v>
      </c>
      <c r="Y1942">
        <v>0</v>
      </c>
    </row>
    <row r="1943" spans="1:25" x14ac:dyDescent="0.3">
      <c r="A1943">
        <v>1942</v>
      </c>
      <c r="B1943">
        <v>360000</v>
      </c>
      <c r="C1943">
        <v>1</v>
      </c>
      <c r="D1943">
        <v>3</v>
      </c>
      <c r="E1943">
        <v>1</v>
      </c>
      <c r="F1943">
        <v>53</v>
      </c>
      <c r="G1943">
        <v>-2</v>
      </c>
      <c r="H1943">
        <v>-2</v>
      </c>
      <c r="I1943">
        <v>-2</v>
      </c>
      <c r="J1943">
        <v>-2</v>
      </c>
      <c r="K1943">
        <v>-2</v>
      </c>
      <c r="L1943">
        <v>-2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</row>
    <row r="1944" spans="1:25" x14ac:dyDescent="0.3">
      <c r="A1944">
        <v>1943</v>
      </c>
      <c r="B1944">
        <v>120000</v>
      </c>
      <c r="C1944">
        <v>1</v>
      </c>
      <c r="D1944">
        <v>1</v>
      </c>
      <c r="E1944">
        <v>1</v>
      </c>
      <c r="F1944">
        <v>45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20877</v>
      </c>
      <c r="N1944">
        <v>21909</v>
      </c>
      <c r="O1944">
        <v>22922</v>
      </c>
      <c r="P1944">
        <v>23376</v>
      </c>
      <c r="Q1944">
        <v>23866</v>
      </c>
      <c r="R1944">
        <v>24339</v>
      </c>
      <c r="S1944">
        <v>1369</v>
      </c>
      <c r="T1944">
        <v>1382</v>
      </c>
      <c r="U1944">
        <v>836</v>
      </c>
      <c r="V1944">
        <v>866</v>
      </c>
      <c r="W1944">
        <v>870</v>
      </c>
      <c r="X1944">
        <v>902</v>
      </c>
      <c r="Y1944">
        <v>0</v>
      </c>
    </row>
    <row r="1945" spans="1:25" x14ac:dyDescent="0.3">
      <c r="A1945">
        <v>1944</v>
      </c>
      <c r="B1945">
        <v>220000</v>
      </c>
      <c r="C1945">
        <v>1</v>
      </c>
      <c r="D1945">
        <v>2</v>
      </c>
      <c r="E1945">
        <v>2</v>
      </c>
      <c r="F1945">
        <v>30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217800</v>
      </c>
      <c r="N1945">
        <v>189016</v>
      </c>
      <c r="O1945">
        <v>137788</v>
      </c>
      <c r="P1945">
        <v>106713</v>
      </c>
      <c r="Q1945">
        <v>96588</v>
      </c>
      <c r="R1945">
        <v>22743</v>
      </c>
      <c r="S1945">
        <v>7261</v>
      </c>
      <c r="T1945">
        <v>5170</v>
      </c>
      <c r="U1945">
        <v>4054</v>
      </c>
      <c r="V1945">
        <v>4500</v>
      </c>
      <c r="W1945">
        <v>1225</v>
      </c>
      <c r="X1945">
        <v>110000</v>
      </c>
      <c r="Y1945">
        <v>0</v>
      </c>
    </row>
    <row r="1946" spans="1:25" x14ac:dyDescent="0.3">
      <c r="A1946">
        <v>1945</v>
      </c>
      <c r="B1946">
        <v>220000</v>
      </c>
      <c r="C1946">
        <v>1</v>
      </c>
      <c r="D1946">
        <v>1</v>
      </c>
      <c r="E1946">
        <v>2</v>
      </c>
      <c r="F1946">
        <v>34</v>
      </c>
      <c r="G1946">
        <v>2</v>
      </c>
      <c r="H1946">
        <v>2</v>
      </c>
      <c r="I1946">
        <v>0</v>
      </c>
      <c r="J1946">
        <v>0</v>
      </c>
      <c r="K1946">
        <v>0</v>
      </c>
      <c r="L1946">
        <v>2</v>
      </c>
      <c r="M1946">
        <v>203101</v>
      </c>
      <c r="N1946">
        <v>185384</v>
      </c>
      <c r="O1946">
        <v>149839</v>
      </c>
      <c r="P1946">
        <v>142404</v>
      </c>
      <c r="Q1946">
        <v>120918</v>
      </c>
      <c r="R1946">
        <v>87005</v>
      </c>
      <c r="S1946">
        <v>311</v>
      </c>
      <c r="T1946">
        <v>38024</v>
      </c>
      <c r="U1946">
        <v>8105</v>
      </c>
      <c r="V1946">
        <v>10117</v>
      </c>
      <c r="W1946">
        <v>37</v>
      </c>
      <c r="X1946">
        <v>5264</v>
      </c>
      <c r="Y1946">
        <v>1</v>
      </c>
    </row>
    <row r="1947" spans="1:25" x14ac:dyDescent="0.3">
      <c r="A1947">
        <v>1946</v>
      </c>
      <c r="B1947">
        <v>10000</v>
      </c>
      <c r="C1947">
        <v>2</v>
      </c>
      <c r="D1947">
        <v>1</v>
      </c>
      <c r="E1947">
        <v>2</v>
      </c>
      <c r="F1947">
        <v>27</v>
      </c>
      <c r="G1947">
        <v>-1</v>
      </c>
      <c r="H1947">
        <v>-1</v>
      </c>
      <c r="I1947">
        <v>-2</v>
      </c>
      <c r="J1947">
        <v>-2</v>
      </c>
      <c r="K1947">
        <v>-2</v>
      </c>
      <c r="L1947">
        <v>-2</v>
      </c>
      <c r="M1947">
        <v>499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1</v>
      </c>
    </row>
    <row r="1948" spans="1:25" x14ac:dyDescent="0.3">
      <c r="A1948">
        <v>1947</v>
      </c>
      <c r="B1948">
        <v>320000</v>
      </c>
      <c r="C1948">
        <v>2</v>
      </c>
      <c r="D1948">
        <v>2</v>
      </c>
      <c r="E1948">
        <v>2</v>
      </c>
      <c r="F1948">
        <v>31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104850</v>
      </c>
      <c r="N1948">
        <v>101705</v>
      </c>
      <c r="O1948">
        <v>93489</v>
      </c>
      <c r="P1948">
        <v>95033</v>
      </c>
      <c r="Q1948">
        <v>96941</v>
      </c>
      <c r="R1948">
        <v>108463</v>
      </c>
      <c r="S1948">
        <v>3600</v>
      </c>
      <c r="T1948">
        <v>4277</v>
      </c>
      <c r="U1948">
        <v>4000</v>
      </c>
      <c r="V1948">
        <v>3600</v>
      </c>
      <c r="W1948">
        <v>13203</v>
      </c>
      <c r="X1948">
        <v>4500</v>
      </c>
      <c r="Y1948">
        <v>0</v>
      </c>
    </row>
    <row r="1949" spans="1:25" x14ac:dyDescent="0.3">
      <c r="A1949">
        <v>1948</v>
      </c>
      <c r="B1949">
        <v>320000</v>
      </c>
      <c r="C1949">
        <v>1</v>
      </c>
      <c r="D1949">
        <v>1</v>
      </c>
      <c r="E1949">
        <v>1</v>
      </c>
      <c r="F1949">
        <v>33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325445</v>
      </c>
      <c r="N1949">
        <v>202853</v>
      </c>
      <c r="O1949">
        <v>57051</v>
      </c>
      <c r="P1949">
        <v>161651</v>
      </c>
      <c r="Q1949">
        <v>182265</v>
      </c>
      <c r="R1949">
        <v>0</v>
      </c>
      <c r="S1949">
        <v>10000</v>
      </c>
      <c r="T1949">
        <v>15000</v>
      </c>
      <c r="U1949">
        <v>105000</v>
      </c>
      <c r="V1949">
        <v>55000</v>
      </c>
      <c r="W1949">
        <v>0</v>
      </c>
      <c r="X1949">
        <v>0</v>
      </c>
      <c r="Y1949">
        <v>0</v>
      </c>
    </row>
    <row r="1950" spans="1:25" x14ac:dyDescent="0.3">
      <c r="A1950">
        <v>1949</v>
      </c>
      <c r="B1950">
        <v>90000</v>
      </c>
      <c r="C1950">
        <v>1</v>
      </c>
      <c r="D1950">
        <v>2</v>
      </c>
      <c r="E1950">
        <v>2</v>
      </c>
      <c r="F1950">
        <v>39</v>
      </c>
      <c r="G1950">
        <v>0</v>
      </c>
      <c r="H1950">
        <v>0</v>
      </c>
      <c r="I1950">
        <v>0</v>
      </c>
      <c r="J1950">
        <v>0</v>
      </c>
      <c r="K1950">
        <v>-1</v>
      </c>
      <c r="L1950">
        <v>0</v>
      </c>
      <c r="M1950">
        <v>50477</v>
      </c>
      <c r="N1950">
        <v>22472</v>
      </c>
      <c r="O1950">
        <v>20148</v>
      </c>
      <c r="P1950">
        <v>4708</v>
      </c>
      <c r="Q1950">
        <v>5000</v>
      </c>
      <c r="R1950">
        <v>5028</v>
      </c>
      <c r="S1950">
        <v>3000</v>
      </c>
      <c r="T1950">
        <v>5000</v>
      </c>
      <c r="U1950">
        <v>500</v>
      </c>
      <c r="V1950">
        <v>5000</v>
      </c>
      <c r="W1950">
        <v>500</v>
      </c>
      <c r="X1950">
        <v>500</v>
      </c>
      <c r="Y1950">
        <v>0</v>
      </c>
    </row>
    <row r="1951" spans="1:25" x14ac:dyDescent="0.3">
      <c r="A1951">
        <v>1950</v>
      </c>
      <c r="B1951">
        <v>180000</v>
      </c>
      <c r="C1951">
        <v>1</v>
      </c>
      <c r="D1951">
        <v>1</v>
      </c>
      <c r="E1951">
        <v>1</v>
      </c>
      <c r="F1951">
        <v>50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66114</v>
      </c>
      <c r="N1951">
        <v>69436</v>
      </c>
      <c r="O1951">
        <v>72560</v>
      </c>
      <c r="P1951">
        <v>76169</v>
      </c>
      <c r="Q1951">
        <v>77988</v>
      </c>
      <c r="R1951">
        <v>69293</v>
      </c>
      <c r="S1951">
        <v>5000</v>
      </c>
      <c r="T1951">
        <v>5000</v>
      </c>
      <c r="U1951">
        <v>5000</v>
      </c>
      <c r="V1951">
        <v>3000</v>
      </c>
      <c r="W1951">
        <v>5000</v>
      </c>
      <c r="X1951">
        <v>5000</v>
      </c>
      <c r="Y1951">
        <v>0</v>
      </c>
    </row>
    <row r="1952" spans="1:25" x14ac:dyDescent="0.3">
      <c r="A1952">
        <v>1951</v>
      </c>
      <c r="B1952">
        <v>90000</v>
      </c>
      <c r="C1952">
        <v>2</v>
      </c>
      <c r="D1952">
        <v>1</v>
      </c>
      <c r="E1952">
        <v>2</v>
      </c>
      <c r="F1952">
        <v>28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-1</v>
      </c>
      <c r="M1952">
        <v>88345</v>
      </c>
      <c r="N1952">
        <v>90260</v>
      </c>
      <c r="O1952">
        <v>87535</v>
      </c>
      <c r="P1952">
        <v>89335</v>
      </c>
      <c r="Q1952">
        <v>19715</v>
      </c>
      <c r="R1952">
        <v>4709</v>
      </c>
      <c r="S1952">
        <v>3360</v>
      </c>
      <c r="T1952">
        <v>1947</v>
      </c>
      <c r="U1952">
        <v>2000</v>
      </c>
      <c r="V1952">
        <v>10000</v>
      </c>
      <c r="W1952">
        <v>4709</v>
      </c>
      <c r="X1952">
        <v>82400</v>
      </c>
      <c r="Y1952">
        <v>0</v>
      </c>
    </row>
    <row r="1953" spans="1:25" x14ac:dyDescent="0.3">
      <c r="A1953">
        <v>1952</v>
      </c>
      <c r="B1953">
        <v>100000</v>
      </c>
      <c r="C1953">
        <v>1</v>
      </c>
      <c r="D1953">
        <v>1</v>
      </c>
      <c r="E1953">
        <v>1</v>
      </c>
      <c r="F1953">
        <v>36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23070</v>
      </c>
      <c r="N1953">
        <v>18806</v>
      </c>
      <c r="O1953">
        <v>20183</v>
      </c>
      <c r="P1953">
        <v>21540</v>
      </c>
      <c r="Q1953">
        <v>25775</v>
      </c>
      <c r="R1953">
        <v>0</v>
      </c>
      <c r="S1953">
        <v>1700</v>
      </c>
      <c r="T1953">
        <v>2000</v>
      </c>
      <c r="U1953">
        <v>2000</v>
      </c>
      <c r="V1953">
        <v>5000</v>
      </c>
      <c r="W1953">
        <v>0</v>
      </c>
      <c r="X1953">
        <v>0</v>
      </c>
      <c r="Y1953">
        <v>0</v>
      </c>
    </row>
    <row r="1954" spans="1:25" x14ac:dyDescent="0.3">
      <c r="A1954">
        <v>1953</v>
      </c>
      <c r="B1954">
        <v>340000</v>
      </c>
      <c r="C1954">
        <v>1</v>
      </c>
      <c r="D1954">
        <v>2</v>
      </c>
      <c r="E1954">
        <v>1</v>
      </c>
      <c r="F1954">
        <v>41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331003</v>
      </c>
      <c r="N1954">
        <v>332829</v>
      </c>
      <c r="O1954">
        <v>274467</v>
      </c>
      <c r="P1954">
        <v>275341</v>
      </c>
      <c r="Q1954">
        <v>280913</v>
      </c>
      <c r="R1954">
        <v>270448</v>
      </c>
      <c r="S1954">
        <v>15110</v>
      </c>
      <c r="T1954">
        <v>11019</v>
      </c>
      <c r="U1954">
        <v>9502</v>
      </c>
      <c r="V1954">
        <v>9579</v>
      </c>
      <c r="W1954">
        <v>9026</v>
      </c>
      <c r="X1954">
        <v>8719</v>
      </c>
      <c r="Y1954">
        <v>0</v>
      </c>
    </row>
    <row r="1955" spans="1:25" x14ac:dyDescent="0.3">
      <c r="A1955">
        <v>1954</v>
      </c>
      <c r="B1955">
        <v>50000</v>
      </c>
      <c r="C1955">
        <v>1</v>
      </c>
      <c r="D1955">
        <v>1</v>
      </c>
      <c r="E1955">
        <v>2</v>
      </c>
      <c r="F1955">
        <v>22</v>
      </c>
      <c r="G1955">
        <v>0</v>
      </c>
      <c r="H1955">
        <v>0</v>
      </c>
      <c r="I1955">
        <v>2</v>
      </c>
      <c r="J1955">
        <v>0</v>
      </c>
      <c r="K1955">
        <v>0</v>
      </c>
      <c r="L1955">
        <v>0</v>
      </c>
      <c r="M1955">
        <v>47726</v>
      </c>
      <c r="N1955">
        <v>51161</v>
      </c>
      <c r="O1955">
        <v>48310</v>
      </c>
      <c r="P1955">
        <v>50332</v>
      </c>
      <c r="Q1955">
        <v>47492</v>
      </c>
      <c r="R1955">
        <v>50782</v>
      </c>
      <c r="S1955">
        <v>5500</v>
      </c>
      <c r="T1955">
        <v>0</v>
      </c>
      <c r="U1955">
        <v>3000</v>
      </c>
      <c r="V1955">
        <v>3000</v>
      </c>
      <c r="W1955">
        <v>5000</v>
      </c>
      <c r="X1955">
        <v>0</v>
      </c>
      <c r="Y1955">
        <v>1</v>
      </c>
    </row>
    <row r="1956" spans="1:25" x14ac:dyDescent="0.3">
      <c r="A1956">
        <v>1955</v>
      </c>
      <c r="B1956">
        <v>240000</v>
      </c>
      <c r="C1956">
        <v>2</v>
      </c>
      <c r="D1956">
        <v>2</v>
      </c>
      <c r="E1956">
        <v>1</v>
      </c>
      <c r="F1956">
        <v>41</v>
      </c>
      <c r="G1956">
        <v>-1</v>
      </c>
      <c r="H1956">
        <v>0</v>
      </c>
      <c r="I1956">
        <v>-1</v>
      </c>
      <c r="J1956">
        <v>-1</v>
      </c>
      <c r="K1956">
        <v>-1</v>
      </c>
      <c r="L1956">
        <v>-1</v>
      </c>
      <c r="M1956">
        <v>20272</v>
      </c>
      <c r="N1956">
        <v>11294</v>
      </c>
      <c r="O1956">
        <v>16873</v>
      </c>
      <c r="P1956">
        <v>1143</v>
      </c>
      <c r="Q1956">
        <v>4317</v>
      </c>
      <c r="R1956">
        <v>14940</v>
      </c>
      <c r="S1956">
        <v>1000</v>
      </c>
      <c r="T1956">
        <v>16906</v>
      </c>
      <c r="U1956">
        <v>1143</v>
      </c>
      <c r="V1956">
        <v>4317</v>
      </c>
      <c r="W1956">
        <v>14940</v>
      </c>
      <c r="X1956">
        <v>0</v>
      </c>
      <c r="Y1956">
        <v>0</v>
      </c>
    </row>
    <row r="1957" spans="1:25" x14ac:dyDescent="0.3">
      <c r="A1957">
        <v>1956</v>
      </c>
      <c r="B1957">
        <v>10000</v>
      </c>
      <c r="C1957">
        <v>1</v>
      </c>
      <c r="D1957">
        <v>2</v>
      </c>
      <c r="E1957">
        <v>2</v>
      </c>
      <c r="F1957">
        <v>41</v>
      </c>
      <c r="G1957">
        <v>1</v>
      </c>
      <c r="H1957">
        <v>2</v>
      </c>
      <c r="I1957">
        <v>2</v>
      </c>
      <c r="J1957">
        <v>2</v>
      </c>
      <c r="K1957">
        <v>2</v>
      </c>
      <c r="L1957">
        <v>2</v>
      </c>
      <c r="M1957">
        <v>8722</v>
      </c>
      <c r="N1957">
        <v>9592</v>
      </c>
      <c r="O1957">
        <v>9289</v>
      </c>
      <c r="P1957">
        <v>10140</v>
      </c>
      <c r="Q1957">
        <v>10417</v>
      </c>
      <c r="R1957">
        <v>10104</v>
      </c>
      <c r="S1957">
        <v>1157</v>
      </c>
      <c r="T1957">
        <v>0</v>
      </c>
      <c r="U1957">
        <v>1008</v>
      </c>
      <c r="V1957">
        <v>584</v>
      </c>
      <c r="W1957">
        <v>0</v>
      </c>
      <c r="X1957">
        <v>198</v>
      </c>
      <c r="Y1957">
        <v>0</v>
      </c>
    </row>
    <row r="1958" spans="1:25" x14ac:dyDescent="0.3">
      <c r="A1958">
        <v>1957</v>
      </c>
      <c r="B1958">
        <v>220000</v>
      </c>
      <c r="C1958">
        <v>2</v>
      </c>
      <c r="D1958">
        <v>1</v>
      </c>
      <c r="E1958">
        <v>1</v>
      </c>
      <c r="F1958">
        <v>42</v>
      </c>
      <c r="G1958">
        <v>2</v>
      </c>
      <c r="H1958">
        <v>2</v>
      </c>
      <c r="I1958">
        <v>2</v>
      </c>
      <c r="J1958">
        <v>2</v>
      </c>
      <c r="K1958">
        <v>2</v>
      </c>
      <c r="L1958">
        <v>2</v>
      </c>
      <c r="M1958">
        <v>2500</v>
      </c>
      <c r="N1958">
        <v>2500</v>
      </c>
      <c r="O1958">
        <v>2500</v>
      </c>
      <c r="P1958">
        <v>2500</v>
      </c>
      <c r="Q1958">
        <v>2500</v>
      </c>
      <c r="R1958">
        <v>2500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1</v>
      </c>
    </row>
    <row r="1959" spans="1:25" x14ac:dyDescent="0.3">
      <c r="A1959">
        <v>1958</v>
      </c>
      <c r="B1959">
        <v>100000</v>
      </c>
      <c r="C1959">
        <v>2</v>
      </c>
      <c r="D1959">
        <v>2</v>
      </c>
      <c r="E1959">
        <v>2</v>
      </c>
      <c r="F1959">
        <v>37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107669</v>
      </c>
      <c r="N1959">
        <v>107529</v>
      </c>
      <c r="O1959">
        <v>73323</v>
      </c>
      <c r="P1959">
        <v>51125</v>
      </c>
      <c r="Q1959">
        <v>46879</v>
      </c>
      <c r="R1959">
        <v>45538</v>
      </c>
      <c r="S1959">
        <v>3536</v>
      </c>
      <c r="T1959">
        <v>2821</v>
      </c>
      <c r="U1959">
        <v>3963</v>
      </c>
      <c r="V1959">
        <v>3147</v>
      </c>
      <c r="W1959">
        <v>2670</v>
      </c>
      <c r="X1959">
        <v>725</v>
      </c>
      <c r="Y1959">
        <v>0</v>
      </c>
    </row>
    <row r="1960" spans="1:25" x14ac:dyDescent="0.3">
      <c r="A1960">
        <v>1959</v>
      </c>
      <c r="B1960">
        <v>220000</v>
      </c>
      <c r="C1960">
        <v>2</v>
      </c>
      <c r="D1960">
        <v>1</v>
      </c>
      <c r="E1960">
        <v>1</v>
      </c>
      <c r="F1960">
        <v>31</v>
      </c>
      <c r="G1960">
        <v>-2</v>
      </c>
      <c r="H1960">
        <v>-2</v>
      </c>
      <c r="I1960">
        <v>-2</v>
      </c>
      <c r="J1960">
        <v>-2</v>
      </c>
      <c r="K1960">
        <v>-2</v>
      </c>
      <c r="L1960">
        <v>-2</v>
      </c>
      <c r="M1960">
        <v>3785</v>
      </c>
      <c r="N1960">
        <v>1137</v>
      </c>
      <c r="O1960">
        <v>377</v>
      </c>
      <c r="P1960">
        <v>5763</v>
      </c>
      <c r="Q1960">
        <v>3952</v>
      </c>
      <c r="R1960">
        <v>412</v>
      </c>
      <c r="S1960">
        <v>1142</v>
      </c>
      <c r="T1960">
        <v>377</v>
      </c>
      <c r="U1960">
        <v>5763</v>
      </c>
      <c r="V1960">
        <v>3952</v>
      </c>
      <c r="W1960">
        <v>412</v>
      </c>
      <c r="X1960">
        <v>1294</v>
      </c>
      <c r="Y1960">
        <v>0</v>
      </c>
    </row>
    <row r="1961" spans="1:25" x14ac:dyDescent="0.3">
      <c r="A1961">
        <v>1960</v>
      </c>
      <c r="B1961">
        <v>70000</v>
      </c>
      <c r="C1961">
        <v>2</v>
      </c>
      <c r="D1961">
        <v>3</v>
      </c>
      <c r="E1961">
        <v>1</v>
      </c>
      <c r="F1961">
        <v>57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67864</v>
      </c>
      <c r="N1961">
        <v>65062</v>
      </c>
      <c r="O1961">
        <v>66447</v>
      </c>
      <c r="P1961">
        <v>49103</v>
      </c>
      <c r="Q1961">
        <v>45830</v>
      </c>
      <c r="R1961">
        <v>46769</v>
      </c>
      <c r="S1961">
        <v>2620</v>
      </c>
      <c r="T1961">
        <v>2730</v>
      </c>
      <c r="U1961">
        <v>1936</v>
      </c>
      <c r="V1961">
        <v>1700</v>
      </c>
      <c r="W1961">
        <v>1700</v>
      </c>
      <c r="X1961">
        <v>2000</v>
      </c>
      <c r="Y1961">
        <v>0</v>
      </c>
    </row>
    <row r="1962" spans="1:25" x14ac:dyDescent="0.3">
      <c r="A1962">
        <v>1961</v>
      </c>
      <c r="B1962">
        <v>30000</v>
      </c>
      <c r="C1962">
        <v>2</v>
      </c>
      <c r="D1962">
        <v>2</v>
      </c>
      <c r="E1962">
        <v>2</v>
      </c>
      <c r="F1962">
        <v>37</v>
      </c>
      <c r="G1962">
        <v>3</v>
      </c>
      <c r="H1962">
        <v>2</v>
      </c>
      <c r="I1962">
        <v>2</v>
      </c>
      <c r="J1962">
        <v>0</v>
      </c>
      <c r="K1962">
        <v>0</v>
      </c>
      <c r="L1962">
        <v>0</v>
      </c>
      <c r="M1962">
        <v>29657</v>
      </c>
      <c r="N1962">
        <v>30320</v>
      </c>
      <c r="O1962">
        <v>28991</v>
      </c>
      <c r="P1962">
        <v>29066</v>
      </c>
      <c r="Q1962">
        <v>29340</v>
      </c>
      <c r="R1962">
        <v>30786</v>
      </c>
      <c r="S1962">
        <v>1763</v>
      </c>
      <c r="T1962">
        <v>0</v>
      </c>
      <c r="U1962">
        <v>1178</v>
      </c>
      <c r="V1962">
        <v>1223</v>
      </c>
      <c r="W1962">
        <v>2435</v>
      </c>
      <c r="X1962">
        <v>1200</v>
      </c>
      <c r="Y1962">
        <v>1</v>
      </c>
    </row>
    <row r="1963" spans="1:25" x14ac:dyDescent="0.3">
      <c r="A1963">
        <v>1962</v>
      </c>
      <c r="B1963">
        <v>130000</v>
      </c>
      <c r="C1963">
        <v>2</v>
      </c>
      <c r="D1963">
        <v>3</v>
      </c>
      <c r="E1963">
        <v>2</v>
      </c>
      <c r="F1963">
        <v>53</v>
      </c>
      <c r="G1963">
        <v>-1</v>
      </c>
      <c r="H1963">
        <v>-1</v>
      </c>
      <c r="I1963">
        <v>-1</v>
      </c>
      <c r="J1963">
        <v>-1</v>
      </c>
      <c r="K1963">
        <v>-1</v>
      </c>
      <c r="L1963">
        <v>-1</v>
      </c>
      <c r="M1963">
        <v>11085</v>
      </c>
      <c r="N1963">
        <v>45677</v>
      </c>
      <c r="O1963">
        <v>27951</v>
      </c>
      <c r="P1963">
        <v>17255</v>
      </c>
      <c r="Q1963">
        <v>10400</v>
      </c>
      <c r="R1963">
        <v>18776</v>
      </c>
      <c r="S1963">
        <v>45697</v>
      </c>
      <c r="T1963">
        <v>27951</v>
      </c>
      <c r="U1963">
        <v>17307</v>
      </c>
      <c r="V1963">
        <v>10400</v>
      </c>
      <c r="W1963">
        <v>18776</v>
      </c>
      <c r="X1963">
        <v>2944</v>
      </c>
      <c r="Y1963">
        <v>0</v>
      </c>
    </row>
    <row r="1964" spans="1:25" x14ac:dyDescent="0.3">
      <c r="A1964">
        <v>1963</v>
      </c>
      <c r="B1964">
        <v>140000</v>
      </c>
      <c r="C1964">
        <v>2</v>
      </c>
      <c r="D1964">
        <v>2</v>
      </c>
      <c r="E1964">
        <v>1</v>
      </c>
      <c r="F1964">
        <v>25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81960</v>
      </c>
      <c r="N1964">
        <v>81757</v>
      </c>
      <c r="O1964">
        <v>83046</v>
      </c>
      <c r="P1964">
        <v>84034</v>
      </c>
      <c r="Q1964">
        <v>77659</v>
      </c>
      <c r="R1964">
        <v>77180</v>
      </c>
      <c r="S1964">
        <v>3005</v>
      </c>
      <c r="T1964">
        <v>3000</v>
      </c>
      <c r="U1964">
        <v>3000</v>
      </c>
      <c r="V1964">
        <v>3000</v>
      </c>
      <c r="W1964">
        <v>3000</v>
      </c>
      <c r="X1964">
        <v>5000</v>
      </c>
      <c r="Y1964">
        <v>0</v>
      </c>
    </row>
    <row r="1965" spans="1:25" x14ac:dyDescent="0.3">
      <c r="A1965">
        <v>1964</v>
      </c>
      <c r="B1965">
        <v>20000</v>
      </c>
      <c r="C1965">
        <v>1</v>
      </c>
      <c r="D1965">
        <v>2</v>
      </c>
      <c r="E1965">
        <v>2</v>
      </c>
      <c r="F1965">
        <v>32</v>
      </c>
      <c r="G1965">
        <v>0</v>
      </c>
      <c r="H1965">
        <v>0</v>
      </c>
      <c r="I1965">
        <v>-1</v>
      </c>
      <c r="J1965">
        <v>0</v>
      </c>
      <c r="K1965">
        <v>0</v>
      </c>
      <c r="L1965">
        <v>0</v>
      </c>
      <c r="M1965">
        <v>4485</v>
      </c>
      <c r="N1965">
        <v>4843</v>
      </c>
      <c r="O1965">
        <v>15992</v>
      </c>
      <c r="P1965">
        <v>14897</v>
      </c>
      <c r="Q1965">
        <v>12792</v>
      </c>
      <c r="R1965">
        <v>10042</v>
      </c>
      <c r="S1965">
        <v>1000</v>
      </c>
      <c r="T1965">
        <v>16000</v>
      </c>
      <c r="U1965">
        <v>600</v>
      </c>
      <c r="V1965">
        <v>1000</v>
      </c>
      <c r="W1965">
        <v>500</v>
      </c>
      <c r="X1965">
        <v>0</v>
      </c>
      <c r="Y1965">
        <v>0</v>
      </c>
    </row>
    <row r="1966" spans="1:25" x14ac:dyDescent="0.3">
      <c r="A1966">
        <v>1965</v>
      </c>
      <c r="B1966">
        <v>150000</v>
      </c>
      <c r="C1966">
        <v>2</v>
      </c>
      <c r="D1966">
        <v>1</v>
      </c>
      <c r="E1966">
        <v>1</v>
      </c>
      <c r="F1966">
        <v>38</v>
      </c>
      <c r="G1966">
        <v>1</v>
      </c>
      <c r="H1966">
        <v>-2</v>
      </c>
      <c r="I1966">
        <v>-2</v>
      </c>
      <c r="J1966">
        <v>-2</v>
      </c>
      <c r="K1966">
        <v>-2</v>
      </c>
      <c r="L1966">
        <v>-2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1</v>
      </c>
    </row>
    <row r="1967" spans="1:25" x14ac:dyDescent="0.3">
      <c r="A1967">
        <v>1966</v>
      </c>
      <c r="B1967">
        <v>50000</v>
      </c>
      <c r="C1967">
        <v>2</v>
      </c>
      <c r="D1967">
        <v>2</v>
      </c>
      <c r="E1967">
        <v>2</v>
      </c>
      <c r="F1967">
        <v>26</v>
      </c>
      <c r="G1967">
        <v>0</v>
      </c>
      <c r="H1967">
        <v>0</v>
      </c>
      <c r="I1967">
        <v>-2</v>
      </c>
      <c r="J1967">
        <v>-2</v>
      </c>
      <c r="K1967">
        <v>-2</v>
      </c>
      <c r="L1967">
        <v>-2</v>
      </c>
      <c r="M1967">
        <v>4136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</row>
    <row r="1968" spans="1:25" x14ac:dyDescent="0.3">
      <c r="A1968">
        <v>1967</v>
      </c>
      <c r="B1968">
        <v>90000</v>
      </c>
      <c r="C1968">
        <v>1</v>
      </c>
      <c r="D1968">
        <v>2</v>
      </c>
      <c r="E1968">
        <v>1</v>
      </c>
      <c r="F1968">
        <v>29</v>
      </c>
      <c r="G1968">
        <v>1</v>
      </c>
      <c r="H1968">
        <v>1</v>
      </c>
      <c r="I1968">
        <v>1</v>
      </c>
      <c r="J1968">
        <v>0</v>
      </c>
      <c r="K1968">
        <v>0</v>
      </c>
      <c r="L1968">
        <v>0</v>
      </c>
      <c r="M1968">
        <v>41073</v>
      </c>
      <c r="N1968">
        <v>43480</v>
      </c>
      <c r="O1968">
        <v>73960</v>
      </c>
      <c r="P1968">
        <v>2442</v>
      </c>
      <c r="Q1968">
        <v>48063</v>
      </c>
      <c r="R1968">
        <v>48186</v>
      </c>
      <c r="S1968">
        <v>3100</v>
      </c>
      <c r="T1968">
        <v>1000</v>
      </c>
      <c r="U1968">
        <v>770</v>
      </c>
      <c r="V1968">
        <v>48012</v>
      </c>
      <c r="W1968">
        <v>1756</v>
      </c>
      <c r="X1968">
        <v>1894</v>
      </c>
      <c r="Y1968">
        <v>0</v>
      </c>
    </row>
    <row r="1969" spans="1:25" x14ac:dyDescent="0.3">
      <c r="A1969">
        <v>1968</v>
      </c>
      <c r="B1969">
        <v>170000</v>
      </c>
      <c r="C1969">
        <v>2</v>
      </c>
      <c r="D1969">
        <v>3</v>
      </c>
      <c r="E1969">
        <v>1</v>
      </c>
      <c r="F1969">
        <v>37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158920</v>
      </c>
      <c r="N1969">
        <v>164353</v>
      </c>
      <c r="O1969">
        <v>167455</v>
      </c>
      <c r="P1969">
        <v>99297</v>
      </c>
      <c r="Q1969">
        <v>59888</v>
      </c>
      <c r="R1969">
        <v>44262</v>
      </c>
      <c r="S1969">
        <v>8000</v>
      </c>
      <c r="T1969">
        <v>7000</v>
      </c>
      <c r="U1969">
        <v>5000</v>
      </c>
      <c r="V1969">
        <v>5000</v>
      </c>
      <c r="W1969">
        <v>5000</v>
      </c>
      <c r="X1969">
        <v>20000</v>
      </c>
      <c r="Y1969">
        <v>0</v>
      </c>
    </row>
    <row r="1970" spans="1:25" x14ac:dyDescent="0.3">
      <c r="A1970">
        <v>1969</v>
      </c>
      <c r="B1970">
        <v>70000</v>
      </c>
      <c r="C1970">
        <v>1</v>
      </c>
      <c r="D1970">
        <v>1</v>
      </c>
      <c r="E1970">
        <v>2</v>
      </c>
      <c r="F1970">
        <v>30</v>
      </c>
      <c r="G1970">
        <v>2</v>
      </c>
      <c r="H1970">
        <v>2</v>
      </c>
      <c r="I1970">
        <v>0</v>
      </c>
      <c r="J1970">
        <v>0</v>
      </c>
      <c r="K1970">
        <v>0</v>
      </c>
      <c r="L1970">
        <v>0</v>
      </c>
      <c r="M1970">
        <v>34985</v>
      </c>
      <c r="N1970">
        <v>34146</v>
      </c>
      <c r="O1970">
        <v>35271</v>
      </c>
      <c r="P1970">
        <v>35986</v>
      </c>
      <c r="Q1970">
        <v>36905</v>
      </c>
      <c r="R1970">
        <v>37641</v>
      </c>
      <c r="S1970">
        <v>0</v>
      </c>
      <c r="T1970">
        <v>2000</v>
      </c>
      <c r="U1970">
        <v>1300</v>
      </c>
      <c r="V1970">
        <v>1500</v>
      </c>
      <c r="W1970">
        <v>1500</v>
      </c>
      <c r="X1970">
        <v>1576</v>
      </c>
      <c r="Y1970">
        <v>1</v>
      </c>
    </row>
    <row r="1971" spans="1:25" x14ac:dyDescent="0.3">
      <c r="A1971">
        <v>1970</v>
      </c>
      <c r="B1971">
        <v>200000</v>
      </c>
      <c r="C1971">
        <v>2</v>
      </c>
      <c r="D1971">
        <v>1</v>
      </c>
      <c r="E1971">
        <v>2</v>
      </c>
      <c r="F1971">
        <v>43</v>
      </c>
      <c r="G1971">
        <v>-2</v>
      </c>
      <c r="H1971">
        <v>-2</v>
      </c>
      <c r="I1971">
        <v>-2</v>
      </c>
      <c r="J1971">
        <v>-2</v>
      </c>
      <c r="K1971">
        <v>-2</v>
      </c>
      <c r="L1971">
        <v>-2</v>
      </c>
      <c r="M1971">
        <v>830</v>
      </c>
      <c r="N1971">
        <v>-6</v>
      </c>
      <c r="O1971">
        <v>-6</v>
      </c>
      <c r="P1971">
        <v>657</v>
      </c>
      <c r="Q1971">
        <v>2088</v>
      </c>
      <c r="R1971">
        <v>150</v>
      </c>
      <c r="S1971">
        <v>0</v>
      </c>
      <c r="T1971">
        <v>0</v>
      </c>
      <c r="U1971">
        <v>663</v>
      </c>
      <c r="V1971">
        <v>2088</v>
      </c>
      <c r="W1971">
        <v>150</v>
      </c>
      <c r="X1971">
        <v>594</v>
      </c>
      <c r="Y1971">
        <v>0</v>
      </c>
    </row>
    <row r="1972" spans="1:25" x14ac:dyDescent="0.3">
      <c r="A1972">
        <v>1971</v>
      </c>
      <c r="B1972">
        <v>200000</v>
      </c>
      <c r="C1972">
        <v>1</v>
      </c>
      <c r="D1972">
        <v>1</v>
      </c>
      <c r="E1972">
        <v>1</v>
      </c>
      <c r="F1972">
        <v>42</v>
      </c>
      <c r="G1972">
        <v>0</v>
      </c>
      <c r="H1972">
        <v>-1</v>
      </c>
      <c r="I1972">
        <v>0</v>
      </c>
      <c r="J1972">
        <v>0</v>
      </c>
      <c r="K1972">
        <v>-1</v>
      </c>
      <c r="L1972">
        <v>-1</v>
      </c>
      <c r="M1972">
        <v>19318</v>
      </c>
      <c r="N1972">
        <v>19067</v>
      </c>
      <c r="O1972">
        <v>17858</v>
      </c>
      <c r="P1972">
        <v>326</v>
      </c>
      <c r="Q1972">
        <v>326</v>
      </c>
      <c r="R1972">
        <v>326</v>
      </c>
      <c r="S1972">
        <v>19067</v>
      </c>
      <c r="T1972">
        <v>5000</v>
      </c>
      <c r="U1972">
        <v>0</v>
      </c>
      <c r="V1972">
        <v>326</v>
      </c>
      <c r="W1972">
        <v>326</v>
      </c>
      <c r="X1972">
        <v>326</v>
      </c>
      <c r="Y1972">
        <v>0</v>
      </c>
    </row>
    <row r="1973" spans="1:25" x14ac:dyDescent="0.3">
      <c r="A1973">
        <v>1972</v>
      </c>
      <c r="B1973">
        <v>20000</v>
      </c>
      <c r="C1973">
        <v>1</v>
      </c>
      <c r="D1973">
        <v>2</v>
      </c>
      <c r="E1973">
        <v>1</v>
      </c>
      <c r="F1973">
        <v>40</v>
      </c>
      <c r="G1973">
        <v>1</v>
      </c>
      <c r="H1973">
        <v>2</v>
      </c>
      <c r="I1973">
        <v>0</v>
      </c>
      <c r="J1973">
        <v>0</v>
      </c>
      <c r="K1973">
        <v>0</v>
      </c>
      <c r="L1973">
        <v>0</v>
      </c>
      <c r="M1973">
        <v>20498</v>
      </c>
      <c r="N1973">
        <v>19692</v>
      </c>
      <c r="O1973">
        <v>20498</v>
      </c>
      <c r="P1973">
        <v>19898</v>
      </c>
      <c r="Q1973">
        <v>19906</v>
      </c>
      <c r="R1973">
        <v>18586</v>
      </c>
      <c r="S1973">
        <v>0</v>
      </c>
      <c r="T1973">
        <v>1600</v>
      </c>
      <c r="U1973">
        <v>0</v>
      </c>
      <c r="V1973">
        <v>398</v>
      </c>
      <c r="W1973">
        <v>0</v>
      </c>
      <c r="X1973">
        <v>0</v>
      </c>
      <c r="Y1973">
        <v>1</v>
      </c>
    </row>
    <row r="1974" spans="1:25" x14ac:dyDescent="0.3">
      <c r="A1974">
        <v>1973</v>
      </c>
      <c r="B1974">
        <v>200000</v>
      </c>
      <c r="C1974">
        <v>1</v>
      </c>
      <c r="D1974">
        <v>2</v>
      </c>
      <c r="E1974">
        <v>1</v>
      </c>
      <c r="F1974">
        <v>41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96910</v>
      </c>
      <c r="N1974">
        <v>92934</v>
      </c>
      <c r="O1974">
        <v>99528</v>
      </c>
      <c r="P1974">
        <v>100341</v>
      </c>
      <c r="Q1974">
        <v>102585</v>
      </c>
      <c r="R1974">
        <v>108567</v>
      </c>
      <c r="S1974">
        <v>10000</v>
      </c>
      <c r="T1974">
        <v>7004</v>
      </c>
      <c r="U1974">
        <v>5000</v>
      </c>
      <c r="V1974">
        <v>5003</v>
      </c>
      <c r="W1974">
        <v>7345</v>
      </c>
      <c r="X1974">
        <v>7000</v>
      </c>
      <c r="Y1974">
        <v>0</v>
      </c>
    </row>
    <row r="1975" spans="1:25" x14ac:dyDescent="0.3">
      <c r="A1975">
        <v>1974</v>
      </c>
      <c r="B1975">
        <v>170000</v>
      </c>
      <c r="C1975">
        <v>1</v>
      </c>
      <c r="D1975">
        <v>2</v>
      </c>
      <c r="E1975">
        <v>2</v>
      </c>
      <c r="F1975">
        <v>26</v>
      </c>
      <c r="G1975">
        <v>-2</v>
      </c>
      <c r="H1975">
        <v>-2</v>
      </c>
      <c r="I1975">
        <v>-2</v>
      </c>
      <c r="J1975">
        <v>-2</v>
      </c>
      <c r="K1975">
        <v>-2</v>
      </c>
      <c r="L1975">
        <v>-2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</row>
    <row r="1976" spans="1:25" x14ac:dyDescent="0.3">
      <c r="A1976">
        <v>1975</v>
      </c>
      <c r="B1976">
        <v>130000</v>
      </c>
      <c r="C1976">
        <v>1</v>
      </c>
      <c r="D1976">
        <v>1</v>
      </c>
      <c r="E1976">
        <v>2</v>
      </c>
      <c r="F1976">
        <v>25</v>
      </c>
      <c r="G1976">
        <v>1</v>
      </c>
      <c r="H1976">
        <v>-2</v>
      </c>
      <c r="I1976">
        <v>-2</v>
      </c>
      <c r="J1976">
        <v>-2</v>
      </c>
      <c r="K1976">
        <v>-2</v>
      </c>
      <c r="L1976">
        <v>-2</v>
      </c>
      <c r="M1976">
        <v>-2000</v>
      </c>
      <c r="N1976">
        <v>-2000</v>
      </c>
      <c r="O1976">
        <v>-2000</v>
      </c>
      <c r="P1976">
        <v>-2000</v>
      </c>
      <c r="Q1976">
        <v>-2000</v>
      </c>
      <c r="R1976">
        <v>-2000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1</v>
      </c>
    </row>
    <row r="1977" spans="1:25" x14ac:dyDescent="0.3">
      <c r="A1977">
        <v>1976</v>
      </c>
      <c r="B1977">
        <v>100000</v>
      </c>
      <c r="C1977">
        <v>2</v>
      </c>
      <c r="D1977">
        <v>1</v>
      </c>
      <c r="E1977">
        <v>2</v>
      </c>
      <c r="F1977">
        <v>27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0</v>
      </c>
      <c r="M1977">
        <v>90118</v>
      </c>
      <c r="N1977">
        <v>88435</v>
      </c>
      <c r="O1977">
        <v>90147</v>
      </c>
      <c r="P1977">
        <v>94425</v>
      </c>
      <c r="Q1977">
        <v>92853</v>
      </c>
      <c r="R1977">
        <v>93816</v>
      </c>
      <c r="S1977">
        <v>4110</v>
      </c>
      <c r="T1977">
        <v>4101</v>
      </c>
      <c r="U1977">
        <v>6623</v>
      </c>
      <c r="V1977">
        <v>0</v>
      </c>
      <c r="W1977">
        <v>3503</v>
      </c>
      <c r="X1977">
        <v>3360</v>
      </c>
      <c r="Y1977">
        <v>0</v>
      </c>
    </row>
    <row r="1978" spans="1:25" x14ac:dyDescent="0.3">
      <c r="A1978">
        <v>1977</v>
      </c>
      <c r="B1978">
        <v>180000</v>
      </c>
      <c r="C1978">
        <v>1</v>
      </c>
      <c r="D1978">
        <v>2</v>
      </c>
      <c r="E1978">
        <v>2</v>
      </c>
      <c r="F1978">
        <v>31</v>
      </c>
      <c r="G1978">
        <v>0</v>
      </c>
      <c r="H1978">
        <v>0</v>
      </c>
      <c r="I1978">
        <v>0</v>
      </c>
      <c r="J1978">
        <v>2</v>
      </c>
      <c r="K1978">
        <v>0</v>
      </c>
      <c r="L1978">
        <v>0</v>
      </c>
      <c r="M1978">
        <v>28566</v>
      </c>
      <c r="N1978">
        <v>32876</v>
      </c>
      <c r="O1978">
        <v>39120</v>
      </c>
      <c r="P1978">
        <v>38339</v>
      </c>
      <c r="Q1978">
        <v>42679</v>
      </c>
      <c r="R1978">
        <v>46953</v>
      </c>
      <c r="S1978">
        <v>5000</v>
      </c>
      <c r="T1978">
        <v>7000</v>
      </c>
      <c r="U1978">
        <v>0</v>
      </c>
      <c r="V1978">
        <v>5000</v>
      </c>
      <c r="W1978">
        <v>5000</v>
      </c>
      <c r="X1978">
        <v>5000</v>
      </c>
      <c r="Y1978">
        <v>0</v>
      </c>
    </row>
    <row r="1979" spans="1:25" x14ac:dyDescent="0.3">
      <c r="A1979">
        <v>1978</v>
      </c>
      <c r="B1979">
        <v>230000</v>
      </c>
      <c r="C1979">
        <v>2</v>
      </c>
      <c r="D1979">
        <v>3</v>
      </c>
      <c r="E1979">
        <v>2</v>
      </c>
      <c r="F1979">
        <v>26</v>
      </c>
      <c r="G1979">
        <v>-2</v>
      </c>
      <c r="H1979">
        <v>-1</v>
      </c>
      <c r="I1979">
        <v>0</v>
      </c>
      <c r="J1979">
        <v>0</v>
      </c>
      <c r="K1979">
        <v>0</v>
      </c>
      <c r="L1979">
        <v>0</v>
      </c>
      <c r="M1979">
        <v>1200</v>
      </c>
      <c r="N1979">
        <v>990</v>
      </c>
      <c r="O1979">
        <v>9079</v>
      </c>
      <c r="P1979">
        <v>11186</v>
      </c>
      <c r="Q1979">
        <v>10159</v>
      </c>
      <c r="R1979">
        <v>11734</v>
      </c>
      <c r="S1979">
        <v>990</v>
      </c>
      <c r="T1979">
        <v>8089</v>
      </c>
      <c r="U1979">
        <v>2186</v>
      </c>
      <c r="V1979">
        <v>1159</v>
      </c>
      <c r="W1979">
        <v>1734</v>
      </c>
      <c r="X1979">
        <v>1200</v>
      </c>
      <c r="Y1979">
        <v>0</v>
      </c>
    </row>
    <row r="1980" spans="1:25" x14ac:dyDescent="0.3">
      <c r="A1980">
        <v>1979</v>
      </c>
      <c r="B1980">
        <v>20000</v>
      </c>
      <c r="C1980">
        <v>1</v>
      </c>
      <c r="D1980">
        <v>3</v>
      </c>
      <c r="E1980">
        <v>2</v>
      </c>
      <c r="F1980">
        <v>50</v>
      </c>
      <c r="G1980">
        <v>-1</v>
      </c>
      <c r="H1980">
        <v>-1</v>
      </c>
      <c r="I1980">
        <v>-1</v>
      </c>
      <c r="J1980">
        <v>-1</v>
      </c>
      <c r="K1980">
        <v>-1</v>
      </c>
      <c r="L1980">
        <v>0</v>
      </c>
      <c r="M1980">
        <v>2191</v>
      </c>
      <c r="N1980">
        <v>1140</v>
      </c>
      <c r="O1980">
        <v>12656</v>
      </c>
      <c r="P1980">
        <v>1693</v>
      </c>
      <c r="Q1980">
        <v>303</v>
      </c>
      <c r="R1980">
        <v>12303</v>
      </c>
      <c r="S1980">
        <v>1140</v>
      </c>
      <c r="T1980">
        <v>12656</v>
      </c>
      <c r="U1980">
        <v>1700</v>
      </c>
      <c r="V1980">
        <v>500</v>
      </c>
      <c r="W1980">
        <v>12000</v>
      </c>
      <c r="X1980">
        <v>0</v>
      </c>
      <c r="Y1980">
        <v>0</v>
      </c>
    </row>
    <row r="1981" spans="1:25" x14ac:dyDescent="0.3">
      <c r="A1981">
        <v>1980</v>
      </c>
      <c r="B1981">
        <v>500000</v>
      </c>
      <c r="C1981">
        <v>2</v>
      </c>
      <c r="D1981">
        <v>1</v>
      </c>
      <c r="E1981">
        <v>1</v>
      </c>
      <c r="F1981">
        <v>35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35176</v>
      </c>
      <c r="N1981">
        <v>36193</v>
      </c>
      <c r="O1981">
        <v>44157</v>
      </c>
      <c r="P1981">
        <v>48322</v>
      </c>
      <c r="Q1981">
        <v>21593</v>
      </c>
      <c r="R1981">
        <v>13866</v>
      </c>
      <c r="S1981">
        <v>2504</v>
      </c>
      <c r="T1981">
        <v>10004</v>
      </c>
      <c r="U1981">
        <v>5178</v>
      </c>
      <c r="V1981">
        <v>1047</v>
      </c>
      <c r="W1981">
        <v>2019</v>
      </c>
      <c r="X1981">
        <v>1004</v>
      </c>
      <c r="Y1981">
        <v>1</v>
      </c>
    </row>
    <row r="1982" spans="1:25" x14ac:dyDescent="0.3">
      <c r="A1982">
        <v>1981</v>
      </c>
      <c r="B1982">
        <v>150000</v>
      </c>
      <c r="C1982">
        <v>2</v>
      </c>
      <c r="D1982">
        <v>1</v>
      </c>
      <c r="E1982">
        <v>1</v>
      </c>
      <c r="F1982">
        <v>38</v>
      </c>
      <c r="G1982">
        <v>1</v>
      </c>
      <c r="H1982">
        <v>-2</v>
      </c>
      <c r="I1982">
        <v>-2</v>
      </c>
      <c r="J1982">
        <v>-2</v>
      </c>
      <c r="K1982">
        <v>-2</v>
      </c>
      <c r="L1982">
        <v>-2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1</v>
      </c>
    </row>
    <row r="1983" spans="1:25" x14ac:dyDescent="0.3">
      <c r="A1983">
        <v>1982</v>
      </c>
      <c r="B1983">
        <v>80000</v>
      </c>
      <c r="C1983">
        <v>2</v>
      </c>
      <c r="D1983">
        <v>3</v>
      </c>
      <c r="E1983">
        <v>2</v>
      </c>
      <c r="F1983">
        <v>40</v>
      </c>
      <c r="G1983">
        <v>3</v>
      </c>
      <c r="H1983">
        <v>2</v>
      </c>
      <c r="I1983">
        <v>2</v>
      </c>
      <c r="J1983">
        <v>2</v>
      </c>
      <c r="K1983">
        <v>2</v>
      </c>
      <c r="L1983">
        <v>2</v>
      </c>
      <c r="M1983">
        <v>38503</v>
      </c>
      <c r="N1983">
        <v>40118</v>
      </c>
      <c r="O1983">
        <v>41199</v>
      </c>
      <c r="P1983">
        <v>42264</v>
      </c>
      <c r="Q1983">
        <v>43083</v>
      </c>
      <c r="R1983">
        <v>43471</v>
      </c>
      <c r="S1983">
        <v>2500</v>
      </c>
      <c r="T1983">
        <v>2000</v>
      </c>
      <c r="U1983">
        <v>2000</v>
      </c>
      <c r="V1983">
        <v>1600</v>
      </c>
      <c r="W1983">
        <v>1200</v>
      </c>
      <c r="X1983">
        <v>2000</v>
      </c>
      <c r="Y1983">
        <v>1</v>
      </c>
    </row>
    <row r="1984" spans="1:25" x14ac:dyDescent="0.3">
      <c r="A1984">
        <v>1983</v>
      </c>
      <c r="B1984">
        <v>230000</v>
      </c>
      <c r="C1984">
        <v>1</v>
      </c>
      <c r="D1984">
        <v>2</v>
      </c>
      <c r="E1984">
        <v>1</v>
      </c>
      <c r="F1984">
        <v>29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56171</v>
      </c>
      <c r="N1984">
        <v>60250</v>
      </c>
      <c r="O1984">
        <v>63574</v>
      </c>
      <c r="P1984">
        <v>71941</v>
      </c>
      <c r="Q1984">
        <v>75882</v>
      </c>
      <c r="R1984">
        <v>75619</v>
      </c>
      <c r="S1984">
        <v>5000</v>
      </c>
      <c r="T1984">
        <v>5000</v>
      </c>
      <c r="U1984">
        <v>10000</v>
      </c>
      <c r="V1984">
        <v>5000</v>
      </c>
      <c r="W1984">
        <v>5000</v>
      </c>
      <c r="X1984">
        <v>5000</v>
      </c>
      <c r="Y1984">
        <v>0</v>
      </c>
    </row>
    <row r="1985" spans="1:25" x14ac:dyDescent="0.3">
      <c r="A1985">
        <v>1984</v>
      </c>
      <c r="B1985">
        <v>80000</v>
      </c>
      <c r="C1985">
        <v>1</v>
      </c>
      <c r="D1985">
        <v>1</v>
      </c>
      <c r="E1985">
        <v>2</v>
      </c>
      <c r="F1985">
        <v>37</v>
      </c>
      <c r="G1985">
        <v>1</v>
      </c>
      <c r="H1985">
        <v>-2</v>
      </c>
      <c r="I1985">
        <v>-2</v>
      </c>
      <c r="J1985">
        <v>-2</v>
      </c>
      <c r="K1985">
        <v>-2</v>
      </c>
      <c r="L1985">
        <v>-2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1</v>
      </c>
    </row>
    <row r="1986" spans="1:25" x14ac:dyDescent="0.3">
      <c r="A1986">
        <v>1985</v>
      </c>
      <c r="B1986">
        <v>230000</v>
      </c>
      <c r="C1986">
        <v>2</v>
      </c>
      <c r="D1986">
        <v>2</v>
      </c>
      <c r="E1986">
        <v>2</v>
      </c>
      <c r="F1986">
        <v>24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24973</v>
      </c>
      <c r="N1986">
        <v>24974</v>
      </c>
      <c r="O1986">
        <v>25566</v>
      </c>
      <c r="P1986">
        <v>23427</v>
      </c>
      <c r="Q1986">
        <v>28229</v>
      </c>
      <c r="R1986">
        <v>31355</v>
      </c>
      <c r="S1986">
        <v>5000</v>
      </c>
      <c r="T1986">
        <v>5000</v>
      </c>
      <c r="U1986">
        <v>2100</v>
      </c>
      <c r="V1986">
        <v>5229</v>
      </c>
      <c r="W1986">
        <v>3355</v>
      </c>
      <c r="X1986">
        <v>4598</v>
      </c>
      <c r="Y1986">
        <v>0</v>
      </c>
    </row>
    <row r="1987" spans="1:25" x14ac:dyDescent="0.3">
      <c r="A1987">
        <v>1986</v>
      </c>
      <c r="B1987">
        <v>50000</v>
      </c>
      <c r="C1987">
        <v>2</v>
      </c>
      <c r="D1987">
        <v>2</v>
      </c>
      <c r="E1987">
        <v>2</v>
      </c>
      <c r="F1987">
        <v>49</v>
      </c>
      <c r="G1987">
        <v>2</v>
      </c>
      <c r="H1987">
        <v>0</v>
      </c>
      <c r="I1987">
        <v>-1</v>
      </c>
      <c r="J1987">
        <v>-1</v>
      </c>
      <c r="K1987">
        <v>-1</v>
      </c>
      <c r="L1987">
        <v>0</v>
      </c>
      <c r="M1987">
        <v>38947</v>
      </c>
      <c r="N1987">
        <v>37799</v>
      </c>
      <c r="O1987">
        <v>3</v>
      </c>
      <c r="P1987">
        <v>18080</v>
      </c>
      <c r="Q1987">
        <v>12227</v>
      </c>
      <c r="R1987">
        <v>13296</v>
      </c>
      <c r="S1987">
        <v>2000</v>
      </c>
      <c r="T1987">
        <v>1000</v>
      </c>
      <c r="U1987">
        <v>19000</v>
      </c>
      <c r="V1987">
        <v>12500</v>
      </c>
      <c r="W1987">
        <v>2000</v>
      </c>
      <c r="X1987">
        <v>2000</v>
      </c>
      <c r="Y1987">
        <v>1</v>
      </c>
    </row>
    <row r="1988" spans="1:25" x14ac:dyDescent="0.3">
      <c r="A1988">
        <v>1987</v>
      </c>
      <c r="B1988">
        <v>50000</v>
      </c>
      <c r="C1988">
        <v>1</v>
      </c>
      <c r="D1988">
        <v>2</v>
      </c>
      <c r="E1988">
        <v>2</v>
      </c>
      <c r="F1988">
        <v>35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48813</v>
      </c>
      <c r="N1988">
        <v>50789</v>
      </c>
      <c r="O1988">
        <v>49624</v>
      </c>
      <c r="P1988">
        <v>19880</v>
      </c>
      <c r="Q1988">
        <v>20431</v>
      </c>
      <c r="R1988">
        <v>19559</v>
      </c>
      <c r="S1988">
        <v>5000</v>
      </c>
      <c r="T1988">
        <v>23000</v>
      </c>
      <c r="U1988">
        <v>838</v>
      </c>
      <c r="V1988">
        <v>1000</v>
      </c>
      <c r="W1988">
        <v>1000</v>
      </c>
      <c r="X1988">
        <v>1000</v>
      </c>
      <c r="Y1988">
        <v>0</v>
      </c>
    </row>
    <row r="1989" spans="1:25" x14ac:dyDescent="0.3">
      <c r="A1989">
        <v>1988</v>
      </c>
      <c r="B1989">
        <v>10000</v>
      </c>
      <c r="C1989">
        <v>2</v>
      </c>
      <c r="D1989">
        <v>1</v>
      </c>
      <c r="E1989">
        <v>2</v>
      </c>
      <c r="F1989">
        <v>25</v>
      </c>
      <c r="G1989">
        <v>1</v>
      </c>
      <c r="H1989">
        <v>3</v>
      </c>
      <c r="I1989">
        <v>2</v>
      </c>
      <c r="J1989">
        <v>0</v>
      </c>
      <c r="K1989">
        <v>0</v>
      </c>
      <c r="L1989">
        <v>0</v>
      </c>
      <c r="M1989">
        <v>10438</v>
      </c>
      <c r="N1989">
        <v>10130</v>
      </c>
      <c r="O1989">
        <v>9738</v>
      </c>
      <c r="P1989">
        <v>9178</v>
      </c>
      <c r="Q1989">
        <v>8398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</row>
    <row r="1990" spans="1:25" x14ac:dyDescent="0.3">
      <c r="A1990">
        <v>1989</v>
      </c>
      <c r="B1990">
        <v>140000</v>
      </c>
      <c r="C1990">
        <v>1</v>
      </c>
      <c r="D1990">
        <v>2</v>
      </c>
      <c r="E1990">
        <v>2</v>
      </c>
      <c r="F1990">
        <v>34</v>
      </c>
      <c r="G1990">
        <v>2</v>
      </c>
      <c r="H1990">
        <v>2</v>
      </c>
      <c r="I1990">
        <v>2</v>
      </c>
      <c r="J1990">
        <v>2</v>
      </c>
      <c r="K1990">
        <v>2</v>
      </c>
      <c r="L1990">
        <v>2</v>
      </c>
      <c r="M1990">
        <v>135949</v>
      </c>
      <c r="N1990">
        <v>130625</v>
      </c>
      <c r="O1990">
        <v>117392</v>
      </c>
      <c r="P1990">
        <v>111478</v>
      </c>
      <c r="Q1990">
        <v>109353</v>
      </c>
      <c r="R1990">
        <v>97612</v>
      </c>
      <c r="S1990">
        <v>8408</v>
      </c>
      <c r="T1990">
        <v>3500</v>
      </c>
      <c r="U1990">
        <v>3500</v>
      </c>
      <c r="V1990">
        <v>3600</v>
      </c>
      <c r="W1990">
        <v>0</v>
      </c>
      <c r="X1990">
        <v>3600</v>
      </c>
      <c r="Y1990">
        <v>0</v>
      </c>
    </row>
    <row r="1991" spans="1:25" x14ac:dyDescent="0.3">
      <c r="A1991">
        <v>1990</v>
      </c>
      <c r="B1991">
        <v>50000</v>
      </c>
      <c r="C1991">
        <v>1</v>
      </c>
      <c r="D1991">
        <v>2</v>
      </c>
      <c r="E1991">
        <v>2</v>
      </c>
      <c r="F1991">
        <v>42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39236</v>
      </c>
      <c r="N1991">
        <v>39729</v>
      </c>
      <c r="O1991">
        <v>27068</v>
      </c>
      <c r="P1991">
        <v>28604</v>
      </c>
      <c r="Q1991">
        <v>28199</v>
      </c>
      <c r="R1991">
        <v>58428</v>
      </c>
      <c r="S1991">
        <v>2094</v>
      </c>
      <c r="T1991">
        <v>1451</v>
      </c>
      <c r="U1991">
        <v>1987</v>
      </c>
      <c r="V1991">
        <v>1039</v>
      </c>
      <c r="W1991">
        <v>1500</v>
      </c>
      <c r="X1991">
        <v>1200</v>
      </c>
      <c r="Y1991">
        <v>1</v>
      </c>
    </row>
    <row r="1992" spans="1:25" x14ac:dyDescent="0.3">
      <c r="A1992">
        <v>1991</v>
      </c>
      <c r="B1992">
        <v>180000</v>
      </c>
      <c r="C1992">
        <v>1</v>
      </c>
      <c r="D1992">
        <v>3</v>
      </c>
      <c r="E1992">
        <v>2</v>
      </c>
      <c r="F1992">
        <v>28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129719</v>
      </c>
      <c r="N1992">
        <v>133702</v>
      </c>
      <c r="O1992">
        <v>133758</v>
      </c>
      <c r="P1992">
        <v>80055</v>
      </c>
      <c r="Q1992">
        <v>69672</v>
      </c>
      <c r="R1992">
        <v>33194</v>
      </c>
      <c r="S1992">
        <v>6070</v>
      </c>
      <c r="T1992">
        <v>3521</v>
      </c>
      <c r="U1992">
        <v>5000</v>
      </c>
      <c r="V1992">
        <v>5000</v>
      </c>
      <c r="W1992">
        <v>5004</v>
      </c>
      <c r="X1992">
        <v>5029</v>
      </c>
      <c r="Y1992">
        <v>0</v>
      </c>
    </row>
    <row r="1993" spans="1:25" x14ac:dyDescent="0.3">
      <c r="A1993">
        <v>1992</v>
      </c>
      <c r="B1993">
        <v>360000</v>
      </c>
      <c r="C1993">
        <v>1</v>
      </c>
      <c r="D1993">
        <v>1</v>
      </c>
      <c r="E1993">
        <v>2</v>
      </c>
      <c r="F1993">
        <v>65</v>
      </c>
      <c r="G1993">
        <v>1</v>
      </c>
      <c r="H1993">
        <v>-2</v>
      </c>
      <c r="I1993">
        <v>-2</v>
      </c>
      <c r="J1993">
        <v>-2</v>
      </c>
      <c r="K1993">
        <v>-2</v>
      </c>
      <c r="L1993">
        <v>-2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1</v>
      </c>
    </row>
    <row r="1994" spans="1:25" x14ac:dyDescent="0.3">
      <c r="A1994">
        <v>1993</v>
      </c>
      <c r="B1994">
        <v>580000</v>
      </c>
      <c r="C1994">
        <v>1</v>
      </c>
      <c r="D1994">
        <v>3</v>
      </c>
      <c r="E1994">
        <v>1</v>
      </c>
      <c r="F1994">
        <v>67</v>
      </c>
      <c r="G1994">
        <v>2</v>
      </c>
      <c r="H1994">
        <v>2</v>
      </c>
      <c r="I1994">
        <v>3</v>
      </c>
      <c r="J1994">
        <v>3</v>
      </c>
      <c r="K1994">
        <v>4</v>
      </c>
      <c r="L1994">
        <v>6</v>
      </c>
      <c r="M1994">
        <v>453985</v>
      </c>
      <c r="N1994">
        <v>470915</v>
      </c>
      <c r="O1994">
        <v>471175</v>
      </c>
      <c r="P1994">
        <v>486776</v>
      </c>
      <c r="Q1994">
        <v>503914</v>
      </c>
      <c r="R1994">
        <v>527711</v>
      </c>
      <c r="S1994">
        <v>25704</v>
      </c>
      <c r="T1994">
        <v>9464</v>
      </c>
      <c r="U1994">
        <v>25065</v>
      </c>
      <c r="V1994">
        <v>25703</v>
      </c>
      <c r="W1994">
        <v>33000</v>
      </c>
      <c r="X1994">
        <v>215</v>
      </c>
      <c r="Y1994">
        <v>0</v>
      </c>
    </row>
    <row r="1995" spans="1:25" x14ac:dyDescent="0.3">
      <c r="A1995">
        <v>1994</v>
      </c>
      <c r="B1995">
        <v>310000</v>
      </c>
      <c r="C1995">
        <v>2</v>
      </c>
      <c r="D1995">
        <v>1</v>
      </c>
      <c r="E1995">
        <v>1</v>
      </c>
      <c r="F1995">
        <v>43</v>
      </c>
      <c r="G1995">
        <v>-2</v>
      </c>
      <c r="H1995">
        <v>-2</v>
      </c>
      <c r="I1995">
        <v>-2</v>
      </c>
      <c r="J1995">
        <v>-2</v>
      </c>
      <c r="K1995">
        <v>-2</v>
      </c>
      <c r="L1995">
        <v>-2</v>
      </c>
      <c r="M1995">
        <v>14619</v>
      </c>
      <c r="N1995">
        <v>1881</v>
      </c>
      <c r="O1995">
        <v>13750</v>
      </c>
      <c r="P1995">
        <v>9837</v>
      </c>
      <c r="Q1995">
        <v>7785</v>
      </c>
      <c r="R1995">
        <v>14460</v>
      </c>
      <c r="S1995">
        <v>12484</v>
      </c>
      <c r="T1995">
        <v>13961</v>
      </c>
      <c r="U1995">
        <v>9838</v>
      </c>
      <c r="V1995">
        <v>7785</v>
      </c>
      <c r="W1995">
        <v>14460</v>
      </c>
      <c r="X1995">
        <v>14195</v>
      </c>
      <c r="Y1995">
        <v>0</v>
      </c>
    </row>
    <row r="1996" spans="1:25" x14ac:dyDescent="0.3">
      <c r="A1996">
        <v>1995</v>
      </c>
      <c r="B1996">
        <v>20000</v>
      </c>
      <c r="C1996">
        <v>1</v>
      </c>
      <c r="D1996">
        <v>3</v>
      </c>
      <c r="E1996">
        <v>2</v>
      </c>
      <c r="F1996">
        <v>52</v>
      </c>
      <c r="G1996">
        <v>0</v>
      </c>
      <c r="H1996">
        <v>0</v>
      </c>
      <c r="I1996">
        <v>2</v>
      </c>
      <c r="J1996">
        <v>0</v>
      </c>
      <c r="K1996">
        <v>0</v>
      </c>
      <c r="L1996">
        <v>0</v>
      </c>
      <c r="M1996">
        <v>16735</v>
      </c>
      <c r="N1996">
        <v>20373</v>
      </c>
      <c r="O1996">
        <v>12071</v>
      </c>
      <c r="P1996">
        <v>12567</v>
      </c>
      <c r="Q1996">
        <v>13949</v>
      </c>
      <c r="R1996">
        <v>14318</v>
      </c>
      <c r="S1996">
        <v>4008</v>
      </c>
      <c r="T1996">
        <v>0</v>
      </c>
      <c r="U1996">
        <v>1000</v>
      </c>
      <c r="V1996">
        <v>1600</v>
      </c>
      <c r="W1996">
        <v>600</v>
      </c>
      <c r="X1996">
        <v>532</v>
      </c>
      <c r="Y1996">
        <v>0</v>
      </c>
    </row>
    <row r="1997" spans="1:25" x14ac:dyDescent="0.3">
      <c r="A1997">
        <v>1996</v>
      </c>
      <c r="B1997">
        <v>180000</v>
      </c>
      <c r="C1997">
        <v>2</v>
      </c>
      <c r="D1997">
        <v>1</v>
      </c>
      <c r="E1997">
        <v>2</v>
      </c>
      <c r="F1997">
        <v>43</v>
      </c>
      <c r="G1997">
        <v>-2</v>
      </c>
      <c r="H1997">
        <v>-1</v>
      </c>
      <c r="I1997">
        <v>-1</v>
      </c>
      <c r="J1997">
        <v>-1</v>
      </c>
      <c r="K1997">
        <v>0</v>
      </c>
      <c r="L1997">
        <v>-1</v>
      </c>
      <c r="M1997">
        <v>8657</v>
      </c>
      <c r="N1997">
        <v>6847</v>
      </c>
      <c r="O1997">
        <v>18762</v>
      </c>
      <c r="P1997">
        <v>22928</v>
      </c>
      <c r="Q1997">
        <v>3129</v>
      </c>
      <c r="R1997">
        <v>2398</v>
      </c>
      <c r="S1997">
        <v>6847</v>
      </c>
      <c r="T1997">
        <v>18762</v>
      </c>
      <c r="U1997">
        <v>22928</v>
      </c>
      <c r="V1997">
        <v>0</v>
      </c>
      <c r="W1997">
        <v>2398</v>
      </c>
      <c r="X1997">
        <v>23149</v>
      </c>
      <c r="Y1997">
        <v>0</v>
      </c>
    </row>
    <row r="1998" spans="1:25" x14ac:dyDescent="0.3">
      <c r="A1998">
        <v>1997</v>
      </c>
      <c r="B1998">
        <v>60000</v>
      </c>
      <c r="C1998">
        <v>2</v>
      </c>
      <c r="D1998">
        <v>1</v>
      </c>
      <c r="E1998">
        <v>2</v>
      </c>
      <c r="F1998">
        <v>24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15050</v>
      </c>
      <c r="N1998">
        <v>16203</v>
      </c>
      <c r="O1998">
        <v>16891</v>
      </c>
      <c r="P1998">
        <v>15474</v>
      </c>
      <c r="Q1998">
        <v>14612</v>
      </c>
      <c r="R1998">
        <v>16354</v>
      </c>
      <c r="S1998">
        <v>2000</v>
      </c>
      <c r="T1998">
        <v>1300</v>
      </c>
      <c r="U1998">
        <v>2000</v>
      </c>
      <c r="V1998">
        <v>1000</v>
      </c>
      <c r="W1998">
        <v>2000</v>
      </c>
      <c r="X1998">
        <v>1000</v>
      </c>
      <c r="Y1998">
        <v>0</v>
      </c>
    </row>
    <row r="1999" spans="1:25" x14ac:dyDescent="0.3">
      <c r="A1999">
        <v>1998</v>
      </c>
      <c r="B1999">
        <v>40000</v>
      </c>
      <c r="C1999">
        <v>2</v>
      </c>
      <c r="D1999">
        <v>3</v>
      </c>
      <c r="E1999">
        <v>1</v>
      </c>
      <c r="F1999">
        <v>59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2</v>
      </c>
      <c r="M1999">
        <v>14769</v>
      </c>
      <c r="N1999">
        <v>15271</v>
      </c>
      <c r="O1999">
        <v>15383</v>
      </c>
      <c r="P1999">
        <v>14548</v>
      </c>
      <c r="Q1999">
        <v>16274</v>
      </c>
      <c r="R1999">
        <v>15650</v>
      </c>
      <c r="S1999">
        <v>1573</v>
      </c>
      <c r="T1999">
        <v>1512</v>
      </c>
      <c r="U1999">
        <v>504</v>
      </c>
      <c r="V1999">
        <v>2770</v>
      </c>
      <c r="W1999">
        <v>613</v>
      </c>
      <c r="X1999">
        <v>14</v>
      </c>
      <c r="Y1999">
        <v>0</v>
      </c>
    </row>
    <row r="2000" spans="1:25" x14ac:dyDescent="0.3">
      <c r="A2000">
        <v>1999</v>
      </c>
      <c r="B2000">
        <v>140000</v>
      </c>
      <c r="C2000">
        <v>2</v>
      </c>
      <c r="D2000">
        <v>2</v>
      </c>
      <c r="E2000">
        <v>1</v>
      </c>
      <c r="F2000">
        <v>34</v>
      </c>
      <c r="G2000">
        <v>0</v>
      </c>
      <c r="H2000">
        <v>0</v>
      </c>
      <c r="I2000">
        <v>2</v>
      </c>
      <c r="J2000">
        <v>0</v>
      </c>
      <c r="K2000">
        <v>0</v>
      </c>
      <c r="L2000">
        <v>0</v>
      </c>
      <c r="M2000">
        <v>121374</v>
      </c>
      <c r="N2000">
        <v>125965</v>
      </c>
      <c r="O2000">
        <v>102527</v>
      </c>
      <c r="P2000">
        <v>103337</v>
      </c>
      <c r="Q2000">
        <v>105942</v>
      </c>
      <c r="R2000">
        <v>101830</v>
      </c>
      <c r="S2000">
        <v>8200</v>
      </c>
      <c r="T2000">
        <v>3000</v>
      </c>
      <c r="U2000">
        <v>4000</v>
      </c>
      <c r="V2000">
        <v>4500</v>
      </c>
      <c r="W2000">
        <v>4000</v>
      </c>
      <c r="X2000">
        <v>4200</v>
      </c>
      <c r="Y2000">
        <v>0</v>
      </c>
    </row>
    <row r="2001" spans="1:25" x14ac:dyDescent="0.3">
      <c r="A2001">
        <v>2000</v>
      </c>
      <c r="B2001">
        <v>220000</v>
      </c>
      <c r="C2001">
        <v>1</v>
      </c>
      <c r="D2001">
        <v>2</v>
      </c>
      <c r="E2001">
        <v>1</v>
      </c>
      <c r="F2001">
        <v>32</v>
      </c>
      <c r="G2001">
        <v>0</v>
      </c>
      <c r="H2001">
        <v>-1</v>
      </c>
      <c r="I2001">
        <v>-1</v>
      </c>
      <c r="J2001">
        <v>-1</v>
      </c>
      <c r="K2001">
        <v>-1</v>
      </c>
      <c r="L2001">
        <v>-1</v>
      </c>
      <c r="M2001">
        <v>8000</v>
      </c>
      <c r="N2001">
        <v>8288</v>
      </c>
      <c r="O2001">
        <v>8000</v>
      </c>
      <c r="P2001">
        <v>0</v>
      </c>
      <c r="Q2001">
        <v>8000</v>
      </c>
      <c r="R2001">
        <v>0</v>
      </c>
      <c r="S2001">
        <v>8288</v>
      </c>
      <c r="T2001">
        <v>8000</v>
      </c>
      <c r="U2001">
        <v>0</v>
      </c>
      <c r="V2001">
        <v>8000</v>
      </c>
      <c r="W2001">
        <v>0</v>
      </c>
      <c r="X2001">
        <v>0</v>
      </c>
      <c r="Y200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1DEAD-9C9B-430E-A16E-BDC0C6581C31}">
  <dimension ref="A1:AE2001"/>
  <sheetViews>
    <sheetView zoomScaleNormal="100" workbookViewId="0">
      <selection activeCell="AE3" sqref="AE2:AE3"/>
    </sheetView>
  </sheetViews>
  <sheetFormatPr defaultRowHeight="14.4" x14ac:dyDescent="0.3"/>
  <cols>
    <col min="1" max="1" width="5" bestFit="1" customWidth="1"/>
    <col min="2" max="2" width="12.109375" style="1" bestFit="1" customWidth="1"/>
    <col min="3" max="3" width="18.44140625" style="1" bestFit="1" customWidth="1"/>
    <col min="4" max="4" width="7" bestFit="1" customWidth="1"/>
    <col min="5" max="5" width="16.6640625" bestFit="1" customWidth="1"/>
    <col min="6" max="6" width="17.77734375" bestFit="1" customWidth="1"/>
    <col min="7" max="7" width="5.88671875" customWidth="1"/>
    <col min="8" max="8" width="12.44140625" customWidth="1"/>
    <col min="9" max="9" width="8.21875" bestFit="1" customWidth="1"/>
    <col min="10" max="14" width="7.5546875" customWidth="1"/>
    <col min="15" max="19" width="12.109375" style="1" bestFit="1" customWidth="1"/>
    <col min="20" max="20" width="12.6640625" style="1" bestFit="1" customWidth="1"/>
    <col min="21" max="26" width="12.109375" style="1" bestFit="1" customWidth="1"/>
    <col min="27" max="27" width="8.21875" customWidth="1"/>
    <col min="28" max="28" width="22.77734375" customWidth="1"/>
    <col min="29" max="29" width="15" bestFit="1" customWidth="1"/>
    <col min="30" max="30" width="21.6640625" bestFit="1" customWidth="1"/>
    <col min="31" max="31" width="12.6640625" bestFit="1" customWidth="1"/>
  </cols>
  <sheetData>
    <row r="1" spans="1:31" x14ac:dyDescent="0.3">
      <c r="A1" t="s">
        <v>2001</v>
      </c>
      <c r="B1" s="1" t="s">
        <v>2002</v>
      </c>
      <c r="C1" s="1" t="s">
        <v>2058</v>
      </c>
      <c r="D1" t="s">
        <v>2003</v>
      </c>
      <c r="E1" t="s">
        <v>2004</v>
      </c>
      <c r="F1" t="s">
        <v>2005</v>
      </c>
      <c r="G1" t="s">
        <v>2006</v>
      </c>
      <c r="H1" t="s">
        <v>2045</v>
      </c>
      <c r="I1" t="s">
        <v>2007</v>
      </c>
      <c r="J1" t="s">
        <v>2008</v>
      </c>
      <c r="K1" t="s">
        <v>2009</v>
      </c>
      <c r="L1" t="s">
        <v>2010</v>
      </c>
      <c r="M1" t="s">
        <v>2011</v>
      </c>
      <c r="N1" t="s">
        <v>2012</v>
      </c>
      <c r="O1" s="1" t="s">
        <v>2013</v>
      </c>
      <c r="P1" s="1" t="s">
        <v>2014</v>
      </c>
      <c r="Q1" s="1" t="s">
        <v>2015</v>
      </c>
      <c r="R1" s="1" t="s">
        <v>2016</v>
      </c>
      <c r="S1" s="1" t="s">
        <v>2017</v>
      </c>
      <c r="T1" s="1" t="s">
        <v>2018</v>
      </c>
      <c r="U1" s="1" t="s">
        <v>2019</v>
      </c>
      <c r="V1" s="1" t="s">
        <v>2020</v>
      </c>
      <c r="W1" s="1" t="s">
        <v>2021</v>
      </c>
      <c r="X1" s="1" t="s">
        <v>2022</v>
      </c>
      <c r="Y1" s="1" t="s">
        <v>2023</v>
      </c>
      <c r="Z1" s="1" t="s">
        <v>2024</v>
      </c>
      <c r="AA1" t="s">
        <v>2025</v>
      </c>
      <c r="AB1" s="1" t="s">
        <v>2040</v>
      </c>
      <c r="AC1" s="1" t="s">
        <v>2072</v>
      </c>
      <c r="AD1" s="1" t="s">
        <v>2073</v>
      </c>
    </row>
    <row r="2" spans="1:31" x14ac:dyDescent="0.3">
      <c r="A2">
        <v>1</v>
      </c>
      <c r="B2" s="1">
        <v>20000</v>
      </c>
      <c r="C2" s="1" t="str" cm="1">
        <f t="array" ref="C2">_xlfn.IFS(Table2[[#This Row],[LIMIT_BAL]]&lt;=100000,"Low",Table2[[#This Row],[LIMIT_BAL]]&lt;=300000,"Medium",
TRUE,"High"
)</f>
        <v>Low</v>
      </c>
      <c r="D2" t="s">
        <v>2041</v>
      </c>
      <c r="E2" t="s">
        <v>2043</v>
      </c>
      <c r="F2" t="s">
        <v>2028</v>
      </c>
      <c r="G2">
        <v>24</v>
      </c>
      <c r="H2" t="str" cm="1">
        <f t="array" ref="H2">_xlfn.IFS(
Table2[[#This Row],[AGE]]&lt;30,"Young",
Table2[[#This Row],[AGE]]&lt;40,"Middle Age",
Table2[[#This Row],[AGE]]&lt;50,"Senior",
TRUE,"Super Senior"
)</f>
        <v>Young</v>
      </c>
      <c r="I2">
        <v>2</v>
      </c>
      <c r="J2">
        <v>2</v>
      </c>
      <c r="K2">
        <v>-1</v>
      </c>
      <c r="L2">
        <v>-1</v>
      </c>
      <c r="M2">
        <v>-2</v>
      </c>
      <c r="N2">
        <v>-2</v>
      </c>
      <c r="O2" s="1">
        <v>3913</v>
      </c>
      <c r="P2" s="1">
        <v>3102</v>
      </c>
      <c r="Q2" s="1">
        <v>689</v>
      </c>
      <c r="R2" s="1">
        <v>0</v>
      </c>
      <c r="S2" s="1">
        <v>0</v>
      </c>
      <c r="T2" s="1">
        <v>0</v>
      </c>
      <c r="U2" s="1">
        <v>0</v>
      </c>
      <c r="V2" s="1">
        <v>689</v>
      </c>
      <c r="W2" s="1">
        <v>0</v>
      </c>
      <c r="X2" s="1">
        <v>0</v>
      </c>
      <c r="Y2" s="1">
        <v>0</v>
      </c>
      <c r="Z2" s="1">
        <v>0</v>
      </c>
      <c r="AA2">
        <v>1</v>
      </c>
      <c r="AB2" t="str">
        <f>IF(AA2=1,"Defaulter","Not Defaulter")</f>
        <v>Defaulter</v>
      </c>
      <c r="AC2" s="1">
        <f>Table2[[#This Row],[BILL_AMT1]]-Table2[[#This Row],[PAY_AMT1]]</f>
        <v>3913</v>
      </c>
      <c r="AD2" s="1" t="str" cm="1">
        <f t="array" ref="AD2">_xlfn.IFS(Table2[[#This Row],[PAYMENT GAP]]&lt;=0,"No Gap / Overpaid",Table2[[#This Row],[PAYMENT GAP]]&lt;=25000,"Low Gap",Table2[[#This Row],[PAYMENT GAP]]&lt;=100000,"Medium Gap",
TRUE,"High Gap"
)</f>
        <v>Low Gap</v>
      </c>
      <c r="AE2" s="1"/>
    </row>
    <row r="3" spans="1:31" x14ac:dyDescent="0.3">
      <c r="A3">
        <v>2</v>
      </c>
      <c r="B3" s="1">
        <v>120000</v>
      </c>
      <c r="C3" s="1" t="str" cm="1">
        <f t="array" ref="C3">_xlfn.IFS(Table2[[#This Row],[LIMIT_BAL]]&lt;=100000,"Low",Table2[[#This Row],[LIMIT_BAL]]&lt;=300000,"Medium",
TRUE,"High"
)</f>
        <v>Medium</v>
      </c>
      <c r="D3" t="s">
        <v>2041</v>
      </c>
      <c r="E3" t="s">
        <v>2043</v>
      </c>
      <c r="F3" t="s">
        <v>2029</v>
      </c>
      <c r="G3">
        <v>26</v>
      </c>
      <c r="H3" t="str" cm="1">
        <f t="array" ref="H3">_xlfn.IFS(
Table2[[#This Row],[AGE]]&lt;30,"Young",
Table2[[#This Row],[AGE]]&lt;40,"Middle Age",
Table2[[#This Row],[AGE]]&lt;50,"Senior",
TRUE,"Super Senior"
)</f>
        <v>Young</v>
      </c>
      <c r="I3">
        <v>-1</v>
      </c>
      <c r="J3">
        <v>2</v>
      </c>
      <c r="K3">
        <v>0</v>
      </c>
      <c r="L3">
        <v>0</v>
      </c>
      <c r="M3">
        <v>0</v>
      </c>
      <c r="N3">
        <v>2</v>
      </c>
      <c r="O3" s="1">
        <v>2682</v>
      </c>
      <c r="P3" s="1">
        <v>1725</v>
      </c>
      <c r="Q3" s="1">
        <v>2682</v>
      </c>
      <c r="R3" s="1">
        <v>3272</v>
      </c>
      <c r="S3" s="1">
        <v>3455</v>
      </c>
      <c r="T3" s="1">
        <v>3261</v>
      </c>
      <c r="U3" s="1">
        <v>0</v>
      </c>
      <c r="V3" s="1">
        <v>1000</v>
      </c>
      <c r="W3" s="1">
        <v>1000</v>
      </c>
      <c r="X3" s="1">
        <v>1000</v>
      </c>
      <c r="Y3" s="1">
        <v>0</v>
      </c>
      <c r="Z3" s="1">
        <v>2000</v>
      </c>
      <c r="AA3">
        <v>1</v>
      </c>
      <c r="AB3" t="str">
        <f t="shared" ref="AB3:AB66" si="0">IF(AA3=1,"Defaulter","Not Defaulter")</f>
        <v>Defaulter</v>
      </c>
      <c r="AC3" s="1">
        <f>Table2[[#This Row],[BILL_AMT1]]-Table2[[#This Row],[PAY_AMT1]]</f>
        <v>2682</v>
      </c>
      <c r="AD3" s="1" t="str" cm="1">
        <f t="array" ref="AD3">_xlfn.IFS(Table2[[#This Row],[PAYMENT GAP]]&lt;=0,"No Gap / Overpaid",Table2[[#This Row],[PAYMENT GAP]]&lt;=25000,"Low Gap",Table2[[#This Row],[PAYMENT GAP]]&lt;=100000,"Medium Gap",
TRUE,"High Gap"
)</f>
        <v>Low Gap</v>
      </c>
      <c r="AE3" s="1"/>
    </row>
    <row r="4" spans="1:31" x14ac:dyDescent="0.3">
      <c r="A4">
        <v>3</v>
      </c>
      <c r="B4" s="1">
        <v>90000</v>
      </c>
      <c r="C4" s="1" t="str" cm="1">
        <f t="array" ref="C4">_xlfn.IFS(Table2[[#This Row],[LIMIT_BAL]]&lt;=100000,"Low",Table2[[#This Row],[LIMIT_BAL]]&lt;=300000,"Medium",
TRUE,"High"
)</f>
        <v>Low</v>
      </c>
      <c r="D4" t="s">
        <v>2041</v>
      </c>
      <c r="E4" t="s">
        <v>2043</v>
      </c>
      <c r="F4" t="s">
        <v>2029</v>
      </c>
      <c r="G4">
        <v>34</v>
      </c>
      <c r="H4" t="str" cm="1">
        <f t="array" ref="H4">_xlfn.IFS(
Table2[[#This Row],[AGE]]&lt;30,"Young",
Table2[[#This Row],[AGE]]&lt;40,"Middle Age",
Table2[[#This Row],[AGE]]&lt;50,"Senior",
TRUE,"Super Senior"
)</f>
        <v>Middle Age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s="1">
        <v>29239</v>
      </c>
      <c r="P4" s="1">
        <v>14027</v>
      </c>
      <c r="Q4" s="1">
        <v>13559</v>
      </c>
      <c r="R4" s="1">
        <v>14331</v>
      </c>
      <c r="S4" s="1">
        <v>14948</v>
      </c>
      <c r="T4" s="1">
        <v>15549</v>
      </c>
      <c r="U4" s="1">
        <v>1518</v>
      </c>
      <c r="V4" s="1">
        <v>1500</v>
      </c>
      <c r="W4" s="1">
        <v>1000</v>
      </c>
      <c r="X4" s="1">
        <v>1000</v>
      </c>
      <c r="Y4" s="1">
        <v>1000</v>
      </c>
      <c r="Z4" s="1">
        <v>5000</v>
      </c>
      <c r="AA4">
        <v>0</v>
      </c>
      <c r="AB4" t="str">
        <f t="shared" si="0"/>
        <v>Not Defaulter</v>
      </c>
      <c r="AC4" s="1">
        <f>Table2[[#This Row],[BILL_AMT1]]-Table2[[#This Row],[PAY_AMT1]]</f>
        <v>27721</v>
      </c>
      <c r="AD4" s="1" t="str" cm="1">
        <f t="array" ref="AD4">_xlfn.IFS(Table2[[#This Row],[PAYMENT GAP]]&lt;=0,"No Gap / Overpaid",Table2[[#This Row],[PAYMENT GAP]]&lt;=25000,"Low Gap",Table2[[#This Row],[PAYMENT GAP]]&lt;=100000,"Medium Gap",
TRUE,"High Gap"
)</f>
        <v>Medium Gap</v>
      </c>
    </row>
    <row r="5" spans="1:31" x14ac:dyDescent="0.3">
      <c r="A5">
        <v>4</v>
      </c>
      <c r="B5" s="1">
        <v>50000</v>
      </c>
      <c r="C5" s="1" t="str" cm="1">
        <f t="array" ref="C5">_xlfn.IFS(Table2[[#This Row],[LIMIT_BAL]]&lt;=100000,"Low",Table2[[#This Row],[LIMIT_BAL]]&lt;=300000,"Medium",
TRUE,"High"
)</f>
        <v>Low</v>
      </c>
      <c r="D5" t="s">
        <v>2041</v>
      </c>
      <c r="E5" t="s">
        <v>2043</v>
      </c>
      <c r="F5" t="s">
        <v>2028</v>
      </c>
      <c r="G5">
        <v>37</v>
      </c>
      <c r="H5" t="str" cm="1">
        <f t="array" ref="H5">_xlfn.IFS(
Table2[[#This Row],[AGE]]&lt;30,"Young",
Table2[[#This Row],[AGE]]&lt;40,"Middle Age",
Table2[[#This Row],[AGE]]&lt;50,"Senior",
TRUE,"Super Senior"
)</f>
        <v>Middle Age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s="1">
        <v>46990</v>
      </c>
      <c r="P5" s="1">
        <v>48233</v>
      </c>
      <c r="Q5" s="1">
        <v>49291</v>
      </c>
      <c r="R5" s="1">
        <v>28314</v>
      </c>
      <c r="S5" s="1">
        <v>28959</v>
      </c>
      <c r="T5" s="1">
        <v>29547</v>
      </c>
      <c r="U5" s="1">
        <v>2000</v>
      </c>
      <c r="V5" s="1">
        <v>2019</v>
      </c>
      <c r="W5" s="1">
        <v>1200</v>
      </c>
      <c r="X5" s="1">
        <v>1100</v>
      </c>
      <c r="Y5" s="1">
        <v>1069</v>
      </c>
      <c r="Z5" s="1">
        <v>1000</v>
      </c>
      <c r="AA5">
        <v>0</v>
      </c>
      <c r="AB5" t="str">
        <f t="shared" si="0"/>
        <v>Not Defaulter</v>
      </c>
      <c r="AC5" s="1">
        <f>Table2[[#This Row],[BILL_AMT1]]-Table2[[#This Row],[PAY_AMT1]]</f>
        <v>44990</v>
      </c>
      <c r="AD5" s="1" t="str" cm="1">
        <f t="array" ref="AD5">_xlfn.IFS(Table2[[#This Row],[PAYMENT GAP]]&lt;=0,"No Gap / Overpaid",Table2[[#This Row],[PAYMENT GAP]]&lt;=25000,"Low Gap",Table2[[#This Row],[PAYMENT GAP]]&lt;=100000,"Medium Gap",
TRUE,"High Gap"
)</f>
        <v>Medium Gap</v>
      </c>
    </row>
    <row r="6" spans="1:31" x14ac:dyDescent="0.3">
      <c r="A6">
        <v>5</v>
      </c>
      <c r="B6" s="1">
        <v>50000</v>
      </c>
      <c r="C6" s="1" t="str" cm="1">
        <f t="array" ref="C6">_xlfn.IFS(Table2[[#This Row],[LIMIT_BAL]]&lt;=100000,"Low",Table2[[#This Row],[LIMIT_BAL]]&lt;=300000,"Medium",
TRUE,"High"
)</f>
        <v>Low</v>
      </c>
      <c r="D6" t="s">
        <v>2042</v>
      </c>
      <c r="E6" t="s">
        <v>2043</v>
      </c>
      <c r="F6" t="s">
        <v>2028</v>
      </c>
      <c r="G6">
        <v>57</v>
      </c>
      <c r="H6" t="str" cm="1">
        <f t="array" ref="H6">_xlfn.IFS(
Table2[[#This Row],[AGE]]&lt;30,"Young",
Table2[[#This Row],[AGE]]&lt;40,"Middle Age",
Table2[[#This Row],[AGE]]&lt;50,"Senior",
TRUE,"Super Senior"
)</f>
        <v>Super Senior</v>
      </c>
      <c r="I6">
        <v>-1</v>
      </c>
      <c r="J6">
        <v>0</v>
      </c>
      <c r="K6">
        <v>-1</v>
      </c>
      <c r="L6">
        <v>0</v>
      </c>
      <c r="M6">
        <v>0</v>
      </c>
      <c r="N6">
        <v>0</v>
      </c>
      <c r="O6" s="1">
        <v>8617</v>
      </c>
      <c r="P6" s="1">
        <v>5670</v>
      </c>
      <c r="Q6" s="1">
        <v>35835</v>
      </c>
      <c r="R6" s="1">
        <v>20940</v>
      </c>
      <c r="S6" s="1">
        <v>19146</v>
      </c>
      <c r="T6" s="1">
        <v>19131</v>
      </c>
      <c r="U6" s="1">
        <v>2000</v>
      </c>
      <c r="V6" s="1">
        <v>36681</v>
      </c>
      <c r="W6" s="1">
        <v>10000</v>
      </c>
      <c r="X6" s="1">
        <v>9000</v>
      </c>
      <c r="Y6" s="1">
        <v>689</v>
      </c>
      <c r="Z6" s="1">
        <v>679</v>
      </c>
      <c r="AA6">
        <v>0</v>
      </c>
      <c r="AB6" t="str">
        <f t="shared" si="0"/>
        <v>Not Defaulter</v>
      </c>
      <c r="AC6" s="1">
        <f>Table2[[#This Row],[BILL_AMT1]]-Table2[[#This Row],[PAY_AMT1]]</f>
        <v>6617</v>
      </c>
      <c r="AD6" s="1" t="str" cm="1">
        <f t="array" ref="AD6">_xlfn.IFS(Table2[[#This Row],[PAYMENT GAP]]&lt;=0,"No Gap / Overpaid",Table2[[#This Row],[PAYMENT GAP]]&lt;=25000,"Low Gap",Table2[[#This Row],[PAYMENT GAP]]&lt;=100000,"Medium Gap",
TRUE,"High Gap"
)</f>
        <v>Low Gap</v>
      </c>
    </row>
    <row r="7" spans="1:31" x14ac:dyDescent="0.3">
      <c r="A7">
        <v>6</v>
      </c>
      <c r="B7" s="1">
        <v>50000</v>
      </c>
      <c r="C7" s="1" t="str" cm="1">
        <f t="array" ref="C7">_xlfn.IFS(Table2[[#This Row],[LIMIT_BAL]]&lt;=100000,"Low",Table2[[#This Row],[LIMIT_BAL]]&lt;=300000,"Medium",
TRUE,"High"
)</f>
        <v>Low</v>
      </c>
      <c r="D7" t="s">
        <v>2042</v>
      </c>
      <c r="E7" t="s">
        <v>2026</v>
      </c>
      <c r="F7" t="s">
        <v>2029</v>
      </c>
      <c r="G7">
        <v>37</v>
      </c>
      <c r="H7" t="str" cm="1">
        <f t="array" ref="H7">_xlfn.IFS(
Table2[[#This Row],[AGE]]&lt;30,"Young",
Table2[[#This Row],[AGE]]&lt;40,"Middle Age",
Table2[[#This Row],[AGE]]&lt;50,"Senior",
TRUE,"Super Senior"
)</f>
        <v>Middle Age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 s="1">
        <v>64400</v>
      </c>
      <c r="P7" s="1">
        <v>57069</v>
      </c>
      <c r="Q7" s="1">
        <v>57608</v>
      </c>
      <c r="R7" s="1">
        <v>19394</v>
      </c>
      <c r="S7" s="1">
        <v>19619</v>
      </c>
      <c r="T7" s="1">
        <v>20024</v>
      </c>
      <c r="U7" s="1">
        <v>2500</v>
      </c>
      <c r="V7" s="1">
        <v>1815</v>
      </c>
      <c r="W7" s="1">
        <v>657</v>
      </c>
      <c r="X7" s="1">
        <v>1000</v>
      </c>
      <c r="Y7" s="1">
        <v>1000</v>
      </c>
      <c r="Z7" s="1">
        <v>800</v>
      </c>
      <c r="AA7">
        <v>0</v>
      </c>
      <c r="AB7" t="str">
        <f t="shared" si="0"/>
        <v>Not Defaulter</v>
      </c>
      <c r="AC7" s="1">
        <f>Table2[[#This Row],[BILL_AMT1]]-Table2[[#This Row],[PAY_AMT1]]</f>
        <v>61900</v>
      </c>
      <c r="AD7" s="1" t="str" cm="1">
        <f t="array" ref="AD7">_xlfn.IFS(Table2[[#This Row],[PAYMENT GAP]]&lt;=0,"No Gap / Overpaid",Table2[[#This Row],[PAYMENT GAP]]&lt;=25000,"Low Gap",Table2[[#This Row],[PAYMENT GAP]]&lt;=100000,"Medium Gap",
TRUE,"High Gap"
)</f>
        <v>Medium Gap</v>
      </c>
    </row>
    <row r="8" spans="1:31" x14ac:dyDescent="0.3">
      <c r="A8">
        <v>7</v>
      </c>
      <c r="B8" s="1">
        <v>500000</v>
      </c>
      <c r="C8" s="1" t="str" cm="1">
        <f t="array" ref="C8">_xlfn.IFS(Table2[[#This Row],[LIMIT_BAL]]&lt;=100000,"Low",Table2[[#This Row],[LIMIT_BAL]]&lt;=300000,"Medium",
TRUE,"High"
)</f>
        <v>High</v>
      </c>
      <c r="D8" t="s">
        <v>2042</v>
      </c>
      <c r="E8" t="s">
        <v>2026</v>
      </c>
      <c r="F8" t="s">
        <v>2029</v>
      </c>
      <c r="G8">
        <v>29</v>
      </c>
      <c r="H8" t="str" cm="1">
        <f t="array" ref="H8">_xlfn.IFS(
Table2[[#This Row],[AGE]]&lt;30,"Young",
Table2[[#This Row],[AGE]]&lt;40,"Middle Age",
Table2[[#This Row],[AGE]]&lt;50,"Senior",
TRUE,"Super Senior"
)</f>
        <v>Young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 s="1">
        <v>367965</v>
      </c>
      <c r="P8" s="1">
        <v>412023</v>
      </c>
      <c r="Q8" s="1">
        <v>445007</v>
      </c>
      <c r="R8" s="1">
        <v>542653</v>
      </c>
      <c r="S8" s="1">
        <v>483003</v>
      </c>
      <c r="T8" s="1">
        <v>473944</v>
      </c>
      <c r="U8" s="1">
        <v>55000</v>
      </c>
      <c r="V8" s="1">
        <v>40000</v>
      </c>
      <c r="W8" s="1">
        <v>38000</v>
      </c>
      <c r="X8" s="1">
        <v>20239</v>
      </c>
      <c r="Y8" s="1">
        <v>13750</v>
      </c>
      <c r="Z8" s="1">
        <v>13770</v>
      </c>
      <c r="AA8">
        <v>0</v>
      </c>
      <c r="AB8" t="str">
        <f t="shared" si="0"/>
        <v>Not Defaulter</v>
      </c>
      <c r="AC8" s="1">
        <f>Table2[[#This Row],[BILL_AMT1]]-Table2[[#This Row],[PAY_AMT1]]</f>
        <v>312965</v>
      </c>
      <c r="AD8" s="1" t="str" cm="1">
        <f t="array" ref="AD8">_xlfn.IFS(Table2[[#This Row],[PAYMENT GAP]]&lt;=0,"No Gap / Overpaid",Table2[[#This Row],[PAYMENT GAP]]&lt;=25000,"Low Gap",Table2[[#This Row],[PAYMENT GAP]]&lt;=100000,"Medium Gap",
TRUE,"High Gap"
)</f>
        <v>High Gap</v>
      </c>
    </row>
    <row r="9" spans="1:31" x14ac:dyDescent="0.3">
      <c r="A9">
        <v>8</v>
      </c>
      <c r="B9" s="1">
        <v>100000</v>
      </c>
      <c r="C9" s="1" t="str" cm="1">
        <f t="array" ref="C9">_xlfn.IFS(Table2[[#This Row],[LIMIT_BAL]]&lt;=100000,"Low",Table2[[#This Row],[LIMIT_BAL]]&lt;=300000,"Medium",
TRUE,"High"
)</f>
        <v>Low</v>
      </c>
      <c r="D9" t="s">
        <v>2041</v>
      </c>
      <c r="E9" t="s">
        <v>2043</v>
      </c>
      <c r="F9" t="s">
        <v>2029</v>
      </c>
      <c r="G9">
        <v>23</v>
      </c>
      <c r="H9" t="str" cm="1">
        <f t="array" ref="H9">_xlfn.IFS(
Table2[[#This Row],[AGE]]&lt;30,"Young",
Table2[[#This Row],[AGE]]&lt;40,"Middle Age",
Table2[[#This Row],[AGE]]&lt;50,"Senior",
TRUE,"Super Senior"
)</f>
        <v>Young</v>
      </c>
      <c r="I9">
        <v>0</v>
      </c>
      <c r="J9">
        <v>-1</v>
      </c>
      <c r="K9">
        <v>-1</v>
      </c>
      <c r="L9">
        <v>0</v>
      </c>
      <c r="M9">
        <v>0</v>
      </c>
      <c r="N9">
        <v>-1</v>
      </c>
      <c r="O9" s="1">
        <v>11876</v>
      </c>
      <c r="P9" s="1">
        <v>380</v>
      </c>
      <c r="Q9" s="1">
        <v>601</v>
      </c>
      <c r="R9" s="1">
        <v>221</v>
      </c>
      <c r="S9" s="1">
        <v>-159</v>
      </c>
      <c r="T9" s="1">
        <v>567</v>
      </c>
      <c r="U9" s="1">
        <v>380</v>
      </c>
      <c r="V9" s="1">
        <v>601</v>
      </c>
      <c r="W9" s="1">
        <v>0</v>
      </c>
      <c r="X9" s="1">
        <v>581</v>
      </c>
      <c r="Y9" s="1">
        <v>1687</v>
      </c>
      <c r="Z9" s="1">
        <v>1542</v>
      </c>
      <c r="AA9">
        <v>0</v>
      </c>
      <c r="AB9" t="str">
        <f t="shared" si="0"/>
        <v>Not Defaulter</v>
      </c>
      <c r="AC9" s="1">
        <f>Table2[[#This Row],[BILL_AMT1]]-Table2[[#This Row],[PAY_AMT1]]</f>
        <v>11496</v>
      </c>
      <c r="AD9" s="1" t="str" cm="1">
        <f t="array" ref="AD9">_xlfn.IFS(Table2[[#This Row],[PAYMENT GAP]]&lt;=0,"No Gap / Overpaid",Table2[[#This Row],[PAYMENT GAP]]&lt;=25000,"Low Gap",Table2[[#This Row],[PAYMENT GAP]]&lt;=100000,"Medium Gap",
TRUE,"High Gap"
)</f>
        <v>Low Gap</v>
      </c>
    </row>
    <row r="10" spans="1:31" x14ac:dyDescent="0.3">
      <c r="A10">
        <v>9</v>
      </c>
      <c r="B10" s="1">
        <v>140000</v>
      </c>
      <c r="C10" s="1" t="str" cm="1">
        <f t="array" ref="C10">_xlfn.IFS(Table2[[#This Row],[LIMIT_BAL]]&lt;=100000,"Low",Table2[[#This Row],[LIMIT_BAL]]&lt;=300000,"Medium",
TRUE,"High"
)</f>
        <v>Medium</v>
      </c>
      <c r="D10" t="s">
        <v>2041</v>
      </c>
      <c r="E10" t="s">
        <v>2027</v>
      </c>
      <c r="F10" t="s">
        <v>2028</v>
      </c>
      <c r="G10">
        <v>28</v>
      </c>
      <c r="H10" t="str" cm="1">
        <f t="array" ref="H10">_xlfn.IFS(
Table2[[#This Row],[AGE]]&lt;30,"Young",
Table2[[#This Row],[AGE]]&lt;40,"Middle Age",
Table2[[#This Row],[AGE]]&lt;50,"Senior",
TRUE,"Super Senior"
)</f>
        <v>Young</v>
      </c>
      <c r="I10">
        <v>0</v>
      </c>
      <c r="J10">
        <v>0</v>
      </c>
      <c r="K10">
        <v>2</v>
      </c>
      <c r="L10">
        <v>0</v>
      </c>
      <c r="M10">
        <v>0</v>
      </c>
      <c r="N10">
        <v>0</v>
      </c>
      <c r="O10" s="1">
        <v>11285</v>
      </c>
      <c r="P10" s="1">
        <v>14096</v>
      </c>
      <c r="Q10" s="1">
        <v>12108</v>
      </c>
      <c r="R10" s="1">
        <v>12211</v>
      </c>
      <c r="S10" s="1">
        <v>11793</v>
      </c>
      <c r="T10" s="1">
        <v>3719</v>
      </c>
      <c r="U10" s="1">
        <v>3329</v>
      </c>
      <c r="V10" s="1">
        <v>0</v>
      </c>
      <c r="W10" s="1">
        <v>432</v>
      </c>
      <c r="X10" s="1">
        <v>1000</v>
      </c>
      <c r="Y10" s="1">
        <v>1000</v>
      </c>
      <c r="Z10" s="1">
        <v>1000</v>
      </c>
      <c r="AA10">
        <v>0</v>
      </c>
      <c r="AB10" t="str">
        <f t="shared" si="0"/>
        <v>Not Defaulter</v>
      </c>
      <c r="AC10" s="1">
        <f>Table2[[#This Row],[BILL_AMT1]]-Table2[[#This Row],[PAY_AMT1]]</f>
        <v>7956</v>
      </c>
      <c r="AD10" s="1" t="str" cm="1">
        <f t="array" ref="AD10">_xlfn.IFS(Table2[[#This Row],[PAYMENT GAP]]&lt;=0,"No Gap / Overpaid",Table2[[#This Row],[PAYMENT GAP]]&lt;=25000,"Low Gap",Table2[[#This Row],[PAYMENT GAP]]&lt;=100000,"Medium Gap",
TRUE,"High Gap"
)</f>
        <v>Low Gap</v>
      </c>
    </row>
    <row r="11" spans="1:31" x14ac:dyDescent="0.3">
      <c r="A11">
        <v>10</v>
      </c>
      <c r="B11" s="1">
        <v>20000</v>
      </c>
      <c r="C11" s="1" t="str" cm="1">
        <f t="array" ref="C11">_xlfn.IFS(Table2[[#This Row],[LIMIT_BAL]]&lt;=100000,"Low",Table2[[#This Row],[LIMIT_BAL]]&lt;=300000,"Medium",
TRUE,"High"
)</f>
        <v>Low</v>
      </c>
      <c r="D11" t="s">
        <v>2042</v>
      </c>
      <c r="E11" t="s">
        <v>2027</v>
      </c>
      <c r="F11" t="s">
        <v>2029</v>
      </c>
      <c r="G11">
        <v>35</v>
      </c>
      <c r="H11" t="str" cm="1">
        <f t="array" ref="H11">_xlfn.IFS(
Table2[[#This Row],[AGE]]&lt;30,"Young",
Table2[[#This Row],[AGE]]&lt;40,"Middle Age",
Table2[[#This Row],[AGE]]&lt;50,"Senior",
TRUE,"Super Senior"
)</f>
        <v>Middle Age</v>
      </c>
      <c r="I11">
        <v>-2</v>
      </c>
      <c r="J11">
        <v>-2</v>
      </c>
      <c r="K11">
        <v>-2</v>
      </c>
      <c r="L11">
        <v>-2</v>
      </c>
      <c r="M11">
        <v>-1</v>
      </c>
      <c r="N11">
        <v>-1</v>
      </c>
      <c r="O11" s="1">
        <v>0</v>
      </c>
      <c r="P11" s="1">
        <v>0</v>
      </c>
      <c r="Q11" s="1">
        <v>0</v>
      </c>
      <c r="R11" s="1">
        <v>0</v>
      </c>
      <c r="S11" s="1">
        <v>13007</v>
      </c>
      <c r="T11" s="1">
        <v>13912</v>
      </c>
      <c r="U11" s="1">
        <v>0</v>
      </c>
      <c r="V11" s="1">
        <v>0</v>
      </c>
      <c r="W11" s="1">
        <v>0</v>
      </c>
      <c r="X11" s="1">
        <v>13007</v>
      </c>
      <c r="Y11" s="1">
        <v>1122</v>
      </c>
      <c r="Z11" s="1">
        <v>0</v>
      </c>
      <c r="AA11">
        <v>0</v>
      </c>
      <c r="AB11" t="str">
        <f t="shared" si="0"/>
        <v>Not Defaulter</v>
      </c>
      <c r="AC11" s="1">
        <f>Table2[[#This Row],[BILL_AMT1]]-Table2[[#This Row],[PAY_AMT1]]</f>
        <v>0</v>
      </c>
      <c r="AD11" s="1" t="str" cm="1">
        <f t="array" ref="AD11">_xlfn.IFS(Table2[[#This Row],[PAYMENT GAP]]&lt;=0,"No Gap / Overpaid",Table2[[#This Row],[PAYMENT GAP]]&lt;=25000,"Low Gap",Table2[[#This Row],[PAYMENT GAP]]&lt;=100000,"Medium Gap",
TRUE,"High Gap"
)</f>
        <v>No Gap / Overpaid</v>
      </c>
    </row>
    <row r="12" spans="1:31" x14ac:dyDescent="0.3">
      <c r="A12">
        <v>11</v>
      </c>
      <c r="B12" s="1">
        <v>200000</v>
      </c>
      <c r="C12" s="1" t="str" cm="1">
        <f t="array" ref="C12">_xlfn.IFS(Table2[[#This Row],[LIMIT_BAL]]&lt;=100000,"Low",Table2[[#This Row],[LIMIT_BAL]]&lt;=300000,"Medium",
TRUE,"High"
)</f>
        <v>Medium</v>
      </c>
      <c r="D12" t="s">
        <v>2041</v>
      </c>
      <c r="E12" t="s">
        <v>2027</v>
      </c>
      <c r="F12" t="s">
        <v>2029</v>
      </c>
      <c r="G12">
        <v>34</v>
      </c>
      <c r="H12" t="str" cm="1">
        <f t="array" ref="H12">_xlfn.IFS(
Table2[[#This Row],[AGE]]&lt;30,"Young",
Table2[[#This Row],[AGE]]&lt;40,"Middle Age",
Table2[[#This Row],[AGE]]&lt;50,"Senior",
TRUE,"Super Senior"
)</f>
        <v>Middle Age</v>
      </c>
      <c r="I12">
        <v>0</v>
      </c>
      <c r="J12">
        <v>0</v>
      </c>
      <c r="K12">
        <v>2</v>
      </c>
      <c r="L12">
        <v>0</v>
      </c>
      <c r="M12">
        <v>0</v>
      </c>
      <c r="N12">
        <v>-1</v>
      </c>
      <c r="O12" s="1">
        <v>11073</v>
      </c>
      <c r="P12" s="1">
        <v>9787</v>
      </c>
      <c r="Q12" s="1">
        <v>5535</v>
      </c>
      <c r="R12" s="1">
        <v>2513</v>
      </c>
      <c r="S12" s="1">
        <v>1828</v>
      </c>
      <c r="T12" s="1">
        <v>3731</v>
      </c>
      <c r="U12" s="1">
        <v>2306</v>
      </c>
      <c r="V12" s="1">
        <v>12</v>
      </c>
      <c r="W12" s="1">
        <v>50</v>
      </c>
      <c r="X12" s="1">
        <v>300</v>
      </c>
      <c r="Y12" s="1">
        <v>3738</v>
      </c>
      <c r="Z12" s="1">
        <v>66</v>
      </c>
      <c r="AA12">
        <v>0</v>
      </c>
      <c r="AB12" t="str">
        <f t="shared" si="0"/>
        <v>Not Defaulter</v>
      </c>
      <c r="AC12" s="1">
        <f>Table2[[#This Row],[BILL_AMT1]]-Table2[[#This Row],[PAY_AMT1]]</f>
        <v>8767</v>
      </c>
      <c r="AD12" s="1" t="str" cm="1">
        <f t="array" ref="AD12">_xlfn.IFS(Table2[[#This Row],[PAYMENT GAP]]&lt;=0,"No Gap / Overpaid",Table2[[#This Row],[PAYMENT GAP]]&lt;=25000,"Low Gap",Table2[[#This Row],[PAYMENT GAP]]&lt;=100000,"Medium Gap",
TRUE,"High Gap"
)</f>
        <v>Low Gap</v>
      </c>
    </row>
    <row r="13" spans="1:31" x14ac:dyDescent="0.3">
      <c r="A13">
        <v>12</v>
      </c>
      <c r="B13" s="1">
        <v>260000</v>
      </c>
      <c r="C13" s="1" t="str" cm="1">
        <f t="array" ref="C13">_xlfn.IFS(Table2[[#This Row],[LIMIT_BAL]]&lt;=100000,"Low",Table2[[#This Row],[LIMIT_BAL]]&lt;=300000,"Medium",
TRUE,"High"
)</f>
        <v>Medium</v>
      </c>
      <c r="D13" t="s">
        <v>2041</v>
      </c>
      <c r="E13" t="s">
        <v>2026</v>
      </c>
      <c r="F13" t="s">
        <v>2029</v>
      </c>
      <c r="G13">
        <v>51</v>
      </c>
      <c r="H13" t="str" cm="1">
        <f t="array" ref="H13">_xlfn.IFS(
Table2[[#This Row],[AGE]]&lt;30,"Young",
Table2[[#This Row],[AGE]]&lt;40,"Middle Age",
Table2[[#This Row],[AGE]]&lt;50,"Senior",
TRUE,"Super Senior"
)</f>
        <v>Super Senior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2</v>
      </c>
      <c r="O13" s="1">
        <v>12261</v>
      </c>
      <c r="P13" s="1">
        <v>21670</v>
      </c>
      <c r="Q13" s="1">
        <v>9966</v>
      </c>
      <c r="R13" s="1">
        <v>8517</v>
      </c>
      <c r="S13" s="1">
        <v>22287</v>
      </c>
      <c r="T13" s="1">
        <v>13668</v>
      </c>
      <c r="U13" s="1">
        <v>21818</v>
      </c>
      <c r="V13" s="1">
        <v>9966</v>
      </c>
      <c r="W13" s="1">
        <v>8583</v>
      </c>
      <c r="X13" s="1">
        <v>22301</v>
      </c>
      <c r="Y13" s="1">
        <v>0</v>
      </c>
      <c r="Z13" s="1">
        <v>3640</v>
      </c>
      <c r="AA13">
        <v>0</v>
      </c>
      <c r="AB13" t="str">
        <f t="shared" si="0"/>
        <v>Not Defaulter</v>
      </c>
      <c r="AC13" s="1">
        <f>Table2[[#This Row],[BILL_AMT1]]-Table2[[#This Row],[PAY_AMT1]]</f>
        <v>-9557</v>
      </c>
      <c r="AD13" s="1" t="str" cm="1">
        <f t="array" ref="AD13">_xlfn.IFS(Table2[[#This Row],[PAYMENT GAP]]&lt;=0,"No Gap / Overpaid",Table2[[#This Row],[PAYMENT GAP]]&lt;=25000,"Low Gap",Table2[[#This Row],[PAYMENT GAP]]&lt;=100000,"Medium Gap",
TRUE,"High Gap"
)</f>
        <v>No Gap / Overpaid</v>
      </c>
    </row>
    <row r="14" spans="1:31" x14ac:dyDescent="0.3">
      <c r="A14">
        <v>13</v>
      </c>
      <c r="B14" s="1">
        <v>630000</v>
      </c>
      <c r="C14" s="1" t="str" cm="1">
        <f t="array" ref="C14">_xlfn.IFS(Table2[[#This Row],[LIMIT_BAL]]&lt;=100000,"Low",Table2[[#This Row],[LIMIT_BAL]]&lt;=300000,"Medium",
TRUE,"High"
)</f>
        <v>High</v>
      </c>
      <c r="D14" t="s">
        <v>2041</v>
      </c>
      <c r="E14" t="s">
        <v>2043</v>
      </c>
      <c r="F14" t="s">
        <v>2029</v>
      </c>
      <c r="G14">
        <v>41</v>
      </c>
      <c r="H14" t="str" cm="1">
        <f t="array" ref="H14">_xlfn.IFS(
Table2[[#This Row],[AGE]]&lt;30,"Young",
Table2[[#This Row],[AGE]]&lt;40,"Middle Age",
Table2[[#This Row],[AGE]]&lt;50,"Senior",
TRUE,"Super Senior"
)</f>
        <v>Senior</v>
      </c>
      <c r="I14">
        <v>-1</v>
      </c>
      <c r="J14">
        <v>0</v>
      </c>
      <c r="K14">
        <v>-1</v>
      </c>
      <c r="L14">
        <v>-1</v>
      </c>
      <c r="M14">
        <v>-1</v>
      </c>
      <c r="N14">
        <v>-1</v>
      </c>
      <c r="O14" s="1">
        <v>12137</v>
      </c>
      <c r="P14" s="1">
        <v>6500</v>
      </c>
      <c r="Q14" s="1">
        <v>6500</v>
      </c>
      <c r="R14" s="1">
        <v>6500</v>
      </c>
      <c r="S14" s="1">
        <v>6500</v>
      </c>
      <c r="T14" s="1">
        <v>2870</v>
      </c>
      <c r="U14" s="1">
        <v>1000</v>
      </c>
      <c r="V14" s="1">
        <v>6500</v>
      </c>
      <c r="W14" s="1">
        <v>6500</v>
      </c>
      <c r="X14" s="1">
        <v>6500</v>
      </c>
      <c r="Y14" s="1">
        <v>2870</v>
      </c>
      <c r="Z14" s="1">
        <v>0</v>
      </c>
      <c r="AA14">
        <v>0</v>
      </c>
      <c r="AB14" t="str">
        <f t="shared" si="0"/>
        <v>Not Defaulter</v>
      </c>
      <c r="AC14" s="1">
        <f>Table2[[#This Row],[BILL_AMT1]]-Table2[[#This Row],[PAY_AMT1]]</f>
        <v>11137</v>
      </c>
      <c r="AD14" s="1" t="str" cm="1">
        <f t="array" ref="AD14">_xlfn.IFS(Table2[[#This Row],[PAYMENT GAP]]&lt;=0,"No Gap / Overpaid",Table2[[#This Row],[PAYMENT GAP]]&lt;=25000,"Low Gap",Table2[[#This Row],[PAYMENT GAP]]&lt;=100000,"Medium Gap",
TRUE,"High Gap"
)</f>
        <v>Low Gap</v>
      </c>
    </row>
    <row r="15" spans="1:31" x14ac:dyDescent="0.3">
      <c r="A15">
        <v>14</v>
      </c>
      <c r="B15" s="1">
        <v>70000</v>
      </c>
      <c r="C15" s="1" t="str" cm="1">
        <f t="array" ref="C15">_xlfn.IFS(Table2[[#This Row],[LIMIT_BAL]]&lt;=100000,"Low",Table2[[#This Row],[LIMIT_BAL]]&lt;=300000,"Medium",
TRUE,"High"
)</f>
        <v>Low</v>
      </c>
      <c r="D15" t="s">
        <v>2042</v>
      </c>
      <c r="E15" t="s">
        <v>2043</v>
      </c>
      <c r="F15" t="s">
        <v>2029</v>
      </c>
      <c r="G15">
        <v>30</v>
      </c>
      <c r="H15" t="str" cm="1">
        <f t="array" ref="H15">_xlfn.IFS(
Table2[[#This Row],[AGE]]&lt;30,"Young",
Table2[[#This Row],[AGE]]&lt;40,"Middle Age",
Table2[[#This Row],[AGE]]&lt;50,"Senior",
TRUE,"Super Senior"
)</f>
        <v>Middle Age</v>
      </c>
      <c r="I15">
        <v>1</v>
      </c>
      <c r="J15">
        <v>2</v>
      </c>
      <c r="K15">
        <v>2</v>
      </c>
      <c r="L15">
        <v>0</v>
      </c>
      <c r="M15">
        <v>0</v>
      </c>
      <c r="N15">
        <v>2</v>
      </c>
      <c r="O15" s="1">
        <v>65802</v>
      </c>
      <c r="P15" s="1">
        <v>67369</v>
      </c>
      <c r="Q15" s="1">
        <v>65701</v>
      </c>
      <c r="R15" s="1">
        <v>66782</v>
      </c>
      <c r="S15" s="1">
        <v>36137</v>
      </c>
      <c r="T15" s="1">
        <v>36894</v>
      </c>
      <c r="U15" s="1">
        <v>3200</v>
      </c>
      <c r="V15" s="1">
        <v>0</v>
      </c>
      <c r="W15" s="1">
        <v>3000</v>
      </c>
      <c r="X15" s="1">
        <v>3000</v>
      </c>
      <c r="Y15" s="1">
        <v>1500</v>
      </c>
      <c r="Z15" s="1">
        <v>0</v>
      </c>
      <c r="AA15">
        <v>1</v>
      </c>
      <c r="AB15" t="str">
        <f t="shared" si="0"/>
        <v>Defaulter</v>
      </c>
      <c r="AC15" s="1">
        <f>Table2[[#This Row],[BILL_AMT1]]-Table2[[#This Row],[PAY_AMT1]]</f>
        <v>62602</v>
      </c>
      <c r="AD15" s="1" t="str" cm="1">
        <f t="array" ref="AD15">_xlfn.IFS(Table2[[#This Row],[PAYMENT GAP]]&lt;=0,"No Gap / Overpaid",Table2[[#This Row],[PAYMENT GAP]]&lt;=25000,"Low Gap",Table2[[#This Row],[PAYMENT GAP]]&lt;=100000,"Medium Gap",
TRUE,"High Gap"
)</f>
        <v>Medium Gap</v>
      </c>
    </row>
    <row r="16" spans="1:31" x14ac:dyDescent="0.3">
      <c r="A16">
        <v>15</v>
      </c>
      <c r="B16" s="1">
        <v>250000</v>
      </c>
      <c r="C16" s="1" t="str" cm="1">
        <f t="array" ref="C16">_xlfn.IFS(Table2[[#This Row],[LIMIT_BAL]]&lt;=100000,"Low",Table2[[#This Row],[LIMIT_BAL]]&lt;=300000,"Medium",
TRUE,"High"
)</f>
        <v>Medium</v>
      </c>
      <c r="D16" t="s">
        <v>2042</v>
      </c>
      <c r="E16" t="s">
        <v>2026</v>
      </c>
      <c r="F16" t="s">
        <v>2029</v>
      </c>
      <c r="G16">
        <v>29</v>
      </c>
      <c r="H16" t="str" cm="1">
        <f t="array" ref="H16">_xlfn.IFS(
Table2[[#This Row],[AGE]]&lt;30,"Young",
Table2[[#This Row],[AGE]]&lt;40,"Middle Age",
Table2[[#This Row],[AGE]]&lt;50,"Senior",
TRUE,"Super Senior"
)</f>
        <v>Young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 s="1">
        <v>70887</v>
      </c>
      <c r="P16" s="1">
        <v>67060</v>
      </c>
      <c r="Q16" s="1">
        <v>63561</v>
      </c>
      <c r="R16" s="1">
        <v>59696</v>
      </c>
      <c r="S16" s="1">
        <v>56875</v>
      </c>
      <c r="T16" s="1">
        <v>55512</v>
      </c>
      <c r="U16" s="1">
        <v>3000</v>
      </c>
      <c r="V16" s="1">
        <v>3000</v>
      </c>
      <c r="W16" s="1">
        <v>3000</v>
      </c>
      <c r="X16" s="1">
        <v>3000</v>
      </c>
      <c r="Y16" s="1">
        <v>3000</v>
      </c>
      <c r="Z16" s="1">
        <v>3000</v>
      </c>
      <c r="AA16">
        <v>0</v>
      </c>
      <c r="AB16" t="str">
        <f t="shared" si="0"/>
        <v>Not Defaulter</v>
      </c>
      <c r="AC16" s="1">
        <f>Table2[[#This Row],[BILL_AMT1]]-Table2[[#This Row],[PAY_AMT1]]</f>
        <v>67887</v>
      </c>
      <c r="AD16" s="1" t="str" cm="1">
        <f t="array" ref="AD16">_xlfn.IFS(Table2[[#This Row],[PAYMENT GAP]]&lt;=0,"No Gap / Overpaid",Table2[[#This Row],[PAYMENT GAP]]&lt;=25000,"Low Gap",Table2[[#This Row],[PAYMENT GAP]]&lt;=100000,"Medium Gap",
TRUE,"High Gap"
)</f>
        <v>Medium Gap</v>
      </c>
    </row>
    <row r="17" spans="1:30" x14ac:dyDescent="0.3">
      <c r="A17">
        <v>16</v>
      </c>
      <c r="B17" s="1">
        <v>50000</v>
      </c>
      <c r="C17" s="1" t="str" cm="1">
        <f t="array" ref="C17">_xlfn.IFS(Table2[[#This Row],[LIMIT_BAL]]&lt;=100000,"Low",Table2[[#This Row],[LIMIT_BAL]]&lt;=300000,"Medium",
TRUE,"High"
)</f>
        <v>Low</v>
      </c>
      <c r="D17" t="s">
        <v>2041</v>
      </c>
      <c r="E17" t="s">
        <v>2027</v>
      </c>
      <c r="F17" t="s">
        <v>2055</v>
      </c>
      <c r="G17">
        <v>23</v>
      </c>
      <c r="H17" t="str" cm="1">
        <f t="array" ref="H17">_xlfn.IFS(
Table2[[#This Row],[AGE]]&lt;30,"Young",
Table2[[#This Row],[AGE]]&lt;40,"Middle Age",
Table2[[#This Row],[AGE]]&lt;50,"Senior",
TRUE,"Super Senior"
)</f>
        <v>Young</v>
      </c>
      <c r="I17">
        <v>1</v>
      </c>
      <c r="J17">
        <v>2</v>
      </c>
      <c r="K17">
        <v>0</v>
      </c>
      <c r="L17">
        <v>0</v>
      </c>
      <c r="M17">
        <v>0</v>
      </c>
      <c r="N17">
        <v>0</v>
      </c>
      <c r="O17" s="1">
        <v>50614</v>
      </c>
      <c r="P17" s="1">
        <v>29173</v>
      </c>
      <c r="Q17" s="1">
        <v>28116</v>
      </c>
      <c r="R17" s="1">
        <v>28771</v>
      </c>
      <c r="S17" s="1">
        <v>29531</v>
      </c>
      <c r="T17" s="1">
        <v>30211</v>
      </c>
      <c r="U17" s="1">
        <v>0</v>
      </c>
      <c r="V17" s="1">
        <v>1500</v>
      </c>
      <c r="W17" s="1">
        <v>1100</v>
      </c>
      <c r="X17" s="1">
        <v>1200</v>
      </c>
      <c r="Y17" s="1">
        <v>1300</v>
      </c>
      <c r="Z17" s="1">
        <v>1100</v>
      </c>
      <c r="AA17">
        <v>0</v>
      </c>
      <c r="AB17" t="str">
        <f t="shared" si="0"/>
        <v>Not Defaulter</v>
      </c>
      <c r="AC17" s="1">
        <f>Table2[[#This Row],[BILL_AMT1]]-Table2[[#This Row],[PAY_AMT1]]</f>
        <v>50614</v>
      </c>
      <c r="AD17" s="1" t="str" cm="1">
        <f t="array" ref="AD17">_xlfn.IFS(Table2[[#This Row],[PAYMENT GAP]]&lt;=0,"No Gap / Overpaid",Table2[[#This Row],[PAYMENT GAP]]&lt;=25000,"Low Gap",Table2[[#This Row],[PAYMENT GAP]]&lt;=100000,"Medium Gap",
TRUE,"High Gap"
)</f>
        <v>Medium Gap</v>
      </c>
    </row>
    <row r="18" spans="1:30" x14ac:dyDescent="0.3">
      <c r="A18">
        <v>17</v>
      </c>
      <c r="B18" s="1">
        <v>20000</v>
      </c>
      <c r="C18" s="1" t="str" cm="1">
        <f t="array" ref="C18">_xlfn.IFS(Table2[[#This Row],[LIMIT_BAL]]&lt;=100000,"Low",Table2[[#This Row],[LIMIT_BAL]]&lt;=300000,"Medium",
TRUE,"High"
)</f>
        <v>Low</v>
      </c>
      <c r="D18" t="s">
        <v>2042</v>
      </c>
      <c r="E18" t="s">
        <v>2026</v>
      </c>
      <c r="F18" t="s">
        <v>2029</v>
      </c>
      <c r="G18">
        <v>24</v>
      </c>
      <c r="H18" t="str" cm="1">
        <f t="array" ref="H18">_xlfn.IFS(
Table2[[#This Row],[AGE]]&lt;30,"Young",
Table2[[#This Row],[AGE]]&lt;40,"Middle Age",
Table2[[#This Row],[AGE]]&lt;50,"Senior",
TRUE,"Super Senior"
)</f>
        <v>Young</v>
      </c>
      <c r="I18">
        <v>0</v>
      </c>
      <c r="J18">
        <v>0</v>
      </c>
      <c r="K18">
        <v>2</v>
      </c>
      <c r="L18">
        <v>2</v>
      </c>
      <c r="M18">
        <v>2</v>
      </c>
      <c r="N18">
        <v>2</v>
      </c>
      <c r="O18" s="1">
        <v>15376</v>
      </c>
      <c r="P18" s="1">
        <v>18010</v>
      </c>
      <c r="Q18" s="1">
        <v>17428</v>
      </c>
      <c r="R18" s="1">
        <v>18338</v>
      </c>
      <c r="S18" s="1">
        <v>17905</v>
      </c>
      <c r="T18" s="1">
        <v>19104</v>
      </c>
      <c r="U18" s="1">
        <v>3200</v>
      </c>
      <c r="V18" s="1">
        <v>0</v>
      </c>
      <c r="W18" s="1">
        <v>1500</v>
      </c>
      <c r="X18" s="1">
        <v>0</v>
      </c>
      <c r="Y18" s="1">
        <v>1650</v>
      </c>
      <c r="Z18" s="1">
        <v>0</v>
      </c>
      <c r="AA18">
        <v>1</v>
      </c>
      <c r="AB18" t="str">
        <f t="shared" si="0"/>
        <v>Defaulter</v>
      </c>
      <c r="AC18" s="1">
        <f>Table2[[#This Row],[BILL_AMT1]]-Table2[[#This Row],[PAY_AMT1]]</f>
        <v>12176</v>
      </c>
      <c r="AD18" s="1" t="str" cm="1">
        <f t="array" ref="AD18">_xlfn.IFS(Table2[[#This Row],[PAYMENT GAP]]&lt;=0,"No Gap / Overpaid",Table2[[#This Row],[PAYMENT GAP]]&lt;=25000,"Low Gap",Table2[[#This Row],[PAYMENT GAP]]&lt;=100000,"Medium Gap",
TRUE,"High Gap"
)</f>
        <v>Low Gap</v>
      </c>
    </row>
    <row r="19" spans="1:30" x14ac:dyDescent="0.3">
      <c r="A19">
        <v>18</v>
      </c>
      <c r="B19" s="1">
        <v>320000</v>
      </c>
      <c r="C19" s="1" t="str" cm="1">
        <f t="array" ref="C19">_xlfn.IFS(Table2[[#This Row],[LIMIT_BAL]]&lt;=100000,"Low",Table2[[#This Row],[LIMIT_BAL]]&lt;=300000,"Medium",
TRUE,"High"
)</f>
        <v>High</v>
      </c>
      <c r="D19" t="s">
        <v>2042</v>
      </c>
      <c r="E19" t="s">
        <v>2026</v>
      </c>
      <c r="F19" t="s">
        <v>2028</v>
      </c>
      <c r="G19">
        <v>49</v>
      </c>
      <c r="H19" t="str" cm="1">
        <f t="array" ref="H19">_xlfn.IFS(
Table2[[#This Row],[AGE]]&lt;30,"Young",
Table2[[#This Row],[AGE]]&lt;40,"Middle Age",
Table2[[#This Row],[AGE]]&lt;50,"Senior",
TRUE,"Super Senior"
)</f>
        <v>Senior</v>
      </c>
      <c r="I19">
        <v>0</v>
      </c>
      <c r="J19">
        <v>0</v>
      </c>
      <c r="K19">
        <v>0</v>
      </c>
      <c r="L19">
        <v>-1</v>
      </c>
      <c r="M19">
        <v>-1</v>
      </c>
      <c r="N19">
        <v>-1</v>
      </c>
      <c r="O19" s="1">
        <v>253286</v>
      </c>
      <c r="P19" s="1">
        <v>246536</v>
      </c>
      <c r="Q19" s="1">
        <v>194663</v>
      </c>
      <c r="R19" s="1">
        <v>70074</v>
      </c>
      <c r="S19" s="1">
        <v>5856</v>
      </c>
      <c r="T19" s="1">
        <v>195599</v>
      </c>
      <c r="U19" s="1">
        <v>10358</v>
      </c>
      <c r="V19" s="1">
        <v>10000</v>
      </c>
      <c r="W19" s="1">
        <v>75940</v>
      </c>
      <c r="X19" s="1">
        <v>20000</v>
      </c>
      <c r="Y19" s="1">
        <v>195599</v>
      </c>
      <c r="Z19" s="1">
        <v>50000</v>
      </c>
      <c r="AA19">
        <v>0</v>
      </c>
      <c r="AB19" t="str">
        <f t="shared" si="0"/>
        <v>Not Defaulter</v>
      </c>
      <c r="AC19" s="1">
        <f>Table2[[#This Row],[BILL_AMT1]]-Table2[[#This Row],[PAY_AMT1]]</f>
        <v>242928</v>
      </c>
      <c r="AD19" s="1" t="str" cm="1">
        <f t="array" ref="AD19">_xlfn.IFS(Table2[[#This Row],[PAYMENT GAP]]&lt;=0,"No Gap / Overpaid",Table2[[#This Row],[PAYMENT GAP]]&lt;=25000,"Low Gap",Table2[[#This Row],[PAYMENT GAP]]&lt;=100000,"Medium Gap",
TRUE,"High Gap"
)</f>
        <v>High Gap</v>
      </c>
    </row>
    <row r="20" spans="1:30" x14ac:dyDescent="0.3">
      <c r="A20">
        <v>19</v>
      </c>
      <c r="B20" s="1">
        <v>360000</v>
      </c>
      <c r="C20" s="1" t="str" cm="1">
        <f t="array" ref="C20">_xlfn.IFS(Table2[[#This Row],[LIMIT_BAL]]&lt;=100000,"Low",Table2[[#This Row],[LIMIT_BAL]]&lt;=300000,"Medium",
TRUE,"High"
)</f>
        <v>High</v>
      </c>
      <c r="D20" t="s">
        <v>2041</v>
      </c>
      <c r="E20" t="s">
        <v>2026</v>
      </c>
      <c r="F20" t="s">
        <v>2028</v>
      </c>
      <c r="G20">
        <v>49</v>
      </c>
      <c r="H20" t="str" cm="1">
        <f t="array" ref="H20">_xlfn.IFS(
Table2[[#This Row],[AGE]]&lt;30,"Young",
Table2[[#This Row],[AGE]]&lt;40,"Middle Age",
Table2[[#This Row],[AGE]]&lt;50,"Senior",
TRUE,"Super Senior"
)</f>
        <v>Senior</v>
      </c>
      <c r="I20">
        <v>1</v>
      </c>
      <c r="J20">
        <v>-2</v>
      </c>
      <c r="K20">
        <v>-2</v>
      </c>
      <c r="L20">
        <v>-2</v>
      </c>
      <c r="M20">
        <v>-2</v>
      </c>
      <c r="N20">
        <v>-2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>
        <v>0</v>
      </c>
      <c r="AB20" t="str">
        <f t="shared" si="0"/>
        <v>Not Defaulter</v>
      </c>
      <c r="AC20" s="1">
        <f>Table2[[#This Row],[BILL_AMT1]]-Table2[[#This Row],[PAY_AMT1]]</f>
        <v>0</v>
      </c>
      <c r="AD20" s="1" t="str" cm="1">
        <f t="array" ref="AD20">_xlfn.IFS(Table2[[#This Row],[PAYMENT GAP]]&lt;=0,"No Gap / Overpaid",Table2[[#This Row],[PAYMENT GAP]]&lt;=25000,"Low Gap",Table2[[#This Row],[PAYMENT GAP]]&lt;=100000,"Medium Gap",
TRUE,"High Gap"
)</f>
        <v>No Gap / Overpaid</v>
      </c>
    </row>
    <row r="21" spans="1:30" x14ac:dyDescent="0.3">
      <c r="A21">
        <v>20</v>
      </c>
      <c r="B21" s="1">
        <v>180000</v>
      </c>
      <c r="C21" s="1" t="str" cm="1">
        <f t="array" ref="C21">_xlfn.IFS(Table2[[#This Row],[LIMIT_BAL]]&lt;=100000,"Low",Table2[[#This Row],[LIMIT_BAL]]&lt;=300000,"Medium",
TRUE,"High"
)</f>
        <v>Medium</v>
      </c>
      <c r="D21" t="s">
        <v>2041</v>
      </c>
      <c r="E21" t="s">
        <v>2026</v>
      </c>
      <c r="F21" t="s">
        <v>2029</v>
      </c>
      <c r="G21">
        <v>29</v>
      </c>
      <c r="H21" t="str" cm="1">
        <f t="array" ref="H21">_xlfn.IFS(
Table2[[#This Row],[AGE]]&lt;30,"Young",
Table2[[#This Row],[AGE]]&lt;40,"Middle Age",
Table2[[#This Row],[AGE]]&lt;50,"Senior",
TRUE,"Super Senior"
)</f>
        <v>Young</v>
      </c>
      <c r="I21">
        <v>1</v>
      </c>
      <c r="J21">
        <v>-2</v>
      </c>
      <c r="K21">
        <v>-2</v>
      </c>
      <c r="L21">
        <v>-2</v>
      </c>
      <c r="M21">
        <v>-2</v>
      </c>
      <c r="N21">
        <v>-2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>
        <v>0</v>
      </c>
      <c r="AB21" t="str">
        <f t="shared" si="0"/>
        <v>Not Defaulter</v>
      </c>
      <c r="AC21" s="1">
        <f>Table2[[#This Row],[BILL_AMT1]]-Table2[[#This Row],[PAY_AMT1]]</f>
        <v>0</v>
      </c>
      <c r="AD21" s="1" t="str" cm="1">
        <f t="array" ref="AD21">_xlfn.IFS(Table2[[#This Row],[PAYMENT GAP]]&lt;=0,"No Gap / Overpaid",Table2[[#This Row],[PAYMENT GAP]]&lt;=25000,"Low Gap",Table2[[#This Row],[PAYMENT GAP]]&lt;=100000,"Medium Gap",
TRUE,"High Gap"
)</f>
        <v>No Gap / Overpaid</v>
      </c>
    </row>
    <row r="22" spans="1:30" x14ac:dyDescent="0.3">
      <c r="A22">
        <v>21</v>
      </c>
      <c r="B22" s="1">
        <v>130000</v>
      </c>
      <c r="C22" s="1" t="str" cm="1">
        <f t="array" ref="C22">_xlfn.IFS(Table2[[#This Row],[LIMIT_BAL]]&lt;=100000,"Low",Table2[[#This Row],[LIMIT_BAL]]&lt;=300000,"Medium",
TRUE,"High"
)</f>
        <v>Medium</v>
      </c>
      <c r="D22" t="s">
        <v>2041</v>
      </c>
      <c r="E22" t="s">
        <v>2027</v>
      </c>
      <c r="F22" t="s">
        <v>2029</v>
      </c>
      <c r="G22">
        <v>39</v>
      </c>
      <c r="H22" t="str" cm="1">
        <f t="array" ref="H22">_xlfn.IFS(
Table2[[#This Row],[AGE]]&lt;30,"Young",
Table2[[#This Row],[AGE]]&lt;40,"Middle Age",
Table2[[#This Row],[AGE]]&lt;50,"Senior",
TRUE,"Super Senior"
)</f>
        <v>Middle Age</v>
      </c>
      <c r="I22">
        <v>0</v>
      </c>
      <c r="J22">
        <v>0</v>
      </c>
      <c r="K22">
        <v>0</v>
      </c>
      <c r="L22">
        <v>0</v>
      </c>
      <c r="M22">
        <v>0</v>
      </c>
      <c r="N22">
        <v>-1</v>
      </c>
      <c r="O22" s="1">
        <v>38358</v>
      </c>
      <c r="P22" s="1">
        <v>27688</v>
      </c>
      <c r="Q22" s="1">
        <v>24489</v>
      </c>
      <c r="R22" s="1">
        <v>20616</v>
      </c>
      <c r="S22" s="1">
        <v>11802</v>
      </c>
      <c r="T22" s="1">
        <v>930</v>
      </c>
      <c r="U22" s="1">
        <v>3000</v>
      </c>
      <c r="V22" s="1">
        <v>1537</v>
      </c>
      <c r="W22" s="1">
        <v>1000</v>
      </c>
      <c r="X22" s="1">
        <v>2000</v>
      </c>
      <c r="Y22" s="1">
        <v>930</v>
      </c>
      <c r="Z22" s="1">
        <v>33764</v>
      </c>
      <c r="AA22">
        <v>0</v>
      </c>
      <c r="AB22" t="str">
        <f t="shared" si="0"/>
        <v>Not Defaulter</v>
      </c>
      <c r="AC22" s="1">
        <f>Table2[[#This Row],[BILL_AMT1]]-Table2[[#This Row],[PAY_AMT1]]</f>
        <v>35358</v>
      </c>
      <c r="AD22" s="1" t="str" cm="1">
        <f t="array" ref="AD22">_xlfn.IFS(Table2[[#This Row],[PAYMENT GAP]]&lt;=0,"No Gap / Overpaid",Table2[[#This Row],[PAYMENT GAP]]&lt;=25000,"Low Gap",Table2[[#This Row],[PAYMENT GAP]]&lt;=100000,"Medium Gap",
TRUE,"High Gap"
)</f>
        <v>Medium Gap</v>
      </c>
    </row>
    <row r="23" spans="1:30" x14ac:dyDescent="0.3">
      <c r="A23">
        <v>22</v>
      </c>
      <c r="B23" s="1">
        <v>120000</v>
      </c>
      <c r="C23" s="1" t="str" cm="1">
        <f t="array" ref="C23">_xlfn.IFS(Table2[[#This Row],[LIMIT_BAL]]&lt;=100000,"Low",Table2[[#This Row],[LIMIT_BAL]]&lt;=300000,"Medium",
TRUE,"High"
)</f>
        <v>Medium</v>
      </c>
      <c r="D23" t="s">
        <v>2041</v>
      </c>
      <c r="E23" t="s">
        <v>2043</v>
      </c>
      <c r="F23" t="s">
        <v>2028</v>
      </c>
      <c r="G23">
        <v>39</v>
      </c>
      <c r="H23" t="str" cm="1">
        <f t="array" ref="H23">_xlfn.IFS(
Table2[[#This Row],[AGE]]&lt;30,"Young",
Table2[[#This Row],[AGE]]&lt;40,"Middle Age",
Table2[[#This Row],[AGE]]&lt;50,"Senior",
TRUE,"Super Senior"
)</f>
        <v>Middle Age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 s="1">
        <v>316</v>
      </c>
      <c r="P23" s="1">
        <v>316</v>
      </c>
      <c r="Q23" s="1">
        <v>316</v>
      </c>
      <c r="R23" s="1">
        <v>0</v>
      </c>
      <c r="S23" s="1">
        <v>632</v>
      </c>
      <c r="T23" s="1">
        <v>316</v>
      </c>
      <c r="U23" s="1">
        <v>316</v>
      </c>
      <c r="V23" s="1">
        <v>316</v>
      </c>
      <c r="W23" s="1">
        <v>0</v>
      </c>
      <c r="X23" s="1">
        <v>632</v>
      </c>
      <c r="Y23" s="1">
        <v>316</v>
      </c>
      <c r="Z23" s="1">
        <v>0</v>
      </c>
      <c r="AA23">
        <v>1</v>
      </c>
      <c r="AB23" t="str">
        <f t="shared" si="0"/>
        <v>Defaulter</v>
      </c>
      <c r="AC23" s="1">
        <f>Table2[[#This Row],[BILL_AMT1]]-Table2[[#This Row],[PAY_AMT1]]</f>
        <v>0</v>
      </c>
      <c r="AD23" s="1" t="str" cm="1">
        <f t="array" ref="AD23">_xlfn.IFS(Table2[[#This Row],[PAYMENT GAP]]&lt;=0,"No Gap / Overpaid",Table2[[#This Row],[PAYMENT GAP]]&lt;=25000,"Low Gap",Table2[[#This Row],[PAYMENT GAP]]&lt;=100000,"Medium Gap",
TRUE,"High Gap"
)</f>
        <v>No Gap / Overpaid</v>
      </c>
    </row>
    <row r="24" spans="1:30" x14ac:dyDescent="0.3">
      <c r="A24">
        <v>23</v>
      </c>
      <c r="B24" s="1">
        <v>70000</v>
      </c>
      <c r="C24" s="1" t="str" cm="1">
        <f t="array" ref="C24">_xlfn.IFS(Table2[[#This Row],[LIMIT_BAL]]&lt;=100000,"Low",Table2[[#This Row],[LIMIT_BAL]]&lt;=300000,"Medium",
TRUE,"High"
)</f>
        <v>Low</v>
      </c>
      <c r="D24" t="s">
        <v>2041</v>
      </c>
      <c r="E24" t="s">
        <v>2043</v>
      </c>
      <c r="F24" t="s">
        <v>2029</v>
      </c>
      <c r="G24">
        <v>26</v>
      </c>
      <c r="H24" t="str" cm="1">
        <f t="array" ref="H24">_xlfn.IFS(
Table2[[#This Row],[AGE]]&lt;30,"Young",
Table2[[#This Row],[AGE]]&lt;40,"Middle Age",
Table2[[#This Row],[AGE]]&lt;50,"Senior",
TRUE,"Super Senior"
)</f>
        <v>Young</v>
      </c>
      <c r="I24">
        <v>2</v>
      </c>
      <c r="J24">
        <v>0</v>
      </c>
      <c r="K24">
        <v>0</v>
      </c>
      <c r="L24">
        <v>2</v>
      </c>
      <c r="M24">
        <v>2</v>
      </c>
      <c r="N24">
        <v>2</v>
      </c>
      <c r="O24" s="1">
        <v>41087</v>
      </c>
      <c r="P24" s="1">
        <v>42445</v>
      </c>
      <c r="Q24" s="1">
        <v>45020</v>
      </c>
      <c r="R24" s="1">
        <v>44006</v>
      </c>
      <c r="S24" s="1">
        <v>46905</v>
      </c>
      <c r="T24" s="1">
        <v>46012</v>
      </c>
      <c r="U24" s="1">
        <v>2007</v>
      </c>
      <c r="V24" s="1">
        <v>3582</v>
      </c>
      <c r="W24" s="1">
        <v>0</v>
      </c>
      <c r="X24" s="1">
        <v>3601</v>
      </c>
      <c r="Y24" s="1">
        <v>0</v>
      </c>
      <c r="Z24" s="1">
        <v>1820</v>
      </c>
      <c r="AA24">
        <v>1</v>
      </c>
      <c r="AB24" t="str">
        <f t="shared" si="0"/>
        <v>Defaulter</v>
      </c>
      <c r="AC24" s="1">
        <f>Table2[[#This Row],[BILL_AMT1]]-Table2[[#This Row],[PAY_AMT1]]</f>
        <v>39080</v>
      </c>
      <c r="AD24" s="1" t="str" cm="1">
        <f t="array" ref="AD24">_xlfn.IFS(Table2[[#This Row],[PAYMENT GAP]]&lt;=0,"No Gap / Overpaid",Table2[[#This Row],[PAYMENT GAP]]&lt;=25000,"Low Gap",Table2[[#This Row],[PAYMENT GAP]]&lt;=100000,"Medium Gap",
TRUE,"High Gap"
)</f>
        <v>Medium Gap</v>
      </c>
    </row>
    <row r="25" spans="1:30" x14ac:dyDescent="0.3">
      <c r="A25">
        <v>24</v>
      </c>
      <c r="B25" s="1">
        <v>450000</v>
      </c>
      <c r="C25" s="1" t="str" cm="1">
        <f t="array" ref="C25">_xlfn.IFS(Table2[[#This Row],[LIMIT_BAL]]&lt;=100000,"Low",Table2[[#This Row],[LIMIT_BAL]]&lt;=300000,"Medium",
TRUE,"High"
)</f>
        <v>High</v>
      </c>
      <c r="D25" t="s">
        <v>2041</v>
      </c>
      <c r="E25" t="s">
        <v>2026</v>
      </c>
      <c r="F25" t="s">
        <v>2028</v>
      </c>
      <c r="G25">
        <v>40</v>
      </c>
      <c r="H25" t="str" cm="1">
        <f t="array" ref="H25">_xlfn.IFS(
Table2[[#This Row],[AGE]]&lt;30,"Young",
Table2[[#This Row],[AGE]]&lt;40,"Middle Age",
Table2[[#This Row],[AGE]]&lt;50,"Senior",
TRUE,"Super Senior"
)</f>
        <v>Senior</v>
      </c>
      <c r="I25">
        <v>-2</v>
      </c>
      <c r="J25">
        <v>-2</v>
      </c>
      <c r="K25">
        <v>-2</v>
      </c>
      <c r="L25">
        <v>-2</v>
      </c>
      <c r="M25">
        <v>-2</v>
      </c>
      <c r="N25">
        <v>-2</v>
      </c>
      <c r="O25" s="1">
        <v>5512</v>
      </c>
      <c r="P25" s="1">
        <v>19420</v>
      </c>
      <c r="Q25" s="1">
        <v>1473</v>
      </c>
      <c r="R25" s="1">
        <v>560</v>
      </c>
      <c r="S25" s="1">
        <v>0</v>
      </c>
      <c r="T25" s="1">
        <v>0</v>
      </c>
      <c r="U25" s="1">
        <v>19428</v>
      </c>
      <c r="V25" s="1">
        <v>1473</v>
      </c>
      <c r="W25" s="1">
        <v>560</v>
      </c>
      <c r="X25" s="1">
        <v>0</v>
      </c>
      <c r="Y25" s="1">
        <v>0</v>
      </c>
      <c r="Z25" s="1">
        <v>1128</v>
      </c>
      <c r="AA25">
        <v>1</v>
      </c>
      <c r="AB25" t="str">
        <f t="shared" si="0"/>
        <v>Defaulter</v>
      </c>
      <c r="AC25" s="1">
        <f>Table2[[#This Row],[BILL_AMT1]]-Table2[[#This Row],[PAY_AMT1]]</f>
        <v>-13916</v>
      </c>
      <c r="AD25" s="1" t="str" cm="1">
        <f t="array" ref="AD25">_xlfn.IFS(Table2[[#This Row],[PAYMENT GAP]]&lt;=0,"No Gap / Overpaid",Table2[[#This Row],[PAYMENT GAP]]&lt;=25000,"Low Gap",Table2[[#This Row],[PAYMENT GAP]]&lt;=100000,"Medium Gap",
TRUE,"High Gap"
)</f>
        <v>No Gap / Overpaid</v>
      </c>
    </row>
    <row r="26" spans="1:30" x14ac:dyDescent="0.3">
      <c r="A26">
        <v>25</v>
      </c>
      <c r="B26" s="1">
        <v>90000</v>
      </c>
      <c r="C26" s="1" t="str" cm="1">
        <f t="array" ref="C26">_xlfn.IFS(Table2[[#This Row],[LIMIT_BAL]]&lt;=100000,"Low",Table2[[#This Row],[LIMIT_BAL]]&lt;=300000,"Medium",
TRUE,"High"
)</f>
        <v>Low</v>
      </c>
      <c r="D26" t="s">
        <v>2042</v>
      </c>
      <c r="E26" t="s">
        <v>2026</v>
      </c>
      <c r="F26" t="s">
        <v>2029</v>
      </c>
      <c r="G26">
        <v>23</v>
      </c>
      <c r="H26" t="str" cm="1">
        <f t="array" ref="H26">_xlfn.IFS(
Table2[[#This Row],[AGE]]&lt;30,"Young",
Table2[[#This Row],[AGE]]&lt;40,"Middle Age",
Table2[[#This Row],[AGE]]&lt;50,"Senior",
TRUE,"Super Senior"
)</f>
        <v>Young</v>
      </c>
      <c r="I26">
        <v>0</v>
      </c>
      <c r="J26">
        <v>0</v>
      </c>
      <c r="K26">
        <v>0</v>
      </c>
      <c r="L26">
        <v>-1</v>
      </c>
      <c r="M26">
        <v>0</v>
      </c>
      <c r="N26">
        <v>0</v>
      </c>
      <c r="O26" s="1">
        <v>4744</v>
      </c>
      <c r="P26" s="1">
        <v>7070</v>
      </c>
      <c r="Q26" s="1">
        <v>0</v>
      </c>
      <c r="R26" s="1">
        <v>5398</v>
      </c>
      <c r="S26" s="1">
        <v>6360</v>
      </c>
      <c r="T26" s="1">
        <v>8292</v>
      </c>
      <c r="U26" s="1">
        <v>5757</v>
      </c>
      <c r="V26" s="1">
        <v>0</v>
      </c>
      <c r="W26" s="1">
        <v>5398</v>
      </c>
      <c r="X26" s="1">
        <v>1200</v>
      </c>
      <c r="Y26" s="1">
        <v>2045</v>
      </c>
      <c r="Z26" s="1">
        <v>2000</v>
      </c>
      <c r="AA26">
        <v>0</v>
      </c>
      <c r="AB26" t="str">
        <f t="shared" si="0"/>
        <v>Not Defaulter</v>
      </c>
      <c r="AC26" s="1">
        <f>Table2[[#This Row],[BILL_AMT1]]-Table2[[#This Row],[PAY_AMT1]]</f>
        <v>-1013</v>
      </c>
      <c r="AD26" s="1" t="str" cm="1">
        <f t="array" ref="AD26">_xlfn.IFS(Table2[[#This Row],[PAYMENT GAP]]&lt;=0,"No Gap / Overpaid",Table2[[#This Row],[PAYMENT GAP]]&lt;=25000,"Low Gap",Table2[[#This Row],[PAYMENT GAP]]&lt;=100000,"Medium Gap",
TRUE,"High Gap"
)</f>
        <v>No Gap / Overpaid</v>
      </c>
    </row>
    <row r="27" spans="1:30" x14ac:dyDescent="0.3">
      <c r="A27">
        <v>26</v>
      </c>
      <c r="B27" s="1">
        <v>50000</v>
      </c>
      <c r="C27" s="1" t="str" cm="1">
        <f t="array" ref="C27">_xlfn.IFS(Table2[[#This Row],[LIMIT_BAL]]&lt;=100000,"Low",Table2[[#This Row],[LIMIT_BAL]]&lt;=300000,"Medium",
TRUE,"High"
)</f>
        <v>Low</v>
      </c>
      <c r="D27" t="s">
        <v>2042</v>
      </c>
      <c r="E27" t="s">
        <v>2027</v>
      </c>
      <c r="F27" t="s">
        <v>2029</v>
      </c>
      <c r="G27">
        <v>23</v>
      </c>
      <c r="H27" t="str" cm="1">
        <f t="array" ref="H27">_xlfn.IFS(
Table2[[#This Row],[AGE]]&lt;30,"Young",
Table2[[#This Row],[AGE]]&lt;40,"Middle Age",
Table2[[#This Row],[AGE]]&lt;50,"Senior",
TRUE,"Super Senior"
)</f>
        <v>Young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s="1">
        <v>47620</v>
      </c>
      <c r="P27" s="1">
        <v>41810</v>
      </c>
      <c r="Q27" s="1">
        <v>36023</v>
      </c>
      <c r="R27" s="1">
        <v>28967</v>
      </c>
      <c r="S27" s="1">
        <v>29829</v>
      </c>
      <c r="T27" s="1">
        <v>30046</v>
      </c>
      <c r="U27" s="1">
        <v>1973</v>
      </c>
      <c r="V27" s="1">
        <v>1426</v>
      </c>
      <c r="W27" s="1">
        <v>1001</v>
      </c>
      <c r="X27" s="1">
        <v>1432</v>
      </c>
      <c r="Y27" s="1">
        <v>1062</v>
      </c>
      <c r="Z27" s="1">
        <v>997</v>
      </c>
      <c r="AA27">
        <v>0</v>
      </c>
      <c r="AB27" t="str">
        <f t="shared" si="0"/>
        <v>Not Defaulter</v>
      </c>
      <c r="AC27" s="1">
        <f>Table2[[#This Row],[BILL_AMT1]]-Table2[[#This Row],[PAY_AMT1]]</f>
        <v>45647</v>
      </c>
      <c r="AD27" s="1" t="str" cm="1">
        <f t="array" ref="AD27">_xlfn.IFS(Table2[[#This Row],[PAYMENT GAP]]&lt;=0,"No Gap / Overpaid",Table2[[#This Row],[PAYMENT GAP]]&lt;=25000,"Low Gap",Table2[[#This Row],[PAYMENT GAP]]&lt;=100000,"Medium Gap",
TRUE,"High Gap"
)</f>
        <v>Medium Gap</v>
      </c>
    </row>
    <row r="28" spans="1:30" x14ac:dyDescent="0.3">
      <c r="A28">
        <v>27</v>
      </c>
      <c r="B28" s="1">
        <v>60000</v>
      </c>
      <c r="C28" s="1" t="str" cm="1">
        <f t="array" ref="C28">_xlfn.IFS(Table2[[#This Row],[LIMIT_BAL]]&lt;=100000,"Low",Table2[[#This Row],[LIMIT_BAL]]&lt;=300000,"Medium",
TRUE,"High"
)</f>
        <v>Low</v>
      </c>
      <c r="D28" t="s">
        <v>2042</v>
      </c>
      <c r="E28" t="s">
        <v>2026</v>
      </c>
      <c r="F28" t="s">
        <v>2029</v>
      </c>
      <c r="G28">
        <v>27</v>
      </c>
      <c r="H28" t="str" cm="1">
        <f t="array" ref="H28">_xlfn.IFS(
Table2[[#This Row],[AGE]]&lt;30,"Young",
Table2[[#This Row],[AGE]]&lt;40,"Middle Age",
Table2[[#This Row],[AGE]]&lt;50,"Senior",
TRUE,"Super Senior"
)</f>
        <v>Young</v>
      </c>
      <c r="I28">
        <v>1</v>
      </c>
      <c r="J28">
        <v>-2</v>
      </c>
      <c r="K28">
        <v>-1</v>
      </c>
      <c r="L28">
        <v>-1</v>
      </c>
      <c r="M28">
        <v>-1</v>
      </c>
      <c r="N28">
        <v>-1</v>
      </c>
      <c r="O28" s="1">
        <v>-109</v>
      </c>
      <c r="P28" s="1">
        <v>-425</v>
      </c>
      <c r="Q28" s="1">
        <v>259</v>
      </c>
      <c r="R28" s="1">
        <v>-57</v>
      </c>
      <c r="S28" s="1">
        <v>127</v>
      </c>
      <c r="T28" s="1">
        <v>-189</v>
      </c>
      <c r="U28" s="1">
        <v>0</v>
      </c>
      <c r="V28" s="1">
        <v>1000</v>
      </c>
      <c r="W28" s="1">
        <v>0</v>
      </c>
      <c r="X28" s="1">
        <v>500</v>
      </c>
      <c r="Y28" s="1">
        <v>0</v>
      </c>
      <c r="Z28" s="1">
        <v>1000</v>
      </c>
      <c r="AA28">
        <v>1</v>
      </c>
      <c r="AB28" t="str">
        <f t="shared" si="0"/>
        <v>Defaulter</v>
      </c>
      <c r="AC28" s="1">
        <f>Table2[[#This Row],[BILL_AMT1]]-Table2[[#This Row],[PAY_AMT1]]</f>
        <v>-109</v>
      </c>
      <c r="AD28" s="1" t="str" cm="1">
        <f t="array" ref="AD28">_xlfn.IFS(Table2[[#This Row],[PAYMENT GAP]]&lt;=0,"No Gap / Overpaid",Table2[[#This Row],[PAYMENT GAP]]&lt;=25000,"Low Gap",Table2[[#This Row],[PAYMENT GAP]]&lt;=100000,"Medium Gap",
TRUE,"High Gap"
)</f>
        <v>No Gap / Overpaid</v>
      </c>
    </row>
    <row r="29" spans="1:30" x14ac:dyDescent="0.3">
      <c r="A29">
        <v>28</v>
      </c>
      <c r="B29" s="1">
        <v>50000</v>
      </c>
      <c r="C29" s="1" t="str" cm="1">
        <f t="array" ref="C29">_xlfn.IFS(Table2[[#This Row],[LIMIT_BAL]]&lt;=100000,"Low",Table2[[#This Row],[LIMIT_BAL]]&lt;=300000,"Medium",
TRUE,"High"
)</f>
        <v>Low</v>
      </c>
      <c r="D29" t="s">
        <v>2041</v>
      </c>
      <c r="E29" t="s">
        <v>2027</v>
      </c>
      <c r="F29" t="s">
        <v>2029</v>
      </c>
      <c r="G29">
        <v>30</v>
      </c>
      <c r="H29" t="str" cm="1">
        <f t="array" ref="H29">_xlfn.IFS(
Table2[[#This Row],[AGE]]&lt;30,"Young",
Table2[[#This Row],[AGE]]&lt;40,"Middle Age",
Table2[[#This Row],[AGE]]&lt;50,"Senior",
TRUE,"Super Senior"
)</f>
        <v>Middle Age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s="1">
        <v>22541</v>
      </c>
      <c r="P29" s="1">
        <v>16138</v>
      </c>
      <c r="Q29" s="1">
        <v>17163</v>
      </c>
      <c r="R29" s="1">
        <v>17878</v>
      </c>
      <c r="S29" s="1">
        <v>18931</v>
      </c>
      <c r="T29" s="1">
        <v>19617</v>
      </c>
      <c r="U29" s="1">
        <v>1300</v>
      </c>
      <c r="V29" s="1">
        <v>1300</v>
      </c>
      <c r="W29" s="1">
        <v>1000</v>
      </c>
      <c r="X29" s="1">
        <v>1500</v>
      </c>
      <c r="Y29" s="1">
        <v>1000</v>
      </c>
      <c r="Z29" s="1">
        <v>1012</v>
      </c>
      <c r="AA29">
        <v>0</v>
      </c>
      <c r="AB29" t="str">
        <f t="shared" si="0"/>
        <v>Not Defaulter</v>
      </c>
      <c r="AC29" s="1">
        <f>Table2[[#This Row],[BILL_AMT1]]-Table2[[#This Row],[PAY_AMT1]]</f>
        <v>21241</v>
      </c>
      <c r="AD29" s="1" t="str" cm="1">
        <f t="array" ref="AD29">_xlfn.IFS(Table2[[#This Row],[PAYMENT GAP]]&lt;=0,"No Gap / Overpaid",Table2[[#This Row],[PAYMENT GAP]]&lt;=25000,"Low Gap",Table2[[#This Row],[PAYMENT GAP]]&lt;=100000,"Medium Gap",
TRUE,"High Gap"
)</f>
        <v>Low Gap</v>
      </c>
    </row>
    <row r="30" spans="1:30" x14ac:dyDescent="0.3">
      <c r="A30">
        <v>29</v>
      </c>
      <c r="B30" s="1">
        <v>50000</v>
      </c>
      <c r="C30" s="1" t="str" cm="1">
        <f t="array" ref="C30">_xlfn.IFS(Table2[[#This Row],[LIMIT_BAL]]&lt;=100000,"Low",Table2[[#This Row],[LIMIT_BAL]]&lt;=300000,"Medium",
TRUE,"High"
)</f>
        <v>Low</v>
      </c>
      <c r="D30" t="s">
        <v>2041</v>
      </c>
      <c r="E30" t="s">
        <v>2027</v>
      </c>
      <c r="F30" t="s">
        <v>2028</v>
      </c>
      <c r="G30">
        <v>47</v>
      </c>
      <c r="H30" t="str" cm="1">
        <f t="array" ref="H30">_xlfn.IFS(
Table2[[#This Row],[AGE]]&lt;30,"Young",
Table2[[#This Row],[AGE]]&lt;40,"Middle Age",
Table2[[#This Row],[AGE]]&lt;50,"Senior",
TRUE,"Super Senior"
)</f>
        <v>Senior</v>
      </c>
      <c r="I30">
        <v>-1</v>
      </c>
      <c r="J30">
        <v>-1</v>
      </c>
      <c r="K30">
        <v>-1</v>
      </c>
      <c r="L30">
        <v>-1</v>
      </c>
      <c r="M30">
        <v>-1</v>
      </c>
      <c r="N30">
        <v>-1</v>
      </c>
      <c r="O30" s="1">
        <v>650</v>
      </c>
      <c r="P30" s="1">
        <v>3415</v>
      </c>
      <c r="Q30" s="1">
        <v>3416</v>
      </c>
      <c r="R30" s="1">
        <v>2040</v>
      </c>
      <c r="S30" s="1">
        <v>30430</v>
      </c>
      <c r="T30" s="1">
        <v>257</v>
      </c>
      <c r="U30" s="1">
        <v>3415</v>
      </c>
      <c r="V30" s="1">
        <v>3421</v>
      </c>
      <c r="W30" s="1">
        <v>2044</v>
      </c>
      <c r="X30" s="1">
        <v>30430</v>
      </c>
      <c r="Y30" s="1">
        <v>257</v>
      </c>
      <c r="Z30" s="1">
        <v>0</v>
      </c>
      <c r="AA30">
        <v>0</v>
      </c>
      <c r="AB30" t="str">
        <f t="shared" si="0"/>
        <v>Not Defaulter</v>
      </c>
      <c r="AC30" s="1">
        <f>Table2[[#This Row],[BILL_AMT1]]-Table2[[#This Row],[PAY_AMT1]]</f>
        <v>-2765</v>
      </c>
      <c r="AD30" s="1" t="str" cm="1">
        <f t="array" ref="AD30">_xlfn.IFS(Table2[[#This Row],[PAYMENT GAP]]&lt;=0,"No Gap / Overpaid",Table2[[#This Row],[PAYMENT GAP]]&lt;=25000,"Low Gap",Table2[[#This Row],[PAYMENT GAP]]&lt;=100000,"Medium Gap",
TRUE,"High Gap"
)</f>
        <v>No Gap / Overpaid</v>
      </c>
    </row>
    <row r="31" spans="1:30" x14ac:dyDescent="0.3">
      <c r="A31">
        <v>30</v>
      </c>
      <c r="B31" s="1">
        <v>50000</v>
      </c>
      <c r="C31" s="1" t="str" cm="1">
        <f t="array" ref="C31">_xlfn.IFS(Table2[[#This Row],[LIMIT_BAL]]&lt;=100000,"Low",Table2[[#This Row],[LIMIT_BAL]]&lt;=300000,"Medium",
TRUE,"High"
)</f>
        <v>Low</v>
      </c>
      <c r="D31" t="s">
        <v>2042</v>
      </c>
      <c r="E31" t="s">
        <v>2026</v>
      </c>
      <c r="F31" t="s">
        <v>2029</v>
      </c>
      <c r="G31">
        <v>26</v>
      </c>
      <c r="H31" t="str" cm="1">
        <f t="array" ref="H31">_xlfn.IFS(
Table2[[#This Row],[AGE]]&lt;30,"Young",
Table2[[#This Row],[AGE]]&lt;40,"Middle Age",
Table2[[#This Row],[AGE]]&lt;50,"Senior",
TRUE,"Super Senior"
)</f>
        <v>Young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 s="1">
        <v>15329</v>
      </c>
      <c r="P31" s="1">
        <v>16575</v>
      </c>
      <c r="Q31" s="1">
        <v>17496</v>
      </c>
      <c r="R31" s="1">
        <v>17907</v>
      </c>
      <c r="S31" s="1">
        <v>18375</v>
      </c>
      <c r="T31" s="1">
        <v>11400</v>
      </c>
      <c r="U31" s="1">
        <v>1500</v>
      </c>
      <c r="V31" s="1">
        <v>1500</v>
      </c>
      <c r="W31" s="1">
        <v>1000</v>
      </c>
      <c r="X31" s="1">
        <v>1000</v>
      </c>
      <c r="Y31" s="1">
        <v>1600</v>
      </c>
      <c r="Z31" s="1">
        <v>0</v>
      </c>
      <c r="AA31">
        <v>0</v>
      </c>
      <c r="AB31" t="str">
        <f t="shared" si="0"/>
        <v>Not Defaulter</v>
      </c>
      <c r="AC31" s="1">
        <f>Table2[[#This Row],[BILL_AMT1]]-Table2[[#This Row],[PAY_AMT1]]</f>
        <v>13829</v>
      </c>
      <c r="AD31" s="1" t="str" cm="1">
        <f t="array" ref="AD31">_xlfn.IFS(Table2[[#This Row],[PAYMENT GAP]]&lt;=0,"No Gap / Overpaid",Table2[[#This Row],[PAYMENT GAP]]&lt;=25000,"Low Gap",Table2[[#This Row],[PAYMENT GAP]]&lt;=100000,"Medium Gap",
TRUE,"High Gap"
)</f>
        <v>Low Gap</v>
      </c>
    </row>
    <row r="32" spans="1:30" x14ac:dyDescent="0.3">
      <c r="A32">
        <v>31</v>
      </c>
      <c r="B32" s="1">
        <v>230000</v>
      </c>
      <c r="C32" s="1" t="str" cm="1">
        <f t="array" ref="C32">_xlfn.IFS(Table2[[#This Row],[LIMIT_BAL]]&lt;=100000,"Low",Table2[[#This Row],[LIMIT_BAL]]&lt;=300000,"Medium",
TRUE,"High"
)</f>
        <v>Medium</v>
      </c>
      <c r="D32" t="s">
        <v>2041</v>
      </c>
      <c r="E32" t="s">
        <v>2026</v>
      </c>
      <c r="F32" t="s">
        <v>2029</v>
      </c>
      <c r="G32">
        <v>27</v>
      </c>
      <c r="H32" t="str" cm="1">
        <f t="array" ref="H32">_xlfn.IFS(
Table2[[#This Row],[AGE]]&lt;30,"Young",
Table2[[#This Row],[AGE]]&lt;40,"Middle Age",
Table2[[#This Row],[AGE]]&lt;50,"Senior",
TRUE,"Super Senior"
)</f>
        <v>Young</v>
      </c>
      <c r="I32">
        <v>-1</v>
      </c>
      <c r="J32">
        <v>-1</v>
      </c>
      <c r="K32">
        <v>-1</v>
      </c>
      <c r="L32">
        <v>-1</v>
      </c>
      <c r="M32">
        <v>-1</v>
      </c>
      <c r="N32">
        <v>-1</v>
      </c>
      <c r="O32" s="1">
        <v>16646</v>
      </c>
      <c r="P32" s="1">
        <v>17265</v>
      </c>
      <c r="Q32" s="1">
        <v>13266</v>
      </c>
      <c r="R32" s="1">
        <v>15339</v>
      </c>
      <c r="S32" s="1">
        <v>14307</v>
      </c>
      <c r="T32" s="1">
        <v>36923</v>
      </c>
      <c r="U32" s="1">
        <v>17270</v>
      </c>
      <c r="V32" s="1">
        <v>13281</v>
      </c>
      <c r="W32" s="1">
        <v>15339</v>
      </c>
      <c r="X32" s="1">
        <v>14307</v>
      </c>
      <c r="Y32" s="1">
        <v>37292</v>
      </c>
      <c r="Z32" s="1">
        <v>0</v>
      </c>
      <c r="AA32">
        <v>0</v>
      </c>
      <c r="AB32" t="str">
        <f t="shared" si="0"/>
        <v>Not Defaulter</v>
      </c>
      <c r="AC32" s="1">
        <f>Table2[[#This Row],[BILL_AMT1]]-Table2[[#This Row],[PAY_AMT1]]</f>
        <v>-624</v>
      </c>
      <c r="AD32" s="1" t="str" cm="1">
        <f t="array" ref="AD32">_xlfn.IFS(Table2[[#This Row],[PAYMENT GAP]]&lt;=0,"No Gap / Overpaid",Table2[[#This Row],[PAYMENT GAP]]&lt;=25000,"Low Gap",Table2[[#This Row],[PAYMENT GAP]]&lt;=100000,"Medium Gap",
TRUE,"High Gap"
)</f>
        <v>No Gap / Overpaid</v>
      </c>
    </row>
    <row r="33" spans="1:30" x14ac:dyDescent="0.3">
      <c r="A33">
        <v>32</v>
      </c>
      <c r="B33" s="1">
        <v>50000</v>
      </c>
      <c r="C33" s="1" t="str" cm="1">
        <f t="array" ref="C33">_xlfn.IFS(Table2[[#This Row],[LIMIT_BAL]]&lt;=100000,"Low",Table2[[#This Row],[LIMIT_BAL]]&lt;=300000,"Medium",
TRUE,"High"
)</f>
        <v>Low</v>
      </c>
      <c r="D33" t="s">
        <v>2042</v>
      </c>
      <c r="E33" t="s">
        <v>2043</v>
      </c>
      <c r="F33" t="s">
        <v>2029</v>
      </c>
      <c r="G33">
        <v>33</v>
      </c>
      <c r="H33" t="str" cm="1">
        <f t="array" ref="H33">_xlfn.IFS(
Table2[[#This Row],[AGE]]&lt;30,"Young",
Table2[[#This Row],[AGE]]&lt;40,"Middle Age",
Table2[[#This Row],[AGE]]&lt;50,"Senior",
TRUE,"Super Senior"
)</f>
        <v>Middle Age</v>
      </c>
      <c r="I33">
        <v>2</v>
      </c>
      <c r="J33">
        <v>0</v>
      </c>
      <c r="K33">
        <v>0</v>
      </c>
      <c r="L33">
        <v>0</v>
      </c>
      <c r="M33">
        <v>0</v>
      </c>
      <c r="N33">
        <v>0</v>
      </c>
      <c r="O33" s="1">
        <v>30518</v>
      </c>
      <c r="P33" s="1">
        <v>29618</v>
      </c>
      <c r="Q33" s="1">
        <v>22102</v>
      </c>
      <c r="R33" s="1">
        <v>22734</v>
      </c>
      <c r="S33" s="1">
        <v>23217</v>
      </c>
      <c r="T33" s="1">
        <v>23680</v>
      </c>
      <c r="U33" s="1">
        <v>1718</v>
      </c>
      <c r="V33" s="1">
        <v>1500</v>
      </c>
      <c r="W33" s="1">
        <v>1000</v>
      </c>
      <c r="X33" s="1">
        <v>1000</v>
      </c>
      <c r="Y33" s="1">
        <v>1000</v>
      </c>
      <c r="Z33" s="1">
        <v>716</v>
      </c>
      <c r="AA33">
        <v>1</v>
      </c>
      <c r="AB33" t="str">
        <f t="shared" si="0"/>
        <v>Defaulter</v>
      </c>
      <c r="AC33" s="1">
        <f>Table2[[#This Row],[BILL_AMT1]]-Table2[[#This Row],[PAY_AMT1]]</f>
        <v>28800</v>
      </c>
      <c r="AD33" s="1" t="str" cm="1">
        <f t="array" ref="AD33">_xlfn.IFS(Table2[[#This Row],[PAYMENT GAP]]&lt;=0,"No Gap / Overpaid",Table2[[#This Row],[PAYMENT GAP]]&lt;=25000,"Low Gap",Table2[[#This Row],[PAYMENT GAP]]&lt;=100000,"Medium Gap",
TRUE,"High Gap"
)</f>
        <v>Medium Gap</v>
      </c>
    </row>
    <row r="34" spans="1:30" x14ac:dyDescent="0.3">
      <c r="A34">
        <v>33</v>
      </c>
      <c r="B34" s="1">
        <v>100000</v>
      </c>
      <c r="C34" s="1" t="str" cm="1">
        <f t="array" ref="C34">_xlfn.IFS(Table2[[#This Row],[LIMIT_BAL]]&lt;=100000,"Low",Table2[[#This Row],[LIMIT_BAL]]&lt;=300000,"Medium",
TRUE,"High"
)</f>
        <v>Low</v>
      </c>
      <c r="D34" t="s">
        <v>2042</v>
      </c>
      <c r="E34" t="s">
        <v>2026</v>
      </c>
      <c r="F34" t="s">
        <v>2029</v>
      </c>
      <c r="G34">
        <v>32</v>
      </c>
      <c r="H34" t="str" cm="1">
        <f t="array" ref="H34">_xlfn.IFS(
Table2[[#This Row],[AGE]]&lt;30,"Young",
Table2[[#This Row],[AGE]]&lt;40,"Middle Age",
Table2[[#This Row],[AGE]]&lt;50,"Senior",
TRUE,"Super Senior"
)</f>
        <v>Middle Age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s="1">
        <v>93036</v>
      </c>
      <c r="P34" s="1">
        <v>84071</v>
      </c>
      <c r="Q34" s="1">
        <v>82880</v>
      </c>
      <c r="R34" s="1">
        <v>80958</v>
      </c>
      <c r="S34" s="1">
        <v>78703</v>
      </c>
      <c r="T34" s="1">
        <v>75589</v>
      </c>
      <c r="U34" s="1">
        <v>3023</v>
      </c>
      <c r="V34" s="1">
        <v>3511</v>
      </c>
      <c r="W34" s="1">
        <v>3302</v>
      </c>
      <c r="X34" s="1">
        <v>3204</v>
      </c>
      <c r="Y34" s="1">
        <v>3200</v>
      </c>
      <c r="Z34" s="1">
        <v>2504</v>
      </c>
      <c r="AA34">
        <v>0</v>
      </c>
      <c r="AB34" t="str">
        <f t="shared" si="0"/>
        <v>Not Defaulter</v>
      </c>
      <c r="AC34" s="1">
        <f>Table2[[#This Row],[BILL_AMT1]]-Table2[[#This Row],[PAY_AMT1]]</f>
        <v>90013</v>
      </c>
      <c r="AD34" s="1" t="str" cm="1">
        <f t="array" ref="AD34">_xlfn.IFS(Table2[[#This Row],[PAYMENT GAP]]&lt;=0,"No Gap / Overpaid",Table2[[#This Row],[PAYMENT GAP]]&lt;=25000,"Low Gap",Table2[[#This Row],[PAYMENT GAP]]&lt;=100000,"Medium Gap",
TRUE,"High Gap"
)</f>
        <v>Medium Gap</v>
      </c>
    </row>
    <row r="35" spans="1:30" x14ac:dyDescent="0.3">
      <c r="A35">
        <v>34</v>
      </c>
      <c r="B35" s="1">
        <v>500000</v>
      </c>
      <c r="C35" s="1" t="str" cm="1">
        <f t="array" ref="C35">_xlfn.IFS(Table2[[#This Row],[LIMIT_BAL]]&lt;=100000,"Low",Table2[[#This Row],[LIMIT_BAL]]&lt;=300000,"Medium",
TRUE,"High"
)</f>
        <v>High</v>
      </c>
      <c r="D35" t="s">
        <v>2041</v>
      </c>
      <c r="E35" t="s">
        <v>2043</v>
      </c>
      <c r="F35" t="s">
        <v>2028</v>
      </c>
      <c r="G35">
        <v>54</v>
      </c>
      <c r="H35" t="str" cm="1">
        <f t="array" ref="H35">_xlfn.IFS(
Table2[[#This Row],[AGE]]&lt;30,"Young",
Table2[[#This Row],[AGE]]&lt;40,"Middle Age",
Table2[[#This Row],[AGE]]&lt;50,"Senior",
TRUE,"Super Senior"
)</f>
        <v>Super Senior</v>
      </c>
      <c r="I35">
        <v>-2</v>
      </c>
      <c r="J35">
        <v>-2</v>
      </c>
      <c r="K35">
        <v>-2</v>
      </c>
      <c r="L35">
        <v>-2</v>
      </c>
      <c r="M35">
        <v>-2</v>
      </c>
      <c r="N35">
        <v>-2</v>
      </c>
      <c r="O35" s="1">
        <v>10929</v>
      </c>
      <c r="P35" s="1">
        <v>4152</v>
      </c>
      <c r="Q35" s="1">
        <v>22722</v>
      </c>
      <c r="R35" s="1">
        <v>7521</v>
      </c>
      <c r="S35" s="1">
        <v>71439</v>
      </c>
      <c r="T35" s="1">
        <v>8981</v>
      </c>
      <c r="U35" s="1">
        <v>4152</v>
      </c>
      <c r="V35" s="1">
        <v>22827</v>
      </c>
      <c r="W35" s="1">
        <v>7521</v>
      </c>
      <c r="X35" s="1">
        <v>71439</v>
      </c>
      <c r="Y35" s="1">
        <v>981</v>
      </c>
      <c r="Z35" s="1">
        <v>51582</v>
      </c>
      <c r="AA35">
        <v>0</v>
      </c>
      <c r="AB35" t="str">
        <f t="shared" si="0"/>
        <v>Not Defaulter</v>
      </c>
      <c r="AC35" s="1">
        <f>Table2[[#This Row],[BILL_AMT1]]-Table2[[#This Row],[PAY_AMT1]]</f>
        <v>6777</v>
      </c>
      <c r="AD35" s="1" t="str" cm="1">
        <f t="array" ref="AD35">_xlfn.IFS(Table2[[#This Row],[PAYMENT GAP]]&lt;=0,"No Gap / Overpaid",Table2[[#This Row],[PAYMENT GAP]]&lt;=25000,"Low Gap",Table2[[#This Row],[PAYMENT GAP]]&lt;=100000,"Medium Gap",
TRUE,"High Gap"
)</f>
        <v>Low Gap</v>
      </c>
    </row>
    <row r="36" spans="1:30" x14ac:dyDescent="0.3">
      <c r="A36">
        <v>35</v>
      </c>
      <c r="B36" s="1">
        <v>500000</v>
      </c>
      <c r="C36" s="1" t="str" cm="1">
        <f t="array" ref="C36">_xlfn.IFS(Table2[[#This Row],[LIMIT_BAL]]&lt;=100000,"Low",Table2[[#This Row],[LIMIT_BAL]]&lt;=300000,"Medium",
TRUE,"High"
)</f>
        <v>High</v>
      </c>
      <c r="D36" t="s">
        <v>2042</v>
      </c>
      <c r="E36" t="s">
        <v>2026</v>
      </c>
      <c r="F36" t="s">
        <v>2028</v>
      </c>
      <c r="G36">
        <v>58</v>
      </c>
      <c r="H36" t="str" cm="1">
        <f t="array" ref="H36">_xlfn.IFS(
Table2[[#This Row],[AGE]]&lt;30,"Young",
Table2[[#This Row],[AGE]]&lt;40,"Middle Age",
Table2[[#This Row],[AGE]]&lt;50,"Senior",
TRUE,"Super Senior"
)</f>
        <v>Super Senior</v>
      </c>
      <c r="I36">
        <v>-2</v>
      </c>
      <c r="J36">
        <v>-2</v>
      </c>
      <c r="K36">
        <v>-2</v>
      </c>
      <c r="L36">
        <v>-2</v>
      </c>
      <c r="M36">
        <v>-2</v>
      </c>
      <c r="N36">
        <v>-2</v>
      </c>
      <c r="O36" s="1">
        <v>13709</v>
      </c>
      <c r="P36" s="1">
        <v>5006</v>
      </c>
      <c r="Q36" s="1">
        <v>31130</v>
      </c>
      <c r="R36" s="1">
        <v>3180</v>
      </c>
      <c r="S36" s="1">
        <v>0</v>
      </c>
      <c r="T36" s="1">
        <v>5293</v>
      </c>
      <c r="U36" s="1">
        <v>5006</v>
      </c>
      <c r="V36" s="1">
        <v>31178</v>
      </c>
      <c r="W36" s="1">
        <v>3180</v>
      </c>
      <c r="X36" s="1">
        <v>0</v>
      </c>
      <c r="Y36" s="1">
        <v>5293</v>
      </c>
      <c r="Z36" s="1">
        <v>768</v>
      </c>
      <c r="AA36">
        <v>0</v>
      </c>
      <c r="AB36" t="str">
        <f t="shared" si="0"/>
        <v>Not Defaulter</v>
      </c>
      <c r="AC36" s="1">
        <f>Table2[[#This Row],[BILL_AMT1]]-Table2[[#This Row],[PAY_AMT1]]</f>
        <v>8703</v>
      </c>
      <c r="AD36" s="1" t="str" cm="1">
        <f t="array" ref="AD36">_xlfn.IFS(Table2[[#This Row],[PAYMENT GAP]]&lt;=0,"No Gap / Overpaid",Table2[[#This Row],[PAYMENT GAP]]&lt;=25000,"Low Gap",Table2[[#This Row],[PAYMENT GAP]]&lt;=100000,"Medium Gap",
TRUE,"High Gap"
)</f>
        <v>Low Gap</v>
      </c>
    </row>
    <row r="37" spans="1:30" x14ac:dyDescent="0.3">
      <c r="A37">
        <v>36</v>
      </c>
      <c r="B37" s="1">
        <v>160000</v>
      </c>
      <c r="C37" s="1" t="str" cm="1">
        <f t="array" ref="C37">_xlfn.IFS(Table2[[#This Row],[LIMIT_BAL]]&lt;=100000,"Low",Table2[[#This Row],[LIMIT_BAL]]&lt;=300000,"Medium",
TRUE,"High"
)</f>
        <v>Medium</v>
      </c>
      <c r="D37" t="s">
        <v>2042</v>
      </c>
      <c r="E37" t="s">
        <v>2026</v>
      </c>
      <c r="F37" t="s">
        <v>2029</v>
      </c>
      <c r="G37">
        <v>30</v>
      </c>
      <c r="H37" t="str" cm="1">
        <f t="array" ref="H37">_xlfn.IFS(
Table2[[#This Row],[AGE]]&lt;30,"Young",
Table2[[#This Row],[AGE]]&lt;40,"Middle Age",
Table2[[#This Row],[AGE]]&lt;50,"Senior",
TRUE,"Super Senior"
)</f>
        <v>Middle Age</v>
      </c>
      <c r="I37">
        <v>-1</v>
      </c>
      <c r="J37">
        <v>-1</v>
      </c>
      <c r="K37">
        <v>-2</v>
      </c>
      <c r="L37">
        <v>-2</v>
      </c>
      <c r="M37">
        <v>-2</v>
      </c>
      <c r="N37">
        <v>-1</v>
      </c>
      <c r="O37" s="1">
        <v>30265</v>
      </c>
      <c r="P37" s="1">
        <v>-131</v>
      </c>
      <c r="Q37" s="1">
        <v>-527</v>
      </c>
      <c r="R37" s="1">
        <v>-923</v>
      </c>
      <c r="S37" s="1">
        <v>-1488</v>
      </c>
      <c r="T37" s="1">
        <v>-1884</v>
      </c>
      <c r="U37" s="1">
        <v>131</v>
      </c>
      <c r="V37" s="1">
        <v>396</v>
      </c>
      <c r="W37" s="1">
        <v>396</v>
      </c>
      <c r="X37" s="1">
        <v>565</v>
      </c>
      <c r="Y37" s="1">
        <v>792</v>
      </c>
      <c r="Z37" s="1">
        <v>0</v>
      </c>
      <c r="AA37">
        <v>0</v>
      </c>
      <c r="AB37" t="str">
        <f t="shared" si="0"/>
        <v>Not Defaulter</v>
      </c>
      <c r="AC37" s="1">
        <f>Table2[[#This Row],[BILL_AMT1]]-Table2[[#This Row],[PAY_AMT1]]</f>
        <v>30134</v>
      </c>
      <c r="AD37" s="1" t="str" cm="1">
        <f t="array" ref="AD37">_xlfn.IFS(Table2[[#This Row],[PAYMENT GAP]]&lt;=0,"No Gap / Overpaid",Table2[[#This Row],[PAYMENT GAP]]&lt;=25000,"Low Gap",Table2[[#This Row],[PAYMENT GAP]]&lt;=100000,"Medium Gap",
TRUE,"High Gap"
)</f>
        <v>Medium Gap</v>
      </c>
    </row>
    <row r="38" spans="1:30" x14ac:dyDescent="0.3">
      <c r="A38">
        <v>37</v>
      </c>
      <c r="B38" s="1">
        <v>280000</v>
      </c>
      <c r="C38" s="1" t="str" cm="1">
        <f t="array" ref="C38">_xlfn.IFS(Table2[[#This Row],[LIMIT_BAL]]&lt;=100000,"Low",Table2[[#This Row],[LIMIT_BAL]]&lt;=300000,"Medium",
TRUE,"High"
)</f>
        <v>Medium</v>
      </c>
      <c r="D38" t="s">
        <v>2042</v>
      </c>
      <c r="E38" t="s">
        <v>2043</v>
      </c>
      <c r="F38" t="s">
        <v>2028</v>
      </c>
      <c r="G38">
        <v>40</v>
      </c>
      <c r="H38" t="str" cm="1">
        <f t="array" ref="H38">_xlfn.IFS(
Table2[[#This Row],[AGE]]&lt;30,"Young",
Table2[[#This Row],[AGE]]&lt;40,"Middle Age",
Table2[[#This Row],[AGE]]&lt;50,"Senior",
TRUE,"Super Senior"
)</f>
        <v>Senior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 s="1">
        <v>186503</v>
      </c>
      <c r="P38" s="1">
        <v>181328</v>
      </c>
      <c r="Q38" s="1">
        <v>180422</v>
      </c>
      <c r="R38" s="1">
        <v>170410</v>
      </c>
      <c r="S38" s="1">
        <v>173901</v>
      </c>
      <c r="T38" s="1">
        <v>177413</v>
      </c>
      <c r="U38" s="1">
        <v>8026</v>
      </c>
      <c r="V38" s="1">
        <v>8060</v>
      </c>
      <c r="W38" s="1">
        <v>6300</v>
      </c>
      <c r="X38" s="1">
        <v>6400</v>
      </c>
      <c r="Y38" s="1">
        <v>6400</v>
      </c>
      <c r="Z38" s="1">
        <v>6737</v>
      </c>
      <c r="AA38">
        <v>0</v>
      </c>
      <c r="AB38" t="str">
        <f t="shared" si="0"/>
        <v>Not Defaulter</v>
      </c>
      <c r="AC38" s="1">
        <f>Table2[[#This Row],[BILL_AMT1]]-Table2[[#This Row],[PAY_AMT1]]</f>
        <v>178477</v>
      </c>
      <c r="AD38" s="1" t="str" cm="1">
        <f t="array" ref="AD38">_xlfn.IFS(Table2[[#This Row],[PAYMENT GAP]]&lt;=0,"No Gap / Overpaid",Table2[[#This Row],[PAYMENT GAP]]&lt;=25000,"Low Gap",Table2[[#This Row],[PAYMENT GAP]]&lt;=100000,"Medium Gap",
TRUE,"High Gap"
)</f>
        <v>High Gap</v>
      </c>
    </row>
    <row r="39" spans="1:30" x14ac:dyDescent="0.3">
      <c r="A39">
        <v>38</v>
      </c>
      <c r="B39" s="1">
        <v>60000</v>
      </c>
      <c r="C39" s="1" t="str" cm="1">
        <f t="array" ref="C39">_xlfn.IFS(Table2[[#This Row],[LIMIT_BAL]]&lt;=100000,"Low",Table2[[#This Row],[LIMIT_BAL]]&lt;=300000,"Medium",
TRUE,"High"
)</f>
        <v>Low</v>
      </c>
      <c r="D39" t="s">
        <v>2041</v>
      </c>
      <c r="E39" t="s">
        <v>2043</v>
      </c>
      <c r="F39" t="s">
        <v>2029</v>
      </c>
      <c r="G39">
        <v>22</v>
      </c>
      <c r="H39" t="str" cm="1">
        <f t="array" ref="H39">_xlfn.IFS(
Table2[[#This Row],[AGE]]&lt;30,"Young",
Table2[[#This Row],[AGE]]&lt;40,"Middle Age",
Table2[[#This Row],[AGE]]&lt;50,"Senior",
TRUE,"Super Senior"
)</f>
        <v>Young</v>
      </c>
      <c r="I39">
        <v>0</v>
      </c>
      <c r="J39">
        <v>0</v>
      </c>
      <c r="K39">
        <v>0</v>
      </c>
      <c r="L39">
        <v>0</v>
      </c>
      <c r="M39">
        <v>0</v>
      </c>
      <c r="N39">
        <v>-1</v>
      </c>
      <c r="O39" s="1">
        <v>15054</v>
      </c>
      <c r="P39" s="1">
        <v>9806</v>
      </c>
      <c r="Q39" s="1">
        <v>11068</v>
      </c>
      <c r="R39" s="1">
        <v>6026</v>
      </c>
      <c r="S39" s="1">
        <v>-28335</v>
      </c>
      <c r="T39" s="1">
        <v>18660</v>
      </c>
      <c r="U39" s="1">
        <v>1500</v>
      </c>
      <c r="V39" s="1">
        <v>1518</v>
      </c>
      <c r="W39" s="1">
        <v>2043</v>
      </c>
      <c r="X39" s="1">
        <v>0</v>
      </c>
      <c r="Y39" s="1">
        <v>47671</v>
      </c>
      <c r="Z39" s="1">
        <v>617</v>
      </c>
      <c r="AA39">
        <v>0</v>
      </c>
      <c r="AB39" t="str">
        <f t="shared" si="0"/>
        <v>Not Defaulter</v>
      </c>
      <c r="AC39" s="1">
        <f>Table2[[#This Row],[BILL_AMT1]]-Table2[[#This Row],[PAY_AMT1]]</f>
        <v>13554</v>
      </c>
      <c r="AD39" s="1" t="str" cm="1">
        <f t="array" ref="AD39">_xlfn.IFS(Table2[[#This Row],[PAYMENT GAP]]&lt;=0,"No Gap / Overpaid",Table2[[#This Row],[PAYMENT GAP]]&lt;=25000,"Low Gap",Table2[[#This Row],[PAYMENT GAP]]&lt;=100000,"Medium Gap",
TRUE,"High Gap"
)</f>
        <v>Low Gap</v>
      </c>
    </row>
    <row r="40" spans="1:30" x14ac:dyDescent="0.3">
      <c r="A40">
        <v>39</v>
      </c>
      <c r="B40" s="1">
        <v>50000</v>
      </c>
      <c r="C40" s="1" t="str" cm="1">
        <f t="array" ref="C40">_xlfn.IFS(Table2[[#This Row],[LIMIT_BAL]]&lt;=100000,"Low",Table2[[#This Row],[LIMIT_BAL]]&lt;=300000,"Medium",
TRUE,"High"
)</f>
        <v>Low</v>
      </c>
      <c r="D40" t="s">
        <v>2042</v>
      </c>
      <c r="E40" t="s">
        <v>2026</v>
      </c>
      <c r="F40" t="s">
        <v>2029</v>
      </c>
      <c r="G40">
        <v>25</v>
      </c>
      <c r="H40" t="str" cm="1">
        <f t="array" ref="H40">_xlfn.IFS(
Table2[[#This Row],[AGE]]&lt;30,"Young",
Table2[[#This Row],[AGE]]&lt;40,"Middle Age",
Table2[[#This Row],[AGE]]&lt;50,"Senior",
TRUE,"Super Senior"
)</f>
        <v>Young</v>
      </c>
      <c r="I40">
        <v>1</v>
      </c>
      <c r="J40">
        <v>-1</v>
      </c>
      <c r="K40">
        <v>-1</v>
      </c>
      <c r="L40">
        <v>-2</v>
      </c>
      <c r="M40">
        <v>-2</v>
      </c>
      <c r="N40">
        <v>-2</v>
      </c>
      <c r="O40" s="1">
        <v>0</v>
      </c>
      <c r="P40" s="1">
        <v>780</v>
      </c>
      <c r="Q40" s="1">
        <v>0</v>
      </c>
      <c r="R40" s="1">
        <v>0</v>
      </c>
      <c r="S40" s="1">
        <v>0</v>
      </c>
      <c r="T40" s="1">
        <v>0</v>
      </c>
      <c r="U40" s="1">
        <v>780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>
        <v>1</v>
      </c>
      <c r="AB40" t="str">
        <f t="shared" si="0"/>
        <v>Defaulter</v>
      </c>
      <c r="AC40" s="1">
        <f>Table2[[#This Row],[BILL_AMT1]]-Table2[[#This Row],[PAY_AMT1]]</f>
        <v>-780</v>
      </c>
      <c r="AD40" s="1" t="str" cm="1">
        <f t="array" ref="AD40">_xlfn.IFS(Table2[[#This Row],[PAYMENT GAP]]&lt;=0,"No Gap / Overpaid",Table2[[#This Row],[PAYMENT GAP]]&lt;=25000,"Low Gap",Table2[[#This Row],[PAYMENT GAP]]&lt;=100000,"Medium Gap",
TRUE,"High Gap"
)</f>
        <v>No Gap / Overpaid</v>
      </c>
    </row>
    <row r="41" spans="1:30" x14ac:dyDescent="0.3">
      <c r="A41">
        <v>40</v>
      </c>
      <c r="B41" s="1">
        <v>280000</v>
      </c>
      <c r="C41" s="1" t="str" cm="1">
        <f t="array" ref="C41">_xlfn.IFS(Table2[[#This Row],[LIMIT_BAL]]&lt;=100000,"Low",Table2[[#This Row],[LIMIT_BAL]]&lt;=300000,"Medium",
TRUE,"High"
)</f>
        <v>Medium</v>
      </c>
      <c r="D41" t="s">
        <v>2042</v>
      </c>
      <c r="E41" t="s">
        <v>2026</v>
      </c>
      <c r="F41" t="s">
        <v>2029</v>
      </c>
      <c r="G41">
        <v>31</v>
      </c>
      <c r="H41" t="str" cm="1">
        <f t="array" ref="H41">_xlfn.IFS(
Table2[[#This Row],[AGE]]&lt;30,"Young",
Table2[[#This Row],[AGE]]&lt;40,"Middle Age",
Table2[[#This Row],[AGE]]&lt;50,"Senior",
TRUE,"Super Senior"
)</f>
        <v>Middle Age</v>
      </c>
      <c r="I41">
        <v>-1</v>
      </c>
      <c r="J41">
        <v>-1</v>
      </c>
      <c r="K41">
        <v>2</v>
      </c>
      <c r="L41">
        <v>-1</v>
      </c>
      <c r="M41">
        <v>0</v>
      </c>
      <c r="N41">
        <v>-1</v>
      </c>
      <c r="O41" s="1">
        <v>498</v>
      </c>
      <c r="P41" s="1">
        <v>9075</v>
      </c>
      <c r="Q41" s="1">
        <v>4641</v>
      </c>
      <c r="R41" s="1">
        <v>9976</v>
      </c>
      <c r="S41" s="1">
        <v>17976</v>
      </c>
      <c r="T41" s="1">
        <v>9477</v>
      </c>
      <c r="U41" s="1">
        <v>9075</v>
      </c>
      <c r="V41" s="1">
        <v>0</v>
      </c>
      <c r="W41" s="1">
        <v>9976</v>
      </c>
      <c r="X41" s="1">
        <v>8000</v>
      </c>
      <c r="Y41" s="1">
        <v>9525</v>
      </c>
      <c r="Z41" s="1">
        <v>781</v>
      </c>
      <c r="AA41">
        <v>0</v>
      </c>
      <c r="AB41" t="str">
        <f t="shared" si="0"/>
        <v>Not Defaulter</v>
      </c>
      <c r="AC41" s="1">
        <f>Table2[[#This Row],[BILL_AMT1]]-Table2[[#This Row],[PAY_AMT1]]</f>
        <v>-8577</v>
      </c>
      <c r="AD41" s="1" t="str" cm="1">
        <f t="array" ref="AD41">_xlfn.IFS(Table2[[#This Row],[PAYMENT GAP]]&lt;=0,"No Gap / Overpaid",Table2[[#This Row],[PAYMENT GAP]]&lt;=25000,"Low Gap",Table2[[#This Row],[PAYMENT GAP]]&lt;=100000,"Medium Gap",
TRUE,"High Gap"
)</f>
        <v>No Gap / Overpaid</v>
      </c>
    </row>
    <row r="42" spans="1:30" x14ac:dyDescent="0.3">
      <c r="A42">
        <v>41</v>
      </c>
      <c r="B42" s="1">
        <v>360000</v>
      </c>
      <c r="C42" s="1" t="str" cm="1">
        <f t="array" ref="C42">_xlfn.IFS(Table2[[#This Row],[LIMIT_BAL]]&lt;=100000,"Low",Table2[[#This Row],[LIMIT_BAL]]&lt;=300000,"Medium",
TRUE,"High"
)</f>
        <v>High</v>
      </c>
      <c r="D42" t="s">
        <v>2042</v>
      </c>
      <c r="E42" t="s">
        <v>2026</v>
      </c>
      <c r="F42" t="s">
        <v>2029</v>
      </c>
      <c r="G42">
        <v>33</v>
      </c>
      <c r="H42" t="str" cm="1">
        <f t="array" ref="H42">_xlfn.IFS(
Table2[[#This Row],[AGE]]&lt;30,"Young",
Table2[[#This Row],[AGE]]&lt;40,"Middle Age",
Table2[[#This Row],[AGE]]&lt;50,"Senior",
TRUE,"Super Senior"
)</f>
        <v>Middle Age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 s="1">
        <v>218668</v>
      </c>
      <c r="P42" s="1">
        <v>221296</v>
      </c>
      <c r="Q42" s="1">
        <v>206895</v>
      </c>
      <c r="R42" s="1">
        <v>628699</v>
      </c>
      <c r="S42" s="1">
        <v>195969</v>
      </c>
      <c r="T42" s="1">
        <v>179224</v>
      </c>
      <c r="U42" s="1">
        <v>10000</v>
      </c>
      <c r="V42" s="1">
        <v>7000</v>
      </c>
      <c r="W42" s="1">
        <v>6000</v>
      </c>
      <c r="X42" s="1">
        <v>188840</v>
      </c>
      <c r="Y42" s="1">
        <v>28000</v>
      </c>
      <c r="Z42" s="1">
        <v>4000</v>
      </c>
      <c r="AA42">
        <v>0</v>
      </c>
      <c r="AB42" t="str">
        <f t="shared" si="0"/>
        <v>Not Defaulter</v>
      </c>
      <c r="AC42" s="1">
        <f>Table2[[#This Row],[BILL_AMT1]]-Table2[[#This Row],[PAY_AMT1]]</f>
        <v>208668</v>
      </c>
      <c r="AD42" s="1" t="str" cm="1">
        <f t="array" ref="AD42">_xlfn.IFS(Table2[[#This Row],[PAYMENT GAP]]&lt;=0,"No Gap / Overpaid",Table2[[#This Row],[PAYMENT GAP]]&lt;=25000,"Low Gap",Table2[[#This Row],[PAYMENT GAP]]&lt;=100000,"Medium Gap",
TRUE,"High Gap"
)</f>
        <v>High Gap</v>
      </c>
    </row>
    <row r="43" spans="1:30" x14ac:dyDescent="0.3">
      <c r="A43">
        <v>42</v>
      </c>
      <c r="B43" s="1">
        <v>70000</v>
      </c>
      <c r="C43" s="1" t="str" cm="1">
        <f t="array" ref="C43">_xlfn.IFS(Table2[[#This Row],[LIMIT_BAL]]&lt;=100000,"Low",Table2[[#This Row],[LIMIT_BAL]]&lt;=300000,"Medium",
TRUE,"High"
)</f>
        <v>Low</v>
      </c>
      <c r="D43" t="s">
        <v>2041</v>
      </c>
      <c r="E43" t="s">
        <v>2026</v>
      </c>
      <c r="F43" t="s">
        <v>2029</v>
      </c>
      <c r="G43">
        <v>25</v>
      </c>
      <c r="H43" t="str" cm="1">
        <f t="array" ref="H43">_xlfn.IFS(
Table2[[#This Row],[AGE]]&lt;30,"Young",
Table2[[#This Row],[AGE]]&lt;40,"Middle Age",
Table2[[#This Row],[AGE]]&lt;50,"Senior",
TRUE,"Super Senior"
)</f>
        <v>Young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s="1">
        <v>67521</v>
      </c>
      <c r="P43" s="1">
        <v>66999</v>
      </c>
      <c r="Q43" s="1">
        <v>63949</v>
      </c>
      <c r="R43" s="1">
        <v>63699</v>
      </c>
      <c r="S43" s="1">
        <v>64718</v>
      </c>
      <c r="T43" s="1">
        <v>65970</v>
      </c>
      <c r="U43" s="1">
        <v>3000</v>
      </c>
      <c r="V43" s="1">
        <v>4500</v>
      </c>
      <c r="W43" s="1">
        <v>4042</v>
      </c>
      <c r="X43" s="1">
        <v>2500</v>
      </c>
      <c r="Y43" s="1">
        <v>2800</v>
      </c>
      <c r="Z43" s="1">
        <v>2500</v>
      </c>
      <c r="AA43">
        <v>0</v>
      </c>
      <c r="AB43" t="str">
        <f t="shared" si="0"/>
        <v>Not Defaulter</v>
      </c>
      <c r="AC43" s="1">
        <f>Table2[[#This Row],[BILL_AMT1]]-Table2[[#This Row],[PAY_AMT1]]</f>
        <v>64521</v>
      </c>
      <c r="AD43" s="1" t="str" cm="1">
        <f t="array" ref="AD43">_xlfn.IFS(Table2[[#This Row],[PAYMENT GAP]]&lt;=0,"No Gap / Overpaid",Table2[[#This Row],[PAYMENT GAP]]&lt;=25000,"Low Gap",Table2[[#This Row],[PAYMENT GAP]]&lt;=100000,"Medium Gap",
TRUE,"High Gap"
)</f>
        <v>Medium Gap</v>
      </c>
    </row>
    <row r="44" spans="1:30" x14ac:dyDescent="0.3">
      <c r="A44">
        <v>43</v>
      </c>
      <c r="B44" s="1">
        <v>10000</v>
      </c>
      <c r="C44" s="1" t="str" cm="1">
        <f t="array" ref="C44">_xlfn.IFS(Table2[[#This Row],[LIMIT_BAL]]&lt;=100000,"Low",Table2[[#This Row],[LIMIT_BAL]]&lt;=300000,"Medium",
TRUE,"High"
)</f>
        <v>Low</v>
      </c>
      <c r="D44" t="s">
        <v>2042</v>
      </c>
      <c r="E44" t="s">
        <v>2043</v>
      </c>
      <c r="F44" t="s">
        <v>2029</v>
      </c>
      <c r="G44">
        <v>22</v>
      </c>
      <c r="H44" t="str" cm="1">
        <f t="array" ref="H44">_xlfn.IFS(
Table2[[#This Row],[AGE]]&lt;30,"Young",
Table2[[#This Row],[AGE]]&lt;40,"Middle Age",
Table2[[#This Row],[AGE]]&lt;50,"Senior",
TRUE,"Super Senior"
)</f>
        <v>Young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 s="1">
        <v>1877</v>
      </c>
      <c r="P44" s="1">
        <v>3184</v>
      </c>
      <c r="Q44" s="1">
        <v>6003</v>
      </c>
      <c r="R44" s="1">
        <v>3576</v>
      </c>
      <c r="S44" s="1">
        <v>3670</v>
      </c>
      <c r="T44" s="1">
        <v>4451</v>
      </c>
      <c r="U44" s="1">
        <v>1500</v>
      </c>
      <c r="V44" s="1">
        <v>2927</v>
      </c>
      <c r="W44" s="1">
        <v>1000</v>
      </c>
      <c r="X44" s="1">
        <v>300</v>
      </c>
      <c r="Y44" s="1">
        <v>1000</v>
      </c>
      <c r="Z44" s="1">
        <v>500</v>
      </c>
      <c r="AA44">
        <v>0</v>
      </c>
      <c r="AB44" t="str">
        <f t="shared" si="0"/>
        <v>Not Defaulter</v>
      </c>
      <c r="AC44" s="1">
        <f>Table2[[#This Row],[BILL_AMT1]]-Table2[[#This Row],[PAY_AMT1]]</f>
        <v>377</v>
      </c>
      <c r="AD44" s="1" t="str" cm="1">
        <f t="array" ref="AD44">_xlfn.IFS(Table2[[#This Row],[PAYMENT GAP]]&lt;=0,"No Gap / Overpaid",Table2[[#This Row],[PAYMENT GAP]]&lt;=25000,"Low Gap",Table2[[#This Row],[PAYMENT GAP]]&lt;=100000,"Medium Gap",
TRUE,"High Gap"
)</f>
        <v>Low Gap</v>
      </c>
    </row>
    <row r="45" spans="1:30" x14ac:dyDescent="0.3">
      <c r="A45">
        <v>44</v>
      </c>
      <c r="B45" s="1">
        <v>140000</v>
      </c>
      <c r="C45" s="1" t="str" cm="1">
        <f t="array" ref="C45">_xlfn.IFS(Table2[[#This Row],[LIMIT_BAL]]&lt;=100000,"Low",Table2[[#This Row],[LIMIT_BAL]]&lt;=300000,"Medium",
TRUE,"High"
)</f>
        <v>Medium</v>
      </c>
      <c r="D45" t="s">
        <v>2041</v>
      </c>
      <c r="E45" t="s">
        <v>2043</v>
      </c>
      <c r="F45" t="s">
        <v>2028</v>
      </c>
      <c r="G45">
        <v>37</v>
      </c>
      <c r="H45" t="str" cm="1">
        <f t="array" ref="H45">_xlfn.IFS(
Table2[[#This Row],[AGE]]&lt;30,"Young",
Table2[[#This Row],[AGE]]&lt;40,"Middle Age",
Table2[[#This Row],[AGE]]&lt;50,"Senior",
TRUE,"Super Senior"
)</f>
        <v>Middle Age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 s="1">
        <v>59504</v>
      </c>
      <c r="P45" s="1">
        <v>61544</v>
      </c>
      <c r="Q45" s="1">
        <v>62925</v>
      </c>
      <c r="R45" s="1">
        <v>64280</v>
      </c>
      <c r="S45" s="1">
        <v>67079</v>
      </c>
      <c r="T45" s="1">
        <v>69802</v>
      </c>
      <c r="U45" s="1">
        <v>3000</v>
      </c>
      <c r="V45" s="1">
        <v>3000</v>
      </c>
      <c r="W45" s="1">
        <v>3000</v>
      </c>
      <c r="X45" s="1">
        <v>4000</v>
      </c>
      <c r="Y45" s="1">
        <v>4000</v>
      </c>
      <c r="Z45" s="1">
        <v>3000</v>
      </c>
      <c r="AA45">
        <v>0</v>
      </c>
      <c r="AB45" t="str">
        <f t="shared" si="0"/>
        <v>Not Defaulter</v>
      </c>
      <c r="AC45" s="1">
        <f>Table2[[#This Row],[BILL_AMT1]]-Table2[[#This Row],[PAY_AMT1]]</f>
        <v>56504</v>
      </c>
      <c r="AD45" s="1" t="str" cm="1">
        <f t="array" ref="AD45">_xlfn.IFS(Table2[[#This Row],[PAYMENT GAP]]&lt;=0,"No Gap / Overpaid",Table2[[#This Row],[PAYMENT GAP]]&lt;=25000,"Low Gap",Table2[[#This Row],[PAYMENT GAP]]&lt;=100000,"Medium Gap",
TRUE,"High Gap"
)</f>
        <v>Medium Gap</v>
      </c>
    </row>
    <row r="46" spans="1:30" x14ac:dyDescent="0.3">
      <c r="A46">
        <v>45</v>
      </c>
      <c r="B46" s="1">
        <v>40000</v>
      </c>
      <c r="C46" s="1" t="str" cm="1">
        <f t="array" ref="C46">_xlfn.IFS(Table2[[#This Row],[LIMIT_BAL]]&lt;=100000,"Low",Table2[[#This Row],[LIMIT_BAL]]&lt;=300000,"Medium",
TRUE,"High"
)</f>
        <v>Low</v>
      </c>
      <c r="D46" t="s">
        <v>2041</v>
      </c>
      <c r="E46" t="s">
        <v>2026</v>
      </c>
      <c r="F46" t="s">
        <v>2029</v>
      </c>
      <c r="G46">
        <v>30</v>
      </c>
      <c r="H46" t="str" cm="1">
        <f t="array" ref="H46">_xlfn.IFS(
Table2[[#This Row],[AGE]]&lt;30,"Young",
Table2[[#This Row],[AGE]]&lt;40,"Middle Age",
Table2[[#This Row],[AGE]]&lt;50,"Senior",
TRUE,"Super Senior"
)</f>
        <v>Middle Age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 s="1">
        <v>18927</v>
      </c>
      <c r="P46" s="1">
        <v>21295</v>
      </c>
      <c r="Q46" s="1">
        <v>25921</v>
      </c>
      <c r="R46" s="1">
        <v>25209</v>
      </c>
      <c r="S46" s="1">
        <v>26636</v>
      </c>
      <c r="T46" s="1">
        <v>29197</v>
      </c>
      <c r="U46" s="1">
        <v>3000</v>
      </c>
      <c r="V46" s="1">
        <v>5000</v>
      </c>
      <c r="W46" s="1">
        <v>0</v>
      </c>
      <c r="X46" s="1">
        <v>2000</v>
      </c>
      <c r="Y46" s="1">
        <v>3000</v>
      </c>
      <c r="Z46" s="1">
        <v>0</v>
      </c>
      <c r="AA46">
        <v>0</v>
      </c>
      <c r="AB46" t="str">
        <f t="shared" si="0"/>
        <v>Not Defaulter</v>
      </c>
      <c r="AC46" s="1">
        <f>Table2[[#This Row],[BILL_AMT1]]-Table2[[#This Row],[PAY_AMT1]]</f>
        <v>15927</v>
      </c>
      <c r="AD46" s="1" t="str" cm="1">
        <f t="array" ref="AD46">_xlfn.IFS(Table2[[#This Row],[PAYMENT GAP]]&lt;=0,"No Gap / Overpaid",Table2[[#This Row],[PAYMENT GAP]]&lt;=25000,"Low Gap",Table2[[#This Row],[PAYMENT GAP]]&lt;=100000,"Medium Gap",
TRUE,"High Gap"
)</f>
        <v>Low Gap</v>
      </c>
    </row>
    <row r="47" spans="1:30" x14ac:dyDescent="0.3">
      <c r="A47">
        <v>46</v>
      </c>
      <c r="B47" s="1">
        <v>210000</v>
      </c>
      <c r="C47" s="1" t="str" cm="1">
        <f t="array" ref="C47">_xlfn.IFS(Table2[[#This Row],[LIMIT_BAL]]&lt;=100000,"Low",Table2[[#This Row],[LIMIT_BAL]]&lt;=300000,"Medium",
TRUE,"High"
)</f>
        <v>Medium</v>
      </c>
      <c r="D47" t="s">
        <v>2042</v>
      </c>
      <c r="E47" t="s">
        <v>2026</v>
      </c>
      <c r="F47" t="s">
        <v>2029</v>
      </c>
      <c r="G47">
        <v>29</v>
      </c>
      <c r="H47" t="str" cm="1">
        <f t="array" ref="H47">_xlfn.IFS(
Table2[[#This Row],[AGE]]&lt;30,"Young",
Table2[[#This Row],[AGE]]&lt;40,"Middle Age",
Table2[[#This Row],[AGE]]&lt;50,"Senior",
TRUE,"Super Senior"
)</f>
        <v>Young</v>
      </c>
      <c r="I47">
        <v>-2</v>
      </c>
      <c r="J47">
        <v>-2</v>
      </c>
      <c r="K47">
        <v>-2</v>
      </c>
      <c r="L47">
        <v>-2</v>
      </c>
      <c r="M47">
        <v>-2</v>
      </c>
      <c r="N47">
        <v>-2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>
        <v>1</v>
      </c>
      <c r="AB47" t="str">
        <f t="shared" si="0"/>
        <v>Defaulter</v>
      </c>
      <c r="AC47" s="1">
        <f>Table2[[#This Row],[BILL_AMT1]]-Table2[[#This Row],[PAY_AMT1]]</f>
        <v>0</v>
      </c>
      <c r="AD47" s="1" t="str" cm="1">
        <f t="array" ref="AD47">_xlfn.IFS(Table2[[#This Row],[PAYMENT GAP]]&lt;=0,"No Gap / Overpaid",Table2[[#This Row],[PAYMENT GAP]]&lt;=25000,"Low Gap",Table2[[#This Row],[PAYMENT GAP]]&lt;=100000,"Medium Gap",
TRUE,"High Gap"
)</f>
        <v>No Gap / Overpaid</v>
      </c>
    </row>
    <row r="48" spans="1:30" x14ac:dyDescent="0.3">
      <c r="A48">
        <v>47</v>
      </c>
      <c r="B48" s="1">
        <v>20000</v>
      </c>
      <c r="C48" s="1" t="str" cm="1">
        <f t="array" ref="C48">_xlfn.IFS(Table2[[#This Row],[LIMIT_BAL]]&lt;=100000,"Low",Table2[[#This Row],[LIMIT_BAL]]&lt;=300000,"Medium",
TRUE,"High"
)</f>
        <v>Low</v>
      </c>
      <c r="D48" t="s">
        <v>2041</v>
      </c>
      <c r="E48" t="s">
        <v>2026</v>
      </c>
      <c r="F48" t="s">
        <v>2029</v>
      </c>
      <c r="G48">
        <v>22</v>
      </c>
      <c r="H48" t="str" cm="1">
        <f t="array" ref="H48">_xlfn.IFS(
Table2[[#This Row],[AGE]]&lt;30,"Young",
Table2[[#This Row],[AGE]]&lt;40,"Middle Age",
Table2[[#This Row],[AGE]]&lt;50,"Senior",
TRUE,"Super Senior"
)</f>
        <v>Young</v>
      </c>
      <c r="I48">
        <v>0</v>
      </c>
      <c r="J48">
        <v>0</v>
      </c>
      <c r="K48">
        <v>2</v>
      </c>
      <c r="L48">
        <v>-1</v>
      </c>
      <c r="M48">
        <v>0</v>
      </c>
      <c r="N48">
        <v>0</v>
      </c>
      <c r="O48" s="1">
        <v>14028</v>
      </c>
      <c r="P48" s="1">
        <v>16484</v>
      </c>
      <c r="Q48" s="1">
        <v>15800</v>
      </c>
      <c r="R48" s="1">
        <v>16341</v>
      </c>
      <c r="S48" s="1">
        <v>16675</v>
      </c>
      <c r="T48" s="1">
        <v>0</v>
      </c>
      <c r="U48" s="1">
        <v>3000</v>
      </c>
      <c r="V48" s="1">
        <v>0</v>
      </c>
      <c r="W48" s="1">
        <v>16741</v>
      </c>
      <c r="X48" s="1">
        <v>334</v>
      </c>
      <c r="Y48" s="1">
        <v>0</v>
      </c>
      <c r="Z48" s="1">
        <v>0</v>
      </c>
      <c r="AA48">
        <v>1</v>
      </c>
      <c r="AB48" t="str">
        <f t="shared" si="0"/>
        <v>Defaulter</v>
      </c>
      <c r="AC48" s="1">
        <f>Table2[[#This Row],[BILL_AMT1]]-Table2[[#This Row],[PAY_AMT1]]</f>
        <v>11028</v>
      </c>
      <c r="AD48" s="1" t="str" cm="1">
        <f t="array" ref="AD48">_xlfn.IFS(Table2[[#This Row],[PAYMENT GAP]]&lt;=0,"No Gap / Overpaid",Table2[[#This Row],[PAYMENT GAP]]&lt;=25000,"Low Gap",Table2[[#This Row],[PAYMENT GAP]]&lt;=100000,"Medium Gap",
TRUE,"High Gap"
)</f>
        <v>Low Gap</v>
      </c>
    </row>
    <row r="49" spans="1:30" x14ac:dyDescent="0.3">
      <c r="A49">
        <v>48</v>
      </c>
      <c r="B49" s="1">
        <v>150000</v>
      </c>
      <c r="C49" s="1" t="str" cm="1">
        <f t="array" ref="C49">_xlfn.IFS(Table2[[#This Row],[LIMIT_BAL]]&lt;=100000,"Low",Table2[[#This Row],[LIMIT_BAL]]&lt;=300000,"Medium",
TRUE,"High"
)</f>
        <v>Medium</v>
      </c>
      <c r="D49" t="s">
        <v>2041</v>
      </c>
      <c r="E49" t="s">
        <v>2044</v>
      </c>
      <c r="F49" t="s">
        <v>2029</v>
      </c>
      <c r="G49">
        <v>46</v>
      </c>
      <c r="H49" t="str" cm="1">
        <f t="array" ref="H49">_xlfn.IFS(
Table2[[#This Row],[AGE]]&lt;30,"Young",
Table2[[#This Row],[AGE]]&lt;40,"Middle Age",
Table2[[#This Row],[AGE]]&lt;50,"Senior",
TRUE,"Super Senior"
)</f>
        <v>Senior</v>
      </c>
      <c r="I49">
        <v>0</v>
      </c>
      <c r="J49">
        <v>0</v>
      </c>
      <c r="K49">
        <v>-1</v>
      </c>
      <c r="L49">
        <v>0</v>
      </c>
      <c r="M49">
        <v>0</v>
      </c>
      <c r="N49">
        <v>-2</v>
      </c>
      <c r="O49" s="1">
        <v>4463</v>
      </c>
      <c r="P49" s="1">
        <v>3034</v>
      </c>
      <c r="Q49" s="1">
        <v>1170</v>
      </c>
      <c r="R49" s="1">
        <v>1170</v>
      </c>
      <c r="S49" s="1">
        <v>0</v>
      </c>
      <c r="T49" s="1">
        <v>0</v>
      </c>
      <c r="U49" s="1">
        <v>1013</v>
      </c>
      <c r="V49" s="1">
        <v>1170</v>
      </c>
      <c r="W49" s="1">
        <v>0</v>
      </c>
      <c r="X49" s="1">
        <v>0</v>
      </c>
      <c r="Y49" s="1">
        <v>0</v>
      </c>
      <c r="Z49" s="1">
        <v>0</v>
      </c>
      <c r="AA49">
        <v>1</v>
      </c>
      <c r="AB49" t="str">
        <f t="shared" si="0"/>
        <v>Defaulter</v>
      </c>
      <c r="AC49" s="1">
        <f>Table2[[#This Row],[BILL_AMT1]]-Table2[[#This Row],[PAY_AMT1]]</f>
        <v>3450</v>
      </c>
      <c r="AD49" s="1" t="str" cm="1">
        <f t="array" ref="AD49">_xlfn.IFS(Table2[[#This Row],[PAYMENT GAP]]&lt;=0,"No Gap / Overpaid",Table2[[#This Row],[PAYMENT GAP]]&lt;=25000,"Low Gap",Table2[[#This Row],[PAYMENT GAP]]&lt;=100000,"Medium Gap",
TRUE,"High Gap"
)</f>
        <v>Low Gap</v>
      </c>
    </row>
    <row r="50" spans="1:30" x14ac:dyDescent="0.3">
      <c r="A50">
        <v>49</v>
      </c>
      <c r="B50" s="1">
        <v>380000</v>
      </c>
      <c r="C50" s="1" t="str" cm="1">
        <f t="array" ref="C50">_xlfn.IFS(Table2[[#This Row],[LIMIT_BAL]]&lt;=100000,"Low",Table2[[#This Row],[LIMIT_BAL]]&lt;=300000,"Medium",
TRUE,"High"
)</f>
        <v>High</v>
      </c>
      <c r="D50" t="s">
        <v>2042</v>
      </c>
      <c r="E50" t="s">
        <v>2043</v>
      </c>
      <c r="F50" t="s">
        <v>2029</v>
      </c>
      <c r="G50">
        <v>32</v>
      </c>
      <c r="H50" t="str" cm="1">
        <f t="array" ref="H50">_xlfn.IFS(
Table2[[#This Row],[AGE]]&lt;30,"Young",
Table2[[#This Row],[AGE]]&lt;40,"Middle Age",
Table2[[#This Row],[AGE]]&lt;50,"Senior",
TRUE,"Super Senior"
)</f>
        <v>Middle Age</v>
      </c>
      <c r="I50">
        <v>-1</v>
      </c>
      <c r="J50">
        <v>-1</v>
      </c>
      <c r="K50">
        <v>-1</v>
      </c>
      <c r="L50">
        <v>-1</v>
      </c>
      <c r="M50">
        <v>-1</v>
      </c>
      <c r="N50">
        <v>-1</v>
      </c>
      <c r="O50" s="1">
        <v>22401</v>
      </c>
      <c r="P50" s="1">
        <v>21540</v>
      </c>
      <c r="Q50" s="1">
        <v>15134</v>
      </c>
      <c r="R50" s="1">
        <v>32018</v>
      </c>
      <c r="S50" s="1">
        <v>11849</v>
      </c>
      <c r="T50" s="1">
        <v>11873</v>
      </c>
      <c r="U50" s="1">
        <v>21540</v>
      </c>
      <c r="V50" s="1">
        <v>15138</v>
      </c>
      <c r="W50" s="1">
        <v>24677</v>
      </c>
      <c r="X50" s="1">
        <v>11851</v>
      </c>
      <c r="Y50" s="1">
        <v>11875</v>
      </c>
      <c r="Z50" s="1">
        <v>8251</v>
      </c>
      <c r="AA50">
        <v>0</v>
      </c>
      <c r="AB50" t="str">
        <f t="shared" si="0"/>
        <v>Not Defaulter</v>
      </c>
      <c r="AC50" s="1">
        <f>Table2[[#This Row],[BILL_AMT1]]-Table2[[#This Row],[PAY_AMT1]]</f>
        <v>861</v>
      </c>
      <c r="AD50" s="1" t="str" cm="1">
        <f t="array" ref="AD50">_xlfn.IFS(Table2[[#This Row],[PAYMENT GAP]]&lt;=0,"No Gap / Overpaid",Table2[[#This Row],[PAYMENT GAP]]&lt;=25000,"Low Gap",Table2[[#This Row],[PAYMENT GAP]]&lt;=100000,"Medium Gap",
TRUE,"High Gap"
)</f>
        <v>Low Gap</v>
      </c>
    </row>
    <row r="51" spans="1:30" x14ac:dyDescent="0.3">
      <c r="A51">
        <v>50</v>
      </c>
      <c r="B51" s="1">
        <v>20000</v>
      </c>
      <c r="C51" s="1" t="str" cm="1">
        <f t="array" ref="C51">_xlfn.IFS(Table2[[#This Row],[LIMIT_BAL]]&lt;=100000,"Low",Table2[[#This Row],[LIMIT_BAL]]&lt;=300000,"Medium",
TRUE,"High"
)</f>
        <v>Low</v>
      </c>
      <c r="D51" t="s">
        <v>2042</v>
      </c>
      <c r="E51" t="s">
        <v>2026</v>
      </c>
      <c r="F51" t="s">
        <v>2029</v>
      </c>
      <c r="G51">
        <v>24</v>
      </c>
      <c r="H51" t="str" cm="1">
        <f t="array" ref="H51">_xlfn.IFS(
Table2[[#This Row],[AGE]]&lt;30,"Young",
Table2[[#This Row],[AGE]]&lt;40,"Middle Age",
Table2[[#This Row],[AGE]]&lt;50,"Senior",
TRUE,"Super Senior"
)</f>
        <v>Young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 s="1">
        <v>17447</v>
      </c>
      <c r="P51" s="1">
        <v>18479</v>
      </c>
      <c r="Q51" s="1">
        <v>19476</v>
      </c>
      <c r="R51" s="1">
        <v>19865</v>
      </c>
      <c r="S51" s="1">
        <v>20480</v>
      </c>
      <c r="T51" s="1">
        <v>20063</v>
      </c>
      <c r="U51" s="1">
        <v>1318</v>
      </c>
      <c r="V51" s="1">
        <v>1315</v>
      </c>
      <c r="W51" s="1">
        <v>704</v>
      </c>
      <c r="X51" s="1">
        <v>928</v>
      </c>
      <c r="Y51" s="1">
        <v>912</v>
      </c>
      <c r="Z51" s="1">
        <v>1069</v>
      </c>
      <c r="AA51">
        <v>0</v>
      </c>
      <c r="AB51" t="str">
        <f t="shared" si="0"/>
        <v>Not Defaulter</v>
      </c>
      <c r="AC51" s="1">
        <f>Table2[[#This Row],[BILL_AMT1]]-Table2[[#This Row],[PAY_AMT1]]</f>
        <v>16129</v>
      </c>
      <c r="AD51" s="1" t="str" cm="1">
        <f t="array" ref="AD51">_xlfn.IFS(Table2[[#This Row],[PAYMENT GAP]]&lt;=0,"No Gap / Overpaid",Table2[[#This Row],[PAYMENT GAP]]&lt;=25000,"Low Gap",Table2[[#This Row],[PAYMENT GAP]]&lt;=100000,"Medium Gap",
TRUE,"High Gap"
)</f>
        <v>Low Gap</v>
      </c>
    </row>
    <row r="52" spans="1:30" x14ac:dyDescent="0.3">
      <c r="A52">
        <v>51</v>
      </c>
      <c r="B52" s="1">
        <v>70000</v>
      </c>
      <c r="C52" s="1" t="str" cm="1">
        <f t="array" ref="C52">_xlfn.IFS(Table2[[#This Row],[LIMIT_BAL]]&lt;=100000,"Low",Table2[[#This Row],[LIMIT_BAL]]&lt;=300000,"Medium",
TRUE,"High"
)</f>
        <v>Low</v>
      </c>
      <c r="D52" t="s">
        <v>2042</v>
      </c>
      <c r="E52" t="s">
        <v>2027</v>
      </c>
      <c r="F52" t="s">
        <v>2029</v>
      </c>
      <c r="G52">
        <v>42</v>
      </c>
      <c r="H52" t="str" cm="1">
        <f t="array" ref="H52">_xlfn.IFS(
Table2[[#This Row],[AGE]]&lt;30,"Young",
Table2[[#This Row],[AGE]]&lt;40,"Middle Age",
Table2[[#This Row],[AGE]]&lt;50,"Senior",
TRUE,"Super Senior"
)</f>
        <v>Senior</v>
      </c>
      <c r="I52">
        <v>1</v>
      </c>
      <c r="J52">
        <v>2</v>
      </c>
      <c r="K52">
        <v>2</v>
      </c>
      <c r="L52">
        <v>2</v>
      </c>
      <c r="M52">
        <v>2</v>
      </c>
      <c r="N52">
        <v>0</v>
      </c>
      <c r="O52" s="1">
        <v>37042</v>
      </c>
      <c r="P52" s="1">
        <v>36171</v>
      </c>
      <c r="Q52" s="1">
        <v>38355</v>
      </c>
      <c r="R52" s="1">
        <v>39423</v>
      </c>
      <c r="S52" s="1">
        <v>38659</v>
      </c>
      <c r="T52" s="1">
        <v>39362</v>
      </c>
      <c r="U52" s="1">
        <v>0</v>
      </c>
      <c r="V52" s="1">
        <v>3100</v>
      </c>
      <c r="W52" s="1">
        <v>2000</v>
      </c>
      <c r="X52" s="1">
        <v>0</v>
      </c>
      <c r="Y52" s="1">
        <v>1500</v>
      </c>
      <c r="Z52" s="1">
        <v>1500</v>
      </c>
      <c r="AA52">
        <v>1</v>
      </c>
      <c r="AB52" t="str">
        <f t="shared" si="0"/>
        <v>Defaulter</v>
      </c>
      <c r="AC52" s="1">
        <f>Table2[[#This Row],[BILL_AMT1]]-Table2[[#This Row],[PAY_AMT1]]</f>
        <v>37042</v>
      </c>
      <c r="AD52" s="1" t="str" cm="1">
        <f t="array" ref="AD52">_xlfn.IFS(Table2[[#This Row],[PAYMENT GAP]]&lt;=0,"No Gap / Overpaid",Table2[[#This Row],[PAYMENT GAP]]&lt;=25000,"Low Gap",Table2[[#This Row],[PAYMENT GAP]]&lt;=100000,"Medium Gap",
TRUE,"High Gap"
)</f>
        <v>Medium Gap</v>
      </c>
    </row>
    <row r="53" spans="1:30" x14ac:dyDescent="0.3">
      <c r="A53">
        <v>52</v>
      </c>
      <c r="B53" s="1">
        <v>100000</v>
      </c>
      <c r="C53" s="1" t="str" cm="1">
        <f t="array" ref="C53">_xlfn.IFS(Table2[[#This Row],[LIMIT_BAL]]&lt;=100000,"Low",Table2[[#This Row],[LIMIT_BAL]]&lt;=300000,"Medium",
TRUE,"High"
)</f>
        <v>Low</v>
      </c>
      <c r="D53" t="s">
        <v>2041</v>
      </c>
      <c r="E53" t="s">
        <v>2027</v>
      </c>
      <c r="F53" t="s">
        <v>2055</v>
      </c>
      <c r="G53">
        <v>43</v>
      </c>
      <c r="H53" t="str" cm="1">
        <f t="array" ref="H53">_xlfn.IFS(
Table2[[#This Row],[AGE]]&lt;30,"Young",
Table2[[#This Row],[AGE]]&lt;40,"Middle Age",
Table2[[#This Row],[AGE]]&lt;50,"Senior",
TRUE,"Super Senior"
)</f>
        <v>Senior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s="1">
        <v>61559</v>
      </c>
      <c r="P53" s="1">
        <v>51163</v>
      </c>
      <c r="Q53" s="1">
        <v>43824</v>
      </c>
      <c r="R53" s="1">
        <v>39619</v>
      </c>
      <c r="S53" s="1">
        <v>35762</v>
      </c>
      <c r="T53" s="1">
        <v>33258</v>
      </c>
      <c r="U53" s="1">
        <v>2000</v>
      </c>
      <c r="V53" s="1">
        <v>1606</v>
      </c>
      <c r="W53" s="1">
        <v>1500</v>
      </c>
      <c r="X53" s="1">
        <v>2000</v>
      </c>
      <c r="Y53" s="1">
        <v>1500</v>
      </c>
      <c r="Z53" s="1">
        <v>1000</v>
      </c>
      <c r="AA53">
        <v>0</v>
      </c>
      <c r="AB53" t="str">
        <f t="shared" si="0"/>
        <v>Not Defaulter</v>
      </c>
      <c r="AC53" s="1">
        <f>Table2[[#This Row],[BILL_AMT1]]-Table2[[#This Row],[PAY_AMT1]]</f>
        <v>59559</v>
      </c>
      <c r="AD53" s="1" t="str" cm="1">
        <f t="array" ref="AD53">_xlfn.IFS(Table2[[#This Row],[PAYMENT GAP]]&lt;=0,"No Gap / Overpaid",Table2[[#This Row],[PAYMENT GAP]]&lt;=25000,"Low Gap",Table2[[#This Row],[PAYMENT GAP]]&lt;=100000,"Medium Gap",
TRUE,"High Gap"
)</f>
        <v>Medium Gap</v>
      </c>
    </row>
    <row r="54" spans="1:30" x14ac:dyDescent="0.3">
      <c r="A54">
        <v>53</v>
      </c>
      <c r="B54" s="1">
        <v>310000</v>
      </c>
      <c r="C54" s="1" t="str" cm="1">
        <f t="array" ref="C54">_xlfn.IFS(Table2[[#This Row],[LIMIT_BAL]]&lt;=100000,"Low",Table2[[#This Row],[LIMIT_BAL]]&lt;=300000,"Medium",
TRUE,"High"
)</f>
        <v>High</v>
      </c>
      <c r="D54" t="s">
        <v>2041</v>
      </c>
      <c r="E54" t="s">
        <v>2043</v>
      </c>
      <c r="F54" t="s">
        <v>2028</v>
      </c>
      <c r="G54">
        <v>49</v>
      </c>
      <c r="H54" t="str" cm="1">
        <f t="array" ref="H54">_xlfn.IFS(
Table2[[#This Row],[AGE]]&lt;30,"Young",
Table2[[#This Row],[AGE]]&lt;40,"Middle Age",
Table2[[#This Row],[AGE]]&lt;50,"Senior",
TRUE,"Super Senior"
)</f>
        <v>Senior</v>
      </c>
      <c r="I54">
        <v>-2</v>
      </c>
      <c r="J54">
        <v>-2</v>
      </c>
      <c r="K54">
        <v>-2</v>
      </c>
      <c r="L54">
        <v>-2</v>
      </c>
      <c r="M54">
        <v>-2</v>
      </c>
      <c r="N54">
        <v>-2</v>
      </c>
      <c r="O54" s="1">
        <v>13465</v>
      </c>
      <c r="P54" s="1">
        <v>7867</v>
      </c>
      <c r="Q54" s="1">
        <v>7600</v>
      </c>
      <c r="R54" s="1">
        <v>11185</v>
      </c>
      <c r="S54" s="1">
        <v>3544</v>
      </c>
      <c r="T54" s="1">
        <v>464</v>
      </c>
      <c r="U54" s="1">
        <v>7875</v>
      </c>
      <c r="V54" s="1">
        <v>7600</v>
      </c>
      <c r="W54" s="1">
        <v>11185</v>
      </c>
      <c r="X54" s="1">
        <v>3544</v>
      </c>
      <c r="Y54" s="1">
        <v>464</v>
      </c>
      <c r="Z54" s="1">
        <v>0</v>
      </c>
      <c r="AA54">
        <v>0</v>
      </c>
      <c r="AB54" t="str">
        <f t="shared" si="0"/>
        <v>Not Defaulter</v>
      </c>
      <c r="AC54" s="1">
        <f>Table2[[#This Row],[BILL_AMT1]]-Table2[[#This Row],[PAY_AMT1]]</f>
        <v>5590</v>
      </c>
      <c r="AD54" s="1" t="str" cm="1">
        <f t="array" ref="AD54">_xlfn.IFS(Table2[[#This Row],[PAYMENT GAP]]&lt;=0,"No Gap / Overpaid",Table2[[#This Row],[PAYMENT GAP]]&lt;=25000,"Low Gap",Table2[[#This Row],[PAYMENT GAP]]&lt;=100000,"Medium Gap",
TRUE,"High Gap"
)</f>
        <v>Low Gap</v>
      </c>
    </row>
    <row r="55" spans="1:30" x14ac:dyDescent="0.3">
      <c r="A55">
        <v>54</v>
      </c>
      <c r="B55" s="1">
        <v>180000</v>
      </c>
      <c r="C55" s="1" t="str" cm="1">
        <f t="array" ref="C55">_xlfn.IFS(Table2[[#This Row],[LIMIT_BAL]]&lt;=100000,"Low",Table2[[#This Row],[LIMIT_BAL]]&lt;=300000,"Medium",
TRUE,"High"
)</f>
        <v>Medium</v>
      </c>
      <c r="D55" t="s">
        <v>2041</v>
      </c>
      <c r="E55" t="s">
        <v>2026</v>
      </c>
      <c r="F55" t="s">
        <v>2029</v>
      </c>
      <c r="G55">
        <v>25</v>
      </c>
      <c r="H55" t="str" cm="1">
        <f t="array" ref="H55">_xlfn.IFS(
Table2[[#This Row],[AGE]]&lt;30,"Young",
Table2[[#This Row],[AGE]]&lt;40,"Middle Age",
Table2[[#This Row],[AGE]]&lt;50,"Senior",
TRUE,"Super Senior"
)</f>
        <v>Young</v>
      </c>
      <c r="I55">
        <v>1</v>
      </c>
      <c r="J55">
        <v>2</v>
      </c>
      <c r="K55">
        <v>0</v>
      </c>
      <c r="L55">
        <v>0</v>
      </c>
      <c r="M55">
        <v>0</v>
      </c>
      <c r="N55">
        <v>0</v>
      </c>
      <c r="O55" s="1">
        <v>41402</v>
      </c>
      <c r="P55" s="1">
        <v>41742</v>
      </c>
      <c r="Q55" s="1">
        <v>42758</v>
      </c>
      <c r="R55" s="1">
        <v>43510</v>
      </c>
      <c r="S55" s="1">
        <v>44420</v>
      </c>
      <c r="T55" s="1">
        <v>45319</v>
      </c>
      <c r="U55" s="1">
        <v>1300</v>
      </c>
      <c r="V55" s="1">
        <v>2010</v>
      </c>
      <c r="W55" s="1">
        <v>1762</v>
      </c>
      <c r="X55" s="1">
        <v>1762</v>
      </c>
      <c r="Y55" s="1">
        <v>1790</v>
      </c>
      <c r="Z55" s="1">
        <v>1622</v>
      </c>
      <c r="AA55">
        <v>0</v>
      </c>
      <c r="AB55" t="str">
        <f t="shared" si="0"/>
        <v>Not Defaulter</v>
      </c>
      <c r="AC55" s="1">
        <f>Table2[[#This Row],[BILL_AMT1]]-Table2[[#This Row],[PAY_AMT1]]</f>
        <v>40102</v>
      </c>
      <c r="AD55" s="1" t="str" cm="1">
        <f t="array" ref="AD55">_xlfn.IFS(Table2[[#This Row],[PAYMENT GAP]]&lt;=0,"No Gap / Overpaid",Table2[[#This Row],[PAYMENT GAP]]&lt;=25000,"Low Gap",Table2[[#This Row],[PAYMENT GAP]]&lt;=100000,"Medium Gap",
TRUE,"High Gap"
)</f>
        <v>Medium Gap</v>
      </c>
    </row>
    <row r="56" spans="1:30" x14ac:dyDescent="0.3">
      <c r="A56">
        <v>55</v>
      </c>
      <c r="B56" s="1">
        <v>150000</v>
      </c>
      <c r="C56" s="1" t="str" cm="1">
        <f t="array" ref="C56">_xlfn.IFS(Table2[[#This Row],[LIMIT_BAL]]&lt;=100000,"Low",Table2[[#This Row],[LIMIT_BAL]]&lt;=300000,"Medium",
TRUE,"High"
)</f>
        <v>Medium</v>
      </c>
      <c r="D56" t="s">
        <v>2041</v>
      </c>
      <c r="E56" t="s">
        <v>2026</v>
      </c>
      <c r="F56" t="s">
        <v>2029</v>
      </c>
      <c r="G56">
        <v>29</v>
      </c>
      <c r="H56" t="str" cm="1">
        <f t="array" ref="H56">_xlfn.IFS(
Table2[[#This Row],[AGE]]&lt;30,"Young",
Table2[[#This Row],[AGE]]&lt;40,"Middle Age",
Table2[[#This Row],[AGE]]&lt;50,"Senior",
TRUE,"Super Senior"
)</f>
        <v>Young</v>
      </c>
      <c r="I56">
        <v>2</v>
      </c>
      <c r="J56">
        <v>0</v>
      </c>
      <c r="K56">
        <v>0</v>
      </c>
      <c r="L56">
        <v>0</v>
      </c>
      <c r="M56">
        <v>0</v>
      </c>
      <c r="N56">
        <v>0</v>
      </c>
      <c r="O56" s="1">
        <v>46224</v>
      </c>
      <c r="P56" s="1">
        <v>34993</v>
      </c>
      <c r="Q56" s="1">
        <v>31434</v>
      </c>
      <c r="R56" s="1">
        <v>26518</v>
      </c>
      <c r="S56" s="1">
        <v>21042</v>
      </c>
      <c r="T56" s="1">
        <v>16540</v>
      </c>
      <c r="U56" s="1">
        <v>1600</v>
      </c>
      <c r="V56" s="1">
        <v>1718</v>
      </c>
      <c r="W56" s="1">
        <v>1049</v>
      </c>
      <c r="X56" s="1">
        <v>1500</v>
      </c>
      <c r="Y56" s="1">
        <v>2000</v>
      </c>
      <c r="Z56" s="1">
        <v>5000</v>
      </c>
      <c r="AA56">
        <v>0</v>
      </c>
      <c r="AB56" t="str">
        <f t="shared" si="0"/>
        <v>Not Defaulter</v>
      </c>
      <c r="AC56" s="1">
        <f>Table2[[#This Row],[BILL_AMT1]]-Table2[[#This Row],[PAY_AMT1]]</f>
        <v>44624</v>
      </c>
      <c r="AD56" s="1" t="str" cm="1">
        <f t="array" ref="AD56">_xlfn.IFS(Table2[[#This Row],[PAYMENT GAP]]&lt;=0,"No Gap / Overpaid",Table2[[#This Row],[PAYMENT GAP]]&lt;=25000,"Low Gap",Table2[[#This Row],[PAYMENT GAP]]&lt;=100000,"Medium Gap",
TRUE,"High Gap"
)</f>
        <v>Medium Gap</v>
      </c>
    </row>
    <row r="57" spans="1:30" x14ac:dyDescent="0.3">
      <c r="A57">
        <v>56</v>
      </c>
      <c r="B57" s="1">
        <v>500000</v>
      </c>
      <c r="C57" s="1" t="str" cm="1">
        <f t="array" ref="C57">_xlfn.IFS(Table2[[#This Row],[LIMIT_BAL]]&lt;=100000,"Low",Table2[[#This Row],[LIMIT_BAL]]&lt;=300000,"Medium",
TRUE,"High"
)</f>
        <v>High</v>
      </c>
      <c r="D57" t="s">
        <v>2041</v>
      </c>
      <c r="E57" t="s">
        <v>2026</v>
      </c>
      <c r="F57" t="s">
        <v>2028</v>
      </c>
      <c r="G57">
        <v>45</v>
      </c>
      <c r="H57" t="str" cm="1">
        <f t="array" ref="H57">_xlfn.IFS(
Table2[[#This Row],[AGE]]&lt;30,"Young",
Table2[[#This Row],[AGE]]&lt;40,"Middle Age",
Table2[[#This Row],[AGE]]&lt;50,"Senior",
TRUE,"Super Senior"
)</f>
        <v>Senior</v>
      </c>
      <c r="I57">
        <v>-2</v>
      </c>
      <c r="J57">
        <v>-2</v>
      </c>
      <c r="K57">
        <v>-2</v>
      </c>
      <c r="L57">
        <v>-2</v>
      </c>
      <c r="M57">
        <v>-2</v>
      </c>
      <c r="N57">
        <v>-2</v>
      </c>
      <c r="O57" s="1">
        <v>1905</v>
      </c>
      <c r="P57" s="1">
        <v>3640</v>
      </c>
      <c r="Q57" s="1">
        <v>162</v>
      </c>
      <c r="R57" s="1">
        <v>0</v>
      </c>
      <c r="S57" s="1">
        <v>151</v>
      </c>
      <c r="T57" s="1">
        <v>2530</v>
      </c>
      <c r="U57" s="1">
        <v>3640</v>
      </c>
      <c r="V57" s="1">
        <v>162</v>
      </c>
      <c r="W57" s="1">
        <v>0</v>
      </c>
      <c r="X57" s="1">
        <v>151</v>
      </c>
      <c r="Y57" s="1">
        <v>2530</v>
      </c>
      <c r="Z57" s="1">
        <v>0</v>
      </c>
      <c r="AA57">
        <v>0</v>
      </c>
      <c r="AB57" t="str">
        <f t="shared" si="0"/>
        <v>Not Defaulter</v>
      </c>
      <c r="AC57" s="1">
        <f>Table2[[#This Row],[BILL_AMT1]]-Table2[[#This Row],[PAY_AMT1]]</f>
        <v>-1735</v>
      </c>
      <c r="AD57" s="1" t="str" cm="1">
        <f t="array" ref="AD57">_xlfn.IFS(Table2[[#This Row],[PAYMENT GAP]]&lt;=0,"No Gap / Overpaid",Table2[[#This Row],[PAYMENT GAP]]&lt;=25000,"Low Gap",Table2[[#This Row],[PAYMENT GAP]]&lt;=100000,"Medium Gap",
TRUE,"High Gap"
)</f>
        <v>No Gap / Overpaid</v>
      </c>
    </row>
    <row r="58" spans="1:30" x14ac:dyDescent="0.3">
      <c r="A58">
        <v>57</v>
      </c>
      <c r="B58" s="1">
        <v>180000</v>
      </c>
      <c r="C58" s="1" t="str" cm="1">
        <f t="array" ref="C58">_xlfn.IFS(Table2[[#This Row],[LIMIT_BAL]]&lt;=100000,"Low",Table2[[#This Row],[LIMIT_BAL]]&lt;=300000,"Medium",
TRUE,"High"
)</f>
        <v>Medium</v>
      </c>
      <c r="D58" t="s">
        <v>2041</v>
      </c>
      <c r="E58" t="s">
        <v>2027</v>
      </c>
      <c r="F58" t="s">
        <v>2028</v>
      </c>
      <c r="G58">
        <v>34</v>
      </c>
      <c r="H58" t="str" cm="1">
        <f t="array" ref="H58">_xlfn.IFS(
Table2[[#This Row],[AGE]]&lt;30,"Young",
Table2[[#This Row],[AGE]]&lt;40,"Middle Age",
Table2[[#This Row],[AGE]]&lt;50,"Senior",
TRUE,"Super Senior"
)</f>
        <v>Middle Age</v>
      </c>
      <c r="I58">
        <v>0</v>
      </c>
      <c r="J58">
        <v>0</v>
      </c>
      <c r="K58">
        <v>0</v>
      </c>
      <c r="L58">
        <v>-1</v>
      </c>
      <c r="M58">
        <v>-1</v>
      </c>
      <c r="N58">
        <v>-1</v>
      </c>
      <c r="O58" s="1">
        <v>16386</v>
      </c>
      <c r="P58" s="1">
        <v>15793</v>
      </c>
      <c r="Q58" s="1">
        <v>8441</v>
      </c>
      <c r="R58" s="1">
        <v>7142</v>
      </c>
      <c r="S58" s="1">
        <v>-679</v>
      </c>
      <c r="T58" s="1">
        <v>8321</v>
      </c>
      <c r="U58" s="1">
        <v>8500</v>
      </c>
      <c r="V58" s="1">
        <v>1500</v>
      </c>
      <c r="W58" s="1">
        <v>7500</v>
      </c>
      <c r="X58" s="1">
        <v>679</v>
      </c>
      <c r="Y58" s="1">
        <v>9000</v>
      </c>
      <c r="Z58" s="1">
        <v>2000</v>
      </c>
      <c r="AA58">
        <v>0</v>
      </c>
      <c r="AB58" t="str">
        <f t="shared" si="0"/>
        <v>Not Defaulter</v>
      </c>
      <c r="AC58" s="1">
        <f>Table2[[#This Row],[BILL_AMT1]]-Table2[[#This Row],[PAY_AMT1]]</f>
        <v>7886</v>
      </c>
      <c r="AD58" s="1" t="str" cm="1">
        <f t="array" ref="AD58">_xlfn.IFS(Table2[[#This Row],[PAYMENT GAP]]&lt;=0,"No Gap / Overpaid",Table2[[#This Row],[PAYMENT GAP]]&lt;=25000,"Low Gap",Table2[[#This Row],[PAYMENT GAP]]&lt;=100000,"Medium Gap",
TRUE,"High Gap"
)</f>
        <v>Low Gap</v>
      </c>
    </row>
    <row r="59" spans="1:30" x14ac:dyDescent="0.3">
      <c r="A59">
        <v>58</v>
      </c>
      <c r="B59" s="1">
        <v>180000</v>
      </c>
      <c r="C59" s="1" t="str" cm="1">
        <f t="array" ref="C59">_xlfn.IFS(Table2[[#This Row],[LIMIT_BAL]]&lt;=100000,"Low",Table2[[#This Row],[LIMIT_BAL]]&lt;=300000,"Medium",
TRUE,"High"
)</f>
        <v>Medium</v>
      </c>
      <c r="D59" t="s">
        <v>2041</v>
      </c>
      <c r="E59" t="s">
        <v>2043</v>
      </c>
      <c r="F59" t="s">
        <v>2028</v>
      </c>
      <c r="G59">
        <v>34</v>
      </c>
      <c r="H59" t="str" cm="1">
        <f t="array" ref="H59">_xlfn.IFS(
Table2[[#This Row],[AGE]]&lt;30,"Young",
Table2[[#This Row],[AGE]]&lt;40,"Middle Age",
Table2[[#This Row],[AGE]]&lt;50,"Senior",
TRUE,"Super Senior"
)</f>
        <v>Middle Age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 s="1">
        <v>175886</v>
      </c>
      <c r="P59" s="1">
        <v>173440</v>
      </c>
      <c r="Q59" s="1">
        <v>172308</v>
      </c>
      <c r="R59" s="1">
        <v>168608</v>
      </c>
      <c r="S59" s="1">
        <v>132202</v>
      </c>
      <c r="T59" s="1">
        <v>129918</v>
      </c>
      <c r="U59" s="1">
        <v>8083</v>
      </c>
      <c r="V59" s="1">
        <v>7296</v>
      </c>
      <c r="W59" s="1">
        <v>5253</v>
      </c>
      <c r="X59" s="1">
        <v>4814</v>
      </c>
      <c r="Y59" s="1">
        <v>4816</v>
      </c>
      <c r="Z59" s="1">
        <v>3800</v>
      </c>
      <c r="AA59">
        <v>0</v>
      </c>
      <c r="AB59" t="str">
        <f t="shared" si="0"/>
        <v>Not Defaulter</v>
      </c>
      <c r="AC59" s="1">
        <f>Table2[[#This Row],[BILL_AMT1]]-Table2[[#This Row],[PAY_AMT1]]</f>
        <v>167803</v>
      </c>
      <c r="AD59" s="1" t="str" cm="1">
        <f t="array" ref="AD59">_xlfn.IFS(Table2[[#This Row],[PAYMENT GAP]]&lt;=0,"No Gap / Overpaid",Table2[[#This Row],[PAYMENT GAP]]&lt;=25000,"Low Gap",Table2[[#This Row],[PAYMENT GAP]]&lt;=100000,"Medium Gap",
TRUE,"High Gap"
)</f>
        <v>High Gap</v>
      </c>
    </row>
    <row r="60" spans="1:30" x14ac:dyDescent="0.3">
      <c r="A60">
        <v>59</v>
      </c>
      <c r="B60" s="1">
        <v>200000</v>
      </c>
      <c r="C60" s="1" t="str" cm="1">
        <f t="array" ref="C60">_xlfn.IFS(Table2[[#This Row],[LIMIT_BAL]]&lt;=100000,"Low",Table2[[#This Row],[LIMIT_BAL]]&lt;=300000,"Medium",
TRUE,"High"
)</f>
        <v>Medium</v>
      </c>
      <c r="D60" t="s">
        <v>2041</v>
      </c>
      <c r="E60" t="s">
        <v>2026</v>
      </c>
      <c r="F60" t="s">
        <v>2029</v>
      </c>
      <c r="G60">
        <v>34</v>
      </c>
      <c r="H60" t="str" cm="1">
        <f t="array" ref="H60">_xlfn.IFS(
Table2[[#This Row],[AGE]]&lt;30,"Young",
Table2[[#This Row],[AGE]]&lt;40,"Middle Age",
Table2[[#This Row],[AGE]]&lt;50,"Senior",
TRUE,"Super Senior"
)</f>
        <v>Middle Age</v>
      </c>
      <c r="I60">
        <v>-1</v>
      </c>
      <c r="J60">
        <v>3</v>
      </c>
      <c r="K60">
        <v>2</v>
      </c>
      <c r="L60">
        <v>2</v>
      </c>
      <c r="M60">
        <v>2</v>
      </c>
      <c r="N60">
        <v>2</v>
      </c>
      <c r="O60" s="1">
        <v>1587</v>
      </c>
      <c r="P60" s="1">
        <v>1098</v>
      </c>
      <c r="Q60" s="1">
        <v>782</v>
      </c>
      <c r="R60" s="1">
        <v>1166</v>
      </c>
      <c r="S60" s="1">
        <v>700</v>
      </c>
      <c r="T60" s="1">
        <v>1414</v>
      </c>
      <c r="U60" s="1">
        <v>0</v>
      </c>
      <c r="V60" s="1">
        <v>0</v>
      </c>
      <c r="W60" s="1">
        <v>700</v>
      </c>
      <c r="X60" s="1">
        <v>0</v>
      </c>
      <c r="Y60" s="1">
        <v>1200</v>
      </c>
      <c r="Z60" s="1">
        <v>0</v>
      </c>
      <c r="AA60">
        <v>0</v>
      </c>
      <c r="AB60" t="str">
        <f t="shared" si="0"/>
        <v>Not Defaulter</v>
      </c>
      <c r="AC60" s="1">
        <f>Table2[[#This Row],[BILL_AMT1]]-Table2[[#This Row],[PAY_AMT1]]</f>
        <v>1587</v>
      </c>
      <c r="AD60" s="1" t="str" cm="1">
        <f t="array" ref="AD60">_xlfn.IFS(Table2[[#This Row],[PAYMENT GAP]]&lt;=0,"No Gap / Overpaid",Table2[[#This Row],[PAYMENT GAP]]&lt;=25000,"Low Gap",Table2[[#This Row],[PAYMENT GAP]]&lt;=100000,"Medium Gap",
TRUE,"High Gap"
)</f>
        <v>Low Gap</v>
      </c>
    </row>
    <row r="61" spans="1:30" x14ac:dyDescent="0.3">
      <c r="A61">
        <v>60</v>
      </c>
      <c r="B61" s="1">
        <v>400000</v>
      </c>
      <c r="C61" s="1" t="str" cm="1">
        <f t="array" ref="C61">_xlfn.IFS(Table2[[#This Row],[LIMIT_BAL]]&lt;=100000,"Low",Table2[[#This Row],[LIMIT_BAL]]&lt;=300000,"Medium",
TRUE,"High"
)</f>
        <v>High</v>
      </c>
      <c r="D61" t="s">
        <v>2041</v>
      </c>
      <c r="E61" t="s">
        <v>2043</v>
      </c>
      <c r="F61" t="s">
        <v>2028</v>
      </c>
      <c r="G61">
        <v>29</v>
      </c>
      <c r="H61" t="str" cm="1">
        <f t="array" ref="H61">_xlfn.IFS(
Table2[[#This Row],[AGE]]&lt;30,"Young",
Table2[[#This Row],[AGE]]&lt;40,"Middle Age",
Table2[[#This Row],[AGE]]&lt;50,"Senior",
TRUE,"Super Senior"
)</f>
        <v>Young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s="1">
        <v>400134</v>
      </c>
      <c r="P61" s="1">
        <v>398857</v>
      </c>
      <c r="Q61" s="1">
        <v>404205</v>
      </c>
      <c r="R61" s="1">
        <v>360199</v>
      </c>
      <c r="S61" s="1">
        <v>356656</v>
      </c>
      <c r="T61" s="1">
        <v>364089</v>
      </c>
      <c r="U61" s="1">
        <v>17000</v>
      </c>
      <c r="V61" s="1">
        <v>15029</v>
      </c>
      <c r="W61" s="1">
        <v>30000</v>
      </c>
      <c r="X61" s="1">
        <v>12000</v>
      </c>
      <c r="Y61" s="1">
        <v>12000</v>
      </c>
      <c r="Z61" s="1">
        <v>23000</v>
      </c>
      <c r="AA61">
        <v>0</v>
      </c>
      <c r="AB61" t="str">
        <f t="shared" si="0"/>
        <v>Not Defaulter</v>
      </c>
      <c r="AC61" s="1">
        <f>Table2[[#This Row],[BILL_AMT1]]-Table2[[#This Row],[PAY_AMT1]]</f>
        <v>383134</v>
      </c>
      <c r="AD61" s="1" t="str" cm="1">
        <f t="array" ref="AD61">_xlfn.IFS(Table2[[#This Row],[PAYMENT GAP]]&lt;=0,"No Gap / Overpaid",Table2[[#This Row],[PAYMENT GAP]]&lt;=25000,"Low Gap",Table2[[#This Row],[PAYMENT GAP]]&lt;=100000,"Medium Gap",
TRUE,"High Gap"
)</f>
        <v>High Gap</v>
      </c>
    </row>
    <row r="62" spans="1:30" x14ac:dyDescent="0.3">
      <c r="A62">
        <v>61</v>
      </c>
      <c r="B62" s="1">
        <v>500000</v>
      </c>
      <c r="C62" s="1" t="str" cm="1">
        <f t="array" ref="C62">_xlfn.IFS(Table2[[#This Row],[LIMIT_BAL]]&lt;=100000,"Low",Table2[[#This Row],[LIMIT_BAL]]&lt;=300000,"Medium",
TRUE,"High"
)</f>
        <v>High</v>
      </c>
      <c r="D62" t="s">
        <v>2041</v>
      </c>
      <c r="E62" t="s">
        <v>2027</v>
      </c>
      <c r="F62" t="s">
        <v>2028</v>
      </c>
      <c r="G62">
        <v>28</v>
      </c>
      <c r="H62" t="str" cm="1">
        <f t="array" ref="H62">_xlfn.IFS(
Table2[[#This Row],[AGE]]&lt;30,"Young",
Table2[[#This Row],[AGE]]&lt;40,"Middle Age",
Table2[[#This Row],[AGE]]&lt;50,"Senior",
TRUE,"Super Senior"
)</f>
        <v>Young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 s="1">
        <v>22848</v>
      </c>
      <c r="P62" s="1">
        <v>23638</v>
      </c>
      <c r="Q62" s="1">
        <v>18878</v>
      </c>
      <c r="R62" s="1">
        <v>14937</v>
      </c>
      <c r="S62" s="1">
        <v>13827</v>
      </c>
      <c r="T62" s="1">
        <v>15571</v>
      </c>
      <c r="U62" s="1">
        <v>1516</v>
      </c>
      <c r="V62" s="1">
        <v>1300</v>
      </c>
      <c r="W62" s="1">
        <v>1000</v>
      </c>
      <c r="X62" s="1">
        <v>1000</v>
      </c>
      <c r="Y62" s="1">
        <v>2000</v>
      </c>
      <c r="Z62" s="1">
        <v>2000</v>
      </c>
      <c r="AA62">
        <v>1</v>
      </c>
      <c r="AB62" t="str">
        <f t="shared" si="0"/>
        <v>Defaulter</v>
      </c>
      <c r="AC62" s="1">
        <f>Table2[[#This Row],[BILL_AMT1]]-Table2[[#This Row],[PAY_AMT1]]</f>
        <v>21332</v>
      </c>
      <c r="AD62" s="1" t="str" cm="1">
        <f t="array" ref="AD62">_xlfn.IFS(Table2[[#This Row],[PAYMENT GAP]]&lt;=0,"No Gap / Overpaid",Table2[[#This Row],[PAYMENT GAP]]&lt;=25000,"Low Gap",Table2[[#This Row],[PAYMENT GAP]]&lt;=100000,"Medium Gap",
TRUE,"High Gap"
)</f>
        <v>Low Gap</v>
      </c>
    </row>
    <row r="63" spans="1:30" x14ac:dyDescent="0.3">
      <c r="A63">
        <v>62</v>
      </c>
      <c r="B63" s="1">
        <v>70000</v>
      </c>
      <c r="C63" s="1" t="str" cm="1">
        <f t="array" ref="C63">_xlfn.IFS(Table2[[#This Row],[LIMIT_BAL]]&lt;=100000,"Low",Table2[[#This Row],[LIMIT_BAL]]&lt;=300000,"Medium",
TRUE,"High"
)</f>
        <v>Low</v>
      </c>
      <c r="D63" t="s">
        <v>2042</v>
      </c>
      <c r="E63" t="s">
        <v>2043</v>
      </c>
      <c r="F63" t="s">
        <v>2028</v>
      </c>
      <c r="G63">
        <v>39</v>
      </c>
      <c r="H63" t="str" cm="1">
        <f t="array" ref="H63">_xlfn.IFS(
Table2[[#This Row],[AGE]]&lt;30,"Young",
Table2[[#This Row],[AGE]]&lt;40,"Middle Age",
Table2[[#This Row],[AGE]]&lt;50,"Senior",
TRUE,"Super Senior"
)</f>
        <v>Middle Age</v>
      </c>
      <c r="I63">
        <v>0</v>
      </c>
      <c r="J63">
        <v>0</v>
      </c>
      <c r="K63">
        <v>0</v>
      </c>
      <c r="L63">
        <v>0</v>
      </c>
      <c r="M63">
        <v>0</v>
      </c>
      <c r="N63">
        <v>-1</v>
      </c>
      <c r="O63" s="1">
        <v>70800</v>
      </c>
      <c r="P63" s="1">
        <v>72060</v>
      </c>
      <c r="Q63" s="1">
        <v>69938</v>
      </c>
      <c r="R63" s="1">
        <v>16518</v>
      </c>
      <c r="S63" s="1">
        <v>14096</v>
      </c>
      <c r="T63" s="1">
        <v>830</v>
      </c>
      <c r="U63" s="1">
        <v>4025</v>
      </c>
      <c r="V63" s="1">
        <v>2095</v>
      </c>
      <c r="W63" s="1">
        <v>1000</v>
      </c>
      <c r="X63" s="1">
        <v>2000</v>
      </c>
      <c r="Y63" s="1">
        <v>3000</v>
      </c>
      <c r="Z63" s="1">
        <v>0</v>
      </c>
      <c r="AA63">
        <v>0</v>
      </c>
      <c r="AB63" t="str">
        <f t="shared" si="0"/>
        <v>Not Defaulter</v>
      </c>
      <c r="AC63" s="1">
        <f>Table2[[#This Row],[BILL_AMT1]]-Table2[[#This Row],[PAY_AMT1]]</f>
        <v>66775</v>
      </c>
      <c r="AD63" s="1" t="str" cm="1">
        <f t="array" ref="AD63">_xlfn.IFS(Table2[[#This Row],[PAYMENT GAP]]&lt;=0,"No Gap / Overpaid",Table2[[#This Row],[PAYMENT GAP]]&lt;=25000,"Low Gap",Table2[[#This Row],[PAYMENT GAP]]&lt;=100000,"Medium Gap",
TRUE,"High Gap"
)</f>
        <v>Medium Gap</v>
      </c>
    </row>
    <row r="64" spans="1:30" x14ac:dyDescent="0.3">
      <c r="A64">
        <v>63</v>
      </c>
      <c r="B64" s="1">
        <v>50000</v>
      </c>
      <c r="C64" s="1" t="str" cm="1">
        <f t="array" ref="C64">_xlfn.IFS(Table2[[#This Row],[LIMIT_BAL]]&lt;=100000,"Low",Table2[[#This Row],[LIMIT_BAL]]&lt;=300000,"Medium",
TRUE,"High"
)</f>
        <v>Low</v>
      </c>
      <c r="D64" t="s">
        <v>2042</v>
      </c>
      <c r="E64" t="s">
        <v>2026</v>
      </c>
      <c r="F64" t="s">
        <v>2029</v>
      </c>
      <c r="G64">
        <v>29</v>
      </c>
      <c r="H64" t="str" cm="1">
        <f t="array" ref="H64">_xlfn.IFS(
Table2[[#This Row],[AGE]]&lt;30,"Young",
Table2[[#This Row],[AGE]]&lt;40,"Middle Age",
Table2[[#This Row],[AGE]]&lt;50,"Senior",
TRUE,"Super Senior"
)</f>
        <v>Young</v>
      </c>
      <c r="I64">
        <v>2</v>
      </c>
      <c r="J64">
        <v>2</v>
      </c>
      <c r="K64">
        <v>2</v>
      </c>
      <c r="L64">
        <v>2</v>
      </c>
      <c r="M64">
        <v>2</v>
      </c>
      <c r="N64">
        <v>2</v>
      </c>
      <c r="O64" s="1">
        <v>24987</v>
      </c>
      <c r="P64" s="1">
        <v>24300</v>
      </c>
      <c r="Q64" s="1">
        <v>26591</v>
      </c>
      <c r="R64" s="1">
        <v>25865</v>
      </c>
      <c r="S64" s="1">
        <v>27667</v>
      </c>
      <c r="T64" s="1">
        <v>28264</v>
      </c>
      <c r="U64" s="1">
        <v>0</v>
      </c>
      <c r="V64" s="1">
        <v>2700</v>
      </c>
      <c r="W64" s="1">
        <v>0</v>
      </c>
      <c r="X64" s="1">
        <v>2225</v>
      </c>
      <c r="Y64" s="1">
        <v>1200</v>
      </c>
      <c r="Z64" s="1">
        <v>0</v>
      </c>
      <c r="AA64">
        <v>1</v>
      </c>
      <c r="AB64" t="str">
        <f t="shared" si="0"/>
        <v>Defaulter</v>
      </c>
      <c r="AC64" s="1">
        <f>Table2[[#This Row],[BILL_AMT1]]-Table2[[#This Row],[PAY_AMT1]]</f>
        <v>24987</v>
      </c>
      <c r="AD64" s="1" t="str" cm="1">
        <f t="array" ref="AD64">_xlfn.IFS(Table2[[#This Row],[PAYMENT GAP]]&lt;=0,"No Gap / Overpaid",Table2[[#This Row],[PAYMENT GAP]]&lt;=25000,"Low Gap",Table2[[#This Row],[PAYMENT GAP]]&lt;=100000,"Medium Gap",
TRUE,"High Gap"
)</f>
        <v>Low Gap</v>
      </c>
    </row>
    <row r="65" spans="1:30" x14ac:dyDescent="0.3">
      <c r="A65">
        <v>64</v>
      </c>
      <c r="B65" s="1">
        <v>50000</v>
      </c>
      <c r="C65" s="1" t="str" cm="1">
        <f t="array" ref="C65">_xlfn.IFS(Table2[[#This Row],[LIMIT_BAL]]&lt;=100000,"Low",Table2[[#This Row],[LIMIT_BAL]]&lt;=300000,"Medium",
TRUE,"High"
)</f>
        <v>Low</v>
      </c>
      <c r="D65" t="s">
        <v>2041</v>
      </c>
      <c r="E65" t="s">
        <v>2043</v>
      </c>
      <c r="F65" t="s">
        <v>2028</v>
      </c>
      <c r="G65">
        <v>46</v>
      </c>
      <c r="H65" t="str" cm="1">
        <f t="array" ref="H65">_xlfn.IFS(
Table2[[#This Row],[AGE]]&lt;30,"Young",
Table2[[#This Row],[AGE]]&lt;40,"Middle Age",
Table2[[#This Row],[AGE]]&lt;50,"Senior",
TRUE,"Super Senior"
)</f>
        <v>Senior</v>
      </c>
      <c r="I65">
        <v>0</v>
      </c>
      <c r="J65">
        <v>0</v>
      </c>
      <c r="K65">
        <v>0</v>
      </c>
      <c r="L65">
        <v>-2</v>
      </c>
      <c r="M65">
        <v>-2</v>
      </c>
      <c r="N65">
        <v>-2</v>
      </c>
      <c r="O65" s="1">
        <v>28718</v>
      </c>
      <c r="P65" s="1">
        <v>29166</v>
      </c>
      <c r="Q65" s="1">
        <v>0</v>
      </c>
      <c r="R65" s="1">
        <v>0</v>
      </c>
      <c r="S65" s="1">
        <v>0</v>
      </c>
      <c r="T65" s="1">
        <v>0</v>
      </c>
      <c r="U65" s="1">
        <v>1000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>
        <v>1</v>
      </c>
      <c r="AB65" t="str">
        <f t="shared" si="0"/>
        <v>Defaulter</v>
      </c>
      <c r="AC65" s="1">
        <f>Table2[[#This Row],[BILL_AMT1]]-Table2[[#This Row],[PAY_AMT1]]</f>
        <v>27718</v>
      </c>
      <c r="AD65" s="1" t="str" cm="1">
        <f t="array" ref="AD65">_xlfn.IFS(Table2[[#This Row],[PAYMENT GAP]]&lt;=0,"No Gap / Overpaid",Table2[[#This Row],[PAYMENT GAP]]&lt;=25000,"Low Gap",Table2[[#This Row],[PAYMENT GAP]]&lt;=100000,"Medium Gap",
TRUE,"High Gap"
)</f>
        <v>Medium Gap</v>
      </c>
    </row>
    <row r="66" spans="1:30" x14ac:dyDescent="0.3">
      <c r="A66">
        <v>65</v>
      </c>
      <c r="B66" s="1">
        <v>130000</v>
      </c>
      <c r="C66" s="1" t="str" cm="1">
        <f t="array" ref="C66">_xlfn.IFS(Table2[[#This Row],[LIMIT_BAL]]&lt;=100000,"Low",Table2[[#This Row],[LIMIT_BAL]]&lt;=300000,"Medium",
TRUE,"High"
)</f>
        <v>Medium</v>
      </c>
      <c r="D66" t="s">
        <v>2041</v>
      </c>
      <c r="E66" t="s">
        <v>2043</v>
      </c>
      <c r="F66" t="s">
        <v>2028</v>
      </c>
      <c r="G66">
        <v>51</v>
      </c>
      <c r="H66" t="str" cm="1">
        <f t="array" ref="H66">_xlfn.IFS(
Table2[[#This Row],[AGE]]&lt;30,"Young",
Table2[[#This Row],[AGE]]&lt;40,"Middle Age",
Table2[[#This Row],[AGE]]&lt;50,"Senior",
TRUE,"Super Senior"
)</f>
        <v>Super Senior</v>
      </c>
      <c r="I66">
        <v>-1</v>
      </c>
      <c r="J66">
        <v>-1</v>
      </c>
      <c r="K66">
        <v>-2</v>
      </c>
      <c r="L66">
        <v>-2</v>
      </c>
      <c r="M66">
        <v>-1</v>
      </c>
      <c r="N66">
        <v>-1</v>
      </c>
      <c r="O66" s="1">
        <v>99</v>
      </c>
      <c r="P66" s="1">
        <v>0</v>
      </c>
      <c r="Q66" s="1">
        <v>0</v>
      </c>
      <c r="R66" s="1">
        <v>0</v>
      </c>
      <c r="S66" s="1">
        <v>2353</v>
      </c>
      <c r="T66" s="1">
        <v>0</v>
      </c>
      <c r="U66" s="1">
        <v>0</v>
      </c>
      <c r="V66" s="1">
        <v>0</v>
      </c>
      <c r="W66" s="1">
        <v>0</v>
      </c>
      <c r="X66" s="1">
        <v>2353</v>
      </c>
      <c r="Y66" s="1">
        <v>0</v>
      </c>
      <c r="Z66" s="1">
        <v>0</v>
      </c>
      <c r="AA66">
        <v>0</v>
      </c>
      <c r="AB66" t="str">
        <f t="shared" si="0"/>
        <v>Not Defaulter</v>
      </c>
      <c r="AC66" s="1">
        <f>Table2[[#This Row],[BILL_AMT1]]-Table2[[#This Row],[PAY_AMT1]]</f>
        <v>99</v>
      </c>
      <c r="AD66" s="1" t="str" cm="1">
        <f t="array" ref="AD66">_xlfn.IFS(Table2[[#This Row],[PAYMENT GAP]]&lt;=0,"No Gap / Overpaid",Table2[[#This Row],[PAYMENT GAP]]&lt;=25000,"Low Gap",Table2[[#This Row],[PAYMENT GAP]]&lt;=100000,"Medium Gap",
TRUE,"High Gap"
)</f>
        <v>Low Gap</v>
      </c>
    </row>
    <row r="67" spans="1:30" x14ac:dyDescent="0.3">
      <c r="A67">
        <v>66</v>
      </c>
      <c r="B67" s="1">
        <v>200000</v>
      </c>
      <c r="C67" s="1" t="str" cm="1">
        <f t="array" ref="C67">_xlfn.IFS(Table2[[#This Row],[LIMIT_BAL]]&lt;=100000,"Low",Table2[[#This Row],[LIMIT_BAL]]&lt;=300000,"Medium",
TRUE,"High"
)</f>
        <v>Medium</v>
      </c>
      <c r="D67" t="s">
        <v>2042</v>
      </c>
      <c r="E67" t="s">
        <v>2026</v>
      </c>
      <c r="F67" t="s">
        <v>2028</v>
      </c>
      <c r="G67">
        <v>57</v>
      </c>
      <c r="H67" t="str" cm="1">
        <f t="array" ref="H67">_xlfn.IFS(
Table2[[#This Row],[AGE]]&lt;30,"Young",
Table2[[#This Row],[AGE]]&lt;40,"Middle Age",
Table2[[#This Row],[AGE]]&lt;50,"Senior",
TRUE,"Super Senior"
)</f>
        <v>Super Senior</v>
      </c>
      <c r="I67">
        <v>-2</v>
      </c>
      <c r="J67">
        <v>-2</v>
      </c>
      <c r="K67">
        <v>-2</v>
      </c>
      <c r="L67">
        <v>-1</v>
      </c>
      <c r="M67">
        <v>2</v>
      </c>
      <c r="N67">
        <v>2</v>
      </c>
      <c r="O67" s="1">
        <v>152519</v>
      </c>
      <c r="P67" s="1">
        <v>148751</v>
      </c>
      <c r="Q67" s="1">
        <v>144076</v>
      </c>
      <c r="R67" s="1">
        <v>8174</v>
      </c>
      <c r="S67" s="1">
        <v>8198</v>
      </c>
      <c r="T67" s="1">
        <v>7918</v>
      </c>
      <c r="U67" s="1">
        <v>0</v>
      </c>
      <c r="V67" s="1">
        <v>0</v>
      </c>
      <c r="W67" s="1">
        <v>8222</v>
      </c>
      <c r="X67" s="1">
        <v>300</v>
      </c>
      <c r="Y67" s="1">
        <v>0</v>
      </c>
      <c r="Z67" s="1">
        <v>1000</v>
      </c>
      <c r="AA67">
        <v>1</v>
      </c>
      <c r="AB67" t="str">
        <f t="shared" ref="AB67:AB130" si="1">IF(AA67=1,"Defaulter","Not Defaulter")</f>
        <v>Defaulter</v>
      </c>
      <c r="AC67" s="1">
        <f>Table2[[#This Row],[BILL_AMT1]]-Table2[[#This Row],[PAY_AMT1]]</f>
        <v>152519</v>
      </c>
      <c r="AD67" s="1" t="str" cm="1">
        <f t="array" ref="AD67">_xlfn.IFS(Table2[[#This Row],[PAYMENT GAP]]&lt;=0,"No Gap / Overpaid",Table2[[#This Row],[PAYMENT GAP]]&lt;=25000,"Low Gap",Table2[[#This Row],[PAYMENT GAP]]&lt;=100000,"Medium Gap",
TRUE,"High Gap"
)</f>
        <v>High Gap</v>
      </c>
    </row>
    <row r="68" spans="1:30" x14ac:dyDescent="0.3">
      <c r="A68">
        <v>67</v>
      </c>
      <c r="B68" s="1">
        <v>10000</v>
      </c>
      <c r="C68" s="1" t="str" cm="1">
        <f t="array" ref="C68">_xlfn.IFS(Table2[[#This Row],[LIMIT_BAL]]&lt;=100000,"Low",Table2[[#This Row],[LIMIT_BAL]]&lt;=300000,"Medium",
TRUE,"High"
)</f>
        <v>Low</v>
      </c>
      <c r="D68" t="s">
        <v>2042</v>
      </c>
      <c r="E68" t="s">
        <v>2043</v>
      </c>
      <c r="F68" t="s">
        <v>2028</v>
      </c>
      <c r="G68">
        <v>56</v>
      </c>
      <c r="H68" t="str" cm="1">
        <f t="array" ref="H68">_xlfn.IFS(
Table2[[#This Row],[AGE]]&lt;30,"Young",
Table2[[#This Row],[AGE]]&lt;40,"Middle Age",
Table2[[#This Row],[AGE]]&lt;50,"Senior",
TRUE,"Super Senior"
)</f>
        <v>Super Senior</v>
      </c>
      <c r="I68">
        <v>2</v>
      </c>
      <c r="J68">
        <v>2</v>
      </c>
      <c r="K68">
        <v>2</v>
      </c>
      <c r="L68">
        <v>0</v>
      </c>
      <c r="M68">
        <v>0</v>
      </c>
      <c r="N68">
        <v>0</v>
      </c>
      <c r="O68" s="1">
        <v>2097</v>
      </c>
      <c r="P68" s="1">
        <v>4193</v>
      </c>
      <c r="Q68" s="1">
        <v>3978</v>
      </c>
      <c r="R68" s="1">
        <v>4062</v>
      </c>
      <c r="S68" s="1">
        <v>4196</v>
      </c>
      <c r="T68" s="1">
        <v>4326</v>
      </c>
      <c r="U68" s="1">
        <v>2300</v>
      </c>
      <c r="V68" s="1">
        <v>0</v>
      </c>
      <c r="W68" s="1">
        <v>150</v>
      </c>
      <c r="X68" s="1">
        <v>200</v>
      </c>
      <c r="Y68" s="1">
        <v>200</v>
      </c>
      <c r="Z68" s="1">
        <v>160</v>
      </c>
      <c r="AA68">
        <v>1</v>
      </c>
      <c r="AB68" t="str">
        <f t="shared" si="1"/>
        <v>Defaulter</v>
      </c>
      <c r="AC68" s="1">
        <f>Table2[[#This Row],[BILL_AMT1]]-Table2[[#This Row],[PAY_AMT1]]</f>
        <v>-203</v>
      </c>
      <c r="AD68" s="1" t="str" cm="1">
        <f t="array" ref="AD68">_xlfn.IFS(Table2[[#This Row],[PAYMENT GAP]]&lt;=0,"No Gap / Overpaid",Table2[[#This Row],[PAYMENT GAP]]&lt;=25000,"Low Gap",Table2[[#This Row],[PAYMENT GAP]]&lt;=100000,"Medium Gap",
TRUE,"High Gap"
)</f>
        <v>No Gap / Overpaid</v>
      </c>
    </row>
    <row r="69" spans="1:30" x14ac:dyDescent="0.3">
      <c r="A69">
        <v>68</v>
      </c>
      <c r="B69" s="1">
        <v>210000</v>
      </c>
      <c r="C69" s="1" t="str" cm="1">
        <f t="array" ref="C69">_xlfn.IFS(Table2[[#This Row],[LIMIT_BAL]]&lt;=100000,"Low",Table2[[#This Row],[LIMIT_BAL]]&lt;=300000,"Medium",
TRUE,"High"
)</f>
        <v>Medium</v>
      </c>
      <c r="D69" t="s">
        <v>2041</v>
      </c>
      <c r="E69" t="s">
        <v>2026</v>
      </c>
      <c r="F69" t="s">
        <v>2029</v>
      </c>
      <c r="G69">
        <v>30</v>
      </c>
      <c r="H69" t="str" cm="1">
        <f t="array" ref="H69">_xlfn.IFS(
Table2[[#This Row],[AGE]]&lt;30,"Young",
Table2[[#This Row],[AGE]]&lt;40,"Middle Age",
Table2[[#This Row],[AGE]]&lt;50,"Senior",
TRUE,"Super Senior"
)</f>
        <v>Middle Age</v>
      </c>
      <c r="I69">
        <v>2</v>
      </c>
      <c r="J69">
        <v>-1</v>
      </c>
      <c r="K69">
        <v>-1</v>
      </c>
      <c r="L69">
        <v>-1</v>
      </c>
      <c r="M69">
        <v>-1</v>
      </c>
      <c r="N69">
        <v>-1</v>
      </c>
      <c r="O69" s="1">
        <v>300</v>
      </c>
      <c r="P69" s="1">
        <v>300</v>
      </c>
      <c r="Q69" s="1">
        <v>1159</v>
      </c>
      <c r="R69" s="1">
        <v>2280</v>
      </c>
      <c r="S69" s="1">
        <v>300</v>
      </c>
      <c r="T69" s="1">
        <v>4250</v>
      </c>
      <c r="U69" s="1">
        <v>300</v>
      </c>
      <c r="V69" s="1">
        <v>1159</v>
      </c>
      <c r="W69" s="1">
        <v>2280</v>
      </c>
      <c r="X69" s="1">
        <v>300</v>
      </c>
      <c r="Y69" s="1">
        <v>4250</v>
      </c>
      <c r="Z69" s="1">
        <v>909</v>
      </c>
      <c r="AA69">
        <v>0</v>
      </c>
      <c r="AB69" t="str">
        <f t="shared" si="1"/>
        <v>Not Defaulter</v>
      </c>
      <c r="AC69" s="1">
        <f>Table2[[#This Row],[BILL_AMT1]]-Table2[[#This Row],[PAY_AMT1]]</f>
        <v>0</v>
      </c>
      <c r="AD69" s="1" t="str" cm="1">
        <f t="array" ref="AD69">_xlfn.IFS(Table2[[#This Row],[PAYMENT GAP]]&lt;=0,"No Gap / Overpaid",Table2[[#This Row],[PAYMENT GAP]]&lt;=25000,"Low Gap",Table2[[#This Row],[PAYMENT GAP]]&lt;=100000,"Medium Gap",
TRUE,"High Gap"
)</f>
        <v>No Gap / Overpaid</v>
      </c>
    </row>
    <row r="70" spans="1:30" x14ac:dyDescent="0.3">
      <c r="A70">
        <v>69</v>
      </c>
      <c r="B70" s="1">
        <v>130000</v>
      </c>
      <c r="C70" s="1" t="str" cm="1">
        <f t="array" ref="C70">_xlfn.IFS(Table2[[#This Row],[LIMIT_BAL]]&lt;=100000,"Low",Table2[[#This Row],[LIMIT_BAL]]&lt;=300000,"Medium",
TRUE,"High"
)</f>
        <v>Medium</v>
      </c>
      <c r="D70" t="s">
        <v>2041</v>
      </c>
      <c r="E70" t="s">
        <v>2027</v>
      </c>
      <c r="F70" t="s">
        <v>2029</v>
      </c>
      <c r="G70">
        <v>29</v>
      </c>
      <c r="H70" t="str" cm="1">
        <f t="array" ref="H70">_xlfn.IFS(
Table2[[#This Row],[AGE]]&lt;30,"Young",
Table2[[#This Row],[AGE]]&lt;40,"Middle Age",
Table2[[#This Row],[AGE]]&lt;50,"Senior",
TRUE,"Super Senior"
)</f>
        <v>Young</v>
      </c>
      <c r="I70">
        <v>1</v>
      </c>
      <c r="J70">
        <v>-2</v>
      </c>
      <c r="K70">
        <v>-2</v>
      </c>
      <c r="L70">
        <v>-1</v>
      </c>
      <c r="M70">
        <v>2</v>
      </c>
      <c r="N70">
        <v>-1</v>
      </c>
      <c r="O70" s="1">
        <v>-190</v>
      </c>
      <c r="P70" s="1">
        <v>-9850</v>
      </c>
      <c r="Q70" s="1">
        <v>-9850</v>
      </c>
      <c r="R70" s="1">
        <v>10311</v>
      </c>
      <c r="S70" s="1">
        <v>10161</v>
      </c>
      <c r="T70" s="1">
        <v>7319</v>
      </c>
      <c r="U70" s="1">
        <v>0</v>
      </c>
      <c r="V70" s="1">
        <v>0</v>
      </c>
      <c r="W70" s="1">
        <v>20161</v>
      </c>
      <c r="X70" s="1">
        <v>0</v>
      </c>
      <c r="Y70" s="1">
        <v>7319</v>
      </c>
      <c r="Z70" s="1">
        <v>13899</v>
      </c>
      <c r="AA70">
        <v>0</v>
      </c>
      <c r="AB70" t="str">
        <f t="shared" si="1"/>
        <v>Not Defaulter</v>
      </c>
      <c r="AC70" s="1">
        <f>Table2[[#This Row],[BILL_AMT1]]-Table2[[#This Row],[PAY_AMT1]]</f>
        <v>-190</v>
      </c>
      <c r="AD70" s="1" t="str" cm="1">
        <f t="array" ref="AD70">_xlfn.IFS(Table2[[#This Row],[PAYMENT GAP]]&lt;=0,"No Gap / Overpaid",Table2[[#This Row],[PAYMENT GAP]]&lt;=25000,"Low Gap",Table2[[#This Row],[PAYMENT GAP]]&lt;=100000,"Medium Gap",
TRUE,"High Gap"
)</f>
        <v>No Gap / Overpaid</v>
      </c>
    </row>
    <row r="71" spans="1:30" x14ac:dyDescent="0.3">
      <c r="A71">
        <v>70</v>
      </c>
      <c r="B71" s="1">
        <v>20000</v>
      </c>
      <c r="C71" s="1" t="str" cm="1">
        <f t="array" ref="C71">_xlfn.IFS(Table2[[#This Row],[LIMIT_BAL]]&lt;=100000,"Low",Table2[[#This Row],[LIMIT_BAL]]&lt;=300000,"Medium",
TRUE,"High"
)</f>
        <v>Low</v>
      </c>
      <c r="D71" t="s">
        <v>2042</v>
      </c>
      <c r="E71" t="s">
        <v>2044</v>
      </c>
      <c r="F71" t="s">
        <v>2029</v>
      </c>
      <c r="G71">
        <v>22</v>
      </c>
      <c r="H71" t="str" cm="1">
        <f t="array" ref="H71">_xlfn.IFS(
Table2[[#This Row],[AGE]]&lt;30,"Young",
Table2[[#This Row],[AGE]]&lt;40,"Middle Age",
Table2[[#This Row],[AGE]]&lt;50,"Senior",
TRUE,"Super Senior"
)</f>
        <v>Young</v>
      </c>
      <c r="I71">
        <v>2</v>
      </c>
      <c r="J71">
        <v>0</v>
      </c>
      <c r="K71">
        <v>0</v>
      </c>
      <c r="L71">
        <v>0</v>
      </c>
      <c r="M71">
        <v>0</v>
      </c>
      <c r="N71">
        <v>0</v>
      </c>
      <c r="O71" s="1">
        <v>18565</v>
      </c>
      <c r="P71" s="1">
        <v>17204</v>
      </c>
      <c r="Q71" s="1">
        <v>17285</v>
      </c>
      <c r="R71" s="1">
        <v>18085</v>
      </c>
      <c r="S71" s="1">
        <v>11205</v>
      </c>
      <c r="T71" s="1">
        <v>5982</v>
      </c>
      <c r="U71" s="1">
        <v>0</v>
      </c>
      <c r="V71" s="1">
        <v>1200</v>
      </c>
      <c r="W71" s="1">
        <v>1000</v>
      </c>
      <c r="X71" s="1">
        <v>500</v>
      </c>
      <c r="Y71" s="1">
        <v>1000</v>
      </c>
      <c r="Z71" s="1">
        <v>0</v>
      </c>
      <c r="AA71">
        <v>0</v>
      </c>
      <c r="AB71" t="str">
        <f t="shared" si="1"/>
        <v>Not Defaulter</v>
      </c>
      <c r="AC71" s="1">
        <f>Table2[[#This Row],[BILL_AMT1]]-Table2[[#This Row],[PAY_AMT1]]</f>
        <v>18565</v>
      </c>
      <c r="AD71" s="1" t="str" cm="1">
        <f t="array" ref="AD71">_xlfn.IFS(Table2[[#This Row],[PAYMENT GAP]]&lt;=0,"No Gap / Overpaid",Table2[[#This Row],[PAYMENT GAP]]&lt;=25000,"Low Gap",Table2[[#This Row],[PAYMENT GAP]]&lt;=100000,"Medium Gap",
TRUE,"High Gap"
)</f>
        <v>Low Gap</v>
      </c>
    </row>
    <row r="72" spans="1:30" x14ac:dyDescent="0.3">
      <c r="A72">
        <v>71</v>
      </c>
      <c r="B72" s="1">
        <v>80000</v>
      </c>
      <c r="C72" s="1" t="str" cm="1">
        <f t="array" ref="C72">_xlfn.IFS(Table2[[#This Row],[LIMIT_BAL]]&lt;=100000,"Low",Table2[[#This Row],[LIMIT_BAL]]&lt;=300000,"Medium",
TRUE,"High"
)</f>
        <v>Low</v>
      </c>
      <c r="D72" t="s">
        <v>2042</v>
      </c>
      <c r="E72" t="s">
        <v>2026</v>
      </c>
      <c r="F72" t="s">
        <v>2029</v>
      </c>
      <c r="G72">
        <v>31</v>
      </c>
      <c r="H72" t="str" cm="1">
        <f t="array" ref="H72">_xlfn.IFS(
Table2[[#This Row],[AGE]]&lt;30,"Young",
Table2[[#This Row],[AGE]]&lt;40,"Middle Age",
Table2[[#This Row],[AGE]]&lt;50,"Senior",
TRUE,"Super Senior"
)</f>
        <v>Middle Age</v>
      </c>
      <c r="I72">
        <v>-1</v>
      </c>
      <c r="J72">
        <v>-1</v>
      </c>
      <c r="K72">
        <v>-1</v>
      </c>
      <c r="L72">
        <v>-1</v>
      </c>
      <c r="M72">
        <v>-1</v>
      </c>
      <c r="N72">
        <v>-1</v>
      </c>
      <c r="O72" s="1">
        <v>780</v>
      </c>
      <c r="P72" s="1">
        <v>0</v>
      </c>
      <c r="Q72" s="1">
        <v>390</v>
      </c>
      <c r="R72" s="1">
        <v>390</v>
      </c>
      <c r="S72" s="1">
        <v>390</v>
      </c>
      <c r="T72" s="1">
        <v>390</v>
      </c>
      <c r="U72" s="1">
        <v>0</v>
      </c>
      <c r="V72" s="1">
        <v>390</v>
      </c>
      <c r="W72" s="1">
        <v>390</v>
      </c>
      <c r="X72" s="1">
        <v>390</v>
      </c>
      <c r="Y72" s="1">
        <v>390</v>
      </c>
      <c r="Z72" s="1">
        <v>390</v>
      </c>
      <c r="AA72">
        <v>0</v>
      </c>
      <c r="AB72" t="str">
        <f t="shared" si="1"/>
        <v>Not Defaulter</v>
      </c>
      <c r="AC72" s="1">
        <f>Table2[[#This Row],[BILL_AMT1]]-Table2[[#This Row],[PAY_AMT1]]</f>
        <v>780</v>
      </c>
      <c r="AD72" s="1" t="str" cm="1">
        <f t="array" ref="AD72">_xlfn.IFS(Table2[[#This Row],[PAYMENT GAP]]&lt;=0,"No Gap / Overpaid",Table2[[#This Row],[PAYMENT GAP]]&lt;=25000,"Low Gap",Table2[[#This Row],[PAYMENT GAP]]&lt;=100000,"Medium Gap",
TRUE,"High Gap"
)</f>
        <v>Low Gap</v>
      </c>
    </row>
    <row r="73" spans="1:30" x14ac:dyDescent="0.3">
      <c r="A73">
        <v>72</v>
      </c>
      <c r="B73" s="1">
        <v>320000</v>
      </c>
      <c r="C73" s="1" t="str" cm="1">
        <f t="array" ref="C73">_xlfn.IFS(Table2[[#This Row],[LIMIT_BAL]]&lt;=100000,"Low",Table2[[#This Row],[LIMIT_BAL]]&lt;=300000,"Medium",
TRUE,"High"
)</f>
        <v>High</v>
      </c>
      <c r="D73" t="s">
        <v>2042</v>
      </c>
      <c r="E73" t="s">
        <v>2043</v>
      </c>
      <c r="F73" t="s">
        <v>2029</v>
      </c>
      <c r="G73">
        <v>29</v>
      </c>
      <c r="H73" t="str" cm="1">
        <f t="array" ref="H73">_xlfn.IFS(
Table2[[#This Row],[AGE]]&lt;30,"Young",
Table2[[#This Row],[AGE]]&lt;40,"Middle Age",
Table2[[#This Row],[AGE]]&lt;50,"Senior",
TRUE,"Super Senior"
)</f>
        <v>Young</v>
      </c>
      <c r="I73">
        <v>2</v>
      </c>
      <c r="J73">
        <v>2</v>
      </c>
      <c r="K73">
        <v>2</v>
      </c>
      <c r="L73">
        <v>2</v>
      </c>
      <c r="M73">
        <v>2</v>
      </c>
      <c r="N73">
        <v>2</v>
      </c>
      <c r="O73" s="1">
        <v>58267</v>
      </c>
      <c r="P73" s="1">
        <v>59246</v>
      </c>
      <c r="Q73" s="1">
        <v>60184</v>
      </c>
      <c r="R73" s="1">
        <v>58622</v>
      </c>
      <c r="S73" s="1">
        <v>62307</v>
      </c>
      <c r="T73" s="1">
        <v>63526</v>
      </c>
      <c r="U73" s="1">
        <v>2500</v>
      </c>
      <c r="V73" s="1">
        <v>2500</v>
      </c>
      <c r="W73" s="1">
        <v>0</v>
      </c>
      <c r="X73" s="1">
        <v>4800</v>
      </c>
      <c r="Y73" s="1">
        <v>2400</v>
      </c>
      <c r="Z73" s="1">
        <v>1600</v>
      </c>
      <c r="AA73">
        <v>1</v>
      </c>
      <c r="AB73" t="str">
        <f t="shared" si="1"/>
        <v>Defaulter</v>
      </c>
      <c r="AC73" s="1">
        <f>Table2[[#This Row],[BILL_AMT1]]-Table2[[#This Row],[PAY_AMT1]]</f>
        <v>55767</v>
      </c>
      <c r="AD73" s="1" t="str" cm="1">
        <f t="array" ref="AD73">_xlfn.IFS(Table2[[#This Row],[PAYMENT GAP]]&lt;=0,"No Gap / Overpaid",Table2[[#This Row],[PAYMENT GAP]]&lt;=25000,"Low Gap",Table2[[#This Row],[PAYMENT GAP]]&lt;=100000,"Medium Gap",
TRUE,"High Gap"
)</f>
        <v>Medium Gap</v>
      </c>
    </row>
    <row r="74" spans="1:30" x14ac:dyDescent="0.3">
      <c r="A74">
        <v>73</v>
      </c>
      <c r="B74" s="1">
        <v>200000</v>
      </c>
      <c r="C74" s="1" t="str" cm="1">
        <f t="array" ref="C74">_xlfn.IFS(Table2[[#This Row],[LIMIT_BAL]]&lt;=100000,"Low",Table2[[#This Row],[LIMIT_BAL]]&lt;=300000,"Medium",
TRUE,"High"
)</f>
        <v>Medium</v>
      </c>
      <c r="D74" t="s">
        <v>2041</v>
      </c>
      <c r="E74" t="s">
        <v>2043</v>
      </c>
      <c r="F74" t="s">
        <v>2028</v>
      </c>
      <c r="G74">
        <v>32</v>
      </c>
      <c r="H74" t="str" cm="1">
        <f t="array" ref="H74">_xlfn.IFS(
Table2[[#This Row],[AGE]]&lt;30,"Young",
Table2[[#This Row],[AGE]]&lt;40,"Middle Age",
Table2[[#This Row],[AGE]]&lt;50,"Senior",
TRUE,"Super Senior"
)</f>
        <v>Middle Age</v>
      </c>
      <c r="I74">
        <v>-1</v>
      </c>
      <c r="J74">
        <v>-1</v>
      </c>
      <c r="K74">
        <v>-1</v>
      </c>
      <c r="L74">
        <v>-1</v>
      </c>
      <c r="M74">
        <v>2</v>
      </c>
      <c r="N74">
        <v>-1</v>
      </c>
      <c r="O74" s="1">
        <v>9076</v>
      </c>
      <c r="P74" s="1">
        <v>5787</v>
      </c>
      <c r="Q74" s="1">
        <v>-684</v>
      </c>
      <c r="R74" s="1">
        <v>5247</v>
      </c>
      <c r="S74" s="1">
        <v>3848</v>
      </c>
      <c r="T74" s="1">
        <v>3151</v>
      </c>
      <c r="U74" s="1">
        <v>5818</v>
      </c>
      <c r="V74" s="1">
        <v>15</v>
      </c>
      <c r="W74" s="1">
        <v>9102</v>
      </c>
      <c r="X74" s="1">
        <v>17</v>
      </c>
      <c r="Y74" s="1">
        <v>3165</v>
      </c>
      <c r="Z74" s="1">
        <v>1395</v>
      </c>
      <c r="AA74">
        <v>0</v>
      </c>
      <c r="AB74" t="str">
        <f t="shared" si="1"/>
        <v>Not Defaulter</v>
      </c>
      <c r="AC74" s="1">
        <f>Table2[[#This Row],[BILL_AMT1]]-Table2[[#This Row],[PAY_AMT1]]</f>
        <v>3258</v>
      </c>
      <c r="AD74" s="1" t="str" cm="1">
        <f t="array" ref="AD74">_xlfn.IFS(Table2[[#This Row],[PAYMENT GAP]]&lt;=0,"No Gap / Overpaid",Table2[[#This Row],[PAYMENT GAP]]&lt;=25000,"Low Gap",Table2[[#This Row],[PAYMENT GAP]]&lt;=100000,"Medium Gap",
TRUE,"High Gap"
)</f>
        <v>Low Gap</v>
      </c>
    </row>
    <row r="75" spans="1:30" x14ac:dyDescent="0.3">
      <c r="A75">
        <v>74</v>
      </c>
      <c r="B75" s="1">
        <v>290000</v>
      </c>
      <c r="C75" s="1" t="str" cm="1">
        <f t="array" ref="C75">_xlfn.IFS(Table2[[#This Row],[LIMIT_BAL]]&lt;=100000,"Low",Table2[[#This Row],[LIMIT_BAL]]&lt;=300000,"Medium",
TRUE,"High"
)</f>
        <v>Medium</v>
      </c>
      <c r="D75" t="s">
        <v>2041</v>
      </c>
      <c r="E75" t="s">
        <v>2026</v>
      </c>
      <c r="F75" t="s">
        <v>2029</v>
      </c>
      <c r="G75">
        <v>37</v>
      </c>
      <c r="H75" t="str" cm="1">
        <f t="array" ref="H75">_xlfn.IFS(
Table2[[#This Row],[AGE]]&lt;30,"Young",
Table2[[#This Row],[AGE]]&lt;40,"Middle Age",
Table2[[#This Row],[AGE]]&lt;50,"Senior",
TRUE,"Super Senior"
)</f>
        <v>Middle Age</v>
      </c>
      <c r="I75">
        <v>1</v>
      </c>
      <c r="J75">
        <v>-2</v>
      </c>
      <c r="K75">
        <v>-1</v>
      </c>
      <c r="L75">
        <v>-1</v>
      </c>
      <c r="M75">
        <v>-1</v>
      </c>
      <c r="N75">
        <v>-1</v>
      </c>
      <c r="O75" s="1">
        <v>0</v>
      </c>
      <c r="P75" s="1">
        <v>0</v>
      </c>
      <c r="Q75" s="1">
        <v>3155</v>
      </c>
      <c r="R75" s="1">
        <v>0</v>
      </c>
      <c r="S75" s="1">
        <v>2359</v>
      </c>
      <c r="T75" s="1">
        <v>0</v>
      </c>
      <c r="U75" s="1">
        <v>0</v>
      </c>
      <c r="V75" s="1">
        <v>3155</v>
      </c>
      <c r="W75" s="1">
        <v>0</v>
      </c>
      <c r="X75" s="1">
        <v>2359</v>
      </c>
      <c r="Y75" s="1">
        <v>0</v>
      </c>
      <c r="Z75" s="1">
        <v>0</v>
      </c>
      <c r="AA75">
        <v>0</v>
      </c>
      <c r="AB75" t="str">
        <f t="shared" si="1"/>
        <v>Not Defaulter</v>
      </c>
      <c r="AC75" s="1">
        <f>Table2[[#This Row],[BILL_AMT1]]-Table2[[#This Row],[PAY_AMT1]]</f>
        <v>0</v>
      </c>
      <c r="AD75" s="1" t="str" cm="1">
        <f t="array" ref="AD75">_xlfn.IFS(Table2[[#This Row],[PAYMENT GAP]]&lt;=0,"No Gap / Overpaid",Table2[[#This Row],[PAYMENT GAP]]&lt;=25000,"Low Gap",Table2[[#This Row],[PAYMENT GAP]]&lt;=100000,"Medium Gap",
TRUE,"High Gap"
)</f>
        <v>No Gap / Overpaid</v>
      </c>
    </row>
    <row r="76" spans="1:30" x14ac:dyDescent="0.3">
      <c r="A76">
        <v>75</v>
      </c>
      <c r="B76" s="1">
        <v>340000</v>
      </c>
      <c r="C76" s="1" t="str" cm="1">
        <f t="array" ref="C76">_xlfn.IFS(Table2[[#This Row],[LIMIT_BAL]]&lt;=100000,"Low",Table2[[#This Row],[LIMIT_BAL]]&lt;=300000,"Medium",
TRUE,"High"
)</f>
        <v>High</v>
      </c>
      <c r="D76" t="s">
        <v>2042</v>
      </c>
      <c r="E76" t="s">
        <v>2026</v>
      </c>
      <c r="F76" t="s">
        <v>2029</v>
      </c>
      <c r="G76">
        <v>32</v>
      </c>
      <c r="H76" t="str" cm="1">
        <f t="array" ref="H76">_xlfn.IFS(
Table2[[#This Row],[AGE]]&lt;30,"Young",
Table2[[#This Row],[AGE]]&lt;40,"Middle Age",
Table2[[#This Row],[AGE]]&lt;50,"Senior",
TRUE,"Super Senior"
)</f>
        <v>Middle Age</v>
      </c>
      <c r="I76">
        <v>-1</v>
      </c>
      <c r="J76">
        <v>-1</v>
      </c>
      <c r="K76">
        <v>-1</v>
      </c>
      <c r="L76">
        <v>-1</v>
      </c>
      <c r="M76">
        <v>-1</v>
      </c>
      <c r="N76">
        <v>-1</v>
      </c>
      <c r="O76" s="1">
        <v>3048</v>
      </c>
      <c r="P76" s="1">
        <v>5550</v>
      </c>
      <c r="Q76" s="1">
        <v>23337</v>
      </c>
      <c r="R76" s="1">
        <v>4291</v>
      </c>
      <c r="S76" s="1">
        <v>80153</v>
      </c>
      <c r="T76" s="1">
        <v>25820</v>
      </c>
      <c r="U76" s="1">
        <v>5713</v>
      </c>
      <c r="V76" s="1">
        <v>23453</v>
      </c>
      <c r="W76" s="1">
        <v>4314</v>
      </c>
      <c r="X76" s="1">
        <v>80552</v>
      </c>
      <c r="Y76" s="1">
        <v>25949</v>
      </c>
      <c r="Z76" s="1">
        <v>2016</v>
      </c>
      <c r="AA76">
        <v>0</v>
      </c>
      <c r="AB76" t="str">
        <f t="shared" si="1"/>
        <v>Not Defaulter</v>
      </c>
      <c r="AC76" s="1">
        <f>Table2[[#This Row],[BILL_AMT1]]-Table2[[#This Row],[PAY_AMT1]]</f>
        <v>-2665</v>
      </c>
      <c r="AD76" s="1" t="str" cm="1">
        <f t="array" ref="AD76">_xlfn.IFS(Table2[[#This Row],[PAYMENT GAP]]&lt;=0,"No Gap / Overpaid",Table2[[#This Row],[PAYMENT GAP]]&lt;=25000,"Low Gap",Table2[[#This Row],[PAYMENT GAP]]&lt;=100000,"Medium Gap",
TRUE,"High Gap"
)</f>
        <v>No Gap / Overpaid</v>
      </c>
    </row>
    <row r="77" spans="1:30" x14ac:dyDescent="0.3">
      <c r="A77">
        <v>76</v>
      </c>
      <c r="B77" s="1">
        <v>20000</v>
      </c>
      <c r="C77" s="1" t="str" cm="1">
        <f t="array" ref="C77">_xlfn.IFS(Table2[[#This Row],[LIMIT_BAL]]&lt;=100000,"Low",Table2[[#This Row],[LIMIT_BAL]]&lt;=300000,"Medium",
TRUE,"High"
)</f>
        <v>Low</v>
      </c>
      <c r="D77" t="s">
        <v>2042</v>
      </c>
      <c r="E77" t="s">
        <v>2043</v>
      </c>
      <c r="F77" t="s">
        <v>2029</v>
      </c>
      <c r="G77">
        <v>24</v>
      </c>
      <c r="H77" t="str" cm="1">
        <f t="array" ref="H77">_xlfn.IFS(
Table2[[#This Row],[AGE]]&lt;30,"Young",
Table2[[#This Row],[AGE]]&lt;40,"Middle Age",
Table2[[#This Row],[AGE]]&lt;50,"Senior",
TRUE,"Super Senior"
)</f>
        <v>Young</v>
      </c>
      <c r="I77">
        <v>0</v>
      </c>
      <c r="J77">
        <v>0</v>
      </c>
      <c r="K77">
        <v>2</v>
      </c>
      <c r="L77">
        <v>0</v>
      </c>
      <c r="M77">
        <v>0</v>
      </c>
      <c r="N77">
        <v>0</v>
      </c>
      <c r="O77" s="1">
        <v>14619</v>
      </c>
      <c r="P77" s="1">
        <v>17216</v>
      </c>
      <c r="Q77" s="1">
        <v>16642</v>
      </c>
      <c r="R77" s="1">
        <v>16976</v>
      </c>
      <c r="S77" s="1">
        <v>17332</v>
      </c>
      <c r="T77" s="1">
        <v>18543</v>
      </c>
      <c r="U77" s="1">
        <v>2850</v>
      </c>
      <c r="V77" s="1">
        <v>0</v>
      </c>
      <c r="W77" s="1">
        <v>610</v>
      </c>
      <c r="X77" s="1">
        <v>630</v>
      </c>
      <c r="Y77" s="1">
        <v>1500</v>
      </c>
      <c r="Z77" s="1">
        <v>0</v>
      </c>
      <c r="AA77">
        <v>0</v>
      </c>
      <c r="AB77" t="str">
        <f t="shared" si="1"/>
        <v>Not Defaulter</v>
      </c>
      <c r="AC77" s="1">
        <f>Table2[[#This Row],[BILL_AMT1]]-Table2[[#This Row],[PAY_AMT1]]</f>
        <v>11769</v>
      </c>
      <c r="AD77" s="1" t="str" cm="1">
        <f t="array" ref="AD77">_xlfn.IFS(Table2[[#This Row],[PAYMENT GAP]]&lt;=0,"No Gap / Overpaid",Table2[[#This Row],[PAYMENT GAP]]&lt;=25000,"Low Gap",Table2[[#This Row],[PAYMENT GAP]]&lt;=100000,"Medium Gap",
TRUE,"High Gap"
)</f>
        <v>Low Gap</v>
      </c>
    </row>
    <row r="78" spans="1:30" x14ac:dyDescent="0.3">
      <c r="A78">
        <v>77</v>
      </c>
      <c r="B78" s="1">
        <v>50000</v>
      </c>
      <c r="C78" s="1" t="str" cm="1">
        <f t="array" ref="C78">_xlfn.IFS(Table2[[#This Row],[LIMIT_BAL]]&lt;=100000,"Low",Table2[[#This Row],[LIMIT_BAL]]&lt;=300000,"Medium",
TRUE,"High"
)</f>
        <v>Low</v>
      </c>
      <c r="D78" t="s">
        <v>2042</v>
      </c>
      <c r="E78" t="s">
        <v>2027</v>
      </c>
      <c r="F78" t="s">
        <v>2029</v>
      </c>
      <c r="G78">
        <v>25</v>
      </c>
      <c r="H78" t="str" cm="1">
        <f t="array" ref="H78">_xlfn.IFS(
Table2[[#This Row],[AGE]]&lt;30,"Young",
Table2[[#This Row],[AGE]]&lt;40,"Middle Age",
Table2[[#This Row],[AGE]]&lt;50,"Senior",
TRUE,"Super Senior"
)</f>
        <v>Young</v>
      </c>
      <c r="I78">
        <v>-1</v>
      </c>
      <c r="J78">
        <v>0</v>
      </c>
      <c r="K78">
        <v>0</v>
      </c>
      <c r="L78">
        <v>0</v>
      </c>
      <c r="M78">
        <v>0</v>
      </c>
      <c r="N78">
        <v>0</v>
      </c>
      <c r="O78" s="1">
        <v>42838</v>
      </c>
      <c r="P78" s="1">
        <v>37225</v>
      </c>
      <c r="Q78" s="1">
        <v>36087</v>
      </c>
      <c r="R78" s="1">
        <v>9636</v>
      </c>
      <c r="S78" s="1">
        <v>9590</v>
      </c>
      <c r="T78" s="1">
        <v>10030</v>
      </c>
      <c r="U78" s="1">
        <v>1759</v>
      </c>
      <c r="V78" s="1">
        <v>1779</v>
      </c>
      <c r="W78" s="1">
        <v>320</v>
      </c>
      <c r="X78" s="1">
        <v>500</v>
      </c>
      <c r="Y78" s="1">
        <v>1000</v>
      </c>
      <c r="Z78" s="1">
        <v>1000</v>
      </c>
      <c r="AA78">
        <v>0</v>
      </c>
      <c r="AB78" t="str">
        <f t="shared" si="1"/>
        <v>Not Defaulter</v>
      </c>
      <c r="AC78" s="1">
        <f>Table2[[#This Row],[BILL_AMT1]]-Table2[[#This Row],[PAY_AMT1]]</f>
        <v>41079</v>
      </c>
      <c r="AD78" s="1" t="str" cm="1">
        <f t="array" ref="AD78">_xlfn.IFS(Table2[[#This Row],[PAYMENT GAP]]&lt;=0,"No Gap / Overpaid",Table2[[#This Row],[PAYMENT GAP]]&lt;=25000,"Low Gap",Table2[[#This Row],[PAYMENT GAP]]&lt;=100000,"Medium Gap",
TRUE,"High Gap"
)</f>
        <v>Medium Gap</v>
      </c>
    </row>
    <row r="79" spans="1:30" x14ac:dyDescent="0.3">
      <c r="A79">
        <v>78</v>
      </c>
      <c r="B79" s="1">
        <v>300000</v>
      </c>
      <c r="C79" s="1" t="str" cm="1">
        <f t="array" ref="C79">_xlfn.IFS(Table2[[#This Row],[LIMIT_BAL]]&lt;=100000,"Low",Table2[[#This Row],[LIMIT_BAL]]&lt;=300000,"Medium",
TRUE,"High"
)</f>
        <v>Medium</v>
      </c>
      <c r="D79" t="s">
        <v>2041</v>
      </c>
      <c r="E79" t="s">
        <v>2026</v>
      </c>
      <c r="F79" t="s">
        <v>2028</v>
      </c>
      <c r="G79">
        <v>45</v>
      </c>
      <c r="H79" t="str" cm="1">
        <f t="array" ref="H79">_xlfn.IFS(
Table2[[#This Row],[AGE]]&lt;30,"Young",
Table2[[#This Row],[AGE]]&lt;40,"Middle Age",
Table2[[#This Row],[AGE]]&lt;50,"Senior",
TRUE,"Super Senior"
)</f>
        <v>Senior</v>
      </c>
      <c r="I79">
        <v>-1</v>
      </c>
      <c r="J79">
        <v>-1</v>
      </c>
      <c r="K79">
        <v>-1</v>
      </c>
      <c r="L79">
        <v>-1</v>
      </c>
      <c r="M79">
        <v>-1</v>
      </c>
      <c r="N79">
        <v>-1</v>
      </c>
      <c r="O79" s="1">
        <v>291</v>
      </c>
      <c r="P79" s="1">
        <v>291</v>
      </c>
      <c r="Q79" s="1">
        <v>291</v>
      </c>
      <c r="R79" s="1">
        <v>291</v>
      </c>
      <c r="S79" s="1">
        <v>291</v>
      </c>
      <c r="T79" s="1">
        <v>291</v>
      </c>
      <c r="U79" s="1">
        <v>291</v>
      </c>
      <c r="V79" s="1">
        <v>291</v>
      </c>
      <c r="W79" s="1">
        <v>291</v>
      </c>
      <c r="X79" s="1">
        <v>291</v>
      </c>
      <c r="Y79" s="1">
        <v>291</v>
      </c>
      <c r="Z79" s="1">
        <v>291</v>
      </c>
      <c r="AA79">
        <v>0</v>
      </c>
      <c r="AB79" t="str">
        <f t="shared" si="1"/>
        <v>Not Defaulter</v>
      </c>
      <c r="AC79" s="1">
        <f>Table2[[#This Row],[BILL_AMT1]]-Table2[[#This Row],[PAY_AMT1]]</f>
        <v>0</v>
      </c>
      <c r="AD79" s="1" t="str" cm="1">
        <f t="array" ref="AD79">_xlfn.IFS(Table2[[#This Row],[PAYMENT GAP]]&lt;=0,"No Gap / Overpaid",Table2[[#This Row],[PAYMENT GAP]]&lt;=25000,"Low Gap",Table2[[#This Row],[PAYMENT GAP]]&lt;=100000,"Medium Gap",
TRUE,"High Gap"
)</f>
        <v>No Gap / Overpaid</v>
      </c>
    </row>
    <row r="80" spans="1:30" x14ac:dyDescent="0.3">
      <c r="A80">
        <v>79</v>
      </c>
      <c r="B80" s="1">
        <v>30000</v>
      </c>
      <c r="C80" s="1" t="str" cm="1">
        <f t="array" ref="C80">_xlfn.IFS(Table2[[#This Row],[LIMIT_BAL]]&lt;=100000,"Low",Table2[[#This Row],[LIMIT_BAL]]&lt;=300000,"Medium",
TRUE,"High"
)</f>
        <v>Low</v>
      </c>
      <c r="D80" t="s">
        <v>2041</v>
      </c>
      <c r="E80" t="s">
        <v>2043</v>
      </c>
      <c r="F80" t="s">
        <v>2029</v>
      </c>
      <c r="G80">
        <v>22</v>
      </c>
      <c r="H80" t="str" cm="1">
        <f t="array" ref="H80">_xlfn.IFS(
Table2[[#This Row],[AGE]]&lt;30,"Young",
Table2[[#This Row],[AGE]]&lt;40,"Middle Age",
Table2[[#This Row],[AGE]]&lt;50,"Senior",
TRUE,"Super Senior"
)</f>
        <v>Young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s="1">
        <v>28387</v>
      </c>
      <c r="P80" s="1">
        <v>29612</v>
      </c>
      <c r="Q80" s="1">
        <v>30326</v>
      </c>
      <c r="R80" s="1">
        <v>28004</v>
      </c>
      <c r="S80" s="1">
        <v>26446</v>
      </c>
      <c r="T80" s="1">
        <v>6411</v>
      </c>
      <c r="U80" s="1">
        <v>1686</v>
      </c>
      <c r="V80" s="1">
        <v>1400</v>
      </c>
      <c r="W80" s="1">
        <v>560</v>
      </c>
      <c r="X80" s="1">
        <v>3000</v>
      </c>
      <c r="Y80" s="1">
        <v>1765</v>
      </c>
      <c r="Z80" s="1">
        <v>0</v>
      </c>
      <c r="AA80">
        <v>1</v>
      </c>
      <c r="AB80" t="str">
        <f t="shared" si="1"/>
        <v>Defaulter</v>
      </c>
      <c r="AC80" s="1">
        <f>Table2[[#This Row],[BILL_AMT1]]-Table2[[#This Row],[PAY_AMT1]]</f>
        <v>26701</v>
      </c>
      <c r="AD80" s="1" t="str" cm="1">
        <f t="array" ref="AD80">_xlfn.IFS(Table2[[#This Row],[PAYMENT GAP]]&lt;=0,"No Gap / Overpaid",Table2[[#This Row],[PAYMENT GAP]]&lt;=25000,"Low Gap",Table2[[#This Row],[PAYMENT GAP]]&lt;=100000,"Medium Gap",
TRUE,"High Gap"
)</f>
        <v>Medium Gap</v>
      </c>
    </row>
    <row r="81" spans="1:30" x14ac:dyDescent="0.3">
      <c r="A81">
        <v>80</v>
      </c>
      <c r="B81" s="1">
        <v>240000</v>
      </c>
      <c r="C81" s="1" t="str" cm="1">
        <f t="array" ref="C81">_xlfn.IFS(Table2[[#This Row],[LIMIT_BAL]]&lt;=100000,"Low",Table2[[#This Row],[LIMIT_BAL]]&lt;=300000,"Medium",
TRUE,"High"
)</f>
        <v>Medium</v>
      </c>
      <c r="D81" t="s">
        <v>2041</v>
      </c>
      <c r="E81" t="s">
        <v>2043</v>
      </c>
      <c r="F81" t="s">
        <v>2029</v>
      </c>
      <c r="G81">
        <v>44</v>
      </c>
      <c r="H81" t="str" cm="1">
        <f t="array" ref="H81">_xlfn.IFS(
Table2[[#This Row],[AGE]]&lt;30,"Young",
Table2[[#This Row],[AGE]]&lt;40,"Middle Age",
Table2[[#This Row],[AGE]]&lt;50,"Senior",
TRUE,"Super Senior"
)</f>
        <v>Senior</v>
      </c>
      <c r="I81">
        <v>1</v>
      </c>
      <c r="J81">
        <v>-2</v>
      </c>
      <c r="K81">
        <v>-2</v>
      </c>
      <c r="L81">
        <v>-2</v>
      </c>
      <c r="M81">
        <v>-2</v>
      </c>
      <c r="N81">
        <v>-2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>
        <v>1</v>
      </c>
      <c r="AB81" t="str">
        <f t="shared" si="1"/>
        <v>Defaulter</v>
      </c>
      <c r="AC81" s="1">
        <f>Table2[[#This Row],[BILL_AMT1]]-Table2[[#This Row],[PAY_AMT1]]</f>
        <v>0</v>
      </c>
      <c r="AD81" s="1" t="str" cm="1">
        <f t="array" ref="AD81">_xlfn.IFS(Table2[[#This Row],[PAYMENT GAP]]&lt;=0,"No Gap / Overpaid",Table2[[#This Row],[PAYMENT GAP]]&lt;=25000,"Low Gap",Table2[[#This Row],[PAYMENT GAP]]&lt;=100000,"Medium Gap",
TRUE,"High Gap"
)</f>
        <v>No Gap / Overpaid</v>
      </c>
    </row>
    <row r="82" spans="1:30" x14ac:dyDescent="0.3">
      <c r="A82">
        <v>81</v>
      </c>
      <c r="B82" s="1">
        <v>470000</v>
      </c>
      <c r="C82" s="1" t="str" cm="1">
        <f t="array" ref="C82">_xlfn.IFS(Table2[[#This Row],[LIMIT_BAL]]&lt;=100000,"Low",Table2[[#This Row],[LIMIT_BAL]]&lt;=300000,"Medium",
TRUE,"High"
)</f>
        <v>High</v>
      </c>
      <c r="D82" t="s">
        <v>2041</v>
      </c>
      <c r="E82" t="s">
        <v>2027</v>
      </c>
      <c r="F82" t="s">
        <v>2055</v>
      </c>
      <c r="G82">
        <v>33</v>
      </c>
      <c r="H82" t="str" cm="1">
        <f t="array" ref="H82">_xlfn.IFS(
Table2[[#This Row],[AGE]]&lt;30,"Young",
Table2[[#This Row],[AGE]]&lt;40,"Middle Age",
Table2[[#This Row],[AGE]]&lt;50,"Senior",
TRUE,"Super Senior"
)</f>
        <v>Middle Age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 s="1">
        <v>165254</v>
      </c>
      <c r="P82" s="1">
        <v>157784</v>
      </c>
      <c r="Q82" s="1">
        <v>162702</v>
      </c>
      <c r="R82" s="1">
        <v>69923</v>
      </c>
      <c r="S82" s="1">
        <v>29271</v>
      </c>
      <c r="T82" s="1">
        <v>29889</v>
      </c>
      <c r="U82" s="1">
        <v>6400</v>
      </c>
      <c r="V82" s="1">
        <v>7566</v>
      </c>
      <c r="W82" s="1">
        <v>3000</v>
      </c>
      <c r="X82" s="1">
        <v>960</v>
      </c>
      <c r="Y82" s="1">
        <v>1000</v>
      </c>
      <c r="Z82" s="1">
        <v>3000</v>
      </c>
      <c r="AA82">
        <v>0</v>
      </c>
      <c r="AB82" t="str">
        <f t="shared" si="1"/>
        <v>Not Defaulter</v>
      </c>
      <c r="AC82" s="1">
        <f>Table2[[#This Row],[BILL_AMT1]]-Table2[[#This Row],[PAY_AMT1]]</f>
        <v>158854</v>
      </c>
      <c r="AD82" s="1" t="str" cm="1">
        <f t="array" ref="AD82">_xlfn.IFS(Table2[[#This Row],[PAYMENT GAP]]&lt;=0,"No Gap / Overpaid",Table2[[#This Row],[PAYMENT GAP]]&lt;=25000,"Low Gap",Table2[[#This Row],[PAYMENT GAP]]&lt;=100000,"Medium Gap",
TRUE,"High Gap"
)</f>
        <v>High Gap</v>
      </c>
    </row>
    <row r="83" spans="1:30" x14ac:dyDescent="0.3">
      <c r="A83">
        <v>82</v>
      </c>
      <c r="B83" s="1">
        <v>360000</v>
      </c>
      <c r="C83" s="1" t="str" cm="1">
        <f t="array" ref="C83">_xlfn.IFS(Table2[[#This Row],[LIMIT_BAL]]&lt;=100000,"Low",Table2[[#This Row],[LIMIT_BAL]]&lt;=300000,"Medium",
TRUE,"High"
)</f>
        <v>High</v>
      </c>
      <c r="D83" t="s">
        <v>2041</v>
      </c>
      <c r="E83" t="s">
        <v>2026</v>
      </c>
      <c r="F83" t="s">
        <v>2029</v>
      </c>
      <c r="G83">
        <v>26</v>
      </c>
      <c r="H83" t="str" cm="1">
        <f t="array" ref="H83">_xlfn.IFS(
Table2[[#This Row],[AGE]]&lt;30,"Young",
Table2[[#This Row],[AGE]]&lt;40,"Middle Age",
Table2[[#This Row],[AGE]]&lt;50,"Senior",
TRUE,"Super Senior"
)</f>
        <v>Young</v>
      </c>
      <c r="I83">
        <v>0</v>
      </c>
      <c r="J83">
        <v>0</v>
      </c>
      <c r="K83">
        <v>0</v>
      </c>
      <c r="L83">
        <v>0</v>
      </c>
      <c r="M83">
        <v>0</v>
      </c>
      <c r="N83">
        <v>-1</v>
      </c>
      <c r="O83" s="1">
        <v>23411</v>
      </c>
      <c r="P83" s="1">
        <v>27796</v>
      </c>
      <c r="Q83" s="1">
        <v>30400</v>
      </c>
      <c r="R83" s="1">
        <v>33100</v>
      </c>
      <c r="S83" s="1">
        <v>180000</v>
      </c>
      <c r="T83" s="1">
        <v>196</v>
      </c>
      <c r="U83" s="1">
        <v>4796</v>
      </c>
      <c r="V83" s="1">
        <v>3400</v>
      </c>
      <c r="W83" s="1">
        <v>3100</v>
      </c>
      <c r="X83" s="1">
        <v>146900</v>
      </c>
      <c r="Y83" s="1">
        <v>196</v>
      </c>
      <c r="Z83" s="1">
        <v>2963</v>
      </c>
      <c r="AA83">
        <v>0</v>
      </c>
      <c r="AB83" t="str">
        <f t="shared" si="1"/>
        <v>Not Defaulter</v>
      </c>
      <c r="AC83" s="1">
        <f>Table2[[#This Row],[BILL_AMT1]]-Table2[[#This Row],[PAY_AMT1]]</f>
        <v>18615</v>
      </c>
      <c r="AD83" s="1" t="str" cm="1">
        <f t="array" ref="AD83">_xlfn.IFS(Table2[[#This Row],[PAYMENT GAP]]&lt;=0,"No Gap / Overpaid",Table2[[#This Row],[PAYMENT GAP]]&lt;=25000,"Low Gap",Table2[[#This Row],[PAYMENT GAP]]&lt;=100000,"Medium Gap",
TRUE,"High Gap"
)</f>
        <v>Low Gap</v>
      </c>
    </row>
    <row r="84" spans="1:30" x14ac:dyDescent="0.3">
      <c r="A84">
        <v>83</v>
      </c>
      <c r="B84" s="1">
        <v>60000</v>
      </c>
      <c r="C84" s="1" t="str" cm="1">
        <f t="array" ref="C84">_xlfn.IFS(Table2[[#This Row],[LIMIT_BAL]]&lt;=100000,"Low",Table2[[#This Row],[LIMIT_BAL]]&lt;=300000,"Medium",
TRUE,"High"
)</f>
        <v>Low</v>
      </c>
      <c r="D84" t="s">
        <v>2042</v>
      </c>
      <c r="E84" t="s">
        <v>2027</v>
      </c>
      <c r="F84" t="s">
        <v>2029</v>
      </c>
      <c r="G84">
        <v>30</v>
      </c>
      <c r="H84" t="str" cm="1">
        <f t="array" ref="H84">_xlfn.IFS(
Table2[[#This Row],[AGE]]&lt;30,"Young",
Table2[[#This Row],[AGE]]&lt;40,"Middle Age",
Table2[[#This Row],[AGE]]&lt;50,"Senior",
TRUE,"Super Senior"
)</f>
        <v>Middle Age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 s="1">
        <v>26324</v>
      </c>
      <c r="P84" s="1">
        <v>27471</v>
      </c>
      <c r="Q84" s="1">
        <v>28108</v>
      </c>
      <c r="R84" s="1">
        <v>21993</v>
      </c>
      <c r="S84" s="1">
        <v>19899</v>
      </c>
      <c r="T84" s="1">
        <v>19771</v>
      </c>
      <c r="U84" s="1">
        <v>1576</v>
      </c>
      <c r="V84" s="1">
        <v>1213</v>
      </c>
      <c r="W84" s="1">
        <v>648</v>
      </c>
      <c r="X84" s="1">
        <v>768</v>
      </c>
      <c r="Y84" s="1">
        <v>1140</v>
      </c>
      <c r="Z84" s="1">
        <v>0</v>
      </c>
      <c r="AA84">
        <v>1</v>
      </c>
      <c r="AB84" t="str">
        <f t="shared" si="1"/>
        <v>Defaulter</v>
      </c>
      <c r="AC84" s="1">
        <f>Table2[[#This Row],[BILL_AMT1]]-Table2[[#This Row],[PAY_AMT1]]</f>
        <v>24748</v>
      </c>
      <c r="AD84" s="1" t="str" cm="1">
        <f t="array" ref="AD84">_xlfn.IFS(Table2[[#This Row],[PAYMENT GAP]]&lt;=0,"No Gap / Overpaid",Table2[[#This Row],[PAYMENT GAP]]&lt;=25000,"Low Gap",Table2[[#This Row],[PAYMENT GAP]]&lt;=100000,"Medium Gap",
TRUE,"High Gap"
)</f>
        <v>Low Gap</v>
      </c>
    </row>
    <row r="85" spans="1:30" x14ac:dyDescent="0.3">
      <c r="A85">
        <v>84</v>
      </c>
      <c r="B85" s="1">
        <v>400000</v>
      </c>
      <c r="C85" s="1" t="str" cm="1">
        <f t="array" ref="C85">_xlfn.IFS(Table2[[#This Row],[LIMIT_BAL]]&lt;=100000,"Low",Table2[[#This Row],[LIMIT_BAL]]&lt;=300000,"Medium",
TRUE,"High"
)</f>
        <v>High</v>
      </c>
      <c r="D85" t="s">
        <v>2041</v>
      </c>
      <c r="E85" t="s">
        <v>2043</v>
      </c>
      <c r="F85" t="s">
        <v>2028</v>
      </c>
      <c r="G85">
        <v>44</v>
      </c>
      <c r="H85" t="str" cm="1">
        <f t="array" ref="H85">_xlfn.IFS(
Table2[[#This Row],[AGE]]&lt;30,"Young",
Table2[[#This Row],[AGE]]&lt;40,"Middle Age",
Table2[[#This Row],[AGE]]&lt;50,"Senior",
TRUE,"Super Senior"
)</f>
        <v>Senior</v>
      </c>
      <c r="I85">
        <v>0</v>
      </c>
      <c r="J85">
        <v>0</v>
      </c>
      <c r="K85">
        <v>2</v>
      </c>
      <c r="L85">
        <v>0</v>
      </c>
      <c r="M85">
        <v>0</v>
      </c>
      <c r="N85">
        <v>0</v>
      </c>
      <c r="O85" s="1">
        <v>131595</v>
      </c>
      <c r="P85" s="1">
        <v>139060</v>
      </c>
      <c r="Q85" s="1">
        <v>126819</v>
      </c>
      <c r="R85" s="1">
        <v>104430</v>
      </c>
      <c r="S85" s="1">
        <v>104990</v>
      </c>
      <c r="T85" s="1">
        <v>94058</v>
      </c>
      <c r="U85" s="1">
        <v>10700</v>
      </c>
      <c r="V85" s="1">
        <v>3</v>
      </c>
      <c r="W85" s="1">
        <v>3050</v>
      </c>
      <c r="X85" s="1">
        <v>3000</v>
      </c>
      <c r="Y85" s="1">
        <v>3200</v>
      </c>
      <c r="Z85" s="1">
        <v>2800</v>
      </c>
      <c r="AA85">
        <v>0</v>
      </c>
      <c r="AB85" t="str">
        <f t="shared" si="1"/>
        <v>Not Defaulter</v>
      </c>
      <c r="AC85" s="1">
        <f>Table2[[#This Row],[BILL_AMT1]]-Table2[[#This Row],[PAY_AMT1]]</f>
        <v>120895</v>
      </c>
      <c r="AD85" s="1" t="str" cm="1">
        <f t="array" ref="AD85">_xlfn.IFS(Table2[[#This Row],[PAYMENT GAP]]&lt;=0,"No Gap / Overpaid",Table2[[#This Row],[PAYMENT GAP]]&lt;=25000,"Low Gap",Table2[[#This Row],[PAYMENT GAP]]&lt;=100000,"Medium Gap",
TRUE,"High Gap"
)</f>
        <v>High Gap</v>
      </c>
    </row>
    <row r="86" spans="1:30" x14ac:dyDescent="0.3">
      <c r="A86">
        <v>85</v>
      </c>
      <c r="B86" s="1">
        <v>50000</v>
      </c>
      <c r="C86" s="1" t="str" cm="1">
        <f t="array" ref="C86">_xlfn.IFS(Table2[[#This Row],[LIMIT_BAL]]&lt;=100000,"Low",Table2[[#This Row],[LIMIT_BAL]]&lt;=300000,"Medium",
TRUE,"High"
)</f>
        <v>Low</v>
      </c>
      <c r="D86" t="s">
        <v>2041</v>
      </c>
      <c r="E86" t="s">
        <v>2027</v>
      </c>
      <c r="F86" t="s">
        <v>2029</v>
      </c>
      <c r="G86">
        <v>49</v>
      </c>
      <c r="H86" t="str" cm="1">
        <f t="array" ref="H86">_xlfn.IFS(
Table2[[#This Row],[AGE]]&lt;30,"Young",
Table2[[#This Row],[AGE]]&lt;40,"Middle Age",
Table2[[#This Row],[AGE]]&lt;50,"Senior",
TRUE,"Super Senior"
)</f>
        <v>Senior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s="1">
        <v>48909</v>
      </c>
      <c r="P86" s="1">
        <v>47863</v>
      </c>
      <c r="Q86" s="1">
        <v>21489</v>
      </c>
      <c r="R86" s="1">
        <v>20414</v>
      </c>
      <c r="S86" s="1">
        <v>19342</v>
      </c>
      <c r="T86" s="1">
        <v>19482</v>
      </c>
      <c r="U86" s="1">
        <v>1676</v>
      </c>
      <c r="V86" s="1">
        <v>1302</v>
      </c>
      <c r="W86" s="1">
        <v>700</v>
      </c>
      <c r="X86" s="1">
        <v>699</v>
      </c>
      <c r="Y86" s="1">
        <v>849</v>
      </c>
      <c r="Z86" s="1">
        <v>826</v>
      </c>
      <c r="AA86">
        <v>0</v>
      </c>
      <c r="AB86" t="str">
        <f t="shared" si="1"/>
        <v>Not Defaulter</v>
      </c>
      <c r="AC86" s="1">
        <f>Table2[[#This Row],[BILL_AMT1]]-Table2[[#This Row],[PAY_AMT1]]</f>
        <v>47233</v>
      </c>
      <c r="AD86" s="1" t="str" cm="1">
        <f t="array" ref="AD86">_xlfn.IFS(Table2[[#This Row],[PAYMENT GAP]]&lt;=0,"No Gap / Overpaid",Table2[[#This Row],[PAYMENT GAP]]&lt;=25000,"Low Gap",Table2[[#This Row],[PAYMENT GAP]]&lt;=100000,"Medium Gap",
TRUE,"High Gap"
)</f>
        <v>Medium Gap</v>
      </c>
    </row>
    <row r="87" spans="1:30" x14ac:dyDescent="0.3">
      <c r="A87">
        <v>86</v>
      </c>
      <c r="B87" s="1">
        <v>160000</v>
      </c>
      <c r="C87" s="1" t="str" cm="1">
        <f t="array" ref="C87">_xlfn.IFS(Table2[[#This Row],[LIMIT_BAL]]&lt;=100000,"Low",Table2[[#This Row],[LIMIT_BAL]]&lt;=300000,"Medium",
TRUE,"High"
)</f>
        <v>Medium</v>
      </c>
      <c r="D87" t="s">
        <v>2042</v>
      </c>
      <c r="E87" t="s">
        <v>2043</v>
      </c>
      <c r="F87" t="s">
        <v>2029</v>
      </c>
      <c r="G87">
        <v>33</v>
      </c>
      <c r="H87" t="str" cm="1">
        <f t="array" ref="H87">_xlfn.IFS(
Table2[[#This Row],[AGE]]&lt;30,"Young",
Table2[[#This Row],[AGE]]&lt;40,"Middle Age",
Table2[[#This Row],[AGE]]&lt;50,"Senior",
TRUE,"Super Senior"
)</f>
        <v>Middle Age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 s="1">
        <v>130028</v>
      </c>
      <c r="P87" s="1">
        <v>107808</v>
      </c>
      <c r="Q87" s="1">
        <v>71934</v>
      </c>
      <c r="R87" s="1">
        <v>118418</v>
      </c>
      <c r="S87" s="1">
        <v>118407</v>
      </c>
      <c r="T87" s="1">
        <v>120418</v>
      </c>
      <c r="U87" s="1">
        <v>4400</v>
      </c>
      <c r="V87" s="1">
        <v>3547</v>
      </c>
      <c r="W87" s="1">
        <v>80000</v>
      </c>
      <c r="X87" s="1">
        <v>4500</v>
      </c>
      <c r="Y87" s="1">
        <v>4800</v>
      </c>
      <c r="Z87" s="1">
        <v>4500</v>
      </c>
      <c r="AA87">
        <v>0</v>
      </c>
      <c r="AB87" t="str">
        <f t="shared" si="1"/>
        <v>Not Defaulter</v>
      </c>
      <c r="AC87" s="1">
        <f>Table2[[#This Row],[BILL_AMT1]]-Table2[[#This Row],[PAY_AMT1]]</f>
        <v>125628</v>
      </c>
      <c r="AD87" s="1" t="str" cm="1">
        <f t="array" ref="AD87">_xlfn.IFS(Table2[[#This Row],[PAYMENT GAP]]&lt;=0,"No Gap / Overpaid",Table2[[#This Row],[PAYMENT GAP]]&lt;=25000,"Low Gap",Table2[[#This Row],[PAYMENT GAP]]&lt;=100000,"Medium Gap",
TRUE,"High Gap"
)</f>
        <v>High Gap</v>
      </c>
    </row>
    <row r="88" spans="1:30" x14ac:dyDescent="0.3">
      <c r="A88">
        <v>87</v>
      </c>
      <c r="B88" s="1">
        <v>360000</v>
      </c>
      <c r="C88" s="1" t="str" cm="1">
        <f t="array" ref="C88">_xlfn.IFS(Table2[[#This Row],[LIMIT_BAL]]&lt;=100000,"Low",Table2[[#This Row],[LIMIT_BAL]]&lt;=300000,"Medium",
TRUE,"High"
)</f>
        <v>High</v>
      </c>
      <c r="D88" t="s">
        <v>2041</v>
      </c>
      <c r="E88" t="s">
        <v>2026</v>
      </c>
      <c r="F88" t="s">
        <v>2028</v>
      </c>
      <c r="G88">
        <v>45</v>
      </c>
      <c r="H88" t="str" cm="1">
        <f t="array" ref="H88">_xlfn.IFS(
Table2[[#This Row],[AGE]]&lt;30,"Young",
Table2[[#This Row],[AGE]]&lt;40,"Middle Age",
Table2[[#This Row],[AGE]]&lt;50,"Senior",
TRUE,"Super Senior"
)</f>
        <v>Senior</v>
      </c>
      <c r="I88">
        <v>-1</v>
      </c>
      <c r="J88">
        <v>-1</v>
      </c>
      <c r="K88">
        <v>2</v>
      </c>
      <c r="L88">
        <v>0</v>
      </c>
      <c r="M88">
        <v>-1</v>
      </c>
      <c r="N88">
        <v>-1</v>
      </c>
      <c r="O88" s="1">
        <v>390</v>
      </c>
      <c r="P88" s="1">
        <v>1170</v>
      </c>
      <c r="Q88" s="1">
        <v>780</v>
      </c>
      <c r="R88" s="1">
        <v>390</v>
      </c>
      <c r="S88" s="1">
        <v>390</v>
      </c>
      <c r="T88" s="1">
        <v>390</v>
      </c>
      <c r="U88" s="1">
        <v>1170</v>
      </c>
      <c r="V88" s="1">
        <v>0</v>
      </c>
      <c r="W88" s="1">
        <v>0</v>
      </c>
      <c r="X88" s="1">
        <v>390</v>
      </c>
      <c r="Y88" s="1">
        <v>390</v>
      </c>
      <c r="Z88" s="1">
        <v>390</v>
      </c>
      <c r="AA88">
        <v>1</v>
      </c>
      <c r="AB88" t="str">
        <f t="shared" si="1"/>
        <v>Defaulter</v>
      </c>
      <c r="AC88" s="1">
        <f>Table2[[#This Row],[BILL_AMT1]]-Table2[[#This Row],[PAY_AMT1]]</f>
        <v>-780</v>
      </c>
      <c r="AD88" s="1" t="str" cm="1">
        <f t="array" ref="AD88">_xlfn.IFS(Table2[[#This Row],[PAYMENT GAP]]&lt;=0,"No Gap / Overpaid",Table2[[#This Row],[PAYMENT GAP]]&lt;=25000,"Low Gap",Table2[[#This Row],[PAYMENT GAP]]&lt;=100000,"Medium Gap",
TRUE,"High Gap"
)</f>
        <v>No Gap / Overpaid</v>
      </c>
    </row>
    <row r="89" spans="1:30" x14ac:dyDescent="0.3">
      <c r="A89">
        <v>88</v>
      </c>
      <c r="B89" s="1">
        <v>160000</v>
      </c>
      <c r="C89" s="1" t="str" cm="1">
        <f t="array" ref="C89">_xlfn.IFS(Table2[[#This Row],[LIMIT_BAL]]&lt;=100000,"Low",Table2[[#This Row],[LIMIT_BAL]]&lt;=300000,"Medium",
TRUE,"High"
)</f>
        <v>Medium</v>
      </c>
      <c r="D89" t="s">
        <v>2041</v>
      </c>
      <c r="E89" t="s">
        <v>2043</v>
      </c>
      <c r="F89" t="s">
        <v>2029</v>
      </c>
      <c r="G89">
        <v>32</v>
      </c>
      <c r="H89" t="str" cm="1">
        <f t="array" ref="H89">_xlfn.IFS(
Table2[[#This Row],[AGE]]&lt;30,"Young",
Table2[[#This Row],[AGE]]&lt;40,"Middle Age",
Table2[[#This Row],[AGE]]&lt;50,"Senior",
TRUE,"Super Senior"
)</f>
        <v>Middle Age</v>
      </c>
      <c r="I89">
        <v>0</v>
      </c>
      <c r="J89">
        <v>0</v>
      </c>
      <c r="K89">
        <v>0</v>
      </c>
      <c r="L89">
        <v>0</v>
      </c>
      <c r="M89">
        <v>0</v>
      </c>
      <c r="N89">
        <v>-1</v>
      </c>
      <c r="O89" s="1">
        <v>3826</v>
      </c>
      <c r="P89" s="1">
        <v>4751</v>
      </c>
      <c r="Q89" s="1">
        <v>6604</v>
      </c>
      <c r="R89" s="1">
        <v>8604</v>
      </c>
      <c r="S89" s="1">
        <v>7072</v>
      </c>
      <c r="T89" s="1">
        <v>766</v>
      </c>
      <c r="U89" s="1">
        <v>1147</v>
      </c>
      <c r="V89" s="1">
        <v>2000</v>
      </c>
      <c r="W89" s="1">
        <v>2000</v>
      </c>
      <c r="X89" s="1">
        <v>0</v>
      </c>
      <c r="Y89" s="1">
        <v>766</v>
      </c>
      <c r="Z89" s="1">
        <v>2303</v>
      </c>
      <c r="AA89">
        <v>0</v>
      </c>
      <c r="AB89" t="str">
        <f t="shared" si="1"/>
        <v>Not Defaulter</v>
      </c>
      <c r="AC89" s="1">
        <f>Table2[[#This Row],[BILL_AMT1]]-Table2[[#This Row],[PAY_AMT1]]</f>
        <v>2679</v>
      </c>
      <c r="AD89" s="1" t="str" cm="1">
        <f t="array" ref="AD89">_xlfn.IFS(Table2[[#This Row],[PAYMENT GAP]]&lt;=0,"No Gap / Overpaid",Table2[[#This Row],[PAYMENT GAP]]&lt;=25000,"Low Gap",Table2[[#This Row],[PAYMENT GAP]]&lt;=100000,"Medium Gap",
TRUE,"High Gap"
)</f>
        <v>Low Gap</v>
      </c>
    </row>
    <row r="90" spans="1:30" x14ac:dyDescent="0.3">
      <c r="A90">
        <v>89</v>
      </c>
      <c r="B90" s="1">
        <v>130000</v>
      </c>
      <c r="C90" s="1" t="str" cm="1">
        <f t="array" ref="C90">_xlfn.IFS(Table2[[#This Row],[LIMIT_BAL]]&lt;=100000,"Low",Table2[[#This Row],[LIMIT_BAL]]&lt;=300000,"Medium",
TRUE,"High"
)</f>
        <v>Medium</v>
      </c>
      <c r="D90" t="s">
        <v>2041</v>
      </c>
      <c r="E90" t="s">
        <v>2026</v>
      </c>
      <c r="F90" t="s">
        <v>2028</v>
      </c>
      <c r="G90">
        <v>35</v>
      </c>
      <c r="H90" t="str" cm="1">
        <f t="array" ref="H90">_xlfn.IFS(
Table2[[#This Row],[AGE]]&lt;30,"Young",
Table2[[#This Row],[AGE]]&lt;40,"Middle Age",
Table2[[#This Row],[AGE]]&lt;50,"Senior",
TRUE,"Super Senior"
)</f>
        <v>Middle Age</v>
      </c>
      <c r="I90">
        <v>0</v>
      </c>
      <c r="J90">
        <v>0</v>
      </c>
      <c r="K90">
        <v>0</v>
      </c>
      <c r="L90">
        <v>-1</v>
      </c>
      <c r="M90">
        <v>-1</v>
      </c>
      <c r="N90">
        <v>-1</v>
      </c>
      <c r="O90" s="1">
        <v>81313</v>
      </c>
      <c r="P90" s="1">
        <v>117866</v>
      </c>
      <c r="Q90" s="1">
        <v>17740</v>
      </c>
      <c r="R90" s="1">
        <v>1330</v>
      </c>
      <c r="S90" s="1">
        <v>7095</v>
      </c>
      <c r="T90" s="1">
        <v>1190</v>
      </c>
      <c r="U90" s="1">
        <v>40000</v>
      </c>
      <c r="V90" s="1">
        <v>5000</v>
      </c>
      <c r="W90" s="1">
        <v>1330</v>
      </c>
      <c r="X90" s="1">
        <v>7095</v>
      </c>
      <c r="Y90" s="1">
        <v>1190</v>
      </c>
      <c r="Z90" s="1">
        <v>2090</v>
      </c>
      <c r="AA90">
        <v>0</v>
      </c>
      <c r="AB90" t="str">
        <f t="shared" si="1"/>
        <v>Not Defaulter</v>
      </c>
      <c r="AC90" s="1">
        <f>Table2[[#This Row],[BILL_AMT1]]-Table2[[#This Row],[PAY_AMT1]]</f>
        <v>41313</v>
      </c>
      <c r="AD90" s="1" t="str" cm="1">
        <f t="array" ref="AD90">_xlfn.IFS(Table2[[#This Row],[PAYMENT GAP]]&lt;=0,"No Gap / Overpaid",Table2[[#This Row],[PAYMENT GAP]]&lt;=25000,"Low Gap",Table2[[#This Row],[PAYMENT GAP]]&lt;=100000,"Medium Gap",
TRUE,"High Gap"
)</f>
        <v>Medium Gap</v>
      </c>
    </row>
    <row r="91" spans="1:30" x14ac:dyDescent="0.3">
      <c r="A91">
        <v>90</v>
      </c>
      <c r="B91" s="1">
        <v>20000</v>
      </c>
      <c r="C91" s="1" t="str" cm="1">
        <f t="array" ref="C91">_xlfn.IFS(Table2[[#This Row],[LIMIT_BAL]]&lt;=100000,"Low",Table2[[#This Row],[LIMIT_BAL]]&lt;=300000,"Medium",
TRUE,"High"
)</f>
        <v>Low</v>
      </c>
      <c r="D91" t="s">
        <v>2042</v>
      </c>
      <c r="E91" t="s">
        <v>2027</v>
      </c>
      <c r="F91" t="s">
        <v>2029</v>
      </c>
      <c r="G91">
        <v>44</v>
      </c>
      <c r="H91" t="str" cm="1">
        <f t="array" ref="H91">_xlfn.IFS(
Table2[[#This Row],[AGE]]&lt;30,"Young",
Table2[[#This Row],[AGE]]&lt;40,"Middle Age",
Table2[[#This Row],[AGE]]&lt;50,"Senior",
TRUE,"Super Senior"
)</f>
        <v>Senior</v>
      </c>
      <c r="I91">
        <v>2</v>
      </c>
      <c r="J91">
        <v>2</v>
      </c>
      <c r="K91">
        <v>0</v>
      </c>
      <c r="L91">
        <v>0</v>
      </c>
      <c r="M91">
        <v>0</v>
      </c>
      <c r="N91">
        <v>2</v>
      </c>
      <c r="O91" s="1">
        <v>8583</v>
      </c>
      <c r="P91" s="1">
        <v>8303</v>
      </c>
      <c r="Q91" s="1">
        <v>9651</v>
      </c>
      <c r="R91" s="1">
        <v>10488</v>
      </c>
      <c r="S91" s="1">
        <v>12314</v>
      </c>
      <c r="T91" s="1">
        <v>11970</v>
      </c>
      <c r="U91" s="1">
        <v>0</v>
      </c>
      <c r="V91" s="1">
        <v>1651</v>
      </c>
      <c r="W91" s="1">
        <v>1000</v>
      </c>
      <c r="X91" s="1">
        <v>2000</v>
      </c>
      <c r="Y91" s="1">
        <v>0</v>
      </c>
      <c r="Z91" s="1">
        <v>1500</v>
      </c>
      <c r="AA91">
        <v>0</v>
      </c>
      <c r="AB91" t="str">
        <f t="shared" si="1"/>
        <v>Not Defaulter</v>
      </c>
      <c r="AC91" s="1">
        <f>Table2[[#This Row],[BILL_AMT1]]-Table2[[#This Row],[PAY_AMT1]]</f>
        <v>8583</v>
      </c>
      <c r="AD91" s="1" t="str" cm="1">
        <f t="array" ref="AD91">_xlfn.IFS(Table2[[#This Row],[PAYMENT GAP]]&lt;=0,"No Gap / Overpaid",Table2[[#This Row],[PAYMENT GAP]]&lt;=25000,"Low Gap",Table2[[#This Row],[PAYMENT GAP]]&lt;=100000,"Medium Gap",
TRUE,"High Gap"
)</f>
        <v>Low Gap</v>
      </c>
    </row>
    <row r="92" spans="1:30" x14ac:dyDescent="0.3">
      <c r="A92">
        <v>91</v>
      </c>
      <c r="B92" s="1">
        <v>200000</v>
      </c>
      <c r="C92" s="1" t="str" cm="1">
        <f t="array" ref="C92">_xlfn.IFS(Table2[[#This Row],[LIMIT_BAL]]&lt;=100000,"Low",Table2[[#This Row],[LIMIT_BAL]]&lt;=300000,"Medium",
TRUE,"High"
)</f>
        <v>Medium</v>
      </c>
      <c r="D92" t="s">
        <v>2042</v>
      </c>
      <c r="E92" t="s">
        <v>2026</v>
      </c>
      <c r="F92" t="s">
        <v>2028</v>
      </c>
      <c r="G92">
        <v>53</v>
      </c>
      <c r="H92" t="str" cm="1">
        <f t="array" ref="H92">_xlfn.IFS(
Table2[[#This Row],[AGE]]&lt;30,"Young",
Table2[[#This Row],[AGE]]&lt;40,"Middle Age",
Table2[[#This Row],[AGE]]&lt;50,"Senior",
TRUE,"Super Senior"
)</f>
        <v>Super Senior</v>
      </c>
      <c r="I92">
        <v>2</v>
      </c>
      <c r="J92">
        <v>2</v>
      </c>
      <c r="K92">
        <v>2</v>
      </c>
      <c r="L92">
        <v>2</v>
      </c>
      <c r="M92">
        <v>2</v>
      </c>
      <c r="N92">
        <v>2</v>
      </c>
      <c r="O92" s="1">
        <v>138180</v>
      </c>
      <c r="P92" s="1">
        <v>140774</v>
      </c>
      <c r="Q92" s="1">
        <v>142460</v>
      </c>
      <c r="R92" s="1">
        <v>144098</v>
      </c>
      <c r="S92" s="1">
        <v>147124</v>
      </c>
      <c r="T92" s="1">
        <v>149531</v>
      </c>
      <c r="U92" s="1">
        <v>6300</v>
      </c>
      <c r="V92" s="1">
        <v>5500</v>
      </c>
      <c r="W92" s="1">
        <v>5500</v>
      </c>
      <c r="X92" s="1">
        <v>5500</v>
      </c>
      <c r="Y92" s="1">
        <v>5000</v>
      </c>
      <c r="Z92" s="1">
        <v>5000</v>
      </c>
      <c r="AA92">
        <v>1</v>
      </c>
      <c r="AB92" t="str">
        <f t="shared" si="1"/>
        <v>Defaulter</v>
      </c>
      <c r="AC92" s="1">
        <f>Table2[[#This Row],[BILL_AMT1]]-Table2[[#This Row],[PAY_AMT1]]</f>
        <v>131880</v>
      </c>
      <c r="AD92" s="1" t="str" cm="1">
        <f t="array" ref="AD92">_xlfn.IFS(Table2[[#This Row],[PAYMENT GAP]]&lt;=0,"No Gap / Overpaid",Table2[[#This Row],[PAYMENT GAP]]&lt;=25000,"Low Gap",Table2[[#This Row],[PAYMENT GAP]]&lt;=100000,"Medium Gap",
TRUE,"High Gap"
)</f>
        <v>High Gap</v>
      </c>
    </row>
    <row r="93" spans="1:30" x14ac:dyDescent="0.3">
      <c r="A93">
        <v>92</v>
      </c>
      <c r="B93" s="1">
        <v>280000</v>
      </c>
      <c r="C93" s="1" t="str" cm="1">
        <f t="array" ref="C93">_xlfn.IFS(Table2[[#This Row],[LIMIT_BAL]]&lt;=100000,"Low",Table2[[#This Row],[LIMIT_BAL]]&lt;=300000,"Medium",
TRUE,"High"
)</f>
        <v>Medium</v>
      </c>
      <c r="D93" t="s">
        <v>2041</v>
      </c>
      <c r="E93" t="s">
        <v>2026</v>
      </c>
      <c r="F93" t="s">
        <v>2029</v>
      </c>
      <c r="G93">
        <v>39</v>
      </c>
      <c r="H93" t="str" cm="1">
        <f t="array" ref="H93">_xlfn.IFS(
Table2[[#This Row],[AGE]]&lt;30,"Young",
Table2[[#This Row],[AGE]]&lt;40,"Middle Age",
Table2[[#This Row],[AGE]]&lt;50,"Senior",
TRUE,"Super Senior"
)</f>
        <v>Middle Age</v>
      </c>
      <c r="I93">
        <v>-1</v>
      </c>
      <c r="J93">
        <v>-1</v>
      </c>
      <c r="K93">
        <v>-1</v>
      </c>
      <c r="L93">
        <v>0</v>
      </c>
      <c r="M93">
        <v>0</v>
      </c>
      <c r="N93">
        <v>-2</v>
      </c>
      <c r="O93" s="1">
        <v>7524</v>
      </c>
      <c r="P93" s="1">
        <v>0</v>
      </c>
      <c r="Q93" s="1">
        <v>3968</v>
      </c>
      <c r="R93" s="1">
        <v>3868</v>
      </c>
      <c r="S93" s="1">
        <v>0</v>
      </c>
      <c r="T93" s="1">
        <v>0</v>
      </c>
      <c r="U93" s="1">
        <v>0</v>
      </c>
      <c r="V93" s="1">
        <v>3968</v>
      </c>
      <c r="W93" s="1">
        <v>0</v>
      </c>
      <c r="X93" s="1">
        <v>0</v>
      </c>
      <c r="Y93" s="1">
        <v>0</v>
      </c>
      <c r="Z93" s="1">
        <v>0</v>
      </c>
      <c r="AA93">
        <v>0</v>
      </c>
      <c r="AB93" t="str">
        <f t="shared" si="1"/>
        <v>Not Defaulter</v>
      </c>
      <c r="AC93" s="1">
        <f>Table2[[#This Row],[BILL_AMT1]]-Table2[[#This Row],[PAY_AMT1]]</f>
        <v>7524</v>
      </c>
      <c r="AD93" s="1" t="str" cm="1">
        <f t="array" ref="AD93">_xlfn.IFS(Table2[[#This Row],[PAYMENT GAP]]&lt;=0,"No Gap / Overpaid",Table2[[#This Row],[PAYMENT GAP]]&lt;=25000,"Low Gap",Table2[[#This Row],[PAYMENT GAP]]&lt;=100000,"Medium Gap",
TRUE,"High Gap"
)</f>
        <v>Low Gap</v>
      </c>
    </row>
    <row r="94" spans="1:30" x14ac:dyDescent="0.3">
      <c r="A94">
        <v>93</v>
      </c>
      <c r="B94" s="1">
        <v>100000</v>
      </c>
      <c r="C94" s="1" t="str" cm="1">
        <f t="array" ref="C94">_xlfn.IFS(Table2[[#This Row],[LIMIT_BAL]]&lt;=100000,"Low",Table2[[#This Row],[LIMIT_BAL]]&lt;=300000,"Medium",
TRUE,"High"
)</f>
        <v>Low</v>
      </c>
      <c r="D94" t="s">
        <v>2041</v>
      </c>
      <c r="E94" t="s">
        <v>2026</v>
      </c>
      <c r="F94" t="s">
        <v>2029</v>
      </c>
      <c r="G94">
        <v>27</v>
      </c>
      <c r="H94" t="str" cm="1">
        <f t="array" ref="H94">_xlfn.IFS(
Table2[[#This Row],[AGE]]&lt;30,"Young",
Table2[[#This Row],[AGE]]&lt;40,"Middle Age",
Table2[[#This Row],[AGE]]&lt;50,"Senior",
TRUE,"Super Senior"
)</f>
        <v>Young</v>
      </c>
      <c r="I94">
        <v>-2</v>
      </c>
      <c r="J94">
        <v>-2</v>
      </c>
      <c r="K94">
        <v>-2</v>
      </c>
      <c r="L94">
        <v>-2</v>
      </c>
      <c r="M94">
        <v>-2</v>
      </c>
      <c r="N94">
        <v>-2</v>
      </c>
      <c r="O94" s="1">
        <v>-2000</v>
      </c>
      <c r="P94" s="1">
        <v>5555</v>
      </c>
      <c r="Q94" s="1">
        <v>0</v>
      </c>
      <c r="R94" s="1">
        <v>0</v>
      </c>
      <c r="S94" s="1">
        <v>0</v>
      </c>
      <c r="T94" s="1">
        <v>0</v>
      </c>
      <c r="U94" s="1">
        <v>7555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>
        <v>0</v>
      </c>
      <c r="AB94" t="str">
        <f t="shared" si="1"/>
        <v>Not Defaulter</v>
      </c>
      <c r="AC94" s="1">
        <f>Table2[[#This Row],[BILL_AMT1]]-Table2[[#This Row],[PAY_AMT1]]</f>
        <v>-9555</v>
      </c>
      <c r="AD94" s="1" t="str" cm="1">
        <f t="array" ref="AD94">_xlfn.IFS(Table2[[#This Row],[PAYMENT GAP]]&lt;=0,"No Gap / Overpaid",Table2[[#This Row],[PAYMENT GAP]]&lt;=25000,"Low Gap",Table2[[#This Row],[PAYMENT GAP]]&lt;=100000,"Medium Gap",
TRUE,"High Gap"
)</f>
        <v>No Gap / Overpaid</v>
      </c>
    </row>
    <row r="95" spans="1:30" x14ac:dyDescent="0.3">
      <c r="A95">
        <v>94</v>
      </c>
      <c r="B95" s="1">
        <v>160000</v>
      </c>
      <c r="C95" s="1" t="str" cm="1">
        <f t="array" ref="C95">_xlfn.IFS(Table2[[#This Row],[LIMIT_BAL]]&lt;=100000,"Low",Table2[[#This Row],[LIMIT_BAL]]&lt;=300000,"Medium",
TRUE,"High"
)</f>
        <v>Medium</v>
      </c>
      <c r="D95" t="s">
        <v>2041</v>
      </c>
      <c r="E95" t="s">
        <v>2043</v>
      </c>
      <c r="F95" t="s">
        <v>2028</v>
      </c>
      <c r="G95">
        <v>37</v>
      </c>
      <c r="H95" t="str" cm="1">
        <f t="array" ref="H95">_xlfn.IFS(
Table2[[#This Row],[AGE]]&lt;30,"Young",
Table2[[#This Row],[AGE]]&lt;40,"Middle Age",
Table2[[#This Row],[AGE]]&lt;50,"Senior",
TRUE,"Super Senior"
)</f>
        <v>Middle Age</v>
      </c>
      <c r="I95">
        <v>-1</v>
      </c>
      <c r="J95">
        <v>-1</v>
      </c>
      <c r="K95">
        <v>-1</v>
      </c>
      <c r="L95">
        <v>-1</v>
      </c>
      <c r="M95">
        <v>-1</v>
      </c>
      <c r="N95">
        <v>-2</v>
      </c>
      <c r="O95" s="1">
        <v>880</v>
      </c>
      <c r="P95" s="1">
        <v>1602</v>
      </c>
      <c r="Q95" s="1">
        <v>840</v>
      </c>
      <c r="R95" s="1">
        <v>840</v>
      </c>
      <c r="S95" s="1">
        <v>0</v>
      </c>
      <c r="T95" s="1">
        <v>0</v>
      </c>
      <c r="U95" s="1">
        <v>1602</v>
      </c>
      <c r="V95" s="1">
        <v>840</v>
      </c>
      <c r="W95" s="1">
        <v>840</v>
      </c>
      <c r="X95" s="1">
        <v>0</v>
      </c>
      <c r="Y95" s="1">
        <v>0</v>
      </c>
      <c r="Z95" s="1">
        <v>7736</v>
      </c>
      <c r="AA95">
        <v>0</v>
      </c>
      <c r="AB95" t="str">
        <f t="shared" si="1"/>
        <v>Not Defaulter</v>
      </c>
      <c r="AC95" s="1">
        <f>Table2[[#This Row],[BILL_AMT1]]-Table2[[#This Row],[PAY_AMT1]]</f>
        <v>-722</v>
      </c>
      <c r="AD95" s="1" t="str" cm="1">
        <f t="array" ref="AD95">_xlfn.IFS(Table2[[#This Row],[PAYMENT GAP]]&lt;=0,"No Gap / Overpaid",Table2[[#This Row],[PAYMENT GAP]]&lt;=25000,"Low Gap",Table2[[#This Row],[PAYMENT GAP]]&lt;=100000,"Medium Gap",
TRUE,"High Gap"
)</f>
        <v>No Gap / Overpaid</v>
      </c>
    </row>
    <row r="96" spans="1:30" x14ac:dyDescent="0.3">
      <c r="A96">
        <v>95</v>
      </c>
      <c r="B96" s="1">
        <v>60000</v>
      </c>
      <c r="C96" s="1" t="str" cm="1">
        <f t="array" ref="C96">_xlfn.IFS(Table2[[#This Row],[LIMIT_BAL]]&lt;=100000,"Low",Table2[[#This Row],[LIMIT_BAL]]&lt;=300000,"Medium",
TRUE,"High"
)</f>
        <v>Low</v>
      </c>
      <c r="D96" t="s">
        <v>2041</v>
      </c>
      <c r="E96" t="s">
        <v>2043</v>
      </c>
      <c r="F96" t="s">
        <v>2029</v>
      </c>
      <c r="G96">
        <v>23</v>
      </c>
      <c r="H96" t="str" cm="1">
        <f t="array" ref="H96">_xlfn.IFS(
Table2[[#This Row],[AGE]]&lt;30,"Young",
Table2[[#This Row],[AGE]]&lt;40,"Middle Age",
Table2[[#This Row],[AGE]]&lt;50,"Senior",
TRUE,"Super Senior"
)</f>
        <v>Young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 s="1">
        <v>45648</v>
      </c>
      <c r="P96" s="1">
        <v>46850</v>
      </c>
      <c r="Q96" s="1">
        <v>47214</v>
      </c>
      <c r="R96" s="1">
        <v>19595</v>
      </c>
      <c r="S96" s="1">
        <v>19209</v>
      </c>
      <c r="T96" s="1">
        <v>19323</v>
      </c>
      <c r="U96" s="1">
        <v>1937</v>
      </c>
      <c r="V96" s="1">
        <v>1301</v>
      </c>
      <c r="W96" s="1">
        <v>682</v>
      </c>
      <c r="X96" s="1">
        <v>690</v>
      </c>
      <c r="Y96" s="1">
        <v>816</v>
      </c>
      <c r="Z96" s="1">
        <v>835</v>
      </c>
      <c r="AA96">
        <v>0</v>
      </c>
      <c r="AB96" t="str">
        <f t="shared" si="1"/>
        <v>Not Defaulter</v>
      </c>
      <c r="AC96" s="1">
        <f>Table2[[#This Row],[BILL_AMT1]]-Table2[[#This Row],[PAY_AMT1]]</f>
        <v>43711</v>
      </c>
      <c r="AD96" s="1" t="str" cm="1">
        <f t="array" ref="AD96">_xlfn.IFS(Table2[[#This Row],[PAYMENT GAP]]&lt;=0,"No Gap / Overpaid",Table2[[#This Row],[PAYMENT GAP]]&lt;=25000,"Low Gap",Table2[[#This Row],[PAYMENT GAP]]&lt;=100000,"Medium Gap",
TRUE,"High Gap"
)</f>
        <v>Medium Gap</v>
      </c>
    </row>
    <row r="97" spans="1:30" x14ac:dyDescent="0.3">
      <c r="A97">
        <v>96</v>
      </c>
      <c r="B97" s="1">
        <v>90000</v>
      </c>
      <c r="C97" s="1" t="str" cm="1">
        <f t="array" ref="C97">_xlfn.IFS(Table2[[#This Row],[LIMIT_BAL]]&lt;=100000,"Low",Table2[[#This Row],[LIMIT_BAL]]&lt;=300000,"Medium",
TRUE,"High"
)</f>
        <v>Low</v>
      </c>
      <c r="D97" t="s">
        <v>2042</v>
      </c>
      <c r="E97" t="s">
        <v>2043</v>
      </c>
      <c r="F97" t="s">
        <v>2029</v>
      </c>
      <c r="G97">
        <v>35</v>
      </c>
      <c r="H97" t="str" cm="1">
        <f t="array" ref="H97">_xlfn.IFS(
Table2[[#This Row],[AGE]]&lt;30,"Young",
Table2[[#This Row],[AGE]]&lt;40,"Middle Age",
Table2[[#This Row],[AGE]]&lt;50,"Senior",
TRUE,"Super Senior"
)</f>
        <v>Middle Age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 s="1">
        <v>83725</v>
      </c>
      <c r="P97" s="1">
        <v>85996</v>
      </c>
      <c r="Q97" s="1">
        <v>87653</v>
      </c>
      <c r="R97" s="1">
        <v>35565</v>
      </c>
      <c r="S97" s="1">
        <v>30942</v>
      </c>
      <c r="T97" s="1">
        <v>30835</v>
      </c>
      <c r="U97" s="1">
        <v>3621</v>
      </c>
      <c r="V97" s="1">
        <v>3597</v>
      </c>
      <c r="W97" s="1">
        <v>1179</v>
      </c>
      <c r="X97" s="1">
        <v>1112</v>
      </c>
      <c r="Y97" s="1">
        <v>1104</v>
      </c>
      <c r="Z97" s="1">
        <v>1143</v>
      </c>
      <c r="AA97">
        <v>0</v>
      </c>
      <c r="AB97" t="str">
        <f t="shared" si="1"/>
        <v>Not Defaulter</v>
      </c>
      <c r="AC97" s="1">
        <f>Table2[[#This Row],[BILL_AMT1]]-Table2[[#This Row],[PAY_AMT1]]</f>
        <v>80104</v>
      </c>
      <c r="AD97" s="1" t="str" cm="1">
        <f t="array" ref="AD97">_xlfn.IFS(Table2[[#This Row],[PAYMENT GAP]]&lt;=0,"No Gap / Overpaid",Table2[[#This Row],[PAYMENT GAP]]&lt;=25000,"Low Gap",Table2[[#This Row],[PAYMENT GAP]]&lt;=100000,"Medium Gap",
TRUE,"High Gap"
)</f>
        <v>Medium Gap</v>
      </c>
    </row>
    <row r="98" spans="1:30" x14ac:dyDescent="0.3">
      <c r="A98">
        <v>97</v>
      </c>
      <c r="B98" s="1">
        <v>360000</v>
      </c>
      <c r="C98" s="1" t="str" cm="1">
        <f t="array" ref="C98">_xlfn.IFS(Table2[[#This Row],[LIMIT_BAL]]&lt;=100000,"Low",Table2[[#This Row],[LIMIT_BAL]]&lt;=300000,"Medium",
TRUE,"High"
)</f>
        <v>High</v>
      </c>
      <c r="D98" t="s">
        <v>2042</v>
      </c>
      <c r="E98" t="s">
        <v>2026</v>
      </c>
      <c r="F98" t="s">
        <v>2028</v>
      </c>
      <c r="G98">
        <v>43</v>
      </c>
      <c r="H98" t="str" cm="1">
        <f t="array" ref="H98">_xlfn.IFS(
Table2[[#This Row],[AGE]]&lt;30,"Young",
Table2[[#This Row],[AGE]]&lt;40,"Middle Age",
Table2[[#This Row],[AGE]]&lt;50,"Senior",
TRUE,"Super Senior"
)</f>
        <v>Senior</v>
      </c>
      <c r="I98">
        <v>-1</v>
      </c>
      <c r="J98">
        <v>-1</v>
      </c>
      <c r="K98">
        <v>-1</v>
      </c>
      <c r="L98">
        <v>-1</v>
      </c>
      <c r="M98">
        <v>-1</v>
      </c>
      <c r="N98">
        <v>0</v>
      </c>
      <c r="O98" s="1">
        <v>3967</v>
      </c>
      <c r="P98" s="1">
        <v>8322</v>
      </c>
      <c r="Q98" s="1">
        <v>3394</v>
      </c>
      <c r="R98" s="1">
        <v>6451</v>
      </c>
      <c r="S98" s="1">
        <v>26370</v>
      </c>
      <c r="T98" s="1">
        <v>9956</v>
      </c>
      <c r="U98" s="1">
        <v>8339</v>
      </c>
      <c r="V98" s="1">
        <v>3394</v>
      </c>
      <c r="W98" s="1">
        <v>12902</v>
      </c>
      <c r="X98" s="1">
        <v>27000</v>
      </c>
      <c r="Y98" s="1">
        <v>0</v>
      </c>
      <c r="Z98" s="1">
        <v>68978</v>
      </c>
      <c r="AA98">
        <v>0</v>
      </c>
      <c r="AB98" t="str">
        <f t="shared" si="1"/>
        <v>Not Defaulter</v>
      </c>
      <c r="AC98" s="1">
        <f>Table2[[#This Row],[BILL_AMT1]]-Table2[[#This Row],[PAY_AMT1]]</f>
        <v>-4372</v>
      </c>
      <c r="AD98" s="1" t="str" cm="1">
        <f t="array" ref="AD98">_xlfn.IFS(Table2[[#This Row],[PAYMENT GAP]]&lt;=0,"No Gap / Overpaid",Table2[[#This Row],[PAYMENT GAP]]&lt;=25000,"Low Gap",Table2[[#This Row],[PAYMENT GAP]]&lt;=100000,"Medium Gap",
TRUE,"High Gap"
)</f>
        <v>No Gap / Overpaid</v>
      </c>
    </row>
    <row r="99" spans="1:30" x14ac:dyDescent="0.3">
      <c r="A99">
        <v>98</v>
      </c>
      <c r="B99" s="1">
        <v>150000</v>
      </c>
      <c r="C99" s="1" t="str" cm="1">
        <f t="array" ref="C99">_xlfn.IFS(Table2[[#This Row],[LIMIT_BAL]]&lt;=100000,"Low",Table2[[#This Row],[LIMIT_BAL]]&lt;=300000,"Medium",
TRUE,"High"
)</f>
        <v>Medium</v>
      </c>
      <c r="D99" t="s">
        <v>2042</v>
      </c>
      <c r="E99" t="s">
        <v>2026</v>
      </c>
      <c r="F99" t="s">
        <v>2029</v>
      </c>
      <c r="G99">
        <v>27</v>
      </c>
      <c r="H99" t="str" cm="1">
        <f t="array" ref="H99">_xlfn.IFS(
Table2[[#This Row],[AGE]]&lt;30,"Young",
Table2[[#This Row],[AGE]]&lt;40,"Middle Age",
Table2[[#This Row],[AGE]]&lt;50,"Senior",
TRUE,"Super Senior"
)</f>
        <v>Young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 s="1">
        <v>86009</v>
      </c>
      <c r="P99" s="1">
        <v>86108</v>
      </c>
      <c r="Q99" s="1">
        <v>89006</v>
      </c>
      <c r="R99" s="1">
        <v>89775</v>
      </c>
      <c r="S99" s="1">
        <v>87725</v>
      </c>
      <c r="T99" s="1">
        <v>40788</v>
      </c>
      <c r="U99" s="1">
        <v>4031</v>
      </c>
      <c r="V99" s="1">
        <v>10006</v>
      </c>
      <c r="W99" s="1">
        <v>3266</v>
      </c>
      <c r="X99" s="1">
        <v>4040</v>
      </c>
      <c r="Y99" s="1">
        <v>1698</v>
      </c>
      <c r="Z99" s="1">
        <v>800</v>
      </c>
      <c r="AA99">
        <v>0</v>
      </c>
      <c r="AB99" t="str">
        <f t="shared" si="1"/>
        <v>Not Defaulter</v>
      </c>
      <c r="AC99" s="1">
        <f>Table2[[#This Row],[BILL_AMT1]]-Table2[[#This Row],[PAY_AMT1]]</f>
        <v>81978</v>
      </c>
      <c r="AD99" s="1" t="str" cm="1">
        <f t="array" ref="AD99">_xlfn.IFS(Table2[[#This Row],[PAYMENT GAP]]&lt;=0,"No Gap / Overpaid",Table2[[#This Row],[PAYMENT GAP]]&lt;=25000,"Low Gap",Table2[[#This Row],[PAYMENT GAP]]&lt;=100000,"Medium Gap",
TRUE,"High Gap"
)</f>
        <v>Medium Gap</v>
      </c>
    </row>
    <row r="100" spans="1:30" x14ac:dyDescent="0.3">
      <c r="A100">
        <v>99</v>
      </c>
      <c r="B100" s="1">
        <v>50000</v>
      </c>
      <c r="C100" s="1" t="str" cm="1">
        <f t="array" ref="C100">_xlfn.IFS(Table2[[#This Row],[LIMIT_BAL]]&lt;=100000,"Low",Table2[[#This Row],[LIMIT_BAL]]&lt;=300000,"Medium",
TRUE,"High"
)</f>
        <v>Low</v>
      </c>
      <c r="D100" t="s">
        <v>2041</v>
      </c>
      <c r="E100" t="s">
        <v>2027</v>
      </c>
      <c r="F100" t="s">
        <v>2028</v>
      </c>
      <c r="G100">
        <v>22</v>
      </c>
      <c r="H100" t="str" cm="1">
        <f t="array" ref="H100">_xlfn.IFS(
Table2[[#This Row],[AGE]]&lt;30,"Young",
Table2[[#This Row],[AGE]]&lt;40,"Middle Age",
Table2[[#This Row],[AGE]]&lt;50,"Senior",
TRUE,"Super Senior"
)</f>
        <v>Young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 s="1">
        <v>18722</v>
      </c>
      <c r="P100" s="1">
        <v>18160</v>
      </c>
      <c r="Q100" s="1">
        <v>16997</v>
      </c>
      <c r="R100" s="1">
        <v>13150</v>
      </c>
      <c r="S100" s="1">
        <v>8866</v>
      </c>
      <c r="T100" s="1">
        <v>7899</v>
      </c>
      <c r="U100" s="1">
        <v>1411</v>
      </c>
      <c r="V100" s="1">
        <v>1194</v>
      </c>
      <c r="W100" s="1">
        <v>379</v>
      </c>
      <c r="X100" s="1">
        <v>281</v>
      </c>
      <c r="Y100" s="1">
        <v>321</v>
      </c>
      <c r="Z100" s="1">
        <v>197</v>
      </c>
      <c r="AA100">
        <v>0</v>
      </c>
      <c r="AB100" t="str">
        <f t="shared" si="1"/>
        <v>Not Defaulter</v>
      </c>
      <c r="AC100" s="1">
        <f>Table2[[#This Row],[BILL_AMT1]]-Table2[[#This Row],[PAY_AMT1]]</f>
        <v>17311</v>
      </c>
      <c r="AD100" s="1" t="str" cm="1">
        <f t="array" ref="AD100">_xlfn.IFS(Table2[[#This Row],[PAYMENT GAP]]&lt;=0,"No Gap / Overpaid",Table2[[#This Row],[PAYMENT GAP]]&lt;=25000,"Low Gap",Table2[[#This Row],[PAYMENT GAP]]&lt;=100000,"Medium Gap",
TRUE,"High Gap"
)</f>
        <v>Low Gap</v>
      </c>
    </row>
    <row r="101" spans="1:30" x14ac:dyDescent="0.3">
      <c r="A101">
        <v>100</v>
      </c>
      <c r="B101" s="1">
        <v>20000</v>
      </c>
      <c r="C101" s="1" t="str" cm="1">
        <f t="array" ref="C101">_xlfn.IFS(Table2[[#This Row],[LIMIT_BAL]]&lt;=100000,"Low",Table2[[#This Row],[LIMIT_BAL]]&lt;=300000,"Medium",
TRUE,"High"
)</f>
        <v>Low</v>
      </c>
      <c r="D101" t="s">
        <v>2042</v>
      </c>
      <c r="E101" t="s">
        <v>2043</v>
      </c>
      <c r="F101" t="s">
        <v>2028</v>
      </c>
      <c r="G101">
        <v>38</v>
      </c>
      <c r="H101" t="str" cm="1">
        <f t="array" ref="H101">_xlfn.IFS(
Table2[[#This Row],[AGE]]&lt;30,"Young",
Table2[[#This Row],[AGE]]&lt;40,"Middle Age",
Table2[[#This Row],[AGE]]&lt;50,"Senior",
TRUE,"Super Senior"
)</f>
        <v>Middle Age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</v>
      </c>
      <c r="O101" s="1">
        <v>17973</v>
      </c>
      <c r="P101" s="1">
        <v>19367</v>
      </c>
      <c r="Q101" s="1">
        <v>19559</v>
      </c>
      <c r="R101" s="1">
        <v>18240</v>
      </c>
      <c r="S101" s="1">
        <v>17928</v>
      </c>
      <c r="T101" s="1">
        <v>150</v>
      </c>
      <c r="U101" s="1">
        <v>1699</v>
      </c>
      <c r="V101" s="1">
        <v>1460</v>
      </c>
      <c r="W101" s="1">
        <v>626</v>
      </c>
      <c r="X101" s="1">
        <v>1750</v>
      </c>
      <c r="Y101" s="1">
        <v>150</v>
      </c>
      <c r="Z101" s="1">
        <v>0</v>
      </c>
      <c r="AA101">
        <v>1</v>
      </c>
      <c r="AB101" t="str">
        <f t="shared" si="1"/>
        <v>Defaulter</v>
      </c>
      <c r="AC101" s="1">
        <f>Table2[[#This Row],[BILL_AMT1]]-Table2[[#This Row],[PAY_AMT1]]</f>
        <v>16274</v>
      </c>
      <c r="AD101" s="1" t="str" cm="1">
        <f t="array" ref="AD101">_xlfn.IFS(Table2[[#This Row],[PAYMENT GAP]]&lt;=0,"No Gap / Overpaid",Table2[[#This Row],[PAYMENT GAP]]&lt;=25000,"Low Gap",Table2[[#This Row],[PAYMENT GAP]]&lt;=100000,"Medium Gap",
TRUE,"High Gap"
)</f>
        <v>Low Gap</v>
      </c>
    </row>
    <row r="102" spans="1:30" x14ac:dyDescent="0.3">
      <c r="A102">
        <v>101</v>
      </c>
      <c r="B102" s="1">
        <v>140000</v>
      </c>
      <c r="C102" s="1" t="str" cm="1">
        <f t="array" ref="C102">_xlfn.IFS(Table2[[#This Row],[LIMIT_BAL]]&lt;=100000,"Low",Table2[[#This Row],[LIMIT_BAL]]&lt;=300000,"Medium",
TRUE,"High"
)</f>
        <v>Medium</v>
      </c>
      <c r="D102" t="s">
        <v>2042</v>
      </c>
      <c r="E102" t="s">
        <v>2026</v>
      </c>
      <c r="F102" t="s">
        <v>2029</v>
      </c>
      <c r="G102">
        <v>32</v>
      </c>
      <c r="H102" t="str" cm="1">
        <f t="array" ref="H102">_xlfn.IFS(
Table2[[#This Row],[AGE]]&lt;30,"Young",
Table2[[#This Row],[AGE]]&lt;40,"Middle Age",
Table2[[#This Row],[AGE]]&lt;50,"Senior",
TRUE,"Super Senior"
)</f>
        <v>Middle Age</v>
      </c>
      <c r="I102">
        <v>-2</v>
      </c>
      <c r="J102">
        <v>-2</v>
      </c>
      <c r="K102">
        <v>-2</v>
      </c>
      <c r="L102">
        <v>-2</v>
      </c>
      <c r="M102">
        <v>-2</v>
      </c>
      <c r="N102">
        <v>-2</v>
      </c>
      <c r="O102" s="1">
        <v>672</v>
      </c>
      <c r="P102" s="1">
        <v>10212</v>
      </c>
      <c r="Q102" s="1">
        <v>850</v>
      </c>
      <c r="R102" s="1">
        <v>415</v>
      </c>
      <c r="S102" s="1">
        <v>100</v>
      </c>
      <c r="T102" s="1">
        <v>1430</v>
      </c>
      <c r="U102" s="1">
        <v>10212</v>
      </c>
      <c r="V102" s="1">
        <v>850</v>
      </c>
      <c r="W102" s="1">
        <v>415</v>
      </c>
      <c r="X102" s="1">
        <v>100</v>
      </c>
      <c r="Y102" s="1">
        <v>1430</v>
      </c>
      <c r="Z102" s="1">
        <v>0</v>
      </c>
      <c r="AA102">
        <v>0</v>
      </c>
      <c r="AB102" t="str">
        <f t="shared" si="1"/>
        <v>Not Defaulter</v>
      </c>
      <c r="AC102" s="1">
        <f>Table2[[#This Row],[BILL_AMT1]]-Table2[[#This Row],[PAY_AMT1]]</f>
        <v>-9540</v>
      </c>
      <c r="AD102" s="1" t="str" cm="1">
        <f t="array" ref="AD102">_xlfn.IFS(Table2[[#This Row],[PAYMENT GAP]]&lt;=0,"No Gap / Overpaid",Table2[[#This Row],[PAYMENT GAP]]&lt;=25000,"Low Gap",Table2[[#This Row],[PAYMENT GAP]]&lt;=100000,"Medium Gap",
TRUE,"High Gap"
)</f>
        <v>No Gap / Overpaid</v>
      </c>
    </row>
    <row r="103" spans="1:30" x14ac:dyDescent="0.3">
      <c r="A103">
        <v>102</v>
      </c>
      <c r="B103" s="1">
        <v>380000</v>
      </c>
      <c r="C103" s="1" t="str" cm="1">
        <f t="array" ref="C103">_xlfn.IFS(Table2[[#This Row],[LIMIT_BAL]]&lt;=100000,"Low",Table2[[#This Row],[LIMIT_BAL]]&lt;=300000,"Medium",
TRUE,"High"
)</f>
        <v>High</v>
      </c>
      <c r="D103" t="s">
        <v>2041</v>
      </c>
      <c r="E103" t="s">
        <v>2026</v>
      </c>
      <c r="F103" t="s">
        <v>2029</v>
      </c>
      <c r="G103">
        <v>30</v>
      </c>
      <c r="H103" t="str" cm="1">
        <f t="array" ref="H103">_xlfn.IFS(
Table2[[#This Row],[AGE]]&lt;30,"Young",
Table2[[#This Row],[AGE]]&lt;40,"Middle Age",
Table2[[#This Row],[AGE]]&lt;50,"Senior",
TRUE,"Super Senior"
)</f>
        <v>Middle Age</v>
      </c>
      <c r="I103">
        <v>-2</v>
      </c>
      <c r="J103">
        <v>-2</v>
      </c>
      <c r="K103">
        <v>-1</v>
      </c>
      <c r="L103">
        <v>0</v>
      </c>
      <c r="M103">
        <v>0</v>
      </c>
      <c r="N103">
        <v>0</v>
      </c>
      <c r="O103" s="1">
        <v>-81</v>
      </c>
      <c r="P103" s="1">
        <v>-303</v>
      </c>
      <c r="Q103" s="1">
        <v>32475</v>
      </c>
      <c r="R103" s="1">
        <v>32891</v>
      </c>
      <c r="S103" s="1">
        <v>33564</v>
      </c>
      <c r="T103" s="1">
        <v>34056</v>
      </c>
      <c r="U103" s="1">
        <v>223</v>
      </c>
      <c r="V103" s="1">
        <v>33178</v>
      </c>
      <c r="W103" s="1">
        <v>1171</v>
      </c>
      <c r="X103" s="1">
        <v>1197</v>
      </c>
      <c r="Y103" s="1">
        <v>1250</v>
      </c>
      <c r="Z103" s="1">
        <v>5000</v>
      </c>
      <c r="AA103">
        <v>0</v>
      </c>
      <c r="AB103" t="str">
        <f t="shared" si="1"/>
        <v>Not Defaulter</v>
      </c>
      <c r="AC103" s="1">
        <f>Table2[[#This Row],[BILL_AMT1]]-Table2[[#This Row],[PAY_AMT1]]</f>
        <v>-304</v>
      </c>
      <c r="AD103" s="1" t="str" cm="1">
        <f t="array" ref="AD103">_xlfn.IFS(Table2[[#This Row],[PAYMENT GAP]]&lt;=0,"No Gap / Overpaid",Table2[[#This Row],[PAYMENT GAP]]&lt;=25000,"Low Gap",Table2[[#This Row],[PAYMENT GAP]]&lt;=100000,"Medium Gap",
TRUE,"High Gap"
)</f>
        <v>No Gap / Overpaid</v>
      </c>
    </row>
    <row r="104" spans="1:30" x14ac:dyDescent="0.3">
      <c r="A104">
        <v>103</v>
      </c>
      <c r="B104" s="1">
        <v>480000</v>
      </c>
      <c r="C104" s="1" t="str" cm="1">
        <f t="array" ref="C104">_xlfn.IFS(Table2[[#This Row],[LIMIT_BAL]]&lt;=100000,"Low",Table2[[#This Row],[LIMIT_BAL]]&lt;=300000,"Medium",
TRUE,"High"
)</f>
        <v>High</v>
      </c>
      <c r="D104" t="s">
        <v>2042</v>
      </c>
      <c r="E104" t="s">
        <v>2026</v>
      </c>
      <c r="F104" t="s">
        <v>2028</v>
      </c>
      <c r="G104">
        <v>63</v>
      </c>
      <c r="H104" t="str" cm="1">
        <f t="array" ref="H104">_xlfn.IFS(
Table2[[#This Row],[AGE]]&lt;30,"Young",
Table2[[#This Row],[AGE]]&lt;40,"Middle Age",
Table2[[#This Row],[AGE]]&lt;50,"Senior",
TRUE,"Super Senior"
)</f>
        <v>Super Senior</v>
      </c>
      <c r="I104">
        <v>0</v>
      </c>
      <c r="J104">
        <v>0</v>
      </c>
      <c r="K104">
        <v>0</v>
      </c>
      <c r="L104">
        <v>2</v>
      </c>
      <c r="M104">
        <v>2</v>
      </c>
      <c r="N104">
        <v>0</v>
      </c>
      <c r="O104" s="1">
        <v>422069</v>
      </c>
      <c r="P104" s="1">
        <v>431342</v>
      </c>
      <c r="Q104" s="1">
        <v>479432</v>
      </c>
      <c r="R104" s="1">
        <v>487066</v>
      </c>
      <c r="S104" s="1">
        <v>471145</v>
      </c>
      <c r="T104" s="1">
        <v>469961</v>
      </c>
      <c r="U104" s="1">
        <v>16078</v>
      </c>
      <c r="V104" s="1">
        <v>55693</v>
      </c>
      <c r="W104" s="1">
        <v>17000</v>
      </c>
      <c r="X104" s="1">
        <v>0</v>
      </c>
      <c r="Y104" s="1">
        <v>18000</v>
      </c>
      <c r="Z104" s="1">
        <v>24200</v>
      </c>
      <c r="AA104">
        <v>0</v>
      </c>
      <c r="AB104" t="str">
        <f t="shared" si="1"/>
        <v>Not Defaulter</v>
      </c>
      <c r="AC104" s="1">
        <f>Table2[[#This Row],[BILL_AMT1]]-Table2[[#This Row],[PAY_AMT1]]</f>
        <v>405991</v>
      </c>
      <c r="AD104" s="1" t="str" cm="1">
        <f t="array" ref="AD104">_xlfn.IFS(Table2[[#This Row],[PAYMENT GAP]]&lt;=0,"No Gap / Overpaid",Table2[[#This Row],[PAYMENT GAP]]&lt;=25000,"Low Gap",Table2[[#This Row],[PAYMENT GAP]]&lt;=100000,"Medium Gap",
TRUE,"High Gap"
)</f>
        <v>High Gap</v>
      </c>
    </row>
    <row r="105" spans="1:30" x14ac:dyDescent="0.3">
      <c r="A105">
        <v>104</v>
      </c>
      <c r="B105" s="1">
        <v>50000</v>
      </c>
      <c r="C105" s="1" t="str" cm="1">
        <f t="array" ref="C105">_xlfn.IFS(Table2[[#This Row],[LIMIT_BAL]]&lt;=100000,"Low",Table2[[#This Row],[LIMIT_BAL]]&lt;=300000,"Medium",
TRUE,"High"
)</f>
        <v>Low</v>
      </c>
      <c r="D105" t="s">
        <v>2041</v>
      </c>
      <c r="E105" t="s">
        <v>2027</v>
      </c>
      <c r="F105" t="s">
        <v>2029</v>
      </c>
      <c r="G105">
        <v>22</v>
      </c>
      <c r="H105" t="str" cm="1">
        <f t="array" ref="H105">_xlfn.IFS(
Table2[[#This Row],[AGE]]&lt;30,"Young",
Table2[[#This Row],[AGE]]&lt;40,"Middle Age",
Table2[[#This Row],[AGE]]&lt;50,"Senior",
TRUE,"Super Senior"
)</f>
        <v>Young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 s="1">
        <v>44698</v>
      </c>
      <c r="P105" s="1">
        <v>42254</v>
      </c>
      <c r="Q105" s="1">
        <v>38347</v>
      </c>
      <c r="R105" s="1">
        <v>32496</v>
      </c>
      <c r="S105" s="1">
        <v>23477</v>
      </c>
      <c r="T105" s="1">
        <v>24094</v>
      </c>
      <c r="U105" s="1">
        <v>1767</v>
      </c>
      <c r="V105" s="1">
        <v>1362</v>
      </c>
      <c r="W105" s="1">
        <v>1002</v>
      </c>
      <c r="X105" s="1">
        <v>840</v>
      </c>
      <c r="Y105" s="1">
        <v>995</v>
      </c>
      <c r="Z105" s="1">
        <v>904</v>
      </c>
      <c r="AA105">
        <v>1</v>
      </c>
      <c r="AB105" t="str">
        <f t="shared" si="1"/>
        <v>Defaulter</v>
      </c>
      <c r="AC105" s="1">
        <f>Table2[[#This Row],[BILL_AMT1]]-Table2[[#This Row],[PAY_AMT1]]</f>
        <v>42931</v>
      </c>
      <c r="AD105" s="1" t="str" cm="1">
        <f t="array" ref="AD105">_xlfn.IFS(Table2[[#This Row],[PAYMENT GAP]]&lt;=0,"No Gap / Overpaid",Table2[[#This Row],[PAYMENT GAP]]&lt;=25000,"Low Gap",Table2[[#This Row],[PAYMENT GAP]]&lt;=100000,"Medium Gap",
TRUE,"High Gap"
)</f>
        <v>Medium Gap</v>
      </c>
    </row>
    <row r="106" spans="1:30" x14ac:dyDescent="0.3">
      <c r="A106">
        <v>105</v>
      </c>
      <c r="B106" s="1">
        <v>60000</v>
      </c>
      <c r="C106" s="1" t="str" cm="1">
        <f t="array" ref="C106">_xlfn.IFS(Table2[[#This Row],[LIMIT_BAL]]&lt;=100000,"Low",Table2[[#This Row],[LIMIT_BAL]]&lt;=300000,"Medium",
TRUE,"High"
)</f>
        <v>Low</v>
      </c>
      <c r="D106" t="s">
        <v>2041</v>
      </c>
      <c r="E106" t="s">
        <v>2043</v>
      </c>
      <c r="F106" t="s">
        <v>2029</v>
      </c>
      <c r="G106">
        <v>26</v>
      </c>
      <c r="H106" t="str" cm="1">
        <f t="array" ref="H106">_xlfn.IFS(
Table2[[#This Row],[AGE]]&lt;30,"Young",
Table2[[#This Row],[AGE]]&lt;40,"Middle Age",
Table2[[#This Row],[AGE]]&lt;50,"Senior",
TRUE,"Super Senior"
)</f>
        <v>Young</v>
      </c>
      <c r="I106">
        <v>2</v>
      </c>
      <c r="J106">
        <v>2</v>
      </c>
      <c r="K106">
        <v>2</v>
      </c>
      <c r="L106">
        <v>2</v>
      </c>
      <c r="M106">
        <v>2</v>
      </c>
      <c r="N106">
        <v>0</v>
      </c>
      <c r="O106" s="1">
        <v>56685</v>
      </c>
      <c r="P106" s="1">
        <v>55208</v>
      </c>
      <c r="Q106" s="1">
        <v>59175</v>
      </c>
      <c r="R106" s="1">
        <v>60218</v>
      </c>
      <c r="S106" s="1">
        <v>55447</v>
      </c>
      <c r="T106" s="1">
        <v>55305</v>
      </c>
      <c r="U106" s="1">
        <v>0</v>
      </c>
      <c r="V106" s="1">
        <v>5000</v>
      </c>
      <c r="W106" s="1">
        <v>2511</v>
      </c>
      <c r="X106" s="1">
        <v>6</v>
      </c>
      <c r="Y106" s="1">
        <v>3000</v>
      </c>
      <c r="Z106" s="1">
        <v>3000</v>
      </c>
      <c r="AA106">
        <v>0</v>
      </c>
      <c r="AB106" t="str">
        <f t="shared" si="1"/>
        <v>Not Defaulter</v>
      </c>
      <c r="AC106" s="1">
        <f>Table2[[#This Row],[BILL_AMT1]]-Table2[[#This Row],[PAY_AMT1]]</f>
        <v>56685</v>
      </c>
      <c r="AD106" s="1" t="str" cm="1">
        <f t="array" ref="AD106">_xlfn.IFS(Table2[[#This Row],[PAYMENT GAP]]&lt;=0,"No Gap / Overpaid",Table2[[#This Row],[PAYMENT GAP]]&lt;=25000,"Low Gap",Table2[[#This Row],[PAYMENT GAP]]&lt;=100000,"Medium Gap",
TRUE,"High Gap"
)</f>
        <v>Medium Gap</v>
      </c>
    </row>
    <row r="107" spans="1:30" x14ac:dyDescent="0.3">
      <c r="A107">
        <v>106</v>
      </c>
      <c r="B107" s="1">
        <v>70000</v>
      </c>
      <c r="C107" s="1" t="str" cm="1">
        <f t="array" ref="C107">_xlfn.IFS(Table2[[#This Row],[LIMIT_BAL]]&lt;=100000,"Low",Table2[[#This Row],[LIMIT_BAL]]&lt;=300000,"Medium",
TRUE,"High"
)</f>
        <v>Low</v>
      </c>
      <c r="D107" t="s">
        <v>2041</v>
      </c>
      <c r="E107" t="s">
        <v>2043</v>
      </c>
      <c r="F107" t="s">
        <v>2029</v>
      </c>
      <c r="G107">
        <v>24</v>
      </c>
      <c r="H107" t="str" cm="1">
        <f t="array" ref="H107">_xlfn.IFS(
Table2[[#This Row],[AGE]]&lt;30,"Young",
Table2[[#This Row],[AGE]]&lt;40,"Middle Age",
Table2[[#This Row],[AGE]]&lt;50,"Senior",
TRUE,"Super Senior"
)</f>
        <v>Young</v>
      </c>
      <c r="I107">
        <v>-1</v>
      </c>
      <c r="J107">
        <v>-1</v>
      </c>
      <c r="K107">
        <v>-2</v>
      </c>
      <c r="L107">
        <v>-2</v>
      </c>
      <c r="M107">
        <v>-2</v>
      </c>
      <c r="N107">
        <v>-1</v>
      </c>
      <c r="O107" s="1">
        <v>5580</v>
      </c>
      <c r="P107" s="1">
        <v>0</v>
      </c>
      <c r="Q107" s="1">
        <v>0</v>
      </c>
      <c r="R107" s="1">
        <v>0</v>
      </c>
      <c r="S107" s="1">
        <v>0</v>
      </c>
      <c r="T107" s="1">
        <v>26529</v>
      </c>
      <c r="U107" s="1">
        <v>0</v>
      </c>
      <c r="V107" s="1">
        <v>0</v>
      </c>
      <c r="W107" s="1">
        <v>0</v>
      </c>
      <c r="X107" s="1">
        <v>0</v>
      </c>
      <c r="Y107" s="1">
        <v>26529</v>
      </c>
      <c r="Z107" s="1">
        <v>2000</v>
      </c>
      <c r="AA107">
        <v>0</v>
      </c>
      <c r="AB107" t="str">
        <f t="shared" si="1"/>
        <v>Not Defaulter</v>
      </c>
      <c r="AC107" s="1">
        <f>Table2[[#This Row],[BILL_AMT1]]-Table2[[#This Row],[PAY_AMT1]]</f>
        <v>5580</v>
      </c>
      <c r="AD107" s="1" t="str" cm="1">
        <f t="array" ref="AD107">_xlfn.IFS(Table2[[#This Row],[PAYMENT GAP]]&lt;=0,"No Gap / Overpaid",Table2[[#This Row],[PAYMENT GAP]]&lt;=25000,"Low Gap",Table2[[#This Row],[PAYMENT GAP]]&lt;=100000,"Medium Gap",
TRUE,"High Gap"
)</f>
        <v>Low Gap</v>
      </c>
    </row>
    <row r="108" spans="1:30" x14ac:dyDescent="0.3">
      <c r="A108">
        <v>107</v>
      </c>
      <c r="B108" s="1">
        <v>80000</v>
      </c>
      <c r="C108" s="1" t="str" cm="1">
        <f t="array" ref="C108">_xlfn.IFS(Table2[[#This Row],[LIMIT_BAL]]&lt;=100000,"Low",Table2[[#This Row],[LIMIT_BAL]]&lt;=300000,"Medium",
TRUE,"High"
)</f>
        <v>Low</v>
      </c>
      <c r="D108" t="s">
        <v>2041</v>
      </c>
      <c r="E108" t="s">
        <v>2043</v>
      </c>
      <c r="F108" t="s">
        <v>2028</v>
      </c>
      <c r="G108">
        <v>36</v>
      </c>
      <c r="H108" t="str" cm="1">
        <f t="array" ref="H108">_xlfn.IFS(
Table2[[#This Row],[AGE]]&lt;30,"Young",
Table2[[#This Row],[AGE]]&lt;40,"Middle Age",
Table2[[#This Row],[AGE]]&lt;50,"Senior",
TRUE,"Super Senior"
)</f>
        <v>Middle Age</v>
      </c>
      <c r="I108">
        <v>-1</v>
      </c>
      <c r="J108">
        <v>-1</v>
      </c>
      <c r="K108">
        <v>-1</v>
      </c>
      <c r="L108">
        <v>-1</v>
      </c>
      <c r="M108">
        <v>-1</v>
      </c>
      <c r="N108">
        <v>-1</v>
      </c>
      <c r="O108" s="1">
        <v>6108</v>
      </c>
      <c r="P108" s="1">
        <v>2861</v>
      </c>
      <c r="Q108" s="1">
        <v>3277</v>
      </c>
      <c r="R108" s="1">
        <v>3319</v>
      </c>
      <c r="S108" s="1">
        <v>1150</v>
      </c>
      <c r="T108" s="1">
        <v>1150</v>
      </c>
      <c r="U108" s="1">
        <v>2861</v>
      </c>
      <c r="V108" s="1">
        <v>3279</v>
      </c>
      <c r="W108" s="1">
        <v>3319</v>
      </c>
      <c r="X108" s="1">
        <v>1150</v>
      </c>
      <c r="Y108" s="1">
        <v>1150</v>
      </c>
      <c r="Z108" s="1">
        <v>1035</v>
      </c>
      <c r="AA108">
        <v>0</v>
      </c>
      <c r="AB108" t="str">
        <f t="shared" si="1"/>
        <v>Not Defaulter</v>
      </c>
      <c r="AC108" s="1">
        <f>Table2[[#This Row],[BILL_AMT1]]-Table2[[#This Row],[PAY_AMT1]]</f>
        <v>3247</v>
      </c>
      <c r="AD108" s="1" t="str" cm="1">
        <f t="array" ref="AD108">_xlfn.IFS(Table2[[#This Row],[PAYMENT GAP]]&lt;=0,"No Gap / Overpaid",Table2[[#This Row],[PAYMENT GAP]]&lt;=25000,"Low Gap",Table2[[#This Row],[PAYMENT GAP]]&lt;=100000,"Medium Gap",
TRUE,"High Gap"
)</f>
        <v>Low Gap</v>
      </c>
    </row>
    <row r="109" spans="1:30" x14ac:dyDescent="0.3">
      <c r="A109">
        <v>108</v>
      </c>
      <c r="B109" s="1">
        <v>350000</v>
      </c>
      <c r="C109" s="1" t="str" cm="1">
        <f t="array" ref="C109">_xlfn.IFS(Table2[[#This Row],[LIMIT_BAL]]&lt;=100000,"Low",Table2[[#This Row],[LIMIT_BAL]]&lt;=300000,"Medium",
TRUE,"High"
)</f>
        <v>High</v>
      </c>
      <c r="D109" t="s">
        <v>2042</v>
      </c>
      <c r="E109" t="s">
        <v>2026</v>
      </c>
      <c r="F109" t="s">
        <v>2029</v>
      </c>
      <c r="G109">
        <v>52</v>
      </c>
      <c r="H109" t="str" cm="1">
        <f t="array" ref="H109">_xlfn.IFS(
Table2[[#This Row],[AGE]]&lt;30,"Young",
Table2[[#This Row],[AGE]]&lt;40,"Middle Age",
Table2[[#This Row],[AGE]]&lt;50,"Senior",
TRUE,"Super Senior"
)</f>
        <v>Super Senior</v>
      </c>
      <c r="I109">
        <v>-1</v>
      </c>
      <c r="J109">
        <v>-1</v>
      </c>
      <c r="K109">
        <v>-1</v>
      </c>
      <c r="L109">
        <v>-1</v>
      </c>
      <c r="M109">
        <v>-1</v>
      </c>
      <c r="N109">
        <v>-1</v>
      </c>
      <c r="O109" s="1">
        <v>713</v>
      </c>
      <c r="P109" s="1">
        <v>2272</v>
      </c>
      <c r="Q109" s="1">
        <v>722</v>
      </c>
      <c r="R109" s="1">
        <v>867</v>
      </c>
      <c r="S109" s="1">
        <v>1150</v>
      </c>
      <c r="T109" s="1">
        <v>5263</v>
      </c>
      <c r="U109" s="1">
        <v>2272</v>
      </c>
      <c r="V109" s="1">
        <v>722</v>
      </c>
      <c r="W109" s="1">
        <v>867</v>
      </c>
      <c r="X109" s="1">
        <v>1150</v>
      </c>
      <c r="Y109" s="1">
        <v>5263</v>
      </c>
      <c r="Z109" s="1">
        <v>5011</v>
      </c>
      <c r="AA109">
        <v>0</v>
      </c>
      <c r="AB109" t="str">
        <f t="shared" si="1"/>
        <v>Not Defaulter</v>
      </c>
      <c r="AC109" s="1">
        <f>Table2[[#This Row],[BILL_AMT1]]-Table2[[#This Row],[PAY_AMT1]]</f>
        <v>-1559</v>
      </c>
      <c r="AD109" s="1" t="str" cm="1">
        <f t="array" ref="AD109">_xlfn.IFS(Table2[[#This Row],[PAYMENT GAP]]&lt;=0,"No Gap / Overpaid",Table2[[#This Row],[PAYMENT GAP]]&lt;=25000,"Low Gap",Table2[[#This Row],[PAYMENT GAP]]&lt;=100000,"Medium Gap",
TRUE,"High Gap"
)</f>
        <v>No Gap / Overpaid</v>
      </c>
    </row>
    <row r="110" spans="1:30" x14ac:dyDescent="0.3">
      <c r="A110">
        <v>109</v>
      </c>
      <c r="B110" s="1">
        <v>130000</v>
      </c>
      <c r="C110" s="1" t="str" cm="1">
        <f t="array" ref="C110">_xlfn.IFS(Table2[[#This Row],[LIMIT_BAL]]&lt;=100000,"Low",Table2[[#This Row],[LIMIT_BAL]]&lt;=300000,"Medium",
TRUE,"High"
)</f>
        <v>Medium</v>
      </c>
      <c r="D110" t="s">
        <v>2042</v>
      </c>
      <c r="E110" t="s">
        <v>2043</v>
      </c>
      <c r="F110" t="s">
        <v>2029</v>
      </c>
      <c r="G110">
        <v>38</v>
      </c>
      <c r="H110" t="str" cm="1">
        <f t="array" ref="H110">_xlfn.IFS(
Table2[[#This Row],[AGE]]&lt;30,"Young",
Table2[[#This Row],[AGE]]&lt;40,"Middle Age",
Table2[[#This Row],[AGE]]&lt;50,"Senior",
TRUE,"Super Senior"
)</f>
        <v>Middle Age</v>
      </c>
      <c r="I110">
        <v>0</v>
      </c>
      <c r="J110">
        <v>0</v>
      </c>
      <c r="K110">
        <v>0</v>
      </c>
      <c r="L110">
        <v>-1</v>
      </c>
      <c r="M110">
        <v>-1</v>
      </c>
      <c r="N110">
        <v>-1</v>
      </c>
      <c r="O110" s="1">
        <v>171438</v>
      </c>
      <c r="P110" s="1">
        <v>178382</v>
      </c>
      <c r="Q110" s="1">
        <v>39940</v>
      </c>
      <c r="R110" s="1">
        <v>120483</v>
      </c>
      <c r="S110" s="1">
        <v>44127</v>
      </c>
      <c r="T110" s="1">
        <v>126568</v>
      </c>
      <c r="U110" s="1">
        <v>10908</v>
      </c>
      <c r="V110" s="1">
        <v>0</v>
      </c>
      <c r="W110" s="1">
        <v>133657</v>
      </c>
      <c r="X110" s="1">
        <v>4566</v>
      </c>
      <c r="Y110" s="1">
        <v>133841</v>
      </c>
      <c r="Z110" s="1">
        <v>4796</v>
      </c>
      <c r="AA110">
        <v>0</v>
      </c>
      <c r="AB110" t="str">
        <f t="shared" si="1"/>
        <v>Not Defaulter</v>
      </c>
      <c r="AC110" s="1">
        <f>Table2[[#This Row],[BILL_AMT1]]-Table2[[#This Row],[PAY_AMT1]]</f>
        <v>160530</v>
      </c>
      <c r="AD110" s="1" t="str" cm="1">
        <f t="array" ref="AD110">_xlfn.IFS(Table2[[#This Row],[PAYMENT GAP]]&lt;=0,"No Gap / Overpaid",Table2[[#This Row],[PAYMENT GAP]]&lt;=25000,"Low Gap",Table2[[#This Row],[PAYMENT GAP]]&lt;=100000,"Medium Gap",
TRUE,"High Gap"
)</f>
        <v>High Gap</v>
      </c>
    </row>
    <row r="111" spans="1:30" x14ac:dyDescent="0.3">
      <c r="A111">
        <v>110</v>
      </c>
      <c r="B111" s="1">
        <v>360000</v>
      </c>
      <c r="C111" s="1" t="str" cm="1">
        <f t="array" ref="C111">_xlfn.IFS(Table2[[#This Row],[LIMIT_BAL]]&lt;=100000,"Low",Table2[[#This Row],[LIMIT_BAL]]&lt;=300000,"Medium",
TRUE,"High"
)</f>
        <v>High</v>
      </c>
      <c r="D111" t="s">
        <v>2042</v>
      </c>
      <c r="E111" t="s">
        <v>2043</v>
      </c>
      <c r="F111" t="s">
        <v>2028</v>
      </c>
      <c r="G111">
        <v>35</v>
      </c>
      <c r="H111" t="str" cm="1">
        <f t="array" ref="H111">_xlfn.IFS(
Table2[[#This Row],[AGE]]&lt;30,"Young",
Table2[[#This Row],[AGE]]&lt;40,"Middle Age",
Table2[[#This Row],[AGE]]&lt;50,"Senior",
TRUE,"Super Senior"
)</f>
        <v>Middle Age</v>
      </c>
      <c r="I111">
        <v>1</v>
      </c>
      <c r="J111">
        <v>-2</v>
      </c>
      <c r="K111">
        <v>-2</v>
      </c>
      <c r="L111">
        <v>-2</v>
      </c>
      <c r="M111">
        <v>-2</v>
      </c>
      <c r="N111">
        <v>-2</v>
      </c>
      <c r="O111" s="1">
        <v>-103</v>
      </c>
      <c r="P111" s="1">
        <v>-103</v>
      </c>
      <c r="Q111" s="1">
        <v>-103</v>
      </c>
      <c r="R111" s="1">
        <v>-103</v>
      </c>
      <c r="S111" s="1">
        <v>-103</v>
      </c>
      <c r="T111" s="1">
        <v>-103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>
        <v>0</v>
      </c>
      <c r="AB111" t="str">
        <f t="shared" si="1"/>
        <v>Not Defaulter</v>
      </c>
      <c r="AC111" s="1">
        <f>Table2[[#This Row],[BILL_AMT1]]-Table2[[#This Row],[PAY_AMT1]]</f>
        <v>-103</v>
      </c>
      <c r="AD111" s="1" t="str" cm="1">
        <f t="array" ref="AD111">_xlfn.IFS(Table2[[#This Row],[PAYMENT GAP]]&lt;=0,"No Gap / Overpaid",Table2[[#This Row],[PAYMENT GAP]]&lt;=25000,"Low Gap",Table2[[#This Row],[PAYMENT GAP]]&lt;=100000,"Medium Gap",
TRUE,"High Gap"
)</f>
        <v>No Gap / Overpaid</v>
      </c>
    </row>
    <row r="112" spans="1:30" x14ac:dyDescent="0.3">
      <c r="A112">
        <v>111</v>
      </c>
      <c r="B112" s="1">
        <v>330000</v>
      </c>
      <c r="C112" s="1" t="str" cm="1">
        <f t="array" ref="C112">_xlfn.IFS(Table2[[#This Row],[LIMIT_BAL]]&lt;=100000,"Low",Table2[[#This Row],[LIMIT_BAL]]&lt;=300000,"Medium",
TRUE,"High"
)</f>
        <v>High</v>
      </c>
      <c r="D112" t="s">
        <v>2041</v>
      </c>
      <c r="E112" t="s">
        <v>2026</v>
      </c>
      <c r="F112" t="s">
        <v>2028</v>
      </c>
      <c r="G112">
        <v>31</v>
      </c>
      <c r="H112" t="str" cm="1">
        <f t="array" ref="H112">_xlfn.IFS(
Table2[[#This Row],[AGE]]&lt;30,"Young",
Table2[[#This Row],[AGE]]&lt;40,"Middle Age",
Table2[[#This Row],[AGE]]&lt;50,"Senior",
TRUE,"Super Senior"
)</f>
        <v>Middle Age</v>
      </c>
      <c r="I112">
        <v>0</v>
      </c>
      <c r="J112">
        <v>0</v>
      </c>
      <c r="K112">
        <v>2</v>
      </c>
      <c r="L112">
        <v>0</v>
      </c>
      <c r="M112">
        <v>0</v>
      </c>
      <c r="N112">
        <v>0</v>
      </c>
      <c r="O112" s="1">
        <v>105879</v>
      </c>
      <c r="P112" s="1">
        <v>108431</v>
      </c>
      <c r="Q112" s="1">
        <v>105594</v>
      </c>
      <c r="R112" s="1">
        <v>105896</v>
      </c>
      <c r="S112" s="1">
        <v>106491</v>
      </c>
      <c r="T112" s="1">
        <v>107289</v>
      </c>
      <c r="U112" s="1">
        <v>9260</v>
      </c>
      <c r="V112" s="1">
        <v>0</v>
      </c>
      <c r="W112" s="1">
        <v>3593</v>
      </c>
      <c r="X112" s="1">
        <v>4100</v>
      </c>
      <c r="Y112" s="1">
        <v>15794</v>
      </c>
      <c r="Z112" s="1">
        <v>0</v>
      </c>
      <c r="AA112">
        <v>0</v>
      </c>
      <c r="AB112" t="str">
        <f t="shared" si="1"/>
        <v>Not Defaulter</v>
      </c>
      <c r="AC112" s="1">
        <f>Table2[[#This Row],[BILL_AMT1]]-Table2[[#This Row],[PAY_AMT1]]</f>
        <v>96619</v>
      </c>
      <c r="AD112" s="1" t="str" cm="1">
        <f t="array" ref="AD112">_xlfn.IFS(Table2[[#This Row],[PAYMENT GAP]]&lt;=0,"No Gap / Overpaid",Table2[[#This Row],[PAYMENT GAP]]&lt;=25000,"Low Gap",Table2[[#This Row],[PAYMENT GAP]]&lt;=100000,"Medium Gap",
TRUE,"High Gap"
)</f>
        <v>Medium Gap</v>
      </c>
    </row>
    <row r="113" spans="1:30" x14ac:dyDescent="0.3">
      <c r="A113">
        <v>112</v>
      </c>
      <c r="B113" s="1">
        <v>50000</v>
      </c>
      <c r="C113" s="1" t="str" cm="1">
        <f t="array" ref="C113">_xlfn.IFS(Table2[[#This Row],[LIMIT_BAL]]&lt;=100000,"Low",Table2[[#This Row],[LIMIT_BAL]]&lt;=300000,"Medium",
TRUE,"High"
)</f>
        <v>Low</v>
      </c>
      <c r="D113" t="s">
        <v>2042</v>
      </c>
      <c r="E113" t="s">
        <v>2027</v>
      </c>
      <c r="F113" t="s">
        <v>2028</v>
      </c>
      <c r="G113">
        <v>47</v>
      </c>
      <c r="H113" t="str" cm="1">
        <f t="array" ref="H113">_xlfn.IFS(
Table2[[#This Row],[AGE]]&lt;30,"Young",
Table2[[#This Row],[AGE]]&lt;40,"Middle Age",
Table2[[#This Row],[AGE]]&lt;50,"Senior",
TRUE,"Super Senior"
)</f>
        <v>Senior</v>
      </c>
      <c r="I113">
        <v>0</v>
      </c>
      <c r="J113">
        <v>0</v>
      </c>
      <c r="K113">
        <v>2</v>
      </c>
      <c r="L113">
        <v>0</v>
      </c>
      <c r="M113">
        <v>0</v>
      </c>
      <c r="N113">
        <v>0</v>
      </c>
      <c r="O113" s="1">
        <v>13244</v>
      </c>
      <c r="P113" s="1">
        <v>14722</v>
      </c>
      <c r="Q113" s="1">
        <v>15181</v>
      </c>
      <c r="R113" s="1">
        <v>15928</v>
      </c>
      <c r="S113" s="1">
        <v>16671</v>
      </c>
      <c r="T113" s="1">
        <v>17393</v>
      </c>
      <c r="U113" s="1">
        <v>2000</v>
      </c>
      <c r="V113" s="1">
        <v>1000</v>
      </c>
      <c r="W113" s="1">
        <v>1000</v>
      </c>
      <c r="X113" s="1">
        <v>1000</v>
      </c>
      <c r="Y113" s="1">
        <v>1000</v>
      </c>
      <c r="Z113" s="1">
        <v>1000</v>
      </c>
      <c r="AA113">
        <v>0</v>
      </c>
      <c r="AB113" t="str">
        <f t="shared" si="1"/>
        <v>Not Defaulter</v>
      </c>
      <c r="AC113" s="1">
        <f>Table2[[#This Row],[BILL_AMT1]]-Table2[[#This Row],[PAY_AMT1]]</f>
        <v>11244</v>
      </c>
      <c r="AD113" s="1" t="str" cm="1">
        <f t="array" ref="AD113">_xlfn.IFS(Table2[[#This Row],[PAYMENT GAP]]&lt;=0,"No Gap / Overpaid",Table2[[#This Row],[PAYMENT GAP]]&lt;=25000,"Low Gap",Table2[[#This Row],[PAYMENT GAP]]&lt;=100000,"Medium Gap",
TRUE,"High Gap"
)</f>
        <v>Low Gap</v>
      </c>
    </row>
    <row r="114" spans="1:30" x14ac:dyDescent="0.3">
      <c r="A114">
        <v>113</v>
      </c>
      <c r="B114" s="1">
        <v>280000</v>
      </c>
      <c r="C114" s="1" t="str" cm="1">
        <f t="array" ref="C114">_xlfn.IFS(Table2[[#This Row],[LIMIT_BAL]]&lt;=100000,"Low",Table2[[#This Row],[LIMIT_BAL]]&lt;=300000,"Medium",
TRUE,"High"
)</f>
        <v>Medium</v>
      </c>
      <c r="D114" t="s">
        <v>2042</v>
      </c>
      <c r="E114" t="s">
        <v>2043</v>
      </c>
      <c r="F114" t="s">
        <v>2028</v>
      </c>
      <c r="G114">
        <v>41</v>
      </c>
      <c r="H114" t="str" cm="1">
        <f t="array" ref="H114">_xlfn.IFS(
Table2[[#This Row],[AGE]]&lt;30,"Young",
Table2[[#This Row],[AGE]]&lt;40,"Middle Age",
Table2[[#This Row],[AGE]]&lt;50,"Senior",
TRUE,"Super Senior"
)</f>
        <v>Senior</v>
      </c>
      <c r="I114">
        <v>2</v>
      </c>
      <c r="J114">
        <v>2</v>
      </c>
      <c r="K114">
        <v>2</v>
      </c>
      <c r="L114">
        <v>2</v>
      </c>
      <c r="M114">
        <v>2</v>
      </c>
      <c r="N114">
        <v>3</v>
      </c>
      <c r="O114" s="1">
        <v>135673</v>
      </c>
      <c r="P114" s="1">
        <v>138532</v>
      </c>
      <c r="Q114" s="1">
        <v>134813</v>
      </c>
      <c r="R114" s="1">
        <v>144401</v>
      </c>
      <c r="S114" s="1">
        <v>152174</v>
      </c>
      <c r="T114" s="1">
        <v>149415</v>
      </c>
      <c r="U114" s="1">
        <v>6500</v>
      </c>
      <c r="V114" s="1">
        <v>0</v>
      </c>
      <c r="W114" s="1">
        <v>14254</v>
      </c>
      <c r="X114" s="1">
        <v>14850</v>
      </c>
      <c r="Y114" s="1">
        <v>0</v>
      </c>
      <c r="Z114" s="1">
        <v>5000</v>
      </c>
      <c r="AA114">
        <v>0</v>
      </c>
      <c r="AB114" t="str">
        <f t="shared" si="1"/>
        <v>Not Defaulter</v>
      </c>
      <c r="AC114" s="1">
        <f>Table2[[#This Row],[BILL_AMT1]]-Table2[[#This Row],[PAY_AMT1]]</f>
        <v>129173</v>
      </c>
      <c r="AD114" s="1" t="str" cm="1">
        <f t="array" ref="AD114">_xlfn.IFS(Table2[[#This Row],[PAYMENT GAP]]&lt;=0,"No Gap / Overpaid",Table2[[#This Row],[PAYMENT GAP]]&lt;=25000,"Low Gap",Table2[[#This Row],[PAYMENT GAP]]&lt;=100000,"Medium Gap",
TRUE,"High Gap"
)</f>
        <v>High Gap</v>
      </c>
    </row>
    <row r="115" spans="1:30" x14ac:dyDescent="0.3">
      <c r="A115">
        <v>114</v>
      </c>
      <c r="B115" s="1">
        <v>100000</v>
      </c>
      <c r="C115" s="1" t="str" cm="1">
        <f t="array" ref="C115">_xlfn.IFS(Table2[[#This Row],[LIMIT_BAL]]&lt;=100000,"Low",Table2[[#This Row],[LIMIT_BAL]]&lt;=300000,"Medium",
TRUE,"High"
)</f>
        <v>Low</v>
      </c>
      <c r="D115" t="s">
        <v>2041</v>
      </c>
      <c r="E115" t="s">
        <v>2026</v>
      </c>
      <c r="F115" t="s">
        <v>2029</v>
      </c>
      <c r="G115">
        <v>24</v>
      </c>
      <c r="H115" t="str" cm="1">
        <f t="array" ref="H115">_xlfn.IFS(
Table2[[#This Row],[AGE]]&lt;30,"Young",
Table2[[#This Row],[AGE]]&lt;40,"Middle Age",
Table2[[#This Row],[AGE]]&lt;50,"Senior",
TRUE,"Super Senior"
)</f>
        <v>Young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 s="1">
        <v>52128</v>
      </c>
      <c r="P115" s="1">
        <v>52692</v>
      </c>
      <c r="Q115" s="1">
        <v>54477</v>
      </c>
      <c r="R115" s="1">
        <v>56076</v>
      </c>
      <c r="S115" s="1">
        <v>60100</v>
      </c>
      <c r="T115" s="1">
        <v>59713</v>
      </c>
      <c r="U115" s="1">
        <v>2000</v>
      </c>
      <c r="V115" s="1">
        <v>2677</v>
      </c>
      <c r="W115" s="1">
        <v>3076</v>
      </c>
      <c r="X115" s="1">
        <v>5080</v>
      </c>
      <c r="Y115" s="1">
        <v>3000</v>
      </c>
      <c r="Z115" s="1">
        <v>2033</v>
      </c>
      <c r="AA115">
        <v>0</v>
      </c>
      <c r="AB115" t="str">
        <f t="shared" si="1"/>
        <v>Not Defaulter</v>
      </c>
      <c r="AC115" s="1">
        <f>Table2[[#This Row],[BILL_AMT1]]-Table2[[#This Row],[PAY_AMT1]]</f>
        <v>50128</v>
      </c>
      <c r="AD115" s="1" t="str" cm="1">
        <f t="array" ref="AD115">_xlfn.IFS(Table2[[#This Row],[PAYMENT GAP]]&lt;=0,"No Gap / Overpaid",Table2[[#This Row],[PAYMENT GAP]]&lt;=25000,"Low Gap",Table2[[#This Row],[PAYMENT GAP]]&lt;=100000,"Medium Gap",
TRUE,"High Gap"
)</f>
        <v>Medium Gap</v>
      </c>
    </row>
    <row r="116" spans="1:30" x14ac:dyDescent="0.3">
      <c r="A116">
        <v>115</v>
      </c>
      <c r="B116" s="1">
        <v>50000</v>
      </c>
      <c r="C116" s="1" t="str" cm="1">
        <f t="array" ref="C116">_xlfn.IFS(Table2[[#This Row],[LIMIT_BAL]]&lt;=100000,"Low",Table2[[#This Row],[LIMIT_BAL]]&lt;=300000,"Medium",
TRUE,"High"
)</f>
        <v>Low</v>
      </c>
      <c r="D116" t="s">
        <v>2042</v>
      </c>
      <c r="E116" t="s">
        <v>2043</v>
      </c>
      <c r="F116" t="s">
        <v>2029</v>
      </c>
      <c r="G116">
        <v>41</v>
      </c>
      <c r="H116" t="str" cm="1">
        <f t="array" ref="H116">_xlfn.IFS(
Table2[[#This Row],[AGE]]&lt;30,"Young",
Table2[[#This Row],[AGE]]&lt;40,"Middle Age",
Table2[[#This Row],[AGE]]&lt;50,"Senior",
TRUE,"Super Senior"
)</f>
        <v>Senior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 s="1">
        <v>19015</v>
      </c>
      <c r="P116" s="1">
        <v>19294</v>
      </c>
      <c r="Q116" s="1">
        <v>20259</v>
      </c>
      <c r="R116" s="1">
        <v>20274</v>
      </c>
      <c r="S116" s="1">
        <v>20311</v>
      </c>
      <c r="T116" s="1">
        <v>19957</v>
      </c>
      <c r="U116" s="1">
        <v>1340</v>
      </c>
      <c r="V116" s="1">
        <v>1305</v>
      </c>
      <c r="W116" s="1">
        <v>700</v>
      </c>
      <c r="X116" s="1">
        <v>718</v>
      </c>
      <c r="Y116" s="1">
        <v>724</v>
      </c>
      <c r="Z116" s="1">
        <v>684</v>
      </c>
      <c r="AA116">
        <v>0</v>
      </c>
      <c r="AB116" t="str">
        <f t="shared" si="1"/>
        <v>Not Defaulter</v>
      </c>
      <c r="AC116" s="1">
        <f>Table2[[#This Row],[BILL_AMT1]]-Table2[[#This Row],[PAY_AMT1]]</f>
        <v>17675</v>
      </c>
      <c r="AD116" s="1" t="str" cm="1">
        <f t="array" ref="AD116">_xlfn.IFS(Table2[[#This Row],[PAYMENT GAP]]&lt;=0,"No Gap / Overpaid",Table2[[#This Row],[PAYMENT GAP]]&lt;=25000,"Low Gap",Table2[[#This Row],[PAYMENT GAP]]&lt;=100000,"Medium Gap",
TRUE,"High Gap"
)</f>
        <v>Low Gap</v>
      </c>
    </row>
    <row r="117" spans="1:30" x14ac:dyDescent="0.3">
      <c r="A117">
        <v>116</v>
      </c>
      <c r="B117" s="1">
        <v>30000</v>
      </c>
      <c r="C117" s="1" t="str" cm="1">
        <f t="array" ref="C117">_xlfn.IFS(Table2[[#This Row],[LIMIT_BAL]]&lt;=100000,"Low",Table2[[#This Row],[LIMIT_BAL]]&lt;=300000,"Medium",
TRUE,"High"
)</f>
        <v>Low</v>
      </c>
      <c r="D117" t="s">
        <v>2042</v>
      </c>
      <c r="E117" t="s">
        <v>2026</v>
      </c>
      <c r="F117" t="s">
        <v>2029</v>
      </c>
      <c r="G117">
        <v>24</v>
      </c>
      <c r="H117" t="str" cm="1">
        <f t="array" ref="H117">_xlfn.IFS(
Table2[[#This Row],[AGE]]&lt;30,"Young",
Table2[[#This Row],[AGE]]&lt;40,"Middle Age",
Table2[[#This Row],[AGE]]&lt;50,"Senior",
TRUE,"Super Senior"
)</f>
        <v>Young</v>
      </c>
      <c r="I117">
        <v>-1</v>
      </c>
      <c r="J117">
        <v>2</v>
      </c>
      <c r="K117">
        <v>0</v>
      </c>
      <c r="L117">
        <v>0</v>
      </c>
      <c r="M117">
        <v>3</v>
      </c>
      <c r="N117">
        <v>2</v>
      </c>
      <c r="O117" s="1">
        <v>18199</v>
      </c>
      <c r="P117" s="1">
        <v>17618</v>
      </c>
      <c r="Q117" s="1">
        <v>18631</v>
      </c>
      <c r="R117" s="1">
        <v>21319</v>
      </c>
      <c r="S117" s="1">
        <v>20692</v>
      </c>
      <c r="T117" s="1">
        <v>21201</v>
      </c>
      <c r="U117" s="1">
        <v>0</v>
      </c>
      <c r="V117" s="1">
        <v>1312</v>
      </c>
      <c r="W117" s="1">
        <v>3000</v>
      </c>
      <c r="X117" s="1">
        <v>0</v>
      </c>
      <c r="Y117" s="1">
        <v>1000</v>
      </c>
      <c r="Z117" s="1">
        <v>1000</v>
      </c>
      <c r="AA117">
        <v>1</v>
      </c>
      <c r="AB117" t="str">
        <f t="shared" si="1"/>
        <v>Defaulter</v>
      </c>
      <c r="AC117" s="1">
        <f>Table2[[#This Row],[BILL_AMT1]]-Table2[[#This Row],[PAY_AMT1]]</f>
        <v>18199</v>
      </c>
      <c r="AD117" s="1" t="str" cm="1">
        <f t="array" ref="AD117">_xlfn.IFS(Table2[[#This Row],[PAYMENT GAP]]&lt;=0,"No Gap / Overpaid",Table2[[#This Row],[PAYMENT GAP]]&lt;=25000,"Low Gap",Table2[[#This Row],[PAYMENT GAP]]&lt;=100000,"Medium Gap",
TRUE,"High Gap"
)</f>
        <v>Low Gap</v>
      </c>
    </row>
    <row r="118" spans="1:30" x14ac:dyDescent="0.3">
      <c r="A118">
        <v>117</v>
      </c>
      <c r="B118" s="1">
        <v>240000</v>
      </c>
      <c r="C118" s="1" t="str" cm="1">
        <f t="array" ref="C118">_xlfn.IFS(Table2[[#This Row],[LIMIT_BAL]]&lt;=100000,"Low",Table2[[#This Row],[LIMIT_BAL]]&lt;=300000,"Medium",
TRUE,"High"
)</f>
        <v>Medium</v>
      </c>
      <c r="D118" t="s">
        <v>2042</v>
      </c>
      <c r="E118" t="s">
        <v>2026</v>
      </c>
      <c r="F118" t="s">
        <v>2029</v>
      </c>
      <c r="G118">
        <v>28</v>
      </c>
      <c r="H118" t="str" cm="1">
        <f t="array" ref="H118">_xlfn.IFS(
Table2[[#This Row],[AGE]]&lt;30,"Young",
Table2[[#This Row],[AGE]]&lt;40,"Middle Age",
Table2[[#This Row],[AGE]]&lt;50,"Senior",
TRUE,"Super Senior"
)</f>
        <v>Young</v>
      </c>
      <c r="I118">
        <v>-1</v>
      </c>
      <c r="J118">
        <v>-1</v>
      </c>
      <c r="K118">
        <v>-1</v>
      </c>
      <c r="L118">
        <v>-1</v>
      </c>
      <c r="M118">
        <v>-1</v>
      </c>
      <c r="N118">
        <v>-1</v>
      </c>
      <c r="O118" s="1">
        <v>326</v>
      </c>
      <c r="P118" s="1">
        <v>326</v>
      </c>
      <c r="Q118" s="1">
        <v>326</v>
      </c>
      <c r="R118" s="1">
        <v>5676</v>
      </c>
      <c r="S118" s="1">
        <v>476</v>
      </c>
      <c r="T118" s="1">
        <v>326</v>
      </c>
      <c r="U118" s="1">
        <v>326</v>
      </c>
      <c r="V118" s="1">
        <v>326</v>
      </c>
      <c r="W118" s="1">
        <v>5676</v>
      </c>
      <c r="X118" s="1">
        <v>476</v>
      </c>
      <c r="Y118" s="1">
        <v>326</v>
      </c>
      <c r="Z118" s="1">
        <v>526</v>
      </c>
      <c r="AA118">
        <v>0</v>
      </c>
      <c r="AB118" t="str">
        <f t="shared" si="1"/>
        <v>Not Defaulter</v>
      </c>
      <c r="AC118" s="1">
        <f>Table2[[#This Row],[BILL_AMT1]]-Table2[[#This Row],[PAY_AMT1]]</f>
        <v>0</v>
      </c>
      <c r="AD118" s="1" t="str" cm="1">
        <f t="array" ref="AD118">_xlfn.IFS(Table2[[#This Row],[PAYMENT GAP]]&lt;=0,"No Gap / Overpaid",Table2[[#This Row],[PAYMENT GAP]]&lt;=25000,"Low Gap",Table2[[#This Row],[PAYMENT GAP]]&lt;=100000,"Medium Gap",
TRUE,"High Gap"
)</f>
        <v>No Gap / Overpaid</v>
      </c>
    </row>
    <row r="119" spans="1:30" x14ac:dyDescent="0.3">
      <c r="A119">
        <v>118</v>
      </c>
      <c r="B119" s="1">
        <v>80000</v>
      </c>
      <c r="C119" s="1" t="str" cm="1">
        <f t="array" ref="C119">_xlfn.IFS(Table2[[#This Row],[LIMIT_BAL]]&lt;=100000,"Low",Table2[[#This Row],[LIMIT_BAL]]&lt;=300000,"Medium",
TRUE,"High"
)</f>
        <v>Low</v>
      </c>
      <c r="D119" t="s">
        <v>2042</v>
      </c>
      <c r="E119" t="s">
        <v>2043</v>
      </c>
      <c r="F119" t="s">
        <v>2029</v>
      </c>
      <c r="G119">
        <v>26</v>
      </c>
      <c r="H119" t="str" cm="1">
        <f t="array" ref="H119">_xlfn.IFS(
Table2[[#This Row],[AGE]]&lt;30,"Young",
Table2[[#This Row],[AGE]]&lt;40,"Middle Age",
Table2[[#This Row],[AGE]]&lt;50,"Senior",
TRUE,"Super Senior"
)</f>
        <v>Young</v>
      </c>
      <c r="I119">
        <v>2</v>
      </c>
      <c r="J119">
        <v>0</v>
      </c>
      <c r="K119">
        <v>0</v>
      </c>
      <c r="L119">
        <v>0</v>
      </c>
      <c r="M119">
        <v>0</v>
      </c>
      <c r="N119">
        <v>0</v>
      </c>
      <c r="O119" s="1">
        <v>14029</v>
      </c>
      <c r="P119" s="1">
        <v>15493</v>
      </c>
      <c r="Q119" s="1">
        <v>16630</v>
      </c>
      <c r="R119" s="1">
        <v>17055</v>
      </c>
      <c r="S119" s="1">
        <v>17629</v>
      </c>
      <c r="T119" s="1">
        <v>18186</v>
      </c>
      <c r="U119" s="1">
        <v>2000</v>
      </c>
      <c r="V119" s="1">
        <v>1700</v>
      </c>
      <c r="W119" s="1">
        <v>1000</v>
      </c>
      <c r="X119" s="1">
        <v>1000</v>
      </c>
      <c r="Y119" s="1">
        <v>1000</v>
      </c>
      <c r="Z119" s="1">
        <v>1000</v>
      </c>
      <c r="AA119">
        <v>1</v>
      </c>
      <c r="AB119" t="str">
        <f t="shared" si="1"/>
        <v>Defaulter</v>
      </c>
      <c r="AC119" s="1">
        <f>Table2[[#This Row],[BILL_AMT1]]-Table2[[#This Row],[PAY_AMT1]]</f>
        <v>12029</v>
      </c>
      <c r="AD119" s="1" t="str" cm="1">
        <f t="array" ref="AD119">_xlfn.IFS(Table2[[#This Row],[PAYMENT GAP]]&lt;=0,"No Gap / Overpaid",Table2[[#This Row],[PAYMENT GAP]]&lt;=25000,"Low Gap",Table2[[#This Row],[PAYMENT GAP]]&lt;=100000,"Medium Gap",
TRUE,"High Gap"
)</f>
        <v>Low Gap</v>
      </c>
    </row>
    <row r="120" spans="1:30" x14ac:dyDescent="0.3">
      <c r="A120">
        <v>119</v>
      </c>
      <c r="B120" s="1">
        <v>400000</v>
      </c>
      <c r="C120" s="1" t="str" cm="1">
        <f t="array" ref="C120">_xlfn.IFS(Table2[[#This Row],[LIMIT_BAL]]&lt;=100000,"Low",Table2[[#This Row],[LIMIT_BAL]]&lt;=300000,"Medium",
TRUE,"High"
)</f>
        <v>High</v>
      </c>
      <c r="D120" t="s">
        <v>2042</v>
      </c>
      <c r="E120" t="s">
        <v>2043</v>
      </c>
      <c r="F120" t="s">
        <v>2028</v>
      </c>
      <c r="G120">
        <v>34</v>
      </c>
      <c r="H120" t="str" cm="1">
        <f t="array" ref="H120">_xlfn.IFS(
Table2[[#This Row],[AGE]]&lt;30,"Young",
Table2[[#This Row],[AGE]]&lt;40,"Middle Age",
Table2[[#This Row],[AGE]]&lt;50,"Senior",
TRUE,"Super Senior"
)</f>
        <v>Middle Age</v>
      </c>
      <c r="I120">
        <v>-1</v>
      </c>
      <c r="J120">
        <v>-1</v>
      </c>
      <c r="K120">
        <v>-1</v>
      </c>
      <c r="L120">
        <v>-1</v>
      </c>
      <c r="M120">
        <v>-1</v>
      </c>
      <c r="N120">
        <v>-1</v>
      </c>
      <c r="O120" s="1">
        <v>19660</v>
      </c>
      <c r="P120" s="1">
        <v>9666</v>
      </c>
      <c r="Q120" s="1">
        <v>11867</v>
      </c>
      <c r="R120" s="1">
        <v>7839</v>
      </c>
      <c r="S120" s="1">
        <v>14837</v>
      </c>
      <c r="T120" s="1">
        <v>7959</v>
      </c>
      <c r="U120" s="1">
        <v>9677</v>
      </c>
      <c r="V120" s="1">
        <v>11867</v>
      </c>
      <c r="W120" s="1">
        <v>7839</v>
      </c>
      <c r="X120" s="1">
        <v>14837</v>
      </c>
      <c r="Y120" s="1">
        <v>7959</v>
      </c>
      <c r="Z120" s="1">
        <v>5712</v>
      </c>
      <c r="AA120">
        <v>0</v>
      </c>
      <c r="AB120" t="str">
        <f t="shared" si="1"/>
        <v>Not Defaulter</v>
      </c>
      <c r="AC120" s="1">
        <f>Table2[[#This Row],[BILL_AMT1]]-Table2[[#This Row],[PAY_AMT1]]</f>
        <v>9983</v>
      </c>
      <c r="AD120" s="1" t="str" cm="1">
        <f t="array" ref="AD120">_xlfn.IFS(Table2[[#This Row],[PAYMENT GAP]]&lt;=0,"No Gap / Overpaid",Table2[[#This Row],[PAYMENT GAP]]&lt;=25000,"Low Gap",Table2[[#This Row],[PAYMENT GAP]]&lt;=100000,"Medium Gap",
TRUE,"High Gap"
)</f>
        <v>Low Gap</v>
      </c>
    </row>
    <row r="121" spans="1:30" x14ac:dyDescent="0.3">
      <c r="A121">
        <v>120</v>
      </c>
      <c r="B121" s="1">
        <v>240000</v>
      </c>
      <c r="C121" s="1" t="str" cm="1">
        <f t="array" ref="C121">_xlfn.IFS(Table2[[#This Row],[LIMIT_BAL]]&lt;=100000,"Low",Table2[[#This Row],[LIMIT_BAL]]&lt;=300000,"Medium",
TRUE,"High"
)</f>
        <v>Medium</v>
      </c>
      <c r="D121" t="s">
        <v>2041</v>
      </c>
      <c r="E121" t="s">
        <v>2043</v>
      </c>
      <c r="F121" t="s">
        <v>2029</v>
      </c>
      <c r="G121">
        <v>38</v>
      </c>
      <c r="H121" t="str" cm="1">
        <f t="array" ref="H121">_xlfn.IFS(
Table2[[#This Row],[AGE]]&lt;30,"Young",
Table2[[#This Row],[AGE]]&lt;40,"Middle Age",
Table2[[#This Row],[AGE]]&lt;50,"Senior",
TRUE,"Super Senior"
)</f>
        <v>Middle Age</v>
      </c>
      <c r="I121">
        <v>0</v>
      </c>
      <c r="J121">
        <v>0</v>
      </c>
      <c r="K121">
        <v>0</v>
      </c>
      <c r="L121">
        <v>0</v>
      </c>
      <c r="M121">
        <v>-1</v>
      </c>
      <c r="N121">
        <v>-1</v>
      </c>
      <c r="O121" s="1">
        <v>50254</v>
      </c>
      <c r="P121" s="1">
        <v>51445</v>
      </c>
      <c r="Q121" s="1">
        <v>53015</v>
      </c>
      <c r="R121" s="1">
        <v>52479</v>
      </c>
      <c r="S121" s="1">
        <v>1307</v>
      </c>
      <c r="T121" s="1">
        <v>1203</v>
      </c>
      <c r="U121" s="1">
        <v>2000</v>
      </c>
      <c r="V121" s="1">
        <v>3000</v>
      </c>
      <c r="W121" s="1">
        <v>3000</v>
      </c>
      <c r="X121" s="1">
        <v>1307</v>
      </c>
      <c r="Y121" s="1">
        <v>1203</v>
      </c>
      <c r="Z121" s="1">
        <v>563</v>
      </c>
      <c r="AA121">
        <v>0</v>
      </c>
      <c r="AB121" t="str">
        <f t="shared" si="1"/>
        <v>Not Defaulter</v>
      </c>
      <c r="AC121" s="1">
        <f>Table2[[#This Row],[BILL_AMT1]]-Table2[[#This Row],[PAY_AMT1]]</f>
        <v>48254</v>
      </c>
      <c r="AD121" s="1" t="str" cm="1">
        <f t="array" ref="AD121">_xlfn.IFS(Table2[[#This Row],[PAYMENT GAP]]&lt;=0,"No Gap / Overpaid",Table2[[#This Row],[PAYMENT GAP]]&lt;=25000,"Low Gap",Table2[[#This Row],[PAYMENT GAP]]&lt;=100000,"Medium Gap",
TRUE,"High Gap"
)</f>
        <v>Medium Gap</v>
      </c>
    </row>
    <row r="122" spans="1:30" x14ac:dyDescent="0.3">
      <c r="A122">
        <v>121</v>
      </c>
      <c r="B122" s="1">
        <v>50000</v>
      </c>
      <c r="C122" s="1" t="str" cm="1">
        <f t="array" ref="C122">_xlfn.IFS(Table2[[#This Row],[LIMIT_BAL]]&lt;=100000,"Low",Table2[[#This Row],[LIMIT_BAL]]&lt;=300000,"Medium",
TRUE,"High"
)</f>
        <v>Low</v>
      </c>
      <c r="D122" t="s">
        <v>2042</v>
      </c>
      <c r="E122" t="s">
        <v>2027</v>
      </c>
      <c r="F122" t="s">
        <v>2029</v>
      </c>
      <c r="G122">
        <v>37</v>
      </c>
      <c r="H122" t="str" cm="1">
        <f t="array" ref="H122">_xlfn.IFS(
Table2[[#This Row],[AGE]]&lt;30,"Young",
Table2[[#This Row],[AGE]]&lt;40,"Middle Age",
Table2[[#This Row],[AGE]]&lt;50,"Senior",
TRUE,"Super Senior"
)</f>
        <v>Middle Age</v>
      </c>
      <c r="I122">
        <v>2</v>
      </c>
      <c r="J122">
        <v>2</v>
      </c>
      <c r="K122">
        <v>2</v>
      </c>
      <c r="L122">
        <v>3</v>
      </c>
      <c r="M122">
        <v>2</v>
      </c>
      <c r="N122">
        <v>2</v>
      </c>
      <c r="O122" s="1">
        <v>46004</v>
      </c>
      <c r="P122" s="1">
        <v>45976</v>
      </c>
      <c r="Q122" s="1">
        <v>48953</v>
      </c>
      <c r="R122" s="1">
        <v>48851</v>
      </c>
      <c r="S122" s="1">
        <v>49318</v>
      </c>
      <c r="T122" s="1">
        <v>51143</v>
      </c>
      <c r="U122" s="1">
        <v>1000</v>
      </c>
      <c r="V122" s="1">
        <v>4035</v>
      </c>
      <c r="W122" s="1">
        <v>1000</v>
      </c>
      <c r="X122" s="1">
        <v>1400</v>
      </c>
      <c r="Y122" s="1">
        <v>2800</v>
      </c>
      <c r="Z122" s="1">
        <v>0</v>
      </c>
      <c r="AA122">
        <v>1</v>
      </c>
      <c r="AB122" t="str">
        <f t="shared" si="1"/>
        <v>Defaulter</v>
      </c>
      <c r="AC122" s="1">
        <f>Table2[[#This Row],[BILL_AMT1]]-Table2[[#This Row],[PAY_AMT1]]</f>
        <v>45004</v>
      </c>
      <c r="AD122" s="1" t="str" cm="1">
        <f t="array" ref="AD122">_xlfn.IFS(Table2[[#This Row],[PAYMENT GAP]]&lt;=0,"No Gap / Overpaid",Table2[[#This Row],[PAYMENT GAP]]&lt;=25000,"Low Gap",Table2[[#This Row],[PAYMENT GAP]]&lt;=100000,"Medium Gap",
TRUE,"High Gap"
)</f>
        <v>Medium Gap</v>
      </c>
    </row>
    <row r="123" spans="1:30" x14ac:dyDescent="0.3">
      <c r="A123">
        <v>122</v>
      </c>
      <c r="B123" s="1">
        <v>450000</v>
      </c>
      <c r="C123" s="1" t="str" cm="1">
        <f t="array" ref="C123">_xlfn.IFS(Table2[[#This Row],[LIMIT_BAL]]&lt;=100000,"Low",Table2[[#This Row],[LIMIT_BAL]]&lt;=300000,"Medium",
TRUE,"High"
)</f>
        <v>High</v>
      </c>
      <c r="D123" t="s">
        <v>2042</v>
      </c>
      <c r="E123" t="s">
        <v>2026</v>
      </c>
      <c r="F123" t="s">
        <v>2028</v>
      </c>
      <c r="G123">
        <v>40</v>
      </c>
      <c r="H123" t="str" cm="1">
        <f t="array" ref="H123">_xlfn.IFS(
Table2[[#This Row],[AGE]]&lt;30,"Young",
Table2[[#This Row],[AGE]]&lt;40,"Middle Age",
Table2[[#This Row],[AGE]]&lt;50,"Senior",
TRUE,"Super Senior"
)</f>
        <v>Senior</v>
      </c>
      <c r="I123">
        <v>1</v>
      </c>
      <c r="J123">
        <v>-2</v>
      </c>
      <c r="K123">
        <v>-2</v>
      </c>
      <c r="L123">
        <v>-2</v>
      </c>
      <c r="M123">
        <v>-2</v>
      </c>
      <c r="N123">
        <v>-2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>
        <v>1</v>
      </c>
      <c r="AB123" t="str">
        <f t="shared" si="1"/>
        <v>Defaulter</v>
      </c>
      <c r="AC123" s="1">
        <f>Table2[[#This Row],[BILL_AMT1]]-Table2[[#This Row],[PAY_AMT1]]</f>
        <v>0</v>
      </c>
      <c r="AD123" s="1" t="str" cm="1">
        <f t="array" ref="AD123">_xlfn.IFS(Table2[[#This Row],[PAYMENT GAP]]&lt;=0,"No Gap / Overpaid",Table2[[#This Row],[PAYMENT GAP]]&lt;=25000,"Low Gap",Table2[[#This Row],[PAYMENT GAP]]&lt;=100000,"Medium Gap",
TRUE,"High Gap"
)</f>
        <v>No Gap / Overpaid</v>
      </c>
    </row>
    <row r="124" spans="1:30" x14ac:dyDescent="0.3">
      <c r="A124">
        <v>123</v>
      </c>
      <c r="B124" s="1">
        <v>110000</v>
      </c>
      <c r="C124" s="1" t="str" cm="1">
        <f t="array" ref="C124">_xlfn.IFS(Table2[[#This Row],[LIMIT_BAL]]&lt;=100000,"Low",Table2[[#This Row],[LIMIT_BAL]]&lt;=300000,"Medium",
TRUE,"High"
)</f>
        <v>Medium</v>
      </c>
      <c r="D124" t="s">
        <v>2041</v>
      </c>
      <c r="E124" t="s">
        <v>2026</v>
      </c>
      <c r="F124" t="s">
        <v>2028</v>
      </c>
      <c r="G124">
        <v>48</v>
      </c>
      <c r="H124" t="str" cm="1">
        <f t="array" ref="H124">_xlfn.IFS(
Table2[[#This Row],[AGE]]&lt;30,"Young",
Table2[[#This Row],[AGE]]&lt;40,"Middle Age",
Table2[[#This Row],[AGE]]&lt;50,"Senior",
TRUE,"Super Senior"
)</f>
        <v>Senior</v>
      </c>
      <c r="I124">
        <v>1</v>
      </c>
      <c r="J124">
        <v>-2</v>
      </c>
      <c r="K124">
        <v>-2</v>
      </c>
      <c r="L124">
        <v>-2</v>
      </c>
      <c r="M124">
        <v>-2</v>
      </c>
      <c r="N124">
        <v>-2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>
        <v>0</v>
      </c>
      <c r="AB124" t="str">
        <f t="shared" si="1"/>
        <v>Not Defaulter</v>
      </c>
      <c r="AC124" s="1">
        <f>Table2[[#This Row],[BILL_AMT1]]-Table2[[#This Row],[PAY_AMT1]]</f>
        <v>0</v>
      </c>
      <c r="AD124" s="1" t="str" cm="1">
        <f t="array" ref="AD124">_xlfn.IFS(Table2[[#This Row],[PAYMENT GAP]]&lt;=0,"No Gap / Overpaid",Table2[[#This Row],[PAYMENT GAP]]&lt;=25000,"Low Gap",Table2[[#This Row],[PAYMENT GAP]]&lt;=100000,"Medium Gap",
TRUE,"High Gap"
)</f>
        <v>No Gap / Overpaid</v>
      </c>
    </row>
    <row r="125" spans="1:30" x14ac:dyDescent="0.3">
      <c r="A125">
        <v>124</v>
      </c>
      <c r="B125" s="1">
        <v>310000</v>
      </c>
      <c r="C125" s="1" t="str" cm="1">
        <f t="array" ref="C125">_xlfn.IFS(Table2[[#This Row],[LIMIT_BAL]]&lt;=100000,"Low",Table2[[#This Row],[LIMIT_BAL]]&lt;=300000,"Medium",
TRUE,"High"
)</f>
        <v>High</v>
      </c>
      <c r="D125" t="s">
        <v>2041</v>
      </c>
      <c r="E125" t="s">
        <v>2043</v>
      </c>
      <c r="F125" t="s">
        <v>2028</v>
      </c>
      <c r="G125">
        <v>35</v>
      </c>
      <c r="H125" t="str" cm="1">
        <f t="array" ref="H125">_xlfn.IFS(
Table2[[#This Row],[AGE]]&lt;30,"Young",
Table2[[#This Row],[AGE]]&lt;40,"Middle Age",
Table2[[#This Row],[AGE]]&lt;50,"Senior",
TRUE,"Super Senior"
)</f>
        <v>Middle Age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0</v>
      </c>
      <c r="O125" s="1">
        <v>304991</v>
      </c>
      <c r="P125" s="1">
        <v>311243</v>
      </c>
      <c r="Q125" s="1">
        <v>306314</v>
      </c>
      <c r="R125" s="1">
        <v>258610</v>
      </c>
      <c r="S125" s="1">
        <v>246491</v>
      </c>
      <c r="T125" s="1">
        <v>198889</v>
      </c>
      <c r="U125" s="1">
        <v>13019</v>
      </c>
      <c r="V125" s="1">
        <v>11128</v>
      </c>
      <c r="W125" s="1">
        <v>8407</v>
      </c>
      <c r="X125" s="1">
        <v>8599</v>
      </c>
      <c r="Y125" s="1">
        <v>6833</v>
      </c>
      <c r="Z125" s="1">
        <v>5987</v>
      </c>
      <c r="AA125">
        <v>1</v>
      </c>
      <c r="AB125" t="str">
        <f t="shared" si="1"/>
        <v>Defaulter</v>
      </c>
      <c r="AC125" s="1">
        <f>Table2[[#This Row],[BILL_AMT1]]-Table2[[#This Row],[PAY_AMT1]]</f>
        <v>291972</v>
      </c>
      <c r="AD125" s="1" t="str" cm="1">
        <f t="array" ref="AD125">_xlfn.IFS(Table2[[#This Row],[PAYMENT GAP]]&lt;=0,"No Gap / Overpaid",Table2[[#This Row],[PAYMENT GAP]]&lt;=25000,"Low Gap",Table2[[#This Row],[PAYMENT GAP]]&lt;=100000,"Medium Gap",
TRUE,"High Gap"
)</f>
        <v>High Gap</v>
      </c>
    </row>
    <row r="126" spans="1:30" x14ac:dyDescent="0.3">
      <c r="A126">
        <v>125</v>
      </c>
      <c r="B126" s="1">
        <v>20000</v>
      </c>
      <c r="C126" s="1" t="str" cm="1">
        <f t="array" ref="C126">_xlfn.IFS(Table2[[#This Row],[LIMIT_BAL]]&lt;=100000,"Low",Table2[[#This Row],[LIMIT_BAL]]&lt;=300000,"Medium",
TRUE,"High"
)</f>
        <v>Low</v>
      </c>
      <c r="D126" t="s">
        <v>2042</v>
      </c>
      <c r="E126" t="s">
        <v>2026</v>
      </c>
      <c r="F126" t="s">
        <v>2029</v>
      </c>
      <c r="G126">
        <v>27</v>
      </c>
      <c r="H126" t="str" cm="1">
        <f t="array" ref="H126">_xlfn.IFS(
Table2[[#This Row],[AGE]]&lt;30,"Young",
Table2[[#This Row],[AGE]]&lt;40,"Middle Age",
Table2[[#This Row],[AGE]]&lt;50,"Senior",
TRUE,"Super Senior"
)</f>
        <v>Young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s="1">
        <v>19115</v>
      </c>
      <c r="P126" s="1">
        <v>18962</v>
      </c>
      <c r="Q126" s="1">
        <v>19298</v>
      </c>
      <c r="R126" s="1">
        <v>19378</v>
      </c>
      <c r="S126" s="1">
        <v>19717</v>
      </c>
      <c r="T126" s="1">
        <v>15630</v>
      </c>
      <c r="U126" s="1">
        <v>1404</v>
      </c>
      <c r="V126" s="1">
        <v>1130</v>
      </c>
      <c r="W126" s="1">
        <v>600</v>
      </c>
      <c r="X126" s="1">
        <v>861</v>
      </c>
      <c r="Y126" s="1">
        <v>313</v>
      </c>
      <c r="Z126" s="1">
        <v>0</v>
      </c>
      <c r="AA126">
        <v>0</v>
      </c>
      <c r="AB126" t="str">
        <f t="shared" si="1"/>
        <v>Not Defaulter</v>
      </c>
      <c r="AC126" s="1">
        <f>Table2[[#This Row],[BILL_AMT1]]-Table2[[#This Row],[PAY_AMT1]]</f>
        <v>17711</v>
      </c>
      <c r="AD126" s="1" t="str" cm="1">
        <f t="array" ref="AD126">_xlfn.IFS(Table2[[#This Row],[PAYMENT GAP]]&lt;=0,"No Gap / Overpaid",Table2[[#This Row],[PAYMENT GAP]]&lt;=25000,"Low Gap",Table2[[#This Row],[PAYMENT GAP]]&lt;=100000,"Medium Gap",
TRUE,"High Gap"
)</f>
        <v>Low Gap</v>
      </c>
    </row>
    <row r="127" spans="1:30" x14ac:dyDescent="0.3">
      <c r="A127">
        <v>126</v>
      </c>
      <c r="B127" s="1">
        <v>20000</v>
      </c>
      <c r="C127" s="1" t="str" cm="1">
        <f t="array" ref="C127">_xlfn.IFS(Table2[[#This Row],[LIMIT_BAL]]&lt;=100000,"Low",Table2[[#This Row],[LIMIT_BAL]]&lt;=300000,"Medium",
TRUE,"High"
)</f>
        <v>Low</v>
      </c>
      <c r="D127" t="s">
        <v>2042</v>
      </c>
      <c r="E127" t="s">
        <v>2043</v>
      </c>
      <c r="F127" t="s">
        <v>2029</v>
      </c>
      <c r="G127">
        <v>23</v>
      </c>
      <c r="H127" t="str" cm="1">
        <f t="array" ref="H127">_xlfn.IFS(
Table2[[#This Row],[AGE]]&lt;30,"Young",
Table2[[#This Row],[AGE]]&lt;40,"Middle Age",
Table2[[#This Row],[AGE]]&lt;50,"Senior",
TRUE,"Super Senior"
)</f>
        <v>Young</v>
      </c>
      <c r="I127">
        <v>1</v>
      </c>
      <c r="J127">
        <v>-2</v>
      </c>
      <c r="K127">
        <v>-2</v>
      </c>
      <c r="L127">
        <v>-2</v>
      </c>
      <c r="M127">
        <v>-2</v>
      </c>
      <c r="N127">
        <v>-2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>
        <v>0</v>
      </c>
      <c r="AB127" t="str">
        <f t="shared" si="1"/>
        <v>Not Defaulter</v>
      </c>
      <c r="AC127" s="1">
        <f>Table2[[#This Row],[BILL_AMT1]]-Table2[[#This Row],[PAY_AMT1]]</f>
        <v>0</v>
      </c>
      <c r="AD127" s="1" t="str" cm="1">
        <f t="array" ref="AD127">_xlfn.IFS(Table2[[#This Row],[PAYMENT GAP]]&lt;=0,"No Gap / Overpaid",Table2[[#This Row],[PAYMENT GAP]]&lt;=25000,"Low Gap",Table2[[#This Row],[PAYMENT GAP]]&lt;=100000,"Medium Gap",
TRUE,"High Gap"
)</f>
        <v>No Gap / Overpaid</v>
      </c>
    </row>
    <row r="128" spans="1:30" x14ac:dyDescent="0.3">
      <c r="A128">
        <v>127</v>
      </c>
      <c r="B128" s="1">
        <v>200000</v>
      </c>
      <c r="C128" s="1" t="str" cm="1">
        <f t="array" ref="C128">_xlfn.IFS(Table2[[#This Row],[LIMIT_BAL]]&lt;=100000,"Low",Table2[[#This Row],[LIMIT_BAL]]&lt;=300000,"Medium",
TRUE,"High"
)</f>
        <v>Medium</v>
      </c>
      <c r="D128" t="s">
        <v>2042</v>
      </c>
      <c r="E128" t="s">
        <v>2027</v>
      </c>
      <c r="F128" t="s">
        <v>2029</v>
      </c>
      <c r="G128">
        <v>52</v>
      </c>
      <c r="H128" t="str" cm="1">
        <f t="array" ref="H128">_xlfn.IFS(
Table2[[#This Row],[AGE]]&lt;30,"Young",
Table2[[#This Row],[AGE]]&lt;40,"Middle Age",
Table2[[#This Row],[AGE]]&lt;50,"Senior",
TRUE,"Super Senior"
)</f>
        <v>Super Senior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 s="1">
        <v>110151</v>
      </c>
      <c r="P128" s="1">
        <v>99530</v>
      </c>
      <c r="Q128" s="1">
        <v>98951</v>
      </c>
      <c r="R128" s="1">
        <v>100914</v>
      </c>
      <c r="S128" s="1">
        <v>103146</v>
      </c>
      <c r="T128" s="1">
        <v>104993</v>
      </c>
      <c r="U128" s="1">
        <v>3568</v>
      </c>
      <c r="V128" s="1">
        <v>3585</v>
      </c>
      <c r="W128" s="1">
        <v>3602</v>
      </c>
      <c r="X128" s="1">
        <v>3848</v>
      </c>
      <c r="Y128" s="1">
        <v>3669</v>
      </c>
      <c r="Z128" s="1">
        <v>3784</v>
      </c>
      <c r="AA128">
        <v>0</v>
      </c>
      <c r="AB128" t="str">
        <f t="shared" si="1"/>
        <v>Not Defaulter</v>
      </c>
      <c r="AC128" s="1">
        <f>Table2[[#This Row],[BILL_AMT1]]-Table2[[#This Row],[PAY_AMT1]]</f>
        <v>106583</v>
      </c>
      <c r="AD128" s="1" t="str" cm="1">
        <f t="array" ref="AD128">_xlfn.IFS(Table2[[#This Row],[PAYMENT GAP]]&lt;=0,"No Gap / Overpaid",Table2[[#This Row],[PAYMENT GAP]]&lt;=25000,"Low Gap",Table2[[#This Row],[PAYMENT GAP]]&lt;=100000,"Medium Gap",
TRUE,"High Gap"
)</f>
        <v>High Gap</v>
      </c>
    </row>
    <row r="129" spans="1:30" x14ac:dyDescent="0.3">
      <c r="A129">
        <v>128</v>
      </c>
      <c r="B129" s="1">
        <v>180000</v>
      </c>
      <c r="C129" s="1" t="str" cm="1">
        <f t="array" ref="C129">_xlfn.IFS(Table2[[#This Row],[LIMIT_BAL]]&lt;=100000,"Low",Table2[[#This Row],[LIMIT_BAL]]&lt;=300000,"Medium",
TRUE,"High"
)</f>
        <v>Medium</v>
      </c>
      <c r="D129" t="s">
        <v>2042</v>
      </c>
      <c r="E129" t="s">
        <v>2026</v>
      </c>
      <c r="F129" t="s">
        <v>2028</v>
      </c>
      <c r="G129">
        <v>36</v>
      </c>
      <c r="H129" t="str" cm="1">
        <f t="array" ref="H129">_xlfn.IFS(
Table2[[#This Row],[AGE]]&lt;30,"Young",
Table2[[#This Row],[AGE]]&lt;40,"Middle Age",
Table2[[#This Row],[AGE]]&lt;50,"Senior",
TRUE,"Super Senior"
)</f>
        <v>Middle Age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s="1">
        <v>163736</v>
      </c>
      <c r="P129" s="1">
        <v>116422</v>
      </c>
      <c r="Q129" s="1">
        <v>99278</v>
      </c>
      <c r="R129" s="1">
        <v>95766</v>
      </c>
      <c r="S129" s="1">
        <v>97753</v>
      </c>
      <c r="T129" s="1">
        <v>95927</v>
      </c>
      <c r="U129" s="1">
        <v>4655</v>
      </c>
      <c r="V129" s="1">
        <v>2690</v>
      </c>
      <c r="W129" s="1">
        <v>2067</v>
      </c>
      <c r="X129" s="1">
        <v>2142</v>
      </c>
      <c r="Y129" s="1">
        <v>2217</v>
      </c>
      <c r="Z129" s="1">
        <v>1000</v>
      </c>
      <c r="AA129">
        <v>1</v>
      </c>
      <c r="AB129" t="str">
        <f t="shared" si="1"/>
        <v>Defaulter</v>
      </c>
      <c r="AC129" s="1">
        <f>Table2[[#This Row],[BILL_AMT1]]-Table2[[#This Row],[PAY_AMT1]]</f>
        <v>159081</v>
      </c>
      <c r="AD129" s="1" t="str" cm="1">
        <f t="array" ref="AD129">_xlfn.IFS(Table2[[#This Row],[PAYMENT GAP]]&lt;=0,"No Gap / Overpaid",Table2[[#This Row],[PAYMENT GAP]]&lt;=25000,"Low Gap",Table2[[#This Row],[PAYMENT GAP]]&lt;=100000,"Medium Gap",
TRUE,"High Gap"
)</f>
        <v>High Gap</v>
      </c>
    </row>
    <row r="130" spans="1:30" x14ac:dyDescent="0.3">
      <c r="A130">
        <v>129</v>
      </c>
      <c r="B130" s="1">
        <v>50000</v>
      </c>
      <c r="C130" s="1" t="str" cm="1">
        <f t="array" ref="C130">_xlfn.IFS(Table2[[#This Row],[LIMIT_BAL]]&lt;=100000,"Low",Table2[[#This Row],[LIMIT_BAL]]&lt;=300000,"Medium",
TRUE,"High"
)</f>
        <v>Low</v>
      </c>
      <c r="D130" t="s">
        <v>2042</v>
      </c>
      <c r="E130" t="s">
        <v>2043</v>
      </c>
      <c r="F130" t="s">
        <v>2028</v>
      </c>
      <c r="G130">
        <v>51</v>
      </c>
      <c r="H130" t="str" cm="1">
        <f t="array" ref="H130">_xlfn.IFS(
Table2[[#This Row],[AGE]]&lt;30,"Young",
Table2[[#This Row],[AGE]]&lt;40,"Middle Age",
Table2[[#This Row],[AGE]]&lt;50,"Senior",
TRUE,"Super Senior"
)</f>
        <v>Super Senior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 s="1">
        <v>3347</v>
      </c>
      <c r="P130" s="1">
        <v>3899</v>
      </c>
      <c r="Q130" s="1">
        <v>4503</v>
      </c>
      <c r="R130" s="1">
        <v>5347</v>
      </c>
      <c r="S130" s="1">
        <v>6375</v>
      </c>
      <c r="T130" s="1">
        <v>7077</v>
      </c>
      <c r="U130" s="1">
        <v>1000</v>
      </c>
      <c r="V130" s="1">
        <v>1066</v>
      </c>
      <c r="W130" s="1">
        <v>1300</v>
      </c>
      <c r="X130" s="1">
        <v>1500</v>
      </c>
      <c r="Y130" s="1">
        <v>1200</v>
      </c>
      <c r="Z130" s="1">
        <v>134</v>
      </c>
      <c r="AA130">
        <v>1</v>
      </c>
      <c r="AB130" t="str">
        <f t="shared" si="1"/>
        <v>Defaulter</v>
      </c>
      <c r="AC130" s="1">
        <f>Table2[[#This Row],[BILL_AMT1]]-Table2[[#This Row],[PAY_AMT1]]</f>
        <v>2347</v>
      </c>
      <c r="AD130" s="1" t="str" cm="1">
        <f t="array" ref="AD130">_xlfn.IFS(Table2[[#This Row],[PAYMENT GAP]]&lt;=0,"No Gap / Overpaid",Table2[[#This Row],[PAYMENT GAP]]&lt;=25000,"Low Gap",Table2[[#This Row],[PAYMENT GAP]]&lt;=100000,"Medium Gap",
TRUE,"High Gap"
)</f>
        <v>Low Gap</v>
      </c>
    </row>
    <row r="131" spans="1:30" x14ac:dyDescent="0.3">
      <c r="A131">
        <v>130</v>
      </c>
      <c r="B131" s="1">
        <v>60000</v>
      </c>
      <c r="C131" s="1" t="str" cm="1">
        <f t="array" ref="C131">_xlfn.IFS(Table2[[#This Row],[LIMIT_BAL]]&lt;=100000,"Low",Table2[[#This Row],[LIMIT_BAL]]&lt;=300000,"Medium",
TRUE,"High"
)</f>
        <v>Low</v>
      </c>
      <c r="D131" t="s">
        <v>2042</v>
      </c>
      <c r="E131" t="s">
        <v>2027</v>
      </c>
      <c r="F131" t="s">
        <v>2028</v>
      </c>
      <c r="G131">
        <v>55</v>
      </c>
      <c r="H131" t="str" cm="1">
        <f t="array" ref="H131">_xlfn.IFS(
Table2[[#This Row],[AGE]]&lt;30,"Young",
Table2[[#This Row],[AGE]]&lt;40,"Middle Age",
Table2[[#This Row],[AGE]]&lt;50,"Senior",
TRUE,"Super Senior"
)</f>
        <v>Super Senior</v>
      </c>
      <c r="I131">
        <v>3</v>
      </c>
      <c r="J131">
        <v>2</v>
      </c>
      <c r="K131">
        <v>2</v>
      </c>
      <c r="L131">
        <v>0</v>
      </c>
      <c r="M131">
        <v>0</v>
      </c>
      <c r="N131">
        <v>0</v>
      </c>
      <c r="O131" s="1">
        <v>60521</v>
      </c>
      <c r="P131" s="1">
        <v>61450</v>
      </c>
      <c r="Q131" s="1">
        <v>57244</v>
      </c>
      <c r="R131" s="1">
        <v>28853</v>
      </c>
      <c r="S131" s="1">
        <v>29510</v>
      </c>
      <c r="T131" s="1">
        <v>26547</v>
      </c>
      <c r="U131" s="1">
        <v>2504</v>
      </c>
      <c r="V131" s="1">
        <v>7</v>
      </c>
      <c r="W131" s="1">
        <v>1200</v>
      </c>
      <c r="X131" s="1">
        <v>1200</v>
      </c>
      <c r="Y131" s="1">
        <v>1100</v>
      </c>
      <c r="Z131" s="1">
        <v>1500</v>
      </c>
      <c r="AA131">
        <v>0</v>
      </c>
      <c r="AB131" t="str">
        <f t="shared" ref="AB131:AB194" si="2">IF(AA131=1,"Defaulter","Not Defaulter")</f>
        <v>Not Defaulter</v>
      </c>
      <c r="AC131" s="1">
        <f>Table2[[#This Row],[BILL_AMT1]]-Table2[[#This Row],[PAY_AMT1]]</f>
        <v>58017</v>
      </c>
      <c r="AD131" s="1" t="str" cm="1">
        <f t="array" ref="AD131">_xlfn.IFS(Table2[[#This Row],[PAYMENT GAP]]&lt;=0,"No Gap / Overpaid",Table2[[#This Row],[PAYMENT GAP]]&lt;=25000,"Low Gap",Table2[[#This Row],[PAYMENT GAP]]&lt;=100000,"Medium Gap",
TRUE,"High Gap"
)</f>
        <v>Medium Gap</v>
      </c>
    </row>
    <row r="132" spans="1:30" x14ac:dyDescent="0.3">
      <c r="A132">
        <v>131</v>
      </c>
      <c r="B132" s="1">
        <v>30000</v>
      </c>
      <c r="C132" s="1" t="str" cm="1">
        <f t="array" ref="C132">_xlfn.IFS(Table2[[#This Row],[LIMIT_BAL]]&lt;=100000,"Low",Table2[[#This Row],[LIMIT_BAL]]&lt;=300000,"Medium",
TRUE,"High"
)</f>
        <v>Low</v>
      </c>
      <c r="D132" t="s">
        <v>2041</v>
      </c>
      <c r="E132" t="s">
        <v>2026</v>
      </c>
      <c r="F132" t="s">
        <v>2029</v>
      </c>
      <c r="G132">
        <v>23</v>
      </c>
      <c r="H132" t="str" cm="1">
        <f t="array" ref="H132">_xlfn.IFS(
Table2[[#This Row],[AGE]]&lt;30,"Young",
Table2[[#This Row],[AGE]]&lt;40,"Middle Age",
Table2[[#This Row],[AGE]]&lt;50,"Senior",
TRUE,"Super Senior"
)</f>
        <v>Young</v>
      </c>
      <c r="I132">
        <v>1</v>
      </c>
      <c r="J132">
        <v>-2</v>
      </c>
      <c r="K132">
        <v>-2</v>
      </c>
      <c r="L132">
        <v>-2</v>
      </c>
      <c r="M132">
        <v>-1</v>
      </c>
      <c r="N132">
        <v>-1</v>
      </c>
      <c r="O132" s="1">
        <v>4000</v>
      </c>
      <c r="P132" s="1">
        <v>5645</v>
      </c>
      <c r="Q132" s="1">
        <v>3508</v>
      </c>
      <c r="R132" s="1">
        <v>-27</v>
      </c>
      <c r="S132" s="1">
        <v>13744</v>
      </c>
      <c r="T132" s="1">
        <v>5906</v>
      </c>
      <c r="U132" s="1">
        <v>5645</v>
      </c>
      <c r="V132" s="1">
        <v>3508</v>
      </c>
      <c r="W132" s="1">
        <v>27</v>
      </c>
      <c r="X132" s="1">
        <v>13771</v>
      </c>
      <c r="Y132" s="1">
        <v>5911</v>
      </c>
      <c r="Z132" s="1">
        <v>3024</v>
      </c>
      <c r="AA132">
        <v>0</v>
      </c>
      <c r="AB132" t="str">
        <f t="shared" si="2"/>
        <v>Not Defaulter</v>
      </c>
      <c r="AC132" s="1">
        <f>Table2[[#This Row],[BILL_AMT1]]-Table2[[#This Row],[PAY_AMT1]]</f>
        <v>-1645</v>
      </c>
      <c r="AD132" s="1" t="str" cm="1">
        <f t="array" ref="AD132">_xlfn.IFS(Table2[[#This Row],[PAYMENT GAP]]&lt;=0,"No Gap / Overpaid",Table2[[#This Row],[PAYMENT GAP]]&lt;=25000,"Low Gap",Table2[[#This Row],[PAYMENT GAP]]&lt;=100000,"Medium Gap",
TRUE,"High Gap"
)</f>
        <v>No Gap / Overpaid</v>
      </c>
    </row>
    <row r="133" spans="1:30" x14ac:dyDescent="0.3">
      <c r="A133">
        <v>132</v>
      </c>
      <c r="B133" s="1">
        <v>240000</v>
      </c>
      <c r="C133" s="1" t="str" cm="1">
        <f t="array" ref="C133">_xlfn.IFS(Table2[[#This Row],[LIMIT_BAL]]&lt;=100000,"Low",Table2[[#This Row],[LIMIT_BAL]]&lt;=300000,"Medium",
TRUE,"High"
)</f>
        <v>Medium</v>
      </c>
      <c r="D133" t="s">
        <v>2042</v>
      </c>
      <c r="E133" t="s">
        <v>2026</v>
      </c>
      <c r="F133" t="s">
        <v>2029</v>
      </c>
      <c r="G133">
        <v>41</v>
      </c>
      <c r="H133" t="str" cm="1">
        <f t="array" ref="H133">_xlfn.IFS(
Table2[[#This Row],[AGE]]&lt;30,"Young",
Table2[[#This Row],[AGE]]&lt;40,"Middle Age",
Table2[[#This Row],[AGE]]&lt;50,"Senior",
TRUE,"Super Senior"
)</f>
        <v>Senior</v>
      </c>
      <c r="I133">
        <v>1</v>
      </c>
      <c r="J133">
        <v>-1</v>
      </c>
      <c r="K133">
        <v>-1</v>
      </c>
      <c r="L133">
        <v>0</v>
      </c>
      <c r="M133">
        <v>0</v>
      </c>
      <c r="N133">
        <v>-1</v>
      </c>
      <c r="O133" s="1">
        <v>95</v>
      </c>
      <c r="P133" s="1">
        <v>2622</v>
      </c>
      <c r="Q133" s="1">
        <v>3301</v>
      </c>
      <c r="R133" s="1">
        <v>3164</v>
      </c>
      <c r="S133" s="1">
        <v>360</v>
      </c>
      <c r="T133" s="1">
        <v>1737</v>
      </c>
      <c r="U133" s="1">
        <v>2622</v>
      </c>
      <c r="V133" s="1">
        <v>3301</v>
      </c>
      <c r="W133" s="1">
        <v>0</v>
      </c>
      <c r="X133" s="1">
        <v>360</v>
      </c>
      <c r="Y133" s="1">
        <v>1737</v>
      </c>
      <c r="Z133" s="1">
        <v>924</v>
      </c>
      <c r="AA133">
        <v>0</v>
      </c>
      <c r="AB133" t="str">
        <f t="shared" si="2"/>
        <v>Not Defaulter</v>
      </c>
      <c r="AC133" s="1">
        <f>Table2[[#This Row],[BILL_AMT1]]-Table2[[#This Row],[PAY_AMT1]]</f>
        <v>-2527</v>
      </c>
      <c r="AD133" s="1" t="str" cm="1">
        <f t="array" ref="AD133">_xlfn.IFS(Table2[[#This Row],[PAYMENT GAP]]&lt;=0,"No Gap / Overpaid",Table2[[#This Row],[PAYMENT GAP]]&lt;=25000,"Low Gap",Table2[[#This Row],[PAYMENT GAP]]&lt;=100000,"Medium Gap",
TRUE,"High Gap"
)</f>
        <v>No Gap / Overpaid</v>
      </c>
    </row>
    <row r="134" spans="1:30" x14ac:dyDescent="0.3">
      <c r="A134">
        <v>133</v>
      </c>
      <c r="B134" s="1">
        <v>420000</v>
      </c>
      <c r="C134" s="1" t="str" cm="1">
        <f t="array" ref="C134">_xlfn.IFS(Table2[[#This Row],[LIMIT_BAL]]&lt;=100000,"Low",Table2[[#This Row],[LIMIT_BAL]]&lt;=300000,"Medium",
TRUE,"High"
)</f>
        <v>High</v>
      </c>
      <c r="D134" t="s">
        <v>2042</v>
      </c>
      <c r="E134" t="s">
        <v>2043</v>
      </c>
      <c r="F134" t="s">
        <v>2028</v>
      </c>
      <c r="G134">
        <v>34</v>
      </c>
      <c r="H134" t="str" cm="1">
        <f t="array" ref="H134">_xlfn.IFS(
Table2[[#This Row],[AGE]]&lt;30,"Young",
Table2[[#This Row],[AGE]]&lt;40,"Middle Age",
Table2[[#This Row],[AGE]]&lt;50,"Senior",
TRUE,"Super Senior"
)</f>
        <v>Middle Age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s="1">
        <v>253454</v>
      </c>
      <c r="P134" s="1">
        <v>247743</v>
      </c>
      <c r="Q134" s="1">
        <v>229049</v>
      </c>
      <c r="R134" s="1">
        <v>220951</v>
      </c>
      <c r="S134" s="1">
        <v>210606</v>
      </c>
      <c r="T134" s="1">
        <v>188108</v>
      </c>
      <c r="U134" s="1">
        <v>9744</v>
      </c>
      <c r="V134" s="1">
        <v>9553</v>
      </c>
      <c r="W134" s="1">
        <v>7603</v>
      </c>
      <c r="X134" s="1">
        <v>7830</v>
      </c>
      <c r="Y134" s="1">
        <v>7253</v>
      </c>
      <c r="Z134" s="1">
        <v>11326</v>
      </c>
      <c r="AA134">
        <v>0</v>
      </c>
      <c r="AB134" t="str">
        <f t="shared" si="2"/>
        <v>Not Defaulter</v>
      </c>
      <c r="AC134" s="1">
        <f>Table2[[#This Row],[BILL_AMT1]]-Table2[[#This Row],[PAY_AMT1]]</f>
        <v>243710</v>
      </c>
      <c r="AD134" s="1" t="str" cm="1">
        <f t="array" ref="AD134">_xlfn.IFS(Table2[[#This Row],[PAYMENT GAP]]&lt;=0,"No Gap / Overpaid",Table2[[#This Row],[PAYMENT GAP]]&lt;=25000,"Low Gap",Table2[[#This Row],[PAYMENT GAP]]&lt;=100000,"Medium Gap",
TRUE,"High Gap"
)</f>
        <v>High Gap</v>
      </c>
    </row>
    <row r="135" spans="1:30" x14ac:dyDescent="0.3">
      <c r="A135">
        <v>134</v>
      </c>
      <c r="B135" s="1">
        <v>330000</v>
      </c>
      <c r="C135" s="1" t="str" cm="1">
        <f t="array" ref="C135">_xlfn.IFS(Table2[[#This Row],[LIMIT_BAL]]&lt;=100000,"Low",Table2[[#This Row],[LIMIT_BAL]]&lt;=300000,"Medium",
TRUE,"High"
)</f>
        <v>High</v>
      </c>
      <c r="D135" t="s">
        <v>2042</v>
      </c>
      <c r="E135" t="s">
        <v>2027</v>
      </c>
      <c r="F135" t="s">
        <v>2028</v>
      </c>
      <c r="G135">
        <v>46</v>
      </c>
      <c r="H135" t="str" cm="1">
        <f t="array" ref="H135">_xlfn.IFS(
Table2[[#This Row],[AGE]]&lt;30,"Young",
Table2[[#This Row],[AGE]]&lt;40,"Middle Age",
Table2[[#This Row],[AGE]]&lt;50,"Senior",
TRUE,"Super Senior"
)</f>
        <v>Senior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s="1">
        <v>227389</v>
      </c>
      <c r="P135" s="1">
        <v>228719</v>
      </c>
      <c r="Q135" s="1">
        <v>229644</v>
      </c>
      <c r="R135" s="1">
        <v>227587</v>
      </c>
      <c r="S135" s="1">
        <v>227775</v>
      </c>
      <c r="T135" s="1">
        <v>228203</v>
      </c>
      <c r="U135" s="1">
        <v>8210</v>
      </c>
      <c r="V135" s="1">
        <v>8095</v>
      </c>
      <c r="W135" s="1">
        <v>8025</v>
      </c>
      <c r="X135" s="1">
        <v>8175</v>
      </c>
      <c r="Y135" s="1">
        <v>8391</v>
      </c>
      <c r="Z135" s="1">
        <v>8200</v>
      </c>
      <c r="AA135">
        <v>0</v>
      </c>
      <c r="AB135" t="str">
        <f t="shared" si="2"/>
        <v>Not Defaulter</v>
      </c>
      <c r="AC135" s="1">
        <f>Table2[[#This Row],[BILL_AMT1]]-Table2[[#This Row],[PAY_AMT1]]</f>
        <v>219179</v>
      </c>
      <c r="AD135" s="1" t="str" cm="1">
        <f t="array" ref="AD135">_xlfn.IFS(Table2[[#This Row],[PAYMENT GAP]]&lt;=0,"No Gap / Overpaid",Table2[[#This Row],[PAYMENT GAP]]&lt;=25000,"Low Gap",Table2[[#This Row],[PAYMENT GAP]]&lt;=100000,"Medium Gap",
TRUE,"High Gap"
)</f>
        <v>High Gap</v>
      </c>
    </row>
    <row r="136" spans="1:30" x14ac:dyDescent="0.3">
      <c r="A136">
        <v>135</v>
      </c>
      <c r="B136" s="1">
        <v>30000</v>
      </c>
      <c r="C136" s="1" t="str" cm="1">
        <f t="array" ref="C136">_xlfn.IFS(Table2[[#This Row],[LIMIT_BAL]]&lt;=100000,"Low",Table2[[#This Row],[LIMIT_BAL]]&lt;=300000,"Medium",
TRUE,"High"
)</f>
        <v>Low</v>
      </c>
      <c r="D136" t="s">
        <v>2041</v>
      </c>
      <c r="E136" t="s">
        <v>2043</v>
      </c>
      <c r="F136" t="s">
        <v>2029</v>
      </c>
      <c r="G136">
        <v>22</v>
      </c>
      <c r="H136" t="str" cm="1">
        <f t="array" ref="H136">_xlfn.IFS(
Table2[[#This Row],[AGE]]&lt;30,"Young",
Table2[[#This Row],[AGE]]&lt;40,"Middle Age",
Table2[[#This Row],[AGE]]&lt;50,"Senior",
TRUE,"Super Senior"
)</f>
        <v>Young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 s="1">
        <v>28452</v>
      </c>
      <c r="P136" s="1">
        <v>26145</v>
      </c>
      <c r="Q136" s="1">
        <v>26712</v>
      </c>
      <c r="R136" s="1">
        <v>25350</v>
      </c>
      <c r="S136" s="1">
        <v>17603</v>
      </c>
      <c r="T136" s="1">
        <v>-780</v>
      </c>
      <c r="U136" s="1">
        <v>2000</v>
      </c>
      <c r="V136" s="1">
        <v>1400</v>
      </c>
      <c r="W136" s="1">
        <v>0</v>
      </c>
      <c r="X136" s="1">
        <v>500</v>
      </c>
      <c r="Y136" s="1">
        <v>0</v>
      </c>
      <c r="Z136" s="1">
        <v>1560</v>
      </c>
      <c r="AA136">
        <v>0</v>
      </c>
      <c r="AB136" t="str">
        <f t="shared" si="2"/>
        <v>Not Defaulter</v>
      </c>
      <c r="AC136" s="1">
        <f>Table2[[#This Row],[BILL_AMT1]]-Table2[[#This Row],[PAY_AMT1]]</f>
        <v>26452</v>
      </c>
      <c r="AD136" s="1" t="str" cm="1">
        <f t="array" ref="AD136">_xlfn.IFS(Table2[[#This Row],[PAYMENT GAP]]&lt;=0,"No Gap / Overpaid",Table2[[#This Row],[PAYMENT GAP]]&lt;=25000,"Low Gap",Table2[[#This Row],[PAYMENT GAP]]&lt;=100000,"Medium Gap",
TRUE,"High Gap"
)</f>
        <v>Medium Gap</v>
      </c>
    </row>
    <row r="137" spans="1:30" x14ac:dyDescent="0.3">
      <c r="A137">
        <v>136</v>
      </c>
      <c r="B137" s="1">
        <v>240000</v>
      </c>
      <c r="C137" s="1" t="str" cm="1">
        <f t="array" ref="C137">_xlfn.IFS(Table2[[#This Row],[LIMIT_BAL]]&lt;=100000,"Low",Table2[[#This Row],[LIMIT_BAL]]&lt;=300000,"Medium",
TRUE,"High"
)</f>
        <v>Medium</v>
      </c>
      <c r="D137" t="s">
        <v>2042</v>
      </c>
      <c r="E137" t="s">
        <v>2043</v>
      </c>
      <c r="F137" t="s">
        <v>2028</v>
      </c>
      <c r="G137">
        <v>34</v>
      </c>
      <c r="H137" t="str" cm="1">
        <f t="array" ref="H137">_xlfn.IFS(
Table2[[#This Row],[AGE]]&lt;30,"Young",
Table2[[#This Row],[AGE]]&lt;40,"Middle Age",
Table2[[#This Row],[AGE]]&lt;50,"Senior",
TRUE,"Super Senior"
)</f>
        <v>Middle Age</v>
      </c>
      <c r="I137">
        <v>0</v>
      </c>
      <c r="J137">
        <v>0</v>
      </c>
      <c r="K137">
        <v>0</v>
      </c>
      <c r="L137">
        <v>2</v>
      </c>
      <c r="M137">
        <v>2</v>
      </c>
      <c r="N137">
        <v>2</v>
      </c>
      <c r="O137" s="1">
        <v>10674</v>
      </c>
      <c r="P137" s="1">
        <v>12035</v>
      </c>
      <c r="Q137" s="1">
        <v>13681</v>
      </c>
      <c r="R137" s="1">
        <v>13269</v>
      </c>
      <c r="S137" s="1">
        <v>14158</v>
      </c>
      <c r="T137" s="1">
        <v>13891</v>
      </c>
      <c r="U137" s="1">
        <v>1500</v>
      </c>
      <c r="V137" s="1">
        <v>1800</v>
      </c>
      <c r="W137" s="1">
        <v>0</v>
      </c>
      <c r="X137" s="1">
        <v>1000</v>
      </c>
      <c r="Y137" s="1">
        <v>0</v>
      </c>
      <c r="Z137" s="1">
        <v>327</v>
      </c>
      <c r="AA137">
        <v>0</v>
      </c>
      <c r="AB137" t="str">
        <f t="shared" si="2"/>
        <v>Not Defaulter</v>
      </c>
      <c r="AC137" s="1">
        <f>Table2[[#This Row],[BILL_AMT1]]-Table2[[#This Row],[PAY_AMT1]]</f>
        <v>9174</v>
      </c>
      <c r="AD137" s="1" t="str" cm="1">
        <f t="array" ref="AD137">_xlfn.IFS(Table2[[#This Row],[PAYMENT GAP]]&lt;=0,"No Gap / Overpaid",Table2[[#This Row],[PAYMENT GAP]]&lt;=25000,"Low Gap",Table2[[#This Row],[PAYMENT GAP]]&lt;=100000,"Medium Gap",
TRUE,"High Gap"
)</f>
        <v>Low Gap</v>
      </c>
    </row>
    <row r="138" spans="1:30" x14ac:dyDescent="0.3">
      <c r="A138">
        <v>137</v>
      </c>
      <c r="B138" s="1">
        <v>150000</v>
      </c>
      <c r="C138" s="1" t="str" cm="1">
        <f t="array" ref="C138">_xlfn.IFS(Table2[[#This Row],[LIMIT_BAL]]&lt;=100000,"Low",Table2[[#This Row],[LIMIT_BAL]]&lt;=300000,"Medium",
TRUE,"High"
)</f>
        <v>Medium</v>
      </c>
      <c r="D138" t="s">
        <v>2042</v>
      </c>
      <c r="E138" t="s">
        <v>2026</v>
      </c>
      <c r="F138" t="s">
        <v>2029</v>
      </c>
      <c r="G138">
        <v>27</v>
      </c>
      <c r="H138" t="str" cm="1">
        <f t="array" ref="H138">_xlfn.IFS(
Table2[[#This Row],[AGE]]&lt;30,"Young",
Table2[[#This Row],[AGE]]&lt;40,"Middle Age",
Table2[[#This Row],[AGE]]&lt;50,"Senior",
TRUE,"Super Senior"
)</f>
        <v>Young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 s="1">
        <v>17444</v>
      </c>
      <c r="P138" s="1">
        <v>19342</v>
      </c>
      <c r="Q138" s="1">
        <v>22000</v>
      </c>
      <c r="R138" s="1">
        <v>24614</v>
      </c>
      <c r="S138" s="1">
        <v>27200</v>
      </c>
      <c r="T138" s="1">
        <v>30229</v>
      </c>
      <c r="U138" s="1">
        <v>2500</v>
      </c>
      <c r="V138" s="1">
        <v>3000</v>
      </c>
      <c r="W138" s="1">
        <v>3000</v>
      </c>
      <c r="X138" s="1">
        <v>3000</v>
      </c>
      <c r="Y138" s="1">
        <v>3500</v>
      </c>
      <c r="Z138" s="1">
        <v>5000</v>
      </c>
      <c r="AA138">
        <v>0</v>
      </c>
      <c r="AB138" t="str">
        <f t="shared" si="2"/>
        <v>Not Defaulter</v>
      </c>
      <c r="AC138" s="1">
        <f>Table2[[#This Row],[BILL_AMT1]]-Table2[[#This Row],[PAY_AMT1]]</f>
        <v>14944</v>
      </c>
      <c r="AD138" s="1" t="str" cm="1">
        <f t="array" ref="AD138">_xlfn.IFS(Table2[[#This Row],[PAYMENT GAP]]&lt;=0,"No Gap / Overpaid",Table2[[#This Row],[PAYMENT GAP]]&lt;=25000,"Low Gap",Table2[[#This Row],[PAYMENT GAP]]&lt;=100000,"Medium Gap",
TRUE,"High Gap"
)</f>
        <v>Low Gap</v>
      </c>
    </row>
    <row r="139" spans="1:30" x14ac:dyDescent="0.3">
      <c r="A139">
        <v>138</v>
      </c>
      <c r="B139" s="1">
        <v>210000</v>
      </c>
      <c r="C139" s="1" t="str" cm="1">
        <f t="array" ref="C139">_xlfn.IFS(Table2[[#This Row],[LIMIT_BAL]]&lt;=100000,"Low",Table2[[#This Row],[LIMIT_BAL]]&lt;=300000,"Medium",
TRUE,"High"
)</f>
        <v>Medium</v>
      </c>
      <c r="D139" t="s">
        <v>2041</v>
      </c>
      <c r="E139" t="s">
        <v>2043</v>
      </c>
      <c r="F139" t="s">
        <v>2028</v>
      </c>
      <c r="G139">
        <v>33</v>
      </c>
      <c r="H139" t="str" cm="1">
        <f t="array" ref="H139">_xlfn.IFS(
Table2[[#This Row],[AGE]]&lt;30,"Young",
Table2[[#This Row],[AGE]]&lt;40,"Middle Age",
Table2[[#This Row],[AGE]]&lt;50,"Senior",
TRUE,"Super Senior"
)</f>
        <v>Middle Age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 s="1">
        <v>7166</v>
      </c>
      <c r="P139" s="1">
        <v>7997</v>
      </c>
      <c r="Q139" s="1">
        <v>8792</v>
      </c>
      <c r="R139" s="1">
        <v>9189</v>
      </c>
      <c r="S139" s="1">
        <v>4404</v>
      </c>
      <c r="T139" s="1">
        <v>5708</v>
      </c>
      <c r="U139" s="1">
        <v>1500</v>
      </c>
      <c r="V139" s="1">
        <v>1500</v>
      </c>
      <c r="W139" s="1">
        <v>1000</v>
      </c>
      <c r="X139" s="1">
        <v>500</v>
      </c>
      <c r="Y139" s="1">
        <v>2000</v>
      </c>
      <c r="Z139" s="1">
        <v>546</v>
      </c>
      <c r="AA139">
        <v>0</v>
      </c>
      <c r="AB139" t="str">
        <f t="shared" si="2"/>
        <v>Not Defaulter</v>
      </c>
      <c r="AC139" s="1">
        <f>Table2[[#This Row],[BILL_AMT1]]-Table2[[#This Row],[PAY_AMT1]]</f>
        <v>5666</v>
      </c>
      <c r="AD139" s="1" t="str" cm="1">
        <f t="array" ref="AD139">_xlfn.IFS(Table2[[#This Row],[PAYMENT GAP]]&lt;=0,"No Gap / Overpaid",Table2[[#This Row],[PAYMENT GAP]]&lt;=25000,"Low Gap",Table2[[#This Row],[PAYMENT GAP]]&lt;=100000,"Medium Gap",
TRUE,"High Gap"
)</f>
        <v>Low Gap</v>
      </c>
    </row>
    <row r="140" spans="1:30" x14ac:dyDescent="0.3">
      <c r="A140">
        <v>139</v>
      </c>
      <c r="B140" s="1">
        <v>50000</v>
      </c>
      <c r="C140" s="1" t="str" cm="1">
        <f t="array" ref="C140">_xlfn.IFS(Table2[[#This Row],[LIMIT_BAL]]&lt;=100000,"Low",Table2[[#This Row],[LIMIT_BAL]]&lt;=300000,"Medium",
TRUE,"High"
)</f>
        <v>Low</v>
      </c>
      <c r="D140" t="s">
        <v>2041</v>
      </c>
      <c r="E140" t="s">
        <v>2027</v>
      </c>
      <c r="F140" t="s">
        <v>2028</v>
      </c>
      <c r="G140">
        <v>51</v>
      </c>
      <c r="H140" t="str" cm="1">
        <f t="array" ref="H140">_xlfn.IFS(
Table2[[#This Row],[AGE]]&lt;30,"Young",
Table2[[#This Row],[AGE]]&lt;40,"Middle Age",
Table2[[#This Row],[AGE]]&lt;50,"Senior",
TRUE,"Super Senior"
)</f>
        <v>Super Senior</v>
      </c>
      <c r="I140">
        <v>-1</v>
      </c>
      <c r="J140">
        <v>-1</v>
      </c>
      <c r="K140">
        <v>-1</v>
      </c>
      <c r="L140">
        <v>-1</v>
      </c>
      <c r="M140">
        <v>-2</v>
      </c>
      <c r="N140">
        <v>-2</v>
      </c>
      <c r="O140" s="1">
        <v>752</v>
      </c>
      <c r="P140" s="1">
        <v>300</v>
      </c>
      <c r="Q140" s="1">
        <v>5880</v>
      </c>
      <c r="R140" s="1">
        <v>0</v>
      </c>
      <c r="S140" s="1">
        <v>0</v>
      </c>
      <c r="T140" s="1">
        <v>0</v>
      </c>
      <c r="U140" s="1">
        <v>300</v>
      </c>
      <c r="V140" s="1">
        <v>5880</v>
      </c>
      <c r="W140" s="1">
        <v>0</v>
      </c>
      <c r="X140" s="1">
        <v>0</v>
      </c>
      <c r="Y140" s="1">
        <v>0</v>
      </c>
      <c r="Z140" s="1">
        <v>0</v>
      </c>
      <c r="AA140">
        <v>1</v>
      </c>
      <c r="AB140" t="str">
        <f t="shared" si="2"/>
        <v>Defaulter</v>
      </c>
      <c r="AC140" s="1">
        <f>Table2[[#This Row],[BILL_AMT1]]-Table2[[#This Row],[PAY_AMT1]]</f>
        <v>452</v>
      </c>
      <c r="AD140" s="1" t="str" cm="1">
        <f t="array" ref="AD140">_xlfn.IFS(Table2[[#This Row],[PAYMENT GAP]]&lt;=0,"No Gap / Overpaid",Table2[[#This Row],[PAYMENT GAP]]&lt;=25000,"Low Gap",Table2[[#This Row],[PAYMENT GAP]]&lt;=100000,"Medium Gap",
TRUE,"High Gap"
)</f>
        <v>Low Gap</v>
      </c>
    </row>
    <row r="141" spans="1:30" x14ac:dyDescent="0.3">
      <c r="A141">
        <v>140</v>
      </c>
      <c r="B141" s="1">
        <v>50000</v>
      </c>
      <c r="C141" s="1" t="str" cm="1">
        <f t="array" ref="C141">_xlfn.IFS(Table2[[#This Row],[LIMIT_BAL]]&lt;=100000,"Low",Table2[[#This Row],[LIMIT_BAL]]&lt;=300000,"Medium",
TRUE,"High"
)</f>
        <v>Low</v>
      </c>
      <c r="D141" t="s">
        <v>2042</v>
      </c>
      <c r="E141" t="s">
        <v>2026</v>
      </c>
      <c r="F141" t="s">
        <v>2029</v>
      </c>
      <c r="G141">
        <v>24</v>
      </c>
      <c r="H141" t="str" cm="1">
        <f t="array" ref="H141">_xlfn.IFS(
Table2[[#This Row],[AGE]]&lt;30,"Young",
Table2[[#This Row],[AGE]]&lt;40,"Middle Age",
Table2[[#This Row],[AGE]]&lt;50,"Senior",
TRUE,"Super Senior"
)</f>
        <v>Young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 s="1">
        <v>50801</v>
      </c>
      <c r="P141" s="1">
        <v>50143</v>
      </c>
      <c r="Q141" s="1">
        <v>49586</v>
      </c>
      <c r="R141" s="1">
        <v>19430</v>
      </c>
      <c r="S141" s="1">
        <v>19375</v>
      </c>
      <c r="T141" s="1">
        <v>18995</v>
      </c>
      <c r="U141" s="1">
        <v>2360</v>
      </c>
      <c r="V141" s="1">
        <v>1700</v>
      </c>
      <c r="W141" s="1">
        <v>1000</v>
      </c>
      <c r="X141" s="1">
        <v>900</v>
      </c>
      <c r="Y141" s="1">
        <v>870</v>
      </c>
      <c r="Z141" s="1">
        <v>2130</v>
      </c>
      <c r="AA141">
        <v>0</v>
      </c>
      <c r="AB141" t="str">
        <f t="shared" si="2"/>
        <v>Not Defaulter</v>
      </c>
      <c r="AC141" s="1">
        <f>Table2[[#This Row],[BILL_AMT1]]-Table2[[#This Row],[PAY_AMT1]]</f>
        <v>48441</v>
      </c>
      <c r="AD141" s="1" t="str" cm="1">
        <f t="array" ref="AD141">_xlfn.IFS(Table2[[#This Row],[PAYMENT GAP]]&lt;=0,"No Gap / Overpaid",Table2[[#This Row],[PAYMENT GAP]]&lt;=25000,"Low Gap",Table2[[#This Row],[PAYMENT GAP]]&lt;=100000,"Medium Gap",
TRUE,"High Gap"
)</f>
        <v>Medium Gap</v>
      </c>
    </row>
    <row r="142" spans="1:30" x14ac:dyDescent="0.3">
      <c r="A142">
        <v>141</v>
      </c>
      <c r="B142" s="1">
        <v>240000</v>
      </c>
      <c r="C142" s="1" t="str" cm="1">
        <f t="array" ref="C142">_xlfn.IFS(Table2[[#This Row],[LIMIT_BAL]]&lt;=100000,"Low",Table2[[#This Row],[LIMIT_BAL]]&lt;=300000,"Medium",
TRUE,"High"
)</f>
        <v>Medium</v>
      </c>
      <c r="D142" t="s">
        <v>2042</v>
      </c>
      <c r="E142" t="s">
        <v>2026</v>
      </c>
      <c r="F142" t="s">
        <v>2029</v>
      </c>
      <c r="G142">
        <v>47</v>
      </c>
      <c r="H142" t="str" cm="1">
        <f t="array" ref="H142">_xlfn.IFS(
Table2[[#This Row],[AGE]]&lt;30,"Young",
Table2[[#This Row],[AGE]]&lt;40,"Middle Age",
Table2[[#This Row],[AGE]]&lt;50,"Senior",
TRUE,"Super Senior"
)</f>
        <v>Senior</v>
      </c>
      <c r="I142">
        <v>1</v>
      </c>
      <c r="J142">
        <v>-2</v>
      </c>
      <c r="K142">
        <v>-2</v>
      </c>
      <c r="L142">
        <v>-2</v>
      </c>
      <c r="M142">
        <v>-2</v>
      </c>
      <c r="N142">
        <v>-2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>
        <v>1</v>
      </c>
      <c r="AB142" t="str">
        <f t="shared" si="2"/>
        <v>Defaulter</v>
      </c>
      <c r="AC142" s="1">
        <f>Table2[[#This Row],[BILL_AMT1]]-Table2[[#This Row],[PAY_AMT1]]</f>
        <v>0</v>
      </c>
      <c r="AD142" s="1" t="str" cm="1">
        <f t="array" ref="AD142">_xlfn.IFS(Table2[[#This Row],[PAYMENT GAP]]&lt;=0,"No Gap / Overpaid",Table2[[#This Row],[PAYMENT GAP]]&lt;=25000,"Low Gap",Table2[[#This Row],[PAYMENT GAP]]&lt;=100000,"Medium Gap",
TRUE,"High Gap"
)</f>
        <v>No Gap / Overpaid</v>
      </c>
    </row>
    <row r="143" spans="1:30" x14ac:dyDescent="0.3">
      <c r="A143">
        <v>142</v>
      </c>
      <c r="B143" s="1">
        <v>180000</v>
      </c>
      <c r="C143" s="1" t="str" cm="1">
        <f t="array" ref="C143">_xlfn.IFS(Table2[[#This Row],[LIMIT_BAL]]&lt;=100000,"Low",Table2[[#This Row],[LIMIT_BAL]]&lt;=300000,"Medium",
TRUE,"High"
)</f>
        <v>Medium</v>
      </c>
      <c r="D143" t="s">
        <v>2042</v>
      </c>
      <c r="E143" t="s">
        <v>2043</v>
      </c>
      <c r="F143" t="s">
        <v>2029</v>
      </c>
      <c r="G143">
        <v>28</v>
      </c>
      <c r="H143" t="str" cm="1">
        <f t="array" ref="H143">_xlfn.IFS(
Table2[[#This Row],[AGE]]&lt;30,"Young",
Table2[[#This Row],[AGE]]&lt;40,"Middle Age",
Table2[[#This Row],[AGE]]&lt;50,"Senior",
TRUE,"Super Senior"
)</f>
        <v>Young</v>
      </c>
      <c r="I143">
        <v>-1</v>
      </c>
      <c r="J143">
        <v>-1</v>
      </c>
      <c r="K143">
        <v>-1</v>
      </c>
      <c r="L143">
        <v>-1</v>
      </c>
      <c r="M143">
        <v>-1</v>
      </c>
      <c r="N143">
        <v>-1</v>
      </c>
      <c r="O143" s="1">
        <v>1832</v>
      </c>
      <c r="P143" s="1">
        <v>0</v>
      </c>
      <c r="Q143" s="1">
        <v>832</v>
      </c>
      <c r="R143" s="1">
        <v>332</v>
      </c>
      <c r="S143" s="1">
        <v>416</v>
      </c>
      <c r="T143" s="1">
        <v>416</v>
      </c>
      <c r="U143" s="1">
        <v>0</v>
      </c>
      <c r="V143" s="1">
        <v>416</v>
      </c>
      <c r="W143" s="1">
        <v>332</v>
      </c>
      <c r="X143" s="1">
        <v>500</v>
      </c>
      <c r="Y143" s="1">
        <v>3500</v>
      </c>
      <c r="Z143" s="1">
        <v>832</v>
      </c>
      <c r="AA143">
        <v>0</v>
      </c>
      <c r="AB143" t="str">
        <f t="shared" si="2"/>
        <v>Not Defaulter</v>
      </c>
      <c r="AC143" s="1">
        <f>Table2[[#This Row],[BILL_AMT1]]-Table2[[#This Row],[PAY_AMT1]]</f>
        <v>1832</v>
      </c>
      <c r="AD143" s="1" t="str" cm="1">
        <f t="array" ref="AD143">_xlfn.IFS(Table2[[#This Row],[PAYMENT GAP]]&lt;=0,"No Gap / Overpaid",Table2[[#This Row],[PAYMENT GAP]]&lt;=25000,"Low Gap",Table2[[#This Row],[PAYMENT GAP]]&lt;=100000,"Medium Gap",
TRUE,"High Gap"
)</f>
        <v>Low Gap</v>
      </c>
    </row>
    <row r="144" spans="1:30" x14ac:dyDescent="0.3">
      <c r="A144">
        <v>143</v>
      </c>
      <c r="B144" s="1">
        <v>50000</v>
      </c>
      <c r="C144" s="1" t="str" cm="1">
        <f t="array" ref="C144">_xlfn.IFS(Table2[[#This Row],[LIMIT_BAL]]&lt;=100000,"Low",Table2[[#This Row],[LIMIT_BAL]]&lt;=300000,"Medium",
TRUE,"High"
)</f>
        <v>Low</v>
      </c>
      <c r="D144" t="s">
        <v>2042</v>
      </c>
      <c r="E144" t="s">
        <v>2043</v>
      </c>
      <c r="F144" t="s">
        <v>2029</v>
      </c>
      <c r="G144">
        <v>23</v>
      </c>
      <c r="H144" t="str" cm="1">
        <f t="array" ref="H144">_xlfn.IFS(
Table2[[#This Row],[AGE]]&lt;30,"Young",
Table2[[#This Row],[AGE]]&lt;40,"Middle Age",
Table2[[#This Row],[AGE]]&lt;50,"Senior",
TRUE,"Super Senior"
)</f>
        <v>Young</v>
      </c>
      <c r="I144">
        <v>1</v>
      </c>
      <c r="J144">
        <v>2</v>
      </c>
      <c r="K144">
        <v>2</v>
      </c>
      <c r="L144">
        <v>2</v>
      </c>
      <c r="M144">
        <v>0</v>
      </c>
      <c r="N144">
        <v>0</v>
      </c>
      <c r="O144" s="1">
        <v>10131</v>
      </c>
      <c r="P144" s="1">
        <v>10833</v>
      </c>
      <c r="Q144" s="1">
        <v>20583</v>
      </c>
      <c r="R144" s="1">
        <v>19996</v>
      </c>
      <c r="S144" s="1">
        <v>19879</v>
      </c>
      <c r="T144" s="1">
        <v>18065</v>
      </c>
      <c r="U144" s="1">
        <v>1000</v>
      </c>
      <c r="V144" s="1">
        <v>10000</v>
      </c>
      <c r="W144" s="1">
        <v>400</v>
      </c>
      <c r="X144" s="1">
        <v>700</v>
      </c>
      <c r="Y144" s="1">
        <v>800</v>
      </c>
      <c r="Z144" s="1">
        <v>600</v>
      </c>
      <c r="AA144">
        <v>0</v>
      </c>
      <c r="AB144" t="str">
        <f t="shared" si="2"/>
        <v>Not Defaulter</v>
      </c>
      <c r="AC144" s="1">
        <f>Table2[[#This Row],[BILL_AMT1]]-Table2[[#This Row],[PAY_AMT1]]</f>
        <v>9131</v>
      </c>
      <c r="AD144" s="1" t="str" cm="1">
        <f t="array" ref="AD144">_xlfn.IFS(Table2[[#This Row],[PAYMENT GAP]]&lt;=0,"No Gap / Overpaid",Table2[[#This Row],[PAYMENT GAP]]&lt;=25000,"Low Gap",Table2[[#This Row],[PAYMENT GAP]]&lt;=100000,"Medium Gap",
TRUE,"High Gap"
)</f>
        <v>Low Gap</v>
      </c>
    </row>
    <row r="145" spans="1:30" x14ac:dyDescent="0.3">
      <c r="A145">
        <v>144</v>
      </c>
      <c r="B145" s="1">
        <v>170000</v>
      </c>
      <c r="C145" s="1" t="str" cm="1">
        <f t="array" ref="C145">_xlfn.IFS(Table2[[#This Row],[LIMIT_BAL]]&lt;=100000,"Low",Table2[[#This Row],[LIMIT_BAL]]&lt;=300000,"Medium",
TRUE,"High"
)</f>
        <v>Medium</v>
      </c>
      <c r="D145" t="s">
        <v>2042</v>
      </c>
      <c r="E145" t="s">
        <v>2043</v>
      </c>
      <c r="F145" t="s">
        <v>2029</v>
      </c>
      <c r="G145">
        <v>29</v>
      </c>
      <c r="H145" t="str" cm="1">
        <f t="array" ref="H145">_xlfn.IFS(
Table2[[#This Row],[AGE]]&lt;30,"Young",
Table2[[#This Row],[AGE]]&lt;40,"Middle Age",
Table2[[#This Row],[AGE]]&lt;50,"Senior",
TRUE,"Super Senior"
)</f>
        <v>Young</v>
      </c>
      <c r="I145">
        <v>-2</v>
      </c>
      <c r="J145">
        <v>-2</v>
      </c>
      <c r="K145">
        <v>-2</v>
      </c>
      <c r="L145">
        <v>-2</v>
      </c>
      <c r="M145">
        <v>-2</v>
      </c>
      <c r="N145">
        <v>-2</v>
      </c>
      <c r="O145" s="1">
        <v>12159</v>
      </c>
      <c r="P145" s="1">
        <v>10000</v>
      </c>
      <c r="Q145" s="1">
        <v>10000</v>
      </c>
      <c r="R145" s="1">
        <v>10000</v>
      </c>
      <c r="S145" s="1">
        <v>9983</v>
      </c>
      <c r="T145" s="1">
        <v>15846</v>
      </c>
      <c r="U145" s="1">
        <v>10000</v>
      </c>
      <c r="V145" s="1">
        <v>10000</v>
      </c>
      <c r="W145" s="1">
        <v>10000</v>
      </c>
      <c r="X145" s="1">
        <v>9983</v>
      </c>
      <c r="Y145" s="1">
        <v>15863</v>
      </c>
      <c r="Z145" s="1">
        <v>10000</v>
      </c>
      <c r="AA145">
        <v>0</v>
      </c>
      <c r="AB145" t="str">
        <f t="shared" si="2"/>
        <v>Not Defaulter</v>
      </c>
      <c r="AC145" s="1">
        <f>Table2[[#This Row],[BILL_AMT1]]-Table2[[#This Row],[PAY_AMT1]]</f>
        <v>2159</v>
      </c>
      <c r="AD145" s="1" t="str" cm="1">
        <f t="array" ref="AD145">_xlfn.IFS(Table2[[#This Row],[PAYMENT GAP]]&lt;=0,"No Gap / Overpaid",Table2[[#This Row],[PAYMENT GAP]]&lt;=25000,"Low Gap",Table2[[#This Row],[PAYMENT GAP]]&lt;=100000,"Medium Gap",
TRUE,"High Gap"
)</f>
        <v>Low Gap</v>
      </c>
    </row>
    <row r="146" spans="1:30" x14ac:dyDescent="0.3">
      <c r="A146">
        <v>145</v>
      </c>
      <c r="B146" s="1">
        <v>20000</v>
      </c>
      <c r="C146" s="1" t="str" cm="1">
        <f t="array" ref="C146">_xlfn.IFS(Table2[[#This Row],[LIMIT_BAL]]&lt;=100000,"Low",Table2[[#This Row],[LIMIT_BAL]]&lt;=300000,"Medium",
TRUE,"High"
)</f>
        <v>Low</v>
      </c>
      <c r="D146" t="s">
        <v>2042</v>
      </c>
      <c r="E146" t="s">
        <v>2026</v>
      </c>
      <c r="F146" t="s">
        <v>2029</v>
      </c>
      <c r="G146">
        <v>29</v>
      </c>
      <c r="H146" t="str" cm="1">
        <f t="array" ref="H146">_xlfn.IFS(
Table2[[#This Row],[AGE]]&lt;30,"Young",
Table2[[#This Row],[AGE]]&lt;40,"Middle Age",
Table2[[#This Row],[AGE]]&lt;50,"Senior",
TRUE,"Super Senior"
)</f>
        <v>Young</v>
      </c>
      <c r="I146">
        <v>-1</v>
      </c>
      <c r="J146">
        <v>-1</v>
      </c>
      <c r="K146">
        <v>-1</v>
      </c>
      <c r="L146">
        <v>-1</v>
      </c>
      <c r="M146">
        <v>0</v>
      </c>
      <c r="N146">
        <v>-1</v>
      </c>
      <c r="O146" s="1">
        <v>1199</v>
      </c>
      <c r="P146" s="1">
        <v>15586</v>
      </c>
      <c r="Q146" s="1">
        <v>344</v>
      </c>
      <c r="R146" s="1">
        <v>2340</v>
      </c>
      <c r="S146" s="1">
        <v>6702</v>
      </c>
      <c r="T146" s="1">
        <v>339</v>
      </c>
      <c r="U146" s="1">
        <v>15586</v>
      </c>
      <c r="V146" s="1">
        <v>344</v>
      </c>
      <c r="W146" s="1">
        <v>2340</v>
      </c>
      <c r="X146" s="1">
        <v>4702</v>
      </c>
      <c r="Y146" s="1">
        <v>339</v>
      </c>
      <c r="Z146" s="1">
        <v>330</v>
      </c>
      <c r="AA146">
        <v>0</v>
      </c>
      <c r="AB146" t="str">
        <f t="shared" si="2"/>
        <v>Not Defaulter</v>
      </c>
      <c r="AC146" s="1">
        <f>Table2[[#This Row],[BILL_AMT1]]-Table2[[#This Row],[PAY_AMT1]]</f>
        <v>-14387</v>
      </c>
      <c r="AD146" s="1" t="str" cm="1">
        <f t="array" ref="AD146">_xlfn.IFS(Table2[[#This Row],[PAYMENT GAP]]&lt;=0,"No Gap / Overpaid",Table2[[#This Row],[PAYMENT GAP]]&lt;=25000,"Low Gap",Table2[[#This Row],[PAYMENT GAP]]&lt;=100000,"Medium Gap",
TRUE,"High Gap"
)</f>
        <v>No Gap / Overpaid</v>
      </c>
    </row>
    <row r="147" spans="1:30" x14ac:dyDescent="0.3">
      <c r="A147">
        <v>146</v>
      </c>
      <c r="B147" s="1">
        <v>50000</v>
      </c>
      <c r="C147" s="1" t="str" cm="1">
        <f t="array" ref="C147">_xlfn.IFS(Table2[[#This Row],[LIMIT_BAL]]&lt;=100000,"Low",Table2[[#This Row],[LIMIT_BAL]]&lt;=300000,"Medium",
TRUE,"High"
)</f>
        <v>Low</v>
      </c>
      <c r="D147" t="s">
        <v>2042</v>
      </c>
      <c r="E147" t="s">
        <v>2026</v>
      </c>
      <c r="F147" t="s">
        <v>2029</v>
      </c>
      <c r="G147">
        <v>28</v>
      </c>
      <c r="H147" t="str" cm="1">
        <f t="array" ref="H147">_xlfn.IFS(
Table2[[#This Row],[AGE]]&lt;30,"Young",
Table2[[#This Row],[AGE]]&lt;40,"Middle Age",
Table2[[#This Row],[AGE]]&lt;50,"Senior",
TRUE,"Super Senior"
)</f>
        <v>Young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3</v>
      </c>
      <c r="O147" s="1">
        <v>4999</v>
      </c>
      <c r="P147" s="1">
        <v>5913</v>
      </c>
      <c r="Q147" s="1">
        <v>7315</v>
      </c>
      <c r="R147" s="1">
        <v>9195</v>
      </c>
      <c r="S147" s="1">
        <v>10624</v>
      </c>
      <c r="T147" s="1">
        <v>10138</v>
      </c>
      <c r="U147" s="1">
        <v>1000</v>
      </c>
      <c r="V147" s="1">
        <v>1500</v>
      </c>
      <c r="W147" s="1">
        <v>2000</v>
      </c>
      <c r="X147" s="1">
        <v>1583</v>
      </c>
      <c r="Y147" s="1">
        <v>1100</v>
      </c>
      <c r="Z147" s="1">
        <v>0</v>
      </c>
      <c r="AA147">
        <v>0</v>
      </c>
      <c r="AB147" t="str">
        <f t="shared" si="2"/>
        <v>Not Defaulter</v>
      </c>
      <c r="AC147" s="1">
        <f>Table2[[#This Row],[BILL_AMT1]]-Table2[[#This Row],[PAY_AMT1]]</f>
        <v>3999</v>
      </c>
      <c r="AD147" s="1" t="str" cm="1">
        <f t="array" ref="AD147">_xlfn.IFS(Table2[[#This Row],[PAYMENT GAP]]&lt;=0,"No Gap / Overpaid",Table2[[#This Row],[PAYMENT GAP]]&lt;=25000,"Low Gap",Table2[[#This Row],[PAYMENT GAP]]&lt;=100000,"Medium Gap",
TRUE,"High Gap"
)</f>
        <v>Low Gap</v>
      </c>
    </row>
    <row r="148" spans="1:30" x14ac:dyDescent="0.3">
      <c r="A148">
        <v>147</v>
      </c>
      <c r="B148" s="1">
        <v>170000</v>
      </c>
      <c r="C148" s="1" t="str" cm="1">
        <f t="array" ref="C148">_xlfn.IFS(Table2[[#This Row],[LIMIT_BAL]]&lt;=100000,"Low",Table2[[#This Row],[LIMIT_BAL]]&lt;=300000,"Medium",
TRUE,"High"
)</f>
        <v>Medium</v>
      </c>
      <c r="D148" t="s">
        <v>2041</v>
      </c>
      <c r="E148" t="s">
        <v>2043</v>
      </c>
      <c r="F148" t="s">
        <v>2029</v>
      </c>
      <c r="G148">
        <v>27</v>
      </c>
      <c r="H148" t="str" cm="1">
        <f t="array" ref="H148">_xlfn.IFS(
Table2[[#This Row],[AGE]]&lt;30,"Young",
Table2[[#This Row],[AGE]]&lt;40,"Middle Age",
Table2[[#This Row],[AGE]]&lt;50,"Senior",
TRUE,"Super Senior"
)</f>
        <v>Young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 s="1">
        <v>19269</v>
      </c>
      <c r="P148" s="1">
        <v>20313</v>
      </c>
      <c r="Q148" s="1">
        <v>20852</v>
      </c>
      <c r="R148" s="1">
        <v>17560</v>
      </c>
      <c r="S148" s="1">
        <v>17918</v>
      </c>
      <c r="T148" s="1">
        <v>9100</v>
      </c>
      <c r="U148" s="1">
        <v>1661</v>
      </c>
      <c r="V148" s="1">
        <v>1200</v>
      </c>
      <c r="W148" s="1">
        <v>351</v>
      </c>
      <c r="X148" s="1">
        <v>358</v>
      </c>
      <c r="Y148" s="1">
        <v>182</v>
      </c>
      <c r="Z148" s="1">
        <v>0</v>
      </c>
      <c r="AA148">
        <v>1</v>
      </c>
      <c r="AB148" t="str">
        <f t="shared" si="2"/>
        <v>Defaulter</v>
      </c>
      <c r="AC148" s="1">
        <f>Table2[[#This Row],[BILL_AMT1]]-Table2[[#This Row],[PAY_AMT1]]</f>
        <v>17608</v>
      </c>
      <c r="AD148" s="1" t="str" cm="1">
        <f t="array" ref="AD148">_xlfn.IFS(Table2[[#This Row],[PAYMENT GAP]]&lt;=0,"No Gap / Overpaid",Table2[[#This Row],[PAYMENT GAP]]&lt;=25000,"Low Gap",Table2[[#This Row],[PAYMENT GAP]]&lt;=100000,"Medium Gap",
TRUE,"High Gap"
)</f>
        <v>Low Gap</v>
      </c>
    </row>
    <row r="149" spans="1:30" x14ac:dyDescent="0.3">
      <c r="A149">
        <v>148</v>
      </c>
      <c r="B149" s="1">
        <v>200000</v>
      </c>
      <c r="C149" s="1" t="str" cm="1">
        <f t="array" ref="C149">_xlfn.IFS(Table2[[#This Row],[LIMIT_BAL]]&lt;=100000,"Low",Table2[[#This Row],[LIMIT_BAL]]&lt;=300000,"Medium",
TRUE,"High"
)</f>
        <v>Medium</v>
      </c>
      <c r="D149" t="s">
        <v>2042</v>
      </c>
      <c r="E149" t="s">
        <v>2026</v>
      </c>
      <c r="F149" t="s">
        <v>2029</v>
      </c>
      <c r="G149">
        <v>34</v>
      </c>
      <c r="H149" t="str" cm="1">
        <f t="array" ref="H149">_xlfn.IFS(
Table2[[#This Row],[AGE]]&lt;30,"Young",
Table2[[#This Row],[AGE]]&lt;40,"Middle Age",
Table2[[#This Row],[AGE]]&lt;50,"Senior",
TRUE,"Super Senior"
)</f>
        <v>Middle Age</v>
      </c>
      <c r="I149">
        <v>1</v>
      </c>
      <c r="J149">
        <v>2</v>
      </c>
      <c r="K149">
        <v>0</v>
      </c>
      <c r="L149">
        <v>0</v>
      </c>
      <c r="M149">
        <v>0</v>
      </c>
      <c r="N149">
        <v>0</v>
      </c>
      <c r="O149" s="1">
        <v>197236</v>
      </c>
      <c r="P149" s="1">
        <v>176192</v>
      </c>
      <c r="Q149" s="1">
        <v>93069</v>
      </c>
      <c r="R149" s="1">
        <v>135668</v>
      </c>
      <c r="S149" s="1">
        <v>132233</v>
      </c>
      <c r="T149" s="1">
        <v>59875</v>
      </c>
      <c r="U149" s="1">
        <v>8000</v>
      </c>
      <c r="V149" s="1">
        <v>5000</v>
      </c>
      <c r="W149" s="1">
        <v>55500</v>
      </c>
      <c r="X149" s="1">
        <v>5000</v>
      </c>
      <c r="Y149" s="1">
        <v>5000</v>
      </c>
      <c r="Z149" s="1">
        <v>8500</v>
      </c>
      <c r="AA149">
        <v>0</v>
      </c>
      <c r="AB149" t="str">
        <f t="shared" si="2"/>
        <v>Not Defaulter</v>
      </c>
      <c r="AC149" s="1">
        <f>Table2[[#This Row],[BILL_AMT1]]-Table2[[#This Row],[PAY_AMT1]]</f>
        <v>189236</v>
      </c>
      <c r="AD149" s="1" t="str" cm="1">
        <f t="array" ref="AD149">_xlfn.IFS(Table2[[#This Row],[PAYMENT GAP]]&lt;=0,"No Gap / Overpaid",Table2[[#This Row],[PAYMENT GAP]]&lt;=25000,"Low Gap",Table2[[#This Row],[PAYMENT GAP]]&lt;=100000,"Medium Gap",
TRUE,"High Gap"
)</f>
        <v>High Gap</v>
      </c>
    </row>
    <row r="150" spans="1:30" x14ac:dyDescent="0.3">
      <c r="A150">
        <v>149</v>
      </c>
      <c r="B150" s="1">
        <v>80000</v>
      </c>
      <c r="C150" s="1" t="str" cm="1">
        <f t="array" ref="C150">_xlfn.IFS(Table2[[#This Row],[LIMIT_BAL]]&lt;=100000,"Low",Table2[[#This Row],[LIMIT_BAL]]&lt;=300000,"Medium",
TRUE,"High"
)</f>
        <v>Low</v>
      </c>
      <c r="D150" t="s">
        <v>2041</v>
      </c>
      <c r="E150" t="s">
        <v>2043</v>
      </c>
      <c r="F150" t="s">
        <v>2028</v>
      </c>
      <c r="G150">
        <v>23</v>
      </c>
      <c r="H150" t="str" cm="1">
        <f t="array" ref="H150">_xlfn.IFS(
Table2[[#This Row],[AGE]]&lt;30,"Young",
Table2[[#This Row],[AGE]]&lt;40,"Middle Age",
Table2[[#This Row],[AGE]]&lt;50,"Senior",
TRUE,"Super Senior"
)</f>
        <v>Young</v>
      </c>
      <c r="I150">
        <v>1</v>
      </c>
      <c r="J150">
        <v>2</v>
      </c>
      <c r="K150">
        <v>3</v>
      </c>
      <c r="L150">
        <v>2</v>
      </c>
      <c r="M150">
        <v>0</v>
      </c>
      <c r="N150">
        <v>0</v>
      </c>
      <c r="O150" s="1">
        <v>9168</v>
      </c>
      <c r="P150" s="1">
        <v>10522</v>
      </c>
      <c r="Q150" s="1">
        <v>10205</v>
      </c>
      <c r="R150" s="1">
        <v>9898</v>
      </c>
      <c r="S150" s="1">
        <v>10123</v>
      </c>
      <c r="T150" s="1">
        <v>12034</v>
      </c>
      <c r="U150" s="1">
        <v>1650</v>
      </c>
      <c r="V150" s="1">
        <v>0</v>
      </c>
      <c r="W150" s="1">
        <v>0</v>
      </c>
      <c r="X150" s="1">
        <v>379</v>
      </c>
      <c r="Y150" s="1">
        <v>2091</v>
      </c>
      <c r="Z150" s="1">
        <v>1</v>
      </c>
      <c r="AA150">
        <v>0</v>
      </c>
      <c r="AB150" t="str">
        <f t="shared" si="2"/>
        <v>Not Defaulter</v>
      </c>
      <c r="AC150" s="1">
        <f>Table2[[#This Row],[BILL_AMT1]]-Table2[[#This Row],[PAY_AMT1]]</f>
        <v>7518</v>
      </c>
      <c r="AD150" s="1" t="str" cm="1">
        <f t="array" ref="AD150">_xlfn.IFS(Table2[[#This Row],[PAYMENT GAP]]&lt;=0,"No Gap / Overpaid",Table2[[#This Row],[PAYMENT GAP]]&lt;=25000,"Low Gap",Table2[[#This Row],[PAYMENT GAP]]&lt;=100000,"Medium Gap",
TRUE,"High Gap"
)</f>
        <v>Low Gap</v>
      </c>
    </row>
    <row r="151" spans="1:30" x14ac:dyDescent="0.3">
      <c r="A151">
        <v>150</v>
      </c>
      <c r="B151" s="1">
        <v>260000</v>
      </c>
      <c r="C151" s="1" t="str" cm="1">
        <f t="array" ref="C151">_xlfn.IFS(Table2[[#This Row],[LIMIT_BAL]]&lt;=100000,"Low",Table2[[#This Row],[LIMIT_BAL]]&lt;=300000,"Medium",
TRUE,"High"
)</f>
        <v>Medium</v>
      </c>
      <c r="D151" t="s">
        <v>2041</v>
      </c>
      <c r="E151" t="s">
        <v>2026</v>
      </c>
      <c r="F151" t="s">
        <v>2028</v>
      </c>
      <c r="G151">
        <v>60</v>
      </c>
      <c r="H151" t="str" cm="1">
        <f t="array" ref="H151">_xlfn.IFS(
Table2[[#This Row],[AGE]]&lt;30,"Young",
Table2[[#This Row],[AGE]]&lt;40,"Middle Age",
Table2[[#This Row],[AGE]]&lt;50,"Senior",
TRUE,"Super Senior"
)</f>
        <v>Super Senior</v>
      </c>
      <c r="I151">
        <v>1</v>
      </c>
      <c r="J151">
        <v>-2</v>
      </c>
      <c r="K151">
        <v>-1</v>
      </c>
      <c r="L151">
        <v>-1</v>
      </c>
      <c r="M151">
        <v>-1</v>
      </c>
      <c r="N151">
        <v>-1</v>
      </c>
      <c r="O151" s="1">
        <v>-1100</v>
      </c>
      <c r="P151" s="1">
        <v>-1100</v>
      </c>
      <c r="Q151" s="1">
        <v>21400</v>
      </c>
      <c r="R151" s="1">
        <v>0</v>
      </c>
      <c r="S151" s="1">
        <v>969</v>
      </c>
      <c r="T151" s="1">
        <v>869</v>
      </c>
      <c r="U151" s="1">
        <v>0</v>
      </c>
      <c r="V151" s="1">
        <v>22500</v>
      </c>
      <c r="W151" s="1">
        <v>0</v>
      </c>
      <c r="X151" s="1">
        <v>969</v>
      </c>
      <c r="Y151" s="1">
        <v>1000</v>
      </c>
      <c r="Z151" s="1">
        <v>0</v>
      </c>
      <c r="AA151">
        <v>0</v>
      </c>
      <c r="AB151" t="str">
        <f t="shared" si="2"/>
        <v>Not Defaulter</v>
      </c>
      <c r="AC151" s="1">
        <f>Table2[[#This Row],[BILL_AMT1]]-Table2[[#This Row],[PAY_AMT1]]</f>
        <v>-1100</v>
      </c>
      <c r="AD151" s="1" t="str" cm="1">
        <f t="array" ref="AD151">_xlfn.IFS(Table2[[#This Row],[PAYMENT GAP]]&lt;=0,"No Gap / Overpaid",Table2[[#This Row],[PAYMENT GAP]]&lt;=25000,"Low Gap",Table2[[#This Row],[PAYMENT GAP]]&lt;=100000,"Medium Gap",
TRUE,"High Gap"
)</f>
        <v>No Gap / Overpaid</v>
      </c>
    </row>
    <row r="152" spans="1:30" x14ac:dyDescent="0.3">
      <c r="A152">
        <v>151</v>
      </c>
      <c r="B152" s="1">
        <v>140000</v>
      </c>
      <c r="C152" s="1" t="str" cm="1">
        <f t="array" ref="C152">_xlfn.IFS(Table2[[#This Row],[LIMIT_BAL]]&lt;=100000,"Low",Table2[[#This Row],[LIMIT_BAL]]&lt;=300000,"Medium",
TRUE,"High"
)</f>
        <v>Medium</v>
      </c>
      <c r="D152" t="s">
        <v>2042</v>
      </c>
      <c r="E152" t="s">
        <v>2043</v>
      </c>
      <c r="F152" t="s">
        <v>2028</v>
      </c>
      <c r="G152">
        <v>32</v>
      </c>
      <c r="H152" t="str" cm="1">
        <f t="array" ref="H152">_xlfn.IFS(
Table2[[#This Row],[AGE]]&lt;30,"Young",
Table2[[#This Row],[AGE]]&lt;40,"Middle Age",
Table2[[#This Row],[AGE]]&lt;50,"Senior",
TRUE,"Super Senior"
)</f>
        <v>Middle Age</v>
      </c>
      <c r="I152">
        <v>0</v>
      </c>
      <c r="J152">
        <v>0</v>
      </c>
      <c r="K152">
        <v>0</v>
      </c>
      <c r="L152">
        <v>0</v>
      </c>
      <c r="M152">
        <v>2</v>
      </c>
      <c r="N152">
        <v>0</v>
      </c>
      <c r="O152" s="1">
        <v>86627</v>
      </c>
      <c r="P152" s="1">
        <v>78142</v>
      </c>
      <c r="Q152" s="1">
        <v>68336</v>
      </c>
      <c r="R152" s="1">
        <v>64648</v>
      </c>
      <c r="S152" s="1">
        <v>58319</v>
      </c>
      <c r="T152" s="1">
        <v>55251</v>
      </c>
      <c r="U152" s="1">
        <v>3455</v>
      </c>
      <c r="V152" s="1">
        <v>3110</v>
      </c>
      <c r="W152" s="1">
        <v>5000</v>
      </c>
      <c r="X152" s="1">
        <v>0</v>
      </c>
      <c r="Y152" s="1">
        <v>2100</v>
      </c>
      <c r="Z152" s="1">
        <v>2602</v>
      </c>
      <c r="AA152">
        <v>0</v>
      </c>
      <c r="AB152" t="str">
        <f t="shared" si="2"/>
        <v>Not Defaulter</v>
      </c>
      <c r="AC152" s="1">
        <f>Table2[[#This Row],[BILL_AMT1]]-Table2[[#This Row],[PAY_AMT1]]</f>
        <v>83172</v>
      </c>
      <c r="AD152" s="1" t="str" cm="1">
        <f t="array" ref="AD152">_xlfn.IFS(Table2[[#This Row],[PAYMENT GAP]]&lt;=0,"No Gap / Overpaid",Table2[[#This Row],[PAYMENT GAP]]&lt;=25000,"Low Gap",Table2[[#This Row],[PAYMENT GAP]]&lt;=100000,"Medium Gap",
TRUE,"High Gap"
)</f>
        <v>Medium Gap</v>
      </c>
    </row>
    <row r="153" spans="1:30" x14ac:dyDescent="0.3">
      <c r="A153">
        <v>152</v>
      </c>
      <c r="B153" s="1">
        <v>80000</v>
      </c>
      <c r="C153" s="1" t="str" cm="1">
        <f t="array" ref="C153">_xlfn.IFS(Table2[[#This Row],[LIMIT_BAL]]&lt;=100000,"Low",Table2[[#This Row],[LIMIT_BAL]]&lt;=300000,"Medium",
TRUE,"High"
)</f>
        <v>Low</v>
      </c>
      <c r="D153" t="s">
        <v>2042</v>
      </c>
      <c r="E153" t="s">
        <v>2026</v>
      </c>
      <c r="F153" t="s">
        <v>2029</v>
      </c>
      <c r="G153">
        <v>25</v>
      </c>
      <c r="H153" t="str" cm="1">
        <f t="array" ref="H153">_xlfn.IFS(
Table2[[#This Row],[AGE]]&lt;30,"Young",
Table2[[#This Row],[AGE]]&lt;40,"Middle Age",
Table2[[#This Row],[AGE]]&lt;50,"Senior",
TRUE,"Super Senior"
)</f>
        <v>Young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 s="1">
        <v>42444</v>
      </c>
      <c r="P153" s="1">
        <v>55744</v>
      </c>
      <c r="Q153" s="1">
        <v>43476</v>
      </c>
      <c r="R153" s="1">
        <v>41087</v>
      </c>
      <c r="S153" s="1">
        <v>41951</v>
      </c>
      <c r="T153" s="1">
        <v>31826</v>
      </c>
      <c r="U153" s="1">
        <v>30000</v>
      </c>
      <c r="V153" s="1">
        <v>3000</v>
      </c>
      <c r="W153" s="1">
        <v>6000</v>
      </c>
      <c r="X153" s="1">
        <v>8000</v>
      </c>
      <c r="Y153" s="1">
        <v>2000</v>
      </c>
      <c r="Z153" s="1">
        <v>14000</v>
      </c>
      <c r="AA153">
        <v>0</v>
      </c>
      <c r="AB153" t="str">
        <f t="shared" si="2"/>
        <v>Not Defaulter</v>
      </c>
      <c r="AC153" s="1">
        <f>Table2[[#This Row],[BILL_AMT1]]-Table2[[#This Row],[PAY_AMT1]]</f>
        <v>12444</v>
      </c>
      <c r="AD153" s="1" t="str" cm="1">
        <f t="array" ref="AD153">_xlfn.IFS(Table2[[#This Row],[PAYMENT GAP]]&lt;=0,"No Gap / Overpaid",Table2[[#This Row],[PAYMENT GAP]]&lt;=25000,"Low Gap",Table2[[#This Row],[PAYMENT GAP]]&lt;=100000,"Medium Gap",
TRUE,"High Gap"
)</f>
        <v>Low Gap</v>
      </c>
    </row>
    <row r="154" spans="1:30" x14ac:dyDescent="0.3">
      <c r="A154">
        <v>153</v>
      </c>
      <c r="B154" s="1">
        <v>350000</v>
      </c>
      <c r="C154" s="1" t="str" cm="1">
        <f t="array" ref="C154">_xlfn.IFS(Table2[[#This Row],[LIMIT_BAL]]&lt;=100000,"Low",Table2[[#This Row],[LIMIT_BAL]]&lt;=300000,"Medium",
TRUE,"High"
)</f>
        <v>High</v>
      </c>
      <c r="D154" t="s">
        <v>2042</v>
      </c>
      <c r="E154" t="s">
        <v>2026</v>
      </c>
      <c r="F154" t="s">
        <v>2029</v>
      </c>
      <c r="G154">
        <v>41</v>
      </c>
      <c r="H154" t="str" cm="1">
        <f t="array" ref="H154">_xlfn.IFS(
Table2[[#This Row],[AGE]]&lt;30,"Young",
Table2[[#This Row],[AGE]]&lt;40,"Middle Age",
Table2[[#This Row],[AGE]]&lt;50,"Senior",
TRUE,"Super Senior"
)</f>
        <v>Senior</v>
      </c>
      <c r="I154">
        <v>1</v>
      </c>
      <c r="J154">
        <v>-1</v>
      </c>
      <c r="K154">
        <v>-1</v>
      </c>
      <c r="L154">
        <v>-1</v>
      </c>
      <c r="M154">
        <v>-1</v>
      </c>
      <c r="N154">
        <v>-2</v>
      </c>
      <c r="O154" s="1">
        <v>208</v>
      </c>
      <c r="P154" s="1">
        <v>2906</v>
      </c>
      <c r="Q154" s="1">
        <v>1000</v>
      </c>
      <c r="R154" s="1">
        <v>630</v>
      </c>
      <c r="S154" s="1">
        <v>0</v>
      </c>
      <c r="T154" s="1">
        <v>0</v>
      </c>
      <c r="U154" s="1">
        <v>2906</v>
      </c>
      <c r="V154" s="1">
        <v>1000</v>
      </c>
      <c r="W154" s="1">
        <v>630</v>
      </c>
      <c r="X154" s="1">
        <v>0</v>
      </c>
      <c r="Y154" s="1">
        <v>0</v>
      </c>
      <c r="Z154" s="1">
        <v>0</v>
      </c>
      <c r="AA154">
        <v>0</v>
      </c>
      <c r="AB154" t="str">
        <f t="shared" si="2"/>
        <v>Not Defaulter</v>
      </c>
      <c r="AC154" s="1">
        <f>Table2[[#This Row],[BILL_AMT1]]-Table2[[#This Row],[PAY_AMT1]]</f>
        <v>-2698</v>
      </c>
      <c r="AD154" s="1" t="str" cm="1">
        <f t="array" ref="AD154">_xlfn.IFS(Table2[[#This Row],[PAYMENT GAP]]&lt;=0,"No Gap / Overpaid",Table2[[#This Row],[PAYMENT GAP]]&lt;=25000,"Low Gap",Table2[[#This Row],[PAYMENT GAP]]&lt;=100000,"Medium Gap",
TRUE,"High Gap"
)</f>
        <v>No Gap / Overpaid</v>
      </c>
    </row>
    <row r="155" spans="1:30" x14ac:dyDescent="0.3">
      <c r="A155">
        <v>154</v>
      </c>
      <c r="B155" s="1">
        <v>280000</v>
      </c>
      <c r="C155" s="1" t="str" cm="1">
        <f t="array" ref="C155">_xlfn.IFS(Table2[[#This Row],[LIMIT_BAL]]&lt;=100000,"Low",Table2[[#This Row],[LIMIT_BAL]]&lt;=300000,"Medium",
TRUE,"High"
)</f>
        <v>Medium</v>
      </c>
      <c r="D155" t="s">
        <v>2041</v>
      </c>
      <c r="E155" t="s">
        <v>2043</v>
      </c>
      <c r="F155" t="s">
        <v>2028</v>
      </c>
      <c r="G155">
        <v>56</v>
      </c>
      <c r="H155" t="str" cm="1">
        <f t="array" ref="H155">_xlfn.IFS(
Table2[[#This Row],[AGE]]&lt;30,"Young",
Table2[[#This Row],[AGE]]&lt;40,"Middle Age",
Table2[[#This Row],[AGE]]&lt;50,"Senior",
TRUE,"Super Senior"
)</f>
        <v>Super Senior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 s="1">
        <v>208775</v>
      </c>
      <c r="P155" s="1">
        <v>182350</v>
      </c>
      <c r="Q155" s="1">
        <v>132257</v>
      </c>
      <c r="R155" s="1">
        <v>101783</v>
      </c>
      <c r="S155" s="1">
        <v>177145</v>
      </c>
      <c r="T155" s="1">
        <v>169311</v>
      </c>
      <c r="U155" s="1">
        <v>8042</v>
      </c>
      <c r="V155" s="1">
        <v>6700</v>
      </c>
      <c r="W155" s="1">
        <v>5137</v>
      </c>
      <c r="X155" s="1">
        <v>100000</v>
      </c>
      <c r="Y155" s="1">
        <v>7000</v>
      </c>
      <c r="Z155" s="1">
        <v>6321</v>
      </c>
      <c r="AA155">
        <v>0</v>
      </c>
      <c r="AB155" t="str">
        <f t="shared" si="2"/>
        <v>Not Defaulter</v>
      </c>
      <c r="AC155" s="1">
        <f>Table2[[#This Row],[BILL_AMT1]]-Table2[[#This Row],[PAY_AMT1]]</f>
        <v>200733</v>
      </c>
      <c r="AD155" s="1" t="str" cm="1">
        <f t="array" ref="AD155">_xlfn.IFS(Table2[[#This Row],[PAYMENT GAP]]&lt;=0,"No Gap / Overpaid",Table2[[#This Row],[PAYMENT GAP]]&lt;=25000,"Low Gap",Table2[[#This Row],[PAYMENT GAP]]&lt;=100000,"Medium Gap",
TRUE,"High Gap"
)</f>
        <v>High Gap</v>
      </c>
    </row>
    <row r="156" spans="1:30" x14ac:dyDescent="0.3">
      <c r="A156">
        <v>155</v>
      </c>
      <c r="B156" s="1">
        <v>30000</v>
      </c>
      <c r="C156" s="1" t="str" cm="1">
        <f t="array" ref="C156">_xlfn.IFS(Table2[[#This Row],[LIMIT_BAL]]&lt;=100000,"Low",Table2[[#This Row],[LIMIT_BAL]]&lt;=300000,"Medium",
TRUE,"High"
)</f>
        <v>Low</v>
      </c>
      <c r="D156" t="s">
        <v>2041</v>
      </c>
      <c r="E156" t="s">
        <v>2027</v>
      </c>
      <c r="F156" t="s">
        <v>2029</v>
      </c>
      <c r="G156">
        <v>26</v>
      </c>
      <c r="H156" t="str" cm="1">
        <f t="array" ref="H156">_xlfn.IFS(
Table2[[#This Row],[AGE]]&lt;30,"Young",
Table2[[#This Row],[AGE]]&lt;40,"Middle Age",
Table2[[#This Row],[AGE]]&lt;50,"Senior",
TRUE,"Super Senior"
)</f>
        <v>Young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s="1">
        <v>9014</v>
      </c>
      <c r="P156" s="1">
        <v>10406</v>
      </c>
      <c r="Q156" s="1">
        <v>11427</v>
      </c>
      <c r="R156" s="1">
        <v>11935</v>
      </c>
      <c r="S156" s="1">
        <v>13084</v>
      </c>
      <c r="T156" s="1">
        <v>14206</v>
      </c>
      <c r="U156" s="1">
        <v>1700</v>
      </c>
      <c r="V156" s="1">
        <v>1500</v>
      </c>
      <c r="W156" s="1">
        <v>1000</v>
      </c>
      <c r="X156" s="1">
        <v>1500</v>
      </c>
      <c r="Y156" s="1">
        <v>1500</v>
      </c>
      <c r="Z156" s="1">
        <v>1500</v>
      </c>
      <c r="AA156">
        <v>0</v>
      </c>
      <c r="AB156" t="str">
        <f t="shared" si="2"/>
        <v>Not Defaulter</v>
      </c>
      <c r="AC156" s="1">
        <f>Table2[[#This Row],[BILL_AMT1]]-Table2[[#This Row],[PAY_AMT1]]</f>
        <v>7314</v>
      </c>
      <c r="AD156" s="1" t="str" cm="1">
        <f t="array" ref="AD156">_xlfn.IFS(Table2[[#This Row],[PAYMENT GAP]]&lt;=0,"No Gap / Overpaid",Table2[[#This Row],[PAYMENT GAP]]&lt;=25000,"Low Gap",Table2[[#This Row],[PAYMENT GAP]]&lt;=100000,"Medium Gap",
TRUE,"High Gap"
)</f>
        <v>Low Gap</v>
      </c>
    </row>
    <row r="157" spans="1:30" x14ac:dyDescent="0.3">
      <c r="A157">
        <v>156</v>
      </c>
      <c r="B157" s="1">
        <v>140000</v>
      </c>
      <c r="C157" s="1" t="str" cm="1">
        <f t="array" ref="C157">_xlfn.IFS(Table2[[#This Row],[LIMIT_BAL]]&lt;=100000,"Low",Table2[[#This Row],[LIMIT_BAL]]&lt;=300000,"Medium",
TRUE,"High"
)</f>
        <v>Medium</v>
      </c>
      <c r="D157" t="s">
        <v>2042</v>
      </c>
      <c r="E157" t="s">
        <v>2026</v>
      </c>
      <c r="F157" t="s">
        <v>2028</v>
      </c>
      <c r="G157">
        <v>34</v>
      </c>
      <c r="H157" t="str" cm="1">
        <f t="array" ref="H157">_xlfn.IFS(
Table2[[#This Row],[AGE]]&lt;30,"Young",
Table2[[#This Row],[AGE]]&lt;40,"Middle Age",
Table2[[#This Row],[AGE]]&lt;50,"Senior",
TRUE,"Super Senior"
)</f>
        <v>Middle Age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 s="1">
        <v>23944</v>
      </c>
      <c r="P157" s="1">
        <v>28049</v>
      </c>
      <c r="Q157" s="1">
        <v>32073</v>
      </c>
      <c r="R157" s="1">
        <v>43129</v>
      </c>
      <c r="S157" s="1">
        <v>47086</v>
      </c>
      <c r="T157" s="1">
        <v>48699</v>
      </c>
      <c r="U157" s="1">
        <v>5000</v>
      </c>
      <c r="V157" s="1">
        <v>5000</v>
      </c>
      <c r="W157" s="1">
        <v>11885</v>
      </c>
      <c r="X157" s="1">
        <v>5000</v>
      </c>
      <c r="Y157" s="1">
        <v>3000</v>
      </c>
      <c r="Z157" s="1">
        <v>5504</v>
      </c>
      <c r="AA157">
        <v>0</v>
      </c>
      <c r="AB157" t="str">
        <f t="shared" si="2"/>
        <v>Not Defaulter</v>
      </c>
      <c r="AC157" s="1">
        <f>Table2[[#This Row],[BILL_AMT1]]-Table2[[#This Row],[PAY_AMT1]]</f>
        <v>18944</v>
      </c>
      <c r="AD157" s="1" t="str" cm="1">
        <f t="array" ref="AD157">_xlfn.IFS(Table2[[#This Row],[PAYMENT GAP]]&lt;=0,"No Gap / Overpaid",Table2[[#This Row],[PAYMENT GAP]]&lt;=25000,"Low Gap",Table2[[#This Row],[PAYMENT GAP]]&lt;=100000,"Medium Gap",
TRUE,"High Gap"
)</f>
        <v>Low Gap</v>
      </c>
    </row>
    <row r="158" spans="1:30" x14ac:dyDescent="0.3">
      <c r="A158">
        <v>157</v>
      </c>
      <c r="B158" s="1">
        <v>200000</v>
      </c>
      <c r="C158" s="1" t="str" cm="1">
        <f t="array" ref="C158">_xlfn.IFS(Table2[[#This Row],[LIMIT_BAL]]&lt;=100000,"Low",Table2[[#This Row],[LIMIT_BAL]]&lt;=300000,"Medium",
TRUE,"High"
)</f>
        <v>Medium</v>
      </c>
      <c r="D158" t="s">
        <v>2041</v>
      </c>
      <c r="E158" t="s">
        <v>2026</v>
      </c>
      <c r="F158" t="s">
        <v>2029</v>
      </c>
      <c r="G158">
        <v>37</v>
      </c>
      <c r="H158" t="str" cm="1">
        <f t="array" ref="H158">_xlfn.IFS(
Table2[[#This Row],[AGE]]&lt;30,"Young",
Table2[[#This Row],[AGE]]&lt;40,"Middle Age",
Table2[[#This Row],[AGE]]&lt;50,"Senior",
TRUE,"Super Senior"
)</f>
        <v>Middle Age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 s="1">
        <v>105420</v>
      </c>
      <c r="P158" s="1">
        <v>102870</v>
      </c>
      <c r="Q158" s="1">
        <v>89643</v>
      </c>
      <c r="R158" s="1">
        <v>90938</v>
      </c>
      <c r="S158" s="1">
        <v>92505</v>
      </c>
      <c r="T158" s="1">
        <v>94031</v>
      </c>
      <c r="U158" s="1">
        <v>4000</v>
      </c>
      <c r="V158" s="1">
        <v>3250</v>
      </c>
      <c r="W158" s="1">
        <v>3250</v>
      </c>
      <c r="X158" s="1">
        <v>3500</v>
      </c>
      <c r="Y158" s="1">
        <v>3560</v>
      </c>
      <c r="Z158" s="1">
        <v>5000</v>
      </c>
      <c r="AA158">
        <v>0</v>
      </c>
      <c r="AB158" t="str">
        <f t="shared" si="2"/>
        <v>Not Defaulter</v>
      </c>
      <c r="AC158" s="1">
        <f>Table2[[#This Row],[BILL_AMT1]]-Table2[[#This Row],[PAY_AMT1]]</f>
        <v>101420</v>
      </c>
      <c r="AD158" s="1" t="str" cm="1">
        <f t="array" ref="AD158">_xlfn.IFS(Table2[[#This Row],[PAYMENT GAP]]&lt;=0,"No Gap / Overpaid",Table2[[#This Row],[PAYMENT GAP]]&lt;=25000,"Low Gap",Table2[[#This Row],[PAYMENT GAP]]&lt;=100000,"Medium Gap",
TRUE,"High Gap"
)</f>
        <v>High Gap</v>
      </c>
    </row>
    <row r="159" spans="1:30" x14ac:dyDescent="0.3">
      <c r="A159">
        <v>158</v>
      </c>
      <c r="B159" s="1">
        <v>200000</v>
      </c>
      <c r="C159" s="1" t="str" cm="1">
        <f t="array" ref="C159">_xlfn.IFS(Table2[[#This Row],[LIMIT_BAL]]&lt;=100000,"Low",Table2[[#This Row],[LIMIT_BAL]]&lt;=300000,"Medium",
TRUE,"High"
)</f>
        <v>Medium</v>
      </c>
      <c r="D159" t="s">
        <v>2041</v>
      </c>
      <c r="E159" t="s">
        <v>2027</v>
      </c>
      <c r="F159" t="s">
        <v>2029</v>
      </c>
      <c r="G159">
        <v>30</v>
      </c>
      <c r="H159" t="str" cm="1">
        <f t="array" ref="H159">_xlfn.IFS(
Table2[[#This Row],[AGE]]&lt;30,"Young",
Table2[[#This Row],[AGE]]&lt;40,"Middle Age",
Table2[[#This Row],[AGE]]&lt;50,"Senior",
TRUE,"Super Senior"
)</f>
        <v>Middle Age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s="1">
        <v>196031</v>
      </c>
      <c r="P159" s="1">
        <v>196143</v>
      </c>
      <c r="Q159" s="1">
        <v>189524</v>
      </c>
      <c r="R159" s="1">
        <v>167163</v>
      </c>
      <c r="S159" s="1">
        <v>146975</v>
      </c>
      <c r="T159" s="1">
        <v>122324</v>
      </c>
      <c r="U159" s="1">
        <v>7300</v>
      </c>
      <c r="V159" s="1">
        <v>7108</v>
      </c>
      <c r="W159" s="1">
        <v>7680</v>
      </c>
      <c r="X159" s="1">
        <v>6200</v>
      </c>
      <c r="Y159" s="1">
        <v>5000</v>
      </c>
      <c r="Z159" s="1">
        <v>4500</v>
      </c>
      <c r="AA159">
        <v>0</v>
      </c>
      <c r="AB159" t="str">
        <f t="shared" si="2"/>
        <v>Not Defaulter</v>
      </c>
      <c r="AC159" s="1">
        <f>Table2[[#This Row],[BILL_AMT1]]-Table2[[#This Row],[PAY_AMT1]]</f>
        <v>188731</v>
      </c>
      <c r="AD159" s="1" t="str" cm="1">
        <f t="array" ref="AD159">_xlfn.IFS(Table2[[#This Row],[PAYMENT GAP]]&lt;=0,"No Gap / Overpaid",Table2[[#This Row],[PAYMENT GAP]]&lt;=25000,"Low Gap",Table2[[#This Row],[PAYMENT GAP]]&lt;=100000,"Medium Gap",
TRUE,"High Gap"
)</f>
        <v>High Gap</v>
      </c>
    </row>
    <row r="160" spans="1:30" x14ac:dyDescent="0.3">
      <c r="A160">
        <v>159</v>
      </c>
      <c r="B160" s="1">
        <v>210000</v>
      </c>
      <c r="C160" s="1" t="str" cm="1">
        <f t="array" ref="C160">_xlfn.IFS(Table2[[#This Row],[LIMIT_BAL]]&lt;=100000,"Low",Table2[[#This Row],[LIMIT_BAL]]&lt;=300000,"Medium",
TRUE,"High"
)</f>
        <v>Medium</v>
      </c>
      <c r="D160" t="s">
        <v>2042</v>
      </c>
      <c r="E160" t="s">
        <v>2027</v>
      </c>
      <c r="F160" t="s">
        <v>2028</v>
      </c>
      <c r="G160">
        <v>45</v>
      </c>
      <c r="H160" t="str" cm="1">
        <f t="array" ref="H160">_xlfn.IFS(
Table2[[#This Row],[AGE]]&lt;30,"Young",
Table2[[#This Row],[AGE]]&lt;40,"Middle Age",
Table2[[#This Row],[AGE]]&lt;50,"Senior",
TRUE,"Super Senior"
)</f>
        <v>Senior</v>
      </c>
      <c r="I160">
        <v>2</v>
      </c>
      <c r="J160">
        <v>3</v>
      </c>
      <c r="K160">
        <v>4</v>
      </c>
      <c r="L160">
        <v>4</v>
      </c>
      <c r="M160">
        <v>5</v>
      </c>
      <c r="N160">
        <v>6</v>
      </c>
      <c r="O160" s="1">
        <v>115785</v>
      </c>
      <c r="P160" s="1">
        <v>122904</v>
      </c>
      <c r="Q160" s="1">
        <v>129847</v>
      </c>
      <c r="R160" s="1">
        <v>137277</v>
      </c>
      <c r="S160" s="1">
        <v>145533</v>
      </c>
      <c r="T160" s="1">
        <v>154105</v>
      </c>
      <c r="U160" s="1">
        <v>10478</v>
      </c>
      <c r="V160" s="1">
        <v>10478</v>
      </c>
      <c r="W160" s="1">
        <v>11078</v>
      </c>
      <c r="X160" s="1">
        <v>11078</v>
      </c>
      <c r="Y160" s="1">
        <v>11678</v>
      </c>
      <c r="Z160" s="1">
        <v>10478</v>
      </c>
      <c r="AA160">
        <v>1</v>
      </c>
      <c r="AB160" t="str">
        <f t="shared" si="2"/>
        <v>Defaulter</v>
      </c>
      <c r="AC160" s="1">
        <f>Table2[[#This Row],[BILL_AMT1]]-Table2[[#This Row],[PAY_AMT1]]</f>
        <v>105307</v>
      </c>
      <c r="AD160" s="1" t="str" cm="1">
        <f t="array" ref="AD160">_xlfn.IFS(Table2[[#This Row],[PAYMENT GAP]]&lt;=0,"No Gap / Overpaid",Table2[[#This Row],[PAYMENT GAP]]&lt;=25000,"Low Gap",Table2[[#This Row],[PAYMENT GAP]]&lt;=100000,"Medium Gap",
TRUE,"High Gap"
)</f>
        <v>High Gap</v>
      </c>
    </row>
    <row r="161" spans="1:30" x14ac:dyDescent="0.3">
      <c r="A161">
        <v>160</v>
      </c>
      <c r="B161" s="1">
        <v>50000</v>
      </c>
      <c r="C161" s="1" t="str" cm="1">
        <f t="array" ref="C161">_xlfn.IFS(Table2[[#This Row],[LIMIT_BAL]]&lt;=100000,"Low",Table2[[#This Row],[LIMIT_BAL]]&lt;=300000,"Medium",
TRUE,"High"
)</f>
        <v>Low</v>
      </c>
      <c r="D161" t="s">
        <v>2042</v>
      </c>
      <c r="E161" t="s">
        <v>2027</v>
      </c>
      <c r="F161" t="s">
        <v>2028</v>
      </c>
      <c r="G161">
        <v>57</v>
      </c>
      <c r="H161" t="str" cm="1">
        <f t="array" ref="H161">_xlfn.IFS(
Table2[[#This Row],[AGE]]&lt;30,"Young",
Table2[[#This Row],[AGE]]&lt;40,"Middle Age",
Table2[[#This Row],[AGE]]&lt;50,"Senior",
TRUE,"Super Senior"
)</f>
        <v>Super Senior</v>
      </c>
      <c r="I161">
        <v>3</v>
      </c>
      <c r="J161">
        <v>2</v>
      </c>
      <c r="K161">
        <v>0</v>
      </c>
      <c r="L161">
        <v>0</v>
      </c>
      <c r="M161">
        <v>0</v>
      </c>
      <c r="N161">
        <v>0</v>
      </c>
      <c r="O161" s="1">
        <v>12854</v>
      </c>
      <c r="P161" s="1">
        <v>12362</v>
      </c>
      <c r="Q161" s="1">
        <v>13447</v>
      </c>
      <c r="R161" s="1">
        <v>13427</v>
      </c>
      <c r="S161" s="1">
        <v>13711</v>
      </c>
      <c r="T161" s="1">
        <v>14083</v>
      </c>
      <c r="U161" s="1">
        <v>0</v>
      </c>
      <c r="V161" s="1">
        <v>1600</v>
      </c>
      <c r="W161" s="1">
        <v>500</v>
      </c>
      <c r="X161" s="1">
        <v>500</v>
      </c>
      <c r="Y161" s="1">
        <v>600</v>
      </c>
      <c r="Z161" s="1">
        <v>600</v>
      </c>
      <c r="AA161">
        <v>0</v>
      </c>
      <c r="AB161" t="str">
        <f t="shared" si="2"/>
        <v>Not Defaulter</v>
      </c>
      <c r="AC161" s="1">
        <f>Table2[[#This Row],[BILL_AMT1]]-Table2[[#This Row],[PAY_AMT1]]</f>
        <v>12854</v>
      </c>
      <c r="AD161" s="1" t="str" cm="1">
        <f t="array" ref="AD161">_xlfn.IFS(Table2[[#This Row],[PAYMENT GAP]]&lt;=0,"No Gap / Overpaid",Table2[[#This Row],[PAYMENT GAP]]&lt;=25000,"Low Gap",Table2[[#This Row],[PAYMENT GAP]]&lt;=100000,"Medium Gap",
TRUE,"High Gap"
)</f>
        <v>Low Gap</v>
      </c>
    </row>
    <row r="162" spans="1:30" x14ac:dyDescent="0.3">
      <c r="A162">
        <v>161</v>
      </c>
      <c r="B162" s="1">
        <v>30000</v>
      </c>
      <c r="C162" s="1" t="str" cm="1">
        <f t="array" ref="C162">_xlfn.IFS(Table2[[#This Row],[LIMIT_BAL]]&lt;=100000,"Low",Table2[[#This Row],[LIMIT_BAL]]&lt;=300000,"Medium",
TRUE,"High"
)</f>
        <v>Low</v>
      </c>
      <c r="D162" t="s">
        <v>2042</v>
      </c>
      <c r="E162" t="s">
        <v>2026</v>
      </c>
      <c r="F162" t="s">
        <v>2029</v>
      </c>
      <c r="G162">
        <v>41</v>
      </c>
      <c r="H162" t="str" cm="1">
        <f t="array" ref="H162">_xlfn.IFS(
Table2[[#This Row],[AGE]]&lt;30,"Young",
Table2[[#This Row],[AGE]]&lt;40,"Middle Age",
Table2[[#This Row],[AGE]]&lt;50,"Senior",
TRUE,"Super Senior"
)</f>
        <v>Senior</v>
      </c>
      <c r="I162">
        <v>2</v>
      </c>
      <c r="J162">
        <v>2</v>
      </c>
      <c r="K162">
        <v>2</v>
      </c>
      <c r="L162">
        <v>2</v>
      </c>
      <c r="M162">
        <v>2</v>
      </c>
      <c r="N162">
        <v>0</v>
      </c>
      <c r="O162" s="1">
        <v>24357</v>
      </c>
      <c r="P162" s="1">
        <v>27453</v>
      </c>
      <c r="Q162" s="1">
        <v>26718</v>
      </c>
      <c r="R162" s="1">
        <v>28168</v>
      </c>
      <c r="S162" s="1">
        <v>27579</v>
      </c>
      <c r="T162" s="1">
        <v>28321</v>
      </c>
      <c r="U162" s="1">
        <v>3500</v>
      </c>
      <c r="V162" s="1">
        <v>0</v>
      </c>
      <c r="W162" s="1">
        <v>2200</v>
      </c>
      <c r="X162" s="1">
        <v>0</v>
      </c>
      <c r="Y162" s="1">
        <v>1200</v>
      </c>
      <c r="Z162" s="1">
        <v>1250</v>
      </c>
      <c r="AA162">
        <v>0</v>
      </c>
      <c r="AB162" t="str">
        <f t="shared" si="2"/>
        <v>Not Defaulter</v>
      </c>
      <c r="AC162" s="1">
        <f>Table2[[#This Row],[BILL_AMT1]]-Table2[[#This Row],[PAY_AMT1]]</f>
        <v>20857</v>
      </c>
      <c r="AD162" s="1" t="str" cm="1">
        <f t="array" ref="AD162">_xlfn.IFS(Table2[[#This Row],[PAYMENT GAP]]&lt;=0,"No Gap / Overpaid",Table2[[#This Row],[PAYMENT GAP]]&lt;=25000,"Low Gap",Table2[[#This Row],[PAYMENT GAP]]&lt;=100000,"Medium Gap",
TRUE,"High Gap"
)</f>
        <v>Low Gap</v>
      </c>
    </row>
    <row r="163" spans="1:30" x14ac:dyDescent="0.3">
      <c r="A163">
        <v>162</v>
      </c>
      <c r="B163" s="1">
        <v>50000</v>
      </c>
      <c r="C163" s="1" t="str" cm="1">
        <f t="array" ref="C163">_xlfn.IFS(Table2[[#This Row],[LIMIT_BAL]]&lt;=100000,"Low",Table2[[#This Row],[LIMIT_BAL]]&lt;=300000,"Medium",
TRUE,"High"
)</f>
        <v>Low</v>
      </c>
      <c r="D163" t="s">
        <v>2042</v>
      </c>
      <c r="E163" t="s">
        <v>2043</v>
      </c>
      <c r="F163" t="s">
        <v>2029</v>
      </c>
      <c r="G163">
        <v>27</v>
      </c>
      <c r="H163" t="str" cm="1">
        <f t="array" ref="H163">_xlfn.IFS(
Table2[[#This Row],[AGE]]&lt;30,"Young",
Table2[[#This Row],[AGE]]&lt;40,"Middle Age",
Table2[[#This Row],[AGE]]&lt;50,"Senior",
TRUE,"Super Senior"
)</f>
        <v>Young</v>
      </c>
      <c r="I163">
        <v>2</v>
      </c>
      <c r="J163">
        <v>-1</v>
      </c>
      <c r="K163">
        <v>-1</v>
      </c>
      <c r="L163">
        <v>-1</v>
      </c>
      <c r="M163">
        <v>-1</v>
      </c>
      <c r="N163">
        <v>2</v>
      </c>
      <c r="O163" s="1">
        <v>390</v>
      </c>
      <c r="P163" s="1">
        <v>390</v>
      </c>
      <c r="Q163" s="1">
        <v>780</v>
      </c>
      <c r="R163" s="1">
        <v>216</v>
      </c>
      <c r="S163" s="1">
        <v>1080</v>
      </c>
      <c r="T163" s="1">
        <v>540</v>
      </c>
      <c r="U163" s="1">
        <v>390</v>
      </c>
      <c r="V163" s="1">
        <v>780</v>
      </c>
      <c r="W163" s="1">
        <v>216</v>
      </c>
      <c r="X163" s="1">
        <v>864</v>
      </c>
      <c r="Y163" s="1">
        <v>0</v>
      </c>
      <c r="Z163" s="1">
        <v>390</v>
      </c>
      <c r="AA163">
        <v>0</v>
      </c>
      <c r="AB163" t="str">
        <f t="shared" si="2"/>
        <v>Not Defaulter</v>
      </c>
      <c r="AC163" s="1">
        <f>Table2[[#This Row],[BILL_AMT1]]-Table2[[#This Row],[PAY_AMT1]]</f>
        <v>0</v>
      </c>
      <c r="AD163" s="1" t="str" cm="1">
        <f t="array" ref="AD163">_xlfn.IFS(Table2[[#This Row],[PAYMENT GAP]]&lt;=0,"No Gap / Overpaid",Table2[[#This Row],[PAYMENT GAP]]&lt;=25000,"Low Gap",Table2[[#This Row],[PAYMENT GAP]]&lt;=100000,"Medium Gap",
TRUE,"High Gap"
)</f>
        <v>No Gap / Overpaid</v>
      </c>
    </row>
    <row r="164" spans="1:30" x14ac:dyDescent="0.3">
      <c r="A164">
        <v>163</v>
      </c>
      <c r="B164" s="1">
        <v>290000</v>
      </c>
      <c r="C164" s="1" t="str" cm="1">
        <f t="array" ref="C164">_xlfn.IFS(Table2[[#This Row],[LIMIT_BAL]]&lt;=100000,"Low",Table2[[#This Row],[LIMIT_BAL]]&lt;=300000,"Medium",
TRUE,"High"
)</f>
        <v>Medium</v>
      </c>
      <c r="D164" t="s">
        <v>2042</v>
      </c>
      <c r="E164" t="s">
        <v>2027</v>
      </c>
      <c r="F164" t="s">
        <v>2028</v>
      </c>
      <c r="G164">
        <v>47</v>
      </c>
      <c r="H164" t="str" cm="1">
        <f t="array" ref="H164">_xlfn.IFS(
Table2[[#This Row],[AGE]]&lt;30,"Young",
Table2[[#This Row],[AGE]]&lt;40,"Middle Age",
Table2[[#This Row],[AGE]]&lt;50,"Senior",
TRUE,"Super Senior"
)</f>
        <v>Senior</v>
      </c>
      <c r="I164">
        <v>-1</v>
      </c>
      <c r="J164">
        <v>-1</v>
      </c>
      <c r="K164">
        <v>-1</v>
      </c>
      <c r="L164">
        <v>-1</v>
      </c>
      <c r="M164">
        <v>0</v>
      </c>
      <c r="N164">
        <v>-1</v>
      </c>
      <c r="O164" s="1">
        <v>1234</v>
      </c>
      <c r="P164" s="1">
        <v>396</v>
      </c>
      <c r="Q164" s="1">
        <v>396</v>
      </c>
      <c r="R164" s="1">
        <v>792</v>
      </c>
      <c r="S164" s="1">
        <v>396</v>
      </c>
      <c r="T164" s="1">
        <v>423</v>
      </c>
      <c r="U164" s="1">
        <v>396</v>
      </c>
      <c r="V164" s="1">
        <v>396</v>
      </c>
      <c r="W164" s="1">
        <v>792</v>
      </c>
      <c r="X164" s="1">
        <v>0</v>
      </c>
      <c r="Y164" s="1">
        <v>423</v>
      </c>
      <c r="Z164" s="1">
        <v>369</v>
      </c>
      <c r="AA164">
        <v>0</v>
      </c>
      <c r="AB164" t="str">
        <f t="shared" si="2"/>
        <v>Not Defaulter</v>
      </c>
      <c r="AC164" s="1">
        <f>Table2[[#This Row],[BILL_AMT1]]-Table2[[#This Row],[PAY_AMT1]]</f>
        <v>838</v>
      </c>
      <c r="AD164" s="1" t="str" cm="1">
        <f t="array" ref="AD164">_xlfn.IFS(Table2[[#This Row],[PAYMENT GAP]]&lt;=0,"No Gap / Overpaid",Table2[[#This Row],[PAYMENT GAP]]&lt;=25000,"Low Gap",Table2[[#This Row],[PAYMENT GAP]]&lt;=100000,"Medium Gap",
TRUE,"High Gap"
)</f>
        <v>Low Gap</v>
      </c>
    </row>
    <row r="165" spans="1:30" x14ac:dyDescent="0.3">
      <c r="A165">
        <v>164</v>
      </c>
      <c r="B165" s="1">
        <v>250000</v>
      </c>
      <c r="C165" s="1" t="str" cm="1">
        <f t="array" ref="C165">_xlfn.IFS(Table2[[#This Row],[LIMIT_BAL]]&lt;=100000,"Low",Table2[[#This Row],[LIMIT_BAL]]&lt;=300000,"Medium",
TRUE,"High"
)</f>
        <v>Medium</v>
      </c>
      <c r="D165" t="s">
        <v>2041</v>
      </c>
      <c r="E165" t="s">
        <v>2026</v>
      </c>
      <c r="F165" t="s">
        <v>2028</v>
      </c>
      <c r="G165">
        <v>34</v>
      </c>
      <c r="H165" t="str" cm="1">
        <f t="array" ref="H165">_xlfn.IFS(
Table2[[#This Row],[AGE]]&lt;30,"Young",
Table2[[#This Row],[AGE]]&lt;40,"Middle Age",
Table2[[#This Row],[AGE]]&lt;50,"Senior",
TRUE,"Super Senior"
)</f>
        <v>Middle Age</v>
      </c>
      <c r="I165">
        <v>0</v>
      </c>
      <c r="J165">
        <v>0</v>
      </c>
      <c r="K165">
        <v>2</v>
      </c>
      <c r="L165">
        <v>0</v>
      </c>
      <c r="M165">
        <v>0</v>
      </c>
      <c r="N165">
        <v>0</v>
      </c>
      <c r="O165" s="1">
        <v>141223</v>
      </c>
      <c r="P165" s="1">
        <v>156858</v>
      </c>
      <c r="Q165" s="1">
        <v>151841</v>
      </c>
      <c r="R165" s="1">
        <v>152803</v>
      </c>
      <c r="S165" s="1">
        <v>155997</v>
      </c>
      <c r="T165" s="1">
        <v>160220</v>
      </c>
      <c r="U165" s="1">
        <v>17994</v>
      </c>
      <c r="V165" s="1">
        <v>0</v>
      </c>
      <c r="W165" s="1">
        <v>5469</v>
      </c>
      <c r="X165" s="1">
        <v>5656</v>
      </c>
      <c r="Y165" s="1">
        <v>6811</v>
      </c>
      <c r="Z165" s="1">
        <v>3920</v>
      </c>
      <c r="AA165">
        <v>0</v>
      </c>
      <c r="AB165" t="str">
        <f t="shared" si="2"/>
        <v>Not Defaulter</v>
      </c>
      <c r="AC165" s="1">
        <f>Table2[[#This Row],[BILL_AMT1]]-Table2[[#This Row],[PAY_AMT1]]</f>
        <v>123229</v>
      </c>
      <c r="AD165" s="1" t="str" cm="1">
        <f t="array" ref="AD165">_xlfn.IFS(Table2[[#This Row],[PAYMENT GAP]]&lt;=0,"No Gap / Overpaid",Table2[[#This Row],[PAYMENT GAP]]&lt;=25000,"Low Gap",Table2[[#This Row],[PAYMENT GAP]]&lt;=100000,"Medium Gap",
TRUE,"High Gap"
)</f>
        <v>High Gap</v>
      </c>
    </row>
    <row r="166" spans="1:30" x14ac:dyDescent="0.3">
      <c r="A166">
        <v>165</v>
      </c>
      <c r="B166" s="1">
        <v>60000</v>
      </c>
      <c r="C166" s="1" t="str" cm="1">
        <f t="array" ref="C166">_xlfn.IFS(Table2[[#This Row],[LIMIT_BAL]]&lt;=100000,"Low",Table2[[#This Row],[LIMIT_BAL]]&lt;=300000,"Medium",
TRUE,"High"
)</f>
        <v>Low</v>
      </c>
      <c r="D166" t="s">
        <v>2041</v>
      </c>
      <c r="E166" t="s">
        <v>2043</v>
      </c>
      <c r="F166" t="s">
        <v>2028</v>
      </c>
      <c r="G166">
        <v>46</v>
      </c>
      <c r="H166" t="str" cm="1">
        <f t="array" ref="H166">_xlfn.IFS(
Table2[[#This Row],[AGE]]&lt;30,"Young",
Table2[[#This Row],[AGE]]&lt;40,"Middle Age",
Table2[[#This Row],[AGE]]&lt;50,"Senior",
TRUE,"Super Senior"
)</f>
        <v>Senior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s="1">
        <v>21148</v>
      </c>
      <c r="P166" s="1">
        <v>23803</v>
      </c>
      <c r="Q166" s="1">
        <v>24908</v>
      </c>
      <c r="R166" s="1">
        <v>26034</v>
      </c>
      <c r="S166" s="1">
        <v>26655</v>
      </c>
      <c r="T166" s="1">
        <v>27756</v>
      </c>
      <c r="U166" s="1">
        <v>3000</v>
      </c>
      <c r="V166" s="1">
        <v>1500</v>
      </c>
      <c r="W166" s="1">
        <v>1500</v>
      </c>
      <c r="X166" s="1">
        <v>1000</v>
      </c>
      <c r="Y166" s="1">
        <v>1500</v>
      </c>
      <c r="Z166" s="1">
        <v>1500</v>
      </c>
      <c r="AA166">
        <v>0</v>
      </c>
      <c r="AB166" t="str">
        <f t="shared" si="2"/>
        <v>Not Defaulter</v>
      </c>
      <c r="AC166" s="1">
        <f>Table2[[#This Row],[BILL_AMT1]]-Table2[[#This Row],[PAY_AMT1]]</f>
        <v>18148</v>
      </c>
      <c r="AD166" s="1" t="str" cm="1">
        <f t="array" ref="AD166">_xlfn.IFS(Table2[[#This Row],[PAYMENT GAP]]&lt;=0,"No Gap / Overpaid",Table2[[#This Row],[PAYMENT GAP]]&lt;=25000,"Low Gap",Table2[[#This Row],[PAYMENT GAP]]&lt;=100000,"Medium Gap",
TRUE,"High Gap"
)</f>
        <v>Low Gap</v>
      </c>
    </row>
    <row r="167" spans="1:30" x14ac:dyDescent="0.3">
      <c r="A167">
        <v>166</v>
      </c>
      <c r="B167" s="1">
        <v>110000</v>
      </c>
      <c r="C167" s="1" t="str" cm="1">
        <f t="array" ref="C167">_xlfn.IFS(Table2[[#This Row],[LIMIT_BAL]]&lt;=100000,"Low",Table2[[#This Row],[LIMIT_BAL]]&lt;=300000,"Medium",
TRUE,"High"
)</f>
        <v>Medium</v>
      </c>
      <c r="D167" t="s">
        <v>2041</v>
      </c>
      <c r="E167" t="s">
        <v>2026</v>
      </c>
      <c r="F167" t="s">
        <v>2029</v>
      </c>
      <c r="G167">
        <v>27</v>
      </c>
      <c r="H167" t="str" cm="1">
        <f t="array" ref="H167">_xlfn.IFS(
Table2[[#This Row],[AGE]]&lt;30,"Young",
Table2[[#This Row],[AGE]]&lt;40,"Middle Age",
Table2[[#This Row],[AGE]]&lt;50,"Senior",
TRUE,"Super Senior"
)</f>
        <v>Young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 s="1">
        <v>101640</v>
      </c>
      <c r="P167" s="1">
        <v>104795</v>
      </c>
      <c r="Q167" s="1">
        <v>104855</v>
      </c>
      <c r="R167" s="1">
        <v>74737</v>
      </c>
      <c r="S167" s="1">
        <v>76058</v>
      </c>
      <c r="T167" s="1">
        <v>77254</v>
      </c>
      <c r="U167" s="1">
        <v>5500</v>
      </c>
      <c r="V167" s="1">
        <v>3900</v>
      </c>
      <c r="W167" s="1">
        <v>3000</v>
      </c>
      <c r="X167" s="1">
        <v>2900</v>
      </c>
      <c r="Y167" s="1">
        <v>3000</v>
      </c>
      <c r="Z167" s="1">
        <v>2800</v>
      </c>
      <c r="AA167">
        <v>0</v>
      </c>
      <c r="AB167" t="str">
        <f t="shared" si="2"/>
        <v>Not Defaulter</v>
      </c>
      <c r="AC167" s="1">
        <f>Table2[[#This Row],[BILL_AMT1]]-Table2[[#This Row],[PAY_AMT1]]</f>
        <v>96140</v>
      </c>
      <c r="AD167" s="1" t="str" cm="1">
        <f t="array" ref="AD167">_xlfn.IFS(Table2[[#This Row],[PAYMENT GAP]]&lt;=0,"No Gap / Overpaid",Table2[[#This Row],[PAYMENT GAP]]&lt;=25000,"Low Gap",Table2[[#This Row],[PAYMENT GAP]]&lt;=100000,"Medium Gap",
TRUE,"High Gap"
)</f>
        <v>Medium Gap</v>
      </c>
    </row>
    <row r="168" spans="1:30" x14ac:dyDescent="0.3">
      <c r="A168">
        <v>167</v>
      </c>
      <c r="B168" s="1">
        <v>370000</v>
      </c>
      <c r="C168" s="1" t="str" cm="1">
        <f t="array" ref="C168">_xlfn.IFS(Table2[[#This Row],[LIMIT_BAL]]&lt;=100000,"Low",Table2[[#This Row],[LIMIT_BAL]]&lt;=300000,"Medium",
TRUE,"High"
)</f>
        <v>High</v>
      </c>
      <c r="D168" t="s">
        <v>2042</v>
      </c>
      <c r="E168" t="s">
        <v>2026</v>
      </c>
      <c r="F168" t="s">
        <v>2029</v>
      </c>
      <c r="G168">
        <v>50</v>
      </c>
      <c r="H168" t="str" cm="1">
        <f t="array" ref="H168">_xlfn.IFS(
Table2[[#This Row],[AGE]]&lt;30,"Young",
Table2[[#This Row],[AGE]]&lt;40,"Middle Age",
Table2[[#This Row],[AGE]]&lt;50,"Senior",
TRUE,"Super Senior"
)</f>
        <v>Super Senior</v>
      </c>
      <c r="I168">
        <v>-2</v>
      </c>
      <c r="J168">
        <v>-2</v>
      </c>
      <c r="K168">
        <v>-2</v>
      </c>
      <c r="L168">
        <v>-2</v>
      </c>
      <c r="M168">
        <v>-2</v>
      </c>
      <c r="N168">
        <v>-2</v>
      </c>
      <c r="O168" s="1">
        <v>6093</v>
      </c>
      <c r="P168" s="1">
        <v>15130</v>
      </c>
      <c r="Q168" s="1">
        <v>8204</v>
      </c>
      <c r="R168" s="1">
        <v>15398</v>
      </c>
      <c r="S168" s="1">
        <v>4792</v>
      </c>
      <c r="T168" s="1">
        <v>13453</v>
      </c>
      <c r="U168" s="1">
        <v>15383</v>
      </c>
      <c r="V168" s="1">
        <v>8204</v>
      </c>
      <c r="W168" s="1">
        <v>15413</v>
      </c>
      <c r="X168" s="1">
        <v>4792</v>
      </c>
      <c r="Y168" s="1">
        <v>13453</v>
      </c>
      <c r="Z168" s="1">
        <v>4699</v>
      </c>
      <c r="AA168">
        <v>0</v>
      </c>
      <c r="AB168" t="str">
        <f t="shared" si="2"/>
        <v>Not Defaulter</v>
      </c>
      <c r="AC168" s="1">
        <f>Table2[[#This Row],[BILL_AMT1]]-Table2[[#This Row],[PAY_AMT1]]</f>
        <v>-9290</v>
      </c>
      <c r="AD168" s="1" t="str" cm="1">
        <f t="array" ref="AD168">_xlfn.IFS(Table2[[#This Row],[PAYMENT GAP]]&lt;=0,"No Gap / Overpaid",Table2[[#This Row],[PAYMENT GAP]]&lt;=25000,"Low Gap",Table2[[#This Row],[PAYMENT GAP]]&lt;=100000,"Medium Gap",
TRUE,"High Gap"
)</f>
        <v>No Gap / Overpaid</v>
      </c>
    </row>
    <row r="169" spans="1:30" x14ac:dyDescent="0.3">
      <c r="A169">
        <v>168</v>
      </c>
      <c r="B169" s="1">
        <v>100000</v>
      </c>
      <c r="C169" s="1" t="str" cm="1">
        <f t="array" ref="C169">_xlfn.IFS(Table2[[#This Row],[LIMIT_BAL]]&lt;=100000,"Low",Table2[[#This Row],[LIMIT_BAL]]&lt;=300000,"Medium",
TRUE,"High"
)</f>
        <v>Low</v>
      </c>
      <c r="D169" t="s">
        <v>2042</v>
      </c>
      <c r="E169" t="s">
        <v>2043</v>
      </c>
      <c r="F169" t="s">
        <v>2028</v>
      </c>
      <c r="G169">
        <v>27</v>
      </c>
      <c r="H169" t="str" cm="1">
        <f t="array" ref="H169">_xlfn.IFS(
Table2[[#This Row],[AGE]]&lt;30,"Young",
Table2[[#This Row],[AGE]]&lt;40,"Middle Age",
Table2[[#This Row],[AGE]]&lt;50,"Senior",
TRUE,"Super Senior"
)</f>
        <v>Young</v>
      </c>
      <c r="I169">
        <v>-1</v>
      </c>
      <c r="J169">
        <v>2</v>
      </c>
      <c r="K169">
        <v>2</v>
      </c>
      <c r="L169">
        <v>0</v>
      </c>
      <c r="M169">
        <v>0</v>
      </c>
      <c r="N169">
        <v>0</v>
      </c>
      <c r="O169" s="1">
        <v>102349</v>
      </c>
      <c r="P169" s="1">
        <v>96847</v>
      </c>
      <c r="Q169" s="1">
        <v>58824</v>
      </c>
      <c r="R169" s="1">
        <v>29336</v>
      </c>
      <c r="S169" s="1">
        <v>22979</v>
      </c>
      <c r="T169" s="1">
        <v>-246</v>
      </c>
      <c r="U169" s="1">
        <v>3166</v>
      </c>
      <c r="V169" s="1">
        <v>0</v>
      </c>
      <c r="W169" s="1">
        <v>1330</v>
      </c>
      <c r="X169" s="1">
        <v>1398</v>
      </c>
      <c r="Y169" s="1">
        <v>12</v>
      </c>
      <c r="Z169" s="1">
        <v>50000</v>
      </c>
      <c r="AA169">
        <v>0</v>
      </c>
      <c r="AB169" t="str">
        <f t="shared" si="2"/>
        <v>Not Defaulter</v>
      </c>
      <c r="AC169" s="1">
        <f>Table2[[#This Row],[BILL_AMT1]]-Table2[[#This Row],[PAY_AMT1]]</f>
        <v>99183</v>
      </c>
      <c r="AD169" s="1" t="str" cm="1">
        <f t="array" ref="AD169">_xlfn.IFS(Table2[[#This Row],[PAYMENT GAP]]&lt;=0,"No Gap / Overpaid",Table2[[#This Row],[PAYMENT GAP]]&lt;=25000,"Low Gap",Table2[[#This Row],[PAYMENT GAP]]&lt;=100000,"Medium Gap",
TRUE,"High Gap"
)</f>
        <v>Medium Gap</v>
      </c>
    </row>
    <row r="170" spans="1:30" x14ac:dyDescent="0.3">
      <c r="A170">
        <v>169</v>
      </c>
      <c r="B170" s="1">
        <v>90000</v>
      </c>
      <c r="C170" s="1" t="str" cm="1">
        <f t="array" ref="C170">_xlfn.IFS(Table2[[#This Row],[LIMIT_BAL]]&lt;=100000,"Low",Table2[[#This Row],[LIMIT_BAL]]&lt;=300000,"Medium",
TRUE,"High"
)</f>
        <v>Low</v>
      </c>
      <c r="D170" t="s">
        <v>2041</v>
      </c>
      <c r="E170" t="s">
        <v>2043</v>
      </c>
      <c r="F170" t="s">
        <v>2028</v>
      </c>
      <c r="G170">
        <v>35</v>
      </c>
      <c r="H170" t="str" cm="1">
        <f t="array" ref="H170">_xlfn.IFS(
Table2[[#This Row],[AGE]]&lt;30,"Young",
Table2[[#This Row],[AGE]]&lt;40,"Middle Age",
Table2[[#This Row],[AGE]]&lt;50,"Senior",
TRUE,"Super Senior"
)</f>
        <v>Middle Age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2</v>
      </c>
      <c r="O170" s="1">
        <v>72112</v>
      </c>
      <c r="P170" s="1">
        <v>73854</v>
      </c>
      <c r="Q170" s="1">
        <v>75526</v>
      </c>
      <c r="R170" s="1">
        <v>77317</v>
      </c>
      <c r="S170" s="1">
        <v>85852</v>
      </c>
      <c r="T170" s="1">
        <v>88290</v>
      </c>
      <c r="U170" s="1">
        <v>3500</v>
      </c>
      <c r="V170" s="1">
        <v>3500</v>
      </c>
      <c r="W170" s="1">
        <v>3652</v>
      </c>
      <c r="X170" s="1">
        <v>10000</v>
      </c>
      <c r="Y170" s="1">
        <v>4000</v>
      </c>
      <c r="Z170" s="1">
        <v>0</v>
      </c>
      <c r="AA170">
        <v>0</v>
      </c>
      <c r="AB170" t="str">
        <f t="shared" si="2"/>
        <v>Not Defaulter</v>
      </c>
      <c r="AC170" s="1">
        <f>Table2[[#This Row],[BILL_AMT1]]-Table2[[#This Row],[PAY_AMT1]]</f>
        <v>68612</v>
      </c>
      <c r="AD170" s="1" t="str" cm="1">
        <f t="array" ref="AD170">_xlfn.IFS(Table2[[#This Row],[PAYMENT GAP]]&lt;=0,"No Gap / Overpaid",Table2[[#This Row],[PAYMENT GAP]]&lt;=25000,"Low Gap",Table2[[#This Row],[PAYMENT GAP]]&lt;=100000,"Medium Gap",
TRUE,"High Gap"
)</f>
        <v>Medium Gap</v>
      </c>
    </row>
    <row r="171" spans="1:30" x14ac:dyDescent="0.3">
      <c r="A171">
        <v>170</v>
      </c>
      <c r="B171" s="1">
        <v>50000</v>
      </c>
      <c r="C171" s="1" t="str" cm="1">
        <f t="array" ref="C171">_xlfn.IFS(Table2[[#This Row],[LIMIT_BAL]]&lt;=100000,"Low",Table2[[#This Row],[LIMIT_BAL]]&lt;=300000,"Medium",
TRUE,"High"
)</f>
        <v>Low</v>
      </c>
      <c r="D171" t="s">
        <v>2041</v>
      </c>
      <c r="E171" t="s">
        <v>2043</v>
      </c>
      <c r="F171" t="s">
        <v>2029</v>
      </c>
      <c r="G171">
        <v>22</v>
      </c>
      <c r="H171" t="str" cm="1">
        <f t="array" ref="H171">_xlfn.IFS(
Table2[[#This Row],[AGE]]&lt;30,"Young",
Table2[[#This Row],[AGE]]&lt;40,"Middle Age",
Table2[[#This Row],[AGE]]&lt;50,"Senior",
TRUE,"Super Senior"
)</f>
        <v>Young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 s="1">
        <v>28040</v>
      </c>
      <c r="P171" s="1">
        <v>29092</v>
      </c>
      <c r="Q171" s="1">
        <v>29366</v>
      </c>
      <c r="R171" s="1">
        <v>27737</v>
      </c>
      <c r="S171" s="1">
        <v>28318</v>
      </c>
      <c r="T171" s="1">
        <v>28806</v>
      </c>
      <c r="U171" s="1">
        <v>1510</v>
      </c>
      <c r="V171" s="1">
        <v>1442</v>
      </c>
      <c r="W171" s="1">
        <v>982</v>
      </c>
      <c r="X171" s="1">
        <v>1017</v>
      </c>
      <c r="Y171" s="1">
        <v>1277</v>
      </c>
      <c r="Z171" s="1">
        <v>567</v>
      </c>
      <c r="AA171">
        <v>0</v>
      </c>
      <c r="AB171" t="str">
        <f t="shared" si="2"/>
        <v>Not Defaulter</v>
      </c>
      <c r="AC171" s="1">
        <f>Table2[[#This Row],[BILL_AMT1]]-Table2[[#This Row],[PAY_AMT1]]</f>
        <v>26530</v>
      </c>
      <c r="AD171" s="1" t="str" cm="1">
        <f t="array" ref="AD171">_xlfn.IFS(Table2[[#This Row],[PAYMENT GAP]]&lt;=0,"No Gap / Overpaid",Table2[[#This Row],[PAYMENT GAP]]&lt;=25000,"Low Gap",Table2[[#This Row],[PAYMENT GAP]]&lt;=100000,"Medium Gap",
TRUE,"High Gap"
)</f>
        <v>Medium Gap</v>
      </c>
    </row>
    <row r="172" spans="1:30" x14ac:dyDescent="0.3">
      <c r="A172">
        <v>171</v>
      </c>
      <c r="B172" s="1">
        <v>270000</v>
      </c>
      <c r="C172" s="1" t="str" cm="1">
        <f t="array" ref="C172">_xlfn.IFS(Table2[[#This Row],[LIMIT_BAL]]&lt;=100000,"Low",Table2[[#This Row],[LIMIT_BAL]]&lt;=300000,"Medium",
TRUE,"High"
)</f>
        <v>Medium</v>
      </c>
      <c r="D172" t="s">
        <v>2042</v>
      </c>
      <c r="E172" t="s">
        <v>2043</v>
      </c>
      <c r="F172" t="s">
        <v>2029</v>
      </c>
      <c r="G172">
        <v>37</v>
      </c>
      <c r="H172" t="str" cm="1">
        <f t="array" ref="H172">_xlfn.IFS(
Table2[[#This Row],[AGE]]&lt;30,"Young",
Table2[[#This Row],[AGE]]&lt;40,"Middle Age",
Table2[[#This Row],[AGE]]&lt;50,"Senior",
TRUE,"Super Senior"
)</f>
        <v>Middle Age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 s="1">
        <v>37695</v>
      </c>
      <c r="P172" s="1">
        <v>33397</v>
      </c>
      <c r="Q172" s="1">
        <v>30534</v>
      </c>
      <c r="R172" s="1">
        <v>27598</v>
      </c>
      <c r="S172" s="1">
        <v>26344</v>
      </c>
      <c r="T172" s="1">
        <v>24641</v>
      </c>
      <c r="U172" s="1">
        <v>5000</v>
      </c>
      <c r="V172" s="1">
        <v>2000</v>
      </c>
      <c r="W172" s="1">
        <v>3000</v>
      </c>
      <c r="X172" s="1">
        <v>4000</v>
      </c>
      <c r="Y172" s="1">
        <v>3000</v>
      </c>
      <c r="Z172" s="1">
        <v>2000</v>
      </c>
      <c r="AA172">
        <v>0</v>
      </c>
      <c r="AB172" t="str">
        <f t="shared" si="2"/>
        <v>Not Defaulter</v>
      </c>
      <c r="AC172" s="1">
        <f>Table2[[#This Row],[BILL_AMT1]]-Table2[[#This Row],[PAY_AMT1]]</f>
        <v>32695</v>
      </c>
      <c r="AD172" s="1" t="str" cm="1">
        <f t="array" ref="AD172">_xlfn.IFS(Table2[[#This Row],[PAYMENT GAP]]&lt;=0,"No Gap / Overpaid",Table2[[#This Row],[PAYMENT GAP]]&lt;=25000,"Low Gap",Table2[[#This Row],[PAYMENT GAP]]&lt;=100000,"Medium Gap",
TRUE,"High Gap"
)</f>
        <v>Medium Gap</v>
      </c>
    </row>
    <row r="173" spans="1:30" x14ac:dyDescent="0.3">
      <c r="A173">
        <v>172</v>
      </c>
      <c r="B173" s="1">
        <v>300000</v>
      </c>
      <c r="C173" s="1" t="str" cm="1">
        <f t="array" ref="C173">_xlfn.IFS(Table2[[#This Row],[LIMIT_BAL]]&lt;=100000,"Low",Table2[[#This Row],[LIMIT_BAL]]&lt;=300000,"Medium",
TRUE,"High"
)</f>
        <v>Medium</v>
      </c>
      <c r="D173" t="s">
        <v>2041</v>
      </c>
      <c r="E173" t="s">
        <v>2026</v>
      </c>
      <c r="F173" t="s">
        <v>2029</v>
      </c>
      <c r="G173">
        <v>30</v>
      </c>
      <c r="H173" t="str" cm="1">
        <f t="array" ref="H173">_xlfn.IFS(
Table2[[#This Row],[AGE]]&lt;30,"Young",
Table2[[#This Row],[AGE]]&lt;40,"Middle Age",
Table2[[#This Row],[AGE]]&lt;50,"Senior",
TRUE,"Super Senior"
)</f>
        <v>Middle Age</v>
      </c>
      <c r="I173">
        <v>-1</v>
      </c>
      <c r="J173">
        <v>-1</v>
      </c>
      <c r="K173">
        <v>-1</v>
      </c>
      <c r="L173">
        <v>-1</v>
      </c>
      <c r="M173">
        <v>-1</v>
      </c>
      <c r="N173">
        <v>-1</v>
      </c>
      <c r="O173" s="1">
        <v>688</v>
      </c>
      <c r="P173" s="1">
        <v>3280</v>
      </c>
      <c r="Q173" s="1">
        <v>0</v>
      </c>
      <c r="R173" s="1">
        <v>4340</v>
      </c>
      <c r="S173" s="1">
        <v>2672</v>
      </c>
      <c r="T173" s="1">
        <v>800</v>
      </c>
      <c r="U173" s="1">
        <v>3288</v>
      </c>
      <c r="V173" s="1">
        <v>0</v>
      </c>
      <c r="W173" s="1">
        <v>4340</v>
      </c>
      <c r="X173" s="1">
        <v>2672</v>
      </c>
      <c r="Y173" s="1">
        <v>800</v>
      </c>
      <c r="Z173" s="1">
        <v>746</v>
      </c>
      <c r="AA173">
        <v>0</v>
      </c>
      <c r="AB173" t="str">
        <f t="shared" si="2"/>
        <v>Not Defaulter</v>
      </c>
      <c r="AC173" s="1">
        <f>Table2[[#This Row],[BILL_AMT1]]-Table2[[#This Row],[PAY_AMT1]]</f>
        <v>-2600</v>
      </c>
      <c r="AD173" s="1" t="str" cm="1">
        <f t="array" ref="AD173">_xlfn.IFS(Table2[[#This Row],[PAYMENT GAP]]&lt;=0,"No Gap / Overpaid",Table2[[#This Row],[PAYMENT GAP]]&lt;=25000,"Low Gap",Table2[[#This Row],[PAYMENT GAP]]&lt;=100000,"Medium Gap",
TRUE,"High Gap"
)</f>
        <v>No Gap / Overpaid</v>
      </c>
    </row>
    <row r="174" spans="1:30" x14ac:dyDescent="0.3">
      <c r="A174">
        <v>173</v>
      </c>
      <c r="B174" s="1">
        <v>50000</v>
      </c>
      <c r="C174" s="1" t="str" cm="1">
        <f t="array" ref="C174">_xlfn.IFS(Table2[[#This Row],[LIMIT_BAL]]&lt;=100000,"Low",Table2[[#This Row],[LIMIT_BAL]]&lt;=300000,"Medium",
TRUE,"High"
)</f>
        <v>Low</v>
      </c>
      <c r="D174" t="s">
        <v>2041</v>
      </c>
      <c r="E174" t="s">
        <v>2043</v>
      </c>
      <c r="F174" t="s">
        <v>2029</v>
      </c>
      <c r="G174">
        <v>22</v>
      </c>
      <c r="H174" t="str" cm="1">
        <f t="array" ref="H174">_xlfn.IFS(
Table2[[#This Row],[AGE]]&lt;30,"Young",
Table2[[#This Row],[AGE]]&lt;40,"Middle Age",
Table2[[#This Row],[AGE]]&lt;50,"Senior",
TRUE,"Super Senior"
)</f>
        <v>Young</v>
      </c>
      <c r="I174">
        <v>-1</v>
      </c>
      <c r="J174">
        <v>0</v>
      </c>
      <c r="K174">
        <v>0</v>
      </c>
      <c r="L174">
        <v>0</v>
      </c>
      <c r="M174">
        <v>0</v>
      </c>
      <c r="N174">
        <v>0</v>
      </c>
      <c r="O174" s="1">
        <v>8567</v>
      </c>
      <c r="P174" s="1">
        <v>15273</v>
      </c>
      <c r="Q174" s="1">
        <v>11650</v>
      </c>
      <c r="R174" s="1">
        <v>7457</v>
      </c>
      <c r="S174" s="1">
        <v>3115</v>
      </c>
      <c r="T174" s="1">
        <v>7725</v>
      </c>
      <c r="U174" s="1">
        <v>15000</v>
      </c>
      <c r="V174" s="1">
        <v>1000</v>
      </c>
      <c r="W174" s="1">
        <v>149</v>
      </c>
      <c r="X174" s="1">
        <v>0</v>
      </c>
      <c r="Y174" s="1">
        <v>5000</v>
      </c>
      <c r="Z174" s="1">
        <v>10000</v>
      </c>
      <c r="AA174">
        <v>0</v>
      </c>
      <c r="AB174" t="str">
        <f t="shared" si="2"/>
        <v>Not Defaulter</v>
      </c>
      <c r="AC174" s="1">
        <f>Table2[[#This Row],[BILL_AMT1]]-Table2[[#This Row],[PAY_AMT1]]</f>
        <v>-6433</v>
      </c>
      <c r="AD174" s="1" t="str" cm="1">
        <f t="array" ref="AD174">_xlfn.IFS(Table2[[#This Row],[PAYMENT GAP]]&lt;=0,"No Gap / Overpaid",Table2[[#This Row],[PAYMENT GAP]]&lt;=25000,"Low Gap",Table2[[#This Row],[PAYMENT GAP]]&lt;=100000,"Medium Gap",
TRUE,"High Gap"
)</f>
        <v>No Gap / Overpaid</v>
      </c>
    </row>
    <row r="175" spans="1:30" x14ac:dyDescent="0.3">
      <c r="A175">
        <v>174</v>
      </c>
      <c r="B175" s="1">
        <v>50000</v>
      </c>
      <c r="C175" s="1" t="str" cm="1">
        <f t="array" ref="C175">_xlfn.IFS(Table2[[#This Row],[LIMIT_BAL]]&lt;=100000,"Low",Table2[[#This Row],[LIMIT_BAL]]&lt;=300000,"Medium",
TRUE,"High"
)</f>
        <v>Low</v>
      </c>
      <c r="D175" t="s">
        <v>2041</v>
      </c>
      <c r="E175" t="s">
        <v>2026</v>
      </c>
      <c r="F175" t="s">
        <v>2029</v>
      </c>
      <c r="G175">
        <v>24</v>
      </c>
      <c r="H175" t="str" cm="1">
        <f t="array" ref="H175">_xlfn.IFS(
Table2[[#This Row],[AGE]]&lt;30,"Young",
Table2[[#This Row],[AGE]]&lt;40,"Middle Age",
Table2[[#This Row],[AGE]]&lt;50,"Senior",
TRUE,"Super Senior"
)</f>
        <v>Young</v>
      </c>
      <c r="I175">
        <v>1</v>
      </c>
      <c r="J175">
        <v>-2</v>
      </c>
      <c r="K175">
        <v>-2</v>
      </c>
      <c r="L175">
        <v>-2</v>
      </c>
      <c r="M175">
        <v>-2</v>
      </c>
      <c r="N175">
        <v>-2</v>
      </c>
      <c r="O175" s="1">
        <v>-709</v>
      </c>
      <c r="P175" s="1">
        <v>-709</v>
      </c>
      <c r="Q175" s="1">
        <v>-709</v>
      </c>
      <c r="R175" s="1">
        <v>-2898</v>
      </c>
      <c r="S175" s="1">
        <v>-3272</v>
      </c>
      <c r="T175" s="1">
        <v>-3272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>
        <v>1</v>
      </c>
      <c r="AB175" t="str">
        <f t="shared" si="2"/>
        <v>Defaulter</v>
      </c>
      <c r="AC175" s="1">
        <f>Table2[[#This Row],[BILL_AMT1]]-Table2[[#This Row],[PAY_AMT1]]</f>
        <v>-709</v>
      </c>
      <c r="AD175" s="1" t="str" cm="1">
        <f t="array" ref="AD175">_xlfn.IFS(Table2[[#This Row],[PAYMENT GAP]]&lt;=0,"No Gap / Overpaid",Table2[[#This Row],[PAYMENT GAP]]&lt;=25000,"Low Gap",Table2[[#This Row],[PAYMENT GAP]]&lt;=100000,"Medium Gap",
TRUE,"High Gap"
)</f>
        <v>No Gap / Overpaid</v>
      </c>
    </row>
    <row r="176" spans="1:30" x14ac:dyDescent="0.3">
      <c r="A176">
        <v>175</v>
      </c>
      <c r="B176" s="1">
        <v>360000</v>
      </c>
      <c r="C176" s="1" t="str" cm="1">
        <f t="array" ref="C176">_xlfn.IFS(Table2[[#This Row],[LIMIT_BAL]]&lt;=100000,"Low",Table2[[#This Row],[LIMIT_BAL]]&lt;=300000,"Medium",
TRUE,"High"
)</f>
        <v>High</v>
      </c>
      <c r="D176" t="s">
        <v>2042</v>
      </c>
      <c r="E176" t="s">
        <v>2026</v>
      </c>
      <c r="F176" t="s">
        <v>2029</v>
      </c>
      <c r="G176">
        <v>29</v>
      </c>
      <c r="H176" t="str" cm="1">
        <f t="array" ref="H176">_xlfn.IFS(
Table2[[#This Row],[AGE]]&lt;30,"Young",
Table2[[#This Row],[AGE]]&lt;40,"Middle Age",
Table2[[#This Row],[AGE]]&lt;50,"Senior",
TRUE,"Super Senior"
)</f>
        <v>Young</v>
      </c>
      <c r="I176">
        <v>1</v>
      </c>
      <c r="J176">
        <v>-2</v>
      </c>
      <c r="K176">
        <v>-1</v>
      </c>
      <c r="L176">
        <v>-1</v>
      </c>
      <c r="M176">
        <v>-2</v>
      </c>
      <c r="N176">
        <v>-2</v>
      </c>
      <c r="O176" s="1">
        <v>0</v>
      </c>
      <c r="P176" s="1">
        <v>0</v>
      </c>
      <c r="Q176" s="1">
        <v>77</v>
      </c>
      <c r="R176" s="1">
        <v>0</v>
      </c>
      <c r="S176" s="1">
        <v>0</v>
      </c>
      <c r="T176" s="1">
        <v>0</v>
      </c>
      <c r="U176" s="1">
        <v>0</v>
      </c>
      <c r="V176" s="1">
        <v>77</v>
      </c>
      <c r="W176" s="1">
        <v>0</v>
      </c>
      <c r="X176" s="1">
        <v>0</v>
      </c>
      <c r="Y176" s="1">
        <v>0</v>
      </c>
      <c r="Z176" s="1">
        <v>0</v>
      </c>
      <c r="AA176">
        <v>0</v>
      </c>
      <c r="AB176" t="str">
        <f t="shared" si="2"/>
        <v>Not Defaulter</v>
      </c>
      <c r="AC176" s="1">
        <f>Table2[[#This Row],[BILL_AMT1]]-Table2[[#This Row],[PAY_AMT1]]</f>
        <v>0</v>
      </c>
      <c r="AD176" s="1" t="str" cm="1">
        <f t="array" ref="AD176">_xlfn.IFS(Table2[[#This Row],[PAYMENT GAP]]&lt;=0,"No Gap / Overpaid",Table2[[#This Row],[PAYMENT GAP]]&lt;=25000,"Low Gap",Table2[[#This Row],[PAYMENT GAP]]&lt;=100000,"Medium Gap",
TRUE,"High Gap"
)</f>
        <v>No Gap / Overpaid</v>
      </c>
    </row>
    <row r="177" spans="1:30" x14ac:dyDescent="0.3">
      <c r="A177">
        <v>176</v>
      </c>
      <c r="B177" s="1">
        <v>130000</v>
      </c>
      <c r="C177" s="1" t="str" cm="1">
        <f t="array" ref="C177">_xlfn.IFS(Table2[[#This Row],[LIMIT_BAL]]&lt;=100000,"Low",Table2[[#This Row],[LIMIT_BAL]]&lt;=300000,"Medium",
TRUE,"High"
)</f>
        <v>Medium</v>
      </c>
      <c r="D177" t="s">
        <v>2042</v>
      </c>
      <c r="E177" t="s">
        <v>2027</v>
      </c>
      <c r="F177" t="s">
        <v>2028</v>
      </c>
      <c r="G177">
        <v>56</v>
      </c>
      <c r="H177" t="str" cm="1">
        <f t="array" ref="H177">_xlfn.IFS(
Table2[[#This Row],[AGE]]&lt;30,"Young",
Table2[[#This Row],[AGE]]&lt;40,"Middle Age",
Table2[[#This Row],[AGE]]&lt;50,"Senior",
TRUE,"Super Senior"
)</f>
        <v>Super Senior</v>
      </c>
      <c r="I177">
        <v>1</v>
      </c>
      <c r="J177">
        <v>2</v>
      </c>
      <c r="K177">
        <v>2</v>
      </c>
      <c r="L177">
        <v>2</v>
      </c>
      <c r="M177">
        <v>2</v>
      </c>
      <c r="N177">
        <v>3</v>
      </c>
      <c r="O177" s="1">
        <v>64617</v>
      </c>
      <c r="P177" s="1">
        <v>65978</v>
      </c>
      <c r="Q177" s="1">
        <v>67282</v>
      </c>
      <c r="R177" s="1">
        <v>68557</v>
      </c>
      <c r="S177" s="1">
        <v>72796</v>
      </c>
      <c r="T177" s="1">
        <v>71345</v>
      </c>
      <c r="U177" s="1">
        <v>3000</v>
      </c>
      <c r="V177" s="1">
        <v>3000</v>
      </c>
      <c r="W177" s="1">
        <v>3000</v>
      </c>
      <c r="X177" s="1">
        <v>5500</v>
      </c>
      <c r="Y177" s="1">
        <v>0</v>
      </c>
      <c r="Z177" s="1">
        <v>0</v>
      </c>
      <c r="AA177">
        <v>1</v>
      </c>
      <c r="AB177" t="str">
        <f t="shared" si="2"/>
        <v>Defaulter</v>
      </c>
      <c r="AC177" s="1">
        <f>Table2[[#This Row],[BILL_AMT1]]-Table2[[#This Row],[PAY_AMT1]]</f>
        <v>61617</v>
      </c>
      <c r="AD177" s="1" t="str" cm="1">
        <f t="array" ref="AD177">_xlfn.IFS(Table2[[#This Row],[PAYMENT GAP]]&lt;=0,"No Gap / Overpaid",Table2[[#This Row],[PAYMENT GAP]]&lt;=25000,"Low Gap",Table2[[#This Row],[PAYMENT GAP]]&lt;=100000,"Medium Gap",
TRUE,"High Gap"
)</f>
        <v>Medium Gap</v>
      </c>
    </row>
    <row r="178" spans="1:30" x14ac:dyDescent="0.3">
      <c r="A178">
        <v>177</v>
      </c>
      <c r="B178" s="1">
        <v>80000</v>
      </c>
      <c r="C178" s="1" t="str" cm="1">
        <f t="array" ref="C178">_xlfn.IFS(Table2[[#This Row],[LIMIT_BAL]]&lt;=100000,"Low",Table2[[#This Row],[LIMIT_BAL]]&lt;=300000,"Medium",
TRUE,"High"
)</f>
        <v>Low</v>
      </c>
      <c r="D178" t="s">
        <v>2042</v>
      </c>
      <c r="E178" t="s">
        <v>2026</v>
      </c>
      <c r="F178" t="s">
        <v>2029</v>
      </c>
      <c r="G178">
        <v>30</v>
      </c>
      <c r="H178" t="str" cm="1">
        <f t="array" ref="H178">_xlfn.IFS(
Table2[[#This Row],[AGE]]&lt;30,"Young",
Table2[[#This Row],[AGE]]&lt;40,"Middle Age",
Table2[[#This Row],[AGE]]&lt;50,"Senior",
TRUE,"Super Senior"
)</f>
        <v>Middle Age</v>
      </c>
      <c r="I178">
        <v>-2</v>
      </c>
      <c r="J178">
        <v>-1</v>
      </c>
      <c r="K178">
        <v>0</v>
      </c>
      <c r="L178">
        <v>0</v>
      </c>
      <c r="M178">
        <v>0</v>
      </c>
      <c r="N178">
        <v>0</v>
      </c>
      <c r="O178" s="1">
        <v>6187</v>
      </c>
      <c r="P178" s="1">
        <v>100</v>
      </c>
      <c r="Q178" s="1">
        <v>600</v>
      </c>
      <c r="R178" s="1">
        <v>1438</v>
      </c>
      <c r="S178" s="1">
        <v>1919</v>
      </c>
      <c r="T178" s="1">
        <v>5380</v>
      </c>
      <c r="U178" s="1">
        <v>504</v>
      </c>
      <c r="V178" s="1">
        <v>500</v>
      </c>
      <c r="W178" s="1">
        <v>1000</v>
      </c>
      <c r="X178" s="1">
        <v>500</v>
      </c>
      <c r="Y178" s="1">
        <v>3500</v>
      </c>
      <c r="Z178" s="1">
        <v>0</v>
      </c>
      <c r="AA178">
        <v>0</v>
      </c>
      <c r="AB178" t="str">
        <f t="shared" si="2"/>
        <v>Not Defaulter</v>
      </c>
      <c r="AC178" s="1">
        <f>Table2[[#This Row],[BILL_AMT1]]-Table2[[#This Row],[PAY_AMT1]]</f>
        <v>5683</v>
      </c>
      <c r="AD178" s="1" t="str" cm="1">
        <f t="array" ref="AD178">_xlfn.IFS(Table2[[#This Row],[PAYMENT GAP]]&lt;=0,"No Gap / Overpaid",Table2[[#This Row],[PAYMENT GAP]]&lt;=25000,"Low Gap",Table2[[#This Row],[PAYMENT GAP]]&lt;=100000,"Medium Gap",
TRUE,"High Gap"
)</f>
        <v>Low Gap</v>
      </c>
    </row>
    <row r="179" spans="1:30" x14ac:dyDescent="0.3">
      <c r="A179">
        <v>178</v>
      </c>
      <c r="B179" s="1">
        <v>50000</v>
      </c>
      <c r="C179" s="1" t="str" cm="1">
        <f t="array" ref="C179">_xlfn.IFS(Table2[[#This Row],[LIMIT_BAL]]&lt;=100000,"Low",Table2[[#This Row],[LIMIT_BAL]]&lt;=300000,"Medium",
TRUE,"High"
)</f>
        <v>Low</v>
      </c>
      <c r="D179" t="s">
        <v>2042</v>
      </c>
      <c r="E179" t="s">
        <v>2043</v>
      </c>
      <c r="F179" t="s">
        <v>2029</v>
      </c>
      <c r="G179">
        <v>30</v>
      </c>
      <c r="H179" t="str" cm="1">
        <f t="array" ref="H179">_xlfn.IFS(
Table2[[#This Row],[AGE]]&lt;30,"Young",
Table2[[#This Row],[AGE]]&lt;40,"Middle Age",
Table2[[#This Row],[AGE]]&lt;50,"Senior",
TRUE,"Super Senior"
)</f>
        <v>Middle Age</v>
      </c>
      <c r="I179">
        <v>1</v>
      </c>
      <c r="J179">
        <v>2</v>
      </c>
      <c r="K179">
        <v>0</v>
      </c>
      <c r="L179">
        <v>0</v>
      </c>
      <c r="M179">
        <v>0</v>
      </c>
      <c r="N179">
        <v>2</v>
      </c>
      <c r="O179" s="1">
        <v>48860</v>
      </c>
      <c r="P179" s="1">
        <v>47801</v>
      </c>
      <c r="Q179" s="1">
        <v>48363</v>
      </c>
      <c r="R179" s="1">
        <v>30221</v>
      </c>
      <c r="S179" s="1">
        <v>22877</v>
      </c>
      <c r="T179" s="1">
        <v>22361</v>
      </c>
      <c r="U179" s="1">
        <v>0</v>
      </c>
      <c r="V179" s="1">
        <v>1500</v>
      </c>
      <c r="W179" s="1">
        <v>1000</v>
      </c>
      <c r="X179" s="1">
        <v>2000</v>
      </c>
      <c r="Y179" s="1">
        <v>0</v>
      </c>
      <c r="Z179" s="1">
        <v>2000</v>
      </c>
      <c r="AA179">
        <v>0</v>
      </c>
      <c r="AB179" t="str">
        <f t="shared" si="2"/>
        <v>Not Defaulter</v>
      </c>
      <c r="AC179" s="1">
        <f>Table2[[#This Row],[BILL_AMT1]]-Table2[[#This Row],[PAY_AMT1]]</f>
        <v>48860</v>
      </c>
      <c r="AD179" s="1" t="str" cm="1">
        <f t="array" ref="AD179">_xlfn.IFS(Table2[[#This Row],[PAYMENT GAP]]&lt;=0,"No Gap / Overpaid",Table2[[#This Row],[PAYMENT GAP]]&lt;=25000,"Low Gap",Table2[[#This Row],[PAYMENT GAP]]&lt;=100000,"Medium Gap",
TRUE,"High Gap"
)</f>
        <v>Medium Gap</v>
      </c>
    </row>
    <row r="180" spans="1:30" x14ac:dyDescent="0.3">
      <c r="A180">
        <v>179</v>
      </c>
      <c r="B180" s="1">
        <v>20000</v>
      </c>
      <c r="C180" s="1" t="str" cm="1">
        <f t="array" ref="C180">_xlfn.IFS(Table2[[#This Row],[LIMIT_BAL]]&lt;=100000,"Low",Table2[[#This Row],[LIMIT_BAL]]&lt;=300000,"Medium",
TRUE,"High"
)</f>
        <v>Low</v>
      </c>
      <c r="D180" t="s">
        <v>2041</v>
      </c>
      <c r="E180" t="s">
        <v>2043</v>
      </c>
      <c r="F180" t="s">
        <v>2029</v>
      </c>
      <c r="G180">
        <v>22</v>
      </c>
      <c r="H180" t="str" cm="1">
        <f t="array" ref="H180">_xlfn.IFS(
Table2[[#This Row],[AGE]]&lt;30,"Young",
Table2[[#This Row],[AGE]]&lt;40,"Middle Age",
Table2[[#This Row],[AGE]]&lt;50,"Senior",
TRUE,"Super Senior"
)</f>
        <v>Young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 s="1">
        <v>16001</v>
      </c>
      <c r="P180" s="1">
        <v>12622</v>
      </c>
      <c r="Q180" s="1">
        <v>13221</v>
      </c>
      <c r="R180" s="1">
        <v>13130</v>
      </c>
      <c r="S180" s="1">
        <v>14034</v>
      </c>
      <c r="T180" s="1">
        <v>14906</v>
      </c>
      <c r="U180" s="1">
        <v>1212</v>
      </c>
      <c r="V180" s="1">
        <v>1201</v>
      </c>
      <c r="W180" s="1">
        <v>500</v>
      </c>
      <c r="X180" s="1">
        <v>1500</v>
      </c>
      <c r="Y180" s="1">
        <v>1500</v>
      </c>
      <c r="Z180" s="1">
        <v>1000</v>
      </c>
      <c r="AA180">
        <v>0</v>
      </c>
      <c r="AB180" t="str">
        <f t="shared" si="2"/>
        <v>Not Defaulter</v>
      </c>
      <c r="AC180" s="1">
        <f>Table2[[#This Row],[BILL_AMT1]]-Table2[[#This Row],[PAY_AMT1]]</f>
        <v>14789</v>
      </c>
      <c r="AD180" s="1" t="str" cm="1">
        <f t="array" ref="AD180">_xlfn.IFS(Table2[[#This Row],[PAYMENT GAP]]&lt;=0,"No Gap / Overpaid",Table2[[#This Row],[PAYMENT GAP]]&lt;=25000,"Low Gap",Table2[[#This Row],[PAYMENT GAP]]&lt;=100000,"Medium Gap",
TRUE,"High Gap"
)</f>
        <v>Low Gap</v>
      </c>
    </row>
    <row r="181" spans="1:30" x14ac:dyDescent="0.3">
      <c r="A181">
        <v>180</v>
      </c>
      <c r="B181" s="1">
        <v>80000</v>
      </c>
      <c r="C181" s="1" t="str" cm="1">
        <f t="array" ref="C181">_xlfn.IFS(Table2[[#This Row],[LIMIT_BAL]]&lt;=100000,"Low",Table2[[#This Row],[LIMIT_BAL]]&lt;=300000,"Medium",
TRUE,"High"
)</f>
        <v>Low</v>
      </c>
      <c r="D181" t="s">
        <v>2041</v>
      </c>
      <c r="E181" t="s">
        <v>2043</v>
      </c>
      <c r="F181" t="s">
        <v>2028</v>
      </c>
      <c r="G181">
        <v>29</v>
      </c>
      <c r="H181" t="str" cm="1">
        <f t="array" ref="H181">_xlfn.IFS(
Table2[[#This Row],[AGE]]&lt;30,"Young",
Table2[[#This Row],[AGE]]&lt;40,"Middle Age",
Table2[[#This Row],[AGE]]&lt;50,"Senior",
TRUE,"Super Senior"
)</f>
        <v>Young</v>
      </c>
      <c r="I181">
        <v>0</v>
      </c>
      <c r="J181">
        <v>0</v>
      </c>
      <c r="K181">
        <v>2</v>
      </c>
      <c r="L181">
        <v>0</v>
      </c>
      <c r="M181">
        <v>0</v>
      </c>
      <c r="N181">
        <v>0</v>
      </c>
      <c r="O181" s="1">
        <v>77883</v>
      </c>
      <c r="P181" s="1">
        <v>81811</v>
      </c>
      <c r="Q181" s="1">
        <v>80250</v>
      </c>
      <c r="R181" s="1">
        <v>61467</v>
      </c>
      <c r="S181" s="1">
        <v>10662</v>
      </c>
      <c r="T181" s="1">
        <v>11486</v>
      </c>
      <c r="U181" s="1">
        <v>5800</v>
      </c>
      <c r="V181" s="1">
        <v>1000</v>
      </c>
      <c r="W181" s="1">
        <v>600</v>
      </c>
      <c r="X181" s="1">
        <v>400</v>
      </c>
      <c r="Y181" s="1">
        <v>1000</v>
      </c>
      <c r="Z181" s="1">
        <v>0</v>
      </c>
      <c r="AA181">
        <v>0</v>
      </c>
      <c r="AB181" t="str">
        <f t="shared" si="2"/>
        <v>Not Defaulter</v>
      </c>
      <c r="AC181" s="1">
        <f>Table2[[#This Row],[BILL_AMT1]]-Table2[[#This Row],[PAY_AMT1]]</f>
        <v>72083</v>
      </c>
      <c r="AD181" s="1" t="str" cm="1">
        <f t="array" ref="AD181">_xlfn.IFS(Table2[[#This Row],[PAYMENT GAP]]&lt;=0,"No Gap / Overpaid",Table2[[#This Row],[PAYMENT GAP]]&lt;=25000,"Low Gap",Table2[[#This Row],[PAYMENT GAP]]&lt;=100000,"Medium Gap",
TRUE,"High Gap"
)</f>
        <v>Medium Gap</v>
      </c>
    </row>
    <row r="182" spans="1:30" x14ac:dyDescent="0.3">
      <c r="A182">
        <v>181</v>
      </c>
      <c r="B182" s="1">
        <v>240000</v>
      </c>
      <c r="C182" s="1" t="str" cm="1">
        <f t="array" ref="C182">_xlfn.IFS(Table2[[#This Row],[LIMIT_BAL]]&lt;=100000,"Low",Table2[[#This Row],[LIMIT_BAL]]&lt;=300000,"Medium",
TRUE,"High"
)</f>
        <v>Medium</v>
      </c>
      <c r="D182" t="s">
        <v>2042</v>
      </c>
      <c r="E182" t="s">
        <v>2026</v>
      </c>
      <c r="F182" t="s">
        <v>2029</v>
      </c>
      <c r="G182">
        <v>37</v>
      </c>
      <c r="H182" t="str" cm="1">
        <f t="array" ref="H182">_xlfn.IFS(
Table2[[#This Row],[AGE]]&lt;30,"Young",
Table2[[#This Row],[AGE]]&lt;40,"Middle Age",
Table2[[#This Row],[AGE]]&lt;50,"Senior",
TRUE,"Super Senior"
)</f>
        <v>Middle Age</v>
      </c>
      <c r="I182">
        <v>-1</v>
      </c>
      <c r="J182">
        <v>-1</v>
      </c>
      <c r="K182">
        <v>2</v>
      </c>
      <c r="L182">
        <v>0</v>
      </c>
      <c r="M182">
        <v>0</v>
      </c>
      <c r="N182">
        <v>-1</v>
      </c>
      <c r="O182" s="1">
        <v>12212</v>
      </c>
      <c r="P182" s="1">
        <v>26578</v>
      </c>
      <c r="Q182" s="1">
        <v>25331</v>
      </c>
      <c r="R182" s="1">
        <v>26605</v>
      </c>
      <c r="S182" s="1">
        <v>26279</v>
      </c>
      <c r="T182" s="1">
        <v>1256</v>
      </c>
      <c r="U182" s="1">
        <v>15000</v>
      </c>
      <c r="V182" s="1">
        <v>0</v>
      </c>
      <c r="W182" s="1">
        <v>2000</v>
      </c>
      <c r="X182" s="1">
        <v>0</v>
      </c>
      <c r="Y182" s="1">
        <v>1256</v>
      </c>
      <c r="Z182" s="1">
        <v>65935</v>
      </c>
      <c r="AA182">
        <v>0</v>
      </c>
      <c r="AB182" t="str">
        <f t="shared" si="2"/>
        <v>Not Defaulter</v>
      </c>
      <c r="AC182" s="1">
        <f>Table2[[#This Row],[BILL_AMT1]]-Table2[[#This Row],[PAY_AMT1]]</f>
        <v>-2788</v>
      </c>
      <c r="AD182" s="1" t="str" cm="1">
        <f t="array" ref="AD182">_xlfn.IFS(Table2[[#This Row],[PAYMENT GAP]]&lt;=0,"No Gap / Overpaid",Table2[[#This Row],[PAYMENT GAP]]&lt;=25000,"Low Gap",Table2[[#This Row],[PAYMENT GAP]]&lt;=100000,"Medium Gap",
TRUE,"High Gap"
)</f>
        <v>No Gap / Overpaid</v>
      </c>
    </row>
    <row r="183" spans="1:30" x14ac:dyDescent="0.3">
      <c r="A183">
        <v>182</v>
      </c>
      <c r="B183" s="1">
        <v>80000</v>
      </c>
      <c r="C183" s="1" t="str" cm="1">
        <f t="array" ref="C183">_xlfn.IFS(Table2[[#This Row],[LIMIT_BAL]]&lt;=100000,"Low",Table2[[#This Row],[LIMIT_BAL]]&lt;=300000,"Medium",
TRUE,"High"
)</f>
        <v>Low</v>
      </c>
      <c r="D183" t="s">
        <v>2041</v>
      </c>
      <c r="E183" t="s">
        <v>2027</v>
      </c>
      <c r="F183" t="s">
        <v>2029</v>
      </c>
      <c r="G183">
        <v>35</v>
      </c>
      <c r="H183" t="str" cm="1">
        <f t="array" ref="H183">_xlfn.IFS(
Table2[[#This Row],[AGE]]&lt;30,"Young",
Table2[[#This Row],[AGE]]&lt;40,"Middle Age",
Table2[[#This Row],[AGE]]&lt;50,"Senior",
TRUE,"Super Senior"
)</f>
        <v>Middle Age</v>
      </c>
      <c r="I183">
        <v>0</v>
      </c>
      <c r="J183">
        <v>-1</v>
      </c>
      <c r="K183">
        <v>0</v>
      </c>
      <c r="L183">
        <v>0</v>
      </c>
      <c r="M183">
        <v>0</v>
      </c>
      <c r="N183">
        <v>0</v>
      </c>
      <c r="O183" s="1">
        <v>49608</v>
      </c>
      <c r="P183" s="1">
        <v>12412</v>
      </c>
      <c r="Q183" s="1">
        <v>14873</v>
      </c>
      <c r="R183" s="1">
        <v>17364</v>
      </c>
      <c r="S183" s="1">
        <v>17770</v>
      </c>
      <c r="T183" s="1">
        <v>17460</v>
      </c>
      <c r="U183" s="1">
        <v>12500</v>
      </c>
      <c r="V183" s="1">
        <v>6500</v>
      </c>
      <c r="W183" s="1">
        <v>3000</v>
      </c>
      <c r="X183" s="1">
        <v>2000</v>
      </c>
      <c r="Y183" s="1">
        <v>3000</v>
      </c>
      <c r="Z183" s="1">
        <v>2000</v>
      </c>
      <c r="AA183">
        <v>0</v>
      </c>
      <c r="AB183" t="str">
        <f t="shared" si="2"/>
        <v>Not Defaulter</v>
      </c>
      <c r="AC183" s="1">
        <f>Table2[[#This Row],[BILL_AMT1]]-Table2[[#This Row],[PAY_AMT1]]</f>
        <v>37108</v>
      </c>
      <c r="AD183" s="1" t="str" cm="1">
        <f t="array" ref="AD183">_xlfn.IFS(Table2[[#This Row],[PAYMENT GAP]]&lt;=0,"No Gap / Overpaid",Table2[[#This Row],[PAYMENT GAP]]&lt;=25000,"Low Gap",Table2[[#This Row],[PAYMENT GAP]]&lt;=100000,"Medium Gap",
TRUE,"High Gap"
)</f>
        <v>Medium Gap</v>
      </c>
    </row>
    <row r="184" spans="1:30" x14ac:dyDescent="0.3">
      <c r="A184">
        <v>183</v>
      </c>
      <c r="B184" s="1">
        <v>500000</v>
      </c>
      <c r="C184" s="1" t="str" cm="1">
        <f t="array" ref="C184">_xlfn.IFS(Table2[[#This Row],[LIMIT_BAL]]&lt;=100000,"Low",Table2[[#This Row],[LIMIT_BAL]]&lt;=300000,"Medium",
TRUE,"High"
)</f>
        <v>High</v>
      </c>
      <c r="D184" t="s">
        <v>2041</v>
      </c>
      <c r="E184" t="s">
        <v>2026</v>
      </c>
      <c r="F184" t="s">
        <v>2028</v>
      </c>
      <c r="G184">
        <v>47</v>
      </c>
      <c r="H184" t="str" cm="1">
        <f t="array" ref="H184">_xlfn.IFS(
Table2[[#This Row],[AGE]]&lt;30,"Young",
Table2[[#This Row],[AGE]]&lt;40,"Middle Age",
Table2[[#This Row],[AGE]]&lt;50,"Senior",
TRUE,"Super Senior"
)</f>
        <v>Senior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 s="1">
        <v>56422</v>
      </c>
      <c r="P184" s="1">
        <v>110616</v>
      </c>
      <c r="Q184" s="1">
        <v>110340</v>
      </c>
      <c r="R184" s="1">
        <v>122967</v>
      </c>
      <c r="S184" s="1">
        <v>108834</v>
      </c>
      <c r="T184" s="1">
        <v>70064</v>
      </c>
      <c r="U184" s="1">
        <v>70010</v>
      </c>
      <c r="V184" s="1">
        <v>30357</v>
      </c>
      <c r="W184" s="1">
        <v>30000</v>
      </c>
      <c r="X184" s="1">
        <v>20000</v>
      </c>
      <c r="Y184" s="1">
        <v>52183</v>
      </c>
      <c r="Z184" s="1">
        <v>20000</v>
      </c>
      <c r="AA184">
        <v>0</v>
      </c>
      <c r="AB184" t="str">
        <f t="shared" si="2"/>
        <v>Not Defaulter</v>
      </c>
      <c r="AC184" s="1">
        <f>Table2[[#This Row],[BILL_AMT1]]-Table2[[#This Row],[PAY_AMT1]]</f>
        <v>-13588</v>
      </c>
      <c r="AD184" s="1" t="str" cm="1">
        <f t="array" ref="AD184">_xlfn.IFS(Table2[[#This Row],[PAYMENT GAP]]&lt;=0,"No Gap / Overpaid",Table2[[#This Row],[PAYMENT GAP]]&lt;=25000,"Low Gap",Table2[[#This Row],[PAYMENT GAP]]&lt;=100000,"Medium Gap",
TRUE,"High Gap"
)</f>
        <v>No Gap / Overpaid</v>
      </c>
    </row>
    <row r="185" spans="1:30" x14ac:dyDescent="0.3">
      <c r="A185">
        <v>184</v>
      </c>
      <c r="B185" s="1">
        <v>60000</v>
      </c>
      <c r="C185" s="1" t="str" cm="1">
        <f t="array" ref="C185">_xlfn.IFS(Table2[[#This Row],[LIMIT_BAL]]&lt;=100000,"Low",Table2[[#This Row],[LIMIT_BAL]]&lt;=300000,"Medium",
TRUE,"High"
)</f>
        <v>Low</v>
      </c>
      <c r="D185" t="s">
        <v>2041</v>
      </c>
      <c r="E185" t="s">
        <v>2043</v>
      </c>
      <c r="F185" t="s">
        <v>2028</v>
      </c>
      <c r="G185">
        <v>24</v>
      </c>
      <c r="H185" t="str" cm="1">
        <f t="array" ref="H185">_xlfn.IFS(
Table2[[#This Row],[AGE]]&lt;30,"Young",
Table2[[#This Row],[AGE]]&lt;40,"Middle Age",
Table2[[#This Row],[AGE]]&lt;50,"Senior",
TRUE,"Super Senior"
)</f>
        <v>Young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 s="1">
        <v>58024</v>
      </c>
      <c r="P185" s="1">
        <v>57891</v>
      </c>
      <c r="Q185" s="1">
        <v>48839</v>
      </c>
      <c r="R185" s="1">
        <v>18971</v>
      </c>
      <c r="S185" s="1">
        <v>19323</v>
      </c>
      <c r="T185" s="1">
        <v>19395</v>
      </c>
      <c r="U185" s="1">
        <v>2500</v>
      </c>
      <c r="V185" s="1">
        <v>1600</v>
      </c>
      <c r="W185" s="1">
        <v>3000</v>
      </c>
      <c r="X185" s="1">
        <v>1000</v>
      </c>
      <c r="Y185" s="1">
        <v>737</v>
      </c>
      <c r="Z185" s="1">
        <v>2000</v>
      </c>
      <c r="AA185">
        <v>1</v>
      </c>
      <c r="AB185" t="str">
        <f t="shared" si="2"/>
        <v>Defaulter</v>
      </c>
      <c r="AC185" s="1">
        <f>Table2[[#This Row],[BILL_AMT1]]-Table2[[#This Row],[PAY_AMT1]]</f>
        <v>55524</v>
      </c>
      <c r="AD185" s="1" t="str" cm="1">
        <f t="array" ref="AD185">_xlfn.IFS(Table2[[#This Row],[PAYMENT GAP]]&lt;=0,"No Gap / Overpaid",Table2[[#This Row],[PAYMENT GAP]]&lt;=25000,"Low Gap",Table2[[#This Row],[PAYMENT GAP]]&lt;=100000,"Medium Gap",
TRUE,"High Gap"
)</f>
        <v>Medium Gap</v>
      </c>
    </row>
    <row r="186" spans="1:30" x14ac:dyDescent="0.3">
      <c r="A186">
        <v>185</v>
      </c>
      <c r="B186" s="1">
        <v>20000</v>
      </c>
      <c r="C186" s="1" t="str" cm="1">
        <f t="array" ref="C186">_xlfn.IFS(Table2[[#This Row],[LIMIT_BAL]]&lt;=100000,"Low",Table2[[#This Row],[LIMIT_BAL]]&lt;=300000,"Medium",
TRUE,"High"
)</f>
        <v>Low</v>
      </c>
      <c r="D186" t="s">
        <v>2042</v>
      </c>
      <c r="E186" t="s">
        <v>2043</v>
      </c>
      <c r="F186" t="s">
        <v>2029</v>
      </c>
      <c r="G186">
        <v>25</v>
      </c>
      <c r="H186" t="str" cm="1">
        <f t="array" ref="H186">_xlfn.IFS(
Table2[[#This Row],[AGE]]&lt;30,"Young",
Table2[[#This Row],[AGE]]&lt;40,"Middle Age",
Table2[[#This Row],[AGE]]&lt;50,"Senior",
TRUE,"Super Senior"
)</f>
        <v>Young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</v>
      </c>
      <c r="O186" s="1">
        <v>10642</v>
      </c>
      <c r="P186" s="1">
        <v>11677</v>
      </c>
      <c r="Q186" s="1">
        <v>13070</v>
      </c>
      <c r="R186" s="1">
        <v>12280</v>
      </c>
      <c r="S186" s="1">
        <v>1615</v>
      </c>
      <c r="T186" s="1">
        <v>1620</v>
      </c>
      <c r="U186" s="1">
        <v>1200</v>
      </c>
      <c r="V186" s="1">
        <v>1593</v>
      </c>
      <c r="W186" s="1">
        <v>601</v>
      </c>
      <c r="X186" s="1">
        <v>135</v>
      </c>
      <c r="Y186" s="1">
        <v>1824</v>
      </c>
      <c r="Z186" s="1">
        <v>0</v>
      </c>
      <c r="AA186">
        <v>0</v>
      </c>
      <c r="AB186" t="str">
        <f t="shared" si="2"/>
        <v>Not Defaulter</v>
      </c>
      <c r="AC186" s="1">
        <f>Table2[[#This Row],[BILL_AMT1]]-Table2[[#This Row],[PAY_AMT1]]</f>
        <v>9442</v>
      </c>
      <c r="AD186" s="1" t="str" cm="1">
        <f t="array" ref="AD186">_xlfn.IFS(Table2[[#This Row],[PAYMENT GAP]]&lt;=0,"No Gap / Overpaid",Table2[[#This Row],[PAYMENT GAP]]&lt;=25000,"Low Gap",Table2[[#This Row],[PAYMENT GAP]]&lt;=100000,"Medium Gap",
TRUE,"High Gap"
)</f>
        <v>Low Gap</v>
      </c>
    </row>
    <row r="187" spans="1:30" x14ac:dyDescent="0.3">
      <c r="A187">
        <v>186</v>
      </c>
      <c r="B187" s="1">
        <v>100000</v>
      </c>
      <c r="C187" s="1" t="str" cm="1">
        <f t="array" ref="C187">_xlfn.IFS(Table2[[#This Row],[LIMIT_BAL]]&lt;=100000,"Low",Table2[[#This Row],[LIMIT_BAL]]&lt;=300000,"Medium",
TRUE,"High"
)</f>
        <v>Low</v>
      </c>
      <c r="D187" t="s">
        <v>2041</v>
      </c>
      <c r="E187" t="s">
        <v>2043</v>
      </c>
      <c r="F187" t="s">
        <v>2028</v>
      </c>
      <c r="G187">
        <v>38</v>
      </c>
      <c r="H187" t="str" cm="1">
        <f t="array" ref="H187">_xlfn.IFS(
Table2[[#This Row],[AGE]]&lt;30,"Young",
Table2[[#This Row],[AGE]]&lt;40,"Middle Age",
Table2[[#This Row],[AGE]]&lt;50,"Senior",
TRUE,"Super Senior"
)</f>
        <v>Middle Age</v>
      </c>
      <c r="I187">
        <v>1</v>
      </c>
      <c r="J187">
        <v>2</v>
      </c>
      <c r="K187">
        <v>0</v>
      </c>
      <c r="L187">
        <v>0</v>
      </c>
      <c r="M187">
        <v>2</v>
      </c>
      <c r="N187">
        <v>0</v>
      </c>
      <c r="O187" s="1">
        <v>14483</v>
      </c>
      <c r="P187" s="1">
        <v>13961</v>
      </c>
      <c r="Q187" s="1">
        <v>15323</v>
      </c>
      <c r="R187" s="1">
        <v>16268</v>
      </c>
      <c r="S187" s="1">
        <v>15868</v>
      </c>
      <c r="T187" s="1">
        <v>16448</v>
      </c>
      <c r="U187" s="1">
        <v>0</v>
      </c>
      <c r="V187" s="1">
        <v>1600</v>
      </c>
      <c r="W187" s="1">
        <v>1500</v>
      </c>
      <c r="X187" s="1">
        <v>0</v>
      </c>
      <c r="Y187" s="1">
        <v>1000</v>
      </c>
      <c r="Z187" s="1">
        <v>1500</v>
      </c>
      <c r="AA187">
        <v>1</v>
      </c>
      <c r="AB187" t="str">
        <f t="shared" si="2"/>
        <v>Defaulter</v>
      </c>
      <c r="AC187" s="1">
        <f>Table2[[#This Row],[BILL_AMT1]]-Table2[[#This Row],[PAY_AMT1]]</f>
        <v>14483</v>
      </c>
      <c r="AD187" s="1" t="str" cm="1">
        <f t="array" ref="AD187">_xlfn.IFS(Table2[[#This Row],[PAYMENT GAP]]&lt;=0,"No Gap / Overpaid",Table2[[#This Row],[PAYMENT GAP]]&lt;=25000,"Low Gap",Table2[[#This Row],[PAYMENT GAP]]&lt;=100000,"Medium Gap",
TRUE,"High Gap"
)</f>
        <v>Low Gap</v>
      </c>
    </row>
    <row r="188" spans="1:30" x14ac:dyDescent="0.3">
      <c r="A188">
        <v>187</v>
      </c>
      <c r="B188" s="1">
        <v>360000</v>
      </c>
      <c r="C188" s="1" t="str" cm="1">
        <f t="array" ref="C188">_xlfn.IFS(Table2[[#This Row],[LIMIT_BAL]]&lt;=100000,"Low",Table2[[#This Row],[LIMIT_BAL]]&lt;=300000,"Medium",
TRUE,"High"
)</f>
        <v>High</v>
      </c>
      <c r="D188" t="s">
        <v>2041</v>
      </c>
      <c r="E188" t="s">
        <v>2026</v>
      </c>
      <c r="F188" t="s">
        <v>2029</v>
      </c>
      <c r="G188">
        <v>32</v>
      </c>
      <c r="H188" t="str" cm="1">
        <f t="array" ref="H188">_xlfn.IFS(
Table2[[#This Row],[AGE]]&lt;30,"Young",
Table2[[#This Row],[AGE]]&lt;40,"Middle Age",
Table2[[#This Row],[AGE]]&lt;50,"Senior",
TRUE,"Super Senior"
)</f>
        <v>Middle Age</v>
      </c>
      <c r="I188">
        <v>1</v>
      </c>
      <c r="J188">
        <v>-1</v>
      </c>
      <c r="K188">
        <v>-1</v>
      </c>
      <c r="L188">
        <v>-1</v>
      </c>
      <c r="M188">
        <v>-1</v>
      </c>
      <c r="N188">
        <v>-1</v>
      </c>
      <c r="O188" s="1">
        <v>2616</v>
      </c>
      <c r="P188" s="1">
        <v>57077</v>
      </c>
      <c r="Q188" s="1">
        <v>5287</v>
      </c>
      <c r="R188" s="1">
        <v>68445</v>
      </c>
      <c r="S188" s="1">
        <v>13881</v>
      </c>
      <c r="T188" s="1">
        <v>16240</v>
      </c>
      <c r="U188" s="1">
        <v>57087</v>
      </c>
      <c r="V188" s="1">
        <v>5295</v>
      </c>
      <c r="W188" s="1">
        <v>68454</v>
      </c>
      <c r="X188" s="1">
        <v>13889</v>
      </c>
      <c r="Y188" s="1">
        <v>16250</v>
      </c>
      <c r="Z188" s="1">
        <v>38313</v>
      </c>
      <c r="AA188">
        <v>0</v>
      </c>
      <c r="AB188" t="str">
        <f t="shared" si="2"/>
        <v>Not Defaulter</v>
      </c>
      <c r="AC188" s="1">
        <f>Table2[[#This Row],[BILL_AMT1]]-Table2[[#This Row],[PAY_AMT1]]</f>
        <v>-54471</v>
      </c>
      <c r="AD188" s="1" t="str" cm="1">
        <f t="array" ref="AD188">_xlfn.IFS(Table2[[#This Row],[PAYMENT GAP]]&lt;=0,"No Gap / Overpaid",Table2[[#This Row],[PAYMENT GAP]]&lt;=25000,"Low Gap",Table2[[#This Row],[PAYMENT GAP]]&lt;=100000,"Medium Gap",
TRUE,"High Gap"
)</f>
        <v>No Gap / Overpaid</v>
      </c>
    </row>
    <row r="189" spans="1:30" x14ac:dyDescent="0.3">
      <c r="A189">
        <v>188</v>
      </c>
      <c r="B189" s="1">
        <v>200000</v>
      </c>
      <c r="C189" s="1" t="str" cm="1">
        <f t="array" ref="C189">_xlfn.IFS(Table2[[#This Row],[LIMIT_BAL]]&lt;=100000,"Low",Table2[[#This Row],[LIMIT_BAL]]&lt;=300000,"Medium",
TRUE,"High"
)</f>
        <v>Medium</v>
      </c>
      <c r="D189" t="s">
        <v>2041</v>
      </c>
      <c r="E189" t="s">
        <v>2027</v>
      </c>
      <c r="F189" t="s">
        <v>2029</v>
      </c>
      <c r="G189">
        <v>47</v>
      </c>
      <c r="H189" t="str" cm="1">
        <f t="array" ref="H189">_xlfn.IFS(
Table2[[#This Row],[AGE]]&lt;30,"Young",
Table2[[#This Row],[AGE]]&lt;40,"Middle Age",
Table2[[#This Row],[AGE]]&lt;50,"Senior",
TRUE,"Super Senior"
)</f>
        <v>Senior</v>
      </c>
      <c r="I189">
        <v>2</v>
      </c>
      <c r="J189">
        <v>2</v>
      </c>
      <c r="K189">
        <v>2</v>
      </c>
      <c r="L189">
        <v>2</v>
      </c>
      <c r="M189">
        <v>2</v>
      </c>
      <c r="N189">
        <v>2</v>
      </c>
      <c r="O189" s="1">
        <v>199436</v>
      </c>
      <c r="P189" s="1">
        <v>202947</v>
      </c>
      <c r="Q189" s="1">
        <v>193936</v>
      </c>
      <c r="R189" s="1">
        <v>196186</v>
      </c>
      <c r="S189" s="1">
        <v>200162</v>
      </c>
      <c r="T189" s="1">
        <v>189915</v>
      </c>
      <c r="U189" s="1">
        <v>8214</v>
      </c>
      <c r="V189" s="1">
        <v>7000</v>
      </c>
      <c r="W189" s="1">
        <v>6800</v>
      </c>
      <c r="X189" s="1">
        <v>7134</v>
      </c>
      <c r="Y189" s="1">
        <v>0</v>
      </c>
      <c r="Z189" s="1">
        <v>6836</v>
      </c>
      <c r="AA189">
        <v>1</v>
      </c>
      <c r="AB189" t="str">
        <f t="shared" si="2"/>
        <v>Defaulter</v>
      </c>
      <c r="AC189" s="1">
        <f>Table2[[#This Row],[BILL_AMT1]]-Table2[[#This Row],[PAY_AMT1]]</f>
        <v>191222</v>
      </c>
      <c r="AD189" s="1" t="str" cm="1">
        <f t="array" ref="AD189">_xlfn.IFS(Table2[[#This Row],[PAYMENT GAP]]&lt;=0,"No Gap / Overpaid",Table2[[#This Row],[PAYMENT GAP]]&lt;=25000,"Low Gap",Table2[[#This Row],[PAYMENT GAP]]&lt;=100000,"Medium Gap",
TRUE,"High Gap"
)</f>
        <v>High Gap</v>
      </c>
    </row>
    <row r="190" spans="1:30" x14ac:dyDescent="0.3">
      <c r="A190">
        <v>189</v>
      </c>
      <c r="B190" s="1">
        <v>130000</v>
      </c>
      <c r="C190" s="1" t="str" cm="1">
        <f t="array" ref="C190">_xlfn.IFS(Table2[[#This Row],[LIMIT_BAL]]&lt;=100000,"Low",Table2[[#This Row],[LIMIT_BAL]]&lt;=300000,"Medium",
TRUE,"High"
)</f>
        <v>Medium</v>
      </c>
      <c r="D190" t="s">
        <v>2041</v>
      </c>
      <c r="E190" t="s">
        <v>2043</v>
      </c>
      <c r="F190" t="s">
        <v>2028</v>
      </c>
      <c r="G190">
        <v>34</v>
      </c>
      <c r="H190" t="str" cm="1">
        <f t="array" ref="H190">_xlfn.IFS(
Table2[[#This Row],[AGE]]&lt;30,"Young",
Table2[[#This Row],[AGE]]&lt;40,"Middle Age",
Table2[[#This Row],[AGE]]&lt;50,"Senior",
TRUE,"Super Senior"
)</f>
        <v>Middle Age</v>
      </c>
      <c r="I190">
        <v>1</v>
      </c>
      <c r="J190">
        <v>-1</v>
      </c>
      <c r="K190">
        <v>0</v>
      </c>
      <c r="L190">
        <v>0</v>
      </c>
      <c r="M190">
        <v>0</v>
      </c>
      <c r="N190">
        <v>0</v>
      </c>
      <c r="O190" s="1">
        <v>0</v>
      </c>
      <c r="P190" s="1">
        <v>5396</v>
      </c>
      <c r="Q190" s="1">
        <v>10270</v>
      </c>
      <c r="R190" s="1">
        <v>13576</v>
      </c>
      <c r="S190" s="1">
        <v>13864</v>
      </c>
      <c r="T190" s="1">
        <v>14636</v>
      </c>
      <c r="U190" s="1">
        <v>5396</v>
      </c>
      <c r="V190" s="1">
        <v>5000</v>
      </c>
      <c r="W190" s="1">
        <v>3500</v>
      </c>
      <c r="X190" s="1">
        <v>501</v>
      </c>
      <c r="Y190" s="1">
        <v>1000</v>
      </c>
      <c r="Z190" s="1">
        <v>2000</v>
      </c>
      <c r="AA190">
        <v>0</v>
      </c>
      <c r="AB190" t="str">
        <f t="shared" si="2"/>
        <v>Not Defaulter</v>
      </c>
      <c r="AC190" s="1">
        <f>Table2[[#This Row],[BILL_AMT1]]-Table2[[#This Row],[PAY_AMT1]]</f>
        <v>-5396</v>
      </c>
      <c r="AD190" s="1" t="str" cm="1">
        <f t="array" ref="AD190">_xlfn.IFS(Table2[[#This Row],[PAYMENT GAP]]&lt;=0,"No Gap / Overpaid",Table2[[#This Row],[PAYMENT GAP]]&lt;=25000,"Low Gap",Table2[[#This Row],[PAYMENT GAP]]&lt;=100000,"Medium Gap",
TRUE,"High Gap"
)</f>
        <v>No Gap / Overpaid</v>
      </c>
    </row>
    <row r="191" spans="1:30" x14ac:dyDescent="0.3">
      <c r="A191">
        <v>190</v>
      </c>
      <c r="B191" s="1">
        <v>20000</v>
      </c>
      <c r="C191" s="1" t="str" cm="1">
        <f t="array" ref="C191">_xlfn.IFS(Table2[[#This Row],[LIMIT_BAL]]&lt;=100000,"Low",Table2[[#This Row],[LIMIT_BAL]]&lt;=300000,"Medium",
TRUE,"High"
)</f>
        <v>Low</v>
      </c>
      <c r="D191" t="s">
        <v>2041</v>
      </c>
      <c r="E191" t="s">
        <v>2043</v>
      </c>
      <c r="F191" t="s">
        <v>2029</v>
      </c>
      <c r="G191">
        <v>31</v>
      </c>
      <c r="H191" t="str" cm="1">
        <f t="array" ref="H191">_xlfn.IFS(
Table2[[#This Row],[AGE]]&lt;30,"Young",
Table2[[#This Row],[AGE]]&lt;40,"Middle Age",
Table2[[#This Row],[AGE]]&lt;50,"Senior",
TRUE,"Super Senior"
)</f>
        <v>Middle Age</v>
      </c>
      <c r="I191">
        <v>1</v>
      </c>
      <c r="J191">
        <v>5</v>
      </c>
      <c r="K191">
        <v>4</v>
      </c>
      <c r="L191">
        <v>4</v>
      </c>
      <c r="M191">
        <v>3</v>
      </c>
      <c r="N191">
        <v>2</v>
      </c>
      <c r="O191" s="1">
        <v>21703</v>
      </c>
      <c r="P191" s="1">
        <v>21087</v>
      </c>
      <c r="Q191" s="1">
        <v>21461</v>
      </c>
      <c r="R191" s="1">
        <v>20835</v>
      </c>
      <c r="S191" s="1">
        <v>20219</v>
      </c>
      <c r="T191" s="1">
        <v>20487</v>
      </c>
      <c r="U191" s="1">
        <v>0</v>
      </c>
      <c r="V191" s="1">
        <v>1000</v>
      </c>
      <c r="W191" s="1">
        <v>0</v>
      </c>
      <c r="X191" s="1">
        <v>0</v>
      </c>
      <c r="Y191" s="1">
        <v>760</v>
      </c>
      <c r="Z191" s="1">
        <v>0</v>
      </c>
      <c r="AA191">
        <v>0</v>
      </c>
      <c r="AB191" t="str">
        <f t="shared" si="2"/>
        <v>Not Defaulter</v>
      </c>
      <c r="AC191" s="1">
        <f>Table2[[#This Row],[BILL_AMT1]]-Table2[[#This Row],[PAY_AMT1]]</f>
        <v>21703</v>
      </c>
      <c r="AD191" s="1" t="str" cm="1">
        <f t="array" ref="AD191">_xlfn.IFS(Table2[[#This Row],[PAYMENT GAP]]&lt;=0,"No Gap / Overpaid",Table2[[#This Row],[PAYMENT GAP]]&lt;=25000,"Low Gap",Table2[[#This Row],[PAYMENT GAP]]&lt;=100000,"Medium Gap",
TRUE,"High Gap"
)</f>
        <v>Low Gap</v>
      </c>
    </row>
    <row r="192" spans="1:30" x14ac:dyDescent="0.3">
      <c r="A192">
        <v>191</v>
      </c>
      <c r="B192" s="1">
        <v>310000</v>
      </c>
      <c r="C192" s="1" t="str" cm="1">
        <f t="array" ref="C192">_xlfn.IFS(Table2[[#This Row],[LIMIT_BAL]]&lt;=100000,"Low",Table2[[#This Row],[LIMIT_BAL]]&lt;=300000,"Medium",
TRUE,"High"
)</f>
        <v>High</v>
      </c>
      <c r="D192" t="s">
        <v>2042</v>
      </c>
      <c r="E192" t="s">
        <v>2026</v>
      </c>
      <c r="F192" t="s">
        <v>2029</v>
      </c>
      <c r="G192">
        <v>32</v>
      </c>
      <c r="H192" t="str" cm="1">
        <f t="array" ref="H192">_xlfn.IFS(
Table2[[#This Row],[AGE]]&lt;30,"Young",
Table2[[#This Row],[AGE]]&lt;40,"Middle Age",
Table2[[#This Row],[AGE]]&lt;50,"Senior",
TRUE,"Super Senior"
)</f>
        <v>Middle Age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 s="1">
        <v>59901</v>
      </c>
      <c r="P192" s="1">
        <v>62147</v>
      </c>
      <c r="Q192" s="1">
        <v>62102</v>
      </c>
      <c r="R192" s="1">
        <v>65875</v>
      </c>
      <c r="S192" s="1">
        <v>60387</v>
      </c>
      <c r="T192" s="1">
        <v>43328</v>
      </c>
      <c r="U192" s="1">
        <v>10020</v>
      </c>
      <c r="V192" s="1">
        <v>6031</v>
      </c>
      <c r="W192" s="1">
        <v>10057</v>
      </c>
      <c r="X192" s="1">
        <v>5028</v>
      </c>
      <c r="Y192" s="1">
        <v>5060</v>
      </c>
      <c r="Z192" s="1">
        <v>4223</v>
      </c>
      <c r="AA192">
        <v>0</v>
      </c>
      <c r="AB192" t="str">
        <f t="shared" si="2"/>
        <v>Not Defaulter</v>
      </c>
      <c r="AC192" s="1">
        <f>Table2[[#This Row],[BILL_AMT1]]-Table2[[#This Row],[PAY_AMT1]]</f>
        <v>49881</v>
      </c>
      <c r="AD192" s="1" t="str" cm="1">
        <f t="array" ref="AD192">_xlfn.IFS(Table2[[#This Row],[PAYMENT GAP]]&lt;=0,"No Gap / Overpaid",Table2[[#This Row],[PAYMENT GAP]]&lt;=25000,"Low Gap",Table2[[#This Row],[PAYMENT GAP]]&lt;=100000,"Medium Gap",
TRUE,"High Gap"
)</f>
        <v>Medium Gap</v>
      </c>
    </row>
    <row r="193" spans="1:30" x14ac:dyDescent="0.3">
      <c r="A193">
        <v>192</v>
      </c>
      <c r="B193" s="1">
        <v>60000</v>
      </c>
      <c r="C193" s="1" t="str" cm="1">
        <f t="array" ref="C193">_xlfn.IFS(Table2[[#This Row],[LIMIT_BAL]]&lt;=100000,"Low",Table2[[#This Row],[LIMIT_BAL]]&lt;=300000,"Medium",
TRUE,"High"
)</f>
        <v>Low</v>
      </c>
      <c r="D193" t="s">
        <v>2041</v>
      </c>
      <c r="E193" t="s">
        <v>2026</v>
      </c>
      <c r="F193" t="s">
        <v>2029</v>
      </c>
      <c r="G193">
        <v>27</v>
      </c>
      <c r="H193" t="str" cm="1">
        <f t="array" ref="H193">_xlfn.IFS(
Table2[[#This Row],[AGE]]&lt;30,"Young",
Table2[[#This Row],[AGE]]&lt;40,"Middle Age",
Table2[[#This Row],[AGE]]&lt;50,"Senior",
TRUE,"Super Senior"
)</f>
        <v>Young</v>
      </c>
      <c r="I193">
        <v>2</v>
      </c>
      <c r="J193">
        <v>0</v>
      </c>
      <c r="K193">
        <v>0</v>
      </c>
      <c r="L193">
        <v>0</v>
      </c>
      <c r="M193">
        <v>2</v>
      </c>
      <c r="N193">
        <v>0</v>
      </c>
      <c r="O193" s="1">
        <v>19625</v>
      </c>
      <c r="P193" s="1">
        <v>20347</v>
      </c>
      <c r="Q193" s="1">
        <v>21669</v>
      </c>
      <c r="R193" s="1">
        <v>23005</v>
      </c>
      <c r="S193" s="1">
        <v>22499</v>
      </c>
      <c r="T193" s="1">
        <v>22873</v>
      </c>
      <c r="U193" s="1">
        <v>1342</v>
      </c>
      <c r="V193" s="1">
        <v>1664</v>
      </c>
      <c r="W193" s="1">
        <v>2000</v>
      </c>
      <c r="X193" s="1">
        <v>0</v>
      </c>
      <c r="Y193" s="1">
        <v>900</v>
      </c>
      <c r="Z193" s="1">
        <v>846</v>
      </c>
      <c r="AA193">
        <v>1</v>
      </c>
      <c r="AB193" t="str">
        <f t="shared" si="2"/>
        <v>Defaulter</v>
      </c>
      <c r="AC193" s="1">
        <f>Table2[[#This Row],[BILL_AMT1]]-Table2[[#This Row],[PAY_AMT1]]</f>
        <v>18283</v>
      </c>
      <c r="AD193" s="1" t="str" cm="1">
        <f t="array" ref="AD193">_xlfn.IFS(Table2[[#This Row],[PAYMENT GAP]]&lt;=0,"No Gap / Overpaid",Table2[[#This Row],[PAYMENT GAP]]&lt;=25000,"Low Gap",Table2[[#This Row],[PAYMENT GAP]]&lt;=100000,"Medium Gap",
TRUE,"High Gap"
)</f>
        <v>Low Gap</v>
      </c>
    </row>
    <row r="194" spans="1:30" x14ac:dyDescent="0.3">
      <c r="A194">
        <v>193</v>
      </c>
      <c r="B194" s="1">
        <v>180000</v>
      </c>
      <c r="C194" s="1" t="str" cm="1">
        <f t="array" ref="C194">_xlfn.IFS(Table2[[#This Row],[LIMIT_BAL]]&lt;=100000,"Low",Table2[[#This Row],[LIMIT_BAL]]&lt;=300000,"Medium",
TRUE,"High"
)</f>
        <v>Medium</v>
      </c>
      <c r="D194" t="s">
        <v>2041</v>
      </c>
      <c r="E194" t="s">
        <v>2026</v>
      </c>
      <c r="F194" t="s">
        <v>2029</v>
      </c>
      <c r="G194">
        <v>29</v>
      </c>
      <c r="H194" t="str" cm="1">
        <f t="array" ref="H194">_xlfn.IFS(
Table2[[#This Row],[AGE]]&lt;30,"Young",
Table2[[#This Row],[AGE]]&lt;40,"Middle Age",
Table2[[#This Row],[AGE]]&lt;50,"Senior",
TRUE,"Super Senior"
)</f>
        <v>Young</v>
      </c>
      <c r="I194">
        <v>-1</v>
      </c>
      <c r="J194">
        <v>-1</v>
      </c>
      <c r="K194">
        <v>-1</v>
      </c>
      <c r="L194">
        <v>-2</v>
      </c>
      <c r="M194">
        <v>-1</v>
      </c>
      <c r="N194">
        <v>0</v>
      </c>
      <c r="O194" s="1">
        <v>11386</v>
      </c>
      <c r="P194" s="1">
        <v>199</v>
      </c>
      <c r="Q194" s="1">
        <v>0</v>
      </c>
      <c r="R194" s="1">
        <v>0</v>
      </c>
      <c r="S194" s="1">
        <v>17227</v>
      </c>
      <c r="T194" s="1">
        <v>17042</v>
      </c>
      <c r="U194" s="1">
        <v>199</v>
      </c>
      <c r="V194" s="1">
        <v>0</v>
      </c>
      <c r="W194" s="1">
        <v>0</v>
      </c>
      <c r="X194" s="1">
        <v>17227</v>
      </c>
      <c r="Y194" s="1">
        <v>341</v>
      </c>
      <c r="Z194" s="1">
        <v>5114</v>
      </c>
      <c r="AA194">
        <v>0</v>
      </c>
      <c r="AB194" t="str">
        <f t="shared" si="2"/>
        <v>Not Defaulter</v>
      </c>
      <c r="AC194" s="1">
        <f>Table2[[#This Row],[BILL_AMT1]]-Table2[[#This Row],[PAY_AMT1]]</f>
        <v>11187</v>
      </c>
      <c r="AD194" s="1" t="str" cm="1">
        <f t="array" ref="AD194">_xlfn.IFS(Table2[[#This Row],[PAYMENT GAP]]&lt;=0,"No Gap / Overpaid",Table2[[#This Row],[PAYMENT GAP]]&lt;=25000,"Low Gap",Table2[[#This Row],[PAYMENT GAP]]&lt;=100000,"Medium Gap",
TRUE,"High Gap"
)</f>
        <v>Low Gap</v>
      </c>
    </row>
    <row r="195" spans="1:30" x14ac:dyDescent="0.3">
      <c r="A195">
        <v>194</v>
      </c>
      <c r="B195" s="1">
        <v>180000</v>
      </c>
      <c r="C195" s="1" t="str" cm="1">
        <f t="array" ref="C195">_xlfn.IFS(Table2[[#This Row],[LIMIT_BAL]]&lt;=100000,"Low",Table2[[#This Row],[LIMIT_BAL]]&lt;=300000,"Medium",
TRUE,"High"
)</f>
        <v>Medium</v>
      </c>
      <c r="D195" t="s">
        <v>2041</v>
      </c>
      <c r="E195" t="s">
        <v>2026</v>
      </c>
      <c r="F195" t="s">
        <v>2029</v>
      </c>
      <c r="G195">
        <v>24</v>
      </c>
      <c r="H195" t="str" cm="1">
        <f t="array" ref="H195">_xlfn.IFS(
Table2[[#This Row],[AGE]]&lt;30,"Young",
Table2[[#This Row],[AGE]]&lt;40,"Middle Age",
Table2[[#This Row],[AGE]]&lt;50,"Senior",
TRUE,"Super Senior"
)</f>
        <v>Young</v>
      </c>
      <c r="I195">
        <v>-1</v>
      </c>
      <c r="J195">
        <v>-1</v>
      </c>
      <c r="K195">
        <v>2</v>
      </c>
      <c r="L195">
        <v>0</v>
      </c>
      <c r="M195">
        <v>0</v>
      </c>
      <c r="N195">
        <v>-2</v>
      </c>
      <c r="O195" s="1">
        <v>14670</v>
      </c>
      <c r="P195" s="1">
        <v>22087</v>
      </c>
      <c r="Q195" s="1">
        <v>21282</v>
      </c>
      <c r="R195" s="1">
        <v>10200</v>
      </c>
      <c r="S195" s="1">
        <v>0</v>
      </c>
      <c r="T195" s="1">
        <v>0</v>
      </c>
      <c r="U195" s="1">
        <v>37867</v>
      </c>
      <c r="V195" s="1">
        <v>0</v>
      </c>
      <c r="W195" s="1">
        <v>200</v>
      </c>
      <c r="X195" s="1">
        <v>0</v>
      </c>
      <c r="Y195" s="1">
        <v>0</v>
      </c>
      <c r="Z195" s="1">
        <v>0</v>
      </c>
      <c r="AA195">
        <v>0</v>
      </c>
      <c r="AB195" t="str">
        <f t="shared" ref="AB195:AB258" si="3">IF(AA195=1,"Defaulter","Not Defaulter")</f>
        <v>Not Defaulter</v>
      </c>
      <c r="AC195" s="1">
        <f>Table2[[#This Row],[BILL_AMT1]]-Table2[[#This Row],[PAY_AMT1]]</f>
        <v>-23197</v>
      </c>
      <c r="AD195" s="1" t="str" cm="1">
        <f t="array" ref="AD195">_xlfn.IFS(Table2[[#This Row],[PAYMENT GAP]]&lt;=0,"No Gap / Overpaid",Table2[[#This Row],[PAYMENT GAP]]&lt;=25000,"Low Gap",Table2[[#This Row],[PAYMENT GAP]]&lt;=100000,"Medium Gap",
TRUE,"High Gap"
)</f>
        <v>No Gap / Overpaid</v>
      </c>
    </row>
    <row r="196" spans="1:30" x14ac:dyDescent="0.3">
      <c r="A196">
        <v>195</v>
      </c>
      <c r="B196" s="1">
        <v>50000</v>
      </c>
      <c r="C196" s="1" t="str" cm="1">
        <f t="array" ref="C196">_xlfn.IFS(Table2[[#This Row],[LIMIT_BAL]]&lt;=100000,"Low",Table2[[#This Row],[LIMIT_BAL]]&lt;=300000,"Medium",
TRUE,"High"
)</f>
        <v>Low</v>
      </c>
      <c r="D196" t="s">
        <v>2042</v>
      </c>
      <c r="E196" t="s">
        <v>2043</v>
      </c>
      <c r="F196" t="s">
        <v>2028</v>
      </c>
      <c r="G196">
        <v>36</v>
      </c>
      <c r="H196" t="str" cm="1">
        <f t="array" ref="H196">_xlfn.IFS(
Table2[[#This Row],[AGE]]&lt;30,"Young",
Table2[[#This Row],[AGE]]&lt;40,"Middle Age",
Table2[[#This Row],[AGE]]&lt;50,"Senior",
TRUE,"Super Senior"
)</f>
        <v>Middle Age</v>
      </c>
      <c r="I196">
        <v>0</v>
      </c>
      <c r="J196">
        <v>0</v>
      </c>
      <c r="K196">
        <v>0</v>
      </c>
      <c r="L196">
        <v>0</v>
      </c>
      <c r="M196">
        <v>-1</v>
      </c>
      <c r="N196">
        <v>-1</v>
      </c>
      <c r="O196" s="1">
        <v>47790</v>
      </c>
      <c r="P196" s="1">
        <v>18114</v>
      </c>
      <c r="Q196" s="1">
        <v>18250</v>
      </c>
      <c r="R196" s="1">
        <v>-14</v>
      </c>
      <c r="S196" s="1">
        <v>72</v>
      </c>
      <c r="T196" s="1">
        <v>658</v>
      </c>
      <c r="U196" s="1">
        <v>2000</v>
      </c>
      <c r="V196" s="1">
        <v>1000</v>
      </c>
      <c r="W196" s="1">
        <v>2000</v>
      </c>
      <c r="X196" s="1">
        <v>500</v>
      </c>
      <c r="Y196" s="1">
        <v>1000</v>
      </c>
      <c r="Z196" s="1">
        <v>20011</v>
      </c>
      <c r="AA196">
        <v>0</v>
      </c>
      <c r="AB196" t="str">
        <f t="shared" si="3"/>
        <v>Not Defaulter</v>
      </c>
      <c r="AC196" s="1">
        <f>Table2[[#This Row],[BILL_AMT1]]-Table2[[#This Row],[PAY_AMT1]]</f>
        <v>45790</v>
      </c>
      <c r="AD196" s="1" t="str" cm="1">
        <f t="array" ref="AD196">_xlfn.IFS(Table2[[#This Row],[PAYMENT GAP]]&lt;=0,"No Gap / Overpaid",Table2[[#This Row],[PAYMENT GAP]]&lt;=25000,"Low Gap",Table2[[#This Row],[PAYMENT GAP]]&lt;=100000,"Medium Gap",
TRUE,"High Gap"
)</f>
        <v>Medium Gap</v>
      </c>
    </row>
    <row r="197" spans="1:30" x14ac:dyDescent="0.3">
      <c r="A197">
        <v>196</v>
      </c>
      <c r="B197" s="1">
        <v>50000</v>
      </c>
      <c r="C197" s="1" t="str" cm="1">
        <f t="array" ref="C197">_xlfn.IFS(Table2[[#This Row],[LIMIT_BAL]]&lt;=100000,"Low",Table2[[#This Row],[LIMIT_BAL]]&lt;=300000,"Medium",
TRUE,"High"
)</f>
        <v>Low</v>
      </c>
      <c r="D197" t="s">
        <v>2041</v>
      </c>
      <c r="E197" t="s">
        <v>2026</v>
      </c>
      <c r="F197" t="s">
        <v>2029</v>
      </c>
      <c r="G197">
        <v>24</v>
      </c>
      <c r="H197" t="str" cm="1">
        <f t="array" ref="H197">_xlfn.IFS(
Table2[[#This Row],[AGE]]&lt;30,"Young",
Table2[[#This Row],[AGE]]&lt;40,"Middle Age",
Table2[[#This Row],[AGE]]&lt;50,"Senior",
TRUE,"Super Senior"
)</f>
        <v>Young</v>
      </c>
      <c r="I197">
        <v>1</v>
      </c>
      <c r="J197">
        <v>2</v>
      </c>
      <c r="K197">
        <v>2</v>
      </c>
      <c r="L197">
        <v>2</v>
      </c>
      <c r="M197">
        <v>2</v>
      </c>
      <c r="N197">
        <v>2</v>
      </c>
      <c r="O197" s="1">
        <v>36166</v>
      </c>
      <c r="P197" s="1">
        <v>37188</v>
      </c>
      <c r="Q197" s="1">
        <v>37680</v>
      </c>
      <c r="R197" s="1">
        <v>38462</v>
      </c>
      <c r="S197" s="1">
        <v>39228</v>
      </c>
      <c r="T197" s="1">
        <v>40035</v>
      </c>
      <c r="U197" s="1">
        <v>1900</v>
      </c>
      <c r="V197" s="1">
        <v>1400</v>
      </c>
      <c r="W197" s="1">
        <v>1700</v>
      </c>
      <c r="X197" s="1">
        <v>1532</v>
      </c>
      <c r="Y197" s="1">
        <v>1600</v>
      </c>
      <c r="Z197" s="1">
        <v>0</v>
      </c>
      <c r="AA197">
        <v>1</v>
      </c>
      <c r="AB197" t="str">
        <f t="shared" si="3"/>
        <v>Defaulter</v>
      </c>
      <c r="AC197" s="1">
        <f>Table2[[#This Row],[BILL_AMT1]]-Table2[[#This Row],[PAY_AMT1]]</f>
        <v>34266</v>
      </c>
      <c r="AD197" s="1" t="str" cm="1">
        <f t="array" ref="AD197">_xlfn.IFS(Table2[[#This Row],[PAYMENT GAP]]&lt;=0,"No Gap / Overpaid",Table2[[#This Row],[PAYMENT GAP]]&lt;=25000,"Low Gap",Table2[[#This Row],[PAYMENT GAP]]&lt;=100000,"Medium Gap",
TRUE,"High Gap"
)</f>
        <v>Medium Gap</v>
      </c>
    </row>
    <row r="198" spans="1:30" x14ac:dyDescent="0.3">
      <c r="A198">
        <v>197</v>
      </c>
      <c r="B198" s="1">
        <v>150000</v>
      </c>
      <c r="C198" s="1" t="str" cm="1">
        <f t="array" ref="C198">_xlfn.IFS(Table2[[#This Row],[LIMIT_BAL]]&lt;=100000,"Low",Table2[[#This Row],[LIMIT_BAL]]&lt;=300000,"Medium",
TRUE,"High"
)</f>
        <v>Medium</v>
      </c>
      <c r="D198" t="s">
        <v>2041</v>
      </c>
      <c r="E198" t="s">
        <v>2043</v>
      </c>
      <c r="F198" t="s">
        <v>2028</v>
      </c>
      <c r="G198">
        <v>34</v>
      </c>
      <c r="H198" t="str" cm="1">
        <f t="array" ref="H198">_xlfn.IFS(
Table2[[#This Row],[AGE]]&lt;30,"Young",
Table2[[#This Row],[AGE]]&lt;40,"Middle Age",
Table2[[#This Row],[AGE]]&lt;50,"Senior",
TRUE,"Super Senior"
)</f>
        <v>Middle Age</v>
      </c>
      <c r="I198">
        <v>-2</v>
      </c>
      <c r="J198">
        <v>-2</v>
      </c>
      <c r="K198">
        <v>-2</v>
      </c>
      <c r="L198">
        <v>-2</v>
      </c>
      <c r="M198">
        <v>-2</v>
      </c>
      <c r="N198">
        <v>-2</v>
      </c>
      <c r="O198" s="1">
        <v>0</v>
      </c>
      <c r="P198" s="1">
        <v>0</v>
      </c>
      <c r="Q198" s="1">
        <v>0</v>
      </c>
      <c r="R198" s="1">
        <v>116</v>
      </c>
      <c r="S198" s="1">
        <v>0</v>
      </c>
      <c r="T198" s="1">
        <v>1500</v>
      </c>
      <c r="U198" s="1">
        <v>0</v>
      </c>
      <c r="V198" s="1">
        <v>0</v>
      </c>
      <c r="W198" s="1">
        <v>116</v>
      </c>
      <c r="X198" s="1">
        <v>0</v>
      </c>
      <c r="Y198" s="1">
        <v>1500</v>
      </c>
      <c r="Z198" s="1">
        <v>0</v>
      </c>
      <c r="AA198">
        <v>0</v>
      </c>
      <c r="AB198" t="str">
        <f t="shared" si="3"/>
        <v>Not Defaulter</v>
      </c>
      <c r="AC198" s="1">
        <f>Table2[[#This Row],[BILL_AMT1]]-Table2[[#This Row],[PAY_AMT1]]</f>
        <v>0</v>
      </c>
      <c r="AD198" s="1" t="str" cm="1">
        <f t="array" ref="AD198">_xlfn.IFS(Table2[[#This Row],[PAYMENT GAP]]&lt;=0,"No Gap / Overpaid",Table2[[#This Row],[PAYMENT GAP]]&lt;=25000,"Low Gap",Table2[[#This Row],[PAYMENT GAP]]&lt;=100000,"Medium Gap",
TRUE,"High Gap"
)</f>
        <v>No Gap / Overpaid</v>
      </c>
    </row>
    <row r="199" spans="1:30" x14ac:dyDescent="0.3">
      <c r="A199">
        <v>198</v>
      </c>
      <c r="B199" s="1">
        <v>20000</v>
      </c>
      <c r="C199" s="1" t="str" cm="1">
        <f t="array" ref="C199">_xlfn.IFS(Table2[[#This Row],[LIMIT_BAL]]&lt;=100000,"Low",Table2[[#This Row],[LIMIT_BAL]]&lt;=300000,"Medium",
TRUE,"High"
)</f>
        <v>Low</v>
      </c>
      <c r="D199" t="s">
        <v>2041</v>
      </c>
      <c r="E199" t="s">
        <v>2026</v>
      </c>
      <c r="F199" t="s">
        <v>2029</v>
      </c>
      <c r="G199">
        <v>22</v>
      </c>
      <c r="H199" t="str" cm="1">
        <f t="array" ref="H199">_xlfn.IFS(
Table2[[#This Row],[AGE]]&lt;30,"Young",
Table2[[#This Row],[AGE]]&lt;40,"Middle Age",
Table2[[#This Row],[AGE]]&lt;50,"Senior",
TRUE,"Super Senior"
)</f>
        <v>Young</v>
      </c>
      <c r="I199">
        <v>0</v>
      </c>
      <c r="J199">
        <v>0</v>
      </c>
      <c r="K199">
        <v>0</v>
      </c>
      <c r="L199">
        <v>0</v>
      </c>
      <c r="M199">
        <v>-1</v>
      </c>
      <c r="N199">
        <v>0</v>
      </c>
      <c r="O199" s="1">
        <v>18553</v>
      </c>
      <c r="P199" s="1">
        <v>19446</v>
      </c>
      <c r="Q199" s="1">
        <v>19065</v>
      </c>
      <c r="R199" s="1">
        <v>8332</v>
      </c>
      <c r="S199" s="1">
        <v>18868</v>
      </c>
      <c r="T199" s="1">
        <v>19247</v>
      </c>
      <c r="U199" s="1">
        <v>1500</v>
      </c>
      <c r="V199" s="1">
        <v>1032</v>
      </c>
      <c r="W199" s="1">
        <v>541</v>
      </c>
      <c r="X199" s="1">
        <v>20000</v>
      </c>
      <c r="Y199" s="1">
        <v>693</v>
      </c>
      <c r="Z199" s="1">
        <v>1000</v>
      </c>
      <c r="AA199">
        <v>0</v>
      </c>
      <c r="AB199" t="str">
        <f t="shared" si="3"/>
        <v>Not Defaulter</v>
      </c>
      <c r="AC199" s="1">
        <f>Table2[[#This Row],[BILL_AMT1]]-Table2[[#This Row],[PAY_AMT1]]</f>
        <v>17053</v>
      </c>
      <c r="AD199" s="1" t="str" cm="1">
        <f t="array" ref="AD199">_xlfn.IFS(Table2[[#This Row],[PAYMENT GAP]]&lt;=0,"No Gap / Overpaid",Table2[[#This Row],[PAYMENT GAP]]&lt;=25000,"Low Gap",Table2[[#This Row],[PAYMENT GAP]]&lt;=100000,"Medium Gap",
TRUE,"High Gap"
)</f>
        <v>Low Gap</v>
      </c>
    </row>
    <row r="200" spans="1:30" x14ac:dyDescent="0.3">
      <c r="A200">
        <v>199</v>
      </c>
      <c r="B200" s="1">
        <v>500000</v>
      </c>
      <c r="C200" s="1" t="str" cm="1">
        <f t="array" ref="C200">_xlfn.IFS(Table2[[#This Row],[LIMIT_BAL]]&lt;=100000,"Low",Table2[[#This Row],[LIMIT_BAL]]&lt;=300000,"Medium",
TRUE,"High"
)</f>
        <v>High</v>
      </c>
      <c r="D200" t="s">
        <v>2041</v>
      </c>
      <c r="E200" t="s">
        <v>2026</v>
      </c>
      <c r="F200" t="s">
        <v>2028</v>
      </c>
      <c r="G200">
        <v>34</v>
      </c>
      <c r="H200" t="str" cm="1">
        <f t="array" ref="H200">_xlfn.IFS(
Table2[[#This Row],[AGE]]&lt;30,"Young",
Table2[[#This Row],[AGE]]&lt;40,"Middle Age",
Table2[[#This Row],[AGE]]&lt;50,"Senior",
TRUE,"Super Senior"
)</f>
        <v>Middle Age</v>
      </c>
      <c r="I200">
        <v>-2</v>
      </c>
      <c r="J200">
        <v>-2</v>
      </c>
      <c r="K200">
        <v>-2</v>
      </c>
      <c r="L200">
        <v>-1</v>
      </c>
      <c r="M200">
        <v>-1</v>
      </c>
      <c r="N200">
        <v>-1</v>
      </c>
      <c r="O200" s="1">
        <v>412</v>
      </c>
      <c r="P200" s="1">
        <v>138</v>
      </c>
      <c r="Q200" s="1">
        <v>2299</v>
      </c>
      <c r="R200" s="1">
        <v>1251</v>
      </c>
      <c r="S200" s="1">
        <v>1206</v>
      </c>
      <c r="T200" s="1">
        <v>1151</v>
      </c>
      <c r="U200" s="1">
        <v>138</v>
      </c>
      <c r="V200" s="1">
        <v>2299</v>
      </c>
      <c r="W200" s="1">
        <v>1251</v>
      </c>
      <c r="X200" s="1">
        <v>1206</v>
      </c>
      <c r="Y200" s="1">
        <v>1151</v>
      </c>
      <c r="Z200" s="1">
        <v>15816</v>
      </c>
      <c r="AA200">
        <v>0</v>
      </c>
      <c r="AB200" t="str">
        <f t="shared" si="3"/>
        <v>Not Defaulter</v>
      </c>
      <c r="AC200" s="1">
        <f>Table2[[#This Row],[BILL_AMT1]]-Table2[[#This Row],[PAY_AMT1]]</f>
        <v>274</v>
      </c>
      <c r="AD200" s="1" t="str" cm="1">
        <f t="array" ref="AD200">_xlfn.IFS(Table2[[#This Row],[PAYMENT GAP]]&lt;=0,"No Gap / Overpaid",Table2[[#This Row],[PAYMENT GAP]]&lt;=25000,"Low Gap",Table2[[#This Row],[PAYMENT GAP]]&lt;=100000,"Medium Gap",
TRUE,"High Gap"
)</f>
        <v>Low Gap</v>
      </c>
    </row>
    <row r="201" spans="1:30" x14ac:dyDescent="0.3">
      <c r="A201">
        <v>200</v>
      </c>
      <c r="B201" s="1">
        <v>30000</v>
      </c>
      <c r="C201" s="1" t="str" cm="1">
        <f t="array" ref="C201">_xlfn.IFS(Table2[[#This Row],[LIMIT_BAL]]&lt;=100000,"Low",Table2[[#This Row],[LIMIT_BAL]]&lt;=300000,"Medium",
TRUE,"High"
)</f>
        <v>Low</v>
      </c>
      <c r="D201" t="s">
        <v>2041</v>
      </c>
      <c r="E201" t="s">
        <v>2027</v>
      </c>
      <c r="F201" t="s">
        <v>2029</v>
      </c>
      <c r="G201">
        <v>22</v>
      </c>
      <c r="H201" t="str" cm="1">
        <f t="array" ref="H201">_xlfn.IFS(
Table2[[#This Row],[AGE]]&lt;30,"Young",
Table2[[#This Row],[AGE]]&lt;40,"Middle Age",
Table2[[#This Row],[AGE]]&lt;50,"Senior",
TRUE,"Super Senior"
)</f>
        <v>Young</v>
      </c>
      <c r="I201">
        <v>1</v>
      </c>
      <c r="J201">
        <v>2</v>
      </c>
      <c r="K201">
        <v>2</v>
      </c>
      <c r="L201">
        <v>0</v>
      </c>
      <c r="M201">
        <v>0</v>
      </c>
      <c r="N201">
        <v>0</v>
      </c>
      <c r="O201" s="1">
        <v>29010</v>
      </c>
      <c r="P201" s="1">
        <v>29256</v>
      </c>
      <c r="Q201" s="1">
        <v>28122</v>
      </c>
      <c r="R201" s="1">
        <v>29836</v>
      </c>
      <c r="S201" s="1">
        <v>1630</v>
      </c>
      <c r="T201" s="1">
        <v>0</v>
      </c>
      <c r="U201" s="1">
        <v>1000</v>
      </c>
      <c r="V201" s="1">
        <v>85</v>
      </c>
      <c r="W201" s="1">
        <v>1714</v>
      </c>
      <c r="X201" s="1">
        <v>104</v>
      </c>
      <c r="Y201" s="1">
        <v>0</v>
      </c>
      <c r="Z201" s="1">
        <v>0</v>
      </c>
      <c r="AA201">
        <v>1</v>
      </c>
      <c r="AB201" t="str">
        <f t="shared" si="3"/>
        <v>Defaulter</v>
      </c>
      <c r="AC201" s="1">
        <f>Table2[[#This Row],[BILL_AMT1]]-Table2[[#This Row],[PAY_AMT1]]</f>
        <v>28010</v>
      </c>
      <c r="AD201" s="1" t="str" cm="1">
        <f t="array" ref="AD201">_xlfn.IFS(Table2[[#This Row],[PAYMENT GAP]]&lt;=0,"No Gap / Overpaid",Table2[[#This Row],[PAYMENT GAP]]&lt;=25000,"Low Gap",Table2[[#This Row],[PAYMENT GAP]]&lt;=100000,"Medium Gap",
TRUE,"High Gap"
)</f>
        <v>Medium Gap</v>
      </c>
    </row>
    <row r="202" spans="1:30" x14ac:dyDescent="0.3">
      <c r="A202">
        <v>201</v>
      </c>
      <c r="B202" s="1">
        <v>180000</v>
      </c>
      <c r="C202" s="1" t="str" cm="1">
        <f t="array" ref="C202">_xlfn.IFS(Table2[[#This Row],[LIMIT_BAL]]&lt;=100000,"Low",Table2[[#This Row],[LIMIT_BAL]]&lt;=300000,"Medium",
TRUE,"High"
)</f>
        <v>Medium</v>
      </c>
      <c r="D202" t="s">
        <v>2041</v>
      </c>
      <c r="E202" t="s">
        <v>2026</v>
      </c>
      <c r="F202" t="s">
        <v>2028</v>
      </c>
      <c r="G202">
        <v>38</v>
      </c>
      <c r="H202" t="str" cm="1">
        <f t="array" ref="H202">_xlfn.IFS(
Table2[[#This Row],[AGE]]&lt;30,"Young",
Table2[[#This Row],[AGE]]&lt;40,"Middle Age",
Table2[[#This Row],[AGE]]&lt;50,"Senior",
TRUE,"Super Senior"
)</f>
        <v>Middle Age</v>
      </c>
      <c r="I202">
        <v>-2</v>
      </c>
      <c r="J202">
        <v>-2</v>
      </c>
      <c r="K202">
        <v>-2</v>
      </c>
      <c r="L202">
        <v>-2</v>
      </c>
      <c r="M202">
        <v>-2</v>
      </c>
      <c r="N202">
        <v>-2</v>
      </c>
      <c r="O202" s="1">
        <v>750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>
        <v>0</v>
      </c>
      <c r="AB202" t="str">
        <f t="shared" si="3"/>
        <v>Not Defaulter</v>
      </c>
      <c r="AC202" s="1">
        <f>Table2[[#This Row],[BILL_AMT1]]-Table2[[#This Row],[PAY_AMT1]]</f>
        <v>750</v>
      </c>
      <c r="AD202" s="1" t="str" cm="1">
        <f t="array" ref="AD202">_xlfn.IFS(Table2[[#This Row],[PAYMENT GAP]]&lt;=0,"No Gap / Overpaid",Table2[[#This Row],[PAYMENT GAP]]&lt;=25000,"Low Gap",Table2[[#This Row],[PAYMENT GAP]]&lt;=100000,"Medium Gap",
TRUE,"High Gap"
)</f>
        <v>Low Gap</v>
      </c>
    </row>
    <row r="203" spans="1:30" x14ac:dyDescent="0.3">
      <c r="A203">
        <v>202</v>
      </c>
      <c r="B203" s="1">
        <v>140000</v>
      </c>
      <c r="C203" s="1" t="str" cm="1">
        <f t="array" ref="C203">_xlfn.IFS(Table2[[#This Row],[LIMIT_BAL]]&lt;=100000,"Low",Table2[[#This Row],[LIMIT_BAL]]&lt;=300000,"Medium",
TRUE,"High"
)</f>
        <v>Medium</v>
      </c>
      <c r="D203" t="s">
        <v>2042</v>
      </c>
      <c r="E203" t="s">
        <v>2026</v>
      </c>
      <c r="F203" t="s">
        <v>2029</v>
      </c>
      <c r="G203">
        <v>31</v>
      </c>
      <c r="H203" t="str" cm="1">
        <f t="array" ref="H203">_xlfn.IFS(
Table2[[#This Row],[AGE]]&lt;30,"Young",
Table2[[#This Row],[AGE]]&lt;40,"Middle Age",
Table2[[#This Row],[AGE]]&lt;50,"Senior",
TRUE,"Super Senior"
)</f>
        <v>Middle Age</v>
      </c>
      <c r="I203">
        <v>0</v>
      </c>
      <c r="J203">
        <v>0</v>
      </c>
      <c r="K203">
        <v>2</v>
      </c>
      <c r="L203">
        <v>0</v>
      </c>
      <c r="M203">
        <v>0</v>
      </c>
      <c r="N203">
        <v>2</v>
      </c>
      <c r="O203" s="1">
        <v>27123</v>
      </c>
      <c r="P203" s="1">
        <v>27299</v>
      </c>
      <c r="Q203" s="1">
        <v>17985</v>
      </c>
      <c r="R203" s="1">
        <v>20225</v>
      </c>
      <c r="S203" s="1">
        <v>27407</v>
      </c>
      <c r="T203" s="1">
        <v>10833</v>
      </c>
      <c r="U203" s="1">
        <v>25000</v>
      </c>
      <c r="V203" s="1">
        <v>0</v>
      </c>
      <c r="W203" s="1">
        <v>3000</v>
      </c>
      <c r="X203" s="1">
        <v>7800</v>
      </c>
      <c r="Y203" s="1">
        <v>0</v>
      </c>
      <c r="Z203" s="1">
        <v>2500</v>
      </c>
      <c r="AA203">
        <v>0</v>
      </c>
      <c r="AB203" t="str">
        <f t="shared" si="3"/>
        <v>Not Defaulter</v>
      </c>
      <c r="AC203" s="1">
        <f>Table2[[#This Row],[BILL_AMT1]]-Table2[[#This Row],[PAY_AMT1]]</f>
        <v>2123</v>
      </c>
      <c r="AD203" s="1" t="str" cm="1">
        <f t="array" ref="AD203">_xlfn.IFS(Table2[[#This Row],[PAYMENT GAP]]&lt;=0,"No Gap / Overpaid",Table2[[#This Row],[PAYMENT GAP]]&lt;=25000,"Low Gap",Table2[[#This Row],[PAYMENT GAP]]&lt;=100000,"Medium Gap",
TRUE,"High Gap"
)</f>
        <v>Low Gap</v>
      </c>
    </row>
    <row r="204" spans="1:30" x14ac:dyDescent="0.3">
      <c r="A204">
        <v>203</v>
      </c>
      <c r="B204" s="1">
        <v>140000</v>
      </c>
      <c r="C204" s="1" t="str" cm="1">
        <f t="array" ref="C204">_xlfn.IFS(Table2[[#This Row],[LIMIT_BAL]]&lt;=100000,"Low",Table2[[#This Row],[LIMIT_BAL]]&lt;=300000,"Medium",
TRUE,"High"
)</f>
        <v>Medium</v>
      </c>
      <c r="D204" t="s">
        <v>2041</v>
      </c>
      <c r="E204" t="s">
        <v>2026</v>
      </c>
      <c r="F204" t="s">
        <v>2029</v>
      </c>
      <c r="G204">
        <v>26</v>
      </c>
      <c r="H204" t="str" cm="1">
        <f t="array" ref="H204">_xlfn.IFS(
Table2[[#This Row],[AGE]]&lt;30,"Young",
Table2[[#This Row],[AGE]]&lt;40,"Middle Age",
Table2[[#This Row],[AGE]]&lt;50,"Senior",
TRUE,"Super Senior"
)</f>
        <v>Young</v>
      </c>
      <c r="I204">
        <v>-1</v>
      </c>
      <c r="J204">
        <v>0</v>
      </c>
      <c r="K204">
        <v>-1</v>
      </c>
      <c r="L204">
        <v>-1</v>
      </c>
      <c r="M204">
        <v>-1</v>
      </c>
      <c r="N204">
        <v>-1</v>
      </c>
      <c r="O204" s="1">
        <v>13424</v>
      </c>
      <c r="P204" s="1">
        <v>18000</v>
      </c>
      <c r="Q204" s="1">
        <v>13001</v>
      </c>
      <c r="R204" s="1">
        <v>5818</v>
      </c>
      <c r="S204" s="1">
        <v>13506</v>
      </c>
      <c r="T204" s="1">
        <v>487</v>
      </c>
      <c r="U204" s="1">
        <v>10000</v>
      </c>
      <c r="V204" s="1">
        <v>13001</v>
      </c>
      <c r="W204" s="1">
        <v>5841</v>
      </c>
      <c r="X204" s="1">
        <v>13506</v>
      </c>
      <c r="Y204" s="1">
        <v>487</v>
      </c>
      <c r="Z204" s="1">
        <v>7004</v>
      </c>
      <c r="AA204">
        <v>0</v>
      </c>
      <c r="AB204" t="str">
        <f t="shared" si="3"/>
        <v>Not Defaulter</v>
      </c>
      <c r="AC204" s="1">
        <f>Table2[[#This Row],[BILL_AMT1]]-Table2[[#This Row],[PAY_AMT1]]</f>
        <v>3424</v>
      </c>
      <c r="AD204" s="1" t="str" cm="1">
        <f t="array" ref="AD204">_xlfn.IFS(Table2[[#This Row],[PAYMENT GAP]]&lt;=0,"No Gap / Overpaid",Table2[[#This Row],[PAYMENT GAP]]&lt;=25000,"Low Gap",Table2[[#This Row],[PAYMENT GAP]]&lt;=100000,"Medium Gap",
TRUE,"High Gap"
)</f>
        <v>Low Gap</v>
      </c>
    </row>
    <row r="205" spans="1:30" x14ac:dyDescent="0.3">
      <c r="A205">
        <v>204</v>
      </c>
      <c r="B205" s="1">
        <v>120000</v>
      </c>
      <c r="C205" s="1" t="str" cm="1">
        <f t="array" ref="C205">_xlfn.IFS(Table2[[#This Row],[LIMIT_BAL]]&lt;=100000,"Low",Table2[[#This Row],[LIMIT_BAL]]&lt;=300000,"Medium",
TRUE,"High"
)</f>
        <v>Medium</v>
      </c>
      <c r="D205" t="s">
        <v>2042</v>
      </c>
      <c r="E205" t="s">
        <v>2043</v>
      </c>
      <c r="F205" t="s">
        <v>2029</v>
      </c>
      <c r="G205">
        <v>26</v>
      </c>
      <c r="H205" t="str" cm="1">
        <f t="array" ref="H205">_xlfn.IFS(
Table2[[#This Row],[AGE]]&lt;30,"Young",
Table2[[#This Row],[AGE]]&lt;40,"Middle Age",
Table2[[#This Row],[AGE]]&lt;50,"Senior",
TRUE,"Super Senior"
)</f>
        <v>Young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 s="1">
        <v>107314</v>
      </c>
      <c r="P205" s="1">
        <v>110578</v>
      </c>
      <c r="Q205" s="1">
        <v>113736</v>
      </c>
      <c r="R205" s="1">
        <v>116000</v>
      </c>
      <c r="S205" s="1">
        <v>119131</v>
      </c>
      <c r="T205" s="1">
        <v>122135</v>
      </c>
      <c r="U205" s="1">
        <v>5000</v>
      </c>
      <c r="V205" s="1">
        <v>5000</v>
      </c>
      <c r="W205" s="1">
        <v>4152</v>
      </c>
      <c r="X205" s="1">
        <v>5000</v>
      </c>
      <c r="Y205" s="1">
        <v>5000</v>
      </c>
      <c r="Z205" s="1">
        <v>5000</v>
      </c>
      <c r="AA205">
        <v>0</v>
      </c>
      <c r="AB205" t="str">
        <f t="shared" si="3"/>
        <v>Not Defaulter</v>
      </c>
      <c r="AC205" s="1">
        <f>Table2[[#This Row],[BILL_AMT1]]-Table2[[#This Row],[PAY_AMT1]]</f>
        <v>102314</v>
      </c>
      <c r="AD205" s="1" t="str" cm="1">
        <f t="array" ref="AD205">_xlfn.IFS(Table2[[#This Row],[PAYMENT GAP]]&lt;=0,"No Gap / Overpaid",Table2[[#This Row],[PAYMENT GAP]]&lt;=25000,"Low Gap",Table2[[#This Row],[PAYMENT GAP]]&lt;=100000,"Medium Gap",
TRUE,"High Gap"
)</f>
        <v>High Gap</v>
      </c>
    </row>
    <row r="206" spans="1:30" x14ac:dyDescent="0.3">
      <c r="A206">
        <v>205</v>
      </c>
      <c r="B206" s="1">
        <v>360000</v>
      </c>
      <c r="C206" s="1" t="str" cm="1">
        <f t="array" ref="C206">_xlfn.IFS(Table2[[#This Row],[LIMIT_BAL]]&lt;=100000,"Low",Table2[[#This Row],[LIMIT_BAL]]&lt;=300000,"Medium",
TRUE,"High"
)</f>
        <v>High</v>
      </c>
      <c r="D206" t="s">
        <v>2041</v>
      </c>
      <c r="E206" t="s">
        <v>2043</v>
      </c>
      <c r="F206" t="s">
        <v>2028</v>
      </c>
      <c r="G206">
        <v>48</v>
      </c>
      <c r="H206" t="str" cm="1">
        <f t="array" ref="H206">_xlfn.IFS(
Table2[[#This Row],[AGE]]&lt;30,"Young",
Table2[[#This Row],[AGE]]&lt;40,"Middle Age",
Table2[[#This Row],[AGE]]&lt;50,"Senior",
TRUE,"Super Senior"
)</f>
        <v>Senior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s="1">
        <v>226430</v>
      </c>
      <c r="P206" s="1">
        <v>231878</v>
      </c>
      <c r="Q206" s="1">
        <v>234192</v>
      </c>
      <c r="R206" s="1">
        <v>190211</v>
      </c>
      <c r="S206" s="1">
        <v>173557</v>
      </c>
      <c r="T206" s="1">
        <v>146511</v>
      </c>
      <c r="U206" s="1">
        <v>9100</v>
      </c>
      <c r="V206" s="1">
        <v>7300</v>
      </c>
      <c r="W206" s="1">
        <v>5800</v>
      </c>
      <c r="X206" s="1">
        <v>5600</v>
      </c>
      <c r="Y206" s="1">
        <v>5600</v>
      </c>
      <c r="Z206" s="1">
        <v>4100</v>
      </c>
      <c r="AA206">
        <v>0</v>
      </c>
      <c r="AB206" t="str">
        <f t="shared" si="3"/>
        <v>Not Defaulter</v>
      </c>
      <c r="AC206" s="1">
        <f>Table2[[#This Row],[BILL_AMT1]]-Table2[[#This Row],[PAY_AMT1]]</f>
        <v>217330</v>
      </c>
      <c r="AD206" s="1" t="str" cm="1">
        <f t="array" ref="AD206">_xlfn.IFS(Table2[[#This Row],[PAYMENT GAP]]&lt;=0,"No Gap / Overpaid",Table2[[#This Row],[PAYMENT GAP]]&lt;=25000,"Low Gap",Table2[[#This Row],[PAYMENT GAP]]&lt;=100000,"Medium Gap",
TRUE,"High Gap"
)</f>
        <v>High Gap</v>
      </c>
    </row>
    <row r="207" spans="1:30" x14ac:dyDescent="0.3">
      <c r="A207">
        <v>206</v>
      </c>
      <c r="B207" s="1">
        <v>20000</v>
      </c>
      <c r="C207" s="1" t="str" cm="1">
        <f t="array" ref="C207">_xlfn.IFS(Table2[[#This Row],[LIMIT_BAL]]&lt;=100000,"Low",Table2[[#This Row],[LIMIT_BAL]]&lt;=300000,"Medium",
TRUE,"High"
)</f>
        <v>Low</v>
      </c>
      <c r="D207" t="s">
        <v>2042</v>
      </c>
      <c r="E207" t="s">
        <v>2027</v>
      </c>
      <c r="F207" t="s">
        <v>2028</v>
      </c>
      <c r="G207">
        <v>43</v>
      </c>
      <c r="H207" t="str" cm="1">
        <f t="array" ref="H207">_xlfn.IFS(
Table2[[#This Row],[AGE]]&lt;30,"Young",
Table2[[#This Row],[AGE]]&lt;40,"Middle Age",
Table2[[#This Row],[AGE]]&lt;50,"Senior",
TRUE,"Super Senior"
)</f>
        <v>Senior</v>
      </c>
      <c r="I207">
        <v>-1</v>
      </c>
      <c r="J207">
        <v>-1</v>
      </c>
      <c r="K207">
        <v>0</v>
      </c>
      <c r="L207">
        <v>0</v>
      </c>
      <c r="M207">
        <v>0</v>
      </c>
      <c r="N207">
        <v>0</v>
      </c>
      <c r="O207" s="1">
        <v>227</v>
      </c>
      <c r="P207" s="1">
        <v>20351</v>
      </c>
      <c r="Q207" s="1">
        <v>20237</v>
      </c>
      <c r="R207" s="1">
        <v>19339</v>
      </c>
      <c r="S207" s="1">
        <v>19450</v>
      </c>
      <c r="T207" s="1">
        <v>19337</v>
      </c>
      <c r="U207" s="1">
        <v>22359</v>
      </c>
      <c r="V207" s="1">
        <v>1305</v>
      </c>
      <c r="W207" s="1">
        <v>1258</v>
      </c>
      <c r="X207" s="1">
        <v>1459</v>
      </c>
      <c r="Y207" s="1">
        <v>3457</v>
      </c>
      <c r="Z207" s="1">
        <v>1700</v>
      </c>
      <c r="AA207">
        <v>0</v>
      </c>
      <c r="AB207" t="str">
        <f t="shared" si="3"/>
        <v>Not Defaulter</v>
      </c>
      <c r="AC207" s="1">
        <f>Table2[[#This Row],[BILL_AMT1]]-Table2[[#This Row],[PAY_AMT1]]</f>
        <v>-22132</v>
      </c>
      <c r="AD207" s="1" t="str" cm="1">
        <f t="array" ref="AD207">_xlfn.IFS(Table2[[#This Row],[PAYMENT GAP]]&lt;=0,"No Gap / Overpaid",Table2[[#This Row],[PAYMENT GAP]]&lt;=25000,"Low Gap",Table2[[#This Row],[PAYMENT GAP]]&lt;=100000,"Medium Gap",
TRUE,"High Gap"
)</f>
        <v>No Gap / Overpaid</v>
      </c>
    </row>
    <row r="208" spans="1:30" x14ac:dyDescent="0.3">
      <c r="A208">
        <v>207</v>
      </c>
      <c r="B208" s="1">
        <v>100000</v>
      </c>
      <c r="C208" s="1" t="str" cm="1">
        <f t="array" ref="C208">_xlfn.IFS(Table2[[#This Row],[LIMIT_BAL]]&lt;=100000,"Low",Table2[[#This Row],[LIMIT_BAL]]&lt;=300000,"Medium",
TRUE,"High"
)</f>
        <v>Low</v>
      </c>
      <c r="D208" t="s">
        <v>2042</v>
      </c>
      <c r="E208" t="s">
        <v>2026</v>
      </c>
      <c r="F208" t="s">
        <v>2028</v>
      </c>
      <c r="G208">
        <v>47</v>
      </c>
      <c r="H208" t="str" cm="1">
        <f t="array" ref="H208">_xlfn.IFS(
Table2[[#This Row],[AGE]]&lt;30,"Young",
Table2[[#This Row],[AGE]]&lt;40,"Middle Age",
Table2[[#This Row],[AGE]]&lt;50,"Senior",
TRUE,"Super Senior"
)</f>
        <v>Senior</v>
      </c>
      <c r="I208">
        <v>-1</v>
      </c>
      <c r="J208">
        <v>-1</v>
      </c>
      <c r="K208">
        <v>-1</v>
      </c>
      <c r="L208">
        <v>-1</v>
      </c>
      <c r="M208">
        <v>-1</v>
      </c>
      <c r="N208">
        <v>-1</v>
      </c>
      <c r="O208" s="1">
        <v>390</v>
      </c>
      <c r="P208" s="1">
        <v>1473</v>
      </c>
      <c r="Q208" s="1">
        <v>390</v>
      </c>
      <c r="R208" s="1">
        <v>390</v>
      </c>
      <c r="S208" s="1">
        <v>390</v>
      </c>
      <c r="T208" s="1">
        <v>0</v>
      </c>
      <c r="U208" s="1">
        <v>1473</v>
      </c>
      <c r="V208" s="1">
        <v>390</v>
      </c>
      <c r="W208" s="1">
        <v>390</v>
      </c>
      <c r="X208" s="1">
        <v>390</v>
      </c>
      <c r="Y208" s="1">
        <v>0</v>
      </c>
      <c r="Z208" s="1">
        <v>2380</v>
      </c>
      <c r="AA208">
        <v>0</v>
      </c>
      <c r="AB208" t="str">
        <f t="shared" si="3"/>
        <v>Not Defaulter</v>
      </c>
      <c r="AC208" s="1">
        <f>Table2[[#This Row],[BILL_AMT1]]-Table2[[#This Row],[PAY_AMT1]]</f>
        <v>-1083</v>
      </c>
      <c r="AD208" s="1" t="str" cm="1">
        <f t="array" ref="AD208">_xlfn.IFS(Table2[[#This Row],[PAYMENT GAP]]&lt;=0,"No Gap / Overpaid",Table2[[#This Row],[PAYMENT GAP]]&lt;=25000,"Low Gap",Table2[[#This Row],[PAYMENT GAP]]&lt;=100000,"Medium Gap",
TRUE,"High Gap"
)</f>
        <v>No Gap / Overpaid</v>
      </c>
    </row>
    <row r="209" spans="1:30" x14ac:dyDescent="0.3">
      <c r="A209">
        <v>208</v>
      </c>
      <c r="B209" s="1">
        <v>210000</v>
      </c>
      <c r="C209" s="1" t="str" cm="1">
        <f t="array" ref="C209">_xlfn.IFS(Table2[[#This Row],[LIMIT_BAL]]&lt;=100000,"Low",Table2[[#This Row],[LIMIT_BAL]]&lt;=300000,"Medium",
TRUE,"High"
)</f>
        <v>Medium</v>
      </c>
      <c r="D209" t="s">
        <v>2041</v>
      </c>
      <c r="E209" t="s">
        <v>2043</v>
      </c>
      <c r="F209" t="s">
        <v>2028</v>
      </c>
      <c r="G209">
        <v>41</v>
      </c>
      <c r="H209" t="str" cm="1">
        <f t="array" ref="H209">_xlfn.IFS(
Table2[[#This Row],[AGE]]&lt;30,"Young",
Table2[[#This Row],[AGE]]&lt;40,"Middle Age",
Table2[[#This Row],[AGE]]&lt;50,"Senior",
TRUE,"Super Senior"
)</f>
        <v>Senior</v>
      </c>
      <c r="I209">
        <v>-1</v>
      </c>
      <c r="J209">
        <v>-1</v>
      </c>
      <c r="K209">
        <v>-1</v>
      </c>
      <c r="L209">
        <v>-1</v>
      </c>
      <c r="M209">
        <v>-1</v>
      </c>
      <c r="N209">
        <v>-1</v>
      </c>
      <c r="O209" s="1">
        <v>3088</v>
      </c>
      <c r="P209" s="1">
        <v>1586</v>
      </c>
      <c r="Q209" s="1">
        <v>343</v>
      </c>
      <c r="R209" s="1">
        <v>3763</v>
      </c>
      <c r="S209" s="1">
        <v>877</v>
      </c>
      <c r="T209" s="1">
        <v>0</v>
      </c>
      <c r="U209" s="1">
        <v>1586</v>
      </c>
      <c r="V209" s="1">
        <v>343</v>
      </c>
      <c r="W209" s="1">
        <v>3763</v>
      </c>
      <c r="X209" s="1">
        <v>877</v>
      </c>
      <c r="Y209" s="1">
        <v>0</v>
      </c>
      <c r="Z209" s="1">
        <v>419</v>
      </c>
      <c r="AA209">
        <v>1</v>
      </c>
      <c r="AB209" t="str">
        <f t="shared" si="3"/>
        <v>Defaulter</v>
      </c>
      <c r="AC209" s="1">
        <f>Table2[[#This Row],[BILL_AMT1]]-Table2[[#This Row],[PAY_AMT1]]</f>
        <v>1502</v>
      </c>
      <c r="AD209" s="1" t="str" cm="1">
        <f t="array" ref="AD209">_xlfn.IFS(Table2[[#This Row],[PAYMENT GAP]]&lt;=0,"No Gap / Overpaid",Table2[[#This Row],[PAYMENT GAP]]&lt;=25000,"Low Gap",Table2[[#This Row],[PAYMENT GAP]]&lt;=100000,"Medium Gap",
TRUE,"High Gap"
)</f>
        <v>Low Gap</v>
      </c>
    </row>
    <row r="210" spans="1:30" x14ac:dyDescent="0.3">
      <c r="A210">
        <v>209</v>
      </c>
      <c r="B210" s="1">
        <v>80000</v>
      </c>
      <c r="C210" s="1" t="str" cm="1">
        <f t="array" ref="C210">_xlfn.IFS(Table2[[#This Row],[LIMIT_BAL]]&lt;=100000,"Low",Table2[[#This Row],[LIMIT_BAL]]&lt;=300000,"Medium",
TRUE,"High"
)</f>
        <v>Low</v>
      </c>
      <c r="D210" t="s">
        <v>2041</v>
      </c>
      <c r="E210" t="s">
        <v>2043</v>
      </c>
      <c r="F210" t="s">
        <v>2029</v>
      </c>
      <c r="G210">
        <v>24</v>
      </c>
      <c r="H210" t="str" cm="1">
        <f t="array" ref="H210">_xlfn.IFS(
Table2[[#This Row],[AGE]]&lt;30,"Young",
Table2[[#This Row],[AGE]]&lt;40,"Middle Age",
Table2[[#This Row],[AGE]]&lt;50,"Senior",
TRUE,"Super Senior"
)</f>
        <v>Young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s="1">
        <v>81625</v>
      </c>
      <c r="P210" s="1">
        <v>81554</v>
      </c>
      <c r="Q210" s="1">
        <v>79599</v>
      </c>
      <c r="R210" s="1">
        <v>49552</v>
      </c>
      <c r="S210" s="1">
        <v>49509</v>
      </c>
      <c r="T210" s="1">
        <v>49568</v>
      </c>
      <c r="U210" s="1">
        <v>3200</v>
      </c>
      <c r="V210" s="1">
        <v>3000</v>
      </c>
      <c r="W210" s="1">
        <v>2038</v>
      </c>
      <c r="X210" s="1">
        <v>2000</v>
      </c>
      <c r="Y210" s="1">
        <v>1800</v>
      </c>
      <c r="Z210" s="1">
        <v>1800</v>
      </c>
      <c r="AA210">
        <v>1</v>
      </c>
      <c r="AB210" t="str">
        <f t="shared" si="3"/>
        <v>Defaulter</v>
      </c>
      <c r="AC210" s="1">
        <f>Table2[[#This Row],[BILL_AMT1]]-Table2[[#This Row],[PAY_AMT1]]</f>
        <v>78425</v>
      </c>
      <c r="AD210" s="1" t="str" cm="1">
        <f t="array" ref="AD210">_xlfn.IFS(Table2[[#This Row],[PAYMENT GAP]]&lt;=0,"No Gap / Overpaid",Table2[[#This Row],[PAYMENT GAP]]&lt;=25000,"Low Gap",Table2[[#This Row],[PAYMENT GAP]]&lt;=100000,"Medium Gap",
TRUE,"High Gap"
)</f>
        <v>Medium Gap</v>
      </c>
    </row>
    <row r="211" spans="1:30" x14ac:dyDescent="0.3">
      <c r="A211">
        <v>210</v>
      </c>
      <c r="B211" s="1">
        <v>330000</v>
      </c>
      <c r="C211" s="1" t="str" cm="1">
        <f t="array" ref="C211">_xlfn.IFS(Table2[[#This Row],[LIMIT_BAL]]&lt;=100000,"Low",Table2[[#This Row],[LIMIT_BAL]]&lt;=300000,"Medium",
TRUE,"High"
)</f>
        <v>High</v>
      </c>
      <c r="D211" t="s">
        <v>2041</v>
      </c>
      <c r="E211" t="s">
        <v>2026</v>
      </c>
      <c r="F211" t="s">
        <v>2028</v>
      </c>
      <c r="G211">
        <v>50</v>
      </c>
      <c r="H211" t="str" cm="1">
        <f t="array" ref="H211">_xlfn.IFS(
Table2[[#This Row],[AGE]]&lt;30,"Young",
Table2[[#This Row],[AGE]]&lt;40,"Middle Age",
Table2[[#This Row],[AGE]]&lt;50,"Senior",
TRUE,"Super Senior"
)</f>
        <v>Super Senior</v>
      </c>
      <c r="I211">
        <v>-1</v>
      </c>
      <c r="J211">
        <v>-1</v>
      </c>
      <c r="K211">
        <v>-1</v>
      </c>
      <c r="L211">
        <v>-1</v>
      </c>
      <c r="M211">
        <v>-2</v>
      </c>
      <c r="N211">
        <v>-2</v>
      </c>
      <c r="O211" s="1">
        <v>8872</v>
      </c>
      <c r="P211" s="1">
        <v>4337</v>
      </c>
      <c r="Q211" s="1">
        <v>2854</v>
      </c>
      <c r="R211" s="1">
        <v>1690</v>
      </c>
      <c r="S211" s="1">
        <v>0</v>
      </c>
      <c r="T211" s="1">
        <v>1709</v>
      </c>
      <c r="U211" s="1">
        <v>4345</v>
      </c>
      <c r="V211" s="1">
        <v>2854</v>
      </c>
      <c r="W211" s="1">
        <v>1702</v>
      </c>
      <c r="X211" s="1">
        <v>0</v>
      </c>
      <c r="Y211" s="1">
        <v>1709</v>
      </c>
      <c r="Z211" s="1">
        <v>258</v>
      </c>
      <c r="AA211">
        <v>0</v>
      </c>
      <c r="AB211" t="str">
        <f t="shared" si="3"/>
        <v>Not Defaulter</v>
      </c>
      <c r="AC211" s="1">
        <f>Table2[[#This Row],[BILL_AMT1]]-Table2[[#This Row],[PAY_AMT1]]</f>
        <v>4527</v>
      </c>
      <c r="AD211" s="1" t="str" cm="1">
        <f t="array" ref="AD211">_xlfn.IFS(Table2[[#This Row],[PAYMENT GAP]]&lt;=0,"No Gap / Overpaid",Table2[[#This Row],[PAYMENT GAP]]&lt;=25000,"Low Gap",Table2[[#This Row],[PAYMENT GAP]]&lt;=100000,"Medium Gap",
TRUE,"High Gap"
)</f>
        <v>Low Gap</v>
      </c>
    </row>
    <row r="212" spans="1:30" x14ac:dyDescent="0.3">
      <c r="A212">
        <v>211</v>
      </c>
      <c r="B212" s="1">
        <v>220000</v>
      </c>
      <c r="C212" s="1" t="str" cm="1">
        <f t="array" ref="C212">_xlfn.IFS(Table2[[#This Row],[LIMIT_BAL]]&lt;=100000,"Low",Table2[[#This Row],[LIMIT_BAL]]&lt;=300000,"Medium",
TRUE,"High"
)</f>
        <v>Medium</v>
      </c>
      <c r="D212" t="s">
        <v>2042</v>
      </c>
      <c r="E212" t="s">
        <v>2026</v>
      </c>
      <c r="F212" t="s">
        <v>2029</v>
      </c>
      <c r="G212">
        <v>24</v>
      </c>
      <c r="H212" t="str" cm="1">
        <f t="array" ref="H212">_xlfn.IFS(
Table2[[#This Row],[AGE]]&lt;30,"Young",
Table2[[#This Row],[AGE]]&lt;40,"Middle Age",
Table2[[#This Row],[AGE]]&lt;50,"Senior",
TRUE,"Super Senior"
)</f>
        <v>Young</v>
      </c>
      <c r="I212">
        <v>0</v>
      </c>
      <c r="J212">
        <v>0</v>
      </c>
      <c r="K212">
        <v>0</v>
      </c>
      <c r="L212">
        <v>-1</v>
      </c>
      <c r="M212">
        <v>-1</v>
      </c>
      <c r="N212">
        <v>-1</v>
      </c>
      <c r="O212" s="1">
        <v>105607</v>
      </c>
      <c r="P212" s="1">
        <v>108917</v>
      </c>
      <c r="Q212" s="1">
        <v>111520</v>
      </c>
      <c r="R212" s="1">
        <v>8303</v>
      </c>
      <c r="S212" s="1">
        <v>0</v>
      </c>
      <c r="T212" s="1">
        <v>85632</v>
      </c>
      <c r="U212" s="1">
        <v>5000</v>
      </c>
      <c r="V212" s="1">
        <v>5050</v>
      </c>
      <c r="W212" s="1">
        <v>8303</v>
      </c>
      <c r="X212" s="1">
        <v>0</v>
      </c>
      <c r="Y212" s="1">
        <v>85632</v>
      </c>
      <c r="Z212" s="1">
        <v>0</v>
      </c>
      <c r="AA212">
        <v>0</v>
      </c>
      <c r="AB212" t="str">
        <f t="shared" si="3"/>
        <v>Not Defaulter</v>
      </c>
      <c r="AC212" s="1">
        <f>Table2[[#This Row],[BILL_AMT1]]-Table2[[#This Row],[PAY_AMT1]]</f>
        <v>100607</v>
      </c>
      <c r="AD212" s="1" t="str" cm="1">
        <f t="array" ref="AD212">_xlfn.IFS(Table2[[#This Row],[PAYMENT GAP]]&lt;=0,"No Gap / Overpaid",Table2[[#This Row],[PAYMENT GAP]]&lt;=25000,"Low Gap",Table2[[#This Row],[PAYMENT GAP]]&lt;=100000,"Medium Gap",
TRUE,"High Gap"
)</f>
        <v>High Gap</v>
      </c>
    </row>
    <row r="213" spans="1:30" x14ac:dyDescent="0.3">
      <c r="A213">
        <v>212</v>
      </c>
      <c r="B213" s="1">
        <v>210000</v>
      </c>
      <c r="C213" s="1" t="str" cm="1">
        <f t="array" ref="C213">_xlfn.IFS(Table2[[#This Row],[LIMIT_BAL]]&lt;=100000,"Low",Table2[[#This Row],[LIMIT_BAL]]&lt;=300000,"Medium",
TRUE,"High"
)</f>
        <v>Medium</v>
      </c>
      <c r="D213" t="s">
        <v>2041</v>
      </c>
      <c r="E213" t="s">
        <v>2026</v>
      </c>
      <c r="F213" t="s">
        <v>2028</v>
      </c>
      <c r="G213">
        <v>38</v>
      </c>
      <c r="H213" t="str" cm="1">
        <f t="array" ref="H213">_xlfn.IFS(
Table2[[#This Row],[AGE]]&lt;30,"Young",
Table2[[#This Row],[AGE]]&lt;40,"Middle Age",
Table2[[#This Row],[AGE]]&lt;50,"Senior",
TRUE,"Super Senior"
)</f>
        <v>Middle Age</v>
      </c>
      <c r="I213">
        <v>1</v>
      </c>
      <c r="J213">
        <v>-2</v>
      </c>
      <c r="K213">
        <v>-1</v>
      </c>
      <c r="L213">
        <v>0</v>
      </c>
      <c r="M213">
        <v>-1</v>
      </c>
      <c r="N213">
        <v>-1</v>
      </c>
      <c r="O213" s="1">
        <v>0</v>
      </c>
      <c r="P213" s="1">
        <v>0</v>
      </c>
      <c r="Q213" s="1">
        <v>250</v>
      </c>
      <c r="R213" s="1">
        <v>123</v>
      </c>
      <c r="S213" s="1">
        <v>789</v>
      </c>
      <c r="T213" s="1">
        <v>1222</v>
      </c>
      <c r="U213" s="1">
        <v>0</v>
      </c>
      <c r="V213" s="1">
        <v>250</v>
      </c>
      <c r="W213" s="1">
        <v>0</v>
      </c>
      <c r="X213" s="1">
        <v>789</v>
      </c>
      <c r="Y213" s="1">
        <v>1222</v>
      </c>
      <c r="Z213" s="1">
        <v>9616</v>
      </c>
      <c r="AA213">
        <v>1</v>
      </c>
      <c r="AB213" t="str">
        <f t="shared" si="3"/>
        <v>Defaulter</v>
      </c>
      <c r="AC213" s="1">
        <f>Table2[[#This Row],[BILL_AMT1]]-Table2[[#This Row],[PAY_AMT1]]</f>
        <v>0</v>
      </c>
      <c r="AD213" s="1" t="str" cm="1">
        <f t="array" ref="AD213">_xlfn.IFS(Table2[[#This Row],[PAYMENT GAP]]&lt;=0,"No Gap / Overpaid",Table2[[#This Row],[PAYMENT GAP]]&lt;=25000,"Low Gap",Table2[[#This Row],[PAYMENT GAP]]&lt;=100000,"Medium Gap",
TRUE,"High Gap"
)</f>
        <v>No Gap / Overpaid</v>
      </c>
    </row>
    <row r="214" spans="1:30" x14ac:dyDescent="0.3">
      <c r="A214">
        <v>213</v>
      </c>
      <c r="B214" s="1">
        <v>40000</v>
      </c>
      <c r="C214" s="1" t="str" cm="1">
        <f t="array" ref="C214">_xlfn.IFS(Table2[[#This Row],[LIMIT_BAL]]&lt;=100000,"Low",Table2[[#This Row],[LIMIT_BAL]]&lt;=300000,"Medium",
TRUE,"High"
)</f>
        <v>Low</v>
      </c>
      <c r="D214" t="s">
        <v>2041</v>
      </c>
      <c r="E214" t="s">
        <v>2027</v>
      </c>
      <c r="F214" t="s">
        <v>2028</v>
      </c>
      <c r="G214">
        <v>43</v>
      </c>
      <c r="H214" t="str" cm="1">
        <f t="array" ref="H214">_xlfn.IFS(
Table2[[#This Row],[AGE]]&lt;30,"Young",
Table2[[#This Row],[AGE]]&lt;40,"Middle Age",
Table2[[#This Row],[AGE]]&lt;50,"Senior",
TRUE,"Super Senior"
)</f>
        <v>Senior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 s="1">
        <v>38257</v>
      </c>
      <c r="P214" s="1">
        <v>38901</v>
      </c>
      <c r="Q214" s="1">
        <v>38103</v>
      </c>
      <c r="R214" s="1">
        <v>36207</v>
      </c>
      <c r="S214" s="1">
        <v>33138</v>
      </c>
      <c r="T214" s="1">
        <v>31339</v>
      </c>
      <c r="U214" s="1">
        <v>1700</v>
      </c>
      <c r="V214" s="1">
        <v>1504</v>
      </c>
      <c r="W214" s="1">
        <v>1200</v>
      </c>
      <c r="X214" s="1">
        <v>1500</v>
      </c>
      <c r="Y214" s="1">
        <v>1500</v>
      </c>
      <c r="Z214" s="1">
        <v>1000</v>
      </c>
      <c r="AA214">
        <v>0</v>
      </c>
      <c r="AB214" t="str">
        <f t="shared" si="3"/>
        <v>Not Defaulter</v>
      </c>
      <c r="AC214" s="1">
        <f>Table2[[#This Row],[BILL_AMT1]]-Table2[[#This Row],[PAY_AMT1]]</f>
        <v>36557</v>
      </c>
      <c r="AD214" s="1" t="str" cm="1">
        <f t="array" ref="AD214">_xlfn.IFS(Table2[[#This Row],[PAYMENT GAP]]&lt;=0,"No Gap / Overpaid",Table2[[#This Row],[PAYMENT GAP]]&lt;=25000,"Low Gap",Table2[[#This Row],[PAYMENT GAP]]&lt;=100000,"Medium Gap",
TRUE,"High Gap"
)</f>
        <v>Medium Gap</v>
      </c>
    </row>
    <row r="215" spans="1:30" x14ac:dyDescent="0.3">
      <c r="A215">
        <v>214</v>
      </c>
      <c r="B215" s="1">
        <v>30000</v>
      </c>
      <c r="C215" s="1" t="str" cm="1">
        <f t="array" ref="C215">_xlfn.IFS(Table2[[#This Row],[LIMIT_BAL]]&lt;=100000,"Low",Table2[[#This Row],[LIMIT_BAL]]&lt;=300000,"Medium",
TRUE,"High"
)</f>
        <v>Low</v>
      </c>
      <c r="D215" t="s">
        <v>2042</v>
      </c>
      <c r="E215" t="s">
        <v>2043</v>
      </c>
      <c r="F215" t="s">
        <v>2029</v>
      </c>
      <c r="G215">
        <v>39</v>
      </c>
      <c r="H215" t="str" cm="1">
        <f t="array" ref="H215">_xlfn.IFS(
Table2[[#This Row],[AGE]]&lt;30,"Young",
Table2[[#This Row],[AGE]]&lt;40,"Middle Age",
Table2[[#This Row],[AGE]]&lt;50,"Senior",
TRUE,"Super Senior"
)</f>
        <v>Middle Age</v>
      </c>
      <c r="I215">
        <v>0</v>
      </c>
      <c r="J215">
        <v>0</v>
      </c>
      <c r="K215">
        <v>0</v>
      </c>
      <c r="L215">
        <v>2</v>
      </c>
      <c r="M215">
        <v>0</v>
      </c>
      <c r="N215">
        <v>0</v>
      </c>
      <c r="O215" s="1">
        <v>28347</v>
      </c>
      <c r="P215" s="1">
        <v>28108</v>
      </c>
      <c r="Q215" s="1">
        <v>18388</v>
      </c>
      <c r="R215" s="1">
        <v>12992</v>
      </c>
      <c r="S215" s="1">
        <v>7736</v>
      </c>
      <c r="T215" s="1">
        <v>8032</v>
      </c>
      <c r="U215" s="1">
        <v>3036</v>
      </c>
      <c r="V215" s="1">
        <v>2309</v>
      </c>
      <c r="W215" s="1">
        <v>0</v>
      </c>
      <c r="X215" s="1">
        <v>1000</v>
      </c>
      <c r="Y215" s="1">
        <v>2000</v>
      </c>
      <c r="Z215" s="1">
        <v>148</v>
      </c>
      <c r="AA215">
        <v>0</v>
      </c>
      <c r="AB215" t="str">
        <f t="shared" si="3"/>
        <v>Not Defaulter</v>
      </c>
      <c r="AC215" s="1">
        <f>Table2[[#This Row],[BILL_AMT1]]-Table2[[#This Row],[PAY_AMT1]]</f>
        <v>25311</v>
      </c>
      <c r="AD215" s="1" t="str" cm="1">
        <f t="array" ref="AD215">_xlfn.IFS(Table2[[#This Row],[PAYMENT GAP]]&lt;=0,"No Gap / Overpaid",Table2[[#This Row],[PAYMENT GAP]]&lt;=25000,"Low Gap",Table2[[#This Row],[PAYMENT GAP]]&lt;=100000,"Medium Gap",
TRUE,"High Gap"
)</f>
        <v>Medium Gap</v>
      </c>
    </row>
    <row r="216" spans="1:30" x14ac:dyDescent="0.3">
      <c r="A216">
        <v>215</v>
      </c>
      <c r="B216" s="1">
        <v>470000</v>
      </c>
      <c r="C216" s="1" t="str" cm="1">
        <f t="array" ref="C216">_xlfn.IFS(Table2[[#This Row],[LIMIT_BAL]]&lt;=100000,"Low",Table2[[#This Row],[LIMIT_BAL]]&lt;=300000,"Medium",
TRUE,"High"
)</f>
        <v>High</v>
      </c>
      <c r="D216" t="s">
        <v>2042</v>
      </c>
      <c r="E216" t="s">
        <v>2043</v>
      </c>
      <c r="F216" t="s">
        <v>2029</v>
      </c>
      <c r="G216">
        <v>27</v>
      </c>
      <c r="H216" t="str" cm="1">
        <f t="array" ref="H216">_xlfn.IFS(
Table2[[#This Row],[AGE]]&lt;30,"Young",
Table2[[#This Row],[AGE]]&lt;40,"Middle Age",
Table2[[#This Row],[AGE]]&lt;50,"Senior",
TRUE,"Super Senior"
)</f>
        <v>Young</v>
      </c>
      <c r="I216">
        <v>2</v>
      </c>
      <c r="J216">
        <v>2</v>
      </c>
      <c r="K216">
        <v>2</v>
      </c>
      <c r="L216">
        <v>2</v>
      </c>
      <c r="M216">
        <v>0</v>
      </c>
      <c r="N216">
        <v>0</v>
      </c>
      <c r="O216" s="1">
        <v>296573</v>
      </c>
      <c r="P216" s="1">
        <v>303320</v>
      </c>
      <c r="Q216" s="1">
        <v>307843</v>
      </c>
      <c r="R216" s="1">
        <v>479978</v>
      </c>
      <c r="S216" s="1">
        <v>305145</v>
      </c>
      <c r="T216" s="1">
        <v>309959</v>
      </c>
      <c r="U216" s="1">
        <v>13000</v>
      </c>
      <c r="V216" s="1">
        <v>11001</v>
      </c>
      <c r="W216" s="1">
        <v>0</v>
      </c>
      <c r="X216" s="1">
        <v>10484</v>
      </c>
      <c r="Y216" s="1">
        <v>10838</v>
      </c>
      <c r="Z216" s="1">
        <v>10367</v>
      </c>
      <c r="AA216">
        <v>0</v>
      </c>
      <c r="AB216" t="str">
        <f t="shared" si="3"/>
        <v>Not Defaulter</v>
      </c>
      <c r="AC216" s="1">
        <f>Table2[[#This Row],[BILL_AMT1]]-Table2[[#This Row],[PAY_AMT1]]</f>
        <v>283573</v>
      </c>
      <c r="AD216" s="1" t="str" cm="1">
        <f t="array" ref="AD216">_xlfn.IFS(Table2[[#This Row],[PAYMENT GAP]]&lt;=0,"No Gap / Overpaid",Table2[[#This Row],[PAYMENT GAP]]&lt;=25000,"Low Gap",Table2[[#This Row],[PAYMENT GAP]]&lt;=100000,"Medium Gap",
TRUE,"High Gap"
)</f>
        <v>High Gap</v>
      </c>
    </row>
    <row r="217" spans="1:30" x14ac:dyDescent="0.3">
      <c r="A217">
        <v>216</v>
      </c>
      <c r="B217" s="1">
        <v>30000</v>
      </c>
      <c r="C217" s="1" t="str" cm="1">
        <f t="array" ref="C217">_xlfn.IFS(Table2[[#This Row],[LIMIT_BAL]]&lt;=100000,"Low",Table2[[#This Row],[LIMIT_BAL]]&lt;=300000,"Medium",
TRUE,"High"
)</f>
        <v>Low</v>
      </c>
      <c r="D217" t="s">
        <v>2042</v>
      </c>
      <c r="E217" t="s">
        <v>2027</v>
      </c>
      <c r="F217" t="s">
        <v>2028</v>
      </c>
      <c r="G217">
        <v>42</v>
      </c>
      <c r="H217" t="str" cm="1">
        <f t="array" ref="H217">_xlfn.IFS(
Table2[[#This Row],[AGE]]&lt;30,"Young",
Table2[[#This Row],[AGE]]&lt;40,"Middle Age",
Table2[[#This Row],[AGE]]&lt;50,"Senior",
TRUE,"Super Senior"
)</f>
        <v>Senior</v>
      </c>
      <c r="I217">
        <v>-1</v>
      </c>
      <c r="J217">
        <v>-1</v>
      </c>
      <c r="K217">
        <v>-1</v>
      </c>
      <c r="L217">
        <v>-1</v>
      </c>
      <c r="M217">
        <v>-1</v>
      </c>
      <c r="N217">
        <v>2</v>
      </c>
      <c r="O217" s="1">
        <v>390</v>
      </c>
      <c r="P217" s="1">
        <v>390</v>
      </c>
      <c r="Q217" s="1">
        <v>390</v>
      </c>
      <c r="R217" s="1">
        <v>240</v>
      </c>
      <c r="S217" s="1">
        <v>1320</v>
      </c>
      <c r="T217" s="1">
        <v>780</v>
      </c>
      <c r="U217" s="1">
        <v>390</v>
      </c>
      <c r="V217" s="1">
        <v>390</v>
      </c>
      <c r="W217" s="1">
        <v>240</v>
      </c>
      <c r="X217" s="1">
        <v>1470</v>
      </c>
      <c r="Y217" s="1">
        <v>0</v>
      </c>
      <c r="Z217" s="1">
        <v>0</v>
      </c>
      <c r="AA217">
        <v>0</v>
      </c>
      <c r="AB217" t="str">
        <f t="shared" si="3"/>
        <v>Not Defaulter</v>
      </c>
      <c r="AC217" s="1">
        <f>Table2[[#This Row],[BILL_AMT1]]-Table2[[#This Row],[PAY_AMT1]]</f>
        <v>0</v>
      </c>
      <c r="AD217" s="1" t="str" cm="1">
        <f t="array" ref="AD217">_xlfn.IFS(Table2[[#This Row],[PAYMENT GAP]]&lt;=0,"No Gap / Overpaid",Table2[[#This Row],[PAYMENT GAP]]&lt;=25000,"Low Gap",Table2[[#This Row],[PAYMENT GAP]]&lt;=100000,"Medium Gap",
TRUE,"High Gap"
)</f>
        <v>No Gap / Overpaid</v>
      </c>
    </row>
    <row r="218" spans="1:30" x14ac:dyDescent="0.3">
      <c r="A218">
        <v>217</v>
      </c>
      <c r="B218" s="1">
        <v>240000</v>
      </c>
      <c r="C218" s="1" t="str" cm="1">
        <f t="array" ref="C218">_xlfn.IFS(Table2[[#This Row],[LIMIT_BAL]]&lt;=100000,"Low",Table2[[#This Row],[LIMIT_BAL]]&lt;=300000,"Medium",
TRUE,"High"
)</f>
        <v>Medium</v>
      </c>
      <c r="D218" t="s">
        <v>2041</v>
      </c>
      <c r="E218" t="s">
        <v>2043</v>
      </c>
      <c r="F218" t="s">
        <v>2028</v>
      </c>
      <c r="G218">
        <v>36</v>
      </c>
      <c r="H218" t="str" cm="1">
        <f t="array" ref="H218">_xlfn.IFS(
Table2[[#This Row],[AGE]]&lt;30,"Young",
Table2[[#This Row],[AGE]]&lt;40,"Middle Age",
Table2[[#This Row],[AGE]]&lt;50,"Senior",
TRUE,"Super Senior"
)</f>
        <v>Middle Age</v>
      </c>
      <c r="I218">
        <v>1</v>
      </c>
      <c r="J218">
        <v>-2</v>
      </c>
      <c r="K218">
        <v>-2</v>
      </c>
      <c r="L218">
        <v>-2</v>
      </c>
      <c r="M218">
        <v>-2</v>
      </c>
      <c r="N218">
        <v>-2</v>
      </c>
      <c r="O218" s="1">
        <v>-946</v>
      </c>
      <c r="P218" s="1">
        <v>-946</v>
      </c>
      <c r="Q218" s="1">
        <v>-946</v>
      </c>
      <c r="R218" s="1">
        <v>-946</v>
      </c>
      <c r="S218" s="1">
        <v>-946</v>
      </c>
      <c r="T218" s="1">
        <v>-946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>
        <v>1</v>
      </c>
      <c r="AB218" t="str">
        <f t="shared" si="3"/>
        <v>Defaulter</v>
      </c>
      <c r="AC218" s="1">
        <f>Table2[[#This Row],[BILL_AMT1]]-Table2[[#This Row],[PAY_AMT1]]</f>
        <v>-946</v>
      </c>
      <c r="AD218" s="1" t="str" cm="1">
        <f t="array" ref="AD218">_xlfn.IFS(Table2[[#This Row],[PAYMENT GAP]]&lt;=0,"No Gap / Overpaid",Table2[[#This Row],[PAYMENT GAP]]&lt;=25000,"Low Gap",Table2[[#This Row],[PAYMENT GAP]]&lt;=100000,"Medium Gap",
TRUE,"High Gap"
)</f>
        <v>No Gap / Overpaid</v>
      </c>
    </row>
    <row r="219" spans="1:30" x14ac:dyDescent="0.3">
      <c r="A219">
        <v>218</v>
      </c>
      <c r="B219" s="1">
        <v>80000</v>
      </c>
      <c r="C219" s="1" t="str" cm="1">
        <f t="array" ref="C219">_xlfn.IFS(Table2[[#This Row],[LIMIT_BAL]]&lt;=100000,"Low",Table2[[#This Row],[LIMIT_BAL]]&lt;=300000,"Medium",
TRUE,"High"
)</f>
        <v>Low</v>
      </c>
      <c r="D219" t="s">
        <v>2042</v>
      </c>
      <c r="E219" t="s">
        <v>2043</v>
      </c>
      <c r="F219" t="s">
        <v>2029</v>
      </c>
      <c r="G219">
        <v>36</v>
      </c>
      <c r="H219" t="str" cm="1">
        <f t="array" ref="H219">_xlfn.IFS(
Table2[[#This Row],[AGE]]&lt;30,"Young",
Table2[[#This Row],[AGE]]&lt;40,"Middle Age",
Table2[[#This Row],[AGE]]&lt;50,"Senior",
TRUE,"Super Senior"
)</f>
        <v>Middle Age</v>
      </c>
      <c r="I219">
        <v>2</v>
      </c>
      <c r="J219">
        <v>0</v>
      </c>
      <c r="K219">
        <v>0</v>
      </c>
      <c r="L219">
        <v>0</v>
      </c>
      <c r="M219">
        <v>0</v>
      </c>
      <c r="N219">
        <v>0</v>
      </c>
      <c r="O219" s="1">
        <v>79278</v>
      </c>
      <c r="P219" s="1">
        <v>78501</v>
      </c>
      <c r="Q219" s="1">
        <v>78534</v>
      </c>
      <c r="R219" s="1">
        <v>80016</v>
      </c>
      <c r="S219" s="1">
        <v>76235</v>
      </c>
      <c r="T219" s="1">
        <v>78245</v>
      </c>
      <c r="U219" s="1">
        <v>3100</v>
      </c>
      <c r="V219" s="1">
        <v>3500</v>
      </c>
      <c r="W219" s="1">
        <v>3400</v>
      </c>
      <c r="X219" s="1">
        <v>3000</v>
      </c>
      <c r="Y219" s="1">
        <v>3500</v>
      </c>
      <c r="Z219" s="1">
        <v>3000</v>
      </c>
      <c r="AA219">
        <v>0</v>
      </c>
      <c r="AB219" t="str">
        <f t="shared" si="3"/>
        <v>Not Defaulter</v>
      </c>
      <c r="AC219" s="1">
        <f>Table2[[#This Row],[BILL_AMT1]]-Table2[[#This Row],[PAY_AMT1]]</f>
        <v>76178</v>
      </c>
      <c r="AD219" s="1" t="str" cm="1">
        <f t="array" ref="AD219">_xlfn.IFS(Table2[[#This Row],[PAYMENT GAP]]&lt;=0,"No Gap / Overpaid",Table2[[#This Row],[PAYMENT GAP]]&lt;=25000,"Low Gap",Table2[[#This Row],[PAYMENT GAP]]&lt;=100000,"Medium Gap",
TRUE,"High Gap"
)</f>
        <v>Medium Gap</v>
      </c>
    </row>
    <row r="220" spans="1:30" x14ac:dyDescent="0.3">
      <c r="A220">
        <v>219</v>
      </c>
      <c r="B220" s="1">
        <v>110000</v>
      </c>
      <c r="C220" s="1" t="str" cm="1">
        <f t="array" ref="C220">_xlfn.IFS(Table2[[#This Row],[LIMIT_BAL]]&lt;=100000,"Low",Table2[[#This Row],[LIMIT_BAL]]&lt;=300000,"Medium",
TRUE,"High"
)</f>
        <v>Medium</v>
      </c>
      <c r="D220" t="s">
        <v>2041</v>
      </c>
      <c r="E220" t="s">
        <v>2027</v>
      </c>
      <c r="F220" t="s">
        <v>2044</v>
      </c>
      <c r="G220">
        <v>31</v>
      </c>
      <c r="H220" t="str" cm="1">
        <f t="array" ref="H220">_xlfn.IFS(
Table2[[#This Row],[AGE]]&lt;30,"Young",
Table2[[#This Row],[AGE]]&lt;40,"Middle Age",
Table2[[#This Row],[AGE]]&lt;50,"Senior",
TRUE,"Super Senior"
)</f>
        <v>Middle Age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s="1">
        <v>89989</v>
      </c>
      <c r="P220" s="1">
        <v>84229</v>
      </c>
      <c r="Q220" s="1">
        <v>79288</v>
      </c>
      <c r="R220" s="1">
        <v>73315</v>
      </c>
      <c r="S220" s="1">
        <v>63818</v>
      </c>
      <c r="T220" s="1">
        <v>63208</v>
      </c>
      <c r="U220" s="1">
        <v>4000</v>
      </c>
      <c r="V220" s="1">
        <v>5000</v>
      </c>
      <c r="W220" s="1">
        <v>3000</v>
      </c>
      <c r="X220" s="1">
        <v>3000</v>
      </c>
      <c r="Y220" s="1">
        <v>3000</v>
      </c>
      <c r="Z220" s="1">
        <v>8954</v>
      </c>
      <c r="AA220">
        <v>0</v>
      </c>
      <c r="AB220" t="str">
        <f t="shared" si="3"/>
        <v>Not Defaulter</v>
      </c>
      <c r="AC220" s="1">
        <f>Table2[[#This Row],[BILL_AMT1]]-Table2[[#This Row],[PAY_AMT1]]</f>
        <v>85989</v>
      </c>
      <c r="AD220" s="1" t="str" cm="1">
        <f t="array" ref="AD220">_xlfn.IFS(Table2[[#This Row],[PAYMENT GAP]]&lt;=0,"No Gap / Overpaid",Table2[[#This Row],[PAYMENT GAP]]&lt;=25000,"Low Gap",Table2[[#This Row],[PAYMENT GAP]]&lt;=100000,"Medium Gap",
TRUE,"High Gap"
)</f>
        <v>Medium Gap</v>
      </c>
    </row>
    <row r="221" spans="1:30" x14ac:dyDescent="0.3">
      <c r="A221">
        <v>220</v>
      </c>
      <c r="B221" s="1">
        <v>310000</v>
      </c>
      <c r="C221" s="1" t="str" cm="1">
        <f t="array" ref="C221">_xlfn.IFS(Table2[[#This Row],[LIMIT_BAL]]&lt;=100000,"Low",Table2[[#This Row],[LIMIT_BAL]]&lt;=300000,"Medium",
TRUE,"High"
)</f>
        <v>High</v>
      </c>
      <c r="D221" t="s">
        <v>2041</v>
      </c>
      <c r="E221" t="s">
        <v>2026</v>
      </c>
      <c r="F221" t="s">
        <v>2029</v>
      </c>
      <c r="G221">
        <v>38</v>
      </c>
      <c r="H221" t="str" cm="1">
        <f t="array" ref="H221">_xlfn.IFS(
Table2[[#This Row],[AGE]]&lt;30,"Young",
Table2[[#This Row],[AGE]]&lt;40,"Middle Age",
Table2[[#This Row],[AGE]]&lt;50,"Senior",
TRUE,"Super Senior"
)</f>
        <v>Middle Age</v>
      </c>
      <c r="I221">
        <v>-1</v>
      </c>
      <c r="J221">
        <v>-1</v>
      </c>
      <c r="K221">
        <v>-1</v>
      </c>
      <c r="L221">
        <v>-1</v>
      </c>
      <c r="M221">
        <v>-2</v>
      </c>
      <c r="N221">
        <v>-2</v>
      </c>
      <c r="O221" s="1">
        <v>1424</v>
      </c>
      <c r="P221" s="1">
        <v>4542</v>
      </c>
      <c r="Q221" s="1">
        <v>126</v>
      </c>
      <c r="R221" s="1">
        <v>0</v>
      </c>
      <c r="S221" s="1">
        <v>0</v>
      </c>
      <c r="T221" s="1">
        <v>0</v>
      </c>
      <c r="U221" s="1">
        <v>4542</v>
      </c>
      <c r="V221" s="1">
        <v>126</v>
      </c>
      <c r="W221" s="1">
        <v>0</v>
      </c>
      <c r="X221" s="1">
        <v>0</v>
      </c>
      <c r="Y221" s="1">
        <v>0</v>
      </c>
      <c r="Z221" s="1">
        <v>0</v>
      </c>
      <c r="AA221">
        <v>0</v>
      </c>
      <c r="AB221" t="str">
        <f t="shared" si="3"/>
        <v>Not Defaulter</v>
      </c>
      <c r="AC221" s="1">
        <f>Table2[[#This Row],[BILL_AMT1]]-Table2[[#This Row],[PAY_AMT1]]</f>
        <v>-3118</v>
      </c>
      <c r="AD221" s="1" t="str" cm="1">
        <f t="array" ref="AD221">_xlfn.IFS(Table2[[#This Row],[PAYMENT GAP]]&lt;=0,"No Gap / Overpaid",Table2[[#This Row],[PAYMENT GAP]]&lt;=25000,"Low Gap",Table2[[#This Row],[PAYMENT GAP]]&lt;=100000,"Medium Gap",
TRUE,"High Gap"
)</f>
        <v>No Gap / Overpaid</v>
      </c>
    </row>
    <row r="222" spans="1:30" x14ac:dyDescent="0.3">
      <c r="A222">
        <v>221</v>
      </c>
      <c r="B222" s="1">
        <v>360000</v>
      </c>
      <c r="C222" s="1" t="str" cm="1">
        <f t="array" ref="C222">_xlfn.IFS(Table2[[#This Row],[LIMIT_BAL]]&lt;=100000,"Low",Table2[[#This Row],[LIMIT_BAL]]&lt;=300000,"Medium",
TRUE,"High"
)</f>
        <v>High</v>
      </c>
      <c r="D222" t="s">
        <v>2041</v>
      </c>
      <c r="E222" t="s">
        <v>2026</v>
      </c>
      <c r="F222" t="s">
        <v>2028</v>
      </c>
      <c r="G222">
        <v>40</v>
      </c>
      <c r="H222" t="str" cm="1">
        <f t="array" ref="H222">_xlfn.IFS(
Table2[[#This Row],[AGE]]&lt;30,"Young",
Table2[[#This Row],[AGE]]&lt;40,"Middle Age",
Table2[[#This Row],[AGE]]&lt;50,"Senior",
TRUE,"Super Senior"
)</f>
        <v>Senior</v>
      </c>
      <c r="I222">
        <v>2</v>
      </c>
      <c r="J222">
        <v>2</v>
      </c>
      <c r="K222">
        <v>2</v>
      </c>
      <c r="L222">
        <v>0</v>
      </c>
      <c r="M222">
        <v>0</v>
      </c>
      <c r="N222">
        <v>0</v>
      </c>
      <c r="O222" s="1">
        <v>105167</v>
      </c>
      <c r="P222" s="1">
        <v>115468</v>
      </c>
      <c r="Q222" s="1">
        <v>112157</v>
      </c>
      <c r="R222" s="1">
        <v>114690</v>
      </c>
      <c r="S222" s="1">
        <v>117845</v>
      </c>
      <c r="T222" s="1">
        <v>120238</v>
      </c>
      <c r="U222" s="1">
        <v>12000</v>
      </c>
      <c r="V222" s="1">
        <v>0</v>
      </c>
      <c r="W222" s="1">
        <v>5900</v>
      </c>
      <c r="X222" s="1">
        <v>5000</v>
      </c>
      <c r="Y222" s="1">
        <v>4500</v>
      </c>
      <c r="Z222" s="1">
        <v>4700</v>
      </c>
      <c r="AA222">
        <v>1</v>
      </c>
      <c r="AB222" t="str">
        <f t="shared" si="3"/>
        <v>Defaulter</v>
      </c>
      <c r="AC222" s="1">
        <f>Table2[[#This Row],[BILL_AMT1]]-Table2[[#This Row],[PAY_AMT1]]</f>
        <v>93167</v>
      </c>
      <c r="AD222" s="1" t="str" cm="1">
        <f t="array" ref="AD222">_xlfn.IFS(Table2[[#This Row],[PAYMENT GAP]]&lt;=0,"No Gap / Overpaid",Table2[[#This Row],[PAYMENT GAP]]&lt;=25000,"Low Gap",Table2[[#This Row],[PAYMENT GAP]]&lt;=100000,"Medium Gap",
TRUE,"High Gap"
)</f>
        <v>Medium Gap</v>
      </c>
    </row>
    <row r="223" spans="1:30" x14ac:dyDescent="0.3">
      <c r="A223">
        <v>222</v>
      </c>
      <c r="B223" s="1">
        <v>330000</v>
      </c>
      <c r="C223" s="1" t="str" cm="1">
        <f t="array" ref="C223">_xlfn.IFS(Table2[[#This Row],[LIMIT_BAL]]&lt;=100000,"Low",Table2[[#This Row],[LIMIT_BAL]]&lt;=300000,"Medium",
TRUE,"High"
)</f>
        <v>High</v>
      </c>
      <c r="D223" t="s">
        <v>2041</v>
      </c>
      <c r="E223" t="s">
        <v>2027</v>
      </c>
      <c r="F223" t="s">
        <v>2029</v>
      </c>
      <c r="G223">
        <v>45</v>
      </c>
      <c r="H223" t="str" cm="1">
        <f t="array" ref="H223">_xlfn.IFS(
Table2[[#This Row],[AGE]]&lt;30,"Young",
Table2[[#This Row],[AGE]]&lt;40,"Middle Age",
Table2[[#This Row],[AGE]]&lt;50,"Senior",
TRUE,"Super Senior"
)</f>
        <v>Senior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 s="1">
        <v>335196</v>
      </c>
      <c r="P223" s="1">
        <v>334954</v>
      </c>
      <c r="Q223" s="1">
        <v>335527</v>
      </c>
      <c r="R223" s="1">
        <v>333860</v>
      </c>
      <c r="S223" s="1">
        <v>335760</v>
      </c>
      <c r="T223" s="1">
        <v>330121</v>
      </c>
      <c r="U223" s="1">
        <v>12388</v>
      </c>
      <c r="V223" s="1">
        <v>12378</v>
      </c>
      <c r="W223" s="1">
        <v>12116</v>
      </c>
      <c r="X223" s="1">
        <v>12450</v>
      </c>
      <c r="Y223" s="1">
        <v>12213</v>
      </c>
      <c r="Z223" s="1">
        <v>11678</v>
      </c>
      <c r="AA223">
        <v>0</v>
      </c>
      <c r="AB223" t="str">
        <f t="shared" si="3"/>
        <v>Not Defaulter</v>
      </c>
      <c r="AC223" s="1">
        <f>Table2[[#This Row],[BILL_AMT1]]-Table2[[#This Row],[PAY_AMT1]]</f>
        <v>322808</v>
      </c>
      <c r="AD223" s="1" t="str" cm="1">
        <f t="array" ref="AD223">_xlfn.IFS(Table2[[#This Row],[PAYMENT GAP]]&lt;=0,"No Gap / Overpaid",Table2[[#This Row],[PAYMENT GAP]]&lt;=25000,"Low Gap",Table2[[#This Row],[PAYMENT GAP]]&lt;=100000,"Medium Gap",
TRUE,"High Gap"
)</f>
        <v>High Gap</v>
      </c>
    </row>
    <row r="224" spans="1:30" x14ac:dyDescent="0.3">
      <c r="A224">
        <v>223</v>
      </c>
      <c r="B224" s="1">
        <v>300000</v>
      </c>
      <c r="C224" s="1" t="str" cm="1">
        <f t="array" ref="C224">_xlfn.IFS(Table2[[#This Row],[LIMIT_BAL]]&lt;=100000,"Low",Table2[[#This Row],[LIMIT_BAL]]&lt;=300000,"Medium",
TRUE,"High"
)</f>
        <v>Medium</v>
      </c>
      <c r="D224" t="s">
        <v>2041</v>
      </c>
      <c r="E224" t="s">
        <v>2043</v>
      </c>
      <c r="F224" t="s">
        <v>2029</v>
      </c>
      <c r="G224">
        <v>35</v>
      </c>
      <c r="H224" t="str" cm="1">
        <f t="array" ref="H224">_xlfn.IFS(
Table2[[#This Row],[AGE]]&lt;30,"Young",
Table2[[#This Row],[AGE]]&lt;40,"Middle Age",
Table2[[#This Row],[AGE]]&lt;50,"Senior",
TRUE,"Super Senior"
)</f>
        <v>Middle Age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s="1">
        <v>291619</v>
      </c>
      <c r="P224" s="1">
        <v>297268</v>
      </c>
      <c r="Q224" s="1">
        <v>205629</v>
      </c>
      <c r="R224" s="1">
        <v>215827</v>
      </c>
      <c r="S224" s="1">
        <v>208464</v>
      </c>
      <c r="T224" s="1">
        <v>212508</v>
      </c>
      <c r="U224" s="1">
        <v>12019</v>
      </c>
      <c r="V224" s="1">
        <v>9006</v>
      </c>
      <c r="W224" s="1">
        <v>17000</v>
      </c>
      <c r="X224" s="1">
        <v>12000</v>
      </c>
      <c r="Y224" s="1">
        <v>9557</v>
      </c>
      <c r="Z224" s="1">
        <v>15000</v>
      </c>
      <c r="AA224">
        <v>0</v>
      </c>
      <c r="AB224" t="str">
        <f t="shared" si="3"/>
        <v>Not Defaulter</v>
      </c>
      <c r="AC224" s="1">
        <f>Table2[[#This Row],[BILL_AMT1]]-Table2[[#This Row],[PAY_AMT1]]</f>
        <v>279600</v>
      </c>
      <c r="AD224" s="1" t="str" cm="1">
        <f t="array" ref="AD224">_xlfn.IFS(Table2[[#This Row],[PAYMENT GAP]]&lt;=0,"No Gap / Overpaid",Table2[[#This Row],[PAYMENT GAP]]&lt;=25000,"Low Gap",Table2[[#This Row],[PAYMENT GAP]]&lt;=100000,"Medium Gap",
TRUE,"High Gap"
)</f>
        <v>High Gap</v>
      </c>
    </row>
    <row r="225" spans="1:30" x14ac:dyDescent="0.3">
      <c r="A225">
        <v>224</v>
      </c>
      <c r="B225" s="1">
        <v>320000</v>
      </c>
      <c r="C225" s="1" t="str" cm="1">
        <f t="array" ref="C225">_xlfn.IFS(Table2[[#This Row],[LIMIT_BAL]]&lt;=100000,"Low",Table2[[#This Row],[LIMIT_BAL]]&lt;=300000,"Medium",
TRUE,"High"
)</f>
        <v>High</v>
      </c>
      <c r="D225" t="s">
        <v>2041</v>
      </c>
      <c r="E225" t="s">
        <v>2043</v>
      </c>
      <c r="F225" t="s">
        <v>2029</v>
      </c>
      <c r="G225">
        <v>33</v>
      </c>
      <c r="H225" t="str" cm="1">
        <f t="array" ref="H225">_xlfn.IFS(
Table2[[#This Row],[AGE]]&lt;30,"Young",
Table2[[#This Row],[AGE]]&lt;40,"Middle Age",
Table2[[#This Row],[AGE]]&lt;50,"Senior",
TRUE,"Super Senior"
)</f>
        <v>Middle Age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s="1">
        <v>91653</v>
      </c>
      <c r="P225" s="1">
        <v>94037</v>
      </c>
      <c r="Q225" s="1">
        <v>108597</v>
      </c>
      <c r="R225" s="1">
        <v>65913</v>
      </c>
      <c r="S225" s="1">
        <v>43805</v>
      </c>
      <c r="T225" s="1">
        <v>33263</v>
      </c>
      <c r="U225" s="1">
        <v>10042</v>
      </c>
      <c r="V225" s="1">
        <v>18832</v>
      </c>
      <c r="W225" s="1">
        <v>2117</v>
      </c>
      <c r="X225" s="1">
        <v>2076</v>
      </c>
      <c r="Y225" s="1">
        <v>5045</v>
      </c>
      <c r="Z225" s="1">
        <v>3754</v>
      </c>
      <c r="AA225">
        <v>0</v>
      </c>
      <c r="AB225" t="str">
        <f t="shared" si="3"/>
        <v>Not Defaulter</v>
      </c>
      <c r="AC225" s="1">
        <f>Table2[[#This Row],[BILL_AMT1]]-Table2[[#This Row],[PAY_AMT1]]</f>
        <v>81611</v>
      </c>
      <c r="AD225" s="1" t="str" cm="1">
        <f t="array" ref="AD225">_xlfn.IFS(Table2[[#This Row],[PAYMENT GAP]]&lt;=0,"No Gap / Overpaid",Table2[[#This Row],[PAYMENT GAP]]&lt;=25000,"Low Gap",Table2[[#This Row],[PAYMENT GAP]]&lt;=100000,"Medium Gap",
TRUE,"High Gap"
)</f>
        <v>Medium Gap</v>
      </c>
    </row>
    <row r="226" spans="1:30" x14ac:dyDescent="0.3">
      <c r="A226">
        <v>225</v>
      </c>
      <c r="B226" s="1">
        <v>50000</v>
      </c>
      <c r="C226" s="1" t="str" cm="1">
        <f t="array" ref="C226">_xlfn.IFS(Table2[[#This Row],[LIMIT_BAL]]&lt;=100000,"Low",Table2[[#This Row],[LIMIT_BAL]]&lt;=300000,"Medium",
TRUE,"High"
)</f>
        <v>Low</v>
      </c>
      <c r="D226" t="s">
        <v>2041</v>
      </c>
      <c r="E226" t="s">
        <v>2027</v>
      </c>
      <c r="F226" t="s">
        <v>2029</v>
      </c>
      <c r="G226">
        <v>37</v>
      </c>
      <c r="H226" t="str" cm="1">
        <f t="array" ref="H226">_xlfn.IFS(
Table2[[#This Row],[AGE]]&lt;30,"Young",
Table2[[#This Row],[AGE]]&lt;40,"Middle Age",
Table2[[#This Row],[AGE]]&lt;50,"Senior",
TRUE,"Super Senior"
)</f>
        <v>Middle Age</v>
      </c>
      <c r="I226">
        <v>1</v>
      </c>
      <c r="J226">
        <v>3</v>
      </c>
      <c r="K226">
        <v>2</v>
      </c>
      <c r="L226">
        <v>0</v>
      </c>
      <c r="M226">
        <v>0</v>
      </c>
      <c r="N226">
        <v>0</v>
      </c>
      <c r="O226" s="1">
        <v>52626</v>
      </c>
      <c r="P226" s="1">
        <v>51537</v>
      </c>
      <c r="Q226" s="1">
        <v>49205</v>
      </c>
      <c r="R226" s="1">
        <v>30394</v>
      </c>
      <c r="S226" s="1">
        <v>30249</v>
      </c>
      <c r="T226" s="1">
        <v>29957</v>
      </c>
      <c r="U226" s="1">
        <v>0</v>
      </c>
      <c r="V226" s="1">
        <v>24</v>
      </c>
      <c r="W226" s="1">
        <v>1500</v>
      </c>
      <c r="X226" s="1">
        <v>1000</v>
      </c>
      <c r="Y226" s="1">
        <v>1201</v>
      </c>
      <c r="Z226" s="1">
        <v>30592</v>
      </c>
      <c r="AA226">
        <v>1</v>
      </c>
      <c r="AB226" t="str">
        <f t="shared" si="3"/>
        <v>Defaulter</v>
      </c>
      <c r="AC226" s="1">
        <f>Table2[[#This Row],[BILL_AMT1]]-Table2[[#This Row],[PAY_AMT1]]</f>
        <v>52626</v>
      </c>
      <c r="AD226" s="1" t="str" cm="1">
        <f t="array" ref="AD226">_xlfn.IFS(Table2[[#This Row],[PAYMENT GAP]]&lt;=0,"No Gap / Overpaid",Table2[[#This Row],[PAYMENT GAP]]&lt;=25000,"Low Gap",Table2[[#This Row],[PAYMENT GAP]]&lt;=100000,"Medium Gap",
TRUE,"High Gap"
)</f>
        <v>Medium Gap</v>
      </c>
    </row>
    <row r="227" spans="1:30" x14ac:dyDescent="0.3">
      <c r="A227">
        <v>226</v>
      </c>
      <c r="B227" s="1">
        <v>170000</v>
      </c>
      <c r="C227" s="1" t="str" cm="1">
        <f t="array" ref="C227">_xlfn.IFS(Table2[[#This Row],[LIMIT_BAL]]&lt;=100000,"Low",Table2[[#This Row],[LIMIT_BAL]]&lt;=300000,"Medium",
TRUE,"High"
)</f>
        <v>Medium</v>
      </c>
      <c r="D227" t="s">
        <v>2041</v>
      </c>
      <c r="E227" t="s">
        <v>2026</v>
      </c>
      <c r="F227" t="s">
        <v>2029</v>
      </c>
      <c r="G227">
        <v>28</v>
      </c>
      <c r="H227" t="str" cm="1">
        <f t="array" ref="H227">_xlfn.IFS(
Table2[[#This Row],[AGE]]&lt;30,"Young",
Table2[[#This Row],[AGE]]&lt;40,"Middle Age",
Table2[[#This Row],[AGE]]&lt;50,"Senior",
TRUE,"Super Senior"
)</f>
        <v>Young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 s="1">
        <v>130370</v>
      </c>
      <c r="P227" s="1">
        <v>131199</v>
      </c>
      <c r="Q227" s="1">
        <v>128900</v>
      </c>
      <c r="R227" s="1">
        <v>125514</v>
      </c>
      <c r="S227" s="1">
        <v>127280</v>
      </c>
      <c r="T227" s="1">
        <v>128839</v>
      </c>
      <c r="U227" s="1">
        <v>6530</v>
      </c>
      <c r="V227" s="1">
        <v>4860</v>
      </c>
      <c r="W227" s="1">
        <v>22500</v>
      </c>
      <c r="X227" s="1">
        <v>4820</v>
      </c>
      <c r="Y227" s="1">
        <v>4877</v>
      </c>
      <c r="Z227" s="1">
        <v>4962</v>
      </c>
      <c r="AA227">
        <v>0</v>
      </c>
      <c r="AB227" t="str">
        <f t="shared" si="3"/>
        <v>Not Defaulter</v>
      </c>
      <c r="AC227" s="1">
        <f>Table2[[#This Row],[BILL_AMT1]]-Table2[[#This Row],[PAY_AMT1]]</f>
        <v>123840</v>
      </c>
      <c r="AD227" s="1" t="str" cm="1">
        <f t="array" ref="AD227">_xlfn.IFS(Table2[[#This Row],[PAYMENT GAP]]&lt;=0,"No Gap / Overpaid",Table2[[#This Row],[PAYMENT GAP]]&lt;=25000,"Low Gap",Table2[[#This Row],[PAYMENT GAP]]&lt;=100000,"Medium Gap",
TRUE,"High Gap"
)</f>
        <v>High Gap</v>
      </c>
    </row>
    <row r="228" spans="1:30" x14ac:dyDescent="0.3">
      <c r="A228">
        <v>227</v>
      </c>
      <c r="B228" s="1">
        <v>350000</v>
      </c>
      <c r="C228" s="1" t="str" cm="1">
        <f t="array" ref="C228">_xlfn.IFS(Table2[[#This Row],[LIMIT_BAL]]&lt;=100000,"Low",Table2[[#This Row],[LIMIT_BAL]]&lt;=300000,"Medium",
TRUE,"High"
)</f>
        <v>High</v>
      </c>
      <c r="D228" t="s">
        <v>2042</v>
      </c>
      <c r="E228" t="s">
        <v>2027</v>
      </c>
      <c r="F228" t="s">
        <v>2028</v>
      </c>
      <c r="G228">
        <v>44</v>
      </c>
      <c r="H228" t="str" cm="1">
        <f t="array" ref="H228">_xlfn.IFS(
Table2[[#This Row],[AGE]]&lt;30,"Young",
Table2[[#This Row],[AGE]]&lt;40,"Middle Age",
Table2[[#This Row],[AGE]]&lt;50,"Senior",
TRUE,"Super Senior"
)</f>
        <v>Senior</v>
      </c>
      <c r="I228">
        <v>-1</v>
      </c>
      <c r="J228">
        <v>-1</v>
      </c>
      <c r="K228">
        <v>-1</v>
      </c>
      <c r="L228">
        <v>-1</v>
      </c>
      <c r="M228">
        <v>-1</v>
      </c>
      <c r="N228">
        <v>-2</v>
      </c>
      <c r="O228" s="1">
        <v>3265</v>
      </c>
      <c r="P228" s="1">
        <v>2686</v>
      </c>
      <c r="Q228" s="1">
        <v>1864</v>
      </c>
      <c r="R228" s="1">
        <v>569</v>
      </c>
      <c r="S228" s="1">
        <v>0</v>
      </c>
      <c r="T228" s="1">
        <v>0</v>
      </c>
      <c r="U228" s="1">
        <v>2686</v>
      </c>
      <c r="V228" s="1">
        <v>1864</v>
      </c>
      <c r="W228" s="1">
        <v>569</v>
      </c>
      <c r="X228" s="1">
        <v>0</v>
      </c>
      <c r="Y228" s="1">
        <v>0</v>
      </c>
      <c r="Z228" s="1">
        <v>0</v>
      </c>
      <c r="AA228">
        <v>0</v>
      </c>
      <c r="AB228" t="str">
        <f t="shared" si="3"/>
        <v>Not Defaulter</v>
      </c>
      <c r="AC228" s="1">
        <f>Table2[[#This Row],[BILL_AMT1]]-Table2[[#This Row],[PAY_AMT1]]</f>
        <v>579</v>
      </c>
      <c r="AD228" s="1" t="str" cm="1">
        <f t="array" ref="AD228">_xlfn.IFS(Table2[[#This Row],[PAYMENT GAP]]&lt;=0,"No Gap / Overpaid",Table2[[#This Row],[PAYMENT GAP]]&lt;=25000,"Low Gap",Table2[[#This Row],[PAYMENT GAP]]&lt;=100000,"Medium Gap",
TRUE,"High Gap"
)</f>
        <v>Low Gap</v>
      </c>
    </row>
    <row r="229" spans="1:30" x14ac:dyDescent="0.3">
      <c r="A229">
        <v>228</v>
      </c>
      <c r="B229" s="1">
        <v>20000</v>
      </c>
      <c r="C229" s="1" t="str" cm="1">
        <f t="array" ref="C229">_xlfn.IFS(Table2[[#This Row],[LIMIT_BAL]]&lt;=100000,"Low",Table2[[#This Row],[LIMIT_BAL]]&lt;=300000,"Medium",
TRUE,"High"
)</f>
        <v>Low</v>
      </c>
      <c r="D229" t="s">
        <v>2042</v>
      </c>
      <c r="E229" t="s">
        <v>2043</v>
      </c>
      <c r="F229" t="s">
        <v>2028</v>
      </c>
      <c r="G229">
        <v>37</v>
      </c>
      <c r="H229" t="str" cm="1">
        <f t="array" ref="H229">_xlfn.IFS(
Table2[[#This Row],[AGE]]&lt;30,"Young",
Table2[[#This Row],[AGE]]&lt;40,"Middle Age",
Table2[[#This Row],[AGE]]&lt;50,"Senior",
TRUE,"Super Senior"
)</f>
        <v>Middle Age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 s="1">
        <v>16455</v>
      </c>
      <c r="P229" s="1">
        <v>16511</v>
      </c>
      <c r="Q229" s="1">
        <v>18902</v>
      </c>
      <c r="R229" s="1">
        <v>18768</v>
      </c>
      <c r="S229" s="1">
        <v>18650</v>
      </c>
      <c r="T229" s="1">
        <v>19175</v>
      </c>
      <c r="U229" s="1">
        <v>1609</v>
      </c>
      <c r="V229" s="1">
        <v>3000</v>
      </c>
      <c r="W229" s="1">
        <v>663</v>
      </c>
      <c r="X229" s="1">
        <v>676</v>
      </c>
      <c r="Y229" s="1">
        <v>834</v>
      </c>
      <c r="Z229" s="1">
        <v>782</v>
      </c>
      <c r="AA229">
        <v>0</v>
      </c>
      <c r="AB229" t="str">
        <f t="shared" si="3"/>
        <v>Not Defaulter</v>
      </c>
      <c r="AC229" s="1">
        <f>Table2[[#This Row],[BILL_AMT1]]-Table2[[#This Row],[PAY_AMT1]]</f>
        <v>14846</v>
      </c>
      <c r="AD229" s="1" t="str" cm="1">
        <f t="array" ref="AD229">_xlfn.IFS(Table2[[#This Row],[PAYMENT GAP]]&lt;=0,"No Gap / Overpaid",Table2[[#This Row],[PAYMENT GAP]]&lt;=25000,"Low Gap",Table2[[#This Row],[PAYMENT GAP]]&lt;=100000,"Medium Gap",
TRUE,"High Gap"
)</f>
        <v>Low Gap</v>
      </c>
    </row>
    <row r="230" spans="1:30" x14ac:dyDescent="0.3">
      <c r="A230">
        <v>229</v>
      </c>
      <c r="B230" s="1">
        <v>50000</v>
      </c>
      <c r="C230" s="1" t="str" cm="1">
        <f t="array" ref="C230">_xlfn.IFS(Table2[[#This Row],[LIMIT_BAL]]&lt;=100000,"Low",Table2[[#This Row],[LIMIT_BAL]]&lt;=300000,"Medium",
TRUE,"High"
)</f>
        <v>Low</v>
      </c>
      <c r="D230" t="s">
        <v>2042</v>
      </c>
      <c r="E230" t="s">
        <v>2043</v>
      </c>
      <c r="F230" t="s">
        <v>2029</v>
      </c>
      <c r="G230">
        <v>23</v>
      </c>
      <c r="H230" t="str" cm="1">
        <f t="array" ref="H230">_xlfn.IFS(
Table2[[#This Row],[AGE]]&lt;30,"Young",
Table2[[#This Row],[AGE]]&lt;40,"Middle Age",
Table2[[#This Row],[AGE]]&lt;50,"Senior",
TRUE,"Super Senior"
)</f>
        <v>Young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 s="1">
        <v>49758</v>
      </c>
      <c r="P230" s="1">
        <v>48456</v>
      </c>
      <c r="Q230" s="1">
        <v>44116</v>
      </c>
      <c r="R230" s="1">
        <v>21247</v>
      </c>
      <c r="S230" s="1">
        <v>20066</v>
      </c>
      <c r="T230" s="1">
        <v>18858</v>
      </c>
      <c r="U230" s="1">
        <v>2401</v>
      </c>
      <c r="V230" s="1">
        <v>2254</v>
      </c>
      <c r="W230" s="1">
        <v>2004</v>
      </c>
      <c r="X230" s="1">
        <v>704</v>
      </c>
      <c r="Y230" s="1">
        <v>707</v>
      </c>
      <c r="Z230" s="1">
        <v>1004</v>
      </c>
      <c r="AA230">
        <v>1</v>
      </c>
      <c r="AB230" t="str">
        <f t="shared" si="3"/>
        <v>Defaulter</v>
      </c>
      <c r="AC230" s="1">
        <f>Table2[[#This Row],[BILL_AMT1]]-Table2[[#This Row],[PAY_AMT1]]</f>
        <v>47357</v>
      </c>
      <c r="AD230" s="1" t="str" cm="1">
        <f t="array" ref="AD230">_xlfn.IFS(Table2[[#This Row],[PAYMENT GAP]]&lt;=0,"No Gap / Overpaid",Table2[[#This Row],[PAYMENT GAP]]&lt;=25000,"Low Gap",Table2[[#This Row],[PAYMENT GAP]]&lt;=100000,"Medium Gap",
TRUE,"High Gap"
)</f>
        <v>Medium Gap</v>
      </c>
    </row>
    <row r="231" spans="1:30" x14ac:dyDescent="0.3">
      <c r="A231">
        <v>230</v>
      </c>
      <c r="B231" s="1">
        <v>20000</v>
      </c>
      <c r="C231" s="1" t="str" cm="1">
        <f t="array" ref="C231">_xlfn.IFS(Table2[[#This Row],[LIMIT_BAL]]&lt;=100000,"Low",Table2[[#This Row],[LIMIT_BAL]]&lt;=300000,"Medium",
TRUE,"High"
)</f>
        <v>Low</v>
      </c>
      <c r="D231" t="s">
        <v>2041</v>
      </c>
      <c r="E231" t="s">
        <v>2027</v>
      </c>
      <c r="F231" t="s">
        <v>2029</v>
      </c>
      <c r="G231">
        <v>24</v>
      </c>
      <c r="H231" t="str" cm="1">
        <f t="array" ref="H231">_xlfn.IFS(
Table2[[#This Row],[AGE]]&lt;30,"Young",
Table2[[#This Row],[AGE]]&lt;40,"Middle Age",
Table2[[#This Row],[AGE]]&lt;50,"Senior",
TRUE,"Super Senior"
)</f>
        <v>Young</v>
      </c>
      <c r="I231">
        <v>1</v>
      </c>
      <c r="J231">
        <v>2</v>
      </c>
      <c r="K231">
        <v>0</v>
      </c>
      <c r="L231">
        <v>0</v>
      </c>
      <c r="M231">
        <v>0</v>
      </c>
      <c r="N231">
        <v>0</v>
      </c>
      <c r="O231" s="1">
        <v>19154</v>
      </c>
      <c r="P231" s="1">
        <v>18165</v>
      </c>
      <c r="Q231" s="1">
        <v>17233</v>
      </c>
      <c r="R231" s="1">
        <v>7630</v>
      </c>
      <c r="S231" s="1">
        <v>1730</v>
      </c>
      <c r="T231" s="1">
        <v>0</v>
      </c>
      <c r="U231" s="1">
        <v>0</v>
      </c>
      <c r="V231" s="1">
        <v>1333</v>
      </c>
      <c r="W231" s="1">
        <v>500</v>
      </c>
      <c r="X231" s="1">
        <v>100</v>
      </c>
      <c r="Y231" s="1">
        <v>0</v>
      </c>
      <c r="Z231" s="1">
        <v>3200</v>
      </c>
      <c r="AA231">
        <v>0</v>
      </c>
      <c r="AB231" t="str">
        <f t="shared" si="3"/>
        <v>Not Defaulter</v>
      </c>
      <c r="AC231" s="1">
        <f>Table2[[#This Row],[BILL_AMT1]]-Table2[[#This Row],[PAY_AMT1]]</f>
        <v>19154</v>
      </c>
      <c r="AD231" s="1" t="str" cm="1">
        <f t="array" ref="AD231">_xlfn.IFS(Table2[[#This Row],[PAYMENT GAP]]&lt;=0,"No Gap / Overpaid",Table2[[#This Row],[PAYMENT GAP]]&lt;=25000,"Low Gap",Table2[[#This Row],[PAYMENT GAP]]&lt;=100000,"Medium Gap",
TRUE,"High Gap"
)</f>
        <v>Low Gap</v>
      </c>
    </row>
    <row r="232" spans="1:30" x14ac:dyDescent="0.3">
      <c r="A232">
        <v>231</v>
      </c>
      <c r="B232" s="1">
        <v>50000</v>
      </c>
      <c r="C232" s="1" t="str" cm="1">
        <f t="array" ref="C232">_xlfn.IFS(Table2[[#This Row],[LIMIT_BAL]]&lt;=100000,"Low",Table2[[#This Row],[LIMIT_BAL]]&lt;=300000,"Medium",
TRUE,"High"
)</f>
        <v>Low</v>
      </c>
      <c r="D232" t="s">
        <v>2041</v>
      </c>
      <c r="E232" t="s">
        <v>2026</v>
      </c>
      <c r="F232" t="s">
        <v>2029</v>
      </c>
      <c r="G232">
        <v>24</v>
      </c>
      <c r="H232" t="str" cm="1">
        <f t="array" ref="H232">_xlfn.IFS(
Table2[[#This Row],[AGE]]&lt;30,"Young",
Table2[[#This Row],[AGE]]&lt;40,"Middle Age",
Table2[[#This Row],[AGE]]&lt;50,"Senior",
TRUE,"Super Senior"
)</f>
        <v>Young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 s="1">
        <v>35084</v>
      </c>
      <c r="P232" s="1">
        <v>35796</v>
      </c>
      <c r="Q232" s="1">
        <v>30937</v>
      </c>
      <c r="R232" s="1">
        <v>19420</v>
      </c>
      <c r="S232" s="1">
        <v>10385</v>
      </c>
      <c r="T232" s="1">
        <v>1308</v>
      </c>
      <c r="U232" s="1">
        <v>2090</v>
      </c>
      <c r="V232" s="1">
        <v>2002</v>
      </c>
      <c r="W232" s="1">
        <v>1002</v>
      </c>
      <c r="X232" s="1">
        <v>238</v>
      </c>
      <c r="Y232" s="1">
        <v>1011</v>
      </c>
      <c r="Z232" s="1">
        <v>389</v>
      </c>
      <c r="AA232">
        <v>0</v>
      </c>
      <c r="AB232" t="str">
        <f t="shared" si="3"/>
        <v>Not Defaulter</v>
      </c>
      <c r="AC232" s="1">
        <f>Table2[[#This Row],[BILL_AMT1]]-Table2[[#This Row],[PAY_AMT1]]</f>
        <v>32994</v>
      </c>
      <c r="AD232" s="1" t="str" cm="1">
        <f t="array" ref="AD232">_xlfn.IFS(Table2[[#This Row],[PAYMENT GAP]]&lt;=0,"No Gap / Overpaid",Table2[[#This Row],[PAYMENT GAP]]&lt;=25000,"Low Gap",Table2[[#This Row],[PAYMENT GAP]]&lt;=100000,"Medium Gap",
TRUE,"High Gap"
)</f>
        <v>Medium Gap</v>
      </c>
    </row>
    <row r="233" spans="1:30" x14ac:dyDescent="0.3">
      <c r="A233">
        <v>232</v>
      </c>
      <c r="B233" s="1">
        <v>20000</v>
      </c>
      <c r="C233" s="1" t="str" cm="1">
        <f t="array" ref="C233">_xlfn.IFS(Table2[[#This Row],[LIMIT_BAL]]&lt;=100000,"Low",Table2[[#This Row],[LIMIT_BAL]]&lt;=300000,"Medium",
TRUE,"High"
)</f>
        <v>Low</v>
      </c>
      <c r="D233" t="s">
        <v>2042</v>
      </c>
      <c r="E233" t="s">
        <v>2043</v>
      </c>
      <c r="F233" t="s">
        <v>2029</v>
      </c>
      <c r="G233">
        <v>23</v>
      </c>
      <c r="H233" t="str" cm="1">
        <f t="array" ref="H233">_xlfn.IFS(
Table2[[#This Row],[AGE]]&lt;30,"Young",
Table2[[#This Row],[AGE]]&lt;40,"Middle Age",
Table2[[#This Row],[AGE]]&lt;50,"Senior",
TRUE,"Super Senior"
)</f>
        <v>Young</v>
      </c>
      <c r="I233">
        <v>1</v>
      </c>
      <c r="J233">
        <v>2</v>
      </c>
      <c r="K233">
        <v>0</v>
      </c>
      <c r="L233">
        <v>0</v>
      </c>
      <c r="M233">
        <v>2</v>
      </c>
      <c r="N233">
        <v>0</v>
      </c>
      <c r="O233" s="1">
        <v>20235</v>
      </c>
      <c r="P233" s="1">
        <v>17132</v>
      </c>
      <c r="Q233" s="1">
        <v>16856</v>
      </c>
      <c r="R233" s="1">
        <v>16875</v>
      </c>
      <c r="S233" s="1">
        <v>13454</v>
      </c>
      <c r="T233" s="1">
        <v>10104</v>
      </c>
      <c r="U233" s="1">
        <v>0</v>
      </c>
      <c r="V233" s="1">
        <v>1200</v>
      </c>
      <c r="W233" s="1">
        <v>1000</v>
      </c>
      <c r="X233" s="1">
        <v>0</v>
      </c>
      <c r="Y233" s="1">
        <v>1000</v>
      </c>
      <c r="Z233" s="1">
        <v>10000</v>
      </c>
      <c r="AA233">
        <v>1</v>
      </c>
      <c r="AB233" t="str">
        <f t="shared" si="3"/>
        <v>Defaulter</v>
      </c>
      <c r="AC233" s="1">
        <f>Table2[[#This Row],[BILL_AMT1]]-Table2[[#This Row],[PAY_AMT1]]</f>
        <v>20235</v>
      </c>
      <c r="AD233" s="1" t="str" cm="1">
        <f t="array" ref="AD233">_xlfn.IFS(Table2[[#This Row],[PAYMENT GAP]]&lt;=0,"No Gap / Overpaid",Table2[[#This Row],[PAYMENT GAP]]&lt;=25000,"Low Gap",Table2[[#This Row],[PAYMENT GAP]]&lt;=100000,"Medium Gap",
TRUE,"High Gap"
)</f>
        <v>Low Gap</v>
      </c>
    </row>
    <row r="234" spans="1:30" x14ac:dyDescent="0.3">
      <c r="A234">
        <v>233</v>
      </c>
      <c r="B234" s="1">
        <v>50000</v>
      </c>
      <c r="C234" s="1" t="str" cm="1">
        <f t="array" ref="C234">_xlfn.IFS(Table2[[#This Row],[LIMIT_BAL]]&lt;=100000,"Low",Table2[[#This Row],[LIMIT_BAL]]&lt;=300000,"Medium",
TRUE,"High"
)</f>
        <v>Low</v>
      </c>
      <c r="D234" t="s">
        <v>2042</v>
      </c>
      <c r="E234" t="s">
        <v>2043</v>
      </c>
      <c r="F234" t="s">
        <v>2028</v>
      </c>
      <c r="G234">
        <v>26</v>
      </c>
      <c r="H234" t="str" cm="1">
        <f t="array" ref="H234">_xlfn.IFS(
Table2[[#This Row],[AGE]]&lt;30,"Young",
Table2[[#This Row],[AGE]]&lt;40,"Middle Age",
Table2[[#This Row],[AGE]]&lt;50,"Senior",
TRUE,"Super Senior"
)</f>
        <v>Young</v>
      </c>
      <c r="I234">
        <v>0</v>
      </c>
      <c r="J234">
        <v>0</v>
      </c>
      <c r="K234">
        <v>-2</v>
      </c>
      <c r="L234">
        <v>-1</v>
      </c>
      <c r="M234">
        <v>-1</v>
      </c>
      <c r="N234">
        <v>0</v>
      </c>
      <c r="O234" s="1">
        <v>102800</v>
      </c>
      <c r="P234" s="1">
        <v>0</v>
      </c>
      <c r="Q234" s="1">
        <v>0</v>
      </c>
      <c r="R234" s="1">
        <v>2624</v>
      </c>
      <c r="S234" s="1">
        <v>45567</v>
      </c>
      <c r="T234" s="1">
        <v>46557</v>
      </c>
      <c r="U234" s="1">
        <v>0</v>
      </c>
      <c r="V234" s="1">
        <v>0</v>
      </c>
      <c r="W234" s="1">
        <v>2624</v>
      </c>
      <c r="X234" s="1">
        <v>45567</v>
      </c>
      <c r="Y234" s="1">
        <v>1747</v>
      </c>
      <c r="Z234" s="1">
        <v>2000</v>
      </c>
      <c r="AA234">
        <v>0</v>
      </c>
      <c r="AB234" t="str">
        <f t="shared" si="3"/>
        <v>Not Defaulter</v>
      </c>
      <c r="AC234" s="1">
        <f>Table2[[#This Row],[BILL_AMT1]]-Table2[[#This Row],[PAY_AMT1]]</f>
        <v>102800</v>
      </c>
      <c r="AD234" s="1" t="str" cm="1">
        <f t="array" ref="AD234">_xlfn.IFS(Table2[[#This Row],[PAYMENT GAP]]&lt;=0,"No Gap / Overpaid",Table2[[#This Row],[PAYMENT GAP]]&lt;=25000,"Low Gap",Table2[[#This Row],[PAYMENT GAP]]&lt;=100000,"Medium Gap",
TRUE,"High Gap"
)</f>
        <v>High Gap</v>
      </c>
    </row>
    <row r="235" spans="1:30" x14ac:dyDescent="0.3">
      <c r="A235">
        <v>234</v>
      </c>
      <c r="B235" s="1">
        <v>190000</v>
      </c>
      <c r="C235" s="1" t="str" cm="1">
        <f t="array" ref="C235">_xlfn.IFS(Table2[[#This Row],[LIMIT_BAL]]&lt;=100000,"Low",Table2[[#This Row],[LIMIT_BAL]]&lt;=300000,"Medium",
TRUE,"High"
)</f>
        <v>Medium</v>
      </c>
      <c r="D235" t="s">
        <v>2042</v>
      </c>
      <c r="E235" t="s">
        <v>2043</v>
      </c>
      <c r="F235" t="s">
        <v>2029</v>
      </c>
      <c r="G235">
        <v>34</v>
      </c>
      <c r="H235" t="str" cm="1">
        <f t="array" ref="H235">_xlfn.IFS(
Table2[[#This Row],[AGE]]&lt;30,"Young",
Table2[[#This Row],[AGE]]&lt;40,"Middle Age",
Table2[[#This Row],[AGE]]&lt;50,"Senior",
TRUE,"Super Senior"
)</f>
        <v>Middle Age</v>
      </c>
      <c r="I235">
        <v>2</v>
      </c>
      <c r="J235">
        <v>0</v>
      </c>
      <c r="K235">
        <v>0</v>
      </c>
      <c r="L235">
        <v>0</v>
      </c>
      <c r="M235">
        <v>2</v>
      </c>
      <c r="N235">
        <v>2</v>
      </c>
      <c r="O235" s="1">
        <v>129801</v>
      </c>
      <c r="P235" s="1">
        <v>131383</v>
      </c>
      <c r="Q235" s="1">
        <v>134379</v>
      </c>
      <c r="R235" s="1">
        <v>142323</v>
      </c>
      <c r="S235" s="1">
        <v>140120</v>
      </c>
      <c r="T235" s="1">
        <v>150052</v>
      </c>
      <c r="U235" s="1">
        <v>5000</v>
      </c>
      <c r="V235" s="1">
        <v>5000</v>
      </c>
      <c r="W235" s="1">
        <v>10000</v>
      </c>
      <c r="X235" s="1">
        <v>0</v>
      </c>
      <c r="Y235" s="1">
        <v>12118</v>
      </c>
      <c r="Z235" s="1">
        <v>2769</v>
      </c>
      <c r="AA235">
        <v>1</v>
      </c>
      <c r="AB235" t="str">
        <f t="shared" si="3"/>
        <v>Defaulter</v>
      </c>
      <c r="AC235" s="1">
        <f>Table2[[#This Row],[BILL_AMT1]]-Table2[[#This Row],[PAY_AMT1]]</f>
        <v>124801</v>
      </c>
      <c r="AD235" s="1" t="str" cm="1">
        <f t="array" ref="AD235">_xlfn.IFS(Table2[[#This Row],[PAYMENT GAP]]&lt;=0,"No Gap / Overpaid",Table2[[#This Row],[PAYMENT GAP]]&lt;=25000,"Low Gap",Table2[[#This Row],[PAYMENT GAP]]&lt;=100000,"Medium Gap",
TRUE,"High Gap"
)</f>
        <v>High Gap</v>
      </c>
    </row>
    <row r="236" spans="1:30" x14ac:dyDescent="0.3">
      <c r="A236">
        <v>235</v>
      </c>
      <c r="B236" s="1">
        <v>60000</v>
      </c>
      <c r="C236" s="1" t="str" cm="1">
        <f t="array" ref="C236">_xlfn.IFS(Table2[[#This Row],[LIMIT_BAL]]&lt;=100000,"Low",Table2[[#This Row],[LIMIT_BAL]]&lt;=300000,"Medium",
TRUE,"High"
)</f>
        <v>Low</v>
      </c>
      <c r="D236" t="s">
        <v>2041</v>
      </c>
      <c r="E236" t="s">
        <v>2043</v>
      </c>
      <c r="F236" t="s">
        <v>2028</v>
      </c>
      <c r="G236">
        <v>33</v>
      </c>
      <c r="H236" t="str" cm="1">
        <f t="array" ref="H236">_xlfn.IFS(
Table2[[#This Row],[AGE]]&lt;30,"Young",
Table2[[#This Row],[AGE]]&lt;40,"Middle Age",
Table2[[#This Row],[AGE]]&lt;50,"Senior",
TRUE,"Super Senior"
)</f>
        <v>Middle Age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s="1">
        <v>58203</v>
      </c>
      <c r="P236" s="1">
        <v>36367</v>
      </c>
      <c r="Q236" s="1">
        <v>20934</v>
      </c>
      <c r="R236" s="1">
        <v>20694</v>
      </c>
      <c r="S236" s="1">
        <v>20175</v>
      </c>
      <c r="T236" s="1">
        <v>19421</v>
      </c>
      <c r="U236" s="1">
        <v>1506</v>
      </c>
      <c r="V236" s="1">
        <v>1298</v>
      </c>
      <c r="W236" s="1">
        <v>1000</v>
      </c>
      <c r="X236" s="1">
        <v>721</v>
      </c>
      <c r="Y236" s="1">
        <v>811</v>
      </c>
      <c r="Z236" s="1">
        <v>599</v>
      </c>
      <c r="AA236">
        <v>0</v>
      </c>
      <c r="AB236" t="str">
        <f t="shared" si="3"/>
        <v>Not Defaulter</v>
      </c>
      <c r="AC236" s="1">
        <f>Table2[[#This Row],[BILL_AMT1]]-Table2[[#This Row],[PAY_AMT1]]</f>
        <v>56697</v>
      </c>
      <c r="AD236" s="1" t="str" cm="1">
        <f t="array" ref="AD236">_xlfn.IFS(Table2[[#This Row],[PAYMENT GAP]]&lt;=0,"No Gap / Overpaid",Table2[[#This Row],[PAYMENT GAP]]&lt;=25000,"Low Gap",Table2[[#This Row],[PAYMENT GAP]]&lt;=100000,"Medium Gap",
TRUE,"High Gap"
)</f>
        <v>Medium Gap</v>
      </c>
    </row>
    <row r="237" spans="1:30" x14ac:dyDescent="0.3">
      <c r="A237">
        <v>236</v>
      </c>
      <c r="B237" s="1">
        <v>80000</v>
      </c>
      <c r="C237" s="1" t="str" cm="1">
        <f t="array" ref="C237">_xlfn.IFS(Table2[[#This Row],[LIMIT_BAL]]&lt;=100000,"Low",Table2[[#This Row],[LIMIT_BAL]]&lt;=300000,"Medium",
TRUE,"High"
)</f>
        <v>Low</v>
      </c>
      <c r="D237" t="s">
        <v>2042</v>
      </c>
      <c r="E237" t="s">
        <v>2026</v>
      </c>
      <c r="F237" t="s">
        <v>2029</v>
      </c>
      <c r="G237">
        <v>35</v>
      </c>
      <c r="H237" t="str" cm="1">
        <f t="array" ref="H237">_xlfn.IFS(
Table2[[#This Row],[AGE]]&lt;30,"Young",
Table2[[#This Row],[AGE]]&lt;40,"Middle Age",
Table2[[#This Row],[AGE]]&lt;50,"Senior",
TRUE,"Super Senior"
)</f>
        <v>Middle Age</v>
      </c>
      <c r="I237">
        <v>-1</v>
      </c>
      <c r="J237">
        <v>-1</v>
      </c>
      <c r="K237">
        <v>-1</v>
      </c>
      <c r="L237">
        <v>-1</v>
      </c>
      <c r="M237">
        <v>-1</v>
      </c>
      <c r="N237">
        <v>-1</v>
      </c>
      <c r="O237" s="1">
        <v>7988</v>
      </c>
      <c r="P237" s="1">
        <v>3977</v>
      </c>
      <c r="Q237" s="1">
        <v>6848</v>
      </c>
      <c r="R237" s="1">
        <v>1719</v>
      </c>
      <c r="S237" s="1">
        <v>1378</v>
      </c>
      <c r="T237" s="1">
        <v>19942</v>
      </c>
      <c r="U237" s="1">
        <v>3983</v>
      </c>
      <c r="V237" s="1">
        <v>6853</v>
      </c>
      <c r="W237" s="1">
        <v>1719</v>
      </c>
      <c r="X237" s="1">
        <v>1378</v>
      </c>
      <c r="Y237" s="1">
        <v>19942</v>
      </c>
      <c r="Z237" s="1">
        <v>2418</v>
      </c>
      <c r="AA237">
        <v>0</v>
      </c>
      <c r="AB237" t="str">
        <f t="shared" si="3"/>
        <v>Not Defaulter</v>
      </c>
      <c r="AC237" s="1">
        <f>Table2[[#This Row],[BILL_AMT1]]-Table2[[#This Row],[PAY_AMT1]]</f>
        <v>4005</v>
      </c>
      <c r="AD237" s="1" t="str" cm="1">
        <f t="array" ref="AD237">_xlfn.IFS(Table2[[#This Row],[PAYMENT GAP]]&lt;=0,"No Gap / Overpaid",Table2[[#This Row],[PAYMENT GAP]]&lt;=25000,"Low Gap",Table2[[#This Row],[PAYMENT GAP]]&lt;=100000,"Medium Gap",
TRUE,"High Gap"
)</f>
        <v>Low Gap</v>
      </c>
    </row>
    <row r="238" spans="1:30" x14ac:dyDescent="0.3">
      <c r="A238">
        <v>237</v>
      </c>
      <c r="B238" s="1">
        <v>150000</v>
      </c>
      <c r="C238" s="1" t="str" cm="1">
        <f t="array" ref="C238">_xlfn.IFS(Table2[[#This Row],[LIMIT_BAL]]&lt;=100000,"Low",Table2[[#This Row],[LIMIT_BAL]]&lt;=300000,"Medium",
TRUE,"High"
)</f>
        <v>Medium</v>
      </c>
      <c r="D238" t="s">
        <v>2041</v>
      </c>
      <c r="E238" t="s">
        <v>2043</v>
      </c>
      <c r="F238" t="s">
        <v>2029</v>
      </c>
      <c r="G238">
        <v>27</v>
      </c>
      <c r="H238" t="str" cm="1">
        <f t="array" ref="H238">_xlfn.IFS(
Table2[[#This Row],[AGE]]&lt;30,"Young",
Table2[[#This Row],[AGE]]&lt;40,"Middle Age",
Table2[[#This Row],[AGE]]&lt;50,"Senior",
TRUE,"Super Senior"
)</f>
        <v>Young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s="1">
        <v>127402</v>
      </c>
      <c r="P238" s="1">
        <v>110050</v>
      </c>
      <c r="Q238" s="1">
        <v>51547</v>
      </c>
      <c r="R238" s="1">
        <v>44384</v>
      </c>
      <c r="S238" s="1">
        <v>36900</v>
      </c>
      <c r="T238" s="1">
        <v>29497</v>
      </c>
      <c r="U238" s="1">
        <v>4500</v>
      </c>
      <c r="V238" s="1">
        <v>1745</v>
      </c>
      <c r="W238" s="1">
        <v>1566</v>
      </c>
      <c r="X238" s="1">
        <v>1208</v>
      </c>
      <c r="Y238" s="1">
        <v>1077</v>
      </c>
      <c r="Z238" s="1">
        <v>2529</v>
      </c>
      <c r="AA238">
        <v>0</v>
      </c>
      <c r="AB238" t="str">
        <f t="shared" si="3"/>
        <v>Not Defaulter</v>
      </c>
      <c r="AC238" s="1">
        <f>Table2[[#This Row],[BILL_AMT1]]-Table2[[#This Row],[PAY_AMT1]]</f>
        <v>122902</v>
      </c>
      <c r="AD238" s="1" t="str" cm="1">
        <f t="array" ref="AD238">_xlfn.IFS(Table2[[#This Row],[PAYMENT GAP]]&lt;=0,"No Gap / Overpaid",Table2[[#This Row],[PAYMENT GAP]]&lt;=25000,"Low Gap",Table2[[#This Row],[PAYMENT GAP]]&lt;=100000,"Medium Gap",
TRUE,"High Gap"
)</f>
        <v>High Gap</v>
      </c>
    </row>
    <row r="239" spans="1:30" x14ac:dyDescent="0.3">
      <c r="A239">
        <v>238</v>
      </c>
      <c r="B239" s="1">
        <v>210000</v>
      </c>
      <c r="C239" s="1" t="str" cm="1">
        <f t="array" ref="C239">_xlfn.IFS(Table2[[#This Row],[LIMIT_BAL]]&lt;=100000,"Low",Table2[[#This Row],[LIMIT_BAL]]&lt;=300000,"Medium",
TRUE,"High"
)</f>
        <v>Medium</v>
      </c>
      <c r="D239" t="s">
        <v>2041</v>
      </c>
      <c r="E239" t="s">
        <v>2026</v>
      </c>
      <c r="F239" t="s">
        <v>2029</v>
      </c>
      <c r="G239">
        <v>31</v>
      </c>
      <c r="H239" t="str" cm="1">
        <f t="array" ref="H239">_xlfn.IFS(
Table2[[#This Row],[AGE]]&lt;30,"Young",
Table2[[#This Row],[AGE]]&lt;40,"Middle Age",
Table2[[#This Row],[AGE]]&lt;50,"Senior",
TRUE,"Super Senior"
)</f>
        <v>Middle Age</v>
      </c>
      <c r="I239">
        <v>-2</v>
      </c>
      <c r="J239">
        <v>-2</v>
      </c>
      <c r="K239">
        <v>-2</v>
      </c>
      <c r="L239">
        <v>-2</v>
      </c>
      <c r="M239">
        <v>-1</v>
      </c>
      <c r="N239">
        <v>-1</v>
      </c>
      <c r="O239" s="1">
        <v>1440</v>
      </c>
      <c r="P239" s="1">
        <v>0</v>
      </c>
      <c r="Q239" s="1">
        <v>7422</v>
      </c>
      <c r="R239" s="1">
        <v>893</v>
      </c>
      <c r="S239" s="1">
        <v>6082</v>
      </c>
      <c r="T239" s="1">
        <v>2293</v>
      </c>
      <c r="U239" s="1">
        <v>0</v>
      </c>
      <c r="V239" s="1">
        <v>7422</v>
      </c>
      <c r="W239" s="1">
        <v>893</v>
      </c>
      <c r="X239" s="1">
        <v>6082</v>
      </c>
      <c r="Y239" s="1">
        <v>2293</v>
      </c>
      <c r="Z239" s="1">
        <v>3299</v>
      </c>
      <c r="AA239">
        <v>0</v>
      </c>
      <c r="AB239" t="str">
        <f t="shared" si="3"/>
        <v>Not Defaulter</v>
      </c>
      <c r="AC239" s="1">
        <f>Table2[[#This Row],[BILL_AMT1]]-Table2[[#This Row],[PAY_AMT1]]</f>
        <v>1440</v>
      </c>
      <c r="AD239" s="1" t="str" cm="1">
        <f t="array" ref="AD239">_xlfn.IFS(Table2[[#This Row],[PAYMENT GAP]]&lt;=0,"No Gap / Overpaid",Table2[[#This Row],[PAYMENT GAP]]&lt;=25000,"Low Gap",Table2[[#This Row],[PAYMENT GAP]]&lt;=100000,"Medium Gap",
TRUE,"High Gap"
)</f>
        <v>Low Gap</v>
      </c>
    </row>
    <row r="240" spans="1:30" x14ac:dyDescent="0.3">
      <c r="A240">
        <v>239</v>
      </c>
      <c r="B240" s="1">
        <v>240000</v>
      </c>
      <c r="C240" s="1" t="str" cm="1">
        <f t="array" ref="C240">_xlfn.IFS(Table2[[#This Row],[LIMIT_BAL]]&lt;=100000,"Low",Table2[[#This Row],[LIMIT_BAL]]&lt;=300000,"Medium",
TRUE,"High"
)</f>
        <v>Medium</v>
      </c>
      <c r="D240" t="s">
        <v>2041</v>
      </c>
      <c r="E240" t="s">
        <v>2027</v>
      </c>
      <c r="F240" t="s">
        <v>2028</v>
      </c>
      <c r="G240">
        <v>50</v>
      </c>
      <c r="H240" t="str" cm="1">
        <f t="array" ref="H240">_xlfn.IFS(
Table2[[#This Row],[AGE]]&lt;30,"Young",
Table2[[#This Row],[AGE]]&lt;40,"Middle Age",
Table2[[#This Row],[AGE]]&lt;50,"Senior",
TRUE,"Super Senior"
)</f>
        <v>Super Senior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 s="1">
        <v>234205</v>
      </c>
      <c r="P240" s="1">
        <v>231669</v>
      </c>
      <c r="Q240" s="1">
        <v>214642</v>
      </c>
      <c r="R240" s="1">
        <v>207642</v>
      </c>
      <c r="S240" s="1">
        <v>210375</v>
      </c>
      <c r="T240" s="1">
        <v>214694</v>
      </c>
      <c r="U240" s="1">
        <v>10116</v>
      </c>
      <c r="V240" s="1">
        <v>9150</v>
      </c>
      <c r="W240" s="1">
        <v>8008</v>
      </c>
      <c r="X240" s="1">
        <v>8000</v>
      </c>
      <c r="Y240" s="1">
        <v>8009</v>
      </c>
      <c r="Z240" s="1">
        <v>7714</v>
      </c>
      <c r="AA240">
        <v>1</v>
      </c>
      <c r="AB240" t="str">
        <f t="shared" si="3"/>
        <v>Defaulter</v>
      </c>
      <c r="AC240" s="1">
        <f>Table2[[#This Row],[BILL_AMT1]]-Table2[[#This Row],[PAY_AMT1]]</f>
        <v>224089</v>
      </c>
      <c r="AD240" s="1" t="str" cm="1">
        <f t="array" ref="AD240">_xlfn.IFS(Table2[[#This Row],[PAYMENT GAP]]&lt;=0,"No Gap / Overpaid",Table2[[#This Row],[PAYMENT GAP]]&lt;=25000,"Low Gap",Table2[[#This Row],[PAYMENT GAP]]&lt;=100000,"Medium Gap",
TRUE,"High Gap"
)</f>
        <v>High Gap</v>
      </c>
    </row>
    <row r="241" spans="1:30" x14ac:dyDescent="0.3">
      <c r="A241">
        <v>240</v>
      </c>
      <c r="B241" s="1">
        <v>140000</v>
      </c>
      <c r="C241" s="1" t="str" cm="1">
        <f t="array" ref="C241">_xlfn.IFS(Table2[[#This Row],[LIMIT_BAL]]&lt;=100000,"Low",Table2[[#This Row],[LIMIT_BAL]]&lt;=300000,"Medium",
TRUE,"High"
)</f>
        <v>Medium</v>
      </c>
      <c r="D241" t="s">
        <v>2041</v>
      </c>
      <c r="E241" t="s">
        <v>2043</v>
      </c>
      <c r="F241" t="s">
        <v>2055</v>
      </c>
      <c r="G241">
        <v>41</v>
      </c>
      <c r="H241" t="str" cm="1">
        <f t="array" ref="H241">_xlfn.IFS(
Table2[[#This Row],[AGE]]&lt;30,"Young",
Table2[[#This Row],[AGE]]&lt;40,"Middle Age",
Table2[[#This Row],[AGE]]&lt;50,"Senior",
TRUE,"Super Senior"
)</f>
        <v>Senior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 s="1">
        <v>19346</v>
      </c>
      <c r="P241" s="1">
        <v>21708</v>
      </c>
      <c r="Q241" s="1">
        <v>22940</v>
      </c>
      <c r="R241" s="1">
        <v>19068</v>
      </c>
      <c r="S241" s="1">
        <v>16409</v>
      </c>
      <c r="T241" s="1">
        <v>16383</v>
      </c>
      <c r="U241" s="1">
        <v>3000</v>
      </c>
      <c r="V241" s="1">
        <v>2000</v>
      </c>
      <c r="W241" s="1">
        <v>2198</v>
      </c>
      <c r="X241" s="1">
        <v>1000</v>
      </c>
      <c r="Y241" s="1">
        <v>3000</v>
      </c>
      <c r="Z241" s="1">
        <v>2399</v>
      </c>
      <c r="AA241">
        <v>1</v>
      </c>
      <c r="AB241" t="str">
        <f t="shared" si="3"/>
        <v>Defaulter</v>
      </c>
      <c r="AC241" s="1">
        <f>Table2[[#This Row],[BILL_AMT1]]-Table2[[#This Row],[PAY_AMT1]]</f>
        <v>16346</v>
      </c>
      <c r="AD241" s="1" t="str" cm="1">
        <f t="array" ref="AD241">_xlfn.IFS(Table2[[#This Row],[PAYMENT GAP]]&lt;=0,"No Gap / Overpaid",Table2[[#This Row],[PAYMENT GAP]]&lt;=25000,"Low Gap",Table2[[#This Row],[PAYMENT GAP]]&lt;=100000,"Medium Gap",
TRUE,"High Gap"
)</f>
        <v>Low Gap</v>
      </c>
    </row>
    <row r="242" spans="1:30" x14ac:dyDescent="0.3">
      <c r="A242">
        <v>241</v>
      </c>
      <c r="B242" s="1">
        <v>60000</v>
      </c>
      <c r="C242" s="1" t="str" cm="1">
        <f t="array" ref="C242">_xlfn.IFS(Table2[[#This Row],[LIMIT_BAL]]&lt;=100000,"Low",Table2[[#This Row],[LIMIT_BAL]]&lt;=300000,"Medium",
TRUE,"High"
)</f>
        <v>Low</v>
      </c>
      <c r="D242" t="s">
        <v>2041</v>
      </c>
      <c r="E242" t="s">
        <v>2026</v>
      </c>
      <c r="F242" t="s">
        <v>2029</v>
      </c>
      <c r="G242">
        <v>28</v>
      </c>
      <c r="H242" t="str" cm="1">
        <f t="array" ref="H242">_xlfn.IFS(
Table2[[#This Row],[AGE]]&lt;30,"Young",
Table2[[#This Row],[AGE]]&lt;40,"Middle Age",
Table2[[#This Row],[AGE]]&lt;50,"Senior",
TRUE,"Super Senior"
)</f>
        <v>Young</v>
      </c>
      <c r="I242">
        <v>1</v>
      </c>
      <c r="J242">
        <v>2</v>
      </c>
      <c r="K242">
        <v>2</v>
      </c>
      <c r="L242">
        <v>-2</v>
      </c>
      <c r="M242">
        <v>-2</v>
      </c>
      <c r="N242">
        <v>-1</v>
      </c>
      <c r="O242" s="1">
        <v>21501</v>
      </c>
      <c r="P242" s="1">
        <v>20650</v>
      </c>
      <c r="Q242" s="1">
        <v>0</v>
      </c>
      <c r="R242" s="1">
        <v>0</v>
      </c>
      <c r="S242" s="1">
        <v>0</v>
      </c>
      <c r="T242" s="1">
        <v>2285</v>
      </c>
      <c r="U242" s="1">
        <v>0</v>
      </c>
      <c r="V242" s="1">
        <v>0</v>
      </c>
      <c r="W242" s="1">
        <v>0</v>
      </c>
      <c r="X242" s="1">
        <v>0</v>
      </c>
      <c r="Y242" s="1">
        <v>2285</v>
      </c>
      <c r="Z242" s="1">
        <v>0</v>
      </c>
      <c r="AA242">
        <v>0</v>
      </c>
      <c r="AB242" t="str">
        <f t="shared" si="3"/>
        <v>Not Defaulter</v>
      </c>
      <c r="AC242" s="1">
        <f>Table2[[#This Row],[BILL_AMT1]]-Table2[[#This Row],[PAY_AMT1]]</f>
        <v>21501</v>
      </c>
      <c r="AD242" s="1" t="str" cm="1">
        <f t="array" ref="AD242">_xlfn.IFS(Table2[[#This Row],[PAYMENT GAP]]&lt;=0,"No Gap / Overpaid",Table2[[#This Row],[PAYMENT GAP]]&lt;=25000,"Low Gap",Table2[[#This Row],[PAYMENT GAP]]&lt;=100000,"Medium Gap",
TRUE,"High Gap"
)</f>
        <v>Low Gap</v>
      </c>
    </row>
    <row r="243" spans="1:30" x14ac:dyDescent="0.3">
      <c r="A243">
        <v>242</v>
      </c>
      <c r="B243" s="1">
        <v>50000</v>
      </c>
      <c r="C243" s="1" t="str" cm="1">
        <f t="array" ref="C243">_xlfn.IFS(Table2[[#This Row],[LIMIT_BAL]]&lt;=100000,"Low",Table2[[#This Row],[LIMIT_BAL]]&lt;=300000,"Medium",
TRUE,"High"
)</f>
        <v>Low</v>
      </c>
      <c r="D243" t="s">
        <v>2042</v>
      </c>
      <c r="E243" t="s">
        <v>2026</v>
      </c>
      <c r="F243" t="s">
        <v>2029</v>
      </c>
      <c r="G243">
        <v>39</v>
      </c>
      <c r="H243" t="str" cm="1">
        <f t="array" ref="H243">_xlfn.IFS(
Table2[[#This Row],[AGE]]&lt;30,"Young",
Table2[[#This Row],[AGE]]&lt;40,"Middle Age",
Table2[[#This Row],[AGE]]&lt;50,"Senior",
TRUE,"Super Senior"
)</f>
        <v>Middle Age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 s="1">
        <v>47174</v>
      </c>
      <c r="P243" s="1">
        <v>47974</v>
      </c>
      <c r="Q243" s="1">
        <v>48630</v>
      </c>
      <c r="R243" s="1">
        <v>50803</v>
      </c>
      <c r="S243" s="1">
        <v>30789</v>
      </c>
      <c r="T243" s="1">
        <v>15874</v>
      </c>
      <c r="U243" s="1">
        <v>1800</v>
      </c>
      <c r="V243" s="1">
        <v>2000</v>
      </c>
      <c r="W243" s="1">
        <v>3000</v>
      </c>
      <c r="X243" s="1">
        <v>2000</v>
      </c>
      <c r="Y243" s="1">
        <v>2000</v>
      </c>
      <c r="Z243" s="1">
        <v>2000</v>
      </c>
      <c r="AA243">
        <v>0</v>
      </c>
      <c r="AB243" t="str">
        <f t="shared" si="3"/>
        <v>Not Defaulter</v>
      </c>
      <c r="AC243" s="1">
        <f>Table2[[#This Row],[BILL_AMT1]]-Table2[[#This Row],[PAY_AMT1]]</f>
        <v>45374</v>
      </c>
      <c r="AD243" s="1" t="str" cm="1">
        <f t="array" ref="AD243">_xlfn.IFS(Table2[[#This Row],[PAYMENT GAP]]&lt;=0,"No Gap / Overpaid",Table2[[#This Row],[PAYMENT GAP]]&lt;=25000,"Low Gap",Table2[[#This Row],[PAYMENT GAP]]&lt;=100000,"Medium Gap",
TRUE,"High Gap"
)</f>
        <v>Medium Gap</v>
      </c>
    </row>
    <row r="244" spans="1:30" x14ac:dyDescent="0.3">
      <c r="A244">
        <v>243</v>
      </c>
      <c r="B244" s="1">
        <v>50000</v>
      </c>
      <c r="C244" s="1" t="str" cm="1">
        <f t="array" ref="C244">_xlfn.IFS(Table2[[#This Row],[LIMIT_BAL]]&lt;=100000,"Low",Table2[[#This Row],[LIMIT_BAL]]&lt;=300000,"Medium",
TRUE,"High"
)</f>
        <v>Low</v>
      </c>
      <c r="D244" t="s">
        <v>2041</v>
      </c>
      <c r="E244" t="s">
        <v>2043</v>
      </c>
      <c r="F244" t="s">
        <v>2029</v>
      </c>
      <c r="G244">
        <v>27</v>
      </c>
      <c r="H244" t="str" cm="1">
        <f t="array" ref="H244">_xlfn.IFS(
Table2[[#This Row],[AGE]]&lt;30,"Young",
Table2[[#This Row],[AGE]]&lt;40,"Middle Age",
Table2[[#This Row],[AGE]]&lt;50,"Senior",
TRUE,"Super Senior"
)</f>
        <v>Young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 s="1">
        <v>26655</v>
      </c>
      <c r="P244" s="1">
        <v>27724</v>
      </c>
      <c r="Q244" s="1">
        <v>28676</v>
      </c>
      <c r="R244" s="1">
        <v>27990</v>
      </c>
      <c r="S244" s="1">
        <v>28790</v>
      </c>
      <c r="T244" s="1">
        <v>29399</v>
      </c>
      <c r="U244" s="1">
        <v>1800</v>
      </c>
      <c r="V244" s="1">
        <v>1750</v>
      </c>
      <c r="W244" s="1">
        <v>900</v>
      </c>
      <c r="X244" s="1">
        <v>1200</v>
      </c>
      <c r="Y244" s="1">
        <v>1200</v>
      </c>
      <c r="Z244" s="1">
        <v>1100</v>
      </c>
      <c r="AA244">
        <v>0</v>
      </c>
      <c r="AB244" t="str">
        <f t="shared" si="3"/>
        <v>Not Defaulter</v>
      </c>
      <c r="AC244" s="1">
        <f>Table2[[#This Row],[BILL_AMT1]]-Table2[[#This Row],[PAY_AMT1]]</f>
        <v>24855</v>
      </c>
      <c r="AD244" s="1" t="str" cm="1">
        <f t="array" ref="AD244">_xlfn.IFS(Table2[[#This Row],[PAYMENT GAP]]&lt;=0,"No Gap / Overpaid",Table2[[#This Row],[PAYMENT GAP]]&lt;=25000,"Low Gap",Table2[[#This Row],[PAYMENT GAP]]&lt;=100000,"Medium Gap",
TRUE,"High Gap"
)</f>
        <v>Low Gap</v>
      </c>
    </row>
    <row r="245" spans="1:30" x14ac:dyDescent="0.3">
      <c r="A245">
        <v>244</v>
      </c>
      <c r="B245" s="1">
        <v>180000</v>
      </c>
      <c r="C245" s="1" t="str" cm="1">
        <f t="array" ref="C245">_xlfn.IFS(Table2[[#This Row],[LIMIT_BAL]]&lt;=100000,"Low",Table2[[#This Row],[LIMIT_BAL]]&lt;=300000,"Medium",
TRUE,"High"
)</f>
        <v>Medium</v>
      </c>
      <c r="D245" t="s">
        <v>2041</v>
      </c>
      <c r="E245" t="s">
        <v>2026</v>
      </c>
      <c r="F245" t="s">
        <v>2029</v>
      </c>
      <c r="G245">
        <v>32</v>
      </c>
      <c r="H245" t="str" cm="1">
        <f t="array" ref="H245">_xlfn.IFS(
Table2[[#This Row],[AGE]]&lt;30,"Young",
Table2[[#This Row],[AGE]]&lt;40,"Middle Age",
Table2[[#This Row],[AGE]]&lt;50,"Senior",
TRUE,"Super Senior"
)</f>
        <v>Middle Age</v>
      </c>
      <c r="I245">
        <v>-1</v>
      </c>
      <c r="J245">
        <v>-1</v>
      </c>
      <c r="K245">
        <v>2</v>
      </c>
      <c r="L245">
        <v>2</v>
      </c>
      <c r="M245">
        <v>-1</v>
      </c>
      <c r="N245">
        <v>-1</v>
      </c>
      <c r="O245" s="1">
        <v>3139</v>
      </c>
      <c r="P245" s="1">
        <v>5853</v>
      </c>
      <c r="Q245" s="1">
        <v>2821</v>
      </c>
      <c r="R245" s="1">
        <v>0</v>
      </c>
      <c r="S245" s="1">
        <v>2821</v>
      </c>
      <c r="T245" s="1">
        <v>0</v>
      </c>
      <c r="U245" s="1">
        <v>2821</v>
      </c>
      <c r="V245" s="1">
        <v>0</v>
      </c>
      <c r="W245" s="1">
        <v>0</v>
      </c>
      <c r="X245" s="1">
        <v>2821</v>
      </c>
      <c r="Y245" s="1">
        <v>0</v>
      </c>
      <c r="Z245" s="1">
        <v>176</v>
      </c>
      <c r="AA245">
        <v>0</v>
      </c>
      <c r="AB245" t="str">
        <f t="shared" si="3"/>
        <v>Not Defaulter</v>
      </c>
      <c r="AC245" s="1">
        <f>Table2[[#This Row],[BILL_AMT1]]-Table2[[#This Row],[PAY_AMT1]]</f>
        <v>318</v>
      </c>
      <c r="AD245" s="1" t="str" cm="1">
        <f t="array" ref="AD245">_xlfn.IFS(Table2[[#This Row],[PAYMENT GAP]]&lt;=0,"No Gap / Overpaid",Table2[[#This Row],[PAYMENT GAP]]&lt;=25000,"Low Gap",Table2[[#This Row],[PAYMENT GAP]]&lt;=100000,"Medium Gap",
TRUE,"High Gap"
)</f>
        <v>Low Gap</v>
      </c>
    </row>
    <row r="246" spans="1:30" x14ac:dyDescent="0.3">
      <c r="A246">
        <v>245</v>
      </c>
      <c r="B246" s="1">
        <v>30000</v>
      </c>
      <c r="C246" s="1" t="str" cm="1">
        <f t="array" ref="C246">_xlfn.IFS(Table2[[#This Row],[LIMIT_BAL]]&lt;=100000,"Low",Table2[[#This Row],[LIMIT_BAL]]&lt;=300000,"Medium",
TRUE,"High"
)</f>
        <v>Low</v>
      </c>
      <c r="D246" t="s">
        <v>2041</v>
      </c>
      <c r="E246" t="s">
        <v>2026</v>
      </c>
      <c r="F246" t="s">
        <v>2029</v>
      </c>
      <c r="G246">
        <v>40</v>
      </c>
      <c r="H246" t="str" cm="1">
        <f t="array" ref="H246">_xlfn.IFS(
Table2[[#This Row],[AGE]]&lt;30,"Young",
Table2[[#This Row],[AGE]]&lt;40,"Middle Age",
Table2[[#This Row],[AGE]]&lt;50,"Senior",
TRUE,"Super Senior"
)</f>
        <v>Senior</v>
      </c>
      <c r="I246">
        <v>-1</v>
      </c>
      <c r="J246">
        <v>-1</v>
      </c>
      <c r="K246">
        <v>2</v>
      </c>
      <c r="L246">
        <v>2</v>
      </c>
      <c r="M246">
        <v>2</v>
      </c>
      <c r="N246">
        <v>2</v>
      </c>
      <c r="O246" s="1">
        <v>142</v>
      </c>
      <c r="P246" s="1">
        <v>215</v>
      </c>
      <c r="Q246" s="1">
        <v>139</v>
      </c>
      <c r="R246" s="1">
        <v>19</v>
      </c>
      <c r="S246" s="1">
        <v>19</v>
      </c>
      <c r="T246" s="1">
        <v>79</v>
      </c>
      <c r="U246" s="1">
        <v>355</v>
      </c>
      <c r="V246" s="1">
        <v>120</v>
      </c>
      <c r="W246" s="1">
        <v>0</v>
      </c>
      <c r="X246" s="1">
        <v>0</v>
      </c>
      <c r="Y246" s="1">
        <v>60</v>
      </c>
      <c r="Z246" s="1">
        <v>60</v>
      </c>
      <c r="AA246">
        <v>0</v>
      </c>
      <c r="AB246" t="str">
        <f t="shared" si="3"/>
        <v>Not Defaulter</v>
      </c>
      <c r="AC246" s="1">
        <f>Table2[[#This Row],[BILL_AMT1]]-Table2[[#This Row],[PAY_AMT1]]</f>
        <v>-213</v>
      </c>
      <c r="AD246" s="1" t="str" cm="1">
        <f t="array" ref="AD246">_xlfn.IFS(Table2[[#This Row],[PAYMENT GAP]]&lt;=0,"No Gap / Overpaid",Table2[[#This Row],[PAYMENT GAP]]&lt;=25000,"Low Gap",Table2[[#This Row],[PAYMENT GAP]]&lt;=100000,"Medium Gap",
TRUE,"High Gap"
)</f>
        <v>No Gap / Overpaid</v>
      </c>
    </row>
    <row r="247" spans="1:30" x14ac:dyDescent="0.3">
      <c r="A247">
        <v>246</v>
      </c>
      <c r="B247" s="1">
        <v>20000</v>
      </c>
      <c r="C247" s="1" t="str" cm="1">
        <f t="array" ref="C247">_xlfn.IFS(Table2[[#This Row],[LIMIT_BAL]]&lt;=100000,"Low",Table2[[#This Row],[LIMIT_BAL]]&lt;=300000,"Medium",
TRUE,"High"
)</f>
        <v>Low</v>
      </c>
      <c r="D247" t="s">
        <v>2041</v>
      </c>
      <c r="E247" t="s">
        <v>2043</v>
      </c>
      <c r="F247" t="s">
        <v>2029</v>
      </c>
      <c r="G247">
        <v>40</v>
      </c>
      <c r="H247" t="str" cm="1">
        <f t="array" ref="H247">_xlfn.IFS(
Table2[[#This Row],[AGE]]&lt;30,"Young",
Table2[[#This Row],[AGE]]&lt;40,"Middle Age",
Table2[[#This Row],[AGE]]&lt;50,"Senior",
TRUE,"Super Senior"
)</f>
        <v>Senior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-2</v>
      </c>
      <c r="O247" s="1">
        <v>19816</v>
      </c>
      <c r="P247" s="1">
        <v>20396</v>
      </c>
      <c r="Q247" s="1">
        <v>20102</v>
      </c>
      <c r="R247" s="1">
        <v>19575</v>
      </c>
      <c r="S247" s="1">
        <v>0</v>
      </c>
      <c r="T247" s="1">
        <v>0</v>
      </c>
      <c r="U247" s="1">
        <v>1601</v>
      </c>
      <c r="V247" s="1">
        <v>2203</v>
      </c>
      <c r="W247" s="1">
        <v>2114</v>
      </c>
      <c r="X247" s="1">
        <v>0</v>
      </c>
      <c r="Y247" s="1">
        <v>0</v>
      </c>
      <c r="Z247" s="1">
        <v>0</v>
      </c>
      <c r="AA247">
        <v>0</v>
      </c>
      <c r="AB247" t="str">
        <f t="shared" si="3"/>
        <v>Not Defaulter</v>
      </c>
      <c r="AC247" s="1">
        <f>Table2[[#This Row],[BILL_AMT1]]-Table2[[#This Row],[PAY_AMT1]]</f>
        <v>18215</v>
      </c>
      <c r="AD247" s="1" t="str" cm="1">
        <f t="array" ref="AD247">_xlfn.IFS(Table2[[#This Row],[PAYMENT GAP]]&lt;=0,"No Gap / Overpaid",Table2[[#This Row],[PAYMENT GAP]]&lt;=25000,"Low Gap",Table2[[#This Row],[PAYMENT GAP]]&lt;=100000,"Medium Gap",
TRUE,"High Gap"
)</f>
        <v>Low Gap</v>
      </c>
    </row>
    <row r="248" spans="1:30" x14ac:dyDescent="0.3">
      <c r="A248">
        <v>247</v>
      </c>
      <c r="B248" s="1">
        <v>250000</v>
      </c>
      <c r="C248" s="1" t="str" cm="1">
        <f t="array" ref="C248">_xlfn.IFS(Table2[[#This Row],[LIMIT_BAL]]&lt;=100000,"Low",Table2[[#This Row],[LIMIT_BAL]]&lt;=300000,"Medium",
TRUE,"High"
)</f>
        <v>Medium</v>
      </c>
      <c r="D248" t="s">
        <v>2041</v>
      </c>
      <c r="E248" t="s">
        <v>2043</v>
      </c>
      <c r="F248" t="s">
        <v>2028</v>
      </c>
      <c r="G248">
        <v>75</v>
      </c>
      <c r="H248" t="str" cm="1">
        <f t="array" ref="H248">_xlfn.IFS(
Table2[[#This Row],[AGE]]&lt;30,"Young",
Table2[[#This Row],[AGE]]&lt;40,"Middle Age",
Table2[[#This Row],[AGE]]&lt;50,"Senior",
TRUE,"Super Senior"
)</f>
        <v>Super Senior</v>
      </c>
      <c r="I248">
        <v>0</v>
      </c>
      <c r="J248">
        <v>-1</v>
      </c>
      <c r="K248">
        <v>-1</v>
      </c>
      <c r="L248">
        <v>-1</v>
      </c>
      <c r="M248">
        <v>-1</v>
      </c>
      <c r="N248">
        <v>-1</v>
      </c>
      <c r="O248" s="1">
        <v>52874</v>
      </c>
      <c r="P248" s="1">
        <v>1631</v>
      </c>
      <c r="Q248" s="1">
        <v>1536</v>
      </c>
      <c r="R248" s="1">
        <v>1010</v>
      </c>
      <c r="S248" s="1">
        <v>5572</v>
      </c>
      <c r="T248" s="1">
        <v>794</v>
      </c>
      <c r="U248" s="1">
        <v>1631</v>
      </c>
      <c r="V248" s="1">
        <v>1536</v>
      </c>
      <c r="W248" s="1">
        <v>1010</v>
      </c>
      <c r="X248" s="1">
        <v>5572</v>
      </c>
      <c r="Y248" s="1">
        <v>794</v>
      </c>
      <c r="Z248" s="1">
        <v>1184</v>
      </c>
      <c r="AA248">
        <v>0</v>
      </c>
      <c r="AB248" t="str">
        <f t="shared" si="3"/>
        <v>Not Defaulter</v>
      </c>
      <c r="AC248" s="1">
        <f>Table2[[#This Row],[BILL_AMT1]]-Table2[[#This Row],[PAY_AMT1]]</f>
        <v>51243</v>
      </c>
      <c r="AD248" s="1" t="str" cm="1">
        <f t="array" ref="AD248">_xlfn.IFS(Table2[[#This Row],[PAYMENT GAP]]&lt;=0,"No Gap / Overpaid",Table2[[#This Row],[PAYMENT GAP]]&lt;=25000,"Low Gap",Table2[[#This Row],[PAYMENT GAP]]&lt;=100000,"Medium Gap",
TRUE,"High Gap"
)</f>
        <v>Medium Gap</v>
      </c>
    </row>
    <row r="249" spans="1:30" x14ac:dyDescent="0.3">
      <c r="A249">
        <v>248</v>
      </c>
      <c r="B249" s="1">
        <v>100000</v>
      </c>
      <c r="C249" s="1" t="str" cm="1">
        <f t="array" ref="C249">_xlfn.IFS(Table2[[#This Row],[LIMIT_BAL]]&lt;=100000,"Low",Table2[[#This Row],[LIMIT_BAL]]&lt;=300000,"Medium",
TRUE,"High"
)</f>
        <v>Low</v>
      </c>
      <c r="D249" t="s">
        <v>2041</v>
      </c>
      <c r="E249" t="s">
        <v>2043</v>
      </c>
      <c r="F249" t="s">
        <v>2029</v>
      </c>
      <c r="G249">
        <v>27</v>
      </c>
      <c r="H249" t="str" cm="1">
        <f t="array" ref="H249">_xlfn.IFS(
Table2[[#This Row],[AGE]]&lt;30,"Young",
Table2[[#This Row],[AGE]]&lt;40,"Middle Age",
Table2[[#This Row],[AGE]]&lt;50,"Senior",
TRUE,"Super Senior"
)</f>
        <v>Young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 s="1">
        <v>37767</v>
      </c>
      <c r="P249" s="1">
        <v>34457</v>
      </c>
      <c r="Q249" s="1">
        <v>30036</v>
      </c>
      <c r="R249" s="1">
        <v>30337</v>
      </c>
      <c r="S249" s="1">
        <v>30997</v>
      </c>
      <c r="T249" s="1">
        <v>32904</v>
      </c>
      <c r="U249" s="1">
        <v>1788</v>
      </c>
      <c r="V249" s="1">
        <v>1799</v>
      </c>
      <c r="W249" s="1">
        <v>1100</v>
      </c>
      <c r="X249" s="1">
        <v>1150</v>
      </c>
      <c r="Y249" s="1">
        <v>2423</v>
      </c>
      <c r="Z249" s="1">
        <v>0</v>
      </c>
      <c r="AA249">
        <v>0</v>
      </c>
      <c r="AB249" t="str">
        <f t="shared" si="3"/>
        <v>Not Defaulter</v>
      </c>
      <c r="AC249" s="1">
        <f>Table2[[#This Row],[BILL_AMT1]]-Table2[[#This Row],[PAY_AMT1]]</f>
        <v>35979</v>
      </c>
      <c r="AD249" s="1" t="str" cm="1">
        <f t="array" ref="AD249">_xlfn.IFS(Table2[[#This Row],[PAYMENT GAP]]&lt;=0,"No Gap / Overpaid",Table2[[#This Row],[PAYMENT GAP]]&lt;=25000,"Low Gap",Table2[[#This Row],[PAYMENT GAP]]&lt;=100000,"Medium Gap",
TRUE,"High Gap"
)</f>
        <v>Medium Gap</v>
      </c>
    </row>
    <row r="250" spans="1:30" x14ac:dyDescent="0.3">
      <c r="A250">
        <v>249</v>
      </c>
      <c r="B250" s="1">
        <v>330000</v>
      </c>
      <c r="C250" s="1" t="str" cm="1">
        <f t="array" ref="C250">_xlfn.IFS(Table2[[#This Row],[LIMIT_BAL]]&lt;=100000,"Low",Table2[[#This Row],[LIMIT_BAL]]&lt;=300000,"Medium",
TRUE,"High"
)</f>
        <v>High</v>
      </c>
      <c r="D250" t="s">
        <v>2042</v>
      </c>
      <c r="E250" t="s">
        <v>2026</v>
      </c>
      <c r="F250" t="s">
        <v>2029</v>
      </c>
      <c r="G250">
        <v>25</v>
      </c>
      <c r="H250" t="str" cm="1">
        <f t="array" ref="H250">_xlfn.IFS(
Table2[[#This Row],[AGE]]&lt;30,"Young",
Table2[[#This Row],[AGE]]&lt;40,"Middle Age",
Table2[[#This Row],[AGE]]&lt;50,"Senior",
TRUE,"Super Senior"
)</f>
        <v>Young</v>
      </c>
      <c r="I250">
        <v>0</v>
      </c>
      <c r="J250">
        <v>0</v>
      </c>
      <c r="K250">
        <v>0</v>
      </c>
      <c r="L250">
        <v>0</v>
      </c>
      <c r="M250">
        <v>2</v>
      </c>
      <c r="N250">
        <v>0</v>
      </c>
      <c r="O250" s="1">
        <v>46140</v>
      </c>
      <c r="P250" s="1">
        <v>45781</v>
      </c>
      <c r="Q250" s="1">
        <v>48139</v>
      </c>
      <c r="R250" s="1">
        <v>51137</v>
      </c>
      <c r="S250" s="1">
        <v>39450</v>
      </c>
      <c r="T250" s="1">
        <v>25358</v>
      </c>
      <c r="U250" s="1">
        <v>2504</v>
      </c>
      <c r="V250" s="1">
        <v>4007</v>
      </c>
      <c r="W250" s="1">
        <v>5056</v>
      </c>
      <c r="X250" s="1">
        <v>74</v>
      </c>
      <c r="Y250" s="1">
        <v>1023</v>
      </c>
      <c r="Z250" s="1">
        <v>2566</v>
      </c>
      <c r="AA250">
        <v>0</v>
      </c>
      <c r="AB250" t="str">
        <f t="shared" si="3"/>
        <v>Not Defaulter</v>
      </c>
      <c r="AC250" s="1">
        <f>Table2[[#This Row],[BILL_AMT1]]-Table2[[#This Row],[PAY_AMT1]]</f>
        <v>43636</v>
      </c>
      <c r="AD250" s="1" t="str" cm="1">
        <f t="array" ref="AD250">_xlfn.IFS(Table2[[#This Row],[PAYMENT GAP]]&lt;=0,"No Gap / Overpaid",Table2[[#This Row],[PAYMENT GAP]]&lt;=25000,"Low Gap",Table2[[#This Row],[PAYMENT GAP]]&lt;=100000,"Medium Gap",
TRUE,"High Gap"
)</f>
        <v>Medium Gap</v>
      </c>
    </row>
    <row r="251" spans="1:30" x14ac:dyDescent="0.3">
      <c r="A251">
        <v>250</v>
      </c>
      <c r="B251" s="1">
        <v>50000</v>
      </c>
      <c r="C251" s="1" t="str" cm="1">
        <f t="array" ref="C251">_xlfn.IFS(Table2[[#This Row],[LIMIT_BAL]]&lt;=100000,"Low",Table2[[#This Row],[LIMIT_BAL]]&lt;=300000,"Medium",
TRUE,"High"
)</f>
        <v>Low</v>
      </c>
      <c r="D251" t="s">
        <v>2042</v>
      </c>
      <c r="E251" t="s">
        <v>2027</v>
      </c>
      <c r="F251" t="s">
        <v>2028</v>
      </c>
      <c r="G251">
        <v>46</v>
      </c>
      <c r="H251" t="str" cm="1">
        <f t="array" ref="H251">_xlfn.IFS(
Table2[[#This Row],[AGE]]&lt;30,"Young",
Table2[[#This Row],[AGE]]&lt;40,"Middle Age",
Table2[[#This Row],[AGE]]&lt;50,"Senior",
TRUE,"Super Senior"
)</f>
        <v>Senior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 s="1">
        <v>35713</v>
      </c>
      <c r="P251" s="1">
        <v>15392</v>
      </c>
      <c r="Q251" s="1">
        <v>16099</v>
      </c>
      <c r="R251" s="1">
        <v>16418</v>
      </c>
      <c r="S251" s="1">
        <v>16765</v>
      </c>
      <c r="T251" s="1">
        <v>17484</v>
      </c>
      <c r="U251" s="1">
        <v>1561</v>
      </c>
      <c r="V251" s="1">
        <v>1268</v>
      </c>
      <c r="W251" s="1">
        <v>587</v>
      </c>
      <c r="X251" s="1">
        <v>611</v>
      </c>
      <c r="Y251" s="1">
        <v>1000</v>
      </c>
      <c r="Z251" s="1">
        <v>2000</v>
      </c>
      <c r="AA251">
        <v>0</v>
      </c>
      <c r="AB251" t="str">
        <f t="shared" si="3"/>
        <v>Not Defaulter</v>
      </c>
      <c r="AC251" s="1">
        <f>Table2[[#This Row],[BILL_AMT1]]-Table2[[#This Row],[PAY_AMT1]]</f>
        <v>34152</v>
      </c>
      <c r="AD251" s="1" t="str" cm="1">
        <f t="array" ref="AD251">_xlfn.IFS(Table2[[#This Row],[PAYMENT GAP]]&lt;=0,"No Gap / Overpaid",Table2[[#This Row],[PAYMENT GAP]]&lt;=25000,"Low Gap",Table2[[#This Row],[PAYMENT GAP]]&lt;=100000,"Medium Gap",
TRUE,"High Gap"
)</f>
        <v>Medium Gap</v>
      </c>
    </row>
    <row r="252" spans="1:30" x14ac:dyDescent="0.3">
      <c r="A252">
        <v>251</v>
      </c>
      <c r="B252" s="1">
        <v>50000</v>
      </c>
      <c r="C252" s="1" t="str" cm="1">
        <f t="array" ref="C252">_xlfn.IFS(Table2[[#This Row],[LIMIT_BAL]]&lt;=100000,"Low",Table2[[#This Row],[LIMIT_BAL]]&lt;=300000,"Medium",
TRUE,"High"
)</f>
        <v>Low</v>
      </c>
      <c r="D252" t="s">
        <v>2041</v>
      </c>
      <c r="E252" t="s">
        <v>2043</v>
      </c>
      <c r="F252" t="s">
        <v>2029</v>
      </c>
      <c r="G252">
        <v>26</v>
      </c>
      <c r="H252" t="str" cm="1">
        <f t="array" ref="H252">_xlfn.IFS(
Table2[[#This Row],[AGE]]&lt;30,"Young",
Table2[[#This Row],[AGE]]&lt;40,"Middle Age",
Table2[[#This Row],[AGE]]&lt;50,"Senior",
TRUE,"Super Senior"
)</f>
        <v>Young</v>
      </c>
      <c r="I252">
        <v>1</v>
      </c>
      <c r="J252">
        <v>2</v>
      </c>
      <c r="K252">
        <v>2</v>
      </c>
      <c r="L252">
        <v>0</v>
      </c>
      <c r="M252">
        <v>0</v>
      </c>
      <c r="N252">
        <v>0</v>
      </c>
      <c r="O252" s="1">
        <v>50867</v>
      </c>
      <c r="P252" s="1">
        <v>51486</v>
      </c>
      <c r="Q252" s="1">
        <v>48869</v>
      </c>
      <c r="R252" s="1">
        <v>30115</v>
      </c>
      <c r="S252" s="1">
        <v>29527</v>
      </c>
      <c r="T252" s="1">
        <v>29998</v>
      </c>
      <c r="U252" s="1">
        <v>1710</v>
      </c>
      <c r="V252" s="1">
        <v>136</v>
      </c>
      <c r="W252" s="1">
        <v>1206</v>
      </c>
      <c r="X252" s="1">
        <v>2002</v>
      </c>
      <c r="Y252" s="1">
        <v>2005</v>
      </c>
      <c r="Z252" s="1">
        <v>3003</v>
      </c>
      <c r="AA252">
        <v>0</v>
      </c>
      <c r="AB252" t="str">
        <f t="shared" si="3"/>
        <v>Not Defaulter</v>
      </c>
      <c r="AC252" s="1">
        <f>Table2[[#This Row],[BILL_AMT1]]-Table2[[#This Row],[PAY_AMT1]]</f>
        <v>49157</v>
      </c>
      <c r="AD252" s="1" t="str" cm="1">
        <f t="array" ref="AD252">_xlfn.IFS(Table2[[#This Row],[PAYMENT GAP]]&lt;=0,"No Gap / Overpaid",Table2[[#This Row],[PAYMENT GAP]]&lt;=25000,"Low Gap",Table2[[#This Row],[PAYMENT GAP]]&lt;=100000,"Medium Gap",
TRUE,"High Gap"
)</f>
        <v>Medium Gap</v>
      </c>
    </row>
    <row r="253" spans="1:30" x14ac:dyDescent="0.3">
      <c r="A253">
        <v>252</v>
      </c>
      <c r="B253" s="1">
        <v>30000</v>
      </c>
      <c r="C253" s="1" t="str" cm="1">
        <f t="array" ref="C253">_xlfn.IFS(Table2[[#This Row],[LIMIT_BAL]]&lt;=100000,"Low",Table2[[#This Row],[LIMIT_BAL]]&lt;=300000,"Medium",
TRUE,"High"
)</f>
        <v>Low</v>
      </c>
      <c r="D253" t="s">
        <v>2042</v>
      </c>
      <c r="E253" t="s">
        <v>2043</v>
      </c>
      <c r="F253" t="s">
        <v>2029</v>
      </c>
      <c r="G253">
        <v>28</v>
      </c>
      <c r="H253" t="str" cm="1">
        <f t="array" ref="H253">_xlfn.IFS(
Table2[[#This Row],[AGE]]&lt;30,"Young",
Table2[[#This Row],[AGE]]&lt;40,"Middle Age",
Table2[[#This Row],[AGE]]&lt;50,"Senior",
TRUE,"Super Senior"
)</f>
        <v>Young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 s="1">
        <v>29242</v>
      </c>
      <c r="P253" s="1">
        <v>29507</v>
      </c>
      <c r="Q253" s="1">
        <v>29155</v>
      </c>
      <c r="R253" s="1">
        <v>25255</v>
      </c>
      <c r="S253" s="1">
        <v>22001</v>
      </c>
      <c r="T253" s="1">
        <v>0</v>
      </c>
      <c r="U253" s="1">
        <v>5006</v>
      </c>
      <c r="V253" s="1">
        <v>1244</v>
      </c>
      <c r="W253" s="1">
        <v>851</v>
      </c>
      <c r="X253" s="1">
        <v>955</v>
      </c>
      <c r="Y253" s="1">
        <v>0</v>
      </c>
      <c r="Z253" s="1">
        <v>0</v>
      </c>
      <c r="AA253">
        <v>0</v>
      </c>
      <c r="AB253" t="str">
        <f t="shared" si="3"/>
        <v>Not Defaulter</v>
      </c>
      <c r="AC253" s="1">
        <f>Table2[[#This Row],[BILL_AMT1]]-Table2[[#This Row],[PAY_AMT1]]</f>
        <v>24236</v>
      </c>
      <c r="AD253" s="1" t="str" cm="1">
        <f t="array" ref="AD253">_xlfn.IFS(Table2[[#This Row],[PAYMENT GAP]]&lt;=0,"No Gap / Overpaid",Table2[[#This Row],[PAYMENT GAP]]&lt;=25000,"Low Gap",Table2[[#This Row],[PAYMENT GAP]]&lt;=100000,"Medium Gap",
TRUE,"High Gap"
)</f>
        <v>Low Gap</v>
      </c>
    </row>
    <row r="254" spans="1:30" x14ac:dyDescent="0.3">
      <c r="A254">
        <v>253</v>
      </c>
      <c r="B254" s="1">
        <v>140000</v>
      </c>
      <c r="C254" s="1" t="str" cm="1">
        <f t="array" ref="C254">_xlfn.IFS(Table2[[#This Row],[LIMIT_BAL]]&lt;=100000,"Low",Table2[[#This Row],[LIMIT_BAL]]&lt;=300000,"Medium",
TRUE,"High"
)</f>
        <v>Medium</v>
      </c>
      <c r="D254" t="s">
        <v>2041</v>
      </c>
      <c r="E254" t="s">
        <v>2043</v>
      </c>
      <c r="F254" t="s">
        <v>2029</v>
      </c>
      <c r="G254">
        <v>26</v>
      </c>
      <c r="H254" t="str" cm="1">
        <f t="array" ref="H254">_xlfn.IFS(
Table2[[#This Row],[AGE]]&lt;30,"Young",
Table2[[#This Row],[AGE]]&lt;40,"Middle Age",
Table2[[#This Row],[AGE]]&lt;50,"Senior",
TRUE,"Super Senior"
)</f>
        <v>Young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s="1">
        <v>101551</v>
      </c>
      <c r="P254" s="1">
        <v>105246</v>
      </c>
      <c r="Q254" s="1">
        <v>104781</v>
      </c>
      <c r="R254" s="1">
        <v>105334</v>
      </c>
      <c r="S254" s="1">
        <v>107699</v>
      </c>
      <c r="T254" s="1">
        <v>106828</v>
      </c>
      <c r="U254" s="1">
        <v>5366</v>
      </c>
      <c r="V254" s="1">
        <v>5087</v>
      </c>
      <c r="W254" s="1">
        <v>3605</v>
      </c>
      <c r="X254" s="1">
        <v>3894</v>
      </c>
      <c r="Y254" s="1">
        <v>3785</v>
      </c>
      <c r="Z254" s="1">
        <v>3304</v>
      </c>
      <c r="AA254">
        <v>1</v>
      </c>
      <c r="AB254" t="str">
        <f t="shared" si="3"/>
        <v>Defaulter</v>
      </c>
      <c r="AC254" s="1">
        <f>Table2[[#This Row],[BILL_AMT1]]-Table2[[#This Row],[PAY_AMT1]]</f>
        <v>96185</v>
      </c>
      <c r="AD254" s="1" t="str" cm="1">
        <f t="array" ref="AD254">_xlfn.IFS(Table2[[#This Row],[PAYMENT GAP]]&lt;=0,"No Gap / Overpaid",Table2[[#This Row],[PAYMENT GAP]]&lt;=25000,"Low Gap",Table2[[#This Row],[PAYMENT GAP]]&lt;=100000,"Medium Gap",
TRUE,"High Gap"
)</f>
        <v>Medium Gap</v>
      </c>
    </row>
    <row r="255" spans="1:30" x14ac:dyDescent="0.3">
      <c r="A255">
        <v>254</v>
      </c>
      <c r="B255" s="1">
        <v>160000</v>
      </c>
      <c r="C255" s="1" t="str" cm="1">
        <f t="array" ref="C255">_xlfn.IFS(Table2[[#This Row],[LIMIT_BAL]]&lt;=100000,"Low",Table2[[#This Row],[LIMIT_BAL]]&lt;=300000,"Medium",
TRUE,"High"
)</f>
        <v>Medium</v>
      </c>
      <c r="D255" t="s">
        <v>2041</v>
      </c>
      <c r="E255" t="s">
        <v>2026</v>
      </c>
      <c r="F255" t="s">
        <v>2029</v>
      </c>
      <c r="G255">
        <v>28</v>
      </c>
      <c r="H255" t="str" cm="1">
        <f t="array" ref="H255">_xlfn.IFS(
Table2[[#This Row],[AGE]]&lt;30,"Young",
Table2[[#This Row],[AGE]]&lt;40,"Middle Age",
Table2[[#This Row],[AGE]]&lt;50,"Senior",
TRUE,"Super Senior"
)</f>
        <v>Young</v>
      </c>
      <c r="I255">
        <v>0</v>
      </c>
      <c r="J255">
        <v>0</v>
      </c>
      <c r="K255">
        <v>0</v>
      </c>
      <c r="L255">
        <v>0</v>
      </c>
      <c r="M255">
        <v>-1</v>
      </c>
      <c r="N255">
        <v>0</v>
      </c>
      <c r="O255" s="1">
        <v>70243</v>
      </c>
      <c r="P255" s="1">
        <v>47779</v>
      </c>
      <c r="Q255" s="1">
        <v>28052</v>
      </c>
      <c r="R255" s="1">
        <v>7222</v>
      </c>
      <c r="S255" s="1">
        <v>99669</v>
      </c>
      <c r="T255" s="1">
        <v>84426</v>
      </c>
      <c r="U255" s="1">
        <v>7042</v>
      </c>
      <c r="V255" s="1">
        <v>2000</v>
      </c>
      <c r="W255" s="1">
        <v>1000</v>
      </c>
      <c r="X255" s="1">
        <v>99669</v>
      </c>
      <c r="Y255" s="1">
        <v>12600</v>
      </c>
      <c r="Z255" s="1">
        <v>10000</v>
      </c>
      <c r="AA255">
        <v>0</v>
      </c>
      <c r="AB255" t="str">
        <f t="shared" si="3"/>
        <v>Not Defaulter</v>
      </c>
      <c r="AC255" s="1">
        <f>Table2[[#This Row],[BILL_AMT1]]-Table2[[#This Row],[PAY_AMT1]]</f>
        <v>63201</v>
      </c>
      <c r="AD255" s="1" t="str" cm="1">
        <f t="array" ref="AD255">_xlfn.IFS(Table2[[#This Row],[PAYMENT GAP]]&lt;=0,"No Gap / Overpaid",Table2[[#This Row],[PAYMENT GAP]]&lt;=25000,"Low Gap",Table2[[#This Row],[PAYMENT GAP]]&lt;=100000,"Medium Gap",
TRUE,"High Gap"
)</f>
        <v>Medium Gap</v>
      </c>
    </row>
    <row r="256" spans="1:30" x14ac:dyDescent="0.3">
      <c r="A256">
        <v>255</v>
      </c>
      <c r="B256" s="1">
        <v>400000</v>
      </c>
      <c r="C256" s="1" t="str" cm="1">
        <f t="array" ref="C256">_xlfn.IFS(Table2[[#This Row],[LIMIT_BAL]]&lt;=100000,"Low",Table2[[#This Row],[LIMIT_BAL]]&lt;=300000,"Medium",
TRUE,"High"
)</f>
        <v>High</v>
      </c>
      <c r="D256" t="s">
        <v>2041</v>
      </c>
      <c r="E256" t="s">
        <v>2043</v>
      </c>
      <c r="F256" t="s">
        <v>2029</v>
      </c>
      <c r="G256">
        <v>29</v>
      </c>
      <c r="H256" t="str" cm="1">
        <f t="array" ref="H256">_xlfn.IFS(
Table2[[#This Row],[AGE]]&lt;30,"Young",
Table2[[#This Row],[AGE]]&lt;40,"Middle Age",
Table2[[#This Row],[AGE]]&lt;50,"Senior",
TRUE,"Super Senior"
)</f>
        <v>Young</v>
      </c>
      <c r="I256">
        <v>-1</v>
      </c>
      <c r="J256">
        <v>0</v>
      </c>
      <c r="K256">
        <v>-1</v>
      </c>
      <c r="L256">
        <v>-1</v>
      </c>
      <c r="M256">
        <v>-1</v>
      </c>
      <c r="N256">
        <v>-1</v>
      </c>
      <c r="O256" s="1">
        <v>19532</v>
      </c>
      <c r="P256" s="1">
        <v>3719</v>
      </c>
      <c r="Q256" s="1">
        <v>1453</v>
      </c>
      <c r="R256" s="1">
        <v>4944</v>
      </c>
      <c r="S256" s="1">
        <v>1896</v>
      </c>
      <c r="T256" s="1">
        <v>2486</v>
      </c>
      <c r="U256" s="1">
        <v>3127</v>
      </c>
      <c r="V256" s="1">
        <v>1469</v>
      </c>
      <c r="W256" s="1">
        <v>4968</v>
      </c>
      <c r="X256" s="1">
        <v>1905</v>
      </c>
      <c r="Y256" s="1">
        <v>2494</v>
      </c>
      <c r="Z256" s="1">
        <v>862</v>
      </c>
      <c r="AA256">
        <v>0</v>
      </c>
      <c r="AB256" t="str">
        <f t="shared" si="3"/>
        <v>Not Defaulter</v>
      </c>
      <c r="AC256" s="1">
        <f>Table2[[#This Row],[BILL_AMT1]]-Table2[[#This Row],[PAY_AMT1]]</f>
        <v>16405</v>
      </c>
      <c r="AD256" s="1" t="str" cm="1">
        <f t="array" ref="AD256">_xlfn.IFS(Table2[[#This Row],[PAYMENT GAP]]&lt;=0,"No Gap / Overpaid",Table2[[#This Row],[PAYMENT GAP]]&lt;=25000,"Low Gap",Table2[[#This Row],[PAYMENT GAP]]&lt;=100000,"Medium Gap",
TRUE,"High Gap"
)</f>
        <v>Low Gap</v>
      </c>
    </row>
    <row r="257" spans="1:30" x14ac:dyDescent="0.3">
      <c r="A257">
        <v>256</v>
      </c>
      <c r="B257" s="1">
        <v>50000</v>
      </c>
      <c r="C257" s="1" t="str" cm="1">
        <f t="array" ref="C257">_xlfn.IFS(Table2[[#This Row],[LIMIT_BAL]]&lt;=100000,"Low",Table2[[#This Row],[LIMIT_BAL]]&lt;=300000,"Medium",
TRUE,"High"
)</f>
        <v>Low</v>
      </c>
      <c r="D257" t="s">
        <v>2042</v>
      </c>
      <c r="E257" t="s">
        <v>2043</v>
      </c>
      <c r="F257" t="s">
        <v>2028</v>
      </c>
      <c r="G257">
        <v>25</v>
      </c>
      <c r="H257" t="str" cm="1">
        <f t="array" ref="H257">_xlfn.IFS(
Table2[[#This Row],[AGE]]&lt;30,"Young",
Table2[[#This Row],[AGE]]&lt;40,"Middle Age",
Table2[[#This Row],[AGE]]&lt;50,"Senior",
TRUE,"Super Senior"
)</f>
        <v>Young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 s="1">
        <v>27699</v>
      </c>
      <c r="P257" s="1">
        <v>28513</v>
      </c>
      <c r="Q257" s="1">
        <v>29341</v>
      </c>
      <c r="R257" s="1">
        <v>29928</v>
      </c>
      <c r="S257" s="1">
        <v>29533</v>
      </c>
      <c r="T257" s="1">
        <v>28538</v>
      </c>
      <c r="U257" s="1">
        <v>1565</v>
      </c>
      <c r="V257" s="1">
        <v>1393</v>
      </c>
      <c r="W257" s="1">
        <v>980</v>
      </c>
      <c r="X257" s="1">
        <v>994</v>
      </c>
      <c r="Y257" s="1">
        <v>1024</v>
      </c>
      <c r="Z257" s="1">
        <v>886</v>
      </c>
      <c r="AA257">
        <v>0</v>
      </c>
      <c r="AB257" t="str">
        <f t="shared" si="3"/>
        <v>Not Defaulter</v>
      </c>
      <c r="AC257" s="1">
        <f>Table2[[#This Row],[BILL_AMT1]]-Table2[[#This Row],[PAY_AMT1]]</f>
        <v>26134</v>
      </c>
      <c r="AD257" s="1" t="str" cm="1">
        <f t="array" ref="AD257">_xlfn.IFS(Table2[[#This Row],[PAYMENT GAP]]&lt;=0,"No Gap / Overpaid",Table2[[#This Row],[PAYMENT GAP]]&lt;=25000,"Low Gap",Table2[[#This Row],[PAYMENT GAP]]&lt;=100000,"Medium Gap",
TRUE,"High Gap"
)</f>
        <v>Medium Gap</v>
      </c>
    </row>
    <row r="258" spans="1:30" x14ac:dyDescent="0.3">
      <c r="A258">
        <v>257</v>
      </c>
      <c r="B258" s="1">
        <v>140000</v>
      </c>
      <c r="C258" s="1" t="str" cm="1">
        <f t="array" ref="C258">_xlfn.IFS(Table2[[#This Row],[LIMIT_BAL]]&lt;=100000,"Low",Table2[[#This Row],[LIMIT_BAL]]&lt;=300000,"Medium",
TRUE,"High"
)</f>
        <v>Medium</v>
      </c>
      <c r="D258" t="s">
        <v>2041</v>
      </c>
      <c r="E258" t="s">
        <v>2043</v>
      </c>
      <c r="F258" t="s">
        <v>2028</v>
      </c>
      <c r="G258">
        <v>48</v>
      </c>
      <c r="H258" t="str" cm="1">
        <f t="array" ref="H258">_xlfn.IFS(
Table2[[#This Row],[AGE]]&lt;30,"Young",
Table2[[#This Row],[AGE]]&lt;40,"Middle Age",
Table2[[#This Row],[AGE]]&lt;50,"Senior",
TRUE,"Super Senior"
)</f>
        <v>Senior</v>
      </c>
      <c r="I258">
        <v>0</v>
      </c>
      <c r="J258">
        <v>-1</v>
      </c>
      <c r="K258">
        <v>-1</v>
      </c>
      <c r="L258">
        <v>-1</v>
      </c>
      <c r="M258">
        <v>-1</v>
      </c>
      <c r="N258">
        <v>-1</v>
      </c>
      <c r="O258" s="1">
        <v>1154</v>
      </c>
      <c r="P258" s="1">
        <v>1233</v>
      </c>
      <c r="Q258" s="1">
        <v>862</v>
      </c>
      <c r="R258" s="1">
        <v>1355</v>
      </c>
      <c r="S258" s="1">
        <v>1130</v>
      </c>
      <c r="T258" s="1">
        <v>21361</v>
      </c>
      <c r="U258" s="1">
        <v>1233</v>
      </c>
      <c r="V258" s="1">
        <v>1075</v>
      </c>
      <c r="W258" s="1">
        <v>1355</v>
      </c>
      <c r="X258" s="1">
        <v>1130</v>
      </c>
      <c r="Y258" s="1">
        <v>21361</v>
      </c>
      <c r="Z258" s="1">
        <v>1347</v>
      </c>
      <c r="AA258">
        <v>0</v>
      </c>
      <c r="AB258" t="str">
        <f t="shared" si="3"/>
        <v>Not Defaulter</v>
      </c>
      <c r="AC258" s="1">
        <f>Table2[[#This Row],[BILL_AMT1]]-Table2[[#This Row],[PAY_AMT1]]</f>
        <v>-79</v>
      </c>
      <c r="AD258" s="1" t="str" cm="1">
        <f t="array" ref="AD258">_xlfn.IFS(Table2[[#This Row],[PAYMENT GAP]]&lt;=0,"No Gap / Overpaid",Table2[[#This Row],[PAYMENT GAP]]&lt;=25000,"Low Gap",Table2[[#This Row],[PAYMENT GAP]]&lt;=100000,"Medium Gap",
TRUE,"High Gap"
)</f>
        <v>No Gap / Overpaid</v>
      </c>
    </row>
    <row r="259" spans="1:30" x14ac:dyDescent="0.3">
      <c r="A259">
        <v>258</v>
      </c>
      <c r="B259" s="1">
        <v>160000</v>
      </c>
      <c r="C259" s="1" t="str" cm="1">
        <f t="array" ref="C259">_xlfn.IFS(Table2[[#This Row],[LIMIT_BAL]]&lt;=100000,"Low",Table2[[#This Row],[LIMIT_BAL]]&lt;=300000,"Medium",
TRUE,"High"
)</f>
        <v>Medium</v>
      </c>
      <c r="D259" t="s">
        <v>2041</v>
      </c>
      <c r="E259" t="s">
        <v>2043</v>
      </c>
      <c r="F259" t="s">
        <v>2028</v>
      </c>
      <c r="G259">
        <v>33</v>
      </c>
      <c r="H259" t="str" cm="1">
        <f t="array" ref="H259">_xlfn.IFS(
Table2[[#This Row],[AGE]]&lt;30,"Young",
Table2[[#This Row],[AGE]]&lt;40,"Middle Age",
Table2[[#This Row],[AGE]]&lt;50,"Senior",
TRUE,"Super Senior"
)</f>
        <v>Middle Age</v>
      </c>
      <c r="I259">
        <v>-1</v>
      </c>
      <c r="J259">
        <v>-1</v>
      </c>
      <c r="K259">
        <v>-1</v>
      </c>
      <c r="L259">
        <v>-1</v>
      </c>
      <c r="M259">
        <v>0</v>
      </c>
      <c r="N259">
        <v>-1</v>
      </c>
      <c r="O259" s="1">
        <v>8015</v>
      </c>
      <c r="P259" s="1">
        <v>2453</v>
      </c>
      <c r="Q259" s="1">
        <v>9624</v>
      </c>
      <c r="R259" s="1">
        <v>52572</v>
      </c>
      <c r="S259" s="1">
        <v>7333</v>
      </c>
      <c r="T259" s="1">
        <v>2210</v>
      </c>
      <c r="U259" s="1">
        <v>2453</v>
      </c>
      <c r="V259" s="1">
        <v>9880</v>
      </c>
      <c r="W259" s="1">
        <v>52572</v>
      </c>
      <c r="X259" s="1">
        <v>1546</v>
      </c>
      <c r="Y259" s="1">
        <v>2210</v>
      </c>
      <c r="Z259" s="1">
        <v>0</v>
      </c>
      <c r="AA259">
        <v>0</v>
      </c>
      <c r="AB259" t="str">
        <f t="shared" ref="AB259:AB322" si="4">IF(AA259=1,"Defaulter","Not Defaulter")</f>
        <v>Not Defaulter</v>
      </c>
      <c r="AC259" s="1">
        <f>Table2[[#This Row],[BILL_AMT1]]-Table2[[#This Row],[PAY_AMT1]]</f>
        <v>5562</v>
      </c>
      <c r="AD259" s="1" t="str" cm="1">
        <f t="array" ref="AD259">_xlfn.IFS(Table2[[#This Row],[PAYMENT GAP]]&lt;=0,"No Gap / Overpaid",Table2[[#This Row],[PAYMENT GAP]]&lt;=25000,"Low Gap",Table2[[#This Row],[PAYMENT GAP]]&lt;=100000,"Medium Gap",
TRUE,"High Gap"
)</f>
        <v>Low Gap</v>
      </c>
    </row>
    <row r="260" spans="1:30" x14ac:dyDescent="0.3">
      <c r="A260">
        <v>259</v>
      </c>
      <c r="B260" s="1">
        <v>100000</v>
      </c>
      <c r="C260" s="1" t="str" cm="1">
        <f t="array" ref="C260">_xlfn.IFS(Table2[[#This Row],[LIMIT_BAL]]&lt;=100000,"Low",Table2[[#This Row],[LIMIT_BAL]]&lt;=300000,"Medium",
TRUE,"High"
)</f>
        <v>Low</v>
      </c>
      <c r="D260" t="s">
        <v>2041</v>
      </c>
      <c r="E260" t="s">
        <v>2027</v>
      </c>
      <c r="F260" t="s">
        <v>2028</v>
      </c>
      <c r="G260">
        <v>43</v>
      </c>
      <c r="H260" t="str" cm="1">
        <f t="array" ref="H260">_xlfn.IFS(
Table2[[#This Row],[AGE]]&lt;30,"Young",
Table2[[#This Row],[AGE]]&lt;40,"Middle Age",
Table2[[#This Row],[AGE]]&lt;50,"Senior",
TRUE,"Super Senior"
)</f>
        <v>Senior</v>
      </c>
      <c r="I260">
        <v>0</v>
      </c>
      <c r="J260">
        <v>0</v>
      </c>
      <c r="K260">
        <v>-2</v>
      </c>
      <c r="L260">
        <v>-2</v>
      </c>
      <c r="M260">
        <v>-2</v>
      </c>
      <c r="N260">
        <v>-2</v>
      </c>
      <c r="O260" s="1">
        <v>62170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>
        <v>0</v>
      </c>
      <c r="AB260" t="str">
        <f t="shared" si="4"/>
        <v>Not Defaulter</v>
      </c>
      <c r="AC260" s="1">
        <f>Table2[[#This Row],[BILL_AMT1]]-Table2[[#This Row],[PAY_AMT1]]</f>
        <v>62170</v>
      </c>
      <c r="AD260" s="1" t="str" cm="1">
        <f t="array" ref="AD260">_xlfn.IFS(Table2[[#This Row],[PAYMENT GAP]]&lt;=0,"No Gap / Overpaid",Table2[[#This Row],[PAYMENT GAP]]&lt;=25000,"Low Gap",Table2[[#This Row],[PAYMENT GAP]]&lt;=100000,"Medium Gap",
TRUE,"High Gap"
)</f>
        <v>Medium Gap</v>
      </c>
    </row>
    <row r="261" spans="1:30" x14ac:dyDescent="0.3">
      <c r="A261">
        <v>260</v>
      </c>
      <c r="B261" s="1">
        <v>220000</v>
      </c>
      <c r="C261" s="1" t="str" cm="1">
        <f t="array" ref="C261">_xlfn.IFS(Table2[[#This Row],[LIMIT_BAL]]&lt;=100000,"Low",Table2[[#This Row],[LIMIT_BAL]]&lt;=300000,"Medium",
TRUE,"High"
)</f>
        <v>Medium</v>
      </c>
      <c r="D261" t="s">
        <v>2042</v>
      </c>
      <c r="E261" t="s">
        <v>2026</v>
      </c>
      <c r="F261" t="s">
        <v>2028</v>
      </c>
      <c r="G261">
        <v>48</v>
      </c>
      <c r="H261" t="str" cm="1">
        <f t="array" ref="H261">_xlfn.IFS(
Table2[[#This Row],[AGE]]&lt;30,"Young",
Table2[[#This Row],[AGE]]&lt;40,"Middle Age",
Table2[[#This Row],[AGE]]&lt;50,"Senior",
TRUE,"Super Senior"
)</f>
        <v>Senior</v>
      </c>
      <c r="I261">
        <v>2</v>
      </c>
      <c r="J261">
        <v>0</v>
      </c>
      <c r="K261">
        <v>0</v>
      </c>
      <c r="L261">
        <v>0</v>
      </c>
      <c r="M261">
        <v>0</v>
      </c>
      <c r="N261">
        <v>0</v>
      </c>
      <c r="O261" s="1">
        <v>210380</v>
      </c>
      <c r="P261" s="1">
        <v>213522</v>
      </c>
      <c r="Q261" s="1">
        <v>201852</v>
      </c>
      <c r="R261" s="1">
        <v>169115</v>
      </c>
      <c r="S261" s="1">
        <v>172169</v>
      </c>
      <c r="T261" s="1">
        <v>162402</v>
      </c>
      <c r="U261" s="1">
        <v>10000</v>
      </c>
      <c r="V261" s="1">
        <v>9020</v>
      </c>
      <c r="W261" s="1">
        <v>6000</v>
      </c>
      <c r="X261" s="1">
        <v>5500</v>
      </c>
      <c r="Y261" s="1">
        <v>6000</v>
      </c>
      <c r="Z261" s="1">
        <v>5500</v>
      </c>
      <c r="AA261">
        <v>1</v>
      </c>
      <c r="AB261" t="str">
        <f t="shared" si="4"/>
        <v>Defaulter</v>
      </c>
      <c r="AC261" s="1">
        <f>Table2[[#This Row],[BILL_AMT1]]-Table2[[#This Row],[PAY_AMT1]]</f>
        <v>200380</v>
      </c>
      <c r="AD261" s="1" t="str" cm="1">
        <f t="array" ref="AD261">_xlfn.IFS(Table2[[#This Row],[PAYMENT GAP]]&lt;=0,"No Gap / Overpaid",Table2[[#This Row],[PAYMENT GAP]]&lt;=25000,"Low Gap",Table2[[#This Row],[PAYMENT GAP]]&lt;=100000,"Medium Gap",
TRUE,"High Gap"
)</f>
        <v>High Gap</v>
      </c>
    </row>
    <row r="262" spans="1:30" x14ac:dyDescent="0.3">
      <c r="A262">
        <v>261</v>
      </c>
      <c r="B262" s="1">
        <v>510000</v>
      </c>
      <c r="C262" s="1" t="str" cm="1">
        <f t="array" ref="C262">_xlfn.IFS(Table2[[#This Row],[LIMIT_BAL]]&lt;=100000,"Low",Table2[[#This Row],[LIMIT_BAL]]&lt;=300000,"Medium",
TRUE,"High"
)</f>
        <v>High</v>
      </c>
      <c r="D262" t="s">
        <v>2041</v>
      </c>
      <c r="E262" t="s">
        <v>2026</v>
      </c>
      <c r="F262" t="s">
        <v>2029</v>
      </c>
      <c r="G262">
        <v>29</v>
      </c>
      <c r="H262" t="str" cm="1">
        <f t="array" ref="H262">_xlfn.IFS(
Table2[[#This Row],[AGE]]&lt;30,"Young",
Table2[[#This Row],[AGE]]&lt;40,"Middle Age",
Table2[[#This Row],[AGE]]&lt;50,"Senior",
TRUE,"Super Senior"
)</f>
        <v>Young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s="1">
        <v>78331</v>
      </c>
      <c r="P262" s="1">
        <v>99414</v>
      </c>
      <c r="Q262" s="1">
        <v>107686</v>
      </c>
      <c r="R262" s="1">
        <v>103776</v>
      </c>
      <c r="S262" s="1">
        <v>87265</v>
      </c>
      <c r="T262" s="1">
        <v>36739</v>
      </c>
      <c r="U262" s="1">
        <v>40010</v>
      </c>
      <c r="V262" s="1">
        <v>20094</v>
      </c>
      <c r="W262" s="1">
        <v>5000</v>
      </c>
      <c r="X262" s="1">
        <v>5001</v>
      </c>
      <c r="Y262" s="1">
        <v>25365</v>
      </c>
      <c r="Z262" s="1">
        <v>65000</v>
      </c>
      <c r="AA262">
        <v>0</v>
      </c>
      <c r="AB262" t="str">
        <f t="shared" si="4"/>
        <v>Not Defaulter</v>
      </c>
      <c r="AC262" s="1">
        <f>Table2[[#This Row],[BILL_AMT1]]-Table2[[#This Row],[PAY_AMT1]]</f>
        <v>38321</v>
      </c>
      <c r="AD262" s="1" t="str" cm="1">
        <f t="array" ref="AD262">_xlfn.IFS(Table2[[#This Row],[PAYMENT GAP]]&lt;=0,"No Gap / Overpaid",Table2[[#This Row],[PAYMENT GAP]]&lt;=25000,"Low Gap",Table2[[#This Row],[PAYMENT GAP]]&lt;=100000,"Medium Gap",
TRUE,"High Gap"
)</f>
        <v>Medium Gap</v>
      </c>
    </row>
    <row r="263" spans="1:30" x14ac:dyDescent="0.3">
      <c r="A263">
        <v>262</v>
      </c>
      <c r="B263" s="1">
        <v>50000</v>
      </c>
      <c r="C263" s="1" t="str" cm="1">
        <f t="array" ref="C263">_xlfn.IFS(Table2[[#This Row],[LIMIT_BAL]]&lt;=100000,"Low",Table2[[#This Row],[LIMIT_BAL]]&lt;=300000,"Medium",
TRUE,"High"
)</f>
        <v>Low</v>
      </c>
      <c r="D263" t="s">
        <v>2042</v>
      </c>
      <c r="E263" t="s">
        <v>2043</v>
      </c>
      <c r="F263" t="s">
        <v>2029</v>
      </c>
      <c r="G263">
        <v>29</v>
      </c>
      <c r="H263" t="str" cm="1">
        <f t="array" ref="H263">_xlfn.IFS(
Table2[[#This Row],[AGE]]&lt;30,"Young",
Table2[[#This Row],[AGE]]&lt;40,"Middle Age",
Table2[[#This Row],[AGE]]&lt;50,"Senior",
TRUE,"Super Senior"
)</f>
        <v>Young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 s="1">
        <v>49276</v>
      </c>
      <c r="P263" s="1">
        <v>35100</v>
      </c>
      <c r="Q263" s="1">
        <v>32563</v>
      </c>
      <c r="R263" s="1">
        <v>27823</v>
      </c>
      <c r="S263" s="1">
        <v>29130</v>
      </c>
      <c r="T263" s="1">
        <v>28309</v>
      </c>
      <c r="U263" s="1">
        <v>1602</v>
      </c>
      <c r="V263" s="1">
        <v>1400</v>
      </c>
      <c r="W263" s="1">
        <v>3000</v>
      </c>
      <c r="X263" s="1">
        <v>3130</v>
      </c>
      <c r="Y263" s="1">
        <v>1062</v>
      </c>
      <c r="Z263" s="1">
        <v>6318</v>
      </c>
      <c r="AA263">
        <v>0</v>
      </c>
      <c r="AB263" t="str">
        <f t="shared" si="4"/>
        <v>Not Defaulter</v>
      </c>
      <c r="AC263" s="1">
        <f>Table2[[#This Row],[BILL_AMT1]]-Table2[[#This Row],[PAY_AMT1]]</f>
        <v>47674</v>
      </c>
      <c r="AD263" s="1" t="str" cm="1">
        <f t="array" ref="AD263">_xlfn.IFS(Table2[[#This Row],[PAYMENT GAP]]&lt;=0,"No Gap / Overpaid",Table2[[#This Row],[PAYMENT GAP]]&lt;=25000,"Low Gap",Table2[[#This Row],[PAYMENT GAP]]&lt;=100000,"Medium Gap",
TRUE,"High Gap"
)</f>
        <v>Medium Gap</v>
      </c>
    </row>
    <row r="264" spans="1:30" x14ac:dyDescent="0.3">
      <c r="A264">
        <v>263</v>
      </c>
      <c r="B264" s="1">
        <v>160000</v>
      </c>
      <c r="C264" s="1" t="str" cm="1">
        <f t="array" ref="C264">_xlfn.IFS(Table2[[#This Row],[LIMIT_BAL]]&lt;=100000,"Low",Table2[[#This Row],[LIMIT_BAL]]&lt;=300000,"Medium",
TRUE,"High"
)</f>
        <v>Medium</v>
      </c>
      <c r="D264" t="s">
        <v>2041</v>
      </c>
      <c r="E264" t="s">
        <v>2026</v>
      </c>
      <c r="F264" t="s">
        <v>2028</v>
      </c>
      <c r="G264">
        <v>38</v>
      </c>
      <c r="H264" t="str" cm="1">
        <f t="array" ref="H264">_xlfn.IFS(
Table2[[#This Row],[AGE]]&lt;30,"Young",
Table2[[#This Row],[AGE]]&lt;40,"Middle Age",
Table2[[#This Row],[AGE]]&lt;50,"Senior",
TRUE,"Super Senior"
)</f>
        <v>Middle Age</v>
      </c>
      <c r="I264">
        <v>-1</v>
      </c>
      <c r="J264">
        <v>-1</v>
      </c>
      <c r="K264">
        <v>-1</v>
      </c>
      <c r="L264">
        <v>-1</v>
      </c>
      <c r="M264">
        <v>2</v>
      </c>
      <c r="N264">
        <v>-1</v>
      </c>
      <c r="O264" s="1">
        <v>4473</v>
      </c>
      <c r="P264" s="1">
        <v>4664</v>
      </c>
      <c r="Q264" s="1">
        <v>5969</v>
      </c>
      <c r="R264" s="1">
        <v>18941</v>
      </c>
      <c r="S264" s="1">
        <v>16578</v>
      </c>
      <c r="T264" s="1">
        <v>12652</v>
      </c>
      <c r="U264" s="1">
        <v>4664</v>
      </c>
      <c r="V264" s="1">
        <v>5969</v>
      </c>
      <c r="W264" s="1">
        <v>18941</v>
      </c>
      <c r="X264" s="1">
        <v>0</v>
      </c>
      <c r="Y264" s="1">
        <v>12652</v>
      </c>
      <c r="Z264" s="1">
        <v>1916</v>
      </c>
      <c r="AA264">
        <v>0</v>
      </c>
      <c r="AB264" t="str">
        <f t="shared" si="4"/>
        <v>Not Defaulter</v>
      </c>
      <c r="AC264" s="1">
        <f>Table2[[#This Row],[BILL_AMT1]]-Table2[[#This Row],[PAY_AMT1]]</f>
        <v>-191</v>
      </c>
      <c r="AD264" s="1" t="str" cm="1">
        <f t="array" ref="AD264">_xlfn.IFS(Table2[[#This Row],[PAYMENT GAP]]&lt;=0,"No Gap / Overpaid",Table2[[#This Row],[PAYMENT GAP]]&lt;=25000,"Low Gap",Table2[[#This Row],[PAYMENT GAP]]&lt;=100000,"Medium Gap",
TRUE,"High Gap"
)</f>
        <v>No Gap / Overpaid</v>
      </c>
    </row>
    <row r="265" spans="1:30" x14ac:dyDescent="0.3">
      <c r="A265">
        <v>264</v>
      </c>
      <c r="B265" s="1">
        <v>230000</v>
      </c>
      <c r="C265" s="1" t="str" cm="1">
        <f t="array" ref="C265">_xlfn.IFS(Table2[[#This Row],[LIMIT_BAL]]&lt;=100000,"Low",Table2[[#This Row],[LIMIT_BAL]]&lt;=300000,"Medium",
TRUE,"High"
)</f>
        <v>Medium</v>
      </c>
      <c r="D265" t="s">
        <v>2041</v>
      </c>
      <c r="E265" t="s">
        <v>2026</v>
      </c>
      <c r="F265" t="s">
        <v>2029</v>
      </c>
      <c r="G265">
        <v>37</v>
      </c>
      <c r="H265" t="str" cm="1">
        <f t="array" ref="H265">_xlfn.IFS(
Table2[[#This Row],[AGE]]&lt;30,"Young",
Table2[[#This Row],[AGE]]&lt;40,"Middle Age",
Table2[[#This Row],[AGE]]&lt;50,"Senior",
TRUE,"Super Senior"
)</f>
        <v>Middle Age</v>
      </c>
      <c r="I265">
        <v>-2</v>
      </c>
      <c r="J265">
        <v>-2</v>
      </c>
      <c r="K265">
        <v>-2</v>
      </c>
      <c r="L265">
        <v>-2</v>
      </c>
      <c r="M265">
        <v>-2</v>
      </c>
      <c r="N265">
        <v>-2</v>
      </c>
      <c r="O265" s="1">
        <v>2283</v>
      </c>
      <c r="P265" s="1">
        <v>50815</v>
      </c>
      <c r="Q265" s="1">
        <v>0</v>
      </c>
      <c r="R265" s="1">
        <v>0</v>
      </c>
      <c r="S265" s="1">
        <v>299</v>
      </c>
      <c r="T265" s="1">
        <v>338</v>
      </c>
      <c r="U265" s="1">
        <v>51315</v>
      </c>
      <c r="V265" s="1">
        <v>0</v>
      </c>
      <c r="W265" s="1">
        <v>0</v>
      </c>
      <c r="X265" s="1">
        <v>299</v>
      </c>
      <c r="Y265" s="1">
        <v>338</v>
      </c>
      <c r="Z265" s="1">
        <v>0</v>
      </c>
      <c r="AA265">
        <v>0</v>
      </c>
      <c r="AB265" t="str">
        <f t="shared" si="4"/>
        <v>Not Defaulter</v>
      </c>
      <c r="AC265" s="1">
        <f>Table2[[#This Row],[BILL_AMT1]]-Table2[[#This Row],[PAY_AMT1]]</f>
        <v>-49032</v>
      </c>
      <c r="AD265" s="1" t="str" cm="1">
        <f t="array" ref="AD265">_xlfn.IFS(Table2[[#This Row],[PAYMENT GAP]]&lt;=0,"No Gap / Overpaid",Table2[[#This Row],[PAYMENT GAP]]&lt;=25000,"Low Gap",Table2[[#This Row],[PAYMENT GAP]]&lt;=100000,"Medium Gap",
TRUE,"High Gap"
)</f>
        <v>No Gap / Overpaid</v>
      </c>
    </row>
    <row r="266" spans="1:30" x14ac:dyDescent="0.3">
      <c r="A266">
        <v>265</v>
      </c>
      <c r="B266" s="1">
        <v>80000</v>
      </c>
      <c r="C266" s="1" t="str" cm="1">
        <f t="array" ref="C266">_xlfn.IFS(Table2[[#This Row],[LIMIT_BAL]]&lt;=100000,"Low",Table2[[#This Row],[LIMIT_BAL]]&lt;=300000,"Medium",
TRUE,"High"
)</f>
        <v>Low</v>
      </c>
      <c r="D266" t="s">
        <v>2041</v>
      </c>
      <c r="E266" t="s">
        <v>2026</v>
      </c>
      <c r="F266" t="s">
        <v>2029</v>
      </c>
      <c r="G266">
        <v>37</v>
      </c>
      <c r="H266" t="str" cm="1">
        <f t="array" ref="H266">_xlfn.IFS(
Table2[[#This Row],[AGE]]&lt;30,"Young",
Table2[[#This Row],[AGE]]&lt;40,"Middle Age",
Table2[[#This Row],[AGE]]&lt;50,"Senior",
TRUE,"Super Senior"
)</f>
        <v>Middle Age</v>
      </c>
      <c r="I266">
        <v>-1</v>
      </c>
      <c r="J266">
        <v>-1</v>
      </c>
      <c r="K266">
        <v>-1</v>
      </c>
      <c r="L266">
        <v>-1</v>
      </c>
      <c r="M266">
        <v>-1</v>
      </c>
      <c r="N266">
        <v>-1</v>
      </c>
      <c r="O266" s="1">
        <v>10115</v>
      </c>
      <c r="P266" s="1">
        <v>249</v>
      </c>
      <c r="Q266" s="1">
        <v>5986</v>
      </c>
      <c r="R266" s="1">
        <v>188</v>
      </c>
      <c r="S266" s="1">
        <v>1644</v>
      </c>
      <c r="T266" s="1">
        <v>16872</v>
      </c>
      <c r="U266" s="1">
        <v>258</v>
      </c>
      <c r="V266" s="1">
        <v>5995</v>
      </c>
      <c r="W266" s="1">
        <v>188</v>
      </c>
      <c r="X266" s="1">
        <v>1644</v>
      </c>
      <c r="Y266" s="1">
        <v>16872</v>
      </c>
      <c r="Z266" s="1">
        <v>4000</v>
      </c>
      <c r="AA266">
        <v>0</v>
      </c>
      <c r="AB266" t="str">
        <f t="shared" si="4"/>
        <v>Not Defaulter</v>
      </c>
      <c r="AC266" s="1">
        <f>Table2[[#This Row],[BILL_AMT1]]-Table2[[#This Row],[PAY_AMT1]]</f>
        <v>9857</v>
      </c>
      <c r="AD266" s="1" t="str" cm="1">
        <f t="array" ref="AD266">_xlfn.IFS(Table2[[#This Row],[PAYMENT GAP]]&lt;=0,"No Gap / Overpaid",Table2[[#This Row],[PAYMENT GAP]]&lt;=25000,"Low Gap",Table2[[#This Row],[PAYMENT GAP]]&lt;=100000,"Medium Gap",
TRUE,"High Gap"
)</f>
        <v>Low Gap</v>
      </c>
    </row>
    <row r="267" spans="1:30" x14ac:dyDescent="0.3">
      <c r="A267">
        <v>266</v>
      </c>
      <c r="B267" s="1">
        <v>150000</v>
      </c>
      <c r="C267" s="1" t="str" cm="1">
        <f t="array" ref="C267">_xlfn.IFS(Table2[[#This Row],[LIMIT_BAL]]&lt;=100000,"Low",Table2[[#This Row],[LIMIT_BAL]]&lt;=300000,"Medium",
TRUE,"High"
)</f>
        <v>Medium</v>
      </c>
      <c r="D267" t="s">
        <v>2041</v>
      </c>
      <c r="E267" t="s">
        <v>2043</v>
      </c>
      <c r="F267" t="s">
        <v>2028</v>
      </c>
      <c r="G267">
        <v>25</v>
      </c>
      <c r="H267" t="str" cm="1">
        <f t="array" ref="H267">_xlfn.IFS(
Table2[[#This Row],[AGE]]&lt;30,"Young",
Table2[[#This Row],[AGE]]&lt;40,"Middle Age",
Table2[[#This Row],[AGE]]&lt;50,"Senior",
TRUE,"Super Senior"
)</f>
        <v>Young</v>
      </c>
      <c r="I267">
        <v>-1</v>
      </c>
      <c r="J267">
        <v>-1</v>
      </c>
      <c r="K267">
        <v>-2</v>
      </c>
      <c r="L267">
        <v>-1</v>
      </c>
      <c r="M267">
        <v>-1</v>
      </c>
      <c r="N267">
        <v>-1</v>
      </c>
      <c r="O267" s="1">
        <v>6156</v>
      </c>
      <c r="P267" s="1">
        <v>0</v>
      </c>
      <c r="Q267" s="1">
        <v>0</v>
      </c>
      <c r="R267" s="1">
        <v>316</v>
      </c>
      <c r="S267" s="1">
        <v>316</v>
      </c>
      <c r="T267" s="1">
        <v>316</v>
      </c>
      <c r="U267" s="1">
        <v>0</v>
      </c>
      <c r="V267" s="1">
        <v>0</v>
      </c>
      <c r="W267" s="1">
        <v>316</v>
      </c>
      <c r="X267" s="1">
        <v>316</v>
      </c>
      <c r="Y267" s="1">
        <v>316</v>
      </c>
      <c r="Z267" s="1">
        <v>316</v>
      </c>
      <c r="AA267">
        <v>0</v>
      </c>
      <c r="AB267" t="str">
        <f t="shared" si="4"/>
        <v>Not Defaulter</v>
      </c>
      <c r="AC267" s="1">
        <f>Table2[[#This Row],[BILL_AMT1]]-Table2[[#This Row],[PAY_AMT1]]</f>
        <v>6156</v>
      </c>
      <c r="AD267" s="1" t="str" cm="1">
        <f t="array" ref="AD267">_xlfn.IFS(Table2[[#This Row],[PAYMENT GAP]]&lt;=0,"No Gap / Overpaid",Table2[[#This Row],[PAYMENT GAP]]&lt;=25000,"Low Gap",Table2[[#This Row],[PAYMENT GAP]]&lt;=100000,"Medium Gap",
TRUE,"High Gap"
)</f>
        <v>Low Gap</v>
      </c>
    </row>
    <row r="268" spans="1:30" x14ac:dyDescent="0.3">
      <c r="A268">
        <v>267</v>
      </c>
      <c r="B268" s="1">
        <v>10000</v>
      </c>
      <c r="C268" s="1" t="str" cm="1">
        <f t="array" ref="C268">_xlfn.IFS(Table2[[#This Row],[LIMIT_BAL]]&lt;=100000,"Low",Table2[[#This Row],[LIMIT_BAL]]&lt;=300000,"Medium",
TRUE,"High"
)</f>
        <v>Low</v>
      </c>
      <c r="D268" t="s">
        <v>2042</v>
      </c>
      <c r="E268" t="s">
        <v>2027</v>
      </c>
      <c r="F268" t="s">
        <v>2029</v>
      </c>
      <c r="G268">
        <v>23</v>
      </c>
      <c r="H268" t="str" cm="1">
        <f t="array" ref="H268">_xlfn.IFS(
Table2[[#This Row],[AGE]]&lt;30,"Young",
Table2[[#This Row],[AGE]]&lt;40,"Middle Age",
Table2[[#This Row],[AGE]]&lt;50,"Senior",
TRUE,"Super Senior"
)</f>
        <v>Young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2</v>
      </c>
      <c r="O268" s="1">
        <v>6974</v>
      </c>
      <c r="P268" s="1">
        <v>7838</v>
      </c>
      <c r="Q268" s="1">
        <v>9002</v>
      </c>
      <c r="R268" s="1">
        <v>9182</v>
      </c>
      <c r="S268" s="1">
        <v>9729</v>
      </c>
      <c r="T268" s="1">
        <v>9411</v>
      </c>
      <c r="U268" s="1">
        <v>1134</v>
      </c>
      <c r="V268" s="1">
        <v>1298</v>
      </c>
      <c r="W268" s="1">
        <v>478</v>
      </c>
      <c r="X268" s="1">
        <v>847</v>
      </c>
      <c r="Y268" s="1">
        <v>0</v>
      </c>
      <c r="Z268" s="1">
        <v>175</v>
      </c>
      <c r="AA268">
        <v>0</v>
      </c>
      <c r="AB268" t="str">
        <f t="shared" si="4"/>
        <v>Not Defaulter</v>
      </c>
      <c r="AC268" s="1">
        <f>Table2[[#This Row],[BILL_AMT1]]-Table2[[#This Row],[PAY_AMT1]]</f>
        <v>5840</v>
      </c>
      <c r="AD268" s="1" t="str" cm="1">
        <f t="array" ref="AD268">_xlfn.IFS(Table2[[#This Row],[PAYMENT GAP]]&lt;=0,"No Gap / Overpaid",Table2[[#This Row],[PAYMENT GAP]]&lt;=25000,"Low Gap",Table2[[#This Row],[PAYMENT GAP]]&lt;=100000,"Medium Gap",
TRUE,"High Gap"
)</f>
        <v>Low Gap</v>
      </c>
    </row>
    <row r="269" spans="1:30" x14ac:dyDescent="0.3">
      <c r="A269">
        <v>268</v>
      </c>
      <c r="B269" s="1">
        <v>130000</v>
      </c>
      <c r="C269" s="1" t="str" cm="1">
        <f t="array" ref="C269">_xlfn.IFS(Table2[[#This Row],[LIMIT_BAL]]&lt;=100000,"Low",Table2[[#This Row],[LIMIT_BAL]]&lt;=300000,"Medium",
TRUE,"High"
)</f>
        <v>Medium</v>
      </c>
      <c r="D269" t="s">
        <v>2041</v>
      </c>
      <c r="E269" t="s">
        <v>2027</v>
      </c>
      <c r="F269" t="s">
        <v>2029</v>
      </c>
      <c r="G269">
        <v>49</v>
      </c>
      <c r="H269" t="str" cm="1">
        <f t="array" ref="H269">_xlfn.IFS(
Table2[[#This Row],[AGE]]&lt;30,"Young",
Table2[[#This Row],[AGE]]&lt;40,"Middle Age",
Table2[[#This Row],[AGE]]&lt;50,"Senior",
TRUE,"Super Senior"
)</f>
        <v>Senior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 s="1">
        <v>89003</v>
      </c>
      <c r="P269" s="1">
        <v>91362</v>
      </c>
      <c r="Q269" s="1">
        <v>72197</v>
      </c>
      <c r="R269" s="1">
        <v>49654</v>
      </c>
      <c r="S269" s="1">
        <v>28065</v>
      </c>
      <c r="T269" s="1">
        <v>27500</v>
      </c>
      <c r="U269" s="1">
        <v>4100</v>
      </c>
      <c r="V269" s="1">
        <v>3095</v>
      </c>
      <c r="W269" s="1">
        <v>1630</v>
      </c>
      <c r="X269" s="1">
        <v>561</v>
      </c>
      <c r="Y269" s="1">
        <v>600</v>
      </c>
      <c r="Z269" s="1">
        <v>0</v>
      </c>
      <c r="AA269">
        <v>1</v>
      </c>
      <c r="AB269" t="str">
        <f t="shared" si="4"/>
        <v>Defaulter</v>
      </c>
      <c r="AC269" s="1">
        <f>Table2[[#This Row],[BILL_AMT1]]-Table2[[#This Row],[PAY_AMT1]]</f>
        <v>84903</v>
      </c>
      <c r="AD269" s="1" t="str" cm="1">
        <f t="array" ref="AD269">_xlfn.IFS(Table2[[#This Row],[PAYMENT GAP]]&lt;=0,"No Gap / Overpaid",Table2[[#This Row],[PAYMENT GAP]]&lt;=25000,"Low Gap",Table2[[#This Row],[PAYMENT GAP]]&lt;=100000,"Medium Gap",
TRUE,"High Gap"
)</f>
        <v>Medium Gap</v>
      </c>
    </row>
    <row r="270" spans="1:30" x14ac:dyDescent="0.3">
      <c r="A270">
        <v>269</v>
      </c>
      <c r="B270" s="1">
        <v>40000</v>
      </c>
      <c r="C270" s="1" t="str" cm="1">
        <f t="array" ref="C270">_xlfn.IFS(Table2[[#This Row],[LIMIT_BAL]]&lt;=100000,"Low",Table2[[#This Row],[LIMIT_BAL]]&lt;=300000,"Medium",
TRUE,"High"
)</f>
        <v>Low</v>
      </c>
      <c r="D270" t="s">
        <v>2041</v>
      </c>
      <c r="E270" t="s">
        <v>2026</v>
      </c>
      <c r="F270" t="s">
        <v>2029</v>
      </c>
      <c r="G270">
        <v>48</v>
      </c>
      <c r="H270" t="str" cm="1">
        <f t="array" ref="H270">_xlfn.IFS(
Table2[[#This Row],[AGE]]&lt;30,"Young",
Table2[[#This Row],[AGE]]&lt;40,"Middle Age",
Table2[[#This Row],[AGE]]&lt;50,"Senior",
TRUE,"Super Senior"
)</f>
        <v>Senior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s="1">
        <v>34871</v>
      </c>
      <c r="P270" s="1">
        <v>34449</v>
      </c>
      <c r="Q270" s="1">
        <v>33634</v>
      </c>
      <c r="R270" s="1">
        <v>34586</v>
      </c>
      <c r="S270" s="1">
        <v>34762</v>
      </c>
      <c r="T270" s="1">
        <v>35673</v>
      </c>
      <c r="U270" s="1">
        <v>1600</v>
      </c>
      <c r="V270" s="1">
        <v>1600</v>
      </c>
      <c r="W270" s="1">
        <v>1500</v>
      </c>
      <c r="X270" s="1">
        <v>1500</v>
      </c>
      <c r="Y270" s="1">
        <v>1500</v>
      </c>
      <c r="Z270" s="1">
        <v>1500</v>
      </c>
      <c r="AA270">
        <v>0</v>
      </c>
      <c r="AB270" t="str">
        <f t="shared" si="4"/>
        <v>Not Defaulter</v>
      </c>
      <c r="AC270" s="1">
        <f>Table2[[#This Row],[BILL_AMT1]]-Table2[[#This Row],[PAY_AMT1]]</f>
        <v>33271</v>
      </c>
      <c r="AD270" s="1" t="str" cm="1">
        <f t="array" ref="AD270">_xlfn.IFS(Table2[[#This Row],[PAYMENT GAP]]&lt;=0,"No Gap / Overpaid",Table2[[#This Row],[PAYMENT GAP]]&lt;=25000,"Low Gap",Table2[[#This Row],[PAYMENT GAP]]&lt;=100000,"Medium Gap",
TRUE,"High Gap"
)</f>
        <v>Medium Gap</v>
      </c>
    </row>
    <row r="271" spans="1:30" x14ac:dyDescent="0.3">
      <c r="A271">
        <v>270</v>
      </c>
      <c r="B271" s="1">
        <v>50000</v>
      </c>
      <c r="C271" s="1" t="str" cm="1">
        <f t="array" ref="C271">_xlfn.IFS(Table2[[#This Row],[LIMIT_BAL]]&lt;=100000,"Low",Table2[[#This Row],[LIMIT_BAL]]&lt;=300000,"Medium",
TRUE,"High"
)</f>
        <v>Low</v>
      </c>
      <c r="D271" t="s">
        <v>2042</v>
      </c>
      <c r="E271" t="s">
        <v>2043</v>
      </c>
      <c r="F271" t="s">
        <v>2029</v>
      </c>
      <c r="G271">
        <v>27</v>
      </c>
      <c r="H271" t="str" cm="1">
        <f t="array" ref="H271">_xlfn.IFS(
Table2[[#This Row],[AGE]]&lt;30,"Young",
Table2[[#This Row],[AGE]]&lt;40,"Middle Age",
Table2[[#This Row],[AGE]]&lt;50,"Senior",
TRUE,"Super Senior"
)</f>
        <v>Young</v>
      </c>
      <c r="I271">
        <v>3</v>
      </c>
      <c r="J271">
        <v>2</v>
      </c>
      <c r="K271">
        <v>2</v>
      </c>
      <c r="L271">
        <v>0</v>
      </c>
      <c r="M271">
        <v>0</v>
      </c>
      <c r="N271">
        <v>-1</v>
      </c>
      <c r="O271" s="1">
        <v>13694</v>
      </c>
      <c r="P271" s="1">
        <v>14880</v>
      </c>
      <c r="Q271" s="1">
        <v>14242</v>
      </c>
      <c r="R271" s="1">
        <v>13968</v>
      </c>
      <c r="S271" s="1">
        <v>14319</v>
      </c>
      <c r="T271" s="1">
        <v>2614</v>
      </c>
      <c r="U271" s="1">
        <v>1700</v>
      </c>
      <c r="V271" s="1">
        <v>0</v>
      </c>
      <c r="W271" s="1">
        <v>426</v>
      </c>
      <c r="X271" s="1">
        <v>501</v>
      </c>
      <c r="Y271" s="1">
        <v>2614</v>
      </c>
      <c r="Z271" s="1">
        <v>1390</v>
      </c>
      <c r="AA271">
        <v>1</v>
      </c>
      <c r="AB271" t="str">
        <f t="shared" si="4"/>
        <v>Defaulter</v>
      </c>
      <c r="AC271" s="1">
        <f>Table2[[#This Row],[BILL_AMT1]]-Table2[[#This Row],[PAY_AMT1]]</f>
        <v>11994</v>
      </c>
      <c r="AD271" s="1" t="str" cm="1">
        <f t="array" ref="AD271">_xlfn.IFS(Table2[[#This Row],[PAYMENT GAP]]&lt;=0,"No Gap / Overpaid",Table2[[#This Row],[PAYMENT GAP]]&lt;=25000,"Low Gap",Table2[[#This Row],[PAYMENT GAP]]&lt;=100000,"Medium Gap",
TRUE,"High Gap"
)</f>
        <v>Low Gap</v>
      </c>
    </row>
    <row r="272" spans="1:30" x14ac:dyDescent="0.3">
      <c r="A272">
        <v>271</v>
      </c>
      <c r="B272" s="1">
        <v>100000</v>
      </c>
      <c r="C272" s="1" t="str" cm="1">
        <f t="array" ref="C272">_xlfn.IFS(Table2[[#This Row],[LIMIT_BAL]]&lt;=100000,"Low",Table2[[#This Row],[LIMIT_BAL]]&lt;=300000,"Medium",
TRUE,"High"
)</f>
        <v>Low</v>
      </c>
      <c r="D272" t="s">
        <v>2042</v>
      </c>
      <c r="E272" t="s">
        <v>2027</v>
      </c>
      <c r="F272" t="s">
        <v>2029</v>
      </c>
      <c r="G272">
        <v>32</v>
      </c>
      <c r="H272" t="str" cm="1">
        <f t="array" ref="H272">_xlfn.IFS(
Table2[[#This Row],[AGE]]&lt;30,"Young",
Table2[[#This Row],[AGE]]&lt;40,"Middle Age",
Table2[[#This Row],[AGE]]&lt;50,"Senior",
TRUE,"Super Senior"
)</f>
        <v>Middle Age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 s="1">
        <v>70003</v>
      </c>
      <c r="P272" s="1">
        <v>31545</v>
      </c>
      <c r="Q272" s="1">
        <v>20974</v>
      </c>
      <c r="R272" s="1">
        <v>19713</v>
      </c>
      <c r="S272" s="1">
        <v>19848</v>
      </c>
      <c r="T272" s="1">
        <v>18126</v>
      </c>
      <c r="U272" s="1">
        <v>2035</v>
      </c>
      <c r="V272" s="1">
        <v>2004</v>
      </c>
      <c r="W272" s="1">
        <v>616</v>
      </c>
      <c r="X272" s="1">
        <v>2007</v>
      </c>
      <c r="Y272" s="1">
        <v>1009</v>
      </c>
      <c r="Z272" s="1">
        <v>2015</v>
      </c>
      <c r="AA272">
        <v>0</v>
      </c>
      <c r="AB272" t="str">
        <f t="shared" si="4"/>
        <v>Not Defaulter</v>
      </c>
      <c r="AC272" s="1">
        <f>Table2[[#This Row],[BILL_AMT1]]-Table2[[#This Row],[PAY_AMT1]]</f>
        <v>67968</v>
      </c>
      <c r="AD272" s="1" t="str" cm="1">
        <f t="array" ref="AD272">_xlfn.IFS(Table2[[#This Row],[PAYMENT GAP]]&lt;=0,"No Gap / Overpaid",Table2[[#This Row],[PAYMENT GAP]]&lt;=25000,"Low Gap",Table2[[#This Row],[PAYMENT GAP]]&lt;=100000,"Medium Gap",
TRUE,"High Gap"
)</f>
        <v>Medium Gap</v>
      </c>
    </row>
    <row r="273" spans="1:30" x14ac:dyDescent="0.3">
      <c r="A273">
        <v>272</v>
      </c>
      <c r="B273" s="1">
        <v>120000</v>
      </c>
      <c r="C273" s="1" t="str" cm="1">
        <f t="array" ref="C273">_xlfn.IFS(Table2[[#This Row],[LIMIT_BAL]]&lt;=100000,"Low",Table2[[#This Row],[LIMIT_BAL]]&lt;=300000,"Medium",
TRUE,"High"
)</f>
        <v>Medium</v>
      </c>
      <c r="D273" t="s">
        <v>2042</v>
      </c>
      <c r="E273" t="s">
        <v>2026</v>
      </c>
      <c r="F273" t="s">
        <v>2028</v>
      </c>
      <c r="G273">
        <v>34</v>
      </c>
      <c r="H273" t="str" cm="1">
        <f t="array" ref="H273">_xlfn.IFS(
Table2[[#This Row],[AGE]]&lt;30,"Young",
Table2[[#This Row],[AGE]]&lt;40,"Middle Age",
Table2[[#This Row],[AGE]]&lt;50,"Senior",
TRUE,"Super Senior"
)</f>
        <v>Middle Age</v>
      </c>
      <c r="I273">
        <v>-1</v>
      </c>
      <c r="J273">
        <v>2</v>
      </c>
      <c r="K273">
        <v>-1</v>
      </c>
      <c r="L273">
        <v>0</v>
      </c>
      <c r="M273">
        <v>0</v>
      </c>
      <c r="N273">
        <v>0</v>
      </c>
      <c r="O273" s="1">
        <v>1082</v>
      </c>
      <c r="P273" s="1">
        <v>632</v>
      </c>
      <c r="Q273" s="1">
        <v>1350</v>
      </c>
      <c r="R273" s="1">
        <v>900</v>
      </c>
      <c r="S273" s="1">
        <v>450</v>
      </c>
      <c r="T273" s="1">
        <v>0</v>
      </c>
      <c r="U273" s="1">
        <v>0</v>
      </c>
      <c r="V273" s="1">
        <v>1350</v>
      </c>
      <c r="W273" s="1">
        <v>0</v>
      </c>
      <c r="X273" s="1">
        <v>0</v>
      </c>
      <c r="Y273" s="1">
        <v>0</v>
      </c>
      <c r="Z273" s="1">
        <v>450</v>
      </c>
      <c r="AA273">
        <v>0</v>
      </c>
      <c r="AB273" t="str">
        <f t="shared" si="4"/>
        <v>Not Defaulter</v>
      </c>
      <c r="AC273" s="1">
        <f>Table2[[#This Row],[BILL_AMT1]]-Table2[[#This Row],[PAY_AMT1]]</f>
        <v>1082</v>
      </c>
      <c r="AD273" s="1" t="str" cm="1">
        <f t="array" ref="AD273">_xlfn.IFS(Table2[[#This Row],[PAYMENT GAP]]&lt;=0,"No Gap / Overpaid",Table2[[#This Row],[PAYMENT GAP]]&lt;=25000,"Low Gap",Table2[[#This Row],[PAYMENT GAP]]&lt;=100000,"Medium Gap",
TRUE,"High Gap"
)</f>
        <v>Low Gap</v>
      </c>
    </row>
    <row r="274" spans="1:30" x14ac:dyDescent="0.3">
      <c r="A274">
        <v>273</v>
      </c>
      <c r="B274" s="1">
        <v>260000</v>
      </c>
      <c r="C274" s="1" t="str" cm="1">
        <f t="array" ref="C274">_xlfn.IFS(Table2[[#This Row],[LIMIT_BAL]]&lt;=100000,"Low",Table2[[#This Row],[LIMIT_BAL]]&lt;=300000,"Medium",
TRUE,"High"
)</f>
        <v>Medium</v>
      </c>
      <c r="D274" t="s">
        <v>2041</v>
      </c>
      <c r="E274" t="s">
        <v>2026</v>
      </c>
      <c r="F274" t="s">
        <v>2029</v>
      </c>
      <c r="G274">
        <v>58</v>
      </c>
      <c r="H274" t="str" cm="1">
        <f t="array" ref="H274">_xlfn.IFS(
Table2[[#This Row],[AGE]]&lt;30,"Young",
Table2[[#This Row],[AGE]]&lt;40,"Middle Age",
Table2[[#This Row],[AGE]]&lt;50,"Senior",
TRUE,"Super Senior"
)</f>
        <v>Super Senior</v>
      </c>
      <c r="I274">
        <v>1</v>
      </c>
      <c r="J274">
        <v>-2</v>
      </c>
      <c r="K274">
        <v>-2</v>
      </c>
      <c r="L274">
        <v>-2</v>
      </c>
      <c r="M274">
        <v>-2</v>
      </c>
      <c r="N274">
        <v>-2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>
        <v>1</v>
      </c>
      <c r="AB274" t="str">
        <f t="shared" si="4"/>
        <v>Defaulter</v>
      </c>
      <c r="AC274" s="1">
        <f>Table2[[#This Row],[BILL_AMT1]]-Table2[[#This Row],[PAY_AMT1]]</f>
        <v>0</v>
      </c>
      <c r="AD274" s="1" t="str" cm="1">
        <f t="array" ref="AD274">_xlfn.IFS(Table2[[#This Row],[PAYMENT GAP]]&lt;=0,"No Gap / Overpaid",Table2[[#This Row],[PAYMENT GAP]]&lt;=25000,"Low Gap",Table2[[#This Row],[PAYMENT GAP]]&lt;=100000,"Medium Gap",
TRUE,"High Gap"
)</f>
        <v>No Gap / Overpaid</v>
      </c>
    </row>
    <row r="275" spans="1:30" x14ac:dyDescent="0.3">
      <c r="A275">
        <v>274</v>
      </c>
      <c r="B275" s="1">
        <v>200000</v>
      </c>
      <c r="C275" s="1" t="str" cm="1">
        <f t="array" ref="C275">_xlfn.IFS(Table2[[#This Row],[LIMIT_BAL]]&lt;=100000,"Low",Table2[[#This Row],[LIMIT_BAL]]&lt;=300000,"Medium",
TRUE,"High"
)</f>
        <v>Medium</v>
      </c>
      <c r="D275" t="s">
        <v>2041</v>
      </c>
      <c r="E275" t="s">
        <v>2043</v>
      </c>
      <c r="F275" t="s">
        <v>2029</v>
      </c>
      <c r="G275">
        <v>33</v>
      </c>
      <c r="H275" t="str" cm="1">
        <f t="array" ref="H275">_xlfn.IFS(
Table2[[#This Row],[AGE]]&lt;30,"Young",
Table2[[#This Row],[AGE]]&lt;40,"Middle Age",
Table2[[#This Row],[AGE]]&lt;50,"Senior",
TRUE,"Super Senior"
)</f>
        <v>Middle Age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 s="1">
        <v>11253</v>
      </c>
      <c r="P275" s="1">
        <v>12852</v>
      </c>
      <c r="Q275" s="1">
        <v>14024</v>
      </c>
      <c r="R275" s="1">
        <v>14512</v>
      </c>
      <c r="S275" s="1">
        <v>16325</v>
      </c>
      <c r="T275" s="1">
        <v>11905</v>
      </c>
      <c r="U275" s="1">
        <v>2000</v>
      </c>
      <c r="V275" s="1">
        <v>1322</v>
      </c>
      <c r="W275" s="1">
        <v>2000</v>
      </c>
      <c r="X275" s="1">
        <v>2000</v>
      </c>
      <c r="Y275" s="1">
        <v>1200</v>
      </c>
      <c r="Z275" s="1">
        <v>3000</v>
      </c>
      <c r="AA275">
        <v>0</v>
      </c>
      <c r="AB275" t="str">
        <f t="shared" si="4"/>
        <v>Not Defaulter</v>
      </c>
      <c r="AC275" s="1">
        <f>Table2[[#This Row],[BILL_AMT1]]-Table2[[#This Row],[PAY_AMT1]]</f>
        <v>9253</v>
      </c>
      <c r="AD275" s="1" t="str" cm="1">
        <f t="array" ref="AD275">_xlfn.IFS(Table2[[#This Row],[PAYMENT GAP]]&lt;=0,"No Gap / Overpaid",Table2[[#This Row],[PAYMENT GAP]]&lt;=25000,"Low Gap",Table2[[#This Row],[PAYMENT GAP]]&lt;=100000,"Medium Gap",
TRUE,"High Gap"
)</f>
        <v>Low Gap</v>
      </c>
    </row>
    <row r="276" spans="1:30" x14ac:dyDescent="0.3">
      <c r="A276">
        <v>275</v>
      </c>
      <c r="B276" s="1">
        <v>360000</v>
      </c>
      <c r="C276" s="1" t="str" cm="1">
        <f t="array" ref="C276">_xlfn.IFS(Table2[[#This Row],[LIMIT_BAL]]&lt;=100000,"Low",Table2[[#This Row],[LIMIT_BAL]]&lt;=300000,"Medium",
TRUE,"High"
)</f>
        <v>High</v>
      </c>
      <c r="D276" t="s">
        <v>2041</v>
      </c>
      <c r="E276" t="s">
        <v>2043</v>
      </c>
      <c r="F276" t="s">
        <v>2029</v>
      </c>
      <c r="G276">
        <v>28</v>
      </c>
      <c r="H276" t="str" cm="1">
        <f t="array" ref="H276">_xlfn.IFS(
Table2[[#This Row],[AGE]]&lt;30,"Young",
Table2[[#This Row],[AGE]]&lt;40,"Middle Age",
Table2[[#This Row],[AGE]]&lt;50,"Senior",
TRUE,"Super Senior"
)</f>
        <v>Young</v>
      </c>
      <c r="I276">
        <v>-2</v>
      </c>
      <c r="J276">
        <v>-2</v>
      </c>
      <c r="K276">
        <v>-2</v>
      </c>
      <c r="L276">
        <v>-2</v>
      </c>
      <c r="M276">
        <v>-2</v>
      </c>
      <c r="N276">
        <v>-2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>
        <v>1</v>
      </c>
      <c r="AB276" t="str">
        <f t="shared" si="4"/>
        <v>Defaulter</v>
      </c>
      <c r="AC276" s="1">
        <f>Table2[[#This Row],[BILL_AMT1]]-Table2[[#This Row],[PAY_AMT1]]</f>
        <v>0</v>
      </c>
      <c r="AD276" s="1" t="str" cm="1">
        <f t="array" ref="AD276">_xlfn.IFS(Table2[[#This Row],[PAYMENT GAP]]&lt;=0,"No Gap / Overpaid",Table2[[#This Row],[PAYMENT GAP]]&lt;=25000,"Low Gap",Table2[[#This Row],[PAYMENT GAP]]&lt;=100000,"Medium Gap",
TRUE,"High Gap"
)</f>
        <v>No Gap / Overpaid</v>
      </c>
    </row>
    <row r="277" spans="1:30" x14ac:dyDescent="0.3">
      <c r="A277">
        <v>276</v>
      </c>
      <c r="B277" s="1">
        <v>70000</v>
      </c>
      <c r="C277" s="1" t="str" cm="1">
        <f t="array" ref="C277">_xlfn.IFS(Table2[[#This Row],[LIMIT_BAL]]&lt;=100000,"Low",Table2[[#This Row],[LIMIT_BAL]]&lt;=300000,"Medium",
TRUE,"High"
)</f>
        <v>Low</v>
      </c>
      <c r="D277" t="s">
        <v>2041</v>
      </c>
      <c r="E277" t="s">
        <v>2043</v>
      </c>
      <c r="F277" t="s">
        <v>2029</v>
      </c>
      <c r="G277">
        <v>36</v>
      </c>
      <c r="H277" t="str" cm="1">
        <f t="array" ref="H277">_xlfn.IFS(
Table2[[#This Row],[AGE]]&lt;30,"Young",
Table2[[#This Row],[AGE]]&lt;40,"Middle Age",
Table2[[#This Row],[AGE]]&lt;50,"Senior",
TRUE,"Super Senior"
)</f>
        <v>Middle Age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 s="1">
        <v>68699</v>
      </c>
      <c r="P277" s="1">
        <v>69120</v>
      </c>
      <c r="Q277" s="1">
        <v>68376</v>
      </c>
      <c r="R277" s="1">
        <v>30163</v>
      </c>
      <c r="S277" s="1">
        <v>14310</v>
      </c>
      <c r="T277" s="1">
        <v>15085</v>
      </c>
      <c r="U277" s="1">
        <v>4483</v>
      </c>
      <c r="V277" s="1">
        <v>12496</v>
      </c>
      <c r="W277" s="1">
        <v>3268</v>
      </c>
      <c r="X277" s="1">
        <v>3000</v>
      </c>
      <c r="Y277" s="1">
        <v>3000</v>
      </c>
      <c r="Z277" s="1">
        <v>2000</v>
      </c>
      <c r="AA277">
        <v>0</v>
      </c>
      <c r="AB277" t="str">
        <f t="shared" si="4"/>
        <v>Not Defaulter</v>
      </c>
      <c r="AC277" s="1">
        <f>Table2[[#This Row],[BILL_AMT1]]-Table2[[#This Row],[PAY_AMT1]]</f>
        <v>64216</v>
      </c>
      <c r="AD277" s="1" t="str" cm="1">
        <f t="array" ref="AD277">_xlfn.IFS(Table2[[#This Row],[PAYMENT GAP]]&lt;=0,"No Gap / Overpaid",Table2[[#This Row],[PAYMENT GAP]]&lt;=25000,"Low Gap",Table2[[#This Row],[PAYMENT GAP]]&lt;=100000,"Medium Gap",
TRUE,"High Gap"
)</f>
        <v>Medium Gap</v>
      </c>
    </row>
    <row r="278" spans="1:30" x14ac:dyDescent="0.3">
      <c r="A278">
        <v>277</v>
      </c>
      <c r="B278" s="1">
        <v>460000</v>
      </c>
      <c r="C278" s="1" t="str" cm="1">
        <f t="array" ref="C278">_xlfn.IFS(Table2[[#This Row],[LIMIT_BAL]]&lt;=100000,"Low",Table2[[#This Row],[LIMIT_BAL]]&lt;=300000,"Medium",
TRUE,"High"
)</f>
        <v>High</v>
      </c>
      <c r="D278" t="s">
        <v>2042</v>
      </c>
      <c r="E278" t="s">
        <v>2026</v>
      </c>
      <c r="F278" t="s">
        <v>2028</v>
      </c>
      <c r="G278">
        <v>40</v>
      </c>
      <c r="H278" t="str" cm="1">
        <f t="array" ref="H278">_xlfn.IFS(
Table2[[#This Row],[AGE]]&lt;30,"Young",
Table2[[#This Row],[AGE]]&lt;40,"Middle Age",
Table2[[#This Row],[AGE]]&lt;50,"Senior",
TRUE,"Super Senior"
)</f>
        <v>Senior</v>
      </c>
      <c r="I278">
        <v>2</v>
      </c>
      <c r="J278">
        <v>-1</v>
      </c>
      <c r="K278">
        <v>-1</v>
      </c>
      <c r="L278">
        <v>-1</v>
      </c>
      <c r="M278">
        <v>-1</v>
      </c>
      <c r="N278">
        <v>-1</v>
      </c>
      <c r="O278" s="1">
        <v>171</v>
      </c>
      <c r="P278" s="1">
        <v>2715</v>
      </c>
      <c r="Q278" s="1">
        <v>-13</v>
      </c>
      <c r="R278" s="1">
        <v>2641</v>
      </c>
      <c r="S278" s="1">
        <v>-10</v>
      </c>
      <c r="T278" s="1">
        <v>22535</v>
      </c>
      <c r="U278" s="1">
        <v>2728</v>
      </c>
      <c r="V278" s="1">
        <v>0</v>
      </c>
      <c r="W278" s="1">
        <v>2654</v>
      </c>
      <c r="X278" s="1">
        <v>0</v>
      </c>
      <c r="Y278" s="1">
        <v>22545</v>
      </c>
      <c r="Z278" s="1">
        <v>0</v>
      </c>
      <c r="AA278">
        <v>1</v>
      </c>
      <c r="AB278" t="str">
        <f t="shared" si="4"/>
        <v>Defaulter</v>
      </c>
      <c r="AC278" s="1">
        <f>Table2[[#This Row],[BILL_AMT1]]-Table2[[#This Row],[PAY_AMT1]]</f>
        <v>-2557</v>
      </c>
      <c r="AD278" s="1" t="str" cm="1">
        <f t="array" ref="AD278">_xlfn.IFS(Table2[[#This Row],[PAYMENT GAP]]&lt;=0,"No Gap / Overpaid",Table2[[#This Row],[PAYMENT GAP]]&lt;=25000,"Low Gap",Table2[[#This Row],[PAYMENT GAP]]&lt;=100000,"Medium Gap",
TRUE,"High Gap"
)</f>
        <v>No Gap / Overpaid</v>
      </c>
    </row>
    <row r="279" spans="1:30" x14ac:dyDescent="0.3">
      <c r="A279">
        <v>278</v>
      </c>
      <c r="B279" s="1">
        <v>50000</v>
      </c>
      <c r="C279" s="1" t="str" cm="1">
        <f t="array" ref="C279">_xlfn.IFS(Table2[[#This Row],[LIMIT_BAL]]&lt;=100000,"Low",Table2[[#This Row],[LIMIT_BAL]]&lt;=300000,"Medium",
TRUE,"High"
)</f>
        <v>Low</v>
      </c>
      <c r="D279" t="s">
        <v>2041</v>
      </c>
      <c r="E279" t="s">
        <v>2026</v>
      </c>
      <c r="F279" t="s">
        <v>2029</v>
      </c>
      <c r="G279">
        <v>26</v>
      </c>
      <c r="H279" t="str" cm="1">
        <f t="array" ref="H279">_xlfn.IFS(
Table2[[#This Row],[AGE]]&lt;30,"Young",
Table2[[#This Row],[AGE]]&lt;40,"Middle Age",
Table2[[#This Row],[AGE]]&lt;50,"Senior",
TRUE,"Super Senior"
)</f>
        <v>Young</v>
      </c>
      <c r="I279">
        <v>-1</v>
      </c>
      <c r="J279">
        <v>-1</v>
      </c>
      <c r="K279">
        <v>-1</v>
      </c>
      <c r="L279">
        <v>-1</v>
      </c>
      <c r="M279">
        <v>-1</v>
      </c>
      <c r="N279">
        <v>-1</v>
      </c>
      <c r="O279" s="1">
        <v>1156</v>
      </c>
      <c r="P279" s="1">
        <v>316</v>
      </c>
      <c r="Q279" s="1">
        <v>316</v>
      </c>
      <c r="R279" s="1">
        <v>316</v>
      </c>
      <c r="S279" s="1">
        <v>316</v>
      </c>
      <c r="T279" s="1">
        <v>316</v>
      </c>
      <c r="U279" s="1">
        <v>316</v>
      </c>
      <c r="V279" s="1">
        <v>316</v>
      </c>
      <c r="W279" s="1">
        <v>316</v>
      </c>
      <c r="X279" s="1">
        <v>316</v>
      </c>
      <c r="Y279" s="1">
        <v>316</v>
      </c>
      <c r="Z279" s="1">
        <v>316</v>
      </c>
      <c r="AA279">
        <v>0</v>
      </c>
      <c r="AB279" t="str">
        <f t="shared" si="4"/>
        <v>Not Defaulter</v>
      </c>
      <c r="AC279" s="1">
        <f>Table2[[#This Row],[BILL_AMT1]]-Table2[[#This Row],[PAY_AMT1]]</f>
        <v>840</v>
      </c>
      <c r="AD279" s="1" t="str" cm="1">
        <f t="array" ref="AD279">_xlfn.IFS(Table2[[#This Row],[PAYMENT GAP]]&lt;=0,"No Gap / Overpaid",Table2[[#This Row],[PAYMENT GAP]]&lt;=25000,"Low Gap",Table2[[#This Row],[PAYMENT GAP]]&lt;=100000,"Medium Gap",
TRUE,"High Gap"
)</f>
        <v>Low Gap</v>
      </c>
    </row>
    <row r="280" spans="1:30" x14ac:dyDescent="0.3">
      <c r="A280">
        <v>279</v>
      </c>
      <c r="B280" s="1">
        <v>50000</v>
      </c>
      <c r="C280" s="1" t="str" cm="1">
        <f t="array" ref="C280">_xlfn.IFS(Table2[[#This Row],[LIMIT_BAL]]&lt;=100000,"Low",Table2[[#This Row],[LIMIT_BAL]]&lt;=300000,"Medium",
TRUE,"High"
)</f>
        <v>Low</v>
      </c>
      <c r="D280" t="s">
        <v>2042</v>
      </c>
      <c r="E280" t="s">
        <v>2027</v>
      </c>
      <c r="F280" t="s">
        <v>2028</v>
      </c>
      <c r="G280">
        <v>33</v>
      </c>
      <c r="H280" t="str" cm="1">
        <f t="array" ref="H280">_xlfn.IFS(
Table2[[#This Row],[AGE]]&lt;30,"Young",
Table2[[#This Row],[AGE]]&lt;40,"Middle Age",
Table2[[#This Row],[AGE]]&lt;50,"Senior",
TRUE,"Super Senior"
)</f>
        <v>Middle Age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 s="1">
        <v>50859</v>
      </c>
      <c r="P280" s="1">
        <v>50462</v>
      </c>
      <c r="Q280" s="1">
        <v>50654</v>
      </c>
      <c r="R280" s="1">
        <v>20046</v>
      </c>
      <c r="S280" s="1">
        <v>20067</v>
      </c>
      <c r="T280" s="1">
        <v>19703</v>
      </c>
      <c r="U280" s="1">
        <v>2007</v>
      </c>
      <c r="V280" s="1">
        <v>2199</v>
      </c>
      <c r="W280" s="1">
        <v>691</v>
      </c>
      <c r="X280" s="1">
        <v>707</v>
      </c>
      <c r="Y280" s="1">
        <v>703</v>
      </c>
      <c r="Z280" s="1">
        <v>697</v>
      </c>
      <c r="AA280">
        <v>0</v>
      </c>
      <c r="AB280" t="str">
        <f t="shared" si="4"/>
        <v>Not Defaulter</v>
      </c>
      <c r="AC280" s="1">
        <f>Table2[[#This Row],[BILL_AMT1]]-Table2[[#This Row],[PAY_AMT1]]</f>
        <v>48852</v>
      </c>
      <c r="AD280" s="1" t="str" cm="1">
        <f t="array" ref="AD280">_xlfn.IFS(Table2[[#This Row],[PAYMENT GAP]]&lt;=0,"No Gap / Overpaid",Table2[[#This Row],[PAYMENT GAP]]&lt;=25000,"Low Gap",Table2[[#This Row],[PAYMENT GAP]]&lt;=100000,"Medium Gap",
TRUE,"High Gap"
)</f>
        <v>Medium Gap</v>
      </c>
    </row>
    <row r="281" spans="1:30" x14ac:dyDescent="0.3">
      <c r="A281">
        <v>280</v>
      </c>
      <c r="B281" s="1">
        <v>250000</v>
      </c>
      <c r="C281" s="1" t="str" cm="1">
        <f t="array" ref="C281">_xlfn.IFS(Table2[[#This Row],[LIMIT_BAL]]&lt;=100000,"Low",Table2[[#This Row],[LIMIT_BAL]]&lt;=300000,"Medium",
TRUE,"High"
)</f>
        <v>Medium</v>
      </c>
      <c r="D281" t="s">
        <v>2041</v>
      </c>
      <c r="E281" t="s">
        <v>2043</v>
      </c>
      <c r="F281" t="s">
        <v>2028</v>
      </c>
      <c r="G281">
        <v>31</v>
      </c>
      <c r="H281" t="str" cm="1">
        <f t="array" ref="H281">_xlfn.IFS(
Table2[[#This Row],[AGE]]&lt;30,"Young",
Table2[[#This Row],[AGE]]&lt;40,"Middle Age",
Table2[[#This Row],[AGE]]&lt;50,"Senior",
TRUE,"Super Senior"
)</f>
        <v>Middle Age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 s="1">
        <v>103109</v>
      </c>
      <c r="P281" s="1">
        <v>102594</v>
      </c>
      <c r="Q281" s="1">
        <v>97109</v>
      </c>
      <c r="R281" s="1">
        <v>99029</v>
      </c>
      <c r="S281" s="1">
        <v>100871</v>
      </c>
      <c r="T281" s="1">
        <v>101299</v>
      </c>
      <c r="U281" s="1">
        <v>4000</v>
      </c>
      <c r="V281" s="1">
        <v>4500</v>
      </c>
      <c r="W281" s="1">
        <v>5000</v>
      </c>
      <c r="X281" s="1">
        <v>4000</v>
      </c>
      <c r="Y281" s="1">
        <v>5000</v>
      </c>
      <c r="Z281" s="1">
        <v>4400</v>
      </c>
      <c r="AA281">
        <v>0</v>
      </c>
      <c r="AB281" t="str">
        <f t="shared" si="4"/>
        <v>Not Defaulter</v>
      </c>
      <c r="AC281" s="1">
        <f>Table2[[#This Row],[BILL_AMT1]]-Table2[[#This Row],[PAY_AMT1]]</f>
        <v>99109</v>
      </c>
      <c r="AD281" s="1" t="str" cm="1">
        <f t="array" ref="AD281">_xlfn.IFS(Table2[[#This Row],[PAYMENT GAP]]&lt;=0,"No Gap / Overpaid",Table2[[#This Row],[PAYMENT GAP]]&lt;=25000,"Low Gap",Table2[[#This Row],[PAYMENT GAP]]&lt;=100000,"Medium Gap",
TRUE,"High Gap"
)</f>
        <v>Medium Gap</v>
      </c>
    </row>
    <row r="282" spans="1:30" x14ac:dyDescent="0.3">
      <c r="A282">
        <v>281</v>
      </c>
      <c r="B282" s="1">
        <v>30000</v>
      </c>
      <c r="C282" s="1" t="str" cm="1">
        <f t="array" ref="C282">_xlfn.IFS(Table2[[#This Row],[LIMIT_BAL]]&lt;=100000,"Low",Table2[[#This Row],[LIMIT_BAL]]&lt;=300000,"Medium",
TRUE,"High"
)</f>
        <v>Low</v>
      </c>
      <c r="D282" t="s">
        <v>2041</v>
      </c>
      <c r="E282" t="s">
        <v>2026</v>
      </c>
      <c r="F282" t="s">
        <v>2029</v>
      </c>
      <c r="G282">
        <v>27</v>
      </c>
      <c r="H282" t="str" cm="1">
        <f t="array" ref="H282">_xlfn.IFS(
Table2[[#This Row],[AGE]]&lt;30,"Young",
Table2[[#This Row],[AGE]]&lt;40,"Middle Age",
Table2[[#This Row],[AGE]]&lt;50,"Senior",
TRUE,"Super Senior"
)</f>
        <v>Young</v>
      </c>
      <c r="I282">
        <v>0</v>
      </c>
      <c r="J282">
        <v>0</v>
      </c>
      <c r="K282">
        <v>-1</v>
      </c>
      <c r="L282">
        <v>0</v>
      </c>
      <c r="M282">
        <v>0</v>
      </c>
      <c r="N282">
        <v>-2</v>
      </c>
      <c r="O282" s="1">
        <v>1512</v>
      </c>
      <c r="P282" s="1">
        <v>2458</v>
      </c>
      <c r="Q282" s="1">
        <v>664</v>
      </c>
      <c r="R282" s="1">
        <v>1814</v>
      </c>
      <c r="S282" s="1">
        <v>0</v>
      </c>
      <c r="T282" s="1">
        <v>0</v>
      </c>
      <c r="U282" s="1">
        <v>1000</v>
      </c>
      <c r="V282" s="1">
        <v>664</v>
      </c>
      <c r="W282" s="1">
        <v>1500</v>
      </c>
      <c r="X282" s="1">
        <v>0</v>
      </c>
      <c r="Y282" s="1">
        <v>0</v>
      </c>
      <c r="Z282" s="1">
        <v>0</v>
      </c>
      <c r="AA282">
        <v>0</v>
      </c>
      <c r="AB282" t="str">
        <f t="shared" si="4"/>
        <v>Not Defaulter</v>
      </c>
      <c r="AC282" s="1">
        <f>Table2[[#This Row],[BILL_AMT1]]-Table2[[#This Row],[PAY_AMT1]]</f>
        <v>512</v>
      </c>
      <c r="AD282" s="1" t="str" cm="1">
        <f t="array" ref="AD282">_xlfn.IFS(Table2[[#This Row],[PAYMENT GAP]]&lt;=0,"No Gap / Overpaid",Table2[[#This Row],[PAYMENT GAP]]&lt;=25000,"Low Gap",Table2[[#This Row],[PAYMENT GAP]]&lt;=100000,"Medium Gap",
TRUE,"High Gap"
)</f>
        <v>Low Gap</v>
      </c>
    </row>
    <row r="283" spans="1:30" x14ac:dyDescent="0.3">
      <c r="A283">
        <v>282</v>
      </c>
      <c r="B283" s="1">
        <v>270000</v>
      </c>
      <c r="C283" s="1" t="str" cm="1">
        <f t="array" ref="C283">_xlfn.IFS(Table2[[#This Row],[LIMIT_BAL]]&lt;=100000,"Low",Table2[[#This Row],[LIMIT_BAL]]&lt;=300000,"Medium",
TRUE,"High"
)</f>
        <v>Medium</v>
      </c>
      <c r="D283" t="s">
        <v>2042</v>
      </c>
      <c r="E283" t="s">
        <v>2043</v>
      </c>
      <c r="F283" t="s">
        <v>2028</v>
      </c>
      <c r="G283">
        <v>44</v>
      </c>
      <c r="H283" t="str" cm="1">
        <f t="array" ref="H283">_xlfn.IFS(
Table2[[#This Row],[AGE]]&lt;30,"Young",
Table2[[#This Row],[AGE]]&lt;40,"Middle Age",
Table2[[#This Row],[AGE]]&lt;50,"Senior",
TRUE,"Super Senior"
)</f>
        <v>Senior</v>
      </c>
      <c r="I283">
        <v>0</v>
      </c>
      <c r="J283">
        <v>0</v>
      </c>
      <c r="K283">
        <v>0</v>
      </c>
      <c r="L283">
        <v>0</v>
      </c>
      <c r="M283">
        <v>-1</v>
      </c>
      <c r="N283">
        <v>-1</v>
      </c>
      <c r="O283" s="1">
        <v>127543</v>
      </c>
      <c r="P283" s="1">
        <v>109189</v>
      </c>
      <c r="Q283" s="1">
        <v>92630</v>
      </c>
      <c r="R283" s="1">
        <v>69669</v>
      </c>
      <c r="S283" s="1">
        <v>44149</v>
      </c>
      <c r="T283" s="1">
        <v>43414</v>
      </c>
      <c r="U283" s="1">
        <v>10063</v>
      </c>
      <c r="V283" s="1">
        <v>5162</v>
      </c>
      <c r="W283" s="1">
        <v>10150</v>
      </c>
      <c r="X283" s="1">
        <v>44299</v>
      </c>
      <c r="Y283" s="1">
        <v>43509</v>
      </c>
      <c r="Z283" s="1">
        <v>31031</v>
      </c>
      <c r="AA283">
        <v>0</v>
      </c>
      <c r="AB283" t="str">
        <f t="shared" si="4"/>
        <v>Not Defaulter</v>
      </c>
      <c r="AC283" s="1">
        <f>Table2[[#This Row],[BILL_AMT1]]-Table2[[#This Row],[PAY_AMT1]]</f>
        <v>117480</v>
      </c>
      <c r="AD283" s="1" t="str" cm="1">
        <f t="array" ref="AD283">_xlfn.IFS(Table2[[#This Row],[PAYMENT GAP]]&lt;=0,"No Gap / Overpaid",Table2[[#This Row],[PAYMENT GAP]]&lt;=25000,"Low Gap",Table2[[#This Row],[PAYMENT GAP]]&lt;=100000,"Medium Gap",
TRUE,"High Gap"
)</f>
        <v>High Gap</v>
      </c>
    </row>
    <row r="284" spans="1:30" x14ac:dyDescent="0.3">
      <c r="A284">
        <v>283</v>
      </c>
      <c r="B284" s="1">
        <v>180000</v>
      </c>
      <c r="C284" s="1" t="str" cm="1">
        <f t="array" ref="C284">_xlfn.IFS(Table2[[#This Row],[LIMIT_BAL]]&lt;=100000,"Low",Table2[[#This Row],[LIMIT_BAL]]&lt;=300000,"Medium",
TRUE,"High"
)</f>
        <v>Medium</v>
      </c>
      <c r="D284" t="s">
        <v>2041</v>
      </c>
      <c r="E284" t="s">
        <v>2027</v>
      </c>
      <c r="F284" t="s">
        <v>2029</v>
      </c>
      <c r="G284">
        <v>30</v>
      </c>
      <c r="H284" t="str" cm="1">
        <f t="array" ref="H284">_xlfn.IFS(
Table2[[#This Row],[AGE]]&lt;30,"Young",
Table2[[#This Row],[AGE]]&lt;40,"Middle Age",
Table2[[#This Row],[AGE]]&lt;50,"Senior",
TRUE,"Super Senior"
)</f>
        <v>Middle Age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s="1">
        <v>163935</v>
      </c>
      <c r="P284" s="1">
        <v>153152</v>
      </c>
      <c r="Q284" s="1">
        <v>147032</v>
      </c>
      <c r="R284" s="1">
        <v>122196</v>
      </c>
      <c r="S284" s="1">
        <v>103692</v>
      </c>
      <c r="T284" s="1">
        <v>70204</v>
      </c>
      <c r="U284" s="1">
        <v>7722</v>
      </c>
      <c r="V284" s="1">
        <v>6091</v>
      </c>
      <c r="W284" s="1">
        <v>3563</v>
      </c>
      <c r="X284" s="1">
        <v>3605</v>
      </c>
      <c r="Y284" s="1">
        <v>3000</v>
      </c>
      <c r="Z284" s="1">
        <v>3211</v>
      </c>
      <c r="AA284">
        <v>0</v>
      </c>
      <c r="AB284" t="str">
        <f t="shared" si="4"/>
        <v>Not Defaulter</v>
      </c>
      <c r="AC284" s="1">
        <f>Table2[[#This Row],[BILL_AMT1]]-Table2[[#This Row],[PAY_AMT1]]</f>
        <v>156213</v>
      </c>
      <c r="AD284" s="1" t="str" cm="1">
        <f t="array" ref="AD284">_xlfn.IFS(Table2[[#This Row],[PAYMENT GAP]]&lt;=0,"No Gap / Overpaid",Table2[[#This Row],[PAYMENT GAP]]&lt;=25000,"Low Gap",Table2[[#This Row],[PAYMENT GAP]]&lt;=100000,"Medium Gap",
TRUE,"High Gap"
)</f>
        <v>High Gap</v>
      </c>
    </row>
    <row r="285" spans="1:30" x14ac:dyDescent="0.3">
      <c r="A285">
        <v>284</v>
      </c>
      <c r="B285" s="1">
        <v>100000</v>
      </c>
      <c r="C285" s="1" t="str" cm="1">
        <f t="array" ref="C285">_xlfn.IFS(Table2[[#This Row],[LIMIT_BAL]]&lt;=100000,"Low",Table2[[#This Row],[LIMIT_BAL]]&lt;=300000,"Medium",
TRUE,"High"
)</f>
        <v>Low</v>
      </c>
      <c r="D285" t="s">
        <v>2041</v>
      </c>
      <c r="E285" t="s">
        <v>2026</v>
      </c>
      <c r="F285" t="s">
        <v>2029</v>
      </c>
      <c r="G285">
        <v>28</v>
      </c>
      <c r="H285" t="str" cm="1">
        <f t="array" ref="H285">_xlfn.IFS(
Table2[[#This Row],[AGE]]&lt;30,"Young",
Table2[[#This Row],[AGE]]&lt;40,"Middle Age",
Table2[[#This Row],[AGE]]&lt;50,"Senior",
TRUE,"Super Senior"
)</f>
        <v>Young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 s="1">
        <v>53494</v>
      </c>
      <c r="P285" s="1">
        <v>52656</v>
      </c>
      <c r="Q285" s="1">
        <v>52600</v>
      </c>
      <c r="R285" s="1">
        <v>52336</v>
      </c>
      <c r="S285" s="1">
        <v>55831</v>
      </c>
      <c r="T285" s="1">
        <v>56265</v>
      </c>
      <c r="U285" s="1">
        <v>4173</v>
      </c>
      <c r="V285" s="1">
        <v>3000</v>
      </c>
      <c r="W285" s="1">
        <v>2025</v>
      </c>
      <c r="X285" s="1">
        <v>5000</v>
      </c>
      <c r="Y285" s="1">
        <v>3000</v>
      </c>
      <c r="Z285" s="1">
        <v>3000</v>
      </c>
      <c r="AA285">
        <v>0</v>
      </c>
      <c r="AB285" t="str">
        <f t="shared" si="4"/>
        <v>Not Defaulter</v>
      </c>
      <c r="AC285" s="1">
        <f>Table2[[#This Row],[BILL_AMT1]]-Table2[[#This Row],[PAY_AMT1]]</f>
        <v>49321</v>
      </c>
      <c r="AD285" s="1" t="str" cm="1">
        <f t="array" ref="AD285">_xlfn.IFS(Table2[[#This Row],[PAYMENT GAP]]&lt;=0,"No Gap / Overpaid",Table2[[#This Row],[PAYMENT GAP]]&lt;=25000,"Low Gap",Table2[[#This Row],[PAYMENT GAP]]&lt;=100000,"Medium Gap",
TRUE,"High Gap"
)</f>
        <v>Medium Gap</v>
      </c>
    </row>
    <row r="286" spans="1:30" x14ac:dyDescent="0.3">
      <c r="A286">
        <v>285</v>
      </c>
      <c r="B286" s="1">
        <v>230000</v>
      </c>
      <c r="C286" s="1" t="str" cm="1">
        <f t="array" ref="C286">_xlfn.IFS(Table2[[#This Row],[LIMIT_BAL]]&lt;=100000,"Low",Table2[[#This Row],[LIMIT_BAL]]&lt;=300000,"Medium",
TRUE,"High"
)</f>
        <v>Medium</v>
      </c>
      <c r="D286" t="s">
        <v>2041</v>
      </c>
      <c r="E286" t="s">
        <v>2027</v>
      </c>
      <c r="F286" t="s">
        <v>2028</v>
      </c>
      <c r="G286">
        <v>32</v>
      </c>
      <c r="H286" t="str" cm="1">
        <f t="array" ref="H286">_xlfn.IFS(
Table2[[#This Row],[AGE]]&lt;30,"Young",
Table2[[#This Row],[AGE]]&lt;40,"Middle Age",
Table2[[#This Row],[AGE]]&lt;50,"Senior",
TRUE,"Super Senior"
)</f>
        <v>Middle Age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s="1">
        <v>195126</v>
      </c>
      <c r="P286" s="1">
        <v>88743</v>
      </c>
      <c r="Q286" s="1">
        <v>92195</v>
      </c>
      <c r="R286" s="1">
        <v>94814</v>
      </c>
      <c r="S286" s="1">
        <v>98182</v>
      </c>
      <c r="T286" s="1">
        <v>98457</v>
      </c>
      <c r="U286" s="1">
        <v>5000</v>
      </c>
      <c r="V286" s="1">
        <v>5000</v>
      </c>
      <c r="W286" s="1">
        <v>5000</v>
      </c>
      <c r="X286" s="1">
        <v>5000</v>
      </c>
      <c r="Y286" s="1">
        <v>4000</v>
      </c>
      <c r="Z286" s="1">
        <v>5000</v>
      </c>
      <c r="AA286">
        <v>0</v>
      </c>
      <c r="AB286" t="str">
        <f t="shared" si="4"/>
        <v>Not Defaulter</v>
      </c>
      <c r="AC286" s="1">
        <f>Table2[[#This Row],[BILL_AMT1]]-Table2[[#This Row],[PAY_AMT1]]</f>
        <v>190126</v>
      </c>
      <c r="AD286" s="1" t="str" cm="1">
        <f t="array" ref="AD286">_xlfn.IFS(Table2[[#This Row],[PAYMENT GAP]]&lt;=0,"No Gap / Overpaid",Table2[[#This Row],[PAYMENT GAP]]&lt;=25000,"Low Gap",Table2[[#This Row],[PAYMENT GAP]]&lt;=100000,"Medium Gap",
TRUE,"High Gap"
)</f>
        <v>High Gap</v>
      </c>
    </row>
    <row r="287" spans="1:30" x14ac:dyDescent="0.3">
      <c r="A287">
        <v>286</v>
      </c>
      <c r="B287" s="1">
        <v>210000</v>
      </c>
      <c r="C287" s="1" t="str" cm="1">
        <f t="array" ref="C287">_xlfn.IFS(Table2[[#This Row],[LIMIT_BAL]]&lt;=100000,"Low",Table2[[#This Row],[LIMIT_BAL]]&lt;=300000,"Medium",
TRUE,"High"
)</f>
        <v>Medium</v>
      </c>
      <c r="D287" t="s">
        <v>2041</v>
      </c>
      <c r="E287" t="s">
        <v>2026</v>
      </c>
      <c r="F287" t="s">
        <v>2028</v>
      </c>
      <c r="G287">
        <v>46</v>
      </c>
      <c r="H287" t="str" cm="1">
        <f t="array" ref="H287">_xlfn.IFS(
Table2[[#This Row],[AGE]]&lt;30,"Young",
Table2[[#This Row],[AGE]]&lt;40,"Middle Age",
Table2[[#This Row],[AGE]]&lt;50,"Senior",
TRUE,"Super Senior"
)</f>
        <v>Senior</v>
      </c>
      <c r="I287">
        <v>-1</v>
      </c>
      <c r="J287">
        <v>-1</v>
      </c>
      <c r="K287">
        <v>-1</v>
      </c>
      <c r="L287">
        <v>-1</v>
      </c>
      <c r="M287">
        <v>-1</v>
      </c>
      <c r="N287">
        <v>-1</v>
      </c>
      <c r="O287" s="1">
        <v>110346</v>
      </c>
      <c r="P287" s="1">
        <v>41986</v>
      </c>
      <c r="Q287" s="1">
        <v>21874</v>
      </c>
      <c r="R287" s="1">
        <v>20076</v>
      </c>
      <c r="S287" s="1">
        <v>16171</v>
      </c>
      <c r="T287" s="1">
        <v>586</v>
      </c>
      <c r="U287" s="1">
        <v>41986</v>
      </c>
      <c r="V287" s="1">
        <v>21874</v>
      </c>
      <c r="W287" s="1">
        <v>20076</v>
      </c>
      <c r="X287" s="1">
        <v>16171</v>
      </c>
      <c r="Y287" s="1">
        <v>586</v>
      </c>
      <c r="Z287" s="1">
        <v>19777</v>
      </c>
      <c r="AA287">
        <v>0</v>
      </c>
      <c r="AB287" t="str">
        <f t="shared" si="4"/>
        <v>Not Defaulter</v>
      </c>
      <c r="AC287" s="1">
        <f>Table2[[#This Row],[BILL_AMT1]]-Table2[[#This Row],[PAY_AMT1]]</f>
        <v>68360</v>
      </c>
      <c r="AD287" s="1" t="str" cm="1">
        <f t="array" ref="AD287">_xlfn.IFS(Table2[[#This Row],[PAYMENT GAP]]&lt;=0,"No Gap / Overpaid",Table2[[#This Row],[PAYMENT GAP]]&lt;=25000,"Low Gap",Table2[[#This Row],[PAYMENT GAP]]&lt;=100000,"Medium Gap",
TRUE,"High Gap"
)</f>
        <v>Medium Gap</v>
      </c>
    </row>
    <row r="288" spans="1:30" x14ac:dyDescent="0.3">
      <c r="A288">
        <v>287</v>
      </c>
      <c r="B288" s="1">
        <v>210000</v>
      </c>
      <c r="C288" s="1" t="str" cm="1">
        <f t="array" ref="C288">_xlfn.IFS(Table2[[#This Row],[LIMIT_BAL]]&lt;=100000,"Low",Table2[[#This Row],[LIMIT_BAL]]&lt;=300000,"Medium",
TRUE,"High"
)</f>
        <v>Medium</v>
      </c>
      <c r="D288" t="s">
        <v>2042</v>
      </c>
      <c r="E288" t="s">
        <v>2026</v>
      </c>
      <c r="F288" t="s">
        <v>2029</v>
      </c>
      <c r="G288">
        <v>38</v>
      </c>
      <c r="H288" t="str" cm="1">
        <f t="array" ref="H288">_xlfn.IFS(
Table2[[#This Row],[AGE]]&lt;30,"Young",
Table2[[#This Row],[AGE]]&lt;40,"Middle Age",
Table2[[#This Row],[AGE]]&lt;50,"Senior",
TRUE,"Super Senior"
)</f>
        <v>Middle Age</v>
      </c>
      <c r="I288">
        <v>2</v>
      </c>
      <c r="J288">
        <v>0</v>
      </c>
      <c r="K288">
        <v>0</v>
      </c>
      <c r="L288">
        <v>0</v>
      </c>
      <c r="M288">
        <v>0</v>
      </c>
      <c r="N288">
        <v>0</v>
      </c>
      <c r="O288" s="1">
        <v>60502</v>
      </c>
      <c r="P288" s="1">
        <v>62804</v>
      </c>
      <c r="Q288" s="1">
        <v>62769</v>
      </c>
      <c r="R288" s="1">
        <v>62683</v>
      </c>
      <c r="S288" s="1">
        <v>63663</v>
      </c>
      <c r="T288" s="1">
        <v>46549</v>
      </c>
      <c r="U288" s="1">
        <v>3276</v>
      </c>
      <c r="V288" s="1">
        <v>2026</v>
      </c>
      <c r="W288" s="1">
        <v>2000</v>
      </c>
      <c r="X288" s="1">
        <v>2000</v>
      </c>
      <c r="Y288" s="1">
        <v>2000</v>
      </c>
      <c r="Z288" s="1">
        <v>2502</v>
      </c>
      <c r="AA288">
        <v>0</v>
      </c>
      <c r="AB288" t="str">
        <f t="shared" si="4"/>
        <v>Not Defaulter</v>
      </c>
      <c r="AC288" s="1">
        <f>Table2[[#This Row],[BILL_AMT1]]-Table2[[#This Row],[PAY_AMT1]]</f>
        <v>57226</v>
      </c>
      <c r="AD288" s="1" t="str" cm="1">
        <f t="array" ref="AD288">_xlfn.IFS(Table2[[#This Row],[PAYMENT GAP]]&lt;=0,"No Gap / Overpaid",Table2[[#This Row],[PAYMENT GAP]]&lt;=25000,"Low Gap",Table2[[#This Row],[PAYMENT GAP]]&lt;=100000,"Medium Gap",
TRUE,"High Gap"
)</f>
        <v>Medium Gap</v>
      </c>
    </row>
    <row r="289" spans="1:30" x14ac:dyDescent="0.3">
      <c r="A289">
        <v>288</v>
      </c>
      <c r="B289" s="1">
        <v>440000</v>
      </c>
      <c r="C289" s="1" t="str" cm="1">
        <f t="array" ref="C289">_xlfn.IFS(Table2[[#This Row],[LIMIT_BAL]]&lt;=100000,"Low",Table2[[#This Row],[LIMIT_BAL]]&lt;=300000,"Medium",
TRUE,"High"
)</f>
        <v>High</v>
      </c>
      <c r="D289" t="s">
        <v>2041</v>
      </c>
      <c r="E289" t="s">
        <v>2043</v>
      </c>
      <c r="F289" t="s">
        <v>2028</v>
      </c>
      <c r="G289">
        <v>46</v>
      </c>
      <c r="H289" t="str" cm="1">
        <f t="array" ref="H289">_xlfn.IFS(
Table2[[#This Row],[AGE]]&lt;30,"Young",
Table2[[#This Row],[AGE]]&lt;40,"Middle Age",
Table2[[#This Row],[AGE]]&lt;50,"Senior",
TRUE,"Super Senior"
)</f>
        <v>Senior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 s="1">
        <v>180641</v>
      </c>
      <c r="P289" s="1">
        <v>181557</v>
      </c>
      <c r="Q289" s="1">
        <v>149944</v>
      </c>
      <c r="R289" s="1">
        <v>113135</v>
      </c>
      <c r="S289" s="1">
        <v>105280</v>
      </c>
      <c r="T289" s="1">
        <v>97622</v>
      </c>
      <c r="U289" s="1">
        <v>8610</v>
      </c>
      <c r="V289" s="1">
        <v>6907</v>
      </c>
      <c r="W289" s="1">
        <v>3727</v>
      </c>
      <c r="X289" s="1">
        <v>3800</v>
      </c>
      <c r="Y289" s="1">
        <v>4001</v>
      </c>
      <c r="Z289" s="1">
        <v>2701</v>
      </c>
      <c r="AA289">
        <v>0</v>
      </c>
      <c r="AB289" t="str">
        <f t="shared" si="4"/>
        <v>Not Defaulter</v>
      </c>
      <c r="AC289" s="1">
        <f>Table2[[#This Row],[BILL_AMT1]]-Table2[[#This Row],[PAY_AMT1]]</f>
        <v>172031</v>
      </c>
      <c r="AD289" s="1" t="str" cm="1">
        <f t="array" ref="AD289">_xlfn.IFS(Table2[[#This Row],[PAYMENT GAP]]&lt;=0,"No Gap / Overpaid",Table2[[#This Row],[PAYMENT GAP]]&lt;=25000,"Low Gap",Table2[[#This Row],[PAYMENT GAP]]&lt;=100000,"Medium Gap",
TRUE,"High Gap"
)</f>
        <v>High Gap</v>
      </c>
    </row>
    <row r="290" spans="1:30" x14ac:dyDescent="0.3">
      <c r="A290">
        <v>289</v>
      </c>
      <c r="B290" s="1">
        <v>100000</v>
      </c>
      <c r="C290" s="1" t="str" cm="1">
        <f t="array" ref="C290">_xlfn.IFS(Table2[[#This Row],[LIMIT_BAL]]&lt;=100000,"Low",Table2[[#This Row],[LIMIT_BAL]]&lt;=300000,"Medium",
TRUE,"High"
)</f>
        <v>Low</v>
      </c>
      <c r="D290" t="s">
        <v>2041</v>
      </c>
      <c r="E290" t="s">
        <v>2043</v>
      </c>
      <c r="F290" t="s">
        <v>2029</v>
      </c>
      <c r="G290">
        <v>25</v>
      </c>
      <c r="H290" t="str" cm="1">
        <f t="array" ref="H290">_xlfn.IFS(
Table2[[#This Row],[AGE]]&lt;30,"Young",
Table2[[#This Row],[AGE]]&lt;40,"Middle Age",
Table2[[#This Row],[AGE]]&lt;50,"Senior",
TRUE,"Super Senior"
)</f>
        <v>Young</v>
      </c>
      <c r="I290">
        <v>2</v>
      </c>
      <c r="J290">
        <v>0</v>
      </c>
      <c r="K290">
        <v>0</v>
      </c>
      <c r="L290">
        <v>0</v>
      </c>
      <c r="M290">
        <v>0</v>
      </c>
      <c r="N290">
        <v>0</v>
      </c>
      <c r="O290" s="1">
        <v>70896</v>
      </c>
      <c r="P290" s="1">
        <v>71678</v>
      </c>
      <c r="Q290" s="1">
        <v>70125</v>
      </c>
      <c r="R290" s="1">
        <v>69856</v>
      </c>
      <c r="S290" s="1">
        <v>69718</v>
      </c>
      <c r="T290" s="1">
        <v>51365</v>
      </c>
      <c r="U290" s="1">
        <v>3472</v>
      </c>
      <c r="V290" s="1">
        <v>2092</v>
      </c>
      <c r="W290" s="1">
        <v>2000</v>
      </c>
      <c r="X290" s="1">
        <v>2127</v>
      </c>
      <c r="Y290" s="1">
        <v>1960</v>
      </c>
      <c r="Z290" s="1">
        <v>1559</v>
      </c>
      <c r="AA290">
        <v>1</v>
      </c>
      <c r="AB290" t="str">
        <f t="shared" si="4"/>
        <v>Defaulter</v>
      </c>
      <c r="AC290" s="1">
        <f>Table2[[#This Row],[BILL_AMT1]]-Table2[[#This Row],[PAY_AMT1]]</f>
        <v>67424</v>
      </c>
      <c r="AD290" s="1" t="str" cm="1">
        <f t="array" ref="AD290">_xlfn.IFS(Table2[[#This Row],[PAYMENT GAP]]&lt;=0,"No Gap / Overpaid",Table2[[#This Row],[PAYMENT GAP]]&lt;=25000,"Low Gap",Table2[[#This Row],[PAYMENT GAP]]&lt;=100000,"Medium Gap",
TRUE,"High Gap"
)</f>
        <v>Medium Gap</v>
      </c>
    </row>
    <row r="291" spans="1:30" x14ac:dyDescent="0.3">
      <c r="A291">
        <v>290</v>
      </c>
      <c r="B291" s="1">
        <v>240000</v>
      </c>
      <c r="C291" s="1" t="str" cm="1">
        <f t="array" ref="C291">_xlfn.IFS(Table2[[#This Row],[LIMIT_BAL]]&lt;=100000,"Low",Table2[[#This Row],[LIMIT_BAL]]&lt;=300000,"Medium",
TRUE,"High"
)</f>
        <v>Medium</v>
      </c>
      <c r="D291" t="s">
        <v>2041</v>
      </c>
      <c r="E291" t="s">
        <v>2043</v>
      </c>
      <c r="F291" t="s">
        <v>2028</v>
      </c>
      <c r="G291">
        <v>46</v>
      </c>
      <c r="H291" t="str" cm="1">
        <f t="array" ref="H291">_xlfn.IFS(
Table2[[#This Row],[AGE]]&lt;30,"Young",
Table2[[#This Row],[AGE]]&lt;40,"Middle Age",
Table2[[#This Row],[AGE]]&lt;50,"Senior",
TRUE,"Super Senior"
)</f>
        <v>Senior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 s="1">
        <v>8751</v>
      </c>
      <c r="P291" s="1">
        <v>9900</v>
      </c>
      <c r="Q291" s="1">
        <v>10605</v>
      </c>
      <c r="R291" s="1">
        <v>10765</v>
      </c>
      <c r="S291" s="1">
        <v>11765</v>
      </c>
      <c r="T291" s="1">
        <v>4311</v>
      </c>
      <c r="U291" s="1">
        <v>1295</v>
      </c>
      <c r="V291" s="1">
        <v>1000</v>
      </c>
      <c r="W291" s="1">
        <v>1000</v>
      </c>
      <c r="X291" s="1">
        <v>1000</v>
      </c>
      <c r="Y291" s="1">
        <v>1000</v>
      </c>
      <c r="Z291" s="1">
        <v>1000</v>
      </c>
      <c r="AA291">
        <v>0</v>
      </c>
      <c r="AB291" t="str">
        <f t="shared" si="4"/>
        <v>Not Defaulter</v>
      </c>
      <c r="AC291" s="1">
        <f>Table2[[#This Row],[BILL_AMT1]]-Table2[[#This Row],[PAY_AMT1]]</f>
        <v>7456</v>
      </c>
      <c r="AD291" s="1" t="str" cm="1">
        <f t="array" ref="AD291">_xlfn.IFS(Table2[[#This Row],[PAYMENT GAP]]&lt;=0,"No Gap / Overpaid",Table2[[#This Row],[PAYMENT GAP]]&lt;=25000,"Low Gap",Table2[[#This Row],[PAYMENT GAP]]&lt;=100000,"Medium Gap",
TRUE,"High Gap"
)</f>
        <v>Low Gap</v>
      </c>
    </row>
    <row r="292" spans="1:30" x14ac:dyDescent="0.3">
      <c r="A292">
        <v>291</v>
      </c>
      <c r="B292" s="1">
        <v>280000</v>
      </c>
      <c r="C292" s="1" t="str" cm="1">
        <f t="array" ref="C292">_xlfn.IFS(Table2[[#This Row],[LIMIT_BAL]]&lt;=100000,"Low",Table2[[#This Row],[LIMIT_BAL]]&lt;=300000,"Medium",
TRUE,"High"
)</f>
        <v>Medium</v>
      </c>
      <c r="D292" t="s">
        <v>2042</v>
      </c>
      <c r="E292" t="s">
        <v>2026</v>
      </c>
      <c r="F292" t="s">
        <v>2029</v>
      </c>
      <c r="G292">
        <v>33</v>
      </c>
      <c r="H292" t="str" cm="1">
        <f t="array" ref="H292">_xlfn.IFS(
Table2[[#This Row],[AGE]]&lt;30,"Young",
Table2[[#This Row],[AGE]]&lt;40,"Middle Age",
Table2[[#This Row],[AGE]]&lt;50,"Senior",
TRUE,"Super Senior"
)</f>
        <v>Middle Age</v>
      </c>
      <c r="I292">
        <v>-1</v>
      </c>
      <c r="J292">
        <v>-1</v>
      </c>
      <c r="K292">
        <v>-1</v>
      </c>
      <c r="L292">
        <v>-1</v>
      </c>
      <c r="M292">
        <v>-1</v>
      </c>
      <c r="N292">
        <v>-1</v>
      </c>
      <c r="O292" s="1">
        <v>898</v>
      </c>
      <c r="P292" s="1">
        <v>898</v>
      </c>
      <c r="Q292" s="1">
        <v>325</v>
      </c>
      <c r="R292" s="1">
        <v>898</v>
      </c>
      <c r="S292" s="1">
        <v>325</v>
      </c>
      <c r="T292" s="1">
        <v>-339603</v>
      </c>
      <c r="U292" s="1">
        <v>898</v>
      </c>
      <c r="V292" s="1">
        <v>325</v>
      </c>
      <c r="W292" s="1">
        <v>898</v>
      </c>
      <c r="X292" s="1">
        <v>325</v>
      </c>
      <c r="Y292" s="1">
        <v>0</v>
      </c>
      <c r="Z292" s="1">
        <v>345293</v>
      </c>
      <c r="AA292">
        <v>1</v>
      </c>
      <c r="AB292" t="str">
        <f t="shared" si="4"/>
        <v>Defaulter</v>
      </c>
      <c r="AC292" s="1">
        <f>Table2[[#This Row],[BILL_AMT1]]-Table2[[#This Row],[PAY_AMT1]]</f>
        <v>0</v>
      </c>
      <c r="AD292" s="1" t="str" cm="1">
        <f t="array" ref="AD292">_xlfn.IFS(Table2[[#This Row],[PAYMENT GAP]]&lt;=0,"No Gap / Overpaid",Table2[[#This Row],[PAYMENT GAP]]&lt;=25000,"Low Gap",Table2[[#This Row],[PAYMENT GAP]]&lt;=100000,"Medium Gap",
TRUE,"High Gap"
)</f>
        <v>No Gap / Overpaid</v>
      </c>
    </row>
    <row r="293" spans="1:30" x14ac:dyDescent="0.3">
      <c r="A293">
        <v>292</v>
      </c>
      <c r="B293" s="1">
        <v>50000</v>
      </c>
      <c r="C293" s="1" t="str" cm="1">
        <f t="array" ref="C293">_xlfn.IFS(Table2[[#This Row],[LIMIT_BAL]]&lt;=100000,"Low",Table2[[#This Row],[LIMIT_BAL]]&lt;=300000,"Medium",
TRUE,"High"
)</f>
        <v>Low</v>
      </c>
      <c r="D293" t="s">
        <v>2041</v>
      </c>
      <c r="E293" t="s">
        <v>2043</v>
      </c>
      <c r="F293" t="s">
        <v>2029</v>
      </c>
      <c r="G293">
        <v>22</v>
      </c>
      <c r="H293" t="str" cm="1">
        <f t="array" ref="H293">_xlfn.IFS(
Table2[[#This Row],[AGE]]&lt;30,"Young",
Table2[[#This Row],[AGE]]&lt;40,"Middle Age",
Table2[[#This Row],[AGE]]&lt;50,"Senior",
TRUE,"Super Senior"
)</f>
        <v>Young</v>
      </c>
      <c r="I293">
        <v>1</v>
      </c>
      <c r="J293">
        <v>-2</v>
      </c>
      <c r="K293">
        <v>-2</v>
      </c>
      <c r="L293">
        <v>-2</v>
      </c>
      <c r="M293">
        <v>-2</v>
      </c>
      <c r="N293">
        <v>-2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>
        <v>1</v>
      </c>
      <c r="AB293" t="str">
        <f t="shared" si="4"/>
        <v>Defaulter</v>
      </c>
      <c r="AC293" s="1">
        <f>Table2[[#This Row],[BILL_AMT1]]-Table2[[#This Row],[PAY_AMT1]]</f>
        <v>0</v>
      </c>
      <c r="AD293" s="1" t="str" cm="1">
        <f t="array" ref="AD293">_xlfn.IFS(Table2[[#This Row],[PAYMENT GAP]]&lt;=0,"No Gap / Overpaid",Table2[[#This Row],[PAYMENT GAP]]&lt;=25000,"Low Gap",Table2[[#This Row],[PAYMENT GAP]]&lt;=100000,"Medium Gap",
TRUE,"High Gap"
)</f>
        <v>No Gap / Overpaid</v>
      </c>
    </row>
    <row r="294" spans="1:30" x14ac:dyDescent="0.3">
      <c r="A294">
        <v>293</v>
      </c>
      <c r="B294" s="1">
        <v>30000</v>
      </c>
      <c r="C294" s="1" t="str" cm="1">
        <f t="array" ref="C294">_xlfn.IFS(Table2[[#This Row],[LIMIT_BAL]]&lt;=100000,"Low",Table2[[#This Row],[LIMIT_BAL]]&lt;=300000,"Medium",
TRUE,"High"
)</f>
        <v>Low</v>
      </c>
      <c r="D294" t="s">
        <v>2042</v>
      </c>
      <c r="E294" t="s">
        <v>2043</v>
      </c>
      <c r="F294" t="s">
        <v>2028</v>
      </c>
      <c r="G294">
        <v>43</v>
      </c>
      <c r="H294" t="str" cm="1">
        <f t="array" ref="H294">_xlfn.IFS(
Table2[[#This Row],[AGE]]&lt;30,"Young",
Table2[[#This Row],[AGE]]&lt;40,"Middle Age",
Table2[[#This Row],[AGE]]&lt;50,"Senior",
TRUE,"Super Senior"
)</f>
        <v>Senior</v>
      </c>
      <c r="I294">
        <v>3</v>
      </c>
      <c r="J294">
        <v>2</v>
      </c>
      <c r="K294">
        <v>2</v>
      </c>
      <c r="L294">
        <v>2</v>
      </c>
      <c r="M294">
        <v>2</v>
      </c>
      <c r="N294">
        <v>2</v>
      </c>
      <c r="O294" s="1">
        <v>1700</v>
      </c>
      <c r="P294" s="1">
        <v>2610</v>
      </c>
      <c r="Q294" s="1">
        <v>1914</v>
      </c>
      <c r="R294" s="1">
        <v>2182</v>
      </c>
      <c r="S294" s="1">
        <v>2000</v>
      </c>
      <c r="T294" s="1">
        <v>2566</v>
      </c>
      <c r="U294" s="1">
        <v>1100</v>
      </c>
      <c r="V294" s="1">
        <v>0</v>
      </c>
      <c r="W294" s="1">
        <v>300</v>
      </c>
      <c r="X294" s="1">
        <v>0</v>
      </c>
      <c r="Y294" s="1">
        <v>600</v>
      </c>
      <c r="Z294" s="1">
        <v>0</v>
      </c>
      <c r="AA294">
        <v>0</v>
      </c>
      <c r="AB294" t="str">
        <f t="shared" si="4"/>
        <v>Not Defaulter</v>
      </c>
      <c r="AC294" s="1">
        <f>Table2[[#This Row],[BILL_AMT1]]-Table2[[#This Row],[PAY_AMT1]]</f>
        <v>600</v>
      </c>
      <c r="AD294" s="1" t="str" cm="1">
        <f t="array" ref="AD294">_xlfn.IFS(Table2[[#This Row],[PAYMENT GAP]]&lt;=0,"No Gap / Overpaid",Table2[[#This Row],[PAYMENT GAP]]&lt;=25000,"Low Gap",Table2[[#This Row],[PAYMENT GAP]]&lt;=100000,"Medium Gap",
TRUE,"High Gap"
)</f>
        <v>Low Gap</v>
      </c>
    </row>
    <row r="295" spans="1:30" x14ac:dyDescent="0.3">
      <c r="A295">
        <v>294</v>
      </c>
      <c r="B295" s="1">
        <v>10000</v>
      </c>
      <c r="C295" s="1" t="str" cm="1">
        <f t="array" ref="C295">_xlfn.IFS(Table2[[#This Row],[LIMIT_BAL]]&lt;=100000,"Low",Table2[[#This Row],[LIMIT_BAL]]&lt;=300000,"Medium",
TRUE,"High"
)</f>
        <v>Low</v>
      </c>
      <c r="D295" t="s">
        <v>2042</v>
      </c>
      <c r="E295" t="s">
        <v>2043</v>
      </c>
      <c r="F295" t="s">
        <v>2029</v>
      </c>
      <c r="G295">
        <v>27</v>
      </c>
      <c r="H295" t="str" cm="1">
        <f t="array" ref="H295">_xlfn.IFS(
Table2[[#This Row],[AGE]]&lt;30,"Young",
Table2[[#This Row],[AGE]]&lt;40,"Middle Age",
Table2[[#This Row],[AGE]]&lt;50,"Senior",
TRUE,"Super Senior"
)</f>
        <v>Young</v>
      </c>
      <c r="I295">
        <v>0</v>
      </c>
      <c r="J295">
        <v>0</v>
      </c>
      <c r="K295">
        <v>2</v>
      </c>
      <c r="L295">
        <v>0</v>
      </c>
      <c r="M295">
        <v>0</v>
      </c>
      <c r="N295">
        <v>0</v>
      </c>
      <c r="O295" s="1">
        <v>7015</v>
      </c>
      <c r="P295" s="1">
        <v>10227</v>
      </c>
      <c r="Q295" s="1">
        <v>9560</v>
      </c>
      <c r="R295" s="1">
        <v>9901</v>
      </c>
      <c r="S295" s="1">
        <v>9963</v>
      </c>
      <c r="T295" s="1">
        <v>10182</v>
      </c>
      <c r="U295" s="1">
        <v>3507</v>
      </c>
      <c r="V295" s="1">
        <v>0</v>
      </c>
      <c r="W295" s="1">
        <v>500</v>
      </c>
      <c r="X295" s="1">
        <v>370</v>
      </c>
      <c r="Y295" s="1">
        <v>393</v>
      </c>
      <c r="Z295" s="1">
        <v>700</v>
      </c>
      <c r="AA295">
        <v>1</v>
      </c>
      <c r="AB295" t="str">
        <f t="shared" si="4"/>
        <v>Defaulter</v>
      </c>
      <c r="AC295" s="1">
        <f>Table2[[#This Row],[BILL_AMT1]]-Table2[[#This Row],[PAY_AMT1]]</f>
        <v>3508</v>
      </c>
      <c r="AD295" s="1" t="str" cm="1">
        <f t="array" ref="AD295">_xlfn.IFS(Table2[[#This Row],[PAYMENT GAP]]&lt;=0,"No Gap / Overpaid",Table2[[#This Row],[PAYMENT GAP]]&lt;=25000,"Low Gap",Table2[[#This Row],[PAYMENT GAP]]&lt;=100000,"Medium Gap",
TRUE,"High Gap"
)</f>
        <v>Low Gap</v>
      </c>
    </row>
    <row r="296" spans="1:30" x14ac:dyDescent="0.3">
      <c r="A296">
        <v>295</v>
      </c>
      <c r="B296" s="1">
        <v>130000</v>
      </c>
      <c r="C296" s="1" t="str" cm="1">
        <f t="array" ref="C296">_xlfn.IFS(Table2[[#This Row],[LIMIT_BAL]]&lt;=100000,"Low",Table2[[#This Row],[LIMIT_BAL]]&lt;=300000,"Medium",
TRUE,"High"
)</f>
        <v>Medium</v>
      </c>
      <c r="D296" t="s">
        <v>2042</v>
      </c>
      <c r="E296" t="s">
        <v>2026</v>
      </c>
      <c r="F296" t="s">
        <v>2029</v>
      </c>
      <c r="G296">
        <v>29</v>
      </c>
      <c r="H296" t="str" cm="1">
        <f t="array" ref="H296">_xlfn.IFS(
Table2[[#This Row],[AGE]]&lt;30,"Young",
Table2[[#This Row],[AGE]]&lt;40,"Middle Age",
Table2[[#This Row],[AGE]]&lt;50,"Senior",
TRUE,"Super Senior"
)</f>
        <v>Young</v>
      </c>
      <c r="I296">
        <v>1</v>
      </c>
      <c r="J296">
        <v>-2</v>
      </c>
      <c r="K296">
        <v>-2</v>
      </c>
      <c r="L296">
        <v>-2</v>
      </c>
      <c r="M296">
        <v>-2</v>
      </c>
      <c r="N296">
        <v>-2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1500</v>
      </c>
      <c r="AA296">
        <v>0</v>
      </c>
      <c r="AB296" t="str">
        <f t="shared" si="4"/>
        <v>Not Defaulter</v>
      </c>
      <c r="AC296" s="1">
        <f>Table2[[#This Row],[BILL_AMT1]]-Table2[[#This Row],[PAY_AMT1]]</f>
        <v>0</v>
      </c>
      <c r="AD296" s="1" t="str" cm="1">
        <f t="array" ref="AD296">_xlfn.IFS(Table2[[#This Row],[PAYMENT GAP]]&lt;=0,"No Gap / Overpaid",Table2[[#This Row],[PAYMENT GAP]]&lt;=25000,"Low Gap",Table2[[#This Row],[PAYMENT GAP]]&lt;=100000,"Medium Gap",
TRUE,"High Gap"
)</f>
        <v>No Gap / Overpaid</v>
      </c>
    </row>
    <row r="297" spans="1:30" x14ac:dyDescent="0.3">
      <c r="A297">
        <v>296</v>
      </c>
      <c r="B297" s="1">
        <v>200000</v>
      </c>
      <c r="C297" s="1" t="str" cm="1">
        <f t="array" ref="C297">_xlfn.IFS(Table2[[#This Row],[LIMIT_BAL]]&lt;=100000,"Low",Table2[[#This Row],[LIMIT_BAL]]&lt;=300000,"Medium",
TRUE,"High"
)</f>
        <v>Medium</v>
      </c>
      <c r="D297" t="s">
        <v>2042</v>
      </c>
      <c r="E297" t="s">
        <v>2026</v>
      </c>
      <c r="F297" t="s">
        <v>2029</v>
      </c>
      <c r="G297">
        <v>31</v>
      </c>
      <c r="H297" t="str" cm="1">
        <f t="array" ref="H297">_xlfn.IFS(
Table2[[#This Row],[AGE]]&lt;30,"Young",
Table2[[#This Row],[AGE]]&lt;40,"Middle Age",
Table2[[#This Row],[AGE]]&lt;50,"Senior",
TRUE,"Super Senior"
)</f>
        <v>Middle Age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 s="1">
        <v>194353</v>
      </c>
      <c r="P297" s="1">
        <v>197344</v>
      </c>
      <c r="Q297" s="1">
        <v>186292</v>
      </c>
      <c r="R297" s="1">
        <v>133345</v>
      </c>
      <c r="S297" s="1">
        <v>133634</v>
      </c>
      <c r="T297" s="1">
        <v>133990</v>
      </c>
      <c r="U297" s="1">
        <v>9000</v>
      </c>
      <c r="V297" s="1">
        <v>7465</v>
      </c>
      <c r="W297" s="1">
        <v>4715</v>
      </c>
      <c r="X297" s="1">
        <v>4804</v>
      </c>
      <c r="Y297" s="1">
        <v>5141</v>
      </c>
      <c r="Z297" s="1">
        <v>5300</v>
      </c>
      <c r="AA297">
        <v>0</v>
      </c>
      <c r="AB297" t="str">
        <f t="shared" si="4"/>
        <v>Not Defaulter</v>
      </c>
      <c r="AC297" s="1">
        <f>Table2[[#This Row],[BILL_AMT1]]-Table2[[#This Row],[PAY_AMT1]]</f>
        <v>185353</v>
      </c>
      <c r="AD297" s="1" t="str" cm="1">
        <f t="array" ref="AD297">_xlfn.IFS(Table2[[#This Row],[PAYMENT GAP]]&lt;=0,"No Gap / Overpaid",Table2[[#This Row],[PAYMENT GAP]]&lt;=25000,"Low Gap",Table2[[#This Row],[PAYMENT GAP]]&lt;=100000,"Medium Gap",
TRUE,"High Gap"
)</f>
        <v>High Gap</v>
      </c>
    </row>
    <row r="298" spans="1:30" x14ac:dyDescent="0.3">
      <c r="A298">
        <v>297</v>
      </c>
      <c r="B298" s="1">
        <v>120000</v>
      </c>
      <c r="C298" s="1" t="str" cm="1">
        <f t="array" ref="C298">_xlfn.IFS(Table2[[#This Row],[LIMIT_BAL]]&lt;=100000,"Low",Table2[[#This Row],[LIMIT_BAL]]&lt;=300000,"Medium",
TRUE,"High"
)</f>
        <v>Medium</v>
      </c>
      <c r="D298" t="s">
        <v>2041</v>
      </c>
      <c r="E298" t="s">
        <v>2043</v>
      </c>
      <c r="F298" t="s">
        <v>2028</v>
      </c>
      <c r="G298">
        <v>29</v>
      </c>
      <c r="H298" t="str" cm="1">
        <f t="array" ref="H298">_xlfn.IFS(
Table2[[#This Row],[AGE]]&lt;30,"Young",
Table2[[#This Row],[AGE]]&lt;40,"Middle Age",
Table2[[#This Row],[AGE]]&lt;50,"Senior",
TRUE,"Super Senior"
)</f>
        <v>Young</v>
      </c>
      <c r="I298">
        <v>-1</v>
      </c>
      <c r="J298">
        <v>-1</v>
      </c>
      <c r="K298">
        <v>-1</v>
      </c>
      <c r="L298">
        <v>-1</v>
      </c>
      <c r="M298">
        <v>-1</v>
      </c>
      <c r="N298">
        <v>-1</v>
      </c>
      <c r="O298" s="1">
        <v>1686</v>
      </c>
      <c r="P298" s="1">
        <v>657</v>
      </c>
      <c r="Q298" s="1">
        <v>2179</v>
      </c>
      <c r="R298" s="1">
        <v>1423</v>
      </c>
      <c r="S298" s="1">
        <v>0</v>
      </c>
      <c r="T298" s="1">
        <v>1820</v>
      </c>
      <c r="U298" s="1">
        <v>657</v>
      </c>
      <c r="V298" s="1">
        <v>2319</v>
      </c>
      <c r="W298" s="1">
        <v>1423</v>
      </c>
      <c r="X298" s="1">
        <v>0</v>
      </c>
      <c r="Y298" s="1">
        <v>1820</v>
      </c>
      <c r="Z298" s="1">
        <v>2496</v>
      </c>
      <c r="AA298">
        <v>0</v>
      </c>
      <c r="AB298" t="str">
        <f t="shared" si="4"/>
        <v>Not Defaulter</v>
      </c>
      <c r="AC298" s="1">
        <f>Table2[[#This Row],[BILL_AMT1]]-Table2[[#This Row],[PAY_AMT1]]</f>
        <v>1029</v>
      </c>
      <c r="AD298" s="1" t="str" cm="1">
        <f t="array" ref="AD298">_xlfn.IFS(Table2[[#This Row],[PAYMENT GAP]]&lt;=0,"No Gap / Overpaid",Table2[[#This Row],[PAYMENT GAP]]&lt;=25000,"Low Gap",Table2[[#This Row],[PAYMENT GAP]]&lt;=100000,"Medium Gap",
TRUE,"High Gap"
)</f>
        <v>Low Gap</v>
      </c>
    </row>
    <row r="299" spans="1:30" x14ac:dyDescent="0.3">
      <c r="A299">
        <v>298</v>
      </c>
      <c r="B299" s="1">
        <v>210000</v>
      </c>
      <c r="C299" s="1" t="str" cm="1">
        <f t="array" ref="C299">_xlfn.IFS(Table2[[#This Row],[LIMIT_BAL]]&lt;=100000,"Low",Table2[[#This Row],[LIMIT_BAL]]&lt;=300000,"Medium",
TRUE,"High"
)</f>
        <v>Medium</v>
      </c>
      <c r="D299" t="s">
        <v>2041</v>
      </c>
      <c r="E299" t="s">
        <v>2043</v>
      </c>
      <c r="F299" t="s">
        <v>2028</v>
      </c>
      <c r="G299">
        <v>36</v>
      </c>
      <c r="H299" t="str" cm="1">
        <f t="array" ref="H299">_xlfn.IFS(
Table2[[#This Row],[AGE]]&lt;30,"Young",
Table2[[#This Row],[AGE]]&lt;40,"Middle Age",
Table2[[#This Row],[AGE]]&lt;50,"Senior",
TRUE,"Super Senior"
)</f>
        <v>Middle Age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 s="1">
        <v>143225</v>
      </c>
      <c r="P299" s="1">
        <v>142996</v>
      </c>
      <c r="Q299" s="1">
        <v>144415</v>
      </c>
      <c r="R299" s="1">
        <v>148190</v>
      </c>
      <c r="S299" s="1">
        <v>147993</v>
      </c>
      <c r="T299" s="1">
        <v>131629</v>
      </c>
      <c r="U299" s="1">
        <v>6483</v>
      </c>
      <c r="V299" s="1">
        <v>5082</v>
      </c>
      <c r="W299" s="1">
        <v>6000</v>
      </c>
      <c r="X299" s="1">
        <v>5900</v>
      </c>
      <c r="Y299" s="1">
        <v>4544</v>
      </c>
      <c r="Z299" s="1">
        <v>4700</v>
      </c>
      <c r="AA299">
        <v>0</v>
      </c>
      <c r="AB299" t="str">
        <f t="shared" si="4"/>
        <v>Not Defaulter</v>
      </c>
      <c r="AC299" s="1">
        <f>Table2[[#This Row],[BILL_AMT1]]-Table2[[#This Row],[PAY_AMT1]]</f>
        <v>136742</v>
      </c>
      <c r="AD299" s="1" t="str" cm="1">
        <f t="array" ref="AD299">_xlfn.IFS(Table2[[#This Row],[PAYMENT GAP]]&lt;=0,"No Gap / Overpaid",Table2[[#This Row],[PAYMENT GAP]]&lt;=25000,"Low Gap",Table2[[#This Row],[PAYMENT GAP]]&lt;=100000,"Medium Gap",
TRUE,"High Gap"
)</f>
        <v>High Gap</v>
      </c>
    </row>
    <row r="300" spans="1:30" x14ac:dyDescent="0.3">
      <c r="A300">
        <v>299</v>
      </c>
      <c r="B300" s="1">
        <v>280000</v>
      </c>
      <c r="C300" s="1" t="str" cm="1">
        <f t="array" ref="C300">_xlfn.IFS(Table2[[#This Row],[LIMIT_BAL]]&lt;=100000,"Low",Table2[[#This Row],[LIMIT_BAL]]&lt;=300000,"Medium",
TRUE,"High"
)</f>
        <v>Medium</v>
      </c>
      <c r="D300" t="s">
        <v>2041</v>
      </c>
      <c r="E300" t="s">
        <v>2026</v>
      </c>
      <c r="F300" t="s">
        <v>2028</v>
      </c>
      <c r="G300">
        <v>36</v>
      </c>
      <c r="H300" t="str" cm="1">
        <f t="array" ref="H300">_xlfn.IFS(
Table2[[#This Row],[AGE]]&lt;30,"Young",
Table2[[#This Row],[AGE]]&lt;40,"Middle Age",
Table2[[#This Row],[AGE]]&lt;50,"Senior",
TRUE,"Super Senior"
)</f>
        <v>Middle Age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s="1">
        <v>58983</v>
      </c>
      <c r="P300" s="1">
        <v>60788</v>
      </c>
      <c r="Q300" s="1">
        <v>63225</v>
      </c>
      <c r="R300" s="1">
        <v>29701</v>
      </c>
      <c r="S300" s="1">
        <v>30172</v>
      </c>
      <c r="T300" s="1">
        <v>30771</v>
      </c>
      <c r="U300" s="1">
        <v>2755</v>
      </c>
      <c r="V300" s="1">
        <v>3463</v>
      </c>
      <c r="W300" s="1">
        <v>1300</v>
      </c>
      <c r="X300" s="1">
        <v>1100</v>
      </c>
      <c r="Y300" s="1">
        <v>1100</v>
      </c>
      <c r="Z300" s="1">
        <v>2000</v>
      </c>
      <c r="AA300">
        <v>0</v>
      </c>
      <c r="AB300" t="str">
        <f t="shared" si="4"/>
        <v>Not Defaulter</v>
      </c>
      <c r="AC300" s="1">
        <f>Table2[[#This Row],[BILL_AMT1]]-Table2[[#This Row],[PAY_AMT1]]</f>
        <v>56228</v>
      </c>
      <c r="AD300" s="1" t="str" cm="1">
        <f t="array" ref="AD300">_xlfn.IFS(Table2[[#This Row],[PAYMENT GAP]]&lt;=0,"No Gap / Overpaid",Table2[[#This Row],[PAYMENT GAP]]&lt;=25000,"Low Gap",Table2[[#This Row],[PAYMENT GAP]]&lt;=100000,"Medium Gap",
TRUE,"High Gap"
)</f>
        <v>Medium Gap</v>
      </c>
    </row>
    <row r="301" spans="1:30" x14ac:dyDescent="0.3">
      <c r="A301">
        <v>300</v>
      </c>
      <c r="B301" s="1">
        <v>300000</v>
      </c>
      <c r="C301" s="1" t="str" cm="1">
        <f t="array" ref="C301">_xlfn.IFS(Table2[[#This Row],[LIMIT_BAL]]&lt;=100000,"Low",Table2[[#This Row],[LIMIT_BAL]]&lt;=300000,"Medium",
TRUE,"High"
)</f>
        <v>Medium</v>
      </c>
      <c r="D301" t="s">
        <v>2042</v>
      </c>
      <c r="E301" t="s">
        <v>2026</v>
      </c>
      <c r="F301" t="s">
        <v>2029</v>
      </c>
      <c r="G301">
        <v>34</v>
      </c>
      <c r="H301" t="str" cm="1">
        <f t="array" ref="H301">_xlfn.IFS(
Table2[[#This Row],[AGE]]&lt;30,"Young",
Table2[[#This Row],[AGE]]&lt;40,"Middle Age",
Table2[[#This Row],[AGE]]&lt;50,"Senior",
TRUE,"Super Senior"
)</f>
        <v>Middle Age</v>
      </c>
      <c r="I301">
        <v>1</v>
      </c>
      <c r="J301">
        <v>-2</v>
      </c>
      <c r="K301">
        <v>-1</v>
      </c>
      <c r="L301">
        <v>0</v>
      </c>
      <c r="M301">
        <v>-1</v>
      </c>
      <c r="N301">
        <v>-1</v>
      </c>
      <c r="O301" s="1">
        <v>0</v>
      </c>
      <c r="P301" s="1">
        <v>0</v>
      </c>
      <c r="Q301" s="1">
        <v>13001</v>
      </c>
      <c r="R301" s="1">
        <v>12601</v>
      </c>
      <c r="S301" s="1">
        <v>19595</v>
      </c>
      <c r="T301" s="1">
        <v>203</v>
      </c>
      <c r="U301" s="1">
        <v>0</v>
      </c>
      <c r="V301" s="1">
        <v>13001</v>
      </c>
      <c r="W301" s="1">
        <v>0</v>
      </c>
      <c r="X301" s="1">
        <v>19595</v>
      </c>
      <c r="Y301" s="1">
        <v>203</v>
      </c>
      <c r="Z301" s="1">
        <v>0</v>
      </c>
      <c r="AA301">
        <v>1</v>
      </c>
      <c r="AB301" t="str">
        <f t="shared" si="4"/>
        <v>Defaulter</v>
      </c>
      <c r="AC301" s="1">
        <f>Table2[[#This Row],[BILL_AMT1]]-Table2[[#This Row],[PAY_AMT1]]</f>
        <v>0</v>
      </c>
      <c r="AD301" s="1" t="str" cm="1">
        <f t="array" ref="AD301">_xlfn.IFS(Table2[[#This Row],[PAYMENT GAP]]&lt;=0,"No Gap / Overpaid",Table2[[#This Row],[PAYMENT GAP]]&lt;=25000,"Low Gap",Table2[[#This Row],[PAYMENT GAP]]&lt;=100000,"Medium Gap",
TRUE,"High Gap"
)</f>
        <v>No Gap / Overpaid</v>
      </c>
    </row>
    <row r="302" spans="1:30" x14ac:dyDescent="0.3">
      <c r="A302">
        <v>301</v>
      </c>
      <c r="B302" s="1">
        <v>100000</v>
      </c>
      <c r="C302" s="1" t="str" cm="1">
        <f t="array" ref="C302">_xlfn.IFS(Table2[[#This Row],[LIMIT_BAL]]&lt;=100000,"Low",Table2[[#This Row],[LIMIT_BAL]]&lt;=300000,"Medium",
TRUE,"High"
)</f>
        <v>Low</v>
      </c>
      <c r="D302" t="s">
        <v>2042</v>
      </c>
      <c r="E302" t="s">
        <v>2043</v>
      </c>
      <c r="F302" t="s">
        <v>2029</v>
      </c>
      <c r="G302">
        <v>37</v>
      </c>
      <c r="H302" t="str" cm="1">
        <f t="array" ref="H302">_xlfn.IFS(
Table2[[#This Row],[AGE]]&lt;30,"Young",
Table2[[#This Row],[AGE]]&lt;40,"Middle Age",
Table2[[#This Row],[AGE]]&lt;50,"Senior",
TRUE,"Super Senior"
)</f>
        <v>Middle Age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s="1">
        <v>99209</v>
      </c>
      <c r="P302" s="1">
        <v>98222</v>
      </c>
      <c r="Q302" s="1">
        <v>67185</v>
      </c>
      <c r="R302" s="1">
        <v>66926</v>
      </c>
      <c r="S302" s="1">
        <v>66796</v>
      </c>
      <c r="T302" s="1">
        <v>64513</v>
      </c>
      <c r="U302" s="1">
        <v>3490</v>
      </c>
      <c r="V302" s="1">
        <v>2332</v>
      </c>
      <c r="W302" s="1">
        <v>2314</v>
      </c>
      <c r="X302" s="1">
        <v>2365</v>
      </c>
      <c r="Y302" s="1">
        <v>2497</v>
      </c>
      <c r="Z302" s="1">
        <v>2305</v>
      </c>
      <c r="AA302">
        <v>0</v>
      </c>
      <c r="AB302" t="str">
        <f t="shared" si="4"/>
        <v>Not Defaulter</v>
      </c>
      <c r="AC302" s="1">
        <f>Table2[[#This Row],[BILL_AMT1]]-Table2[[#This Row],[PAY_AMT1]]</f>
        <v>95719</v>
      </c>
      <c r="AD302" s="1" t="str" cm="1">
        <f t="array" ref="AD302">_xlfn.IFS(Table2[[#This Row],[PAYMENT GAP]]&lt;=0,"No Gap / Overpaid",Table2[[#This Row],[PAYMENT GAP]]&lt;=25000,"Low Gap",Table2[[#This Row],[PAYMENT GAP]]&lt;=100000,"Medium Gap",
TRUE,"High Gap"
)</f>
        <v>Medium Gap</v>
      </c>
    </row>
    <row r="303" spans="1:30" x14ac:dyDescent="0.3">
      <c r="A303">
        <v>302</v>
      </c>
      <c r="B303" s="1">
        <v>440000</v>
      </c>
      <c r="C303" s="1" t="str" cm="1">
        <f t="array" ref="C303">_xlfn.IFS(Table2[[#This Row],[LIMIT_BAL]]&lt;=100000,"Low",Table2[[#This Row],[LIMIT_BAL]]&lt;=300000,"Medium",
TRUE,"High"
)</f>
        <v>High</v>
      </c>
      <c r="D303" t="s">
        <v>2041</v>
      </c>
      <c r="E303" t="s">
        <v>2026</v>
      </c>
      <c r="F303" t="s">
        <v>2029</v>
      </c>
      <c r="G303">
        <v>36</v>
      </c>
      <c r="H303" t="str" cm="1">
        <f t="array" ref="H303">_xlfn.IFS(
Table2[[#This Row],[AGE]]&lt;30,"Young",
Table2[[#This Row],[AGE]]&lt;40,"Middle Age",
Table2[[#This Row],[AGE]]&lt;50,"Senior",
TRUE,"Super Senior"
)</f>
        <v>Middle Age</v>
      </c>
      <c r="I303">
        <v>-2</v>
      </c>
      <c r="J303">
        <v>-2</v>
      </c>
      <c r="K303">
        <v>-2</v>
      </c>
      <c r="L303">
        <v>-2</v>
      </c>
      <c r="M303">
        <v>-2</v>
      </c>
      <c r="N303">
        <v>-2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162000</v>
      </c>
      <c r="Z303" s="1">
        <v>0</v>
      </c>
      <c r="AA303">
        <v>0</v>
      </c>
      <c r="AB303" t="str">
        <f t="shared" si="4"/>
        <v>Not Defaulter</v>
      </c>
      <c r="AC303" s="1">
        <f>Table2[[#This Row],[BILL_AMT1]]-Table2[[#This Row],[PAY_AMT1]]</f>
        <v>0</v>
      </c>
      <c r="AD303" s="1" t="str" cm="1">
        <f t="array" ref="AD303">_xlfn.IFS(Table2[[#This Row],[PAYMENT GAP]]&lt;=0,"No Gap / Overpaid",Table2[[#This Row],[PAYMENT GAP]]&lt;=25000,"Low Gap",Table2[[#This Row],[PAYMENT GAP]]&lt;=100000,"Medium Gap",
TRUE,"High Gap"
)</f>
        <v>No Gap / Overpaid</v>
      </c>
    </row>
    <row r="304" spans="1:30" x14ac:dyDescent="0.3">
      <c r="A304">
        <v>303</v>
      </c>
      <c r="B304" s="1">
        <v>50000</v>
      </c>
      <c r="C304" s="1" t="str" cm="1">
        <f t="array" ref="C304">_xlfn.IFS(Table2[[#This Row],[LIMIT_BAL]]&lt;=100000,"Low",Table2[[#This Row],[LIMIT_BAL]]&lt;=300000,"Medium",
TRUE,"High"
)</f>
        <v>Low</v>
      </c>
      <c r="D304" t="s">
        <v>2041</v>
      </c>
      <c r="E304" t="s">
        <v>2027</v>
      </c>
      <c r="F304" t="s">
        <v>2028</v>
      </c>
      <c r="G304">
        <v>40</v>
      </c>
      <c r="H304" t="str" cm="1">
        <f t="array" ref="H304">_xlfn.IFS(
Table2[[#This Row],[AGE]]&lt;30,"Young",
Table2[[#This Row],[AGE]]&lt;40,"Middle Age",
Table2[[#This Row],[AGE]]&lt;50,"Senior",
TRUE,"Super Senior"
)</f>
        <v>Senior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 s="1">
        <v>49941</v>
      </c>
      <c r="P304" s="1">
        <v>51213</v>
      </c>
      <c r="Q304" s="1">
        <v>12104</v>
      </c>
      <c r="R304" s="1">
        <v>12898</v>
      </c>
      <c r="S304" s="1">
        <v>13687</v>
      </c>
      <c r="T304" s="1">
        <v>14458</v>
      </c>
      <c r="U304" s="1">
        <v>2400</v>
      </c>
      <c r="V304" s="1">
        <v>1206</v>
      </c>
      <c r="W304" s="1">
        <v>1000</v>
      </c>
      <c r="X304" s="1">
        <v>1000</v>
      </c>
      <c r="Y304" s="1">
        <v>1000</v>
      </c>
      <c r="Z304" s="1">
        <v>1000</v>
      </c>
      <c r="AA304">
        <v>0</v>
      </c>
      <c r="AB304" t="str">
        <f t="shared" si="4"/>
        <v>Not Defaulter</v>
      </c>
      <c r="AC304" s="1">
        <f>Table2[[#This Row],[BILL_AMT1]]-Table2[[#This Row],[PAY_AMT1]]</f>
        <v>47541</v>
      </c>
      <c r="AD304" s="1" t="str" cm="1">
        <f t="array" ref="AD304">_xlfn.IFS(Table2[[#This Row],[PAYMENT GAP]]&lt;=0,"No Gap / Overpaid",Table2[[#This Row],[PAYMENT GAP]]&lt;=25000,"Low Gap",Table2[[#This Row],[PAYMENT GAP]]&lt;=100000,"Medium Gap",
TRUE,"High Gap"
)</f>
        <v>Medium Gap</v>
      </c>
    </row>
    <row r="305" spans="1:30" x14ac:dyDescent="0.3">
      <c r="A305">
        <v>304</v>
      </c>
      <c r="B305" s="1">
        <v>20000</v>
      </c>
      <c r="C305" s="1" t="str" cm="1">
        <f t="array" ref="C305">_xlfn.IFS(Table2[[#This Row],[LIMIT_BAL]]&lt;=100000,"Low",Table2[[#This Row],[LIMIT_BAL]]&lt;=300000,"Medium",
TRUE,"High"
)</f>
        <v>Low</v>
      </c>
      <c r="D305" t="s">
        <v>2041</v>
      </c>
      <c r="E305" t="s">
        <v>2026</v>
      </c>
      <c r="F305" t="s">
        <v>2029</v>
      </c>
      <c r="G305">
        <v>25</v>
      </c>
      <c r="H305" t="str" cm="1">
        <f t="array" ref="H305">_xlfn.IFS(
Table2[[#This Row],[AGE]]&lt;30,"Young",
Table2[[#This Row],[AGE]]&lt;40,"Middle Age",
Table2[[#This Row],[AGE]]&lt;50,"Senior",
TRUE,"Super Senior"
)</f>
        <v>Young</v>
      </c>
      <c r="I305">
        <v>0</v>
      </c>
      <c r="J305">
        <v>0</v>
      </c>
      <c r="K305">
        <v>2</v>
      </c>
      <c r="L305">
        <v>0</v>
      </c>
      <c r="M305">
        <v>0</v>
      </c>
      <c r="N305">
        <v>0</v>
      </c>
      <c r="O305" s="1">
        <v>11968</v>
      </c>
      <c r="P305" s="1">
        <v>14564</v>
      </c>
      <c r="Q305" s="1">
        <v>27820</v>
      </c>
      <c r="R305" s="1">
        <v>15824</v>
      </c>
      <c r="S305" s="1">
        <v>15761</v>
      </c>
      <c r="T305" s="1">
        <v>12510</v>
      </c>
      <c r="U305" s="1">
        <v>2800</v>
      </c>
      <c r="V305" s="1">
        <v>0</v>
      </c>
      <c r="W305" s="1">
        <v>4000</v>
      </c>
      <c r="X305" s="1">
        <v>1700</v>
      </c>
      <c r="Y305" s="1">
        <v>1000</v>
      </c>
      <c r="Z305" s="1">
        <v>2000</v>
      </c>
      <c r="AA305">
        <v>1</v>
      </c>
      <c r="AB305" t="str">
        <f t="shared" si="4"/>
        <v>Defaulter</v>
      </c>
      <c r="AC305" s="1">
        <f>Table2[[#This Row],[BILL_AMT1]]-Table2[[#This Row],[PAY_AMT1]]</f>
        <v>9168</v>
      </c>
      <c r="AD305" s="1" t="str" cm="1">
        <f t="array" ref="AD305">_xlfn.IFS(Table2[[#This Row],[PAYMENT GAP]]&lt;=0,"No Gap / Overpaid",Table2[[#This Row],[PAYMENT GAP]]&lt;=25000,"Low Gap",Table2[[#This Row],[PAYMENT GAP]]&lt;=100000,"Medium Gap",
TRUE,"High Gap"
)</f>
        <v>Low Gap</v>
      </c>
    </row>
    <row r="306" spans="1:30" x14ac:dyDescent="0.3">
      <c r="A306">
        <v>305</v>
      </c>
      <c r="B306" s="1">
        <v>200000</v>
      </c>
      <c r="C306" s="1" t="str" cm="1">
        <f t="array" ref="C306">_xlfn.IFS(Table2[[#This Row],[LIMIT_BAL]]&lt;=100000,"Low",Table2[[#This Row],[LIMIT_BAL]]&lt;=300000,"Medium",
TRUE,"High"
)</f>
        <v>Medium</v>
      </c>
      <c r="D306" t="s">
        <v>2041</v>
      </c>
      <c r="E306" t="s">
        <v>2026</v>
      </c>
      <c r="F306" t="s">
        <v>2029</v>
      </c>
      <c r="G306">
        <v>27</v>
      </c>
      <c r="H306" t="str" cm="1">
        <f t="array" ref="H306">_xlfn.IFS(
Table2[[#This Row],[AGE]]&lt;30,"Young",
Table2[[#This Row],[AGE]]&lt;40,"Middle Age",
Table2[[#This Row],[AGE]]&lt;50,"Senior",
TRUE,"Super Senior"
)</f>
        <v>Young</v>
      </c>
      <c r="I306">
        <v>-1</v>
      </c>
      <c r="J306">
        <v>-1</v>
      </c>
      <c r="K306">
        <v>-1</v>
      </c>
      <c r="L306">
        <v>0</v>
      </c>
      <c r="M306">
        <v>0</v>
      </c>
      <c r="N306">
        <v>0</v>
      </c>
      <c r="O306" s="1">
        <v>871</v>
      </c>
      <c r="P306" s="1">
        <v>665</v>
      </c>
      <c r="Q306" s="1">
        <v>960</v>
      </c>
      <c r="R306" s="1">
        <v>4242</v>
      </c>
      <c r="S306" s="1">
        <v>4084</v>
      </c>
      <c r="T306" s="1">
        <v>7414</v>
      </c>
      <c r="U306" s="1">
        <v>665</v>
      </c>
      <c r="V306" s="1">
        <v>960</v>
      </c>
      <c r="W306" s="1">
        <v>3908</v>
      </c>
      <c r="X306" s="1">
        <v>1014</v>
      </c>
      <c r="Y306" s="1">
        <v>3500</v>
      </c>
      <c r="Z306" s="1">
        <v>2880</v>
      </c>
      <c r="AA306">
        <v>0</v>
      </c>
      <c r="AB306" t="str">
        <f t="shared" si="4"/>
        <v>Not Defaulter</v>
      </c>
      <c r="AC306" s="1">
        <f>Table2[[#This Row],[BILL_AMT1]]-Table2[[#This Row],[PAY_AMT1]]</f>
        <v>206</v>
      </c>
      <c r="AD306" s="1" t="str" cm="1">
        <f t="array" ref="AD306">_xlfn.IFS(Table2[[#This Row],[PAYMENT GAP]]&lt;=0,"No Gap / Overpaid",Table2[[#This Row],[PAYMENT GAP]]&lt;=25000,"Low Gap",Table2[[#This Row],[PAYMENT GAP]]&lt;=100000,"Medium Gap",
TRUE,"High Gap"
)</f>
        <v>Low Gap</v>
      </c>
    </row>
    <row r="307" spans="1:30" x14ac:dyDescent="0.3">
      <c r="A307">
        <v>306</v>
      </c>
      <c r="B307" s="1">
        <v>110000</v>
      </c>
      <c r="C307" s="1" t="str" cm="1">
        <f t="array" ref="C307">_xlfn.IFS(Table2[[#This Row],[LIMIT_BAL]]&lt;=100000,"Low",Table2[[#This Row],[LIMIT_BAL]]&lt;=300000,"Medium",
TRUE,"High"
)</f>
        <v>Medium</v>
      </c>
      <c r="D307" t="s">
        <v>2041</v>
      </c>
      <c r="E307" t="s">
        <v>2043</v>
      </c>
      <c r="F307" t="s">
        <v>2029</v>
      </c>
      <c r="G307">
        <v>26</v>
      </c>
      <c r="H307" t="str" cm="1">
        <f t="array" ref="H307">_xlfn.IFS(
Table2[[#This Row],[AGE]]&lt;30,"Young",
Table2[[#This Row],[AGE]]&lt;40,"Middle Age",
Table2[[#This Row],[AGE]]&lt;50,"Senior",
TRUE,"Super Senior"
)</f>
        <v>Young</v>
      </c>
      <c r="I307">
        <v>-2</v>
      </c>
      <c r="J307">
        <v>-2</v>
      </c>
      <c r="K307">
        <v>-2</v>
      </c>
      <c r="L307">
        <v>-2</v>
      </c>
      <c r="M307">
        <v>-2</v>
      </c>
      <c r="N307">
        <v>-2</v>
      </c>
      <c r="O307" s="1">
        <v>432</v>
      </c>
      <c r="P307" s="1">
        <v>3220</v>
      </c>
      <c r="Q307" s="1">
        <v>5704</v>
      </c>
      <c r="R307" s="1">
        <v>1256</v>
      </c>
      <c r="S307" s="1">
        <v>1848</v>
      </c>
      <c r="T307" s="1">
        <v>400</v>
      </c>
      <c r="U307" s="1">
        <v>3220</v>
      </c>
      <c r="V307" s="1">
        <v>5904</v>
      </c>
      <c r="W307" s="1">
        <v>0</v>
      </c>
      <c r="X307" s="1">
        <v>3000</v>
      </c>
      <c r="Y307" s="1">
        <v>0</v>
      </c>
      <c r="Z307" s="1">
        <v>0</v>
      </c>
      <c r="AA307">
        <v>0</v>
      </c>
      <c r="AB307" t="str">
        <f t="shared" si="4"/>
        <v>Not Defaulter</v>
      </c>
      <c r="AC307" s="1">
        <f>Table2[[#This Row],[BILL_AMT1]]-Table2[[#This Row],[PAY_AMT1]]</f>
        <v>-2788</v>
      </c>
      <c r="AD307" s="1" t="str" cm="1">
        <f t="array" ref="AD307">_xlfn.IFS(Table2[[#This Row],[PAYMENT GAP]]&lt;=0,"No Gap / Overpaid",Table2[[#This Row],[PAYMENT GAP]]&lt;=25000,"Low Gap",Table2[[#This Row],[PAYMENT GAP]]&lt;=100000,"Medium Gap",
TRUE,"High Gap"
)</f>
        <v>No Gap / Overpaid</v>
      </c>
    </row>
    <row r="308" spans="1:30" x14ac:dyDescent="0.3">
      <c r="A308">
        <v>307</v>
      </c>
      <c r="B308" s="1">
        <v>500000</v>
      </c>
      <c r="C308" s="1" t="str" cm="1">
        <f t="array" ref="C308">_xlfn.IFS(Table2[[#This Row],[LIMIT_BAL]]&lt;=100000,"Low",Table2[[#This Row],[LIMIT_BAL]]&lt;=300000,"Medium",
TRUE,"High"
)</f>
        <v>High</v>
      </c>
      <c r="D308" t="s">
        <v>2041</v>
      </c>
      <c r="E308" t="s">
        <v>2043</v>
      </c>
      <c r="F308" t="s">
        <v>2028</v>
      </c>
      <c r="G308">
        <v>36</v>
      </c>
      <c r="H308" t="str" cm="1">
        <f t="array" ref="H308">_xlfn.IFS(
Table2[[#This Row],[AGE]]&lt;30,"Young",
Table2[[#This Row],[AGE]]&lt;40,"Middle Age",
Table2[[#This Row],[AGE]]&lt;50,"Senior",
TRUE,"Super Senior"
)</f>
        <v>Middle Age</v>
      </c>
      <c r="I308">
        <v>-1</v>
      </c>
      <c r="J308">
        <v>-1</v>
      </c>
      <c r="K308">
        <v>-1</v>
      </c>
      <c r="L308">
        <v>-1</v>
      </c>
      <c r="M308">
        <v>-1</v>
      </c>
      <c r="N308">
        <v>-1</v>
      </c>
      <c r="O308" s="1">
        <v>10483</v>
      </c>
      <c r="P308" s="1">
        <v>23956</v>
      </c>
      <c r="Q308" s="1">
        <v>0</v>
      </c>
      <c r="R308" s="1">
        <v>8500</v>
      </c>
      <c r="S308" s="1">
        <v>4590</v>
      </c>
      <c r="T308" s="1">
        <v>0</v>
      </c>
      <c r="U308" s="1">
        <v>23962</v>
      </c>
      <c r="V308" s="1">
        <v>0</v>
      </c>
      <c r="W308" s="1">
        <v>8500</v>
      </c>
      <c r="X308" s="1">
        <v>4590</v>
      </c>
      <c r="Y308" s="1">
        <v>0</v>
      </c>
      <c r="Z308" s="1">
        <v>0</v>
      </c>
      <c r="AA308">
        <v>0</v>
      </c>
      <c r="AB308" t="str">
        <f t="shared" si="4"/>
        <v>Not Defaulter</v>
      </c>
      <c r="AC308" s="1">
        <f>Table2[[#This Row],[BILL_AMT1]]-Table2[[#This Row],[PAY_AMT1]]</f>
        <v>-13479</v>
      </c>
      <c r="AD308" s="1" t="str" cm="1">
        <f t="array" ref="AD308">_xlfn.IFS(Table2[[#This Row],[PAYMENT GAP]]&lt;=0,"No Gap / Overpaid",Table2[[#This Row],[PAYMENT GAP]]&lt;=25000,"Low Gap",Table2[[#This Row],[PAYMENT GAP]]&lt;=100000,"Medium Gap",
TRUE,"High Gap"
)</f>
        <v>No Gap / Overpaid</v>
      </c>
    </row>
    <row r="309" spans="1:30" x14ac:dyDescent="0.3">
      <c r="A309">
        <v>308</v>
      </c>
      <c r="B309" s="1">
        <v>300000</v>
      </c>
      <c r="C309" s="1" t="str" cm="1">
        <f t="array" ref="C309">_xlfn.IFS(Table2[[#This Row],[LIMIT_BAL]]&lt;=100000,"Low",Table2[[#This Row],[LIMIT_BAL]]&lt;=300000,"Medium",
TRUE,"High"
)</f>
        <v>Medium</v>
      </c>
      <c r="D309" t="s">
        <v>2041</v>
      </c>
      <c r="E309" t="s">
        <v>2043</v>
      </c>
      <c r="F309" t="s">
        <v>2028</v>
      </c>
      <c r="G309">
        <v>27</v>
      </c>
      <c r="H309" t="str" cm="1">
        <f t="array" ref="H309">_xlfn.IFS(
Table2[[#This Row],[AGE]]&lt;30,"Young",
Table2[[#This Row],[AGE]]&lt;40,"Middle Age",
Table2[[#This Row],[AGE]]&lt;50,"Senior",
TRUE,"Super Senior"
)</f>
        <v>Young</v>
      </c>
      <c r="I309">
        <v>1</v>
      </c>
      <c r="J309">
        <v>-1</v>
      </c>
      <c r="K309">
        <v>-1</v>
      </c>
      <c r="L309">
        <v>-2</v>
      </c>
      <c r="M309">
        <v>-2</v>
      </c>
      <c r="N309">
        <v>-2</v>
      </c>
      <c r="O309" s="1">
        <v>0</v>
      </c>
      <c r="P309" s="1">
        <v>5215</v>
      </c>
      <c r="Q309" s="1">
        <v>0</v>
      </c>
      <c r="R309" s="1">
        <v>0</v>
      </c>
      <c r="S309" s="1">
        <v>0</v>
      </c>
      <c r="T309" s="1">
        <v>0</v>
      </c>
      <c r="U309" s="1">
        <v>5215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>
        <v>0</v>
      </c>
      <c r="AB309" t="str">
        <f t="shared" si="4"/>
        <v>Not Defaulter</v>
      </c>
      <c r="AC309" s="1">
        <f>Table2[[#This Row],[BILL_AMT1]]-Table2[[#This Row],[PAY_AMT1]]</f>
        <v>-5215</v>
      </c>
      <c r="AD309" s="1" t="str" cm="1">
        <f t="array" ref="AD309">_xlfn.IFS(Table2[[#This Row],[PAYMENT GAP]]&lt;=0,"No Gap / Overpaid",Table2[[#This Row],[PAYMENT GAP]]&lt;=25000,"Low Gap",Table2[[#This Row],[PAYMENT GAP]]&lt;=100000,"Medium Gap",
TRUE,"High Gap"
)</f>
        <v>No Gap / Overpaid</v>
      </c>
    </row>
    <row r="310" spans="1:30" x14ac:dyDescent="0.3">
      <c r="A310">
        <v>309</v>
      </c>
      <c r="B310" s="1">
        <v>30000</v>
      </c>
      <c r="C310" s="1" t="str" cm="1">
        <f t="array" ref="C310">_xlfn.IFS(Table2[[#This Row],[LIMIT_BAL]]&lt;=100000,"Low",Table2[[#This Row],[LIMIT_BAL]]&lt;=300000,"Medium",
TRUE,"High"
)</f>
        <v>Low</v>
      </c>
      <c r="D310" t="s">
        <v>2042</v>
      </c>
      <c r="E310" t="s">
        <v>2027</v>
      </c>
      <c r="F310" t="s">
        <v>2028</v>
      </c>
      <c r="G310">
        <v>55</v>
      </c>
      <c r="H310" t="str" cm="1">
        <f t="array" ref="H310">_xlfn.IFS(
Table2[[#This Row],[AGE]]&lt;30,"Young",
Table2[[#This Row],[AGE]]&lt;40,"Middle Age",
Table2[[#This Row],[AGE]]&lt;50,"Senior",
TRUE,"Super Senior"
)</f>
        <v>Super Senior</v>
      </c>
      <c r="I310">
        <v>2</v>
      </c>
      <c r="J310">
        <v>2</v>
      </c>
      <c r="K310">
        <v>2</v>
      </c>
      <c r="L310">
        <v>3</v>
      </c>
      <c r="M310">
        <v>3</v>
      </c>
      <c r="N310">
        <v>4</v>
      </c>
      <c r="O310" s="1">
        <v>9720</v>
      </c>
      <c r="P310" s="1">
        <v>10613</v>
      </c>
      <c r="Q310" s="1">
        <v>11339</v>
      </c>
      <c r="R310" s="1">
        <v>12841</v>
      </c>
      <c r="S310" s="1">
        <v>13836</v>
      </c>
      <c r="T310" s="1">
        <v>14514</v>
      </c>
      <c r="U310" s="1">
        <v>1200</v>
      </c>
      <c r="V310" s="1">
        <v>1200</v>
      </c>
      <c r="W310" s="1">
        <v>2000</v>
      </c>
      <c r="X310" s="1">
        <v>1500</v>
      </c>
      <c r="Y310" s="1">
        <v>1500</v>
      </c>
      <c r="Z310" s="1">
        <v>1500</v>
      </c>
      <c r="AA310">
        <v>1</v>
      </c>
      <c r="AB310" t="str">
        <f t="shared" si="4"/>
        <v>Defaulter</v>
      </c>
      <c r="AC310" s="1">
        <f>Table2[[#This Row],[BILL_AMT1]]-Table2[[#This Row],[PAY_AMT1]]</f>
        <v>8520</v>
      </c>
      <c r="AD310" s="1" t="str" cm="1">
        <f t="array" ref="AD310">_xlfn.IFS(Table2[[#This Row],[PAYMENT GAP]]&lt;=0,"No Gap / Overpaid",Table2[[#This Row],[PAYMENT GAP]]&lt;=25000,"Low Gap",Table2[[#This Row],[PAYMENT GAP]]&lt;=100000,"Medium Gap",
TRUE,"High Gap"
)</f>
        <v>Low Gap</v>
      </c>
    </row>
    <row r="311" spans="1:30" x14ac:dyDescent="0.3">
      <c r="A311">
        <v>310</v>
      </c>
      <c r="B311" s="1">
        <v>60000</v>
      </c>
      <c r="C311" s="1" t="str" cm="1">
        <f t="array" ref="C311">_xlfn.IFS(Table2[[#This Row],[LIMIT_BAL]]&lt;=100000,"Low",Table2[[#This Row],[LIMIT_BAL]]&lt;=300000,"Medium",
TRUE,"High"
)</f>
        <v>Low</v>
      </c>
      <c r="D311" t="s">
        <v>2041</v>
      </c>
      <c r="E311" t="s">
        <v>2026</v>
      </c>
      <c r="F311" t="s">
        <v>2029</v>
      </c>
      <c r="G311">
        <v>27</v>
      </c>
      <c r="H311" t="str" cm="1">
        <f t="array" ref="H311">_xlfn.IFS(
Table2[[#This Row],[AGE]]&lt;30,"Young",
Table2[[#This Row],[AGE]]&lt;40,"Middle Age",
Table2[[#This Row],[AGE]]&lt;50,"Senior",
TRUE,"Super Senior"
)</f>
        <v>Young</v>
      </c>
      <c r="I311">
        <v>-1</v>
      </c>
      <c r="J311">
        <v>-1</v>
      </c>
      <c r="K311">
        <v>-1</v>
      </c>
      <c r="L311">
        <v>-1</v>
      </c>
      <c r="M311">
        <v>-1</v>
      </c>
      <c r="N311">
        <v>-1</v>
      </c>
      <c r="O311" s="1">
        <v>20847</v>
      </c>
      <c r="P311" s="1">
        <v>13801</v>
      </c>
      <c r="Q311" s="1">
        <v>14366</v>
      </c>
      <c r="R311" s="1">
        <v>4889</v>
      </c>
      <c r="S311" s="1">
        <v>273</v>
      </c>
      <c r="T311" s="1">
        <v>11736</v>
      </c>
      <c r="U311" s="1">
        <v>13809</v>
      </c>
      <c r="V311" s="1">
        <v>14583</v>
      </c>
      <c r="W311" s="1">
        <v>4889</v>
      </c>
      <c r="X311" s="1">
        <v>273</v>
      </c>
      <c r="Y311" s="1">
        <v>13557</v>
      </c>
      <c r="Z311" s="1">
        <v>0</v>
      </c>
      <c r="AA311">
        <v>0</v>
      </c>
      <c r="AB311" t="str">
        <f t="shared" si="4"/>
        <v>Not Defaulter</v>
      </c>
      <c r="AC311" s="1">
        <f>Table2[[#This Row],[BILL_AMT1]]-Table2[[#This Row],[PAY_AMT1]]</f>
        <v>7038</v>
      </c>
      <c r="AD311" s="1" t="str" cm="1">
        <f t="array" ref="AD311">_xlfn.IFS(Table2[[#This Row],[PAYMENT GAP]]&lt;=0,"No Gap / Overpaid",Table2[[#This Row],[PAYMENT GAP]]&lt;=25000,"Low Gap",Table2[[#This Row],[PAYMENT GAP]]&lt;=100000,"Medium Gap",
TRUE,"High Gap"
)</f>
        <v>Low Gap</v>
      </c>
    </row>
    <row r="312" spans="1:30" x14ac:dyDescent="0.3">
      <c r="A312">
        <v>311</v>
      </c>
      <c r="B312" s="1">
        <v>400000</v>
      </c>
      <c r="C312" s="1" t="str" cm="1">
        <f t="array" ref="C312">_xlfn.IFS(Table2[[#This Row],[LIMIT_BAL]]&lt;=100000,"Low",Table2[[#This Row],[LIMIT_BAL]]&lt;=300000,"Medium",
TRUE,"High"
)</f>
        <v>High</v>
      </c>
      <c r="D312" t="s">
        <v>2041</v>
      </c>
      <c r="E312" t="s">
        <v>2043</v>
      </c>
      <c r="F312" t="s">
        <v>2028</v>
      </c>
      <c r="G312">
        <v>38</v>
      </c>
      <c r="H312" t="str" cm="1">
        <f t="array" ref="H312">_xlfn.IFS(
Table2[[#This Row],[AGE]]&lt;30,"Young",
Table2[[#This Row],[AGE]]&lt;40,"Middle Age",
Table2[[#This Row],[AGE]]&lt;50,"Senior",
TRUE,"Super Senior"
)</f>
        <v>Middle Age</v>
      </c>
      <c r="I312">
        <v>-1</v>
      </c>
      <c r="J312">
        <v>0</v>
      </c>
      <c r="K312">
        <v>-1</v>
      </c>
      <c r="L312">
        <v>-1</v>
      </c>
      <c r="M312">
        <v>0</v>
      </c>
      <c r="N312">
        <v>-1</v>
      </c>
      <c r="O312" s="1">
        <v>3697</v>
      </c>
      <c r="P312" s="1">
        <v>3600</v>
      </c>
      <c r="Q312" s="1">
        <v>1354</v>
      </c>
      <c r="R312" s="1">
        <v>5322</v>
      </c>
      <c r="S312" s="1">
        <v>5103</v>
      </c>
      <c r="T312" s="1">
        <v>2077</v>
      </c>
      <c r="U312" s="1">
        <v>1000</v>
      </c>
      <c r="V312" s="1">
        <v>1354</v>
      </c>
      <c r="W312" s="1">
        <v>5322</v>
      </c>
      <c r="X312" s="1">
        <v>6</v>
      </c>
      <c r="Y312" s="1">
        <v>2386</v>
      </c>
      <c r="Z312" s="1">
        <v>9085</v>
      </c>
      <c r="AA312">
        <v>0</v>
      </c>
      <c r="AB312" t="str">
        <f t="shared" si="4"/>
        <v>Not Defaulter</v>
      </c>
      <c r="AC312" s="1">
        <f>Table2[[#This Row],[BILL_AMT1]]-Table2[[#This Row],[PAY_AMT1]]</f>
        <v>2697</v>
      </c>
      <c r="AD312" s="1" t="str" cm="1">
        <f t="array" ref="AD312">_xlfn.IFS(Table2[[#This Row],[PAYMENT GAP]]&lt;=0,"No Gap / Overpaid",Table2[[#This Row],[PAYMENT GAP]]&lt;=25000,"Low Gap",Table2[[#This Row],[PAYMENT GAP]]&lt;=100000,"Medium Gap",
TRUE,"High Gap"
)</f>
        <v>Low Gap</v>
      </c>
    </row>
    <row r="313" spans="1:30" x14ac:dyDescent="0.3">
      <c r="A313">
        <v>312</v>
      </c>
      <c r="B313" s="1">
        <v>180000</v>
      </c>
      <c r="C313" s="1" t="str" cm="1">
        <f t="array" ref="C313">_xlfn.IFS(Table2[[#This Row],[LIMIT_BAL]]&lt;=100000,"Low",Table2[[#This Row],[LIMIT_BAL]]&lt;=300000,"Medium",
TRUE,"High"
)</f>
        <v>Medium</v>
      </c>
      <c r="D313" t="s">
        <v>2041</v>
      </c>
      <c r="E313" t="s">
        <v>2043</v>
      </c>
      <c r="F313" t="s">
        <v>2028</v>
      </c>
      <c r="G313">
        <v>34</v>
      </c>
      <c r="H313" t="str" cm="1">
        <f t="array" ref="H313">_xlfn.IFS(
Table2[[#This Row],[AGE]]&lt;30,"Young",
Table2[[#This Row],[AGE]]&lt;40,"Middle Age",
Table2[[#This Row],[AGE]]&lt;50,"Senior",
TRUE,"Super Senior"
)</f>
        <v>Middle Age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 s="1">
        <v>143301</v>
      </c>
      <c r="P313" s="1">
        <v>146333</v>
      </c>
      <c r="Q313" s="1">
        <v>147042</v>
      </c>
      <c r="R313" s="1">
        <v>127814</v>
      </c>
      <c r="S313" s="1">
        <v>130331</v>
      </c>
      <c r="T313" s="1">
        <v>132845</v>
      </c>
      <c r="U313" s="1">
        <v>7000</v>
      </c>
      <c r="V313" s="1">
        <v>5000</v>
      </c>
      <c r="W313" s="1">
        <v>5000</v>
      </c>
      <c r="X313" s="1">
        <v>4900</v>
      </c>
      <c r="Y313" s="1">
        <v>5000</v>
      </c>
      <c r="Z313" s="1">
        <v>5100</v>
      </c>
      <c r="AA313">
        <v>0</v>
      </c>
      <c r="AB313" t="str">
        <f t="shared" si="4"/>
        <v>Not Defaulter</v>
      </c>
      <c r="AC313" s="1">
        <f>Table2[[#This Row],[BILL_AMT1]]-Table2[[#This Row],[PAY_AMT1]]</f>
        <v>136301</v>
      </c>
      <c r="AD313" s="1" t="str" cm="1">
        <f t="array" ref="AD313">_xlfn.IFS(Table2[[#This Row],[PAYMENT GAP]]&lt;=0,"No Gap / Overpaid",Table2[[#This Row],[PAYMENT GAP]]&lt;=25000,"Low Gap",Table2[[#This Row],[PAYMENT GAP]]&lt;=100000,"Medium Gap",
TRUE,"High Gap"
)</f>
        <v>High Gap</v>
      </c>
    </row>
    <row r="314" spans="1:30" x14ac:dyDescent="0.3">
      <c r="A314">
        <v>313</v>
      </c>
      <c r="B314" s="1">
        <v>20000</v>
      </c>
      <c r="C314" s="1" t="str" cm="1">
        <f t="array" ref="C314">_xlfn.IFS(Table2[[#This Row],[LIMIT_BAL]]&lt;=100000,"Low",Table2[[#This Row],[LIMIT_BAL]]&lt;=300000,"Medium",
TRUE,"High"
)</f>
        <v>Low</v>
      </c>
      <c r="D314" t="s">
        <v>2042</v>
      </c>
      <c r="E314" t="s">
        <v>2026</v>
      </c>
      <c r="F314" t="s">
        <v>2029</v>
      </c>
      <c r="G314">
        <v>40</v>
      </c>
      <c r="H314" t="str" cm="1">
        <f t="array" ref="H314">_xlfn.IFS(
Table2[[#This Row],[AGE]]&lt;30,"Young",
Table2[[#This Row],[AGE]]&lt;40,"Middle Age",
Table2[[#This Row],[AGE]]&lt;50,"Senior",
TRUE,"Super Senior"
)</f>
        <v>Senior</v>
      </c>
      <c r="I314">
        <v>0</v>
      </c>
      <c r="J314">
        <v>0</v>
      </c>
      <c r="K314">
        <v>0</v>
      </c>
      <c r="L314">
        <v>2</v>
      </c>
      <c r="M314">
        <v>0</v>
      </c>
      <c r="N314">
        <v>0</v>
      </c>
      <c r="O314" s="1">
        <v>10934</v>
      </c>
      <c r="P314" s="1">
        <v>13738</v>
      </c>
      <c r="Q314" s="1">
        <v>16567</v>
      </c>
      <c r="R314" s="1">
        <v>10411</v>
      </c>
      <c r="S314" s="1">
        <v>13057</v>
      </c>
      <c r="T314" s="1">
        <v>14340</v>
      </c>
      <c r="U314" s="1">
        <v>3000</v>
      </c>
      <c r="V314" s="1">
        <v>3100</v>
      </c>
      <c r="W314" s="1">
        <v>0</v>
      </c>
      <c r="X314" s="1">
        <v>3000</v>
      </c>
      <c r="Y314" s="1">
        <v>1500</v>
      </c>
      <c r="Z314" s="1">
        <v>0</v>
      </c>
      <c r="AA314">
        <v>0</v>
      </c>
      <c r="AB314" t="str">
        <f t="shared" si="4"/>
        <v>Not Defaulter</v>
      </c>
      <c r="AC314" s="1">
        <f>Table2[[#This Row],[BILL_AMT1]]-Table2[[#This Row],[PAY_AMT1]]</f>
        <v>7934</v>
      </c>
      <c r="AD314" s="1" t="str" cm="1">
        <f t="array" ref="AD314">_xlfn.IFS(Table2[[#This Row],[PAYMENT GAP]]&lt;=0,"No Gap / Overpaid",Table2[[#This Row],[PAYMENT GAP]]&lt;=25000,"Low Gap",Table2[[#This Row],[PAYMENT GAP]]&lt;=100000,"Medium Gap",
TRUE,"High Gap"
)</f>
        <v>Low Gap</v>
      </c>
    </row>
    <row r="315" spans="1:30" x14ac:dyDescent="0.3">
      <c r="A315">
        <v>314</v>
      </c>
      <c r="B315" s="1">
        <v>200000</v>
      </c>
      <c r="C315" s="1" t="str" cm="1">
        <f t="array" ref="C315">_xlfn.IFS(Table2[[#This Row],[LIMIT_BAL]]&lt;=100000,"Low",Table2[[#This Row],[LIMIT_BAL]]&lt;=300000,"Medium",
TRUE,"High"
)</f>
        <v>Medium</v>
      </c>
      <c r="D315" t="s">
        <v>2041</v>
      </c>
      <c r="E315" t="s">
        <v>2027</v>
      </c>
      <c r="F315" t="s">
        <v>2028</v>
      </c>
      <c r="G315">
        <v>49</v>
      </c>
      <c r="H315" t="str" cm="1">
        <f t="array" ref="H315">_xlfn.IFS(
Table2[[#This Row],[AGE]]&lt;30,"Young",
Table2[[#This Row],[AGE]]&lt;40,"Middle Age",
Table2[[#This Row],[AGE]]&lt;50,"Senior",
TRUE,"Super Senior"
)</f>
        <v>Senior</v>
      </c>
      <c r="I315">
        <v>-1</v>
      </c>
      <c r="J315">
        <v>2</v>
      </c>
      <c r="K315">
        <v>2</v>
      </c>
      <c r="L315">
        <v>2</v>
      </c>
      <c r="M315">
        <v>0</v>
      </c>
      <c r="N315">
        <v>0</v>
      </c>
      <c r="O315" s="1">
        <v>52439</v>
      </c>
      <c r="P315" s="1">
        <v>51040</v>
      </c>
      <c r="Q315" s="1">
        <v>56205</v>
      </c>
      <c r="R315" s="1">
        <v>54723</v>
      </c>
      <c r="S315" s="1">
        <v>58657</v>
      </c>
      <c r="T315" s="1">
        <v>59983</v>
      </c>
      <c r="U315" s="1">
        <v>0</v>
      </c>
      <c r="V315" s="1">
        <v>6000</v>
      </c>
      <c r="W315" s="1">
        <v>0</v>
      </c>
      <c r="X315" s="1">
        <v>5000</v>
      </c>
      <c r="Y315" s="1">
        <v>2286</v>
      </c>
      <c r="Z315" s="1">
        <v>3000</v>
      </c>
      <c r="AA315">
        <v>1</v>
      </c>
      <c r="AB315" t="str">
        <f t="shared" si="4"/>
        <v>Defaulter</v>
      </c>
      <c r="AC315" s="1">
        <f>Table2[[#This Row],[BILL_AMT1]]-Table2[[#This Row],[PAY_AMT1]]</f>
        <v>52439</v>
      </c>
      <c r="AD315" s="1" t="str" cm="1">
        <f t="array" ref="AD315">_xlfn.IFS(Table2[[#This Row],[PAYMENT GAP]]&lt;=0,"No Gap / Overpaid",Table2[[#This Row],[PAYMENT GAP]]&lt;=25000,"Low Gap",Table2[[#This Row],[PAYMENT GAP]]&lt;=100000,"Medium Gap",
TRUE,"High Gap"
)</f>
        <v>Medium Gap</v>
      </c>
    </row>
    <row r="316" spans="1:30" x14ac:dyDescent="0.3">
      <c r="A316">
        <v>315</v>
      </c>
      <c r="B316" s="1">
        <v>100000</v>
      </c>
      <c r="C316" s="1" t="str" cm="1">
        <f t="array" ref="C316">_xlfn.IFS(Table2[[#This Row],[LIMIT_BAL]]&lt;=100000,"Low",Table2[[#This Row],[LIMIT_BAL]]&lt;=300000,"Medium",
TRUE,"High"
)</f>
        <v>Low</v>
      </c>
      <c r="D316" t="s">
        <v>2042</v>
      </c>
      <c r="E316" t="s">
        <v>2026</v>
      </c>
      <c r="F316" t="s">
        <v>2029</v>
      </c>
      <c r="G316">
        <v>27</v>
      </c>
      <c r="H316" t="str" cm="1">
        <f t="array" ref="H316">_xlfn.IFS(
Table2[[#This Row],[AGE]]&lt;30,"Young",
Table2[[#This Row],[AGE]]&lt;40,"Middle Age",
Table2[[#This Row],[AGE]]&lt;50,"Senior",
TRUE,"Super Senior"
)</f>
        <v>Young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s="1">
        <v>55734</v>
      </c>
      <c r="P316" s="1">
        <v>52557</v>
      </c>
      <c r="Q316" s="1">
        <v>33415</v>
      </c>
      <c r="R316" s="1">
        <v>28776</v>
      </c>
      <c r="S316" s="1">
        <v>17580</v>
      </c>
      <c r="T316" s="1">
        <v>6441</v>
      </c>
      <c r="U316" s="1">
        <v>1631</v>
      </c>
      <c r="V316" s="1">
        <v>1286</v>
      </c>
      <c r="W316" s="1">
        <v>200</v>
      </c>
      <c r="X316" s="1">
        <v>645</v>
      </c>
      <c r="Y316" s="1">
        <v>909</v>
      </c>
      <c r="Z316" s="1">
        <v>200</v>
      </c>
      <c r="AA316">
        <v>0</v>
      </c>
      <c r="AB316" t="str">
        <f t="shared" si="4"/>
        <v>Not Defaulter</v>
      </c>
      <c r="AC316" s="1">
        <f>Table2[[#This Row],[BILL_AMT1]]-Table2[[#This Row],[PAY_AMT1]]</f>
        <v>54103</v>
      </c>
      <c r="AD316" s="1" t="str" cm="1">
        <f t="array" ref="AD316">_xlfn.IFS(Table2[[#This Row],[PAYMENT GAP]]&lt;=0,"No Gap / Overpaid",Table2[[#This Row],[PAYMENT GAP]]&lt;=25000,"Low Gap",Table2[[#This Row],[PAYMENT GAP]]&lt;=100000,"Medium Gap",
TRUE,"High Gap"
)</f>
        <v>Medium Gap</v>
      </c>
    </row>
    <row r="317" spans="1:30" x14ac:dyDescent="0.3">
      <c r="A317">
        <v>316</v>
      </c>
      <c r="B317" s="1">
        <v>60000</v>
      </c>
      <c r="C317" s="1" t="str" cm="1">
        <f t="array" ref="C317">_xlfn.IFS(Table2[[#This Row],[LIMIT_BAL]]&lt;=100000,"Low",Table2[[#This Row],[LIMIT_BAL]]&lt;=300000,"Medium",
TRUE,"High"
)</f>
        <v>Low</v>
      </c>
      <c r="D317" t="s">
        <v>2042</v>
      </c>
      <c r="E317" t="s">
        <v>2043</v>
      </c>
      <c r="F317" t="s">
        <v>2029</v>
      </c>
      <c r="G317">
        <v>23</v>
      </c>
      <c r="H317" t="str" cm="1">
        <f t="array" ref="H317">_xlfn.IFS(
Table2[[#This Row],[AGE]]&lt;30,"Young",
Table2[[#This Row],[AGE]]&lt;40,"Middle Age",
Table2[[#This Row],[AGE]]&lt;50,"Senior",
TRUE,"Super Senior"
)</f>
        <v>Young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 s="1">
        <v>49507</v>
      </c>
      <c r="P317" s="1">
        <v>33282</v>
      </c>
      <c r="Q317" s="1">
        <v>34312</v>
      </c>
      <c r="R317" s="1">
        <v>17277</v>
      </c>
      <c r="S317" s="1">
        <v>17808</v>
      </c>
      <c r="T317" s="1">
        <v>19346</v>
      </c>
      <c r="U317" s="1">
        <v>1970</v>
      </c>
      <c r="V317" s="1">
        <v>2000</v>
      </c>
      <c r="W317" s="1">
        <v>618</v>
      </c>
      <c r="X317" s="1">
        <v>809</v>
      </c>
      <c r="Y317" s="1">
        <v>2000</v>
      </c>
      <c r="Z317" s="1">
        <v>616</v>
      </c>
      <c r="AA317">
        <v>1</v>
      </c>
      <c r="AB317" t="str">
        <f t="shared" si="4"/>
        <v>Defaulter</v>
      </c>
      <c r="AC317" s="1">
        <f>Table2[[#This Row],[BILL_AMT1]]-Table2[[#This Row],[PAY_AMT1]]</f>
        <v>47537</v>
      </c>
      <c r="AD317" s="1" t="str" cm="1">
        <f t="array" ref="AD317">_xlfn.IFS(Table2[[#This Row],[PAYMENT GAP]]&lt;=0,"No Gap / Overpaid",Table2[[#This Row],[PAYMENT GAP]]&lt;=25000,"Low Gap",Table2[[#This Row],[PAYMENT GAP]]&lt;=100000,"Medium Gap",
TRUE,"High Gap"
)</f>
        <v>Medium Gap</v>
      </c>
    </row>
    <row r="318" spans="1:30" x14ac:dyDescent="0.3">
      <c r="A318">
        <v>317</v>
      </c>
      <c r="B318" s="1">
        <v>110000</v>
      </c>
      <c r="C318" s="1" t="str" cm="1">
        <f t="array" ref="C318">_xlfn.IFS(Table2[[#This Row],[LIMIT_BAL]]&lt;=100000,"Low",Table2[[#This Row],[LIMIT_BAL]]&lt;=300000,"Medium",
TRUE,"High"
)</f>
        <v>Medium</v>
      </c>
      <c r="D318" t="s">
        <v>2041</v>
      </c>
      <c r="E318" t="s">
        <v>2043</v>
      </c>
      <c r="F318" t="s">
        <v>2029</v>
      </c>
      <c r="G318">
        <v>36</v>
      </c>
      <c r="H318" t="str" cm="1">
        <f t="array" ref="H318">_xlfn.IFS(
Table2[[#This Row],[AGE]]&lt;30,"Young",
Table2[[#This Row],[AGE]]&lt;40,"Middle Age",
Table2[[#This Row],[AGE]]&lt;50,"Senior",
TRUE,"Super Senior"
)</f>
        <v>Middle Age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s="1">
        <v>47819</v>
      </c>
      <c r="P318" s="1">
        <v>48947</v>
      </c>
      <c r="Q318" s="1">
        <v>50330</v>
      </c>
      <c r="R318" s="1">
        <v>50894</v>
      </c>
      <c r="S318" s="1">
        <v>52175</v>
      </c>
      <c r="T318" s="1">
        <v>53652</v>
      </c>
      <c r="U318" s="1">
        <v>2200</v>
      </c>
      <c r="V318" s="1">
        <v>2500</v>
      </c>
      <c r="W318" s="1">
        <v>2000</v>
      </c>
      <c r="X318" s="1">
        <v>2100</v>
      </c>
      <c r="Y318" s="1">
        <v>2500</v>
      </c>
      <c r="Z318" s="1">
        <v>2200</v>
      </c>
      <c r="AA318">
        <v>0</v>
      </c>
      <c r="AB318" t="str">
        <f t="shared" si="4"/>
        <v>Not Defaulter</v>
      </c>
      <c r="AC318" s="1">
        <f>Table2[[#This Row],[BILL_AMT1]]-Table2[[#This Row],[PAY_AMT1]]</f>
        <v>45619</v>
      </c>
      <c r="AD318" s="1" t="str" cm="1">
        <f t="array" ref="AD318">_xlfn.IFS(Table2[[#This Row],[PAYMENT GAP]]&lt;=0,"No Gap / Overpaid",Table2[[#This Row],[PAYMENT GAP]]&lt;=25000,"Low Gap",Table2[[#This Row],[PAYMENT GAP]]&lt;=100000,"Medium Gap",
TRUE,"High Gap"
)</f>
        <v>Medium Gap</v>
      </c>
    </row>
    <row r="319" spans="1:30" x14ac:dyDescent="0.3">
      <c r="A319">
        <v>318</v>
      </c>
      <c r="B319" s="1">
        <v>260000</v>
      </c>
      <c r="C319" s="1" t="str" cm="1">
        <f t="array" ref="C319">_xlfn.IFS(Table2[[#This Row],[LIMIT_BAL]]&lt;=100000,"Low",Table2[[#This Row],[LIMIT_BAL]]&lt;=300000,"Medium",
TRUE,"High"
)</f>
        <v>Medium</v>
      </c>
      <c r="D319" t="s">
        <v>2041</v>
      </c>
      <c r="E319" t="s">
        <v>2027</v>
      </c>
      <c r="F319" t="s">
        <v>2028</v>
      </c>
      <c r="G319">
        <v>53</v>
      </c>
      <c r="H319" t="str" cm="1">
        <f t="array" ref="H319">_xlfn.IFS(
Table2[[#This Row],[AGE]]&lt;30,"Young",
Table2[[#This Row],[AGE]]&lt;40,"Middle Age",
Table2[[#This Row],[AGE]]&lt;50,"Senior",
TRUE,"Super Senior"
)</f>
        <v>Super Senior</v>
      </c>
      <c r="I319">
        <v>1</v>
      </c>
      <c r="J319">
        <v>-1</v>
      </c>
      <c r="K319">
        <v>-1</v>
      </c>
      <c r="L319">
        <v>-2</v>
      </c>
      <c r="M319">
        <v>-2</v>
      </c>
      <c r="N319">
        <v>-1</v>
      </c>
      <c r="O319" s="1">
        <v>0</v>
      </c>
      <c r="P319" s="1">
        <v>165</v>
      </c>
      <c r="Q319" s="1">
        <v>526</v>
      </c>
      <c r="R319" s="1">
        <v>452</v>
      </c>
      <c r="S319" s="1">
        <v>397</v>
      </c>
      <c r="T319" s="1">
        <v>485</v>
      </c>
      <c r="U319" s="1">
        <v>165</v>
      </c>
      <c r="V319" s="1">
        <v>526</v>
      </c>
      <c r="W319" s="1">
        <v>452</v>
      </c>
      <c r="X319" s="1">
        <v>397</v>
      </c>
      <c r="Y319" s="1">
        <v>485</v>
      </c>
      <c r="Z319" s="1">
        <v>459</v>
      </c>
      <c r="AA319">
        <v>0</v>
      </c>
      <c r="AB319" t="str">
        <f t="shared" si="4"/>
        <v>Not Defaulter</v>
      </c>
      <c r="AC319" s="1">
        <f>Table2[[#This Row],[BILL_AMT1]]-Table2[[#This Row],[PAY_AMT1]]</f>
        <v>-165</v>
      </c>
      <c r="AD319" s="1" t="str" cm="1">
        <f t="array" ref="AD319">_xlfn.IFS(Table2[[#This Row],[PAYMENT GAP]]&lt;=0,"No Gap / Overpaid",Table2[[#This Row],[PAYMENT GAP]]&lt;=25000,"Low Gap",Table2[[#This Row],[PAYMENT GAP]]&lt;=100000,"Medium Gap",
TRUE,"High Gap"
)</f>
        <v>No Gap / Overpaid</v>
      </c>
    </row>
    <row r="320" spans="1:30" x14ac:dyDescent="0.3">
      <c r="A320">
        <v>319</v>
      </c>
      <c r="B320" s="1">
        <v>50000</v>
      </c>
      <c r="C320" s="1" t="str" cm="1">
        <f t="array" ref="C320">_xlfn.IFS(Table2[[#This Row],[LIMIT_BAL]]&lt;=100000,"Low",Table2[[#This Row],[LIMIT_BAL]]&lt;=300000,"Medium",
TRUE,"High"
)</f>
        <v>Low</v>
      </c>
      <c r="D320" t="s">
        <v>2041</v>
      </c>
      <c r="E320" t="s">
        <v>2027</v>
      </c>
      <c r="F320" t="s">
        <v>2028</v>
      </c>
      <c r="G320">
        <v>46</v>
      </c>
      <c r="H320" t="str" cm="1">
        <f t="array" ref="H320">_xlfn.IFS(
Table2[[#This Row],[AGE]]&lt;30,"Young",
Table2[[#This Row],[AGE]]&lt;40,"Middle Age",
Table2[[#This Row],[AGE]]&lt;50,"Senior",
TRUE,"Super Senior"
)</f>
        <v>Senior</v>
      </c>
      <c r="I320">
        <v>3</v>
      </c>
      <c r="J320">
        <v>2</v>
      </c>
      <c r="K320">
        <v>2</v>
      </c>
      <c r="L320">
        <v>0</v>
      </c>
      <c r="M320">
        <v>0</v>
      </c>
      <c r="N320">
        <v>0</v>
      </c>
      <c r="O320" s="1">
        <v>48522</v>
      </c>
      <c r="P320" s="1">
        <v>50955</v>
      </c>
      <c r="Q320" s="1">
        <v>29516</v>
      </c>
      <c r="R320" s="1">
        <v>29742</v>
      </c>
      <c r="S320" s="1">
        <v>29898</v>
      </c>
      <c r="T320" s="1">
        <v>24883</v>
      </c>
      <c r="U320" s="1">
        <v>3754</v>
      </c>
      <c r="V320" s="1">
        <v>1</v>
      </c>
      <c r="W320" s="1">
        <v>1070</v>
      </c>
      <c r="X320" s="1">
        <v>1030</v>
      </c>
      <c r="Y320" s="1">
        <v>863</v>
      </c>
      <c r="Z320" s="1">
        <v>654</v>
      </c>
      <c r="AA320">
        <v>0</v>
      </c>
      <c r="AB320" t="str">
        <f t="shared" si="4"/>
        <v>Not Defaulter</v>
      </c>
      <c r="AC320" s="1">
        <f>Table2[[#This Row],[BILL_AMT1]]-Table2[[#This Row],[PAY_AMT1]]</f>
        <v>44768</v>
      </c>
      <c r="AD320" s="1" t="str" cm="1">
        <f t="array" ref="AD320">_xlfn.IFS(Table2[[#This Row],[PAYMENT GAP]]&lt;=0,"No Gap / Overpaid",Table2[[#This Row],[PAYMENT GAP]]&lt;=25000,"Low Gap",Table2[[#This Row],[PAYMENT GAP]]&lt;=100000,"Medium Gap",
TRUE,"High Gap"
)</f>
        <v>Medium Gap</v>
      </c>
    </row>
    <row r="321" spans="1:30" x14ac:dyDescent="0.3">
      <c r="A321">
        <v>320</v>
      </c>
      <c r="B321" s="1">
        <v>180000</v>
      </c>
      <c r="C321" s="1" t="str" cm="1">
        <f t="array" ref="C321">_xlfn.IFS(Table2[[#This Row],[LIMIT_BAL]]&lt;=100000,"Low",Table2[[#This Row],[LIMIT_BAL]]&lt;=300000,"Medium",
TRUE,"High"
)</f>
        <v>Medium</v>
      </c>
      <c r="D321" t="s">
        <v>2042</v>
      </c>
      <c r="E321" t="s">
        <v>2043</v>
      </c>
      <c r="F321" t="s">
        <v>2029</v>
      </c>
      <c r="G321">
        <v>29</v>
      </c>
      <c r="H321" t="str" cm="1">
        <f t="array" ref="H321">_xlfn.IFS(
Table2[[#This Row],[AGE]]&lt;30,"Young",
Table2[[#This Row],[AGE]]&lt;40,"Middle Age",
Table2[[#This Row],[AGE]]&lt;50,"Senior",
TRUE,"Super Senior"
)</f>
        <v>Young</v>
      </c>
      <c r="I321">
        <v>1</v>
      </c>
      <c r="J321">
        <v>-2</v>
      </c>
      <c r="K321">
        <v>-2</v>
      </c>
      <c r="L321">
        <v>-2</v>
      </c>
      <c r="M321">
        <v>-2</v>
      </c>
      <c r="N321">
        <v>-2</v>
      </c>
      <c r="O321" s="1">
        <v>-2</v>
      </c>
      <c r="P321" s="1">
        <v>-2</v>
      </c>
      <c r="Q321" s="1">
        <v>-2</v>
      </c>
      <c r="R321" s="1">
        <v>-2</v>
      </c>
      <c r="S321" s="1">
        <v>-2</v>
      </c>
      <c r="T321" s="1">
        <v>-2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>
        <v>0</v>
      </c>
      <c r="AB321" t="str">
        <f t="shared" si="4"/>
        <v>Not Defaulter</v>
      </c>
      <c r="AC321" s="1">
        <f>Table2[[#This Row],[BILL_AMT1]]-Table2[[#This Row],[PAY_AMT1]]</f>
        <v>-2</v>
      </c>
      <c r="AD321" s="1" t="str" cm="1">
        <f t="array" ref="AD321">_xlfn.IFS(Table2[[#This Row],[PAYMENT GAP]]&lt;=0,"No Gap / Overpaid",Table2[[#This Row],[PAYMENT GAP]]&lt;=25000,"Low Gap",Table2[[#This Row],[PAYMENT GAP]]&lt;=100000,"Medium Gap",
TRUE,"High Gap"
)</f>
        <v>No Gap / Overpaid</v>
      </c>
    </row>
    <row r="322" spans="1:30" x14ac:dyDescent="0.3">
      <c r="A322">
        <v>321</v>
      </c>
      <c r="B322" s="1">
        <v>110000</v>
      </c>
      <c r="C322" s="1" t="str" cm="1">
        <f t="array" ref="C322">_xlfn.IFS(Table2[[#This Row],[LIMIT_BAL]]&lt;=100000,"Low",Table2[[#This Row],[LIMIT_BAL]]&lt;=300000,"Medium",
TRUE,"High"
)</f>
        <v>Medium</v>
      </c>
      <c r="D322" t="s">
        <v>2042</v>
      </c>
      <c r="E322" t="s">
        <v>2043</v>
      </c>
      <c r="F322" t="s">
        <v>2029</v>
      </c>
      <c r="G322">
        <v>29</v>
      </c>
      <c r="H322" t="str" cm="1">
        <f t="array" ref="H322">_xlfn.IFS(
Table2[[#This Row],[AGE]]&lt;30,"Young",
Table2[[#This Row],[AGE]]&lt;40,"Middle Age",
Table2[[#This Row],[AGE]]&lt;50,"Senior",
TRUE,"Super Senior"
)</f>
        <v>Young</v>
      </c>
      <c r="I322">
        <v>1</v>
      </c>
      <c r="J322">
        <v>2</v>
      </c>
      <c r="K322">
        <v>2</v>
      </c>
      <c r="L322">
        <v>0</v>
      </c>
      <c r="M322">
        <v>0</v>
      </c>
      <c r="N322">
        <v>0</v>
      </c>
      <c r="O322" s="1">
        <v>58362</v>
      </c>
      <c r="P322" s="1">
        <v>56598</v>
      </c>
      <c r="Q322" s="1">
        <v>51908</v>
      </c>
      <c r="R322" s="1">
        <v>48647</v>
      </c>
      <c r="S322" s="1">
        <v>47862</v>
      </c>
      <c r="T322" s="1">
        <v>47969</v>
      </c>
      <c r="U322" s="1">
        <v>2500</v>
      </c>
      <c r="V322" s="1">
        <v>0</v>
      </c>
      <c r="W322" s="1">
        <v>2000</v>
      </c>
      <c r="X322" s="1">
        <v>2000</v>
      </c>
      <c r="Y322" s="1">
        <v>1854</v>
      </c>
      <c r="Z322" s="1">
        <v>2000</v>
      </c>
      <c r="AA322">
        <v>1</v>
      </c>
      <c r="AB322" t="str">
        <f t="shared" si="4"/>
        <v>Defaulter</v>
      </c>
      <c r="AC322" s="1">
        <f>Table2[[#This Row],[BILL_AMT1]]-Table2[[#This Row],[PAY_AMT1]]</f>
        <v>55862</v>
      </c>
      <c r="AD322" s="1" t="str" cm="1">
        <f t="array" ref="AD322">_xlfn.IFS(Table2[[#This Row],[PAYMENT GAP]]&lt;=0,"No Gap / Overpaid",Table2[[#This Row],[PAYMENT GAP]]&lt;=25000,"Low Gap",Table2[[#This Row],[PAYMENT GAP]]&lt;=100000,"Medium Gap",
TRUE,"High Gap"
)</f>
        <v>Medium Gap</v>
      </c>
    </row>
    <row r="323" spans="1:30" x14ac:dyDescent="0.3">
      <c r="A323">
        <v>322</v>
      </c>
      <c r="B323" s="1">
        <v>340000</v>
      </c>
      <c r="C323" s="1" t="str" cm="1">
        <f t="array" ref="C323">_xlfn.IFS(Table2[[#This Row],[LIMIT_BAL]]&lt;=100000,"Low",Table2[[#This Row],[LIMIT_BAL]]&lt;=300000,"Medium",
TRUE,"High"
)</f>
        <v>High</v>
      </c>
      <c r="D323" t="s">
        <v>2041</v>
      </c>
      <c r="E323" t="s">
        <v>2026</v>
      </c>
      <c r="F323" t="s">
        <v>2029</v>
      </c>
      <c r="G323">
        <v>27</v>
      </c>
      <c r="H323" t="str" cm="1">
        <f t="array" ref="H323">_xlfn.IFS(
Table2[[#This Row],[AGE]]&lt;30,"Young",
Table2[[#This Row],[AGE]]&lt;40,"Middle Age",
Table2[[#This Row],[AGE]]&lt;50,"Senior",
TRUE,"Super Senior"
)</f>
        <v>Young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 s="1">
        <v>172180</v>
      </c>
      <c r="P323" s="1">
        <v>180140</v>
      </c>
      <c r="Q323" s="1">
        <v>166281</v>
      </c>
      <c r="R323" s="1">
        <v>155628</v>
      </c>
      <c r="S323" s="1">
        <v>145645</v>
      </c>
      <c r="T323" s="1">
        <v>103263</v>
      </c>
      <c r="U323" s="1">
        <v>21105</v>
      </c>
      <c r="V323" s="1">
        <v>5461</v>
      </c>
      <c r="W323" s="1">
        <v>5000</v>
      </c>
      <c r="X323" s="1">
        <v>5849</v>
      </c>
      <c r="Y323" s="1">
        <v>2732</v>
      </c>
      <c r="Z323" s="1">
        <v>50000</v>
      </c>
      <c r="AA323">
        <v>0</v>
      </c>
      <c r="AB323" t="str">
        <f t="shared" ref="AB323:AB386" si="5">IF(AA323=1,"Defaulter","Not Defaulter")</f>
        <v>Not Defaulter</v>
      </c>
      <c r="AC323" s="1">
        <f>Table2[[#This Row],[BILL_AMT1]]-Table2[[#This Row],[PAY_AMT1]]</f>
        <v>151075</v>
      </c>
      <c r="AD323" s="1" t="str" cm="1">
        <f t="array" ref="AD323">_xlfn.IFS(Table2[[#This Row],[PAYMENT GAP]]&lt;=0,"No Gap / Overpaid",Table2[[#This Row],[PAYMENT GAP]]&lt;=25000,"Low Gap",Table2[[#This Row],[PAYMENT GAP]]&lt;=100000,"Medium Gap",
TRUE,"High Gap"
)</f>
        <v>High Gap</v>
      </c>
    </row>
    <row r="324" spans="1:30" x14ac:dyDescent="0.3">
      <c r="A324">
        <v>323</v>
      </c>
      <c r="B324" s="1">
        <v>50000</v>
      </c>
      <c r="C324" s="1" t="str" cm="1">
        <f t="array" ref="C324">_xlfn.IFS(Table2[[#This Row],[LIMIT_BAL]]&lt;=100000,"Low",Table2[[#This Row],[LIMIT_BAL]]&lt;=300000,"Medium",
TRUE,"High"
)</f>
        <v>Low</v>
      </c>
      <c r="D324" t="s">
        <v>2042</v>
      </c>
      <c r="E324" t="s">
        <v>2043</v>
      </c>
      <c r="F324" t="s">
        <v>2029</v>
      </c>
      <c r="G324">
        <v>24</v>
      </c>
      <c r="H324" t="str" cm="1">
        <f t="array" ref="H324">_xlfn.IFS(
Table2[[#This Row],[AGE]]&lt;30,"Young",
Table2[[#This Row],[AGE]]&lt;40,"Middle Age",
Table2[[#This Row],[AGE]]&lt;50,"Senior",
TRUE,"Super Senior"
)</f>
        <v>Young</v>
      </c>
      <c r="I324">
        <v>-1</v>
      </c>
      <c r="J324">
        <v>0</v>
      </c>
      <c r="K324">
        <v>0</v>
      </c>
      <c r="L324">
        <v>0</v>
      </c>
      <c r="M324">
        <v>0</v>
      </c>
      <c r="N324">
        <v>0</v>
      </c>
      <c r="O324" s="1">
        <v>1399</v>
      </c>
      <c r="P324" s="1">
        <v>2441</v>
      </c>
      <c r="Q324" s="1">
        <v>3865</v>
      </c>
      <c r="R324" s="1">
        <v>7476</v>
      </c>
      <c r="S324" s="1">
        <v>8384</v>
      </c>
      <c r="T324" s="1">
        <v>8085</v>
      </c>
      <c r="U324" s="1">
        <v>1070</v>
      </c>
      <c r="V324" s="1">
        <v>1500</v>
      </c>
      <c r="W324" s="1">
        <v>3666</v>
      </c>
      <c r="X324" s="1">
        <v>2477</v>
      </c>
      <c r="Y324" s="1">
        <v>1306</v>
      </c>
      <c r="Z324" s="1">
        <v>1000</v>
      </c>
      <c r="AA324">
        <v>0</v>
      </c>
      <c r="AB324" t="str">
        <f t="shared" si="5"/>
        <v>Not Defaulter</v>
      </c>
      <c r="AC324" s="1">
        <f>Table2[[#This Row],[BILL_AMT1]]-Table2[[#This Row],[PAY_AMT1]]</f>
        <v>329</v>
      </c>
      <c r="AD324" s="1" t="str" cm="1">
        <f t="array" ref="AD324">_xlfn.IFS(Table2[[#This Row],[PAYMENT GAP]]&lt;=0,"No Gap / Overpaid",Table2[[#This Row],[PAYMENT GAP]]&lt;=25000,"Low Gap",Table2[[#This Row],[PAYMENT GAP]]&lt;=100000,"Medium Gap",
TRUE,"High Gap"
)</f>
        <v>Low Gap</v>
      </c>
    </row>
    <row r="325" spans="1:30" x14ac:dyDescent="0.3">
      <c r="A325">
        <v>324</v>
      </c>
      <c r="B325" s="1">
        <v>230000</v>
      </c>
      <c r="C325" s="1" t="str" cm="1">
        <f t="array" ref="C325">_xlfn.IFS(Table2[[#This Row],[LIMIT_BAL]]&lt;=100000,"Low",Table2[[#This Row],[LIMIT_BAL]]&lt;=300000,"Medium",
TRUE,"High"
)</f>
        <v>Medium</v>
      </c>
      <c r="D325" t="s">
        <v>2041</v>
      </c>
      <c r="E325" t="s">
        <v>2043</v>
      </c>
      <c r="F325" t="s">
        <v>2028</v>
      </c>
      <c r="G325">
        <v>28</v>
      </c>
      <c r="H325" t="str" cm="1">
        <f t="array" ref="H325">_xlfn.IFS(
Table2[[#This Row],[AGE]]&lt;30,"Young",
Table2[[#This Row],[AGE]]&lt;40,"Middle Age",
Table2[[#This Row],[AGE]]&lt;50,"Senior",
TRUE,"Super Senior"
)</f>
        <v>Young</v>
      </c>
      <c r="I325">
        <v>0</v>
      </c>
      <c r="J325">
        <v>0</v>
      </c>
      <c r="K325">
        <v>0</v>
      </c>
      <c r="L325">
        <v>-2</v>
      </c>
      <c r="M325">
        <v>-1</v>
      </c>
      <c r="N325">
        <v>-1</v>
      </c>
      <c r="O325" s="1">
        <v>26361</v>
      </c>
      <c r="P325" s="1">
        <v>18826</v>
      </c>
      <c r="Q325" s="1">
        <v>1100</v>
      </c>
      <c r="R325" s="1">
        <v>2100</v>
      </c>
      <c r="S325" s="1">
        <v>767</v>
      </c>
      <c r="T325" s="1">
        <v>6173</v>
      </c>
      <c r="U325" s="1">
        <v>1710</v>
      </c>
      <c r="V325" s="1">
        <v>1100</v>
      </c>
      <c r="W325" s="1">
        <v>1000</v>
      </c>
      <c r="X325" s="1">
        <v>767</v>
      </c>
      <c r="Y325" s="1">
        <v>6173</v>
      </c>
      <c r="Z325" s="1">
        <v>1000</v>
      </c>
      <c r="AA325">
        <v>1</v>
      </c>
      <c r="AB325" t="str">
        <f t="shared" si="5"/>
        <v>Defaulter</v>
      </c>
      <c r="AC325" s="1">
        <f>Table2[[#This Row],[BILL_AMT1]]-Table2[[#This Row],[PAY_AMT1]]</f>
        <v>24651</v>
      </c>
      <c r="AD325" s="1" t="str" cm="1">
        <f t="array" ref="AD325">_xlfn.IFS(Table2[[#This Row],[PAYMENT GAP]]&lt;=0,"No Gap / Overpaid",Table2[[#This Row],[PAYMENT GAP]]&lt;=25000,"Low Gap",Table2[[#This Row],[PAYMENT GAP]]&lt;=100000,"Medium Gap",
TRUE,"High Gap"
)</f>
        <v>Low Gap</v>
      </c>
    </row>
    <row r="326" spans="1:30" x14ac:dyDescent="0.3">
      <c r="A326">
        <v>325</v>
      </c>
      <c r="B326" s="1">
        <v>360000</v>
      </c>
      <c r="C326" s="1" t="str" cm="1">
        <f t="array" ref="C326">_xlfn.IFS(Table2[[#This Row],[LIMIT_BAL]]&lt;=100000,"Low",Table2[[#This Row],[LIMIT_BAL]]&lt;=300000,"Medium",
TRUE,"High"
)</f>
        <v>High</v>
      </c>
      <c r="D326" t="s">
        <v>2041</v>
      </c>
      <c r="E326" t="s">
        <v>2043</v>
      </c>
      <c r="F326" t="s">
        <v>2029</v>
      </c>
      <c r="G326">
        <v>32</v>
      </c>
      <c r="H326" t="str" cm="1">
        <f t="array" ref="H326">_xlfn.IFS(
Table2[[#This Row],[AGE]]&lt;30,"Young",
Table2[[#This Row],[AGE]]&lt;40,"Middle Age",
Table2[[#This Row],[AGE]]&lt;50,"Senior",
TRUE,"Super Senior"
)</f>
        <v>Middle Age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s="1">
        <v>93029</v>
      </c>
      <c r="P326" s="1">
        <v>94054</v>
      </c>
      <c r="Q326" s="1">
        <v>91834</v>
      </c>
      <c r="R326" s="1">
        <v>95631</v>
      </c>
      <c r="S326" s="1">
        <v>100123</v>
      </c>
      <c r="T326" s="1">
        <v>100738</v>
      </c>
      <c r="U326" s="1">
        <v>10000</v>
      </c>
      <c r="V326" s="1">
        <v>7000</v>
      </c>
      <c r="W326" s="1">
        <v>10000</v>
      </c>
      <c r="X326" s="1">
        <v>10000</v>
      </c>
      <c r="Y326" s="1">
        <v>10000</v>
      </c>
      <c r="Z326" s="1">
        <v>10000</v>
      </c>
      <c r="AA326">
        <v>0</v>
      </c>
      <c r="AB326" t="str">
        <f t="shared" si="5"/>
        <v>Not Defaulter</v>
      </c>
      <c r="AC326" s="1">
        <f>Table2[[#This Row],[BILL_AMT1]]-Table2[[#This Row],[PAY_AMT1]]</f>
        <v>83029</v>
      </c>
      <c r="AD326" s="1" t="str" cm="1">
        <f t="array" ref="AD326">_xlfn.IFS(Table2[[#This Row],[PAYMENT GAP]]&lt;=0,"No Gap / Overpaid",Table2[[#This Row],[PAYMENT GAP]]&lt;=25000,"Low Gap",Table2[[#This Row],[PAYMENT GAP]]&lt;=100000,"Medium Gap",
TRUE,"High Gap"
)</f>
        <v>Medium Gap</v>
      </c>
    </row>
    <row r="327" spans="1:30" x14ac:dyDescent="0.3">
      <c r="A327">
        <v>326</v>
      </c>
      <c r="B327" s="1">
        <v>210000</v>
      </c>
      <c r="C327" s="1" t="str" cm="1">
        <f t="array" ref="C327">_xlfn.IFS(Table2[[#This Row],[LIMIT_BAL]]&lt;=100000,"Low",Table2[[#This Row],[LIMIT_BAL]]&lt;=300000,"Medium",
TRUE,"High"
)</f>
        <v>Medium</v>
      </c>
      <c r="D327" t="s">
        <v>2042</v>
      </c>
      <c r="E327" t="s">
        <v>2043</v>
      </c>
      <c r="F327" t="s">
        <v>2029</v>
      </c>
      <c r="G327">
        <v>43</v>
      </c>
      <c r="H327" t="str" cm="1">
        <f t="array" ref="H327">_xlfn.IFS(
Table2[[#This Row],[AGE]]&lt;30,"Young",
Table2[[#This Row],[AGE]]&lt;40,"Middle Age",
Table2[[#This Row],[AGE]]&lt;50,"Senior",
TRUE,"Super Senior"
)</f>
        <v>Senior</v>
      </c>
      <c r="I327">
        <v>1</v>
      </c>
      <c r="J327">
        <v>-2</v>
      </c>
      <c r="K327">
        <v>-1</v>
      </c>
      <c r="L327">
        <v>0</v>
      </c>
      <c r="M327">
        <v>0</v>
      </c>
      <c r="N327">
        <v>0</v>
      </c>
      <c r="O327" s="1">
        <v>0</v>
      </c>
      <c r="P327" s="1">
        <v>0</v>
      </c>
      <c r="Q327" s="1">
        <v>38013</v>
      </c>
      <c r="R327" s="1">
        <v>40555</v>
      </c>
      <c r="S327" s="1">
        <v>45075</v>
      </c>
      <c r="T327" s="1">
        <v>37056</v>
      </c>
      <c r="U327" s="1">
        <v>0</v>
      </c>
      <c r="V327" s="1">
        <v>38013</v>
      </c>
      <c r="W327" s="1">
        <v>3000</v>
      </c>
      <c r="X327" s="1">
        <v>5000</v>
      </c>
      <c r="Y327" s="1">
        <v>3000</v>
      </c>
      <c r="Z327" s="1">
        <v>3000</v>
      </c>
      <c r="AA327">
        <v>0</v>
      </c>
      <c r="AB327" t="str">
        <f t="shared" si="5"/>
        <v>Not Defaulter</v>
      </c>
      <c r="AC327" s="1">
        <f>Table2[[#This Row],[BILL_AMT1]]-Table2[[#This Row],[PAY_AMT1]]</f>
        <v>0</v>
      </c>
      <c r="AD327" s="1" t="str" cm="1">
        <f t="array" ref="AD327">_xlfn.IFS(Table2[[#This Row],[PAYMENT GAP]]&lt;=0,"No Gap / Overpaid",Table2[[#This Row],[PAYMENT GAP]]&lt;=25000,"Low Gap",Table2[[#This Row],[PAYMENT GAP]]&lt;=100000,"Medium Gap",
TRUE,"High Gap"
)</f>
        <v>No Gap / Overpaid</v>
      </c>
    </row>
    <row r="328" spans="1:30" x14ac:dyDescent="0.3">
      <c r="A328">
        <v>327</v>
      </c>
      <c r="B328" s="1">
        <v>220000</v>
      </c>
      <c r="C328" s="1" t="str" cm="1">
        <f t="array" ref="C328">_xlfn.IFS(Table2[[#This Row],[LIMIT_BAL]]&lt;=100000,"Low",Table2[[#This Row],[LIMIT_BAL]]&lt;=300000,"Medium",
TRUE,"High"
)</f>
        <v>Medium</v>
      </c>
      <c r="D328" t="s">
        <v>2041</v>
      </c>
      <c r="E328" t="s">
        <v>2043</v>
      </c>
      <c r="F328" t="s">
        <v>2028</v>
      </c>
      <c r="G328">
        <v>41</v>
      </c>
      <c r="H328" t="str" cm="1">
        <f t="array" ref="H328">_xlfn.IFS(
Table2[[#This Row],[AGE]]&lt;30,"Young",
Table2[[#This Row],[AGE]]&lt;40,"Middle Age",
Table2[[#This Row],[AGE]]&lt;50,"Senior",
TRUE,"Super Senior"
)</f>
        <v>Senior</v>
      </c>
      <c r="I328">
        <v>-1</v>
      </c>
      <c r="J328">
        <v>2</v>
      </c>
      <c r="K328">
        <v>2</v>
      </c>
      <c r="L328">
        <v>-1</v>
      </c>
      <c r="M328">
        <v>2</v>
      </c>
      <c r="N328">
        <v>-1</v>
      </c>
      <c r="O328" s="1">
        <v>650</v>
      </c>
      <c r="P328" s="1">
        <v>650</v>
      </c>
      <c r="Q328" s="1">
        <v>325</v>
      </c>
      <c r="R328" s="1">
        <v>950</v>
      </c>
      <c r="S328" s="1">
        <v>475</v>
      </c>
      <c r="T328" s="1">
        <v>325</v>
      </c>
      <c r="U328" s="1">
        <v>325</v>
      </c>
      <c r="V328" s="1">
        <v>0</v>
      </c>
      <c r="W328" s="1">
        <v>950</v>
      </c>
      <c r="X328" s="1">
        <v>0</v>
      </c>
      <c r="Y328" s="1">
        <v>325</v>
      </c>
      <c r="Z328" s="1">
        <v>325</v>
      </c>
      <c r="AA328">
        <v>1</v>
      </c>
      <c r="AB328" t="str">
        <f t="shared" si="5"/>
        <v>Defaulter</v>
      </c>
      <c r="AC328" s="1">
        <f>Table2[[#This Row],[BILL_AMT1]]-Table2[[#This Row],[PAY_AMT1]]</f>
        <v>325</v>
      </c>
      <c r="AD328" s="1" t="str" cm="1">
        <f t="array" ref="AD328">_xlfn.IFS(Table2[[#This Row],[PAYMENT GAP]]&lt;=0,"No Gap / Overpaid",Table2[[#This Row],[PAYMENT GAP]]&lt;=25000,"Low Gap",Table2[[#This Row],[PAYMENT GAP]]&lt;=100000,"Medium Gap",
TRUE,"High Gap"
)</f>
        <v>Low Gap</v>
      </c>
    </row>
    <row r="329" spans="1:30" x14ac:dyDescent="0.3">
      <c r="A329">
        <v>328</v>
      </c>
      <c r="B329" s="1">
        <v>60000</v>
      </c>
      <c r="C329" s="1" t="str" cm="1">
        <f t="array" ref="C329">_xlfn.IFS(Table2[[#This Row],[LIMIT_BAL]]&lt;=100000,"Low",Table2[[#This Row],[LIMIT_BAL]]&lt;=300000,"Medium",
TRUE,"High"
)</f>
        <v>Low</v>
      </c>
      <c r="D329" t="s">
        <v>2041</v>
      </c>
      <c r="E329" t="s">
        <v>2043</v>
      </c>
      <c r="F329" t="s">
        <v>2028</v>
      </c>
      <c r="G329">
        <v>34</v>
      </c>
      <c r="H329" t="str" cm="1">
        <f t="array" ref="H329">_xlfn.IFS(
Table2[[#This Row],[AGE]]&lt;30,"Young",
Table2[[#This Row],[AGE]]&lt;40,"Middle Age",
Table2[[#This Row],[AGE]]&lt;50,"Senior",
TRUE,"Super Senior"
)</f>
        <v>Middle Age</v>
      </c>
      <c r="I329">
        <v>2</v>
      </c>
      <c r="J329">
        <v>2</v>
      </c>
      <c r="K329">
        <v>2</v>
      </c>
      <c r="L329">
        <v>2</v>
      </c>
      <c r="M329">
        <v>2</v>
      </c>
      <c r="N329">
        <v>0</v>
      </c>
      <c r="O329" s="1">
        <v>24898</v>
      </c>
      <c r="P329" s="1">
        <v>27976</v>
      </c>
      <c r="Q329" s="1">
        <v>27233</v>
      </c>
      <c r="R329" s="1">
        <v>30184</v>
      </c>
      <c r="S329" s="1">
        <v>29566</v>
      </c>
      <c r="T329" s="1">
        <v>30225</v>
      </c>
      <c r="U329" s="1">
        <v>3800</v>
      </c>
      <c r="V329" s="1">
        <v>0</v>
      </c>
      <c r="W329" s="1">
        <v>3720</v>
      </c>
      <c r="X329" s="1">
        <v>0</v>
      </c>
      <c r="Y329" s="1">
        <v>1300</v>
      </c>
      <c r="Z329" s="1">
        <v>1291</v>
      </c>
      <c r="AA329">
        <v>1</v>
      </c>
      <c r="AB329" t="str">
        <f t="shared" si="5"/>
        <v>Defaulter</v>
      </c>
      <c r="AC329" s="1">
        <f>Table2[[#This Row],[BILL_AMT1]]-Table2[[#This Row],[PAY_AMT1]]</f>
        <v>21098</v>
      </c>
      <c r="AD329" s="1" t="str" cm="1">
        <f t="array" ref="AD329">_xlfn.IFS(Table2[[#This Row],[PAYMENT GAP]]&lt;=0,"No Gap / Overpaid",Table2[[#This Row],[PAYMENT GAP]]&lt;=25000,"Low Gap",Table2[[#This Row],[PAYMENT GAP]]&lt;=100000,"Medium Gap",
TRUE,"High Gap"
)</f>
        <v>Low Gap</v>
      </c>
    </row>
    <row r="330" spans="1:30" x14ac:dyDescent="0.3">
      <c r="A330">
        <v>329</v>
      </c>
      <c r="B330" s="1">
        <v>340000</v>
      </c>
      <c r="C330" s="1" t="str" cm="1">
        <f t="array" ref="C330">_xlfn.IFS(Table2[[#This Row],[LIMIT_BAL]]&lt;=100000,"Low",Table2[[#This Row],[LIMIT_BAL]]&lt;=300000,"Medium",
TRUE,"High"
)</f>
        <v>High</v>
      </c>
      <c r="D330" t="s">
        <v>2042</v>
      </c>
      <c r="E330" t="s">
        <v>2043</v>
      </c>
      <c r="F330" t="s">
        <v>2028</v>
      </c>
      <c r="G330">
        <v>55</v>
      </c>
      <c r="H330" t="str" cm="1">
        <f t="array" ref="H330">_xlfn.IFS(
Table2[[#This Row],[AGE]]&lt;30,"Young",
Table2[[#This Row],[AGE]]&lt;40,"Middle Age",
Table2[[#This Row],[AGE]]&lt;50,"Senior",
TRUE,"Super Senior"
)</f>
        <v>Super Senior</v>
      </c>
      <c r="I330">
        <v>-2</v>
      </c>
      <c r="J330">
        <v>-1</v>
      </c>
      <c r="K330">
        <v>-1</v>
      </c>
      <c r="L330">
        <v>-2</v>
      </c>
      <c r="M330">
        <v>-2</v>
      </c>
      <c r="N330">
        <v>-2</v>
      </c>
      <c r="O330" s="1">
        <v>50396</v>
      </c>
      <c r="P330" s="1">
        <v>44665</v>
      </c>
      <c r="Q330" s="1">
        <v>8300</v>
      </c>
      <c r="R330" s="1">
        <v>2190</v>
      </c>
      <c r="S330" s="1">
        <v>24599</v>
      </c>
      <c r="T330" s="1">
        <v>7416</v>
      </c>
      <c r="U330" s="1">
        <v>44665</v>
      </c>
      <c r="V330" s="1">
        <v>8321</v>
      </c>
      <c r="W330" s="1">
        <v>2190</v>
      </c>
      <c r="X330" s="1">
        <v>24599</v>
      </c>
      <c r="Y330" s="1">
        <v>7416</v>
      </c>
      <c r="Z330" s="1">
        <v>77195</v>
      </c>
      <c r="AA330">
        <v>0</v>
      </c>
      <c r="AB330" t="str">
        <f t="shared" si="5"/>
        <v>Not Defaulter</v>
      </c>
      <c r="AC330" s="1">
        <f>Table2[[#This Row],[BILL_AMT1]]-Table2[[#This Row],[PAY_AMT1]]</f>
        <v>5731</v>
      </c>
      <c r="AD330" s="1" t="str" cm="1">
        <f t="array" ref="AD330">_xlfn.IFS(Table2[[#This Row],[PAYMENT GAP]]&lt;=0,"No Gap / Overpaid",Table2[[#This Row],[PAYMENT GAP]]&lt;=25000,"Low Gap",Table2[[#This Row],[PAYMENT GAP]]&lt;=100000,"Medium Gap",
TRUE,"High Gap"
)</f>
        <v>Low Gap</v>
      </c>
    </row>
    <row r="331" spans="1:30" x14ac:dyDescent="0.3">
      <c r="A331">
        <v>330</v>
      </c>
      <c r="B331" s="1">
        <v>150000</v>
      </c>
      <c r="C331" s="1" t="str" cm="1">
        <f t="array" ref="C331">_xlfn.IFS(Table2[[#This Row],[LIMIT_BAL]]&lt;=100000,"Low",Table2[[#This Row],[LIMIT_BAL]]&lt;=300000,"Medium",
TRUE,"High"
)</f>
        <v>Medium</v>
      </c>
      <c r="D331" t="s">
        <v>2042</v>
      </c>
      <c r="E331" t="s">
        <v>2026</v>
      </c>
      <c r="F331" t="s">
        <v>2028</v>
      </c>
      <c r="G331">
        <v>40</v>
      </c>
      <c r="H331" t="str" cm="1">
        <f t="array" ref="H331">_xlfn.IFS(
Table2[[#This Row],[AGE]]&lt;30,"Young",
Table2[[#This Row],[AGE]]&lt;40,"Middle Age",
Table2[[#This Row],[AGE]]&lt;50,"Senior",
TRUE,"Super Senior"
)</f>
        <v>Senior</v>
      </c>
      <c r="I331">
        <v>2</v>
      </c>
      <c r="J331">
        <v>2</v>
      </c>
      <c r="K331">
        <v>2</v>
      </c>
      <c r="L331">
        <v>2</v>
      </c>
      <c r="M331">
        <v>2</v>
      </c>
      <c r="N331">
        <v>2</v>
      </c>
      <c r="O331" s="1">
        <v>99855</v>
      </c>
      <c r="P331" s="1">
        <v>102586</v>
      </c>
      <c r="Q331" s="1">
        <v>100064</v>
      </c>
      <c r="R331" s="1">
        <v>104975</v>
      </c>
      <c r="S331" s="1">
        <v>107147</v>
      </c>
      <c r="T331" s="1">
        <v>109428</v>
      </c>
      <c r="U331" s="1">
        <v>5200</v>
      </c>
      <c r="V331" s="1">
        <v>0</v>
      </c>
      <c r="W331" s="1">
        <v>8100</v>
      </c>
      <c r="X331" s="1">
        <v>4000</v>
      </c>
      <c r="Y331" s="1">
        <v>4200</v>
      </c>
      <c r="Z331" s="1">
        <v>4200</v>
      </c>
      <c r="AA331">
        <v>0</v>
      </c>
      <c r="AB331" t="str">
        <f t="shared" si="5"/>
        <v>Not Defaulter</v>
      </c>
      <c r="AC331" s="1">
        <f>Table2[[#This Row],[BILL_AMT1]]-Table2[[#This Row],[PAY_AMT1]]</f>
        <v>94655</v>
      </c>
      <c r="AD331" s="1" t="str" cm="1">
        <f t="array" ref="AD331">_xlfn.IFS(Table2[[#This Row],[PAYMENT GAP]]&lt;=0,"No Gap / Overpaid",Table2[[#This Row],[PAYMENT GAP]]&lt;=25000,"Low Gap",Table2[[#This Row],[PAYMENT GAP]]&lt;=100000,"Medium Gap",
TRUE,"High Gap"
)</f>
        <v>Medium Gap</v>
      </c>
    </row>
    <row r="332" spans="1:30" x14ac:dyDescent="0.3">
      <c r="A332">
        <v>331</v>
      </c>
      <c r="B332" s="1">
        <v>200000</v>
      </c>
      <c r="C332" s="1" t="str" cm="1">
        <f t="array" ref="C332">_xlfn.IFS(Table2[[#This Row],[LIMIT_BAL]]&lt;=100000,"Low",Table2[[#This Row],[LIMIT_BAL]]&lt;=300000,"Medium",
TRUE,"High"
)</f>
        <v>Medium</v>
      </c>
      <c r="D332" t="s">
        <v>2041</v>
      </c>
      <c r="E332" t="s">
        <v>2043</v>
      </c>
      <c r="F332" t="s">
        <v>2028</v>
      </c>
      <c r="G332">
        <v>37</v>
      </c>
      <c r="H332" t="str" cm="1">
        <f t="array" ref="H332">_xlfn.IFS(
Table2[[#This Row],[AGE]]&lt;30,"Young",
Table2[[#This Row],[AGE]]&lt;40,"Middle Age",
Table2[[#This Row],[AGE]]&lt;50,"Senior",
TRUE,"Super Senior"
)</f>
        <v>Middle Age</v>
      </c>
      <c r="I332">
        <v>1</v>
      </c>
      <c r="J332">
        <v>-1</v>
      </c>
      <c r="K332">
        <v>2</v>
      </c>
      <c r="L332">
        <v>-1</v>
      </c>
      <c r="M332">
        <v>-1</v>
      </c>
      <c r="N332">
        <v>-1</v>
      </c>
      <c r="O332" s="1">
        <v>-179</v>
      </c>
      <c r="P332" s="1">
        <v>505</v>
      </c>
      <c r="Q332" s="1">
        <v>189</v>
      </c>
      <c r="R332" s="1">
        <v>6773</v>
      </c>
      <c r="S332" s="1">
        <v>23209</v>
      </c>
      <c r="T332" s="1">
        <v>16893</v>
      </c>
      <c r="U332" s="1">
        <v>1000</v>
      </c>
      <c r="V332" s="1">
        <v>0</v>
      </c>
      <c r="W332" s="1">
        <v>6900</v>
      </c>
      <c r="X332" s="1">
        <v>24000</v>
      </c>
      <c r="Y332" s="1">
        <v>17000</v>
      </c>
      <c r="Z332" s="1">
        <v>2500</v>
      </c>
      <c r="AA332">
        <v>1</v>
      </c>
      <c r="AB332" t="str">
        <f t="shared" si="5"/>
        <v>Defaulter</v>
      </c>
      <c r="AC332" s="1">
        <f>Table2[[#This Row],[BILL_AMT1]]-Table2[[#This Row],[PAY_AMT1]]</f>
        <v>-1179</v>
      </c>
      <c r="AD332" s="1" t="str" cm="1">
        <f t="array" ref="AD332">_xlfn.IFS(Table2[[#This Row],[PAYMENT GAP]]&lt;=0,"No Gap / Overpaid",Table2[[#This Row],[PAYMENT GAP]]&lt;=25000,"Low Gap",Table2[[#This Row],[PAYMENT GAP]]&lt;=100000,"Medium Gap",
TRUE,"High Gap"
)</f>
        <v>No Gap / Overpaid</v>
      </c>
    </row>
    <row r="333" spans="1:30" x14ac:dyDescent="0.3">
      <c r="A333">
        <v>332</v>
      </c>
      <c r="B333" s="1">
        <v>130000</v>
      </c>
      <c r="C333" s="1" t="str" cm="1">
        <f t="array" ref="C333">_xlfn.IFS(Table2[[#This Row],[LIMIT_BAL]]&lt;=100000,"Low",Table2[[#This Row],[LIMIT_BAL]]&lt;=300000,"Medium",
TRUE,"High"
)</f>
        <v>Medium</v>
      </c>
      <c r="D333" t="s">
        <v>2041</v>
      </c>
      <c r="E333" t="s">
        <v>2043</v>
      </c>
      <c r="F333" t="s">
        <v>2029</v>
      </c>
      <c r="G333">
        <v>40</v>
      </c>
      <c r="H333" t="str" cm="1">
        <f t="array" ref="H333">_xlfn.IFS(
Table2[[#This Row],[AGE]]&lt;30,"Young",
Table2[[#This Row],[AGE]]&lt;40,"Middle Age",
Table2[[#This Row],[AGE]]&lt;50,"Senior",
TRUE,"Super Senior"
)</f>
        <v>Senior</v>
      </c>
      <c r="I333">
        <v>0</v>
      </c>
      <c r="J333">
        <v>0</v>
      </c>
      <c r="K333">
        <v>2</v>
      </c>
      <c r="L333">
        <v>0</v>
      </c>
      <c r="M333">
        <v>0</v>
      </c>
      <c r="N333">
        <v>0</v>
      </c>
      <c r="O333" s="1">
        <v>9559</v>
      </c>
      <c r="P333" s="1">
        <v>12394</v>
      </c>
      <c r="Q333" s="1">
        <v>11883</v>
      </c>
      <c r="R333" s="1">
        <v>9826</v>
      </c>
      <c r="S333" s="1">
        <v>10167</v>
      </c>
      <c r="T333" s="1">
        <v>12685</v>
      </c>
      <c r="U333" s="1">
        <v>3000</v>
      </c>
      <c r="V333" s="1">
        <v>0</v>
      </c>
      <c r="W333" s="1">
        <v>500</v>
      </c>
      <c r="X333" s="1">
        <v>500</v>
      </c>
      <c r="Y333" s="1">
        <v>2700</v>
      </c>
      <c r="Z333" s="1">
        <v>500</v>
      </c>
      <c r="AA333">
        <v>1</v>
      </c>
      <c r="AB333" t="str">
        <f t="shared" si="5"/>
        <v>Defaulter</v>
      </c>
      <c r="AC333" s="1">
        <f>Table2[[#This Row],[BILL_AMT1]]-Table2[[#This Row],[PAY_AMT1]]</f>
        <v>6559</v>
      </c>
      <c r="AD333" s="1" t="str" cm="1">
        <f t="array" ref="AD333">_xlfn.IFS(Table2[[#This Row],[PAYMENT GAP]]&lt;=0,"No Gap / Overpaid",Table2[[#This Row],[PAYMENT GAP]]&lt;=25000,"Low Gap",Table2[[#This Row],[PAYMENT GAP]]&lt;=100000,"Medium Gap",
TRUE,"High Gap"
)</f>
        <v>Low Gap</v>
      </c>
    </row>
    <row r="334" spans="1:30" x14ac:dyDescent="0.3">
      <c r="A334">
        <v>333</v>
      </c>
      <c r="B334" s="1">
        <v>60000</v>
      </c>
      <c r="C334" s="1" t="str" cm="1">
        <f t="array" ref="C334">_xlfn.IFS(Table2[[#This Row],[LIMIT_BAL]]&lt;=100000,"Low",Table2[[#This Row],[LIMIT_BAL]]&lt;=300000,"Medium",
TRUE,"High"
)</f>
        <v>Low</v>
      </c>
      <c r="D334" t="s">
        <v>2041</v>
      </c>
      <c r="E334" t="s">
        <v>2026</v>
      </c>
      <c r="F334" t="s">
        <v>2029</v>
      </c>
      <c r="G334">
        <v>28</v>
      </c>
      <c r="H334" t="str" cm="1">
        <f t="array" ref="H334">_xlfn.IFS(
Table2[[#This Row],[AGE]]&lt;30,"Young",
Table2[[#This Row],[AGE]]&lt;40,"Middle Age",
Table2[[#This Row],[AGE]]&lt;50,"Senior",
TRUE,"Super Senior"
)</f>
        <v>Young</v>
      </c>
      <c r="I334">
        <v>1</v>
      </c>
      <c r="J334">
        <v>2</v>
      </c>
      <c r="K334">
        <v>0</v>
      </c>
      <c r="L334">
        <v>0</v>
      </c>
      <c r="M334">
        <v>0</v>
      </c>
      <c r="N334">
        <v>0</v>
      </c>
      <c r="O334" s="1">
        <v>10540</v>
      </c>
      <c r="P334" s="1">
        <v>10232</v>
      </c>
      <c r="Q334" s="1">
        <v>11237</v>
      </c>
      <c r="R334" s="1">
        <v>11427</v>
      </c>
      <c r="S334" s="1">
        <v>20973</v>
      </c>
      <c r="T334" s="1">
        <v>31857</v>
      </c>
      <c r="U334" s="1">
        <v>0</v>
      </c>
      <c r="V334" s="1">
        <v>1483</v>
      </c>
      <c r="W334" s="1">
        <v>673</v>
      </c>
      <c r="X334" s="1">
        <v>10000</v>
      </c>
      <c r="Y334" s="1">
        <v>11540</v>
      </c>
      <c r="Z334" s="1">
        <v>7000</v>
      </c>
      <c r="AA334">
        <v>0</v>
      </c>
      <c r="AB334" t="str">
        <f t="shared" si="5"/>
        <v>Not Defaulter</v>
      </c>
      <c r="AC334" s="1">
        <f>Table2[[#This Row],[BILL_AMT1]]-Table2[[#This Row],[PAY_AMT1]]</f>
        <v>10540</v>
      </c>
      <c r="AD334" s="1" t="str" cm="1">
        <f t="array" ref="AD334">_xlfn.IFS(Table2[[#This Row],[PAYMENT GAP]]&lt;=0,"No Gap / Overpaid",Table2[[#This Row],[PAYMENT GAP]]&lt;=25000,"Low Gap",Table2[[#This Row],[PAYMENT GAP]]&lt;=100000,"Medium Gap",
TRUE,"High Gap"
)</f>
        <v>Low Gap</v>
      </c>
    </row>
    <row r="335" spans="1:30" x14ac:dyDescent="0.3">
      <c r="A335">
        <v>334</v>
      </c>
      <c r="B335" s="1">
        <v>400000</v>
      </c>
      <c r="C335" s="1" t="str" cm="1">
        <f t="array" ref="C335">_xlfn.IFS(Table2[[#This Row],[LIMIT_BAL]]&lt;=100000,"Low",Table2[[#This Row],[LIMIT_BAL]]&lt;=300000,"Medium",
TRUE,"High"
)</f>
        <v>High</v>
      </c>
      <c r="D335" t="s">
        <v>2041</v>
      </c>
      <c r="E335" t="s">
        <v>2043</v>
      </c>
      <c r="F335" t="s">
        <v>2028</v>
      </c>
      <c r="G335">
        <v>43</v>
      </c>
      <c r="H335" t="str" cm="1">
        <f t="array" ref="H335">_xlfn.IFS(
Table2[[#This Row],[AGE]]&lt;30,"Young",
Table2[[#This Row],[AGE]]&lt;40,"Middle Age",
Table2[[#This Row],[AGE]]&lt;50,"Senior",
TRUE,"Super Senior"
)</f>
        <v>Senior</v>
      </c>
      <c r="I335">
        <v>1</v>
      </c>
      <c r="J335">
        <v>-2</v>
      </c>
      <c r="K335">
        <v>-2</v>
      </c>
      <c r="L335">
        <v>-2</v>
      </c>
      <c r="M335">
        <v>-1</v>
      </c>
      <c r="N335">
        <v>-1</v>
      </c>
      <c r="O335" s="1">
        <v>0</v>
      </c>
      <c r="P335" s="1">
        <v>0</v>
      </c>
      <c r="Q335" s="1">
        <v>0</v>
      </c>
      <c r="R335" s="1">
        <v>0</v>
      </c>
      <c r="S335" s="1">
        <v>1600</v>
      </c>
      <c r="T335" s="1">
        <v>78388</v>
      </c>
      <c r="U335" s="1">
        <v>0</v>
      </c>
      <c r="V335" s="1">
        <v>0</v>
      </c>
      <c r="W335" s="1">
        <v>0</v>
      </c>
      <c r="X335" s="1">
        <v>1600</v>
      </c>
      <c r="Y335" s="1">
        <v>78388</v>
      </c>
      <c r="Z335" s="1">
        <v>0</v>
      </c>
      <c r="AA335">
        <v>0</v>
      </c>
      <c r="AB335" t="str">
        <f t="shared" si="5"/>
        <v>Not Defaulter</v>
      </c>
      <c r="AC335" s="1">
        <f>Table2[[#This Row],[BILL_AMT1]]-Table2[[#This Row],[PAY_AMT1]]</f>
        <v>0</v>
      </c>
      <c r="AD335" s="1" t="str" cm="1">
        <f t="array" ref="AD335">_xlfn.IFS(Table2[[#This Row],[PAYMENT GAP]]&lt;=0,"No Gap / Overpaid",Table2[[#This Row],[PAYMENT GAP]]&lt;=25000,"Low Gap",Table2[[#This Row],[PAYMENT GAP]]&lt;=100000,"Medium Gap",
TRUE,"High Gap"
)</f>
        <v>No Gap / Overpaid</v>
      </c>
    </row>
    <row r="336" spans="1:30" x14ac:dyDescent="0.3">
      <c r="A336">
        <v>335</v>
      </c>
      <c r="B336" s="1">
        <v>20000</v>
      </c>
      <c r="C336" s="1" t="str" cm="1">
        <f t="array" ref="C336">_xlfn.IFS(Table2[[#This Row],[LIMIT_BAL]]&lt;=100000,"Low",Table2[[#This Row],[LIMIT_BAL]]&lt;=300000,"Medium",
TRUE,"High"
)</f>
        <v>Low</v>
      </c>
      <c r="D336" t="s">
        <v>2042</v>
      </c>
      <c r="E336" t="s">
        <v>2026</v>
      </c>
      <c r="F336" t="s">
        <v>2029</v>
      </c>
      <c r="G336">
        <v>27</v>
      </c>
      <c r="H336" t="str" cm="1">
        <f t="array" ref="H336">_xlfn.IFS(
Table2[[#This Row],[AGE]]&lt;30,"Young",
Table2[[#This Row],[AGE]]&lt;40,"Middle Age",
Table2[[#This Row],[AGE]]&lt;50,"Senior",
TRUE,"Super Senior"
)</f>
        <v>Young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s="1">
        <v>20571</v>
      </c>
      <c r="P336" s="1">
        <v>19089</v>
      </c>
      <c r="Q336" s="1">
        <v>19658</v>
      </c>
      <c r="R336" s="1">
        <v>19453</v>
      </c>
      <c r="S336" s="1">
        <v>19108</v>
      </c>
      <c r="T336" s="1">
        <v>18868</v>
      </c>
      <c r="U336" s="1">
        <v>1323</v>
      </c>
      <c r="V336" s="1">
        <v>1600</v>
      </c>
      <c r="W336" s="1">
        <v>830</v>
      </c>
      <c r="X336" s="1">
        <v>700</v>
      </c>
      <c r="Y336" s="1">
        <v>674</v>
      </c>
      <c r="Z336" s="1">
        <v>376</v>
      </c>
      <c r="AA336">
        <v>0</v>
      </c>
      <c r="AB336" t="str">
        <f t="shared" si="5"/>
        <v>Not Defaulter</v>
      </c>
      <c r="AC336" s="1">
        <f>Table2[[#This Row],[BILL_AMT1]]-Table2[[#This Row],[PAY_AMT1]]</f>
        <v>19248</v>
      </c>
      <c r="AD336" s="1" t="str" cm="1">
        <f t="array" ref="AD336">_xlfn.IFS(Table2[[#This Row],[PAYMENT GAP]]&lt;=0,"No Gap / Overpaid",Table2[[#This Row],[PAYMENT GAP]]&lt;=25000,"Low Gap",Table2[[#This Row],[PAYMENT GAP]]&lt;=100000,"Medium Gap",
TRUE,"High Gap"
)</f>
        <v>Low Gap</v>
      </c>
    </row>
    <row r="337" spans="1:30" x14ac:dyDescent="0.3">
      <c r="A337">
        <v>336</v>
      </c>
      <c r="B337" s="1">
        <v>190000</v>
      </c>
      <c r="C337" s="1" t="str" cm="1">
        <f t="array" ref="C337">_xlfn.IFS(Table2[[#This Row],[LIMIT_BAL]]&lt;=100000,"Low",Table2[[#This Row],[LIMIT_BAL]]&lt;=300000,"Medium",
TRUE,"High"
)</f>
        <v>Medium</v>
      </c>
      <c r="D337" t="s">
        <v>2041</v>
      </c>
      <c r="E337" t="s">
        <v>2026</v>
      </c>
      <c r="F337" t="s">
        <v>2029</v>
      </c>
      <c r="G337">
        <v>28</v>
      </c>
      <c r="H337" t="str" cm="1">
        <f t="array" ref="H337">_xlfn.IFS(
Table2[[#This Row],[AGE]]&lt;30,"Young",
Table2[[#This Row],[AGE]]&lt;40,"Middle Age",
Table2[[#This Row],[AGE]]&lt;50,"Senior",
TRUE,"Super Senior"
)</f>
        <v>Young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 s="1">
        <v>143464</v>
      </c>
      <c r="P337" s="1">
        <v>146943</v>
      </c>
      <c r="Q337" s="1">
        <v>151905</v>
      </c>
      <c r="R337" s="1">
        <v>153538</v>
      </c>
      <c r="S337" s="1">
        <v>156664</v>
      </c>
      <c r="T337" s="1">
        <v>160361</v>
      </c>
      <c r="U337" s="1">
        <v>5795</v>
      </c>
      <c r="V337" s="1">
        <v>7408</v>
      </c>
      <c r="W337" s="1">
        <v>5645</v>
      </c>
      <c r="X337" s="1">
        <v>5753</v>
      </c>
      <c r="Y337" s="1">
        <v>6370</v>
      </c>
      <c r="Z337" s="1">
        <v>5865</v>
      </c>
      <c r="AA337">
        <v>0</v>
      </c>
      <c r="AB337" t="str">
        <f t="shared" si="5"/>
        <v>Not Defaulter</v>
      </c>
      <c r="AC337" s="1">
        <f>Table2[[#This Row],[BILL_AMT1]]-Table2[[#This Row],[PAY_AMT1]]</f>
        <v>137669</v>
      </c>
      <c r="AD337" s="1" t="str" cm="1">
        <f t="array" ref="AD337">_xlfn.IFS(Table2[[#This Row],[PAYMENT GAP]]&lt;=0,"No Gap / Overpaid",Table2[[#This Row],[PAYMENT GAP]]&lt;=25000,"Low Gap",Table2[[#This Row],[PAYMENT GAP]]&lt;=100000,"Medium Gap",
TRUE,"High Gap"
)</f>
        <v>High Gap</v>
      </c>
    </row>
    <row r="338" spans="1:30" x14ac:dyDescent="0.3">
      <c r="A338">
        <v>337</v>
      </c>
      <c r="B338" s="1">
        <v>260000</v>
      </c>
      <c r="C338" s="1" t="str" cm="1">
        <f t="array" ref="C338">_xlfn.IFS(Table2[[#This Row],[LIMIT_BAL]]&lt;=100000,"Low",Table2[[#This Row],[LIMIT_BAL]]&lt;=300000,"Medium",
TRUE,"High"
)</f>
        <v>Medium</v>
      </c>
      <c r="D338" t="s">
        <v>2041</v>
      </c>
      <c r="E338" t="s">
        <v>2026</v>
      </c>
      <c r="F338" t="s">
        <v>2029</v>
      </c>
      <c r="G338">
        <v>30</v>
      </c>
      <c r="H338" t="str" cm="1">
        <f t="array" ref="H338">_xlfn.IFS(
Table2[[#This Row],[AGE]]&lt;30,"Young",
Table2[[#This Row],[AGE]]&lt;40,"Middle Age",
Table2[[#This Row],[AGE]]&lt;50,"Senior",
TRUE,"Super Senior"
)</f>
        <v>Middle Age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 s="1">
        <v>156882</v>
      </c>
      <c r="P338" s="1">
        <v>160246</v>
      </c>
      <c r="Q338" s="1">
        <v>159988</v>
      </c>
      <c r="R338" s="1">
        <v>158114</v>
      </c>
      <c r="S338" s="1">
        <v>158762</v>
      </c>
      <c r="T338" s="1">
        <v>159108</v>
      </c>
      <c r="U338" s="1">
        <v>10000</v>
      </c>
      <c r="V338" s="1">
        <v>8000</v>
      </c>
      <c r="W338" s="1">
        <v>6000</v>
      </c>
      <c r="X338" s="1">
        <v>7000</v>
      </c>
      <c r="Y338" s="1">
        <v>7000</v>
      </c>
      <c r="Z338" s="1">
        <v>6000</v>
      </c>
      <c r="AA338">
        <v>0</v>
      </c>
      <c r="AB338" t="str">
        <f t="shared" si="5"/>
        <v>Not Defaulter</v>
      </c>
      <c r="AC338" s="1">
        <f>Table2[[#This Row],[BILL_AMT1]]-Table2[[#This Row],[PAY_AMT1]]</f>
        <v>146882</v>
      </c>
      <c r="AD338" s="1" t="str" cm="1">
        <f t="array" ref="AD338">_xlfn.IFS(Table2[[#This Row],[PAYMENT GAP]]&lt;=0,"No Gap / Overpaid",Table2[[#This Row],[PAYMENT GAP]]&lt;=25000,"Low Gap",Table2[[#This Row],[PAYMENT GAP]]&lt;=100000,"Medium Gap",
TRUE,"High Gap"
)</f>
        <v>High Gap</v>
      </c>
    </row>
    <row r="339" spans="1:30" x14ac:dyDescent="0.3">
      <c r="A339">
        <v>338</v>
      </c>
      <c r="B339" s="1">
        <v>140000</v>
      </c>
      <c r="C339" s="1" t="str" cm="1">
        <f t="array" ref="C339">_xlfn.IFS(Table2[[#This Row],[LIMIT_BAL]]&lt;=100000,"Low",Table2[[#This Row],[LIMIT_BAL]]&lt;=300000,"Medium",
TRUE,"High"
)</f>
        <v>Medium</v>
      </c>
      <c r="D339" t="s">
        <v>2041</v>
      </c>
      <c r="E339" t="s">
        <v>2043</v>
      </c>
      <c r="F339" t="s">
        <v>2029</v>
      </c>
      <c r="G339">
        <v>31</v>
      </c>
      <c r="H339" t="str" cm="1">
        <f t="array" ref="H339">_xlfn.IFS(
Table2[[#This Row],[AGE]]&lt;30,"Young",
Table2[[#This Row],[AGE]]&lt;40,"Middle Age",
Table2[[#This Row],[AGE]]&lt;50,"Senior",
TRUE,"Super Senior"
)</f>
        <v>Middle Age</v>
      </c>
      <c r="I339">
        <v>-2</v>
      </c>
      <c r="J339">
        <v>-2</v>
      </c>
      <c r="K339">
        <v>-2</v>
      </c>
      <c r="L339">
        <v>-2</v>
      </c>
      <c r="M339">
        <v>-2</v>
      </c>
      <c r="N339">
        <v>-2</v>
      </c>
      <c r="O339" s="1">
        <v>390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>
        <v>0</v>
      </c>
      <c r="AB339" t="str">
        <f t="shared" si="5"/>
        <v>Not Defaulter</v>
      </c>
      <c r="AC339" s="1">
        <f>Table2[[#This Row],[BILL_AMT1]]-Table2[[#This Row],[PAY_AMT1]]</f>
        <v>390</v>
      </c>
      <c r="AD339" s="1" t="str" cm="1">
        <f t="array" ref="AD339">_xlfn.IFS(Table2[[#This Row],[PAYMENT GAP]]&lt;=0,"No Gap / Overpaid",Table2[[#This Row],[PAYMENT GAP]]&lt;=25000,"Low Gap",Table2[[#This Row],[PAYMENT GAP]]&lt;=100000,"Medium Gap",
TRUE,"High Gap"
)</f>
        <v>Low Gap</v>
      </c>
    </row>
    <row r="340" spans="1:30" x14ac:dyDescent="0.3">
      <c r="A340">
        <v>339</v>
      </c>
      <c r="B340" s="1">
        <v>50000</v>
      </c>
      <c r="C340" s="1" t="str" cm="1">
        <f t="array" ref="C340">_xlfn.IFS(Table2[[#This Row],[LIMIT_BAL]]&lt;=100000,"Low",Table2[[#This Row],[LIMIT_BAL]]&lt;=300000,"Medium",
TRUE,"High"
)</f>
        <v>Low</v>
      </c>
      <c r="D340" t="s">
        <v>2041</v>
      </c>
      <c r="E340" t="s">
        <v>2043</v>
      </c>
      <c r="F340" t="s">
        <v>2028</v>
      </c>
      <c r="G340">
        <v>31</v>
      </c>
      <c r="H340" t="str" cm="1">
        <f t="array" ref="H340">_xlfn.IFS(
Table2[[#This Row],[AGE]]&lt;30,"Young",
Table2[[#This Row],[AGE]]&lt;40,"Middle Age",
Table2[[#This Row],[AGE]]&lt;50,"Senior",
TRUE,"Super Senior"
)</f>
        <v>Middle Age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 s="1">
        <v>46512</v>
      </c>
      <c r="P340" s="1">
        <v>47716</v>
      </c>
      <c r="Q340" s="1">
        <v>49675</v>
      </c>
      <c r="R340" s="1">
        <v>30929</v>
      </c>
      <c r="S340" s="1">
        <v>30078</v>
      </c>
      <c r="T340" s="1">
        <v>29170</v>
      </c>
      <c r="U340" s="1">
        <v>1974</v>
      </c>
      <c r="V340" s="1">
        <v>4406</v>
      </c>
      <c r="W340" s="1">
        <v>1061</v>
      </c>
      <c r="X340" s="1">
        <v>1073</v>
      </c>
      <c r="Y340" s="1">
        <v>1046</v>
      </c>
      <c r="Z340" s="1">
        <v>1047</v>
      </c>
      <c r="AA340">
        <v>1</v>
      </c>
      <c r="AB340" t="str">
        <f t="shared" si="5"/>
        <v>Defaulter</v>
      </c>
      <c r="AC340" s="1">
        <f>Table2[[#This Row],[BILL_AMT1]]-Table2[[#This Row],[PAY_AMT1]]</f>
        <v>44538</v>
      </c>
      <c r="AD340" s="1" t="str" cm="1">
        <f t="array" ref="AD340">_xlfn.IFS(Table2[[#This Row],[PAYMENT GAP]]&lt;=0,"No Gap / Overpaid",Table2[[#This Row],[PAYMENT GAP]]&lt;=25000,"Low Gap",Table2[[#This Row],[PAYMENT GAP]]&lt;=100000,"Medium Gap",
TRUE,"High Gap"
)</f>
        <v>Medium Gap</v>
      </c>
    </row>
    <row r="341" spans="1:30" x14ac:dyDescent="0.3">
      <c r="A341">
        <v>340</v>
      </c>
      <c r="B341" s="1">
        <v>120000</v>
      </c>
      <c r="C341" s="1" t="str" cm="1">
        <f t="array" ref="C341">_xlfn.IFS(Table2[[#This Row],[LIMIT_BAL]]&lt;=100000,"Low",Table2[[#This Row],[LIMIT_BAL]]&lt;=300000,"Medium",
TRUE,"High"
)</f>
        <v>Medium</v>
      </c>
      <c r="D341" t="s">
        <v>2041</v>
      </c>
      <c r="E341" t="s">
        <v>2026</v>
      </c>
      <c r="F341" t="s">
        <v>2029</v>
      </c>
      <c r="G341">
        <v>34</v>
      </c>
      <c r="H341" t="str" cm="1">
        <f t="array" ref="H341">_xlfn.IFS(
Table2[[#This Row],[AGE]]&lt;30,"Young",
Table2[[#This Row],[AGE]]&lt;40,"Middle Age",
Table2[[#This Row],[AGE]]&lt;50,"Senior",
TRUE,"Super Senior"
)</f>
        <v>Middle Age</v>
      </c>
      <c r="I341">
        <v>-1</v>
      </c>
      <c r="J341">
        <v>-1</v>
      </c>
      <c r="K341">
        <v>0</v>
      </c>
      <c r="L341">
        <v>-1</v>
      </c>
      <c r="M341">
        <v>-1</v>
      </c>
      <c r="N341">
        <v>-1</v>
      </c>
      <c r="O341" s="1">
        <v>882</v>
      </c>
      <c r="P341" s="1">
        <v>6531</v>
      </c>
      <c r="Q341" s="1">
        <v>6313</v>
      </c>
      <c r="R341" s="1">
        <v>1100</v>
      </c>
      <c r="S341" s="1">
        <v>1330</v>
      </c>
      <c r="T341" s="1">
        <v>830</v>
      </c>
      <c r="U341" s="1">
        <v>6900</v>
      </c>
      <c r="V341" s="1">
        <v>5037</v>
      </c>
      <c r="W341" s="1">
        <v>1100</v>
      </c>
      <c r="X341" s="1">
        <v>1330</v>
      </c>
      <c r="Y341" s="1">
        <v>3800</v>
      </c>
      <c r="Z341" s="1">
        <v>2037</v>
      </c>
      <c r="AA341">
        <v>0</v>
      </c>
      <c r="AB341" t="str">
        <f t="shared" si="5"/>
        <v>Not Defaulter</v>
      </c>
      <c r="AC341" s="1">
        <f>Table2[[#This Row],[BILL_AMT1]]-Table2[[#This Row],[PAY_AMT1]]</f>
        <v>-6018</v>
      </c>
      <c r="AD341" s="1" t="str" cm="1">
        <f t="array" ref="AD341">_xlfn.IFS(Table2[[#This Row],[PAYMENT GAP]]&lt;=0,"No Gap / Overpaid",Table2[[#This Row],[PAYMENT GAP]]&lt;=25000,"Low Gap",Table2[[#This Row],[PAYMENT GAP]]&lt;=100000,"Medium Gap",
TRUE,"High Gap"
)</f>
        <v>No Gap / Overpaid</v>
      </c>
    </row>
    <row r="342" spans="1:30" x14ac:dyDescent="0.3">
      <c r="A342">
        <v>341</v>
      </c>
      <c r="B342" s="1">
        <v>240000</v>
      </c>
      <c r="C342" s="1" t="str" cm="1">
        <f t="array" ref="C342">_xlfn.IFS(Table2[[#This Row],[LIMIT_BAL]]&lt;=100000,"Low",Table2[[#This Row],[LIMIT_BAL]]&lt;=300000,"Medium",
TRUE,"High"
)</f>
        <v>Medium</v>
      </c>
      <c r="D342" t="s">
        <v>2041</v>
      </c>
      <c r="E342" t="s">
        <v>2043</v>
      </c>
      <c r="F342" t="s">
        <v>2029</v>
      </c>
      <c r="G342">
        <v>30</v>
      </c>
      <c r="H342" t="str" cm="1">
        <f t="array" ref="H342">_xlfn.IFS(
Table2[[#This Row],[AGE]]&lt;30,"Young",
Table2[[#This Row],[AGE]]&lt;40,"Middle Age",
Table2[[#This Row],[AGE]]&lt;50,"Senior",
TRUE,"Super Senior"
)</f>
        <v>Middle Age</v>
      </c>
      <c r="I342">
        <v>-2</v>
      </c>
      <c r="J342">
        <v>-2</v>
      </c>
      <c r="K342">
        <v>-2</v>
      </c>
      <c r="L342">
        <v>-2</v>
      </c>
      <c r="M342">
        <v>-2</v>
      </c>
      <c r="N342">
        <v>-2</v>
      </c>
      <c r="O342" s="1">
        <v>92</v>
      </c>
      <c r="P342" s="1">
        <v>92</v>
      </c>
      <c r="Q342" s="1">
        <v>92</v>
      </c>
      <c r="R342" s="1">
        <v>0</v>
      </c>
      <c r="S342" s="1">
        <v>92</v>
      </c>
      <c r="T342" s="1">
        <v>0</v>
      </c>
      <c r="U342" s="1">
        <v>92</v>
      </c>
      <c r="V342" s="1">
        <v>92</v>
      </c>
      <c r="W342" s="1">
        <v>0</v>
      </c>
      <c r="X342" s="1">
        <v>92</v>
      </c>
      <c r="Y342" s="1">
        <v>0</v>
      </c>
      <c r="Z342" s="1">
        <v>1883</v>
      </c>
      <c r="AA342">
        <v>0</v>
      </c>
      <c r="AB342" t="str">
        <f t="shared" si="5"/>
        <v>Not Defaulter</v>
      </c>
      <c r="AC342" s="1">
        <f>Table2[[#This Row],[BILL_AMT1]]-Table2[[#This Row],[PAY_AMT1]]</f>
        <v>0</v>
      </c>
      <c r="AD342" s="1" t="str" cm="1">
        <f t="array" ref="AD342">_xlfn.IFS(Table2[[#This Row],[PAYMENT GAP]]&lt;=0,"No Gap / Overpaid",Table2[[#This Row],[PAYMENT GAP]]&lt;=25000,"Low Gap",Table2[[#This Row],[PAYMENT GAP]]&lt;=100000,"Medium Gap",
TRUE,"High Gap"
)</f>
        <v>No Gap / Overpaid</v>
      </c>
    </row>
    <row r="343" spans="1:30" x14ac:dyDescent="0.3">
      <c r="A343">
        <v>342</v>
      </c>
      <c r="B343" s="1">
        <v>50000</v>
      </c>
      <c r="C343" s="1" t="str" cm="1">
        <f t="array" ref="C343">_xlfn.IFS(Table2[[#This Row],[LIMIT_BAL]]&lt;=100000,"Low",Table2[[#This Row],[LIMIT_BAL]]&lt;=300000,"Medium",
TRUE,"High"
)</f>
        <v>Low</v>
      </c>
      <c r="D343" t="s">
        <v>2042</v>
      </c>
      <c r="E343" t="s">
        <v>2043</v>
      </c>
      <c r="F343" t="s">
        <v>2029</v>
      </c>
      <c r="G343">
        <v>36</v>
      </c>
      <c r="H343" t="str" cm="1">
        <f t="array" ref="H343">_xlfn.IFS(
Table2[[#This Row],[AGE]]&lt;30,"Young",
Table2[[#This Row],[AGE]]&lt;40,"Middle Age",
Table2[[#This Row],[AGE]]&lt;50,"Senior",
TRUE,"Super Senior"
)</f>
        <v>Middle Age</v>
      </c>
      <c r="I343">
        <v>0</v>
      </c>
      <c r="J343">
        <v>0</v>
      </c>
      <c r="K343">
        <v>0</v>
      </c>
      <c r="L343">
        <v>0</v>
      </c>
      <c r="M343">
        <v>-1</v>
      </c>
      <c r="N343">
        <v>0</v>
      </c>
      <c r="O343" s="1">
        <v>5916</v>
      </c>
      <c r="P343" s="1">
        <v>6172</v>
      </c>
      <c r="Q343" s="1">
        <v>4123</v>
      </c>
      <c r="R343" s="1">
        <v>680</v>
      </c>
      <c r="S343" s="1">
        <v>978</v>
      </c>
      <c r="T343" s="1">
        <v>978</v>
      </c>
      <c r="U343" s="1">
        <v>1212</v>
      </c>
      <c r="V343" s="1">
        <v>1200</v>
      </c>
      <c r="W343" s="1">
        <v>0</v>
      </c>
      <c r="X343" s="1">
        <v>978</v>
      </c>
      <c r="Y343" s="1">
        <v>0</v>
      </c>
      <c r="Z343" s="1">
        <v>0</v>
      </c>
      <c r="AA343">
        <v>0</v>
      </c>
      <c r="AB343" t="str">
        <f t="shared" si="5"/>
        <v>Not Defaulter</v>
      </c>
      <c r="AC343" s="1">
        <f>Table2[[#This Row],[BILL_AMT1]]-Table2[[#This Row],[PAY_AMT1]]</f>
        <v>4704</v>
      </c>
      <c r="AD343" s="1" t="str" cm="1">
        <f t="array" ref="AD343">_xlfn.IFS(Table2[[#This Row],[PAYMENT GAP]]&lt;=0,"No Gap / Overpaid",Table2[[#This Row],[PAYMENT GAP]]&lt;=25000,"Low Gap",Table2[[#This Row],[PAYMENT GAP]]&lt;=100000,"Medium Gap",
TRUE,"High Gap"
)</f>
        <v>Low Gap</v>
      </c>
    </row>
    <row r="344" spans="1:30" x14ac:dyDescent="0.3">
      <c r="A344">
        <v>343</v>
      </c>
      <c r="B344" s="1">
        <v>200000</v>
      </c>
      <c r="C344" s="1" t="str" cm="1">
        <f t="array" ref="C344">_xlfn.IFS(Table2[[#This Row],[LIMIT_BAL]]&lt;=100000,"Low",Table2[[#This Row],[LIMIT_BAL]]&lt;=300000,"Medium",
TRUE,"High"
)</f>
        <v>Medium</v>
      </c>
      <c r="D344" t="s">
        <v>2041</v>
      </c>
      <c r="E344" t="s">
        <v>2026</v>
      </c>
      <c r="F344" t="s">
        <v>2029</v>
      </c>
      <c r="G344">
        <v>29</v>
      </c>
      <c r="H344" t="str" cm="1">
        <f t="array" ref="H344">_xlfn.IFS(
Table2[[#This Row],[AGE]]&lt;30,"Young",
Table2[[#This Row],[AGE]]&lt;40,"Middle Age",
Table2[[#This Row],[AGE]]&lt;50,"Senior",
TRUE,"Super Senior"
)</f>
        <v>Young</v>
      </c>
      <c r="I344">
        <v>-1</v>
      </c>
      <c r="J344">
        <v>2</v>
      </c>
      <c r="K344">
        <v>-1</v>
      </c>
      <c r="L344">
        <v>-1</v>
      </c>
      <c r="M344">
        <v>-1</v>
      </c>
      <c r="N344">
        <v>2</v>
      </c>
      <c r="O344" s="1">
        <v>2393</v>
      </c>
      <c r="P344" s="1">
        <v>183</v>
      </c>
      <c r="Q344" s="1">
        <v>4847</v>
      </c>
      <c r="R344" s="1">
        <v>20183</v>
      </c>
      <c r="S344" s="1">
        <v>24815</v>
      </c>
      <c r="T344" s="1">
        <v>24248</v>
      </c>
      <c r="U344" s="1">
        <v>0</v>
      </c>
      <c r="V344" s="1">
        <v>4872</v>
      </c>
      <c r="W344" s="1">
        <v>20183</v>
      </c>
      <c r="X344" s="1">
        <v>5000</v>
      </c>
      <c r="Y344" s="1">
        <v>0</v>
      </c>
      <c r="Z344" s="1">
        <v>1000</v>
      </c>
      <c r="AA344">
        <v>0</v>
      </c>
      <c r="AB344" t="str">
        <f t="shared" si="5"/>
        <v>Not Defaulter</v>
      </c>
      <c r="AC344" s="1">
        <f>Table2[[#This Row],[BILL_AMT1]]-Table2[[#This Row],[PAY_AMT1]]</f>
        <v>2393</v>
      </c>
      <c r="AD344" s="1" t="str" cm="1">
        <f t="array" ref="AD344">_xlfn.IFS(Table2[[#This Row],[PAYMENT GAP]]&lt;=0,"No Gap / Overpaid",Table2[[#This Row],[PAYMENT GAP]]&lt;=25000,"Low Gap",Table2[[#This Row],[PAYMENT GAP]]&lt;=100000,"Medium Gap",
TRUE,"High Gap"
)</f>
        <v>Low Gap</v>
      </c>
    </row>
    <row r="345" spans="1:30" x14ac:dyDescent="0.3">
      <c r="A345">
        <v>344</v>
      </c>
      <c r="B345" s="1">
        <v>180000</v>
      </c>
      <c r="C345" s="1" t="str" cm="1">
        <f t="array" ref="C345">_xlfn.IFS(Table2[[#This Row],[LIMIT_BAL]]&lt;=100000,"Low",Table2[[#This Row],[LIMIT_BAL]]&lt;=300000,"Medium",
TRUE,"High"
)</f>
        <v>Medium</v>
      </c>
      <c r="D345" t="s">
        <v>2042</v>
      </c>
      <c r="E345" t="s">
        <v>2026</v>
      </c>
      <c r="F345" t="s">
        <v>2028</v>
      </c>
      <c r="G345">
        <v>39</v>
      </c>
      <c r="H345" t="str" cm="1">
        <f t="array" ref="H345">_xlfn.IFS(
Table2[[#This Row],[AGE]]&lt;30,"Young",
Table2[[#This Row],[AGE]]&lt;40,"Middle Age",
Table2[[#This Row],[AGE]]&lt;50,"Senior",
TRUE,"Super Senior"
)</f>
        <v>Middle Age</v>
      </c>
      <c r="I345">
        <v>0</v>
      </c>
      <c r="J345">
        <v>0</v>
      </c>
      <c r="K345">
        <v>-1</v>
      </c>
      <c r="L345">
        <v>0</v>
      </c>
      <c r="M345">
        <v>0</v>
      </c>
      <c r="N345">
        <v>-1</v>
      </c>
      <c r="O345" s="1">
        <v>274731</v>
      </c>
      <c r="P345" s="1">
        <v>281713</v>
      </c>
      <c r="Q345" s="1">
        <v>242063</v>
      </c>
      <c r="R345" s="1">
        <v>122295</v>
      </c>
      <c r="S345" s="1">
        <v>-1005</v>
      </c>
      <c r="T345" s="1">
        <v>1005</v>
      </c>
      <c r="U345" s="1">
        <v>11000</v>
      </c>
      <c r="V345" s="1">
        <v>145000</v>
      </c>
      <c r="W345" s="1">
        <v>26000</v>
      </c>
      <c r="X345" s="1">
        <v>0</v>
      </c>
      <c r="Y345" s="1">
        <v>101005</v>
      </c>
      <c r="Z345" s="1">
        <v>1898</v>
      </c>
      <c r="AA345">
        <v>0</v>
      </c>
      <c r="AB345" t="str">
        <f t="shared" si="5"/>
        <v>Not Defaulter</v>
      </c>
      <c r="AC345" s="1">
        <f>Table2[[#This Row],[BILL_AMT1]]-Table2[[#This Row],[PAY_AMT1]]</f>
        <v>263731</v>
      </c>
      <c r="AD345" s="1" t="str" cm="1">
        <f t="array" ref="AD345">_xlfn.IFS(Table2[[#This Row],[PAYMENT GAP]]&lt;=0,"No Gap / Overpaid",Table2[[#This Row],[PAYMENT GAP]]&lt;=25000,"Low Gap",Table2[[#This Row],[PAYMENT GAP]]&lt;=100000,"Medium Gap",
TRUE,"High Gap"
)</f>
        <v>High Gap</v>
      </c>
    </row>
    <row r="346" spans="1:30" x14ac:dyDescent="0.3">
      <c r="A346">
        <v>345</v>
      </c>
      <c r="B346" s="1">
        <v>180000</v>
      </c>
      <c r="C346" s="1" t="str" cm="1">
        <f t="array" ref="C346">_xlfn.IFS(Table2[[#This Row],[LIMIT_BAL]]&lt;=100000,"Low",Table2[[#This Row],[LIMIT_BAL]]&lt;=300000,"Medium",
TRUE,"High"
)</f>
        <v>Medium</v>
      </c>
      <c r="D346" t="s">
        <v>2041</v>
      </c>
      <c r="E346" t="s">
        <v>2026</v>
      </c>
      <c r="F346" t="s">
        <v>2029</v>
      </c>
      <c r="G346">
        <v>26</v>
      </c>
      <c r="H346" t="str" cm="1">
        <f t="array" ref="H346">_xlfn.IFS(
Table2[[#This Row],[AGE]]&lt;30,"Young",
Table2[[#This Row],[AGE]]&lt;40,"Middle Age",
Table2[[#This Row],[AGE]]&lt;50,"Senior",
TRUE,"Super Senior"
)</f>
        <v>Young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 s="1">
        <v>145403</v>
      </c>
      <c r="P346" s="1">
        <v>138232</v>
      </c>
      <c r="Q346" s="1">
        <v>130553</v>
      </c>
      <c r="R346" s="1">
        <v>105894</v>
      </c>
      <c r="S346" s="1">
        <v>108248</v>
      </c>
      <c r="T346" s="1">
        <v>106517</v>
      </c>
      <c r="U346" s="1">
        <v>5440</v>
      </c>
      <c r="V346" s="1">
        <v>5051</v>
      </c>
      <c r="W346" s="1">
        <v>3835</v>
      </c>
      <c r="X346" s="1">
        <v>4106</v>
      </c>
      <c r="Y346" s="1">
        <v>4250</v>
      </c>
      <c r="Z346" s="1">
        <v>4028</v>
      </c>
      <c r="AA346">
        <v>0</v>
      </c>
      <c r="AB346" t="str">
        <f t="shared" si="5"/>
        <v>Not Defaulter</v>
      </c>
      <c r="AC346" s="1">
        <f>Table2[[#This Row],[BILL_AMT1]]-Table2[[#This Row],[PAY_AMT1]]</f>
        <v>139963</v>
      </c>
      <c r="AD346" s="1" t="str" cm="1">
        <f t="array" ref="AD346">_xlfn.IFS(Table2[[#This Row],[PAYMENT GAP]]&lt;=0,"No Gap / Overpaid",Table2[[#This Row],[PAYMENT GAP]]&lt;=25000,"Low Gap",Table2[[#This Row],[PAYMENT GAP]]&lt;=100000,"Medium Gap",
TRUE,"High Gap"
)</f>
        <v>High Gap</v>
      </c>
    </row>
    <row r="347" spans="1:30" x14ac:dyDescent="0.3">
      <c r="A347">
        <v>346</v>
      </c>
      <c r="B347" s="1">
        <v>160000</v>
      </c>
      <c r="C347" s="1" t="str" cm="1">
        <f t="array" ref="C347">_xlfn.IFS(Table2[[#This Row],[LIMIT_BAL]]&lt;=100000,"Low",Table2[[#This Row],[LIMIT_BAL]]&lt;=300000,"Medium",
TRUE,"High"
)</f>
        <v>Medium</v>
      </c>
      <c r="D347" t="s">
        <v>2041</v>
      </c>
      <c r="E347" t="s">
        <v>2026</v>
      </c>
      <c r="F347" t="s">
        <v>2029</v>
      </c>
      <c r="G347">
        <v>29</v>
      </c>
      <c r="H347" t="str" cm="1">
        <f t="array" ref="H347">_xlfn.IFS(
Table2[[#This Row],[AGE]]&lt;30,"Young",
Table2[[#This Row],[AGE]]&lt;40,"Middle Age",
Table2[[#This Row],[AGE]]&lt;50,"Senior",
TRUE,"Super Senior"
)</f>
        <v>Young</v>
      </c>
      <c r="I347">
        <v>-1</v>
      </c>
      <c r="J347">
        <v>-1</v>
      </c>
      <c r="K347">
        <v>-2</v>
      </c>
      <c r="L347">
        <v>-1</v>
      </c>
      <c r="M347">
        <v>0</v>
      </c>
      <c r="N347">
        <v>0</v>
      </c>
      <c r="O347" s="1">
        <v>3097</v>
      </c>
      <c r="P347" s="1">
        <v>-707</v>
      </c>
      <c r="Q347" s="1">
        <v>-2697</v>
      </c>
      <c r="R347" s="1">
        <v>2303</v>
      </c>
      <c r="S347" s="1">
        <v>6182</v>
      </c>
      <c r="T347" s="1">
        <v>1654</v>
      </c>
      <c r="U347" s="1">
        <v>0</v>
      </c>
      <c r="V347" s="1">
        <v>0</v>
      </c>
      <c r="W347" s="1">
        <v>5000</v>
      </c>
      <c r="X347" s="1">
        <v>5000</v>
      </c>
      <c r="Y347" s="1">
        <v>1500</v>
      </c>
      <c r="Z347" s="1">
        <v>13000</v>
      </c>
      <c r="AA347">
        <v>0</v>
      </c>
      <c r="AB347" t="str">
        <f t="shared" si="5"/>
        <v>Not Defaulter</v>
      </c>
      <c r="AC347" s="1">
        <f>Table2[[#This Row],[BILL_AMT1]]-Table2[[#This Row],[PAY_AMT1]]</f>
        <v>3097</v>
      </c>
      <c r="AD347" s="1" t="str" cm="1">
        <f t="array" ref="AD347">_xlfn.IFS(Table2[[#This Row],[PAYMENT GAP]]&lt;=0,"No Gap / Overpaid",Table2[[#This Row],[PAYMENT GAP]]&lt;=25000,"Low Gap",Table2[[#This Row],[PAYMENT GAP]]&lt;=100000,"Medium Gap",
TRUE,"High Gap"
)</f>
        <v>Low Gap</v>
      </c>
    </row>
    <row r="348" spans="1:30" x14ac:dyDescent="0.3">
      <c r="A348">
        <v>347</v>
      </c>
      <c r="B348" s="1">
        <v>100000</v>
      </c>
      <c r="C348" s="1" t="str" cm="1">
        <f t="array" ref="C348">_xlfn.IFS(Table2[[#This Row],[LIMIT_BAL]]&lt;=100000,"Low",Table2[[#This Row],[LIMIT_BAL]]&lt;=300000,"Medium",
TRUE,"High"
)</f>
        <v>Low</v>
      </c>
      <c r="D348" t="s">
        <v>2041</v>
      </c>
      <c r="E348" t="s">
        <v>2043</v>
      </c>
      <c r="F348" t="s">
        <v>2029</v>
      </c>
      <c r="G348">
        <v>26</v>
      </c>
      <c r="H348" t="str" cm="1">
        <f t="array" ref="H348">_xlfn.IFS(
Table2[[#This Row],[AGE]]&lt;30,"Young",
Table2[[#This Row],[AGE]]&lt;40,"Middle Age",
Table2[[#This Row],[AGE]]&lt;50,"Senior",
TRUE,"Super Senior"
)</f>
        <v>Young</v>
      </c>
      <c r="I348">
        <v>-1</v>
      </c>
      <c r="J348">
        <v>-1</v>
      </c>
      <c r="K348">
        <v>-1</v>
      </c>
      <c r="L348">
        <v>0</v>
      </c>
      <c r="M348">
        <v>0</v>
      </c>
      <c r="N348">
        <v>0</v>
      </c>
      <c r="O348" s="1">
        <v>1370</v>
      </c>
      <c r="P348" s="1">
        <v>4192</v>
      </c>
      <c r="Q348" s="1">
        <v>4159</v>
      </c>
      <c r="R348" s="1">
        <v>3542</v>
      </c>
      <c r="S348" s="1">
        <v>1980</v>
      </c>
      <c r="T348" s="1">
        <v>3980</v>
      </c>
      <c r="U348" s="1">
        <v>4210</v>
      </c>
      <c r="V348" s="1">
        <v>4159</v>
      </c>
      <c r="W348" s="1">
        <v>1000</v>
      </c>
      <c r="X348" s="1">
        <v>1080</v>
      </c>
      <c r="Y348" s="1">
        <v>2000</v>
      </c>
      <c r="Z348" s="1">
        <v>1525</v>
      </c>
      <c r="AA348">
        <v>0</v>
      </c>
      <c r="AB348" t="str">
        <f t="shared" si="5"/>
        <v>Not Defaulter</v>
      </c>
      <c r="AC348" s="1">
        <f>Table2[[#This Row],[BILL_AMT1]]-Table2[[#This Row],[PAY_AMT1]]</f>
        <v>-2840</v>
      </c>
      <c r="AD348" s="1" t="str" cm="1">
        <f t="array" ref="AD348">_xlfn.IFS(Table2[[#This Row],[PAYMENT GAP]]&lt;=0,"No Gap / Overpaid",Table2[[#This Row],[PAYMENT GAP]]&lt;=25000,"Low Gap",Table2[[#This Row],[PAYMENT GAP]]&lt;=100000,"Medium Gap",
TRUE,"High Gap"
)</f>
        <v>No Gap / Overpaid</v>
      </c>
    </row>
    <row r="349" spans="1:30" x14ac:dyDescent="0.3">
      <c r="A349">
        <v>348</v>
      </c>
      <c r="B349" s="1">
        <v>50000</v>
      </c>
      <c r="C349" s="1" t="str" cm="1">
        <f t="array" ref="C349">_xlfn.IFS(Table2[[#This Row],[LIMIT_BAL]]&lt;=100000,"Low",Table2[[#This Row],[LIMIT_BAL]]&lt;=300000,"Medium",
TRUE,"High"
)</f>
        <v>Low</v>
      </c>
      <c r="D349" t="s">
        <v>2041</v>
      </c>
      <c r="E349" t="s">
        <v>2043</v>
      </c>
      <c r="F349" t="s">
        <v>2029</v>
      </c>
      <c r="G349">
        <v>29</v>
      </c>
      <c r="H349" t="str" cm="1">
        <f t="array" ref="H349">_xlfn.IFS(
Table2[[#This Row],[AGE]]&lt;30,"Young",
Table2[[#This Row],[AGE]]&lt;40,"Middle Age",
Table2[[#This Row],[AGE]]&lt;50,"Senior",
TRUE,"Super Senior"
)</f>
        <v>Young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 s="1">
        <v>47081</v>
      </c>
      <c r="P349" s="1">
        <v>49316</v>
      </c>
      <c r="Q349" s="1">
        <v>50409</v>
      </c>
      <c r="R349" s="1">
        <v>45545</v>
      </c>
      <c r="S349" s="1">
        <v>39963</v>
      </c>
      <c r="T349" s="1">
        <v>41145</v>
      </c>
      <c r="U349" s="1">
        <v>3000</v>
      </c>
      <c r="V349" s="1">
        <v>2000</v>
      </c>
      <c r="W349" s="1">
        <v>2000</v>
      </c>
      <c r="X349" s="1">
        <v>2000</v>
      </c>
      <c r="Y349" s="1">
        <v>2000</v>
      </c>
      <c r="Z349" s="1">
        <v>2000</v>
      </c>
      <c r="AA349">
        <v>1</v>
      </c>
      <c r="AB349" t="str">
        <f t="shared" si="5"/>
        <v>Defaulter</v>
      </c>
      <c r="AC349" s="1">
        <f>Table2[[#This Row],[BILL_AMT1]]-Table2[[#This Row],[PAY_AMT1]]</f>
        <v>44081</v>
      </c>
      <c r="AD349" s="1" t="str" cm="1">
        <f t="array" ref="AD349">_xlfn.IFS(Table2[[#This Row],[PAYMENT GAP]]&lt;=0,"No Gap / Overpaid",Table2[[#This Row],[PAYMENT GAP]]&lt;=25000,"Low Gap",Table2[[#This Row],[PAYMENT GAP]]&lt;=100000,"Medium Gap",
TRUE,"High Gap"
)</f>
        <v>Medium Gap</v>
      </c>
    </row>
    <row r="350" spans="1:30" x14ac:dyDescent="0.3">
      <c r="A350">
        <v>349</v>
      </c>
      <c r="B350" s="1">
        <v>140000</v>
      </c>
      <c r="C350" s="1" t="str" cm="1">
        <f t="array" ref="C350">_xlfn.IFS(Table2[[#This Row],[LIMIT_BAL]]&lt;=100000,"Low",Table2[[#This Row],[LIMIT_BAL]]&lt;=300000,"Medium",
TRUE,"High"
)</f>
        <v>Medium</v>
      </c>
      <c r="D350" t="s">
        <v>2041</v>
      </c>
      <c r="E350" t="s">
        <v>2043</v>
      </c>
      <c r="F350" t="s">
        <v>2029</v>
      </c>
      <c r="G350">
        <v>31</v>
      </c>
      <c r="H350" t="str" cm="1">
        <f t="array" ref="H350">_xlfn.IFS(
Table2[[#This Row],[AGE]]&lt;30,"Young",
Table2[[#This Row],[AGE]]&lt;40,"Middle Age",
Table2[[#This Row],[AGE]]&lt;50,"Senior",
TRUE,"Super Senior"
)</f>
        <v>Middle Age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s="1">
        <v>138119</v>
      </c>
      <c r="P350" s="1">
        <v>137950</v>
      </c>
      <c r="Q350" s="1">
        <v>140254</v>
      </c>
      <c r="R350" s="1">
        <v>139679</v>
      </c>
      <c r="S350" s="1">
        <v>141748</v>
      </c>
      <c r="T350" s="1">
        <v>142174</v>
      </c>
      <c r="U350" s="1">
        <v>6600</v>
      </c>
      <c r="V350" s="1">
        <v>6500</v>
      </c>
      <c r="W350" s="1">
        <v>5100</v>
      </c>
      <c r="X350" s="1">
        <v>5300</v>
      </c>
      <c r="Y350" s="1">
        <v>6000</v>
      </c>
      <c r="Z350" s="1">
        <v>5000</v>
      </c>
      <c r="AA350">
        <v>0</v>
      </c>
      <c r="AB350" t="str">
        <f t="shared" si="5"/>
        <v>Not Defaulter</v>
      </c>
      <c r="AC350" s="1">
        <f>Table2[[#This Row],[BILL_AMT1]]-Table2[[#This Row],[PAY_AMT1]]</f>
        <v>131519</v>
      </c>
      <c r="AD350" s="1" t="str" cm="1">
        <f t="array" ref="AD350">_xlfn.IFS(Table2[[#This Row],[PAYMENT GAP]]&lt;=0,"No Gap / Overpaid",Table2[[#This Row],[PAYMENT GAP]]&lt;=25000,"Low Gap",Table2[[#This Row],[PAYMENT GAP]]&lt;=100000,"Medium Gap",
TRUE,"High Gap"
)</f>
        <v>High Gap</v>
      </c>
    </row>
    <row r="351" spans="1:30" x14ac:dyDescent="0.3">
      <c r="A351">
        <v>350</v>
      </c>
      <c r="B351" s="1">
        <v>30000</v>
      </c>
      <c r="C351" s="1" t="str" cm="1">
        <f t="array" ref="C351">_xlfn.IFS(Table2[[#This Row],[LIMIT_BAL]]&lt;=100000,"Low",Table2[[#This Row],[LIMIT_BAL]]&lt;=300000,"Medium",
TRUE,"High"
)</f>
        <v>Low</v>
      </c>
      <c r="D351" t="s">
        <v>2041</v>
      </c>
      <c r="E351" t="s">
        <v>2043</v>
      </c>
      <c r="F351" t="s">
        <v>2029</v>
      </c>
      <c r="G351">
        <v>26</v>
      </c>
      <c r="H351" t="str" cm="1">
        <f t="array" ref="H351">_xlfn.IFS(
Table2[[#This Row],[AGE]]&lt;30,"Young",
Table2[[#This Row],[AGE]]&lt;40,"Middle Age",
Table2[[#This Row],[AGE]]&lt;50,"Senior",
TRUE,"Super Senior"
)</f>
        <v>Young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 s="1">
        <v>17893</v>
      </c>
      <c r="P351" s="1">
        <v>19012</v>
      </c>
      <c r="Q351" s="1">
        <v>20123</v>
      </c>
      <c r="R351" s="1">
        <v>20222</v>
      </c>
      <c r="S351" s="1">
        <v>20796</v>
      </c>
      <c r="T351" s="1">
        <v>19844</v>
      </c>
      <c r="U351" s="1">
        <v>1411</v>
      </c>
      <c r="V351" s="1">
        <v>1522</v>
      </c>
      <c r="W351" s="1">
        <v>621</v>
      </c>
      <c r="X351" s="1">
        <v>795</v>
      </c>
      <c r="Y351" s="1">
        <v>715</v>
      </c>
      <c r="Z351" s="1">
        <v>1000</v>
      </c>
      <c r="AA351">
        <v>1</v>
      </c>
      <c r="AB351" t="str">
        <f t="shared" si="5"/>
        <v>Defaulter</v>
      </c>
      <c r="AC351" s="1">
        <f>Table2[[#This Row],[BILL_AMT1]]-Table2[[#This Row],[PAY_AMT1]]</f>
        <v>16482</v>
      </c>
      <c r="AD351" s="1" t="str" cm="1">
        <f t="array" ref="AD351">_xlfn.IFS(Table2[[#This Row],[PAYMENT GAP]]&lt;=0,"No Gap / Overpaid",Table2[[#This Row],[PAYMENT GAP]]&lt;=25000,"Low Gap",Table2[[#This Row],[PAYMENT GAP]]&lt;=100000,"Medium Gap",
TRUE,"High Gap"
)</f>
        <v>Low Gap</v>
      </c>
    </row>
    <row r="352" spans="1:30" x14ac:dyDescent="0.3">
      <c r="A352">
        <v>351</v>
      </c>
      <c r="B352" s="1">
        <v>90000</v>
      </c>
      <c r="C352" s="1" t="str" cm="1">
        <f t="array" ref="C352">_xlfn.IFS(Table2[[#This Row],[LIMIT_BAL]]&lt;=100000,"Low",Table2[[#This Row],[LIMIT_BAL]]&lt;=300000,"Medium",
TRUE,"High"
)</f>
        <v>Low</v>
      </c>
      <c r="D352" t="s">
        <v>2042</v>
      </c>
      <c r="E352" t="s">
        <v>2026</v>
      </c>
      <c r="F352" t="s">
        <v>2029</v>
      </c>
      <c r="G352">
        <v>26</v>
      </c>
      <c r="H352" t="str" cm="1">
        <f t="array" ref="H352">_xlfn.IFS(
Table2[[#This Row],[AGE]]&lt;30,"Young",
Table2[[#This Row],[AGE]]&lt;40,"Middle Age",
Table2[[#This Row],[AGE]]&lt;50,"Senior",
TRUE,"Super Senior"
)</f>
        <v>Young</v>
      </c>
      <c r="I352">
        <v>0</v>
      </c>
      <c r="J352">
        <v>0</v>
      </c>
      <c r="K352">
        <v>-1</v>
      </c>
      <c r="L352">
        <v>0</v>
      </c>
      <c r="M352">
        <v>0</v>
      </c>
      <c r="N352">
        <v>-1</v>
      </c>
      <c r="O352" s="1">
        <v>39128</v>
      </c>
      <c r="P352" s="1">
        <v>20473</v>
      </c>
      <c r="Q352" s="1">
        <v>1940</v>
      </c>
      <c r="R352" s="1">
        <v>1940</v>
      </c>
      <c r="S352" s="1">
        <v>0</v>
      </c>
      <c r="T352" s="1">
        <v>23101</v>
      </c>
      <c r="U352" s="1">
        <v>1541</v>
      </c>
      <c r="V352" s="1">
        <v>4200</v>
      </c>
      <c r="W352" s="1">
        <v>0</v>
      </c>
      <c r="X352" s="1">
        <v>0</v>
      </c>
      <c r="Y352" s="1">
        <v>23101</v>
      </c>
      <c r="Z352" s="1">
        <v>3000</v>
      </c>
      <c r="AA352">
        <v>0</v>
      </c>
      <c r="AB352" t="str">
        <f t="shared" si="5"/>
        <v>Not Defaulter</v>
      </c>
      <c r="AC352" s="1">
        <f>Table2[[#This Row],[BILL_AMT1]]-Table2[[#This Row],[PAY_AMT1]]</f>
        <v>37587</v>
      </c>
      <c r="AD352" s="1" t="str" cm="1">
        <f t="array" ref="AD352">_xlfn.IFS(Table2[[#This Row],[PAYMENT GAP]]&lt;=0,"No Gap / Overpaid",Table2[[#This Row],[PAYMENT GAP]]&lt;=25000,"Low Gap",Table2[[#This Row],[PAYMENT GAP]]&lt;=100000,"Medium Gap",
TRUE,"High Gap"
)</f>
        <v>Medium Gap</v>
      </c>
    </row>
    <row r="353" spans="1:30" x14ac:dyDescent="0.3">
      <c r="A353">
        <v>352</v>
      </c>
      <c r="B353" s="1">
        <v>200000</v>
      </c>
      <c r="C353" s="1" t="str" cm="1">
        <f t="array" ref="C353">_xlfn.IFS(Table2[[#This Row],[LIMIT_BAL]]&lt;=100000,"Low",Table2[[#This Row],[LIMIT_BAL]]&lt;=300000,"Medium",
TRUE,"High"
)</f>
        <v>Medium</v>
      </c>
      <c r="D353" t="s">
        <v>2042</v>
      </c>
      <c r="E353" t="s">
        <v>2026</v>
      </c>
      <c r="F353" t="s">
        <v>2028</v>
      </c>
      <c r="G353">
        <v>36</v>
      </c>
      <c r="H353" t="str" cm="1">
        <f t="array" ref="H353">_xlfn.IFS(
Table2[[#This Row],[AGE]]&lt;30,"Young",
Table2[[#This Row],[AGE]]&lt;40,"Middle Age",
Table2[[#This Row],[AGE]]&lt;50,"Senior",
TRUE,"Super Senior"
)</f>
        <v>Middle Age</v>
      </c>
      <c r="I353">
        <v>1</v>
      </c>
      <c r="J353">
        <v>-2</v>
      </c>
      <c r="K353">
        <v>-1</v>
      </c>
      <c r="L353">
        <v>-1</v>
      </c>
      <c r="M353">
        <v>-2</v>
      </c>
      <c r="N353">
        <v>-1</v>
      </c>
      <c r="O353" s="1">
        <v>-14386</v>
      </c>
      <c r="P353" s="1">
        <v>-13543</v>
      </c>
      <c r="Q353" s="1">
        <v>3432</v>
      </c>
      <c r="R353" s="1">
        <v>-3684</v>
      </c>
      <c r="S353" s="1">
        <v>0</v>
      </c>
      <c r="T353" s="1">
        <v>1386</v>
      </c>
      <c r="U353" s="1">
        <v>10118</v>
      </c>
      <c r="V353" s="1">
        <v>47015</v>
      </c>
      <c r="W353" s="1">
        <v>0</v>
      </c>
      <c r="X353" s="1">
        <v>4000</v>
      </c>
      <c r="Y353" s="1">
        <v>100000</v>
      </c>
      <c r="Z353" s="1">
        <v>10000</v>
      </c>
      <c r="AA353">
        <v>0</v>
      </c>
      <c r="AB353" t="str">
        <f t="shared" si="5"/>
        <v>Not Defaulter</v>
      </c>
      <c r="AC353" s="1">
        <f>Table2[[#This Row],[BILL_AMT1]]-Table2[[#This Row],[PAY_AMT1]]</f>
        <v>-24504</v>
      </c>
      <c r="AD353" s="1" t="str" cm="1">
        <f t="array" ref="AD353">_xlfn.IFS(Table2[[#This Row],[PAYMENT GAP]]&lt;=0,"No Gap / Overpaid",Table2[[#This Row],[PAYMENT GAP]]&lt;=25000,"Low Gap",Table2[[#This Row],[PAYMENT GAP]]&lt;=100000,"Medium Gap",
TRUE,"High Gap"
)</f>
        <v>No Gap / Overpaid</v>
      </c>
    </row>
    <row r="354" spans="1:30" x14ac:dyDescent="0.3">
      <c r="A354">
        <v>353</v>
      </c>
      <c r="B354" s="1">
        <v>380000</v>
      </c>
      <c r="C354" s="1" t="str" cm="1">
        <f t="array" ref="C354">_xlfn.IFS(Table2[[#This Row],[LIMIT_BAL]]&lt;=100000,"Low",Table2[[#This Row],[LIMIT_BAL]]&lt;=300000,"Medium",
TRUE,"High"
)</f>
        <v>High</v>
      </c>
      <c r="D354" t="s">
        <v>2042</v>
      </c>
      <c r="E354" t="s">
        <v>2026</v>
      </c>
      <c r="F354" t="s">
        <v>2029</v>
      </c>
      <c r="G354">
        <v>30</v>
      </c>
      <c r="H354" t="str" cm="1">
        <f t="array" ref="H354">_xlfn.IFS(
Table2[[#This Row],[AGE]]&lt;30,"Young",
Table2[[#This Row],[AGE]]&lt;40,"Middle Age",
Table2[[#This Row],[AGE]]&lt;50,"Senior",
TRUE,"Super Senior"
)</f>
        <v>Middle Age</v>
      </c>
      <c r="I354">
        <v>1</v>
      </c>
      <c r="J354">
        <v>-2</v>
      </c>
      <c r="K354">
        <v>-2</v>
      </c>
      <c r="L354">
        <v>-2</v>
      </c>
      <c r="M354">
        <v>-2</v>
      </c>
      <c r="N354">
        <v>-2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>
        <v>1</v>
      </c>
      <c r="AB354" t="str">
        <f t="shared" si="5"/>
        <v>Defaulter</v>
      </c>
      <c r="AC354" s="1">
        <f>Table2[[#This Row],[BILL_AMT1]]-Table2[[#This Row],[PAY_AMT1]]</f>
        <v>0</v>
      </c>
      <c r="AD354" s="1" t="str" cm="1">
        <f t="array" ref="AD354">_xlfn.IFS(Table2[[#This Row],[PAYMENT GAP]]&lt;=0,"No Gap / Overpaid",Table2[[#This Row],[PAYMENT GAP]]&lt;=25000,"Low Gap",Table2[[#This Row],[PAYMENT GAP]]&lt;=100000,"Medium Gap",
TRUE,"High Gap"
)</f>
        <v>No Gap / Overpaid</v>
      </c>
    </row>
    <row r="355" spans="1:30" x14ac:dyDescent="0.3">
      <c r="A355">
        <v>354</v>
      </c>
      <c r="B355" s="1">
        <v>80000</v>
      </c>
      <c r="C355" s="1" t="str" cm="1">
        <f t="array" ref="C355">_xlfn.IFS(Table2[[#This Row],[LIMIT_BAL]]&lt;=100000,"Low",Table2[[#This Row],[LIMIT_BAL]]&lt;=300000,"Medium",
TRUE,"High"
)</f>
        <v>Low</v>
      </c>
      <c r="D355" t="s">
        <v>2041</v>
      </c>
      <c r="E355" t="s">
        <v>2043</v>
      </c>
      <c r="F355" t="s">
        <v>2029</v>
      </c>
      <c r="G355">
        <v>43</v>
      </c>
      <c r="H355" t="str" cm="1">
        <f t="array" ref="H355">_xlfn.IFS(
Table2[[#This Row],[AGE]]&lt;30,"Young",
Table2[[#This Row],[AGE]]&lt;40,"Middle Age",
Table2[[#This Row],[AGE]]&lt;50,"Senior",
TRUE,"Super Senior"
)</f>
        <v>Senior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 s="1">
        <v>77057</v>
      </c>
      <c r="P355" s="1">
        <v>78102</v>
      </c>
      <c r="Q355" s="1">
        <v>58501</v>
      </c>
      <c r="R355" s="1">
        <v>51042</v>
      </c>
      <c r="S355" s="1">
        <v>19036</v>
      </c>
      <c r="T355" s="1">
        <v>19414</v>
      </c>
      <c r="U355" s="1">
        <v>3177</v>
      </c>
      <c r="V355" s="1">
        <v>2600</v>
      </c>
      <c r="W355" s="1">
        <v>3000</v>
      </c>
      <c r="X355" s="1">
        <v>1691</v>
      </c>
      <c r="Y355" s="1">
        <v>695</v>
      </c>
      <c r="Z355" s="1">
        <v>882</v>
      </c>
      <c r="AA355">
        <v>0</v>
      </c>
      <c r="AB355" t="str">
        <f t="shared" si="5"/>
        <v>Not Defaulter</v>
      </c>
      <c r="AC355" s="1">
        <f>Table2[[#This Row],[BILL_AMT1]]-Table2[[#This Row],[PAY_AMT1]]</f>
        <v>73880</v>
      </c>
      <c r="AD355" s="1" t="str" cm="1">
        <f t="array" ref="AD355">_xlfn.IFS(Table2[[#This Row],[PAYMENT GAP]]&lt;=0,"No Gap / Overpaid",Table2[[#This Row],[PAYMENT GAP]]&lt;=25000,"Low Gap",Table2[[#This Row],[PAYMENT GAP]]&lt;=100000,"Medium Gap",
TRUE,"High Gap"
)</f>
        <v>Medium Gap</v>
      </c>
    </row>
    <row r="356" spans="1:30" x14ac:dyDescent="0.3">
      <c r="A356">
        <v>355</v>
      </c>
      <c r="B356" s="1">
        <v>50000</v>
      </c>
      <c r="C356" s="1" t="str" cm="1">
        <f t="array" ref="C356">_xlfn.IFS(Table2[[#This Row],[LIMIT_BAL]]&lt;=100000,"Low",Table2[[#This Row],[LIMIT_BAL]]&lt;=300000,"Medium",
TRUE,"High"
)</f>
        <v>Low</v>
      </c>
      <c r="D356" t="s">
        <v>2042</v>
      </c>
      <c r="E356" t="s">
        <v>2027</v>
      </c>
      <c r="F356" t="s">
        <v>2028</v>
      </c>
      <c r="G356">
        <v>58</v>
      </c>
      <c r="H356" t="str" cm="1">
        <f t="array" ref="H356">_xlfn.IFS(
Table2[[#This Row],[AGE]]&lt;30,"Young",
Table2[[#This Row],[AGE]]&lt;40,"Middle Age",
Table2[[#This Row],[AGE]]&lt;50,"Senior",
TRUE,"Super Senior"
)</f>
        <v>Super Senior</v>
      </c>
      <c r="I356">
        <v>2</v>
      </c>
      <c r="J356">
        <v>2</v>
      </c>
      <c r="K356">
        <v>2</v>
      </c>
      <c r="L356">
        <v>0</v>
      </c>
      <c r="M356">
        <v>0</v>
      </c>
      <c r="N356">
        <v>2</v>
      </c>
      <c r="O356" s="1">
        <v>15899</v>
      </c>
      <c r="P356" s="1">
        <v>18720</v>
      </c>
      <c r="Q356" s="1">
        <v>18122</v>
      </c>
      <c r="R356" s="1">
        <v>18530</v>
      </c>
      <c r="S356" s="1">
        <v>19089</v>
      </c>
      <c r="T356" s="1">
        <v>18856</v>
      </c>
      <c r="U356" s="1">
        <v>3400</v>
      </c>
      <c r="V356" s="1">
        <v>0</v>
      </c>
      <c r="W356" s="1">
        <v>1000</v>
      </c>
      <c r="X356" s="1">
        <v>1001</v>
      </c>
      <c r="Y356" s="1">
        <v>634</v>
      </c>
      <c r="Z356" s="1">
        <v>638</v>
      </c>
      <c r="AA356">
        <v>0</v>
      </c>
      <c r="AB356" t="str">
        <f t="shared" si="5"/>
        <v>Not Defaulter</v>
      </c>
      <c r="AC356" s="1">
        <f>Table2[[#This Row],[BILL_AMT1]]-Table2[[#This Row],[PAY_AMT1]]</f>
        <v>12499</v>
      </c>
      <c r="AD356" s="1" t="str" cm="1">
        <f t="array" ref="AD356">_xlfn.IFS(Table2[[#This Row],[PAYMENT GAP]]&lt;=0,"No Gap / Overpaid",Table2[[#This Row],[PAYMENT GAP]]&lt;=25000,"Low Gap",Table2[[#This Row],[PAYMENT GAP]]&lt;=100000,"Medium Gap",
TRUE,"High Gap"
)</f>
        <v>Low Gap</v>
      </c>
    </row>
    <row r="357" spans="1:30" x14ac:dyDescent="0.3">
      <c r="A357">
        <v>356</v>
      </c>
      <c r="B357" s="1">
        <v>180000</v>
      </c>
      <c r="C357" s="1" t="str" cm="1">
        <f t="array" ref="C357">_xlfn.IFS(Table2[[#This Row],[LIMIT_BAL]]&lt;=100000,"Low",Table2[[#This Row],[LIMIT_BAL]]&lt;=300000,"Medium",
TRUE,"High"
)</f>
        <v>Medium</v>
      </c>
      <c r="D357" t="s">
        <v>2042</v>
      </c>
      <c r="E357" t="s">
        <v>2043</v>
      </c>
      <c r="F357" t="s">
        <v>2028</v>
      </c>
      <c r="G357">
        <v>45</v>
      </c>
      <c r="H357" t="str" cm="1">
        <f t="array" ref="H357">_xlfn.IFS(
Table2[[#This Row],[AGE]]&lt;30,"Young",
Table2[[#This Row],[AGE]]&lt;40,"Middle Age",
Table2[[#This Row],[AGE]]&lt;50,"Senior",
TRUE,"Super Senior"
)</f>
        <v>Senior</v>
      </c>
      <c r="I357">
        <v>-1</v>
      </c>
      <c r="J357">
        <v>0</v>
      </c>
      <c r="K357">
        <v>0</v>
      </c>
      <c r="L357">
        <v>0</v>
      </c>
      <c r="M357">
        <v>0</v>
      </c>
      <c r="N357">
        <v>0</v>
      </c>
      <c r="O357" s="1">
        <v>27679</v>
      </c>
      <c r="P357" s="1">
        <v>28422</v>
      </c>
      <c r="Q357" s="1">
        <v>29650</v>
      </c>
      <c r="R357" s="1">
        <v>29981</v>
      </c>
      <c r="S357" s="1">
        <v>30419</v>
      </c>
      <c r="T357" s="1">
        <v>31127</v>
      </c>
      <c r="U357" s="1">
        <v>1481</v>
      </c>
      <c r="V357" s="1">
        <v>2000</v>
      </c>
      <c r="W357" s="1">
        <v>1100</v>
      </c>
      <c r="X357" s="1">
        <v>1200</v>
      </c>
      <c r="Y357" s="1">
        <v>1500</v>
      </c>
      <c r="Z357" s="1">
        <v>1500</v>
      </c>
      <c r="AA357">
        <v>1</v>
      </c>
      <c r="AB357" t="str">
        <f t="shared" si="5"/>
        <v>Defaulter</v>
      </c>
      <c r="AC357" s="1">
        <f>Table2[[#This Row],[BILL_AMT1]]-Table2[[#This Row],[PAY_AMT1]]</f>
        <v>26198</v>
      </c>
      <c r="AD357" s="1" t="str" cm="1">
        <f t="array" ref="AD357">_xlfn.IFS(Table2[[#This Row],[PAYMENT GAP]]&lt;=0,"No Gap / Overpaid",Table2[[#This Row],[PAYMENT GAP]]&lt;=25000,"Low Gap",Table2[[#This Row],[PAYMENT GAP]]&lt;=100000,"Medium Gap",
TRUE,"High Gap"
)</f>
        <v>Medium Gap</v>
      </c>
    </row>
    <row r="358" spans="1:30" x14ac:dyDescent="0.3">
      <c r="A358">
        <v>357</v>
      </c>
      <c r="B358" s="1">
        <v>240000</v>
      </c>
      <c r="C358" s="1" t="str" cm="1">
        <f t="array" ref="C358">_xlfn.IFS(Table2[[#This Row],[LIMIT_BAL]]&lt;=100000,"Low",Table2[[#This Row],[LIMIT_BAL]]&lt;=300000,"Medium",
TRUE,"High"
)</f>
        <v>Medium</v>
      </c>
      <c r="D358" t="s">
        <v>2041</v>
      </c>
      <c r="E358" t="s">
        <v>2043</v>
      </c>
      <c r="F358" t="s">
        <v>2029</v>
      </c>
      <c r="G358">
        <v>26</v>
      </c>
      <c r="H358" t="str" cm="1">
        <f t="array" ref="H358">_xlfn.IFS(
Table2[[#This Row],[AGE]]&lt;30,"Young",
Table2[[#This Row],[AGE]]&lt;40,"Middle Age",
Table2[[#This Row],[AGE]]&lt;50,"Senior",
TRUE,"Super Senior"
)</f>
        <v>Young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s="1">
        <v>141315</v>
      </c>
      <c r="P358" s="1">
        <v>128940</v>
      </c>
      <c r="Q358" s="1">
        <v>124226</v>
      </c>
      <c r="R358" s="1">
        <v>113133</v>
      </c>
      <c r="S358" s="1">
        <v>113966</v>
      </c>
      <c r="T358" s="1">
        <v>103360</v>
      </c>
      <c r="U358" s="1">
        <v>6349</v>
      </c>
      <c r="V358" s="1">
        <v>5834</v>
      </c>
      <c r="W358" s="1">
        <v>3870</v>
      </c>
      <c r="X358" s="1">
        <v>4000</v>
      </c>
      <c r="Y358" s="1">
        <v>3825</v>
      </c>
      <c r="Z358" s="1">
        <v>3520</v>
      </c>
      <c r="AA358">
        <v>0</v>
      </c>
      <c r="AB358" t="str">
        <f t="shared" si="5"/>
        <v>Not Defaulter</v>
      </c>
      <c r="AC358" s="1">
        <f>Table2[[#This Row],[BILL_AMT1]]-Table2[[#This Row],[PAY_AMT1]]</f>
        <v>134966</v>
      </c>
      <c r="AD358" s="1" t="str" cm="1">
        <f t="array" ref="AD358">_xlfn.IFS(Table2[[#This Row],[PAYMENT GAP]]&lt;=0,"No Gap / Overpaid",Table2[[#This Row],[PAYMENT GAP]]&lt;=25000,"Low Gap",Table2[[#This Row],[PAYMENT GAP]]&lt;=100000,"Medium Gap",
TRUE,"High Gap"
)</f>
        <v>High Gap</v>
      </c>
    </row>
    <row r="359" spans="1:30" x14ac:dyDescent="0.3">
      <c r="A359">
        <v>358</v>
      </c>
      <c r="B359" s="1">
        <v>380000</v>
      </c>
      <c r="C359" s="1" t="str" cm="1">
        <f t="array" ref="C359">_xlfn.IFS(Table2[[#This Row],[LIMIT_BAL]]&lt;=100000,"Low",Table2[[#This Row],[LIMIT_BAL]]&lt;=300000,"Medium",
TRUE,"High"
)</f>
        <v>High</v>
      </c>
      <c r="D359" t="s">
        <v>2042</v>
      </c>
      <c r="E359" t="s">
        <v>2043</v>
      </c>
      <c r="F359" t="s">
        <v>2029</v>
      </c>
      <c r="G359">
        <v>34</v>
      </c>
      <c r="H359" t="str" cm="1">
        <f t="array" ref="H359">_xlfn.IFS(
Table2[[#This Row],[AGE]]&lt;30,"Young",
Table2[[#This Row],[AGE]]&lt;40,"Middle Age",
Table2[[#This Row],[AGE]]&lt;50,"Senior",
TRUE,"Super Senior"
)</f>
        <v>Middle Age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 s="1">
        <v>194314</v>
      </c>
      <c r="P359" s="1">
        <v>179206</v>
      </c>
      <c r="Q359" s="1">
        <v>193992</v>
      </c>
      <c r="R359" s="1">
        <v>174675</v>
      </c>
      <c r="S359" s="1">
        <v>171253</v>
      </c>
      <c r="T359" s="1">
        <v>169121</v>
      </c>
      <c r="U359" s="1">
        <v>9010</v>
      </c>
      <c r="V359" s="1">
        <v>35000</v>
      </c>
      <c r="W359" s="1">
        <v>5000</v>
      </c>
      <c r="X359" s="1">
        <v>6000</v>
      </c>
      <c r="Y359" s="1">
        <v>5000</v>
      </c>
      <c r="Z359" s="1">
        <v>4400</v>
      </c>
      <c r="AA359">
        <v>0</v>
      </c>
      <c r="AB359" t="str">
        <f t="shared" si="5"/>
        <v>Not Defaulter</v>
      </c>
      <c r="AC359" s="1">
        <f>Table2[[#This Row],[BILL_AMT1]]-Table2[[#This Row],[PAY_AMT1]]</f>
        <v>185304</v>
      </c>
      <c r="AD359" s="1" t="str" cm="1">
        <f t="array" ref="AD359">_xlfn.IFS(Table2[[#This Row],[PAYMENT GAP]]&lt;=0,"No Gap / Overpaid",Table2[[#This Row],[PAYMENT GAP]]&lt;=25000,"Low Gap",Table2[[#This Row],[PAYMENT GAP]]&lt;=100000,"Medium Gap",
TRUE,"High Gap"
)</f>
        <v>High Gap</v>
      </c>
    </row>
    <row r="360" spans="1:30" x14ac:dyDescent="0.3">
      <c r="A360">
        <v>359</v>
      </c>
      <c r="B360" s="1">
        <v>110000</v>
      </c>
      <c r="C360" s="1" t="str" cm="1">
        <f t="array" ref="C360">_xlfn.IFS(Table2[[#This Row],[LIMIT_BAL]]&lt;=100000,"Low",Table2[[#This Row],[LIMIT_BAL]]&lt;=300000,"Medium",
TRUE,"High"
)</f>
        <v>Medium</v>
      </c>
      <c r="D360" t="s">
        <v>2041</v>
      </c>
      <c r="E360" t="s">
        <v>2044</v>
      </c>
      <c r="F360" t="s">
        <v>2029</v>
      </c>
      <c r="G360">
        <v>24</v>
      </c>
      <c r="H360" t="str" cm="1">
        <f t="array" ref="H360">_xlfn.IFS(
Table2[[#This Row],[AGE]]&lt;30,"Young",
Table2[[#This Row],[AGE]]&lt;40,"Middle Age",
Table2[[#This Row],[AGE]]&lt;50,"Senior",
TRUE,"Super Senior"
)</f>
        <v>Young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 s="1">
        <v>83755</v>
      </c>
      <c r="P360" s="1">
        <v>77431</v>
      </c>
      <c r="Q360" s="1">
        <v>79044</v>
      </c>
      <c r="R360" s="1">
        <v>80631</v>
      </c>
      <c r="S360" s="1">
        <v>82333</v>
      </c>
      <c r="T360" s="1">
        <v>84462</v>
      </c>
      <c r="U360" s="1">
        <v>3000</v>
      </c>
      <c r="V360" s="1">
        <v>2900</v>
      </c>
      <c r="W360" s="1">
        <v>2900</v>
      </c>
      <c r="X360" s="1">
        <v>3000</v>
      </c>
      <c r="Y360" s="1">
        <v>3500</v>
      </c>
      <c r="Z360" s="1">
        <v>4000</v>
      </c>
      <c r="AA360">
        <v>0</v>
      </c>
      <c r="AB360" t="str">
        <f t="shared" si="5"/>
        <v>Not Defaulter</v>
      </c>
      <c r="AC360" s="1">
        <f>Table2[[#This Row],[BILL_AMT1]]-Table2[[#This Row],[PAY_AMT1]]</f>
        <v>80755</v>
      </c>
      <c r="AD360" s="1" t="str" cm="1">
        <f t="array" ref="AD360">_xlfn.IFS(Table2[[#This Row],[PAYMENT GAP]]&lt;=0,"No Gap / Overpaid",Table2[[#This Row],[PAYMENT GAP]]&lt;=25000,"Low Gap",Table2[[#This Row],[PAYMENT GAP]]&lt;=100000,"Medium Gap",
TRUE,"High Gap"
)</f>
        <v>Medium Gap</v>
      </c>
    </row>
    <row r="361" spans="1:30" x14ac:dyDescent="0.3">
      <c r="A361">
        <v>360</v>
      </c>
      <c r="B361" s="1">
        <v>260000</v>
      </c>
      <c r="C361" s="1" t="str" cm="1">
        <f t="array" ref="C361">_xlfn.IFS(Table2[[#This Row],[LIMIT_BAL]]&lt;=100000,"Low",Table2[[#This Row],[LIMIT_BAL]]&lt;=300000,"Medium",
TRUE,"High"
)</f>
        <v>Medium</v>
      </c>
      <c r="D361" t="s">
        <v>2042</v>
      </c>
      <c r="E361" t="s">
        <v>2026</v>
      </c>
      <c r="F361" t="s">
        <v>2028</v>
      </c>
      <c r="G361">
        <v>34</v>
      </c>
      <c r="H361" t="str" cm="1">
        <f t="array" ref="H361">_xlfn.IFS(
Table2[[#This Row],[AGE]]&lt;30,"Young",
Table2[[#This Row],[AGE]]&lt;40,"Middle Age",
Table2[[#This Row],[AGE]]&lt;50,"Senior",
TRUE,"Super Senior"
)</f>
        <v>Middle Age</v>
      </c>
      <c r="I361">
        <v>-1</v>
      </c>
      <c r="J361">
        <v>-1</v>
      </c>
      <c r="K361">
        <v>-1</v>
      </c>
      <c r="L361">
        <v>-1</v>
      </c>
      <c r="M361">
        <v>-1</v>
      </c>
      <c r="N361">
        <v>-1</v>
      </c>
      <c r="O361" s="1">
        <v>49657</v>
      </c>
      <c r="P361" s="1">
        <v>291</v>
      </c>
      <c r="Q361" s="1">
        <v>51058</v>
      </c>
      <c r="R361" s="1">
        <v>2351</v>
      </c>
      <c r="S361" s="1">
        <v>34039</v>
      </c>
      <c r="T361" s="1">
        <v>291</v>
      </c>
      <c r="U361" s="1">
        <v>291</v>
      </c>
      <c r="V361" s="1">
        <v>51058</v>
      </c>
      <c r="W361" s="1">
        <v>35696</v>
      </c>
      <c r="X361" s="1">
        <v>34039</v>
      </c>
      <c r="Y361" s="1">
        <v>291</v>
      </c>
      <c r="Z361" s="1">
        <v>291</v>
      </c>
      <c r="AA361">
        <v>0</v>
      </c>
      <c r="AB361" t="str">
        <f t="shared" si="5"/>
        <v>Not Defaulter</v>
      </c>
      <c r="AC361" s="1">
        <f>Table2[[#This Row],[BILL_AMT1]]-Table2[[#This Row],[PAY_AMT1]]</f>
        <v>49366</v>
      </c>
      <c r="AD361" s="1" t="str" cm="1">
        <f t="array" ref="AD361">_xlfn.IFS(Table2[[#This Row],[PAYMENT GAP]]&lt;=0,"No Gap / Overpaid",Table2[[#This Row],[PAYMENT GAP]]&lt;=25000,"Low Gap",Table2[[#This Row],[PAYMENT GAP]]&lt;=100000,"Medium Gap",
TRUE,"High Gap"
)</f>
        <v>Medium Gap</v>
      </c>
    </row>
    <row r="362" spans="1:30" x14ac:dyDescent="0.3">
      <c r="A362">
        <v>361</v>
      </c>
      <c r="B362" s="1">
        <v>500000</v>
      </c>
      <c r="C362" s="1" t="str" cm="1">
        <f t="array" ref="C362">_xlfn.IFS(Table2[[#This Row],[LIMIT_BAL]]&lt;=100000,"Low",Table2[[#This Row],[LIMIT_BAL]]&lt;=300000,"Medium",
TRUE,"High"
)</f>
        <v>High</v>
      </c>
      <c r="D362" t="s">
        <v>2041</v>
      </c>
      <c r="E362" t="s">
        <v>2043</v>
      </c>
      <c r="F362" t="s">
        <v>2029</v>
      </c>
      <c r="G362">
        <v>23</v>
      </c>
      <c r="H362" t="str" cm="1">
        <f t="array" ref="H362">_xlfn.IFS(
Table2[[#This Row],[AGE]]&lt;30,"Young",
Table2[[#This Row],[AGE]]&lt;40,"Middle Age",
Table2[[#This Row],[AGE]]&lt;50,"Senior",
TRUE,"Super Senior"
)</f>
        <v>Young</v>
      </c>
      <c r="I362">
        <v>4</v>
      </c>
      <c r="J362">
        <v>3</v>
      </c>
      <c r="K362">
        <v>2</v>
      </c>
      <c r="L362">
        <v>0</v>
      </c>
      <c r="M362">
        <v>0</v>
      </c>
      <c r="N362">
        <v>0</v>
      </c>
      <c r="O362" s="1">
        <v>507726</v>
      </c>
      <c r="P362" s="1">
        <v>509229</v>
      </c>
      <c r="Q362" s="1">
        <v>499936</v>
      </c>
      <c r="R362" s="1">
        <v>505507</v>
      </c>
      <c r="S362" s="1">
        <v>484612</v>
      </c>
      <c r="T362" s="1">
        <v>419643</v>
      </c>
      <c r="U362" s="1">
        <v>10000</v>
      </c>
      <c r="V362" s="1">
        <v>0</v>
      </c>
      <c r="W362" s="1">
        <v>14000</v>
      </c>
      <c r="X362" s="1">
        <v>16500</v>
      </c>
      <c r="Y362" s="1">
        <v>16000</v>
      </c>
      <c r="Z362" s="1">
        <v>19000</v>
      </c>
      <c r="AA362">
        <v>1</v>
      </c>
      <c r="AB362" t="str">
        <f t="shared" si="5"/>
        <v>Defaulter</v>
      </c>
      <c r="AC362" s="1">
        <f>Table2[[#This Row],[BILL_AMT1]]-Table2[[#This Row],[PAY_AMT1]]</f>
        <v>497726</v>
      </c>
      <c r="AD362" s="1" t="str" cm="1">
        <f t="array" ref="AD362">_xlfn.IFS(Table2[[#This Row],[PAYMENT GAP]]&lt;=0,"No Gap / Overpaid",Table2[[#This Row],[PAYMENT GAP]]&lt;=25000,"Low Gap",Table2[[#This Row],[PAYMENT GAP]]&lt;=100000,"Medium Gap",
TRUE,"High Gap"
)</f>
        <v>High Gap</v>
      </c>
    </row>
    <row r="363" spans="1:30" x14ac:dyDescent="0.3">
      <c r="A363">
        <v>362</v>
      </c>
      <c r="B363" s="1">
        <v>320000</v>
      </c>
      <c r="C363" s="1" t="str" cm="1">
        <f t="array" ref="C363">_xlfn.IFS(Table2[[#This Row],[LIMIT_BAL]]&lt;=100000,"Low",Table2[[#This Row],[LIMIT_BAL]]&lt;=300000,"Medium",
TRUE,"High"
)</f>
        <v>High</v>
      </c>
      <c r="D363" t="s">
        <v>2041</v>
      </c>
      <c r="E363" t="s">
        <v>2043</v>
      </c>
      <c r="F363" t="s">
        <v>2029</v>
      </c>
      <c r="G363">
        <v>30</v>
      </c>
      <c r="H363" t="str" cm="1">
        <f t="array" ref="H363">_xlfn.IFS(
Table2[[#This Row],[AGE]]&lt;30,"Young",
Table2[[#This Row],[AGE]]&lt;40,"Middle Age",
Table2[[#This Row],[AGE]]&lt;50,"Senior",
TRUE,"Super Senior"
)</f>
        <v>Middle Age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 s="1">
        <v>71305</v>
      </c>
      <c r="P363" s="1">
        <v>71151</v>
      </c>
      <c r="Q363" s="1">
        <v>72029</v>
      </c>
      <c r="R363" s="1">
        <v>72849</v>
      </c>
      <c r="S363" s="1">
        <v>74374</v>
      </c>
      <c r="T363" s="1">
        <v>74610</v>
      </c>
      <c r="U363" s="1">
        <v>2589</v>
      </c>
      <c r="V363" s="1">
        <v>2568</v>
      </c>
      <c r="W363" s="1">
        <v>2570</v>
      </c>
      <c r="X363" s="1">
        <v>2661</v>
      </c>
      <c r="Y363" s="1">
        <v>2781</v>
      </c>
      <c r="Z363" s="1">
        <v>2500</v>
      </c>
      <c r="AA363">
        <v>0</v>
      </c>
      <c r="AB363" t="str">
        <f t="shared" si="5"/>
        <v>Not Defaulter</v>
      </c>
      <c r="AC363" s="1">
        <f>Table2[[#This Row],[BILL_AMT1]]-Table2[[#This Row],[PAY_AMT1]]</f>
        <v>68716</v>
      </c>
      <c r="AD363" s="1" t="str" cm="1">
        <f t="array" ref="AD363">_xlfn.IFS(Table2[[#This Row],[PAYMENT GAP]]&lt;=0,"No Gap / Overpaid",Table2[[#This Row],[PAYMENT GAP]]&lt;=25000,"Low Gap",Table2[[#This Row],[PAYMENT GAP]]&lt;=100000,"Medium Gap",
TRUE,"High Gap"
)</f>
        <v>Medium Gap</v>
      </c>
    </row>
    <row r="364" spans="1:30" x14ac:dyDescent="0.3">
      <c r="A364">
        <v>363</v>
      </c>
      <c r="B364" s="1">
        <v>50000</v>
      </c>
      <c r="C364" s="1" t="str" cm="1">
        <f t="array" ref="C364">_xlfn.IFS(Table2[[#This Row],[LIMIT_BAL]]&lt;=100000,"Low",Table2[[#This Row],[LIMIT_BAL]]&lt;=300000,"Medium",
TRUE,"High"
)</f>
        <v>Low</v>
      </c>
      <c r="D364" t="s">
        <v>2042</v>
      </c>
      <c r="E364" t="s">
        <v>2043</v>
      </c>
      <c r="F364" t="s">
        <v>2029</v>
      </c>
      <c r="G364">
        <v>32</v>
      </c>
      <c r="H364" t="str" cm="1">
        <f t="array" ref="H364">_xlfn.IFS(
Table2[[#This Row],[AGE]]&lt;30,"Young",
Table2[[#This Row],[AGE]]&lt;40,"Middle Age",
Table2[[#This Row],[AGE]]&lt;50,"Senior",
TRUE,"Super Senior"
)</f>
        <v>Middle Age</v>
      </c>
      <c r="I364">
        <v>4</v>
      </c>
      <c r="J364">
        <v>3</v>
      </c>
      <c r="K364">
        <v>2</v>
      </c>
      <c r="L364">
        <v>0</v>
      </c>
      <c r="M364">
        <v>0</v>
      </c>
      <c r="N364">
        <v>0</v>
      </c>
      <c r="O364" s="1">
        <v>45734</v>
      </c>
      <c r="P364" s="1">
        <v>44741</v>
      </c>
      <c r="Q364" s="1">
        <v>43562</v>
      </c>
      <c r="R364" s="1">
        <v>44039</v>
      </c>
      <c r="S364" s="1">
        <v>45008</v>
      </c>
      <c r="T364" s="1">
        <v>25775</v>
      </c>
      <c r="U364" s="1">
        <v>0</v>
      </c>
      <c r="V364" s="1">
        <v>0</v>
      </c>
      <c r="W364" s="1">
        <v>1262</v>
      </c>
      <c r="X364" s="1">
        <v>1358</v>
      </c>
      <c r="Y364" s="1">
        <v>1275</v>
      </c>
      <c r="Z364" s="1">
        <v>1590</v>
      </c>
      <c r="AA364">
        <v>0</v>
      </c>
      <c r="AB364" t="str">
        <f t="shared" si="5"/>
        <v>Not Defaulter</v>
      </c>
      <c r="AC364" s="1">
        <f>Table2[[#This Row],[BILL_AMT1]]-Table2[[#This Row],[PAY_AMT1]]</f>
        <v>45734</v>
      </c>
      <c r="AD364" s="1" t="str" cm="1">
        <f t="array" ref="AD364">_xlfn.IFS(Table2[[#This Row],[PAYMENT GAP]]&lt;=0,"No Gap / Overpaid",Table2[[#This Row],[PAYMENT GAP]]&lt;=25000,"Low Gap",Table2[[#This Row],[PAYMENT GAP]]&lt;=100000,"Medium Gap",
TRUE,"High Gap"
)</f>
        <v>Medium Gap</v>
      </c>
    </row>
    <row r="365" spans="1:30" x14ac:dyDescent="0.3">
      <c r="A365">
        <v>364</v>
      </c>
      <c r="B365" s="1">
        <v>110000</v>
      </c>
      <c r="C365" s="1" t="str" cm="1">
        <f t="array" ref="C365">_xlfn.IFS(Table2[[#This Row],[LIMIT_BAL]]&lt;=100000,"Low",Table2[[#This Row],[LIMIT_BAL]]&lt;=300000,"Medium",
TRUE,"High"
)</f>
        <v>Medium</v>
      </c>
      <c r="D365" t="s">
        <v>2042</v>
      </c>
      <c r="E365" t="s">
        <v>2026</v>
      </c>
      <c r="F365" t="s">
        <v>2028</v>
      </c>
      <c r="G365">
        <v>40</v>
      </c>
      <c r="H365" t="str" cm="1">
        <f t="array" ref="H365">_xlfn.IFS(
Table2[[#This Row],[AGE]]&lt;30,"Young",
Table2[[#This Row],[AGE]]&lt;40,"Middle Age",
Table2[[#This Row],[AGE]]&lt;50,"Senior",
TRUE,"Super Senior"
)</f>
        <v>Senior</v>
      </c>
      <c r="I365">
        <v>1</v>
      </c>
      <c r="J365">
        <v>-2</v>
      </c>
      <c r="K365">
        <v>-1</v>
      </c>
      <c r="L365">
        <v>0</v>
      </c>
      <c r="M365">
        <v>-1</v>
      </c>
      <c r="N365">
        <v>-1</v>
      </c>
      <c r="O365" s="1">
        <v>0</v>
      </c>
      <c r="P365" s="1">
        <v>0</v>
      </c>
      <c r="Q365" s="1">
        <v>2066</v>
      </c>
      <c r="R365" s="1">
        <v>2000</v>
      </c>
      <c r="S365" s="1">
        <v>216</v>
      </c>
      <c r="T365" s="1">
        <v>216</v>
      </c>
      <c r="U365" s="1">
        <v>0</v>
      </c>
      <c r="V365" s="1">
        <v>2066</v>
      </c>
      <c r="W365" s="1">
        <v>0</v>
      </c>
      <c r="X365" s="1">
        <v>216</v>
      </c>
      <c r="Y365" s="1">
        <v>216</v>
      </c>
      <c r="Z365" s="1">
        <v>66</v>
      </c>
      <c r="AA365">
        <v>1</v>
      </c>
      <c r="AB365" t="str">
        <f t="shared" si="5"/>
        <v>Defaulter</v>
      </c>
      <c r="AC365" s="1">
        <f>Table2[[#This Row],[BILL_AMT1]]-Table2[[#This Row],[PAY_AMT1]]</f>
        <v>0</v>
      </c>
      <c r="AD365" s="1" t="str" cm="1">
        <f t="array" ref="AD365">_xlfn.IFS(Table2[[#This Row],[PAYMENT GAP]]&lt;=0,"No Gap / Overpaid",Table2[[#This Row],[PAYMENT GAP]]&lt;=25000,"Low Gap",Table2[[#This Row],[PAYMENT GAP]]&lt;=100000,"Medium Gap",
TRUE,"High Gap"
)</f>
        <v>No Gap / Overpaid</v>
      </c>
    </row>
    <row r="366" spans="1:30" x14ac:dyDescent="0.3">
      <c r="A366">
        <v>365</v>
      </c>
      <c r="B366" s="1">
        <v>230000</v>
      </c>
      <c r="C366" s="1" t="str" cm="1">
        <f t="array" ref="C366">_xlfn.IFS(Table2[[#This Row],[LIMIT_BAL]]&lt;=100000,"Low",Table2[[#This Row],[LIMIT_BAL]]&lt;=300000,"Medium",
TRUE,"High"
)</f>
        <v>Medium</v>
      </c>
      <c r="D366" t="s">
        <v>2041</v>
      </c>
      <c r="E366" t="s">
        <v>2026</v>
      </c>
      <c r="F366" t="s">
        <v>2029</v>
      </c>
      <c r="G366">
        <v>35</v>
      </c>
      <c r="H366" t="str" cm="1">
        <f t="array" ref="H366">_xlfn.IFS(
Table2[[#This Row],[AGE]]&lt;30,"Young",
Table2[[#This Row],[AGE]]&lt;40,"Middle Age",
Table2[[#This Row],[AGE]]&lt;50,"Senior",
TRUE,"Super Senior"
)</f>
        <v>Middle Age</v>
      </c>
      <c r="I366">
        <v>-2</v>
      </c>
      <c r="J366">
        <v>-2</v>
      </c>
      <c r="K366">
        <v>-2</v>
      </c>
      <c r="L366">
        <v>-2</v>
      </c>
      <c r="M366">
        <v>-2</v>
      </c>
      <c r="N366">
        <v>-2</v>
      </c>
      <c r="O366" s="1">
        <v>761</v>
      </c>
      <c r="P366" s="1">
        <v>300</v>
      </c>
      <c r="Q366" s="1">
        <v>399</v>
      </c>
      <c r="R366" s="1">
        <v>665</v>
      </c>
      <c r="S366" s="1">
        <v>576</v>
      </c>
      <c r="T366" s="1">
        <v>613</v>
      </c>
      <c r="U366" s="1">
        <v>300</v>
      </c>
      <c r="V366" s="1">
        <v>399</v>
      </c>
      <c r="W366" s="1">
        <v>665</v>
      </c>
      <c r="X366" s="1">
        <v>576</v>
      </c>
      <c r="Y366" s="1">
        <v>613</v>
      </c>
      <c r="Z366" s="1">
        <v>520</v>
      </c>
      <c r="AA366">
        <v>0</v>
      </c>
      <c r="AB366" t="str">
        <f t="shared" si="5"/>
        <v>Not Defaulter</v>
      </c>
      <c r="AC366" s="1">
        <f>Table2[[#This Row],[BILL_AMT1]]-Table2[[#This Row],[PAY_AMT1]]</f>
        <v>461</v>
      </c>
      <c r="AD366" s="1" t="str" cm="1">
        <f t="array" ref="AD366">_xlfn.IFS(Table2[[#This Row],[PAYMENT GAP]]&lt;=0,"No Gap / Overpaid",Table2[[#This Row],[PAYMENT GAP]]&lt;=25000,"Low Gap",Table2[[#This Row],[PAYMENT GAP]]&lt;=100000,"Medium Gap",
TRUE,"High Gap"
)</f>
        <v>Low Gap</v>
      </c>
    </row>
    <row r="367" spans="1:30" x14ac:dyDescent="0.3">
      <c r="A367">
        <v>366</v>
      </c>
      <c r="B367" s="1">
        <v>330000</v>
      </c>
      <c r="C367" s="1" t="str" cm="1">
        <f t="array" ref="C367">_xlfn.IFS(Table2[[#This Row],[LIMIT_BAL]]&lt;=100000,"Low",Table2[[#This Row],[LIMIT_BAL]]&lt;=300000,"Medium",
TRUE,"High"
)</f>
        <v>High</v>
      </c>
      <c r="D367" t="s">
        <v>2041</v>
      </c>
      <c r="E367" t="s">
        <v>2043</v>
      </c>
      <c r="F367" t="s">
        <v>2028</v>
      </c>
      <c r="G367">
        <v>56</v>
      </c>
      <c r="H367" t="str" cm="1">
        <f t="array" ref="H367">_xlfn.IFS(
Table2[[#This Row],[AGE]]&lt;30,"Young",
Table2[[#This Row],[AGE]]&lt;40,"Middle Age",
Table2[[#This Row],[AGE]]&lt;50,"Senior",
TRUE,"Super Senior"
)</f>
        <v>Super Senior</v>
      </c>
      <c r="I367">
        <v>1</v>
      </c>
      <c r="J367">
        <v>-1</v>
      </c>
      <c r="K367">
        <v>-1</v>
      </c>
      <c r="L367">
        <v>-2</v>
      </c>
      <c r="M367">
        <v>-1</v>
      </c>
      <c r="N367">
        <v>-1</v>
      </c>
      <c r="O367" s="1">
        <v>-9</v>
      </c>
      <c r="P367" s="1">
        <v>1520</v>
      </c>
      <c r="Q367" s="1">
        <v>1488</v>
      </c>
      <c r="R367" s="1">
        <v>0</v>
      </c>
      <c r="S367" s="1">
        <v>3965</v>
      </c>
      <c r="T367" s="1">
        <v>8676</v>
      </c>
      <c r="U367" s="1">
        <v>1529</v>
      </c>
      <c r="V367" s="1">
        <v>1507</v>
      </c>
      <c r="W367" s="1">
        <v>0</v>
      </c>
      <c r="X367" s="1">
        <v>3965</v>
      </c>
      <c r="Y367" s="1">
        <v>8676</v>
      </c>
      <c r="Z367" s="1">
        <v>384</v>
      </c>
      <c r="AA367">
        <v>0</v>
      </c>
      <c r="AB367" t="str">
        <f t="shared" si="5"/>
        <v>Not Defaulter</v>
      </c>
      <c r="AC367" s="1">
        <f>Table2[[#This Row],[BILL_AMT1]]-Table2[[#This Row],[PAY_AMT1]]</f>
        <v>-1538</v>
      </c>
      <c r="AD367" s="1" t="str" cm="1">
        <f t="array" ref="AD367">_xlfn.IFS(Table2[[#This Row],[PAYMENT GAP]]&lt;=0,"No Gap / Overpaid",Table2[[#This Row],[PAYMENT GAP]]&lt;=25000,"Low Gap",Table2[[#This Row],[PAYMENT GAP]]&lt;=100000,"Medium Gap",
TRUE,"High Gap"
)</f>
        <v>No Gap / Overpaid</v>
      </c>
    </row>
    <row r="368" spans="1:30" x14ac:dyDescent="0.3">
      <c r="A368">
        <v>367</v>
      </c>
      <c r="B368" s="1">
        <v>50000</v>
      </c>
      <c r="C368" s="1" t="str" cm="1">
        <f t="array" ref="C368">_xlfn.IFS(Table2[[#This Row],[LIMIT_BAL]]&lt;=100000,"Low",Table2[[#This Row],[LIMIT_BAL]]&lt;=300000,"Medium",
TRUE,"High"
)</f>
        <v>Low</v>
      </c>
      <c r="D368" t="s">
        <v>2041</v>
      </c>
      <c r="E368" t="s">
        <v>2043</v>
      </c>
      <c r="F368" t="s">
        <v>2028</v>
      </c>
      <c r="G368">
        <v>61</v>
      </c>
      <c r="H368" t="str" cm="1">
        <f t="array" ref="H368">_xlfn.IFS(
Table2[[#This Row],[AGE]]&lt;30,"Young",
Table2[[#This Row],[AGE]]&lt;40,"Middle Age",
Table2[[#This Row],[AGE]]&lt;50,"Senior",
TRUE,"Super Senior"
)</f>
        <v>Super Senior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 s="1">
        <v>47166</v>
      </c>
      <c r="P368" s="1">
        <v>49396</v>
      </c>
      <c r="Q368" s="1">
        <v>50476</v>
      </c>
      <c r="R368" s="1">
        <v>23319</v>
      </c>
      <c r="S368" s="1">
        <v>23171</v>
      </c>
      <c r="T368" s="1">
        <v>24774</v>
      </c>
      <c r="U368" s="1">
        <v>3000</v>
      </c>
      <c r="V368" s="1">
        <v>2237</v>
      </c>
      <c r="W368" s="1">
        <v>975</v>
      </c>
      <c r="X368" s="1">
        <v>1000</v>
      </c>
      <c r="Y368" s="1">
        <v>2000</v>
      </c>
      <c r="Z368" s="1">
        <v>1039</v>
      </c>
      <c r="AA368">
        <v>0</v>
      </c>
      <c r="AB368" t="str">
        <f t="shared" si="5"/>
        <v>Not Defaulter</v>
      </c>
      <c r="AC368" s="1">
        <f>Table2[[#This Row],[BILL_AMT1]]-Table2[[#This Row],[PAY_AMT1]]</f>
        <v>44166</v>
      </c>
      <c r="AD368" s="1" t="str" cm="1">
        <f t="array" ref="AD368">_xlfn.IFS(Table2[[#This Row],[PAYMENT GAP]]&lt;=0,"No Gap / Overpaid",Table2[[#This Row],[PAYMENT GAP]]&lt;=25000,"Low Gap",Table2[[#This Row],[PAYMENT GAP]]&lt;=100000,"Medium Gap",
TRUE,"High Gap"
)</f>
        <v>Medium Gap</v>
      </c>
    </row>
    <row r="369" spans="1:30" x14ac:dyDescent="0.3">
      <c r="A369">
        <v>368</v>
      </c>
      <c r="B369" s="1">
        <v>10000</v>
      </c>
      <c r="C369" s="1" t="str" cm="1">
        <f t="array" ref="C369">_xlfn.IFS(Table2[[#This Row],[LIMIT_BAL]]&lt;=100000,"Low",Table2[[#This Row],[LIMIT_BAL]]&lt;=300000,"Medium",
TRUE,"High"
)</f>
        <v>Low</v>
      </c>
      <c r="D369" t="s">
        <v>2042</v>
      </c>
      <c r="E369" t="s">
        <v>2043</v>
      </c>
      <c r="F369" t="s">
        <v>2029</v>
      </c>
      <c r="G369">
        <v>24</v>
      </c>
      <c r="H369" t="str" cm="1">
        <f t="array" ref="H369">_xlfn.IFS(
Table2[[#This Row],[AGE]]&lt;30,"Young",
Table2[[#This Row],[AGE]]&lt;40,"Middle Age",
Table2[[#This Row],[AGE]]&lt;50,"Senior",
TRUE,"Super Senior"
)</f>
        <v>Young</v>
      </c>
      <c r="I369">
        <v>-1</v>
      </c>
      <c r="J369">
        <v>2</v>
      </c>
      <c r="K369">
        <v>2</v>
      </c>
      <c r="L369">
        <v>2</v>
      </c>
      <c r="M369">
        <v>0</v>
      </c>
      <c r="N369">
        <v>0</v>
      </c>
      <c r="O369" s="1">
        <v>2887</v>
      </c>
      <c r="P369" s="1">
        <v>1923</v>
      </c>
      <c r="Q369" s="1">
        <v>2989</v>
      </c>
      <c r="R369" s="1">
        <v>2813</v>
      </c>
      <c r="S369" s="1">
        <v>2008</v>
      </c>
      <c r="T369" s="1">
        <v>2132</v>
      </c>
      <c r="U369" s="1">
        <v>0</v>
      </c>
      <c r="V369" s="1">
        <v>1500</v>
      </c>
      <c r="W369" s="1">
        <v>0</v>
      </c>
      <c r="X369" s="1">
        <v>0</v>
      </c>
      <c r="Y369" s="1">
        <v>150</v>
      </c>
      <c r="Z369" s="1">
        <v>0</v>
      </c>
      <c r="AA369">
        <v>0</v>
      </c>
      <c r="AB369" t="str">
        <f t="shared" si="5"/>
        <v>Not Defaulter</v>
      </c>
      <c r="AC369" s="1">
        <f>Table2[[#This Row],[BILL_AMT1]]-Table2[[#This Row],[PAY_AMT1]]</f>
        <v>2887</v>
      </c>
      <c r="AD369" s="1" t="str" cm="1">
        <f t="array" ref="AD369">_xlfn.IFS(Table2[[#This Row],[PAYMENT GAP]]&lt;=0,"No Gap / Overpaid",Table2[[#This Row],[PAYMENT GAP]]&lt;=25000,"Low Gap",Table2[[#This Row],[PAYMENT GAP]]&lt;=100000,"Medium Gap",
TRUE,"High Gap"
)</f>
        <v>Low Gap</v>
      </c>
    </row>
    <row r="370" spans="1:30" x14ac:dyDescent="0.3">
      <c r="A370">
        <v>369</v>
      </c>
      <c r="B370" s="1">
        <v>300000</v>
      </c>
      <c r="C370" s="1" t="str" cm="1">
        <f t="array" ref="C370">_xlfn.IFS(Table2[[#This Row],[LIMIT_BAL]]&lt;=100000,"Low",Table2[[#This Row],[LIMIT_BAL]]&lt;=300000,"Medium",
TRUE,"High"
)</f>
        <v>Medium</v>
      </c>
      <c r="D370" t="s">
        <v>2042</v>
      </c>
      <c r="E370" t="s">
        <v>2026</v>
      </c>
      <c r="F370" t="s">
        <v>2028</v>
      </c>
      <c r="G370">
        <v>40</v>
      </c>
      <c r="H370" t="str" cm="1">
        <f t="array" ref="H370">_xlfn.IFS(
Table2[[#This Row],[AGE]]&lt;30,"Young",
Table2[[#This Row],[AGE]]&lt;40,"Middle Age",
Table2[[#This Row],[AGE]]&lt;50,"Senior",
TRUE,"Super Senior"
)</f>
        <v>Senior</v>
      </c>
      <c r="I370">
        <v>1</v>
      </c>
      <c r="J370">
        <v>-2</v>
      </c>
      <c r="K370">
        <v>-2</v>
      </c>
      <c r="L370">
        <v>-2</v>
      </c>
      <c r="M370">
        <v>-2</v>
      </c>
      <c r="N370">
        <v>-2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>
        <v>0</v>
      </c>
      <c r="AB370" t="str">
        <f t="shared" si="5"/>
        <v>Not Defaulter</v>
      </c>
      <c r="AC370" s="1">
        <f>Table2[[#This Row],[BILL_AMT1]]-Table2[[#This Row],[PAY_AMT1]]</f>
        <v>0</v>
      </c>
      <c r="AD370" s="1" t="str" cm="1">
        <f t="array" ref="AD370">_xlfn.IFS(Table2[[#This Row],[PAYMENT GAP]]&lt;=0,"No Gap / Overpaid",Table2[[#This Row],[PAYMENT GAP]]&lt;=25000,"Low Gap",Table2[[#This Row],[PAYMENT GAP]]&lt;=100000,"Medium Gap",
TRUE,"High Gap"
)</f>
        <v>No Gap / Overpaid</v>
      </c>
    </row>
    <row r="371" spans="1:30" x14ac:dyDescent="0.3">
      <c r="A371">
        <v>370</v>
      </c>
      <c r="B371" s="1">
        <v>20000</v>
      </c>
      <c r="C371" s="1" t="str" cm="1">
        <f t="array" ref="C371">_xlfn.IFS(Table2[[#This Row],[LIMIT_BAL]]&lt;=100000,"Low",Table2[[#This Row],[LIMIT_BAL]]&lt;=300000,"Medium",
TRUE,"High"
)</f>
        <v>Low</v>
      </c>
      <c r="D371" t="s">
        <v>2041</v>
      </c>
      <c r="E371" t="s">
        <v>2043</v>
      </c>
      <c r="F371" t="s">
        <v>2028</v>
      </c>
      <c r="G371">
        <v>32</v>
      </c>
      <c r="H371" t="str" cm="1">
        <f t="array" ref="H371">_xlfn.IFS(
Table2[[#This Row],[AGE]]&lt;30,"Young",
Table2[[#This Row],[AGE]]&lt;40,"Middle Age",
Table2[[#This Row],[AGE]]&lt;50,"Senior",
TRUE,"Super Senior"
)</f>
        <v>Middle Age</v>
      </c>
      <c r="I371">
        <v>3</v>
      </c>
      <c r="J371">
        <v>2</v>
      </c>
      <c r="K371">
        <v>0</v>
      </c>
      <c r="L371">
        <v>0</v>
      </c>
      <c r="M371">
        <v>0</v>
      </c>
      <c r="N371">
        <v>0</v>
      </c>
      <c r="O371" s="1">
        <v>20631</v>
      </c>
      <c r="P371" s="1">
        <v>20010</v>
      </c>
      <c r="Q371" s="1">
        <v>19703</v>
      </c>
      <c r="R371" s="1">
        <v>11084</v>
      </c>
      <c r="S371" s="1">
        <v>10918</v>
      </c>
      <c r="T371" s="1">
        <v>10985</v>
      </c>
      <c r="U371" s="1">
        <v>0</v>
      </c>
      <c r="V371" s="1">
        <v>1168</v>
      </c>
      <c r="W371" s="1">
        <v>384</v>
      </c>
      <c r="X371" s="1">
        <v>390</v>
      </c>
      <c r="Y371" s="1">
        <v>632</v>
      </c>
      <c r="Z371" s="1">
        <v>616</v>
      </c>
      <c r="AA371">
        <v>1</v>
      </c>
      <c r="AB371" t="str">
        <f t="shared" si="5"/>
        <v>Defaulter</v>
      </c>
      <c r="AC371" s="1">
        <f>Table2[[#This Row],[BILL_AMT1]]-Table2[[#This Row],[PAY_AMT1]]</f>
        <v>20631</v>
      </c>
      <c r="AD371" s="1" t="str" cm="1">
        <f t="array" ref="AD371">_xlfn.IFS(Table2[[#This Row],[PAYMENT GAP]]&lt;=0,"No Gap / Overpaid",Table2[[#This Row],[PAYMENT GAP]]&lt;=25000,"Low Gap",Table2[[#This Row],[PAYMENT GAP]]&lt;=100000,"Medium Gap",
TRUE,"High Gap"
)</f>
        <v>Low Gap</v>
      </c>
    </row>
    <row r="372" spans="1:30" x14ac:dyDescent="0.3">
      <c r="A372">
        <v>371</v>
      </c>
      <c r="B372" s="1">
        <v>180000</v>
      </c>
      <c r="C372" s="1" t="str" cm="1">
        <f t="array" ref="C372">_xlfn.IFS(Table2[[#This Row],[LIMIT_BAL]]&lt;=100000,"Low",Table2[[#This Row],[LIMIT_BAL]]&lt;=300000,"Medium",
TRUE,"High"
)</f>
        <v>Medium</v>
      </c>
      <c r="D372" t="s">
        <v>2042</v>
      </c>
      <c r="E372" t="s">
        <v>2043</v>
      </c>
      <c r="F372" t="s">
        <v>2028</v>
      </c>
      <c r="G372">
        <v>36</v>
      </c>
      <c r="H372" t="str" cm="1">
        <f t="array" ref="H372">_xlfn.IFS(
Table2[[#This Row],[AGE]]&lt;30,"Young",
Table2[[#This Row],[AGE]]&lt;40,"Middle Age",
Table2[[#This Row],[AGE]]&lt;50,"Senior",
TRUE,"Super Senior"
)</f>
        <v>Middle Age</v>
      </c>
      <c r="I372">
        <v>2</v>
      </c>
      <c r="J372">
        <v>2</v>
      </c>
      <c r="K372">
        <v>-2</v>
      </c>
      <c r="L372">
        <v>-2</v>
      </c>
      <c r="M372">
        <v>-2</v>
      </c>
      <c r="N372">
        <v>-2</v>
      </c>
      <c r="O372" s="1">
        <v>83538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>
        <v>1</v>
      </c>
      <c r="AB372" t="str">
        <f t="shared" si="5"/>
        <v>Defaulter</v>
      </c>
      <c r="AC372" s="1">
        <f>Table2[[#This Row],[BILL_AMT1]]-Table2[[#This Row],[PAY_AMT1]]</f>
        <v>83538</v>
      </c>
      <c r="AD372" s="1" t="str" cm="1">
        <f t="array" ref="AD372">_xlfn.IFS(Table2[[#This Row],[PAYMENT GAP]]&lt;=0,"No Gap / Overpaid",Table2[[#This Row],[PAYMENT GAP]]&lt;=25000,"Low Gap",Table2[[#This Row],[PAYMENT GAP]]&lt;=100000,"Medium Gap",
TRUE,"High Gap"
)</f>
        <v>Medium Gap</v>
      </c>
    </row>
    <row r="373" spans="1:30" x14ac:dyDescent="0.3">
      <c r="A373">
        <v>372</v>
      </c>
      <c r="B373" s="1">
        <v>160000</v>
      </c>
      <c r="C373" s="1" t="str" cm="1">
        <f t="array" ref="C373">_xlfn.IFS(Table2[[#This Row],[LIMIT_BAL]]&lt;=100000,"Low",Table2[[#This Row],[LIMIT_BAL]]&lt;=300000,"Medium",
TRUE,"High"
)</f>
        <v>Medium</v>
      </c>
      <c r="D373" t="s">
        <v>2042</v>
      </c>
      <c r="E373" t="s">
        <v>2026</v>
      </c>
      <c r="F373" t="s">
        <v>2029</v>
      </c>
      <c r="G373">
        <v>30</v>
      </c>
      <c r="H373" t="str" cm="1">
        <f t="array" ref="H373">_xlfn.IFS(
Table2[[#This Row],[AGE]]&lt;30,"Young",
Table2[[#This Row],[AGE]]&lt;40,"Middle Age",
Table2[[#This Row],[AGE]]&lt;50,"Senior",
TRUE,"Super Senior"
)</f>
        <v>Middle Age</v>
      </c>
      <c r="I373">
        <v>-1</v>
      </c>
      <c r="J373">
        <v>-1</v>
      </c>
      <c r="K373">
        <v>-1</v>
      </c>
      <c r="L373">
        <v>-1</v>
      </c>
      <c r="M373">
        <v>-1</v>
      </c>
      <c r="N373">
        <v>-1</v>
      </c>
      <c r="O373" s="1">
        <v>99</v>
      </c>
      <c r="P373" s="1">
        <v>2977</v>
      </c>
      <c r="Q373" s="1">
        <v>15086</v>
      </c>
      <c r="R373" s="1">
        <v>8578</v>
      </c>
      <c r="S373" s="1">
        <v>13028</v>
      </c>
      <c r="T373" s="1">
        <v>21712</v>
      </c>
      <c r="U373" s="1">
        <v>2977</v>
      </c>
      <c r="V373" s="1">
        <v>15086</v>
      </c>
      <c r="W373" s="1">
        <v>9123</v>
      </c>
      <c r="X373" s="1">
        <v>13028</v>
      </c>
      <c r="Y373" s="1">
        <v>29712</v>
      </c>
      <c r="Z373" s="1">
        <v>50000</v>
      </c>
      <c r="AA373">
        <v>0</v>
      </c>
      <c r="AB373" t="str">
        <f t="shared" si="5"/>
        <v>Not Defaulter</v>
      </c>
      <c r="AC373" s="1">
        <f>Table2[[#This Row],[BILL_AMT1]]-Table2[[#This Row],[PAY_AMT1]]</f>
        <v>-2878</v>
      </c>
      <c r="AD373" s="1" t="str" cm="1">
        <f t="array" ref="AD373">_xlfn.IFS(Table2[[#This Row],[PAYMENT GAP]]&lt;=0,"No Gap / Overpaid",Table2[[#This Row],[PAYMENT GAP]]&lt;=25000,"Low Gap",Table2[[#This Row],[PAYMENT GAP]]&lt;=100000,"Medium Gap",
TRUE,"High Gap"
)</f>
        <v>No Gap / Overpaid</v>
      </c>
    </row>
    <row r="374" spans="1:30" x14ac:dyDescent="0.3">
      <c r="A374">
        <v>373</v>
      </c>
      <c r="B374" s="1">
        <v>90000</v>
      </c>
      <c r="C374" s="1" t="str" cm="1">
        <f t="array" ref="C374">_xlfn.IFS(Table2[[#This Row],[LIMIT_BAL]]&lt;=100000,"Low",Table2[[#This Row],[LIMIT_BAL]]&lt;=300000,"Medium",
TRUE,"High"
)</f>
        <v>Low</v>
      </c>
      <c r="D374" t="s">
        <v>2041</v>
      </c>
      <c r="E374" t="s">
        <v>2026</v>
      </c>
      <c r="F374" t="s">
        <v>2029</v>
      </c>
      <c r="G374">
        <v>34</v>
      </c>
      <c r="H374" t="str" cm="1">
        <f t="array" ref="H374">_xlfn.IFS(
Table2[[#This Row],[AGE]]&lt;30,"Young",
Table2[[#This Row],[AGE]]&lt;40,"Middle Age",
Table2[[#This Row],[AGE]]&lt;50,"Senior",
TRUE,"Super Senior"
)</f>
        <v>Middle Age</v>
      </c>
      <c r="I374">
        <v>0</v>
      </c>
      <c r="J374">
        <v>0</v>
      </c>
      <c r="K374">
        <v>0</v>
      </c>
      <c r="L374">
        <v>2</v>
      </c>
      <c r="M374">
        <v>2</v>
      </c>
      <c r="N374">
        <v>2</v>
      </c>
      <c r="O374" s="1">
        <v>34302</v>
      </c>
      <c r="P374" s="1">
        <v>35089</v>
      </c>
      <c r="Q374" s="1">
        <v>43449</v>
      </c>
      <c r="R374" s="1">
        <v>42451</v>
      </c>
      <c r="S374" s="1">
        <v>49718</v>
      </c>
      <c r="T374" s="1">
        <v>48767</v>
      </c>
      <c r="U374" s="1">
        <v>1640</v>
      </c>
      <c r="V374" s="1">
        <v>9000</v>
      </c>
      <c r="W374" s="1">
        <v>0</v>
      </c>
      <c r="X374" s="1">
        <v>8000</v>
      </c>
      <c r="Y374" s="1">
        <v>0</v>
      </c>
      <c r="Z374" s="1">
        <v>2000</v>
      </c>
      <c r="AA374">
        <v>0</v>
      </c>
      <c r="AB374" t="str">
        <f t="shared" si="5"/>
        <v>Not Defaulter</v>
      </c>
      <c r="AC374" s="1">
        <f>Table2[[#This Row],[BILL_AMT1]]-Table2[[#This Row],[PAY_AMT1]]</f>
        <v>32662</v>
      </c>
      <c r="AD374" s="1" t="str" cm="1">
        <f t="array" ref="AD374">_xlfn.IFS(Table2[[#This Row],[PAYMENT GAP]]&lt;=0,"No Gap / Overpaid",Table2[[#This Row],[PAYMENT GAP]]&lt;=25000,"Low Gap",Table2[[#This Row],[PAYMENT GAP]]&lt;=100000,"Medium Gap",
TRUE,"High Gap"
)</f>
        <v>Medium Gap</v>
      </c>
    </row>
    <row r="375" spans="1:30" x14ac:dyDescent="0.3">
      <c r="A375">
        <v>374</v>
      </c>
      <c r="B375" s="1">
        <v>30000</v>
      </c>
      <c r="C375" s="1" t="str" cm="1">
        <f t="array" ref="C375">_xlfn.IFS(Table2[[#This Row],[LIMIT_BAL]]&lt;=100000,"Low",Table2[[#This Row],[LIMIT_BAL]]&lt;=300000,"Medium",
TRUE,"High"
)</f>
        <v>Low</v>
      </c>
      <c r="D375" t="s">
        <v>2042</v>
      </c>
      <c r="E375" t="s">
        <v>2027</v>
      </c>
      <c r="F375" t="s">
        <v>2055</v>
      </c>
      <c r="G375">
        <v>54</v>
      </c>
      <c r="H375" t="str" cm="1">
        <f t="array" ref="H375">_xlfn.IFS(
Table2[[#This Row],[AGE]]&lt;30,"Young",
Table2[[#This Row],[AGE]]&lt;40,"Middle Age",
Table2[[#This Row],[AGE]]&lt;50,"Senior",
TRUE,"Super Senior"
)</f>
        <v>Super Senior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 s="1">
        <v>22987</v>
      </c>
      <c r="P375" s="1">
        <v>22298</v>
      </c>
      <c r="Q375" s="1">
        <v>22352</v>
      </c>
      <c r="R375" s="1">
        <v>23221</v>
      </c>
      <c r="S375" s="1">
        <v>24339</v>
      </c>
      <c r="T375" s="1">
        <v>25943</v>
      </c>
      <c r="U375" s="1">
        <v>2500</v>
      </c>
      <c r="V375" s="1">
        <v>2000</v>
      </c>
      <c r="W375" s="1">
        <v>1500</v>
      </c>
      <c r="X375" s="1">
        <v>4000</v>
      </c>
      <c r="Y375" s="1">
        <v>2000</v>
      </c>
      <c r="Z375" s="1">
        <v>0</v>
      </c>
      <c r="AA375">
        <v>0</v>
      </c>
      <c r="AB375" t="str">
        <f t="shared" si="5"/>
        <v>Not Defaulter</v>
      </c>
      <c r="AC375" s="1">
        <f>Table2[[#This Row],[BILL_AMT1]]-Table2[[#This Row],[PAY_AMT1]]</f>
        <v>20487</v>
      </c>
      <c r="AD375" s="1" t="str" cm="1">
        <f t="array" ref="AD375">_xlfn.IFS(Table2[[#This Row],[PAYMENT GAP]]&lt;=0,"No Gap / Overpaid",Table2[[#This Row],[PAYMENT GAP]]&lt;=25000,"Low Gap",Table2[[#This Row],[PAYMENT GAP]]&lt;=100000,"Medium Gap",
TRUE,"High Gap"
)</f>
        <v>Low Gap</v>
      </c>
    </row>
    <row r="376" spans="1:30" x14ac:dyDescent="0.3">
      <c r="A376">
        <v>375</v>
      </c>
      <c r="B376" s="1">
        <v>180000</v>
      </c>
      <c r="C376" s="1" t="str" cm="1">
        <f t="array" ref="C376">_xlfn.IFS(Table2[[#This Row],[LIMIT_BAL]]&lt;=100000,"Low",Table2[[#This Row],[LIMIT_BAL]]&lt;=300000,"Medium",
TRUE,"High"
)</f>
        <v>Medium</v>
      </c>
      <c r="D376" t="s">
        <v>2042</v>
      </c>
      <c r="E376" t="s">
        <v>2026</v>
      </c>
      <c r="F376" t="s">
        <v>2028</v>
      </c>
      <c r="G376">
        <v>46</v>
      </c>
      <c r="H376" t="str" cm="1">
        <f t="array" ref="H376">_xlfn.IFS(
Table2[[#This Row],[AGE]]&lt;30,"Young",
Table2[[#This Row],[AGE]]&lt;40,"Middle Age",
Table2[[#This Row],[AGE]]&lt;50,"Senior",
TRUE,"Super Senior"
)</f>
        <v>Senior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 s="1">
        <v>173267</v>
      </c>
      <c r="P376" s="1">
        <v>174590</v>
      </c>
      <c r="Q376" s="1">
        <v>175233</v>
      </c>
      <c r="R376" s="1">
        <v>106288</v>
      </c>
      <c r="S376" s="1">
        <v>28089</v>
      </c>
      <c r="T376" s="1">
        <v>178719</v>
      </c>
      <c r="U376" s="1">
        <v>8100</v>
      </c>
      <c r="V376" s="1">
        <v>5299</v>
      </c>
      <c r="W376" s="1">
        <v>3305</v>
      </c>
      <c r="X376" s="1">
        <v>5040</v>
      </c>
      <c r="Y376" s="1">
        <v>160719</v>
      </c>
      <c r="Z376" s="1">
        <v>7000</v>
      </c>
      <c r="AA376">
        <v>0</v>
      </c>
      <c r="AB376" t="str">
        <f t="shared" si="5"/>
        <v>Not Defaulter</v>
      </c>
      <c r="AC376" s="1">
        <f>Table2[[#This Row],[BILL_AMT1]]-Table2[[#This Row],[PAY_AMT1]]</f>
        <v>165167</v>
      </c>
      <c r="AD376" s="1" t="str" cm="1">
        <f t="array" ref="AD376">_xlfn.IFS(Table2[[#This Row],[PAYMENT GAP]]&lt;=0,"No Gap / Overpaid",Table2[[#This Row],[PAYMENT GAP]]&lt;=25000,"Low Gap",Table2[[#This Row],[PAYMENT GAP]]&lt;=100000,"Medium Gap",
TRUE,"High Gap"
)</f>
        <v>High Gap</v>
      </c>
    </row>
    <row r="377" spans="1:30" x14ac:dyDescent="0.3">
      <c r="A377">
        <v>376</v>
      </c>
      <c r="B377" s="1">
        <v>30000</v>
      </c>
      <c r="C377" s="1" t="str" cm="1">
        <f t="array" ref="C377">_xlfn.IFS(Table2[[#This Row],[LIMIT_BAL]]&lt;=100000,"Low",Table2[[#This Row],[LIMIT_BAL]]&lt;=300000,"Medium",
TRUE,"High"
)</f>
        <v>Low</v>
      </c>
      <c r="D377" t="s">
        <v>2042</v>
      </c>
      <c r="E377" t="s">
        <v>2027</v>
      </c>
      <c r="F377" t="s">
        <v>2028</v>
      </c>
      <c r="G377">
        <v>58</v>
      </c>
      <c r="H377" t="str" cm="1">
        <f t="array" ref="H377">_xlfn.IFS(
Table2[[#This Row],[AGE]]&lt;30,"Young",
Table2[[#This Row],[AGE]]&lt;40,"Middle Age",
Table2[[#This Row],[AGE]]&lt;50,"Senior",
TRUE,"Super Senior"
)</f>
        <v>Super Senior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 s="1">
        <v>19143</v>
      </c>
      <c r="P377" s="1">
        <v>20168</v>
      </c>
      <c r="Q377" s="1">
        <v>21229</v>
      </c>
      <c r="R377" s="1">
        <v>21495</v>
      </c>
      <c r="S377" s="1">
        <v>21800</v>
      </c>
      <c r="T377" s="1">
        <v>22437</v>
      </c>
      <c r="U377" s="1">
        <v>1640</v>
      </c>
      <c r="V377" s="1">
        <v>1700</v>
      </c>
      <c r="W377" s="1">
        <v>915</v>
      </c>
      <c r="X377" s="1">
        <v>800</v>
      </c>
      <c r="Y377" s="1">
        <v>1000</v>
      </c>
      <c r="Z377" s="1">
        <v>1961</v>
      </c>
      <c r="AA377">
        <v>0</v>
      </c>
      <c r="AB377" t="str">
        <f t="shared" si="5"/>
        <v>Not Defaulter</v>
      </c>
      <c r="AC377" s="1">
        <f>Table2[[#This Row],[BILL_AMT1]]-Table2[[#This Row],[PAY_AMT1]]</f>
        <v>17503</v>
      </c>
      <c r="AD377" s="1" t="str" cm="1">
        <f t="array" ref="AD377">_xlfn.IFS(Table2[[#This Row],[PAYMENT GAP]]&lt;=0,"No Gap / Overpaid",Table2[[#This Row],[PAYMENT GAP]]&lt;=25000,"Low Gap",Table2[[#This Row],[PAYMENT GAP]]&lt;=100000,"Medium Gap",
TRUE,"High Gap"
)</f>
        <v>Low Gap</v>
      </c>
    </row>
    <row r="378" spans="1:30" x14ac:dyDescent="0.3">
      <c r="A378">
        <v>377</v>
      </c>
      <c r="B378" s="1">
        <v>30000</v>
      </c>
      <c r="C378" s="1" t="str" cm="1">
        <f t="array" ref="C378">_xlfn.IFS(Table2[[#This Row],[LIMIT_BAL]]&lt;=100000,"Low",Table2[[#This Row],[LIMIT_BAL]]&lt;=300000,"Medium",
TRUE,"High"
)</f>
        <v>Low</v>
      </c>
      <c r="D378" t="s">
        <v>2042</v>
      </c>
      <c r="E378" t="s">
        <v>2043</v>
      </c>
      <c r="F378" t="s">
        <v>2028</v>
      </c>
      <c r="G378">
        <v>43</v>
      </c>
      <c r="H378" t="str" cm="1">
        <f t="array" ref="H378">_xlfn.IFS(
Table2[[#This Row],[AGE]]&lt;30,"Young",
Table2[[#This Row],[AGE]]&lt;40,"Middle Age",
Table2[[#This Row],[AGE]]&lt;50,"Senior",
TRUE,"Super Senior"
)</f>
        <v>Senior</v>
      </c>
      <c r="I378">
        <v>1</v>
      </c>
      <c r="J378">
        <v>2</v>
      </c>
      <c r="K378">
        <v>0</v>
      </c>
      <c r="L378">
        <v>0</v>
      </c>
      <c r="M378">
        <v>0</v>
      </c>
      <c r="N378">
        <v>2</v>
      </c>
      <c r="O378" s="1">
        <v>20518</v>
      </c>
      <c r="P378" s="1">
        <v>19901</v>
      </c>
      <c r="Q378" s="1">
        <v>20905</v>
      </c>
      <c r="R378" s="1">
        <v>21509</v>
      </c>
      <c r="S378" s="1">
        <v>25183</v>
      </c>
      <c r="T378" s="1">
        <v>24242</v>
      </c>
      <c r="U378" s="1">
        <v>0</v>
      </c>
      <c r="V378" s="1">
        <v>1342</v>
      </c>
      <c r="W378" s="1">
        <v>946</v>
      </c>
      <c r="X378" s="1">
        <v>4200</v>
      </c>
      <c r="Y378" s="1">
        <v>0</v>
      </c>
      <c r="Z378" s="1">
        <v>1000</v>
      </c>
      <c r="AA378">
        <v>0</v>
      </c>
      <c r="AB378" t="str">
        <f t="shared" si="5"/>
        <v>Not Defaulter</v>
      </c>
      <c r="AC378" s="1">
        <f>Table2[[#This Row],[BILL_AMT1]]-Table2[[#This Row],[PAY_AMT1]]</f>
        <v>20518</v>
      </c>
      <c r="AD378" s="1" t="str" cm="1">
        <f t="array" ref="AD378">_xlfn.IFS(Table2[[#This Row],[PAYMENT GAP]]&lt;=0,"No Gap / Overpaid",Table2[[#This Row],[PAYMENT GAP]]&lt;=25000,"Low Gap",Table2[[#This Row],[PAYMENT GAP]]&lt;=100000,"Medium Gap",
TRUE,"High Gap"
)</f>
        <v>Low Gap</v>
      </c>
    </row>
    <row r="379" spans="1:30" x14ac:dyDescent="0.3">
      <c r="A379">
        <v>378</v>
      </c>
      <c r="B379" s="1">
        <v>140000</v>
      </c>
      <c r="C379" s="1" t="str" cm="1">
        <f t="array" ref="C379">_xlfn.IFS(Table2[[#This Row],[LIMIT_BAL]]&lt;=100000,"Low",Table2[[#This Row],[LIMIT_BAL]]&lt;=300000,"Medium",
TRUE,"High"
)</f>
        <v>Medium</v>
      </c>
      <c r="D379" t="s">
        <v>2041</v>
      </c>
      <c r="E379" t="s">
        <v>2026</v>
      </c>
      <c r="F379" t="s">
        <v>2029</v>
      </c>
      <c r="G379">
        <v>28</v>
      </c>
      <c r="H379" t="str" cm="1">
        <f t="array" ref="H379">_xlfn.IFS(
Table2[[#This Row],[AGE]]&lt;30,"Young",
Table2[[#This Row],[AGE]]&lt;40,"Middle Age",
Table2[[#This Row],[AGE]]&lt;50,"Senior",
TRUE,"Super Senior"
)</f>
        <v>Young</v>
      </c>
      <c r="I379">
        <v>-1</v>
      </c>
      <c r="J379">
        <v>0</v>
      </c>
      <c r="K379">
        <v>0</v>
      </c>
      <c r="L379">
        <v>-1</v>
      </c>
      <c r="M379">
        <v>-1</v>
      </c>
      <c r="N379">
        <v>-1</v>
      </c>
      <c r="O379" s="1">
        <v>10833</v>
      </c>
      <c r="P379" s="1">
        <v>14446</v>
      </c>
      <c r="Q379" s="1">
        <v>7609</v>
      </c>
      <c r="R379" s="1">
        <v>4991</v>
      </c>
      <c r="S379" s="1">
        <v>3400</v>
      </c>
      <c r="T379" s="1">
        <v>3745</v>
      </c>
      <c r="U379" s="1">
        <v>14000</v>
      </c>
      <c r="V379" s="1">
        <v>3855</v>
      </c>
      <c r="W379" s="1">
        <v>4991</v>
      </c>
      <c r="X379" s="1">
        <v>3600</v>
      </c>
      <c r="Y379" s="1">
        <v>5500</v>
      </c>
      <c r="Z379" s="1">
        <v>4000</v>
      </c>
      <c r="AA379">
        <v>0</v>
      </c>
      <c r="AB379" t="str">
        <f t="shared" si="5"/>
        <v>Not Defaulter</v>
      </c>
      <c r="AC379" s="1">
        <f>Table2[[#This Row],[BILL_AMT1]]-Table2[[#This Row],[PAY_AMT1]]</f>
        <v>-3167</v>
      </c>
      <c r="AD379" s="1" t="str" cm="1">
        <f t="array" ref="AD379">_xlfn.IFS(Table2[[#This Row],[PAYMENT GAP]]&lt;=0,"No Gap / Overpaid",Table2[[#This Row],[PAYMENT GAP]]&lt;=25000,"Low Gap",Table2[[#This Row],[PAYMENT GAP]]&lt;=100000,"Medium Gap",
TRUE,"High Gap"
)</f>
        <v>No Gap / Overpaid</v>
      </c>
    </row>
    <row r="380" spans="1:30" x14ac:dyDescent="0.3">
      <c r="A380">
        <v>379</v>
      </c>
      <c r="B380" s="1">
        <v>210000</v>
      </c>
      <c r="C380" s="1" t="str" cm="1">
        <f t="array" ref="C380">_xlfn.IFS(Table2[[#This Row],[LIMIT_BAL]]&lt;=100000,"Low",Table2[[#This Row],[LIMIT_BAL]]&lt;=300000,"Medium",
TRUE,"High"
)</f>
        <v>Medium</v>
      </c>
      <c r="D380" t="s">
        <v>2042</v>
      </c>
      <c r="E380" t="s">
        <v>2026</v>
      </c>
      <c r="F380" t="s">
        <v>2029</v>
      </c>
      <c r="G380">
        <v>30</v>
      </c>
      <c r="H380" t="str" cm="1">
        <f t="array" ref="H380">_xlfn.IFS(
Table2[[#This Row],[AGE]]&lt;30,"Young",
Table2[[#This Row],[AGE]]&lt;40,"Middle Age",
Table2[[#This Row],[AGE]]&lt;50,"Senior",
TRUE,"Super Senior"
)</f>
        <v>Middle Age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s="1">
        <v>69937</v>
      </c>
      <c r="P380" s="1">
        <v>71906</v>
      </c>
      <c r="Q380" s="1">
        <v>43308</v>
      </c>
      <c r="R380" s="1">
        <v>44584</v>
      </c>
      <c r="S380" s="1">
        <v>47842</v>
      </c>
      <c r="T380" s="1">
        <v>49888</v>
      </c>
      <c r="U380" s="1">
        <v>3500</v>
      </c>
      <c r="V380" s="1">
        <v>3000</v>
      </c>
      <c r="W380" s="1">
        <v>2000</v>
      </c>
      <c r="X380" s="1">
        <v>4000</v>
      </c>
      <c r="Y380" s="1">
        <v>3000</v>
      </c>
      <c r="Z380" s="1">
        <v>10000</v>
      </c>
      <c r="AA380">
        <v>0</v>
      </c>
      <c r="AB380" t="str">
        <f t="shared" si="5"/>
        <v>Not Defaulter</v>
      </c>
      <c r="AC380" s="1">
        <f>Table2[[#This Row],[BILL_AMT1]]-Table2[[#This Row],[PAY_AMT1]]</f>
        <v>66437</v>
      </c>
      <c r="AD380" s="1" t="str" cm="1">
        <f t="array" ref="AD380">_xlfn.IFS(Table2[[#This Row],[PAYMENT GAP]]&lt;=0,"No Gap / Overpaid",Table2[[#This Row],[PAYMENT GAP]]&lt;=25000,"Low Gap",Table2[[#This Row],[PAYMENT GAP]]&lt;=100000,"Medium Gap",
TRUE,"High Gap"
)</f>
        <v>Medium Gap</v>
      </c>
    </row>
    <row r="381" spans="1:30" x14ac:dyDescent="0.3">
      <c r="A381">
        <v>380</v>
      </c>
      <c r="B381" s="1">
        <v>50000</v>
      </c>
      <c r="C381" s="1" t="str" cm="1">
        <f t="array" ref="C381">_xlfn.IFS(Table2[[#This Row],[LIMIT_BAL]]&lt;=100000,"Low",Table2[[#This Row],[LIMIT_BAL]]&lt;=300000,"Medium",
TRUE,"High"
)</f>
        <v>Low</v>
      </c>
      <c r="D381" t="s">
        <v>2042</v>
      </c>
      <c r="E381" t="s">
        <v>2043</v>
      </c>
      <c r="F381" t="s">
        <v>2029</v>
      </c>
      <c r="G381">
        <v>31</v>
      </c>
      <c r="H381" t="str" cm="1">
        <f t="array" ref="H381">_xlfn.IFS(
Table2[[#This Row],[AGE]]&lt;30,"Young",
Table2[[#This Row],[AGE]]&lt;40,"Middle Age",
Table2[[#This Row],[AGE]]&lt;50,"Senior",
TRUE,"Super Senior"
)</f>
        <v>Middle Age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 s="1">
        <v>20526</v>
      </c>
      <c r="P381" s="1">
        <v>15129</v>
      </c>
      <c r="Q381" s="1">
        <v>15093</v>
      </c>
      <c r="R381" s="1">
        <v>9577</v>
      </c>
      <c r="S381" s="1">
        <v>11139</v>
      </c>
      <c r="T381" s="1">
        <v>12487</v>
      </c>
      <c r="U381" s="1">
        <v>2000</v>
      </c>
      <c r="V381" s="1">
        <v>3000</v>
      </c>
      <c r="W381" s="1">
        <v>327</v>
      </c>
      <c r="X381" s="1">
        <v>3000</v>
      </c>
      <c r="Y381" s="1">
        <v>3000</v>
      </c>
      <c r="Z381" s="1">
        <v>5000</v>
      </c>
      <c r="AA381">
        <v>1</v>
      </c>
      <c r="AB381" t="str">
        <f t="shared" si="5"/>
        <v>Defaulter</v>
      </c>
      <c r="AC381" s="1">
        <f>Table2[[#This Row],[BILL_AMT1]]-Table2[[#This Row],[PAY_AMT1]]</f>
        <v>18526</v>
      </c>
      <c r="AD381" s="1" t="str" cm="1">
        <f t="array" ref="AD381">_xlfn.IFS(Table2[[#This Row],[PAYMENT GAP]]&lt;=0,"No Gap / Overpaid",Table2[[#This Row],[PAYMENT GAP]]&lt;=25000,"Low Gap",Table2[[#This Row],[PAYMENT GAP]]&lt;=100000,"Medium Gap",
TRUE,"High Gap"
)</f>
        <v>Low Gap</v>
      </c>
    </row>
    <row r="382" spans="1:30" x14ac:dyDescent="0.3">
      <c r="A382">
        <v>381</v>
      </c>
      <c r="B382" s="1">
        <v>130000</v>
      </c>
      <c r="C382" s="1" t="str" cm="1">
        <f t="array" ref="C382">_xlfn.IFS(Table2[[#This Row],[LIMIT_BAL]]&lt;=100000,"Low",Table2[[#This Row],[LIMIT_BAL]]&lt;=300000,"Medium",
TRUE,"High"
)</f>
        <v>Medium</v>
      </c>
      <c r="D382" t="s">
        <v>2041</v>
      </c>
      <c r="E382" t="s">
        <v>2043</v>
      </c>
      <c r="F382" t="s">
        <v>2029</v>
      </c>
      <c r="G382">
        <v>29</v>
      </c>
      <c r="H382" t="str" cm="1">
        <f t="array" ref="H382">_xlfn.IFS(
Table2[[#This Row],[AGE]]&lt;30,"Young",
Table2[[#This Row],[AGE]]&lt;40,"Middle Age",
Table2[[#This Row],[AGE]]&lt;50,"Senior",
TRUE,"Super Senior"
)</f>
        <v>Young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s="1">
        <v>89055</v>
      </c>
      <c r="P382" s="1">
        <v>90780</v>
      </c>
      <c r="Q382" s="1">
        <v>70947</v>
      </c>
      <c r="R382" s="1">
        <v>72367</v>
      </c>
      <c r="S382" s="1">
        <v>73875</v>
      </c>
      <c r="T382" s="1">
        <v>75355</v>
      </c>
      <c r="U382" s="1">
        <v>4200</v>
      </c>
      <c r="V382" s="1">
        <v>2575</v>
      </c>
      <c r="W382" s="1">
        <v>2600</v>
      </c>
      <c r="X382" s="1">
        <v>2674</v>
      </c>
      <c r="Y382" s="1">
        <v>2701</v>
      </c>
      <c r="Z382" s="1">
        <v>5750</v>
      </c>
      <c r="AA382">
        <v>0</v>
      </c>
      <c r="AB382" t="str">
        <f t="shared" si="5"/>
        <v>Not Defaulter</v>
      </c>
      <c r="AC382" s="1">
        <f>Table2[[#This Row],[BILL_AMT1]]-Table2[[#This Row],[PAY_AMT1]]</f>
        <v>84855</v>
      </c>
      <c r="AD382" s="1" t="str" cm="1">
        <f t="array" ref="AD382">_xlfn.IFS(Table2[[#This Row],[PAYMENT GAP]]&lt;=0,"No Gap / Overpaid",Table2[[#This Row],[PAYMENT GAP]]&lt;=25000,"Low Gap",Table2[[#This Row],[PAYMENT GAP]]&lt;=100000,"Medium Gap",
TRUE,"High Gap"
)</f>
        <v>Medium Gap</v>
      </c>
    </row>
    <row r="383" spans="1:30" x14ac:dyDescent="0.3">
      <c r="A383">
        <v>382</v>
      </c>
      <c r="B383" s="1">
        <v>50000</v>
      </c>
      <c r="C383" s="1" t="str" cm="1">
        <f t="array" ref="C383">_xlfn.IFS(Table2[[#This Row],[LIMIT_BAL]]&lt;=100000,"Low",Table2[[#This Row],[LIMIT_BAL]]&lt;=300000,"Medium",
TRUE,"High"
)</f>
        <v>Low</v>
      </c>
      <c r="D383" t="s">
        <v>2041</v>
      </c>
      <c r="E383" t="s">
        <v>2043</v>
      </c>
      <c r="F383" t="s">
        <v>2028</v>
      </c>
      <c r="G383">
        <v>37</v>
      </c>
      <c r="H383" t="str" cm="1">
        <f t="array" ref="H383">_xlfn.IFS(
Table2[[#This Row],[AGE]]&lt;30,"Young",
Table2[[#This Row],[AGE]]&lt;40,"Middle Age",
Table2[[#This Row],[AGE]]&lt;50,"Senior",
TRUE,"Super Senior"
)</f>
        <v>Middle Age</v>
      </c>
      <c r="I383">
        <v>2</v>
      </c>
      <c r="J383">
        <v>2</v>
      </c>
      <c r="K383">
        <v>2</v>
      </c>
      <c r="L383">
        <v>0</v>
      </c>
      <c r="M383">
        <v>0</v>
      </c>
      <c r="N383">
        <v>0</v>
      </c>
      <c r="O383" s="1">
        <v>1894</v>
      </c>
      <c r="P383" s="1">
        <v>3200</v>
      </c>
      <c r="Q383" s="1">
        <v>3381</v>
      </c>
      <c r="R383" s="1">
        <v>3559</v>
      </c>
      <c r="S383" s="1">
        <v>1948</v>
      </c>
      <c r="T383" s="1">
        <v>2415</v>
      </c>
      <c r="U383" s="1">
        <v>1500</v>
      </c>
      <c r="V383" s="1">
        <v>400</v>
      </c>
      <c r="W383" s="1">
        <v>200</v>
      </c>
      <c r="X383" s="1">
        <v>500</v>
      </c>
      <c r="Y383" s="1">
        <v>500</v>
      </c>
      <c r="Z383" s="1">
        <v>400</v>
      </c>
      <c r="AA383">
        <v>1</v>
      </c>
      <c r="AB383" t="str">
        <f t="shared" si="5"/>
        <v>Defaulter</v>
      </c>
      <c r="AC383" s="1">
        <f>Table2[[#This Row],[BILL_AMT1]]-Table2[[#This Row],[PAY_AMT1]]</f>
        <v>394</v>
      </c>
      <c r="AD383" s="1" t="str" cm="1">
        <f t="array" ref="AD383">_xlfn.IFS(Table2[[#This Row],[PAYMENT GAP]]&lt;=0,"No Gap / Overpaid",Table2[[#This Row],[PAYMENT GAP]]&lt;=25000,"Low Gap",Table2[[#This Row],[PAYMENT GAP]]&lt;=100000,"Medium Gap",
TRUE,"High Gap"
)</f>
        <v>Low Gap</v>
      </c>
    </row>
    <row r="384" spans="1:30" x14ac:dyDescent="0.3">
      <c r="A384">
        <v>383</v>
      </c>
      <c r="B384" s="1">
        <v>140000</v>
      </c>
      <c r="C384" s="1" t="str" cm="1">
        <f t="array" ref="C384">_xlfn.IFS(Table2[[#This Row],[LIMIT_BAL]]&lt;=100000,"Low",Table2[[#This Row],[LIMIT_BAL]]&lt;=300000,"Medium",
TRUE,"High"
)</f>
        <v>Medium</v>
      </c>
      <c r="D384" t="s">
        <v>2042</v>
      </c>
      <c r="E384" t="s">
        <v>2027</v>
      </c>
      <c r="F384" t="s">
        <v>2028</v>
      </c>
      <c r="G384">
        <v>36</v>
      </c>
      <c r="H384" t="str" cm="1">
        <f t="array" ref="H384">_xlfn.IFS(
Table2[[#This Row],[AGE]]&lt;30,"Young",
Table2[[#This Row],[AGE]]&lt;40,"Middle Age",
Table2[[#This Row],[AGE]]&lt;50,"Senior",
TRUE,"Super Senior"
)</f>
        <v>Middle Age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 s="1">
        <v>100594</v>
      </c>
      <c r="P384" s="1">
        <v>78372</v>
      </c>
      <c r="Q384" s="1">
        <v>91502</v>
      </c>
      <c r="R384" s="1">
        <v>90859</v>
      </c>
      <c r="S384" s="1">
        <v>88616</v>
      </c>
      <c r="T384" s="1">
        <v>88450</v>
      </c>
      <c r="U384" s="1">
        <v>3000</v>
      </c>
      <c r="V384" s="1">
        <v>30000</v>
      </c>
      <c r="W384" s="1">
        <v>4000</v>
      </c>
      <c r="X384" s="1">
        <v>4000</v>
      </c>
      <c r="Y384" s="1">
        <v>3400</v>
      </c>
      <c r="Z384" s="1">
        <v>3300</v>
      </c>
      <c r="AA384">
        <v>0</v>
      </c>
      <c r="AB384" t="str">
        <f t="shared" si="5"/>
        <v>Not Defaulter</v>
      </c>
      <c r="AC384" s="1">
        <f>Table2[[#This Row],[BILL_AMT1]]-Table2[[#This Row],[PAY_AMT1]]</f>
        <v>97594</v>
      </c>
      <c r="AD384" s="1" t="str" cm="1">
        <f t="array" ref="AD384">_xlfn.IFS(Table2[[#This Row],[PAYMENT GAP]]&lt;=0,"No Gap / Overpaid",Table2[[#This Row],[PAYMENT GAP]]&lt;=25000,"Low Gap",Table2[[#This Row],[PAYMENT GAP]]&lt;=100000,"Medium Gap",
TRUE,"High Gap"
)</f>
        <v>Medium Gap</v>
      </c>
    </row>
    <row r="385" spans="1:30" x14ac:dyDescent="0.3">
      <c r="A385">
        <v>384</v>
      </c>
      <c r="B385" s="1">
        <v>170000</v>
      </c>
      <c r="C385" s="1" t="str" cm="1">
        <f t="array" ref="C385">_xlfn.IFS(Table2[[#This Row],[LIMIT_BAL]]&lt;=100000,"Low",Table2[[#This Row],[LIMIT_BAL]]&lt;=300000,"Medium",
TRUE,"High"
)</f>
        <v>Medium</v>
      </c>
      <c r="D385" t="s">
        <v>2041</v>
      </c>
      <c r="E385" t="s">
        <v>2043</v>
      </c>
      <c r="F385" t="s">
        <v>2029</v>
      </c>
      <c r="G385">
        <v>28</v>
      </c>
      <c r="H385" t="str" cm="1">
        <f t="array" ref="H385">_xlfn.IFS(
Table2[[#This Row],[AGE]]&lt;30,"Young",
Table2[[#This Row],[AGE]]&lt;40,"Middle Age",
Table2[[#This Row],[AGE]]&lt;50,"Senior",
TRUE,"Super Senior"
)</f>
        <v>Young</v>
      </c>
      <c r="I385">
        <v>-1</v>
      </c>
      <c r="J385">
        <v>0</v>
      </c>
      <c r="K385">
        <v>0</v>
      </c>
      <c r="L385">
        <v>2</v>
      </c>
      <c r="M385">
        <v>0</v>
      </c>
      <c r="N385">
        <v>0</v>
      </c>
      <c r="O385" s="1">
        <v>2948</v>
      </c>
      <c r="P385" s="1">
        <v>3848</v>
      </c>
      <c r="Q385" s="1">
        <v>5646</v>
      </c>
      <c r="R385" s="1">
        <v>5464</v>
      </c>
      <c r="S385" s="1">
        <v>5577</v>
      </c>
      <c r="T385" s="1">
        <v>5889</v>
      </c>
      <c r="U385" s="1">
        <v>1105</v>
      </c>
      <c r="V385" s="1">
        <v>1903</v>
      </c>
      <c r="W385" s="1">
        <v>0</v>
      </c>
      <c r="X385" s="1">
        <v>296</v>
      </c>
      <c r="Y385" s="1">
        <v>500</v>
      </c>
      <c r="Z385" s="1">
        <v>95</v>
      </c>
      <c r="AA385">
        <v>1</v>
      </c>
      <c r="AB385" t="str">
        <f t="shared" si="5"/>
        <v>Defaulter</v>
      </c>
      <c r="AC385" s="1">
        <f>Table2[[#This Row],[BILL_AMT1]]-Table2[[#This Row],[PAY_AMT1]]</f>
        <v>1843</v>
      </c>
      <c r="AD385" s="1" t="str" cm="1">
        <f t="array" ref="AD385">_xlfn.IFS(Table2[[#This Row],[PAYMENT GAP]]&lt;=0,"No Gap / Overpaid",Table2[[#This Row],[PAYMENT GAP]]&lt;=25000,"Low Gap",Table2[[#This Row],[PAYMENT GAP]]&lt;=100000,"Medium Gap",
TRUE,"High Gap"
)</f>
        <v>Low Gap</v>
      </c>
    </row>
    <row r="386" spans="1:30" x14ac:dyDescent="0.3">
      <c r="A386">
        <v>385</v>
      </c>
      <c r="B386" s="1">
        <v>80000</v>
      </c>
      <c r="C386" s="1" t="str" cm="1">
        <f t="array" ref="C386">_xlfn.IFS(Table2[[#This Row],[LIMIT_BAL]]&lt;=100000,"Low",Table2[[#This Row],[LIMIT_BAL]]&lt;=300000,"Medium",
TRUE,"High"
)</f>
        <v>Low</v>
      </c>
      <c r="D386" t="s">
        <v>2042</v>
      </c>
      <c r="E386" t="s">
        <v>2043</v>
      </c>
      <c r="F386" t="s">
        <v>2029</v>
      </c>
      <c r="G386">
        <v>25</v>
      </c>
      <c r="H386" t="str" cm="1">
        <f t="array" ref="H386">_xlfn.IFS(
Table2[[#This Row],[AGE]]&lt;30,"Young",
Table2[[#This Row],[AGE]]&lt;40,"Middle Age",
Table2[[#This Row],[AGE]]&lt;50,"Senior",
TRUE,"Super Senior"
)</f>
        <v>Young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-2</v>
      </c>
      <c r="O386" s="1">
        <v>22619</v>
      </c>
      <c r="P386" s="1">
        <v>31429</v>
      </c>
      <c r="Q386" s="1">
        <v>27923</v>
      </c>
      <c r="R386" s="1">
        <v>25280</v>
      </c>
      <c r="S386" s="1">
        <v>0</v>
      </c>
      <c r="T386" s="1">
        <v>0</v>
      </c>
      <c r="U386" s="1">
        <v>10010</v>
      </c>
      <c r="V386" s="1">
        <v>1209</v>
      </c>
      <c r="W386" s="1">
        <v>579</v>
      </c>
      <c r="X386" s="1">
        <v>0</v>
      </c>
      <c r="Y386" s="1">
        <v>0</v>
      </c>
      <c r="Z386" s="1">
        <v>6305</v>
      </c>
      <c r="AA386">
        <v>0</v>
      </c>
      <c r="AB386" t="str">
        <f t="shared" si="5"/>
        <v>Not Defaulter</v>
      </c>
      <c r="AC386" s="1">
        <f>Table2[[#This Row],[BILL_AMT1]]-Table2[[#This Row],[PAY_AMT1]]</f>
        <v>12609</v>
      </c>
      <c r="AD386" s="1" t="str" cm="1">
        <f t="array" ref="AD386">_xlfn.IFS(Table2[[#This Row],[PAYMENT GAP]]&lt;=0,"No Gap / Overpaid",Table2[[#This Row],[PAYMENT GAP]]&lt;=25000,"Low Gap",Table2[[#This Row],[PAYMENT GAP]]&lt;=100000,"Medium Gap",
TRUE,"High Gap"
)</f>
        <v>Low Gap</v>
      </c>
    </row>
    <row r="387" spans="1:30" x14ac:dyDescent="0.3">
      <c r="A387">
        <v>386</v>
      </c>
      <c r="B387" s="1">
        <v>410000</v>
      </c>
      <c r="C387" s="1" t="str" cm="1">
        <f t="array" ref="C387">_xlfn.IFS(Table2[[#This Row],[LIMIT_BAL]]&lt;=100000,"Low",Table2[[#This Row],[LIMIT_BAL]]&lt;=300000,"Medium",
TRUE,"High"
)</f>
        <v>High</v>
      </c>
      <c r="D387" t="s">
        <v>2041</v>
      </c>
      <c r="E387" t="s">
        <v>2044</v>
      </c>
      <c r="F387" t="s">
        <v>2028</v>
      </c>
      <c r="G387">
        <v>42</v>
      </c>
      <c r="H387" t="str" cm="1">
        <f t="array" ref="H387">_xlfn.IFS(
Table2[[#This Row],[AGE]]&lt;30,"Young",
Table2[[#This Row],[AGE]]&lt;40,"Middle Age",
Table2[[#This Row],[AGE]]&lt;50,"Senior",
TRUE,"Super Senior"
)</f>
        <v>Senior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 s="1">
        <v>338106</v>
      </c>
      <c r="P387" s="1">
        <v>342904</v>
      </c>
      <c r="Q387" s="1">
        <v>344464</v>
      </c>
      <c r="R387" s="1">
        <v>240865</v>
      </c>
      <c r="S387" s="1">
        <v>234939</v>
      </c>
      <c r="T387" s="1">
        <v>240176</v>
      </c>
      <c r="U387" s="1">
        <v>15000</v>
      </c>
      <c r="V387" s="1">
        <v>14000</v>
      </c>
      <c r="W387" s="1">
        <v>9000</v>
      </c>
      <c r="X387" s="1">
        <v>8500</v>
      </c>
      <c r="Y387" s="1">
        <v>9000</v>
      </c>
      <c r="Z387" s="1">
        <v>8300</v>
      </c>
      <c r="AA387">
        <v>0</v>
      </c>
      <c r="AB387" t="str">
        <f t="shared" ref="AB387:AB450" si="6">IF(AA387=1,"Defaulter","Not Defaulter")</f>
        <v>Not Defaulter</v>
      </c>
      <c r="AC387" s="1">
        <f>Table2[[#This Row],[BILL_AMT1]]-Table2[[#This Row],[PAY_AMT1]]</f>
        <v>323106</v>
      </c>
      <c r="AD387" s="1" t="str" cm="1">
        <f t="array" ref="AD387">_xlfn.IFS(Table2[[#This Row],[PAYMENT GAP]]&lt;=0,"No Gap / Overpaid",Table2[[#This Row],[PAYMENT GAP]]&lt;=25000,"Low Gap",Table2[[#This Row],[PAYMENT GAP]]&lt;=100000,"Medium Gap",
TRUE,"High Gap"
)</f>
        <v>High Gap</v>
      </c>
    </row>
    <row r="388" spans="1:30" x14ac:dyDescent="0.3">
      <c r="A388">
        <v>387</v>
      </c>
      <c r="B388" s="1">
        <v>80000</v>
      </c>
      <c r="C388" s="1" t="str" cm="1">
        <f t="array" ref="C388">_xlfn.IFS(Table2[[#This Row],[LIMIT_BAL]]&lt;=100000,"Low",Table2[[#This Row],[LIMIT_BAL]]&lt;=300000,"Medium",
TRUE,"High"
)</f>
        <v>Low</v>
      </c>
      <c r="D388" t="s">
        <v>2041</v>
      </c>
      <c r="E388" t="s">
        <v>2026</v>
      </c>
      <c r="F388" t="s">
        <v>2029</v>
      </c>
      <c r="G388">
        <v>29</v>
      </c>
      <c r="H388" t="str" cm="1">
        <f t="array" ref="H388">_xlfn.IFS(
Table2[[#This Row],[AGE]]&lt;30,"Young",
Table2[[#This Row],[AGE]]&lt;40,"Middle Age",
Table2[[#This Row],[AGE]]&lt;50,"Senior",
TRUE,"Super Senior"
)</f>
        <v>Young</v>
      </c>
      <c r="I388">
        <v>1</v>
      </c>
      <c r="J388">
        <v>-1</v>
      </c>
      <c r="K388">
        <v>-1</v>
      </c>
      <c r="L388">
        <v>-2</v>
      </c>
      <c r="M388">
        <v>-2</v>
      </c>
      <c r="N388">
        <v>-2</v>
      </c>
      <c r="O388" s="1">
        <v>0</v>
      </c>
      <c r="P388" s="1">
        <v>80000</v>
      </c>
      <c r="Q388" s="1">
        <v>0</v>
      </c>
      <c r="R388" s="1">
        <v>0</v>
      </c>
      <c r="S388" s="1">
        <v>0</v>
      </c>
      <c r="T388" s="1">
        <v>0</v>
      </c>
      <c r="U388" s="1">
        <v>80000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>
        <v>0</v>
      </c>
      <c r="AB388" t="str">
        <f t="shared" si="6"/>
        <v>Not Defaulter</v>
      </c>
      <c r="AC388" s="1">
        <f>Table2[[#This Row],[BILL_AMT1]]-Table2[[#This Row],[PAY_AMT1]]</f>
        <v>-80000</v>
      </c>
      <c r="AD388" s="1" t="str" cm="1">
        <f t="array" ref="AD388">_xlfn.IFS(Table2[[#This Row],[PAYMENT GAP]]&lt;=0,"No Gap / Overpaid",Table2[[#This Row],[PAYMENT GAP]]&lt;=25000,"Low Gap",Table2[[#This Row],[PAYMENT GAP]]&lt;=100000,"Medium Gap",
TRUE,"High Gap"
)</f>
        <v>No Gap / Overpaid</v>
      </c>
    </row>
    <row r="389" spans="1:30" x14ac:dyDescent="0.3">
      <c r="A389">
        <v>388</v>
      </c>
      <c r="B389" s="1">
        <v>80000</v>
      </c>
      <c r="C389" s="1" t="str" cm="1">
        <f t="array" ref="C389">_xlfn.IFS(Table2[[#This Row],[LIMIT_BAL]]&lt;=100000,"Low",Table2[[#This Row],[LIMIT_BAL]]&lt;=300000,"Medium",
TRUE,"High"
)</f>
        <v>Low</v>
      </c>
      <c r="D389" t="s">
        <v>2042</v>
      </c>
      <c r="E389" t="s">
        <v>2027</v>
      </c>
      <c r="F389" t="s">
        <v>2028</v>
      </c>
      <c r="G389">
        <v>73</v>
      </c>
      <c r="H389" t="str" cm="1">
        <f t="array" ref="H389">_xlfn.IFS(
Table2[[#This Row],[AGE]]&lt;30,"Young",
Table2[[#This Row],[AGE]]&lt;40,"Middle Age",
Table2[[#This Row],[AGE]]&lt;50,"Senior",
TRUE,"Super Senior"
)</f>
        <v>Super Senior</v>
      </c>
      <c r="I389">
        <v>-1</v>
      </c>
      <c r="J389">
        <v>0</v>
      </c>
      <c r="K389">
        <v>0</v>
      </c>
      <c r="L389">
        <v>2</v>
      </c>
      <c r="M389">
        <v>2</v>
      </c>
      <c r="N389">
        <v>2</v>
      </c>
      <c r="O389" s="1">
        <v>63144</v>
      </c>
      <c r="P389" s="1">
        <v>65631</v>
      </c>
      <c r="Q389" s="1">
        <v>68875</v>
      </c>
      <c r="R389" s="1">
        <v>70646</v>
      </c>
      <c r="S389" s="1">
        <v>72870</v>
      </c>
      <c r="T389" s="1">
        <v>75018</v>
      </c>
      <c r="U389" s="1">
        <v>3500</v>
      </c>
      <c r="V389" s="1">
        <v>4330</v>
      </c>
      <c r="W389" s="1">
        <v>3500</v>
      </c>
      <c r="X389" s="1">
        <v>3500</v>
      </c>
      <c r="Y389" s="1">
        <v>3500</v>
      </c>
      <c r="Z389" s="1">
        <v>5100</v>
      </c>
      <c r="AA389">
        <v>1</v>
      </c>
      <c r="AB389" t="str">
        <f t="shared" si="6"/>
        <v>Defaulter</v>
      </c>
      <c r="AC389" s="1">
        <f>Table2[[#This Row],[BILL_AMT1]]-Table2[[#This Row],[PAY_AMT1]]</f>
        <v>59644</v>
      </c>
      <c r="AD389" s="1" t="str" cm="1">
        <f t="array" ref="AD389">_xlfn.IFS(Table2[[#This Row],[PAYMENT GAP]]&lt;=0,"No Gap / Overpaid",Table2[[#This Row],[PAYMENT GAP]]&lt;=25000,"Low Gap",Table2[[#This Row],[PAYMENT GAP]]&lt;=100000,"Medium Gap",
TRUE,"High Gap"
)</f>
        <v>Medium Gap</v>
      </c>
    </row>
    <row r="390" spans="1:30" x14ac:dyDescent="0.3">
      <c r="A390">
        <v>389</v>
      </c>
      <c r="B390" s="1">
        <v>150000</v>
      </c>
      <c r="C390" s="1" t="str" cm="1">
        <f t="array" ref="C390">_xlfn.IFS(Table2[[#This Row],[LIMIT_BAL]]&lt;=100000,"Low",Table2[[#This Row],[LIMIT_BAL]]&lt;=300000,"Medium",
TRUE,"High"
)</f>
        <v>Medium</v>
      </c>
      <c r="D390" t="s">
        <v>2042</v>
      </c>
      <c r="E390" t="s">
        <v>2043</v>
      </c>
      <c r="F390" t="s">
        <v>2028</v>
      </c>
      <c r="G390">
        <v>43</v>
      </c>
      <c r="H390" t="str" cm="1">
        <f t="array" ref="H390">_xlfn.IFS(
Table2[[#This Row],[AGE]]&lt;30,"Young",
Table2[[#This Row],[AGE]]&lt;40,"Middle Age",
Table2[[#This Row],[AGE]]&lt;50,"Senior",
TRUE,"Super Senior"
)</f>
        <v>Senior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 s="1">
        <v>153249</v>
      </c>
      <c r="P390" s="1">
        <v>154049</v>
      </c>
      <c r="Q390" s="1">
        <v>156523</v>
      </c>
      <c r="R390" s="1">
        <v>159653</v>
      </c>
      <c r="S390" s="1">
        <v>162866</v>
      </c>
      <c r="T390" s="1">
        <v>157759</v>
      </c>
      <c r="U390" s="1">
        <v>7900</v>
      </c>
      <c r="V390" s="1">
        <v>6500</v>
      </c>
      <c r="W390" s="1">
        <v>5700</v>
      </c>
      <c r="X390" s="1">
        <v>5700</v>
      </c>
      <c r="Y390" s="1">
        <v>5700</v>
      </c>
      <c r="Z390" s="1">
        <v>5334</v>
      </c>
      <c r="AA390">
        <v>0</v>
      </c>
      <c r="AB390" t="str">
        <f t="shared" si="6"/>
        <v>Not Defaulter</v>
      </c>
      <c r="AC390" s="1">
        <f>Table2[[#This Row],[BILL_AMT1]]-Table2[[#This Row],[PAY_AMT1]]</f>
        <v>145349</v>
      </c>
      <c r="AD390" s="1" t="str" cm="1">
        <f t="array" ref="AD390">_xlfn.IFS(Table2[[#This Row],[PAYMENT GAP]]&lt;=0,"No Gap / Overpaid",Table2[[#This Row],[PAYMENT GAP]]&lt;=25000,"Low Gap",Table2[[#This Row],[PAYMENT GAP]]&lt;=100000,"Medium Gap",
TRUE,"High Gap"
)</f>
        <v>High Gap</v>
      </c>
    </row>
    <row r="391" spans="1:30" x14ac:dyDescent="0.3">
      <c r="A391">
        <v>390</v>
      </c>
      <c r="B391" s="1">
        <v>260000</v>
      </c>
      <c r="C391" s="1" t="str" cm="1">
        <f t="array" ref="C391">_xlfn.IFS(Table2[[#This Row],[LIMIT_BAL]]&lt;=100000,"Low",Table2[[#This Row],[LIMIT_BAL]]&lt;=300000,"Medium",
TRUE,"High"
)</f>
        <v>Medium</v>
      </c>
      <c r="D391" t="s">
        <v>2042</v>
      </c>
      <c r="E391" t="s">
        <v>2026</v>
      </c>
      <c r="F391" t="s">
        <v>2028</v>
      </c>
      <c r="G391">
        <v>30</v>
      </c>
      <c r="H391" t="str" cm="1">
        <f t="array" ref="H391">_xlfn.IFS(
Table2[[#This Row],[AGE]]&lt;30,"Young",
Table2[[#This Row],[AGE]]&lt;40,"Middle Age",
Table2[[#This Row],[AGE]]&lt;50,"Senior",
TRUE,"Super Senior"
)</f>
        <v>Middle Age</v>
      </c>
      <c r="I391">
        <v>-1</v>
      </c>
      <c r="J391">
        <v>-1</v>
      </c>
      <c r="K391">
        <v>-1</v>
      </c>
      <c r="L391">
        <v>0</v>
      </c>
      <c r="M391">
        <v>0</v>
      </c>
      <c r="N391">
        <v>-1</v>
      </c>
      <c r="O391" s="1">
        <v>1131</v>
      </c>
      <c r="P391" s="1">
        <v>291</v>
      </c>
      <c r="Q391" s="1">
        <v>582</v>
      </c>
      <c r="R391" s="1">
        <v>291</v>
      </c>
      <c r="S391" s="1">
        <v>0</v>
      </c>
      <c r="T391" s="1">
        <v>291</v>
      </c>
      <c r="U391" s="1">
        <v>291</v>
      </c>
      <c r="V391" s="1">
        <v>582</v>
      </c>
      <c r="W391" s="1">
        <v>0</v>
      </c>
      <c r="X391" s="1">
        <v>0</v>
      </c>
      <c r="Y391" s="1">
        <v>130291</v>
      </c>
      <c r="Z391" s="1">
        <v>651</v>
      </c>
      <c r="AA391">
        <v>1</v>
      </c>
      <c r="AB391" t="str">
        <f t="shared" si="6"/>
        <v>Defaulter</v>
      </c>
      <c r="AC391" s="1">
        <f>Table2[[#This Row],[BILL_AMT1]]-Table2[[#This Row],[PAY_AMT1]]</f>
        <v>840</v>
      </c>
      <c r="AD391" s="1" t="str" cm="1">
        <f t="array" ref="AD391">_xlfn.IFS(Table2[[#This Row],[PAYMENT GAP]]&lt;=0,"No Gap / Overpaid",Table2[[#This Row],[PAYMENT GAP]]&lt;=25000,"Low Gap",Table2[[#This Row],[PAYMENT GAP]]&lt;=100000,"Medium Gap",
TRUE,"High Gap"
)</f>
        <v>Low Gap</v>
      </c>
    </row>
    <row r="392" spans="1:30" x14ac:dyDescent="0.3">
      <c r="A392">
        <v>391</v>
      </c>
      <c r="B392" s="1">
        <v>350000</v>
      </c>
      <c r="C392" s="1" t="str" cm="1">
        <f t="array" ref="C392">_xlfn.IFS(Table2[[#This Row],[LIMIT_BAL]]&lt;=100000,"Low",Table2[[#This Row],[LIMIT_BAL]]&lt;=300000,"Medium",
TRUE,"High"
)</f>
        <v>High</v>
      </c>
      <c r="D392" t="s">
        <v>2042</v>
      </c>
      <c r="E392" t="s">
        <v>2026</v>
      </c>
      <c r="F392" t="s">
        <v>2028</v>
      </c>
      <c r="G392">
        <v>38</v>
      </c>
      <c r="H392" t="str" cm="1">
        <f t="array" ref="H392">_xlfn.IFS(
Table2[[#This Row],[AGE]]&lt;30,"Young",
Table2[[#This Row],[AGE]]&lt;40,"Middle Age",
Table2[[#This Row],[AGE]]&lt;50,"Senior",
TRUE,"Super Senior"
)</f>
        <v>Middle Age</v>
      </c>
      <c r="I392">
        <v>1</v>
      </c>
      <c r="J392">
        <v>-2</v>
      </c>
      <c r="K392">
        <v>-2</v>
      </c>
      <c r="L392">
        <v>-2</v>
      </c>
      <c r="M392">
        <v>-2</v>
      </c>
      <c r="N392">
        <v>-2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>
        <v>0</v>
      </c>
      <c r="AB392" t="str">
        <f t="shared" si="6"/>
        <v>Not Defaulter</v>
      </c>
      <c r="AC392" s="1">
        <f>Table2[[#This Row],[BILL_AMT1]]-Table2[[#This Row],[PAY_AMT1]]</f>
        <v>0</v>
      </c>
      <c r="AD392" s="1" t="str" cm="1">
        <f t="array" ref="AD392">_xlfn.IFS(Table2[[#This Row],[PAYMENT GAP]]&lt;=0,"No Gap / Overpaid",Table2[[#This Row],[PAYMENT GAP]]&lt;=25000,"Low Gap",Table2[[#This Row],[PAYMENT GAP]]&lt;=100000,"Medium Gap",
TRUE,"High Gap"
)</f>
        <v>No Gap / Overpaid</v>
      </c>
    </row>
    <row r="393" spans="1:30" x14ac:dyDescent="0.3">
      <c r="A393">
        <v>392</v>
      </c>
      <c r="B393" s="1">
        <v>280000</v>
      </c>
      <c r="C393" s="1" t="str" cm="1">
        <f t="array" ref="C393">_xlfn.IFS(Table2[[#This Row],[LIMIT_BAL]]&lt;=100000,"Low",Table2[[#This Row],[LIMIT_BAL]]&lt;=300000,"Medium",
TRUE,"High"
)</f>
        <v>Medium</v>
      </c>
      <c r="D393" t="s">
        <v>2041</v>
      </c>
      <c r="E393" t="s">
        <v>2043</v>
      </c>
      <c r="F393" t="s">
        <v>2028</v>
      </c>
      <c r="G393">
        <v>39</v>
      </c>
      <c r="H393" t="str" cm="1">
        <f t="array" ref="H393">_xlfn.IFS(
Table2[[#This Row],[AGE]]&lt;30,"Young",
Table2[[#This Row],[AGE]]&lt;40,"Middle Age",
Table2[[#This Row],[AGE]]&lt;50,"Senior",
TRUE,"Super Senior"
)</f>
        <v>Middle Age</v>
      </c>
      <c r="I393">
        <v>1</v>
      </c>
      <c r="J393">
        <v>-1</v>
      </c>
      <c r="K393">
        <v>0</v>
      </c>
      <c r="L393">
        <v>0</v>
      </c>
      <c r="M393">
        <v>0</v>
      </c>
      <c r="N393">
        <v>0</v>
      </c>
      <c r="O393" s="1">
        <v>-1312</v>
      </c>
      <c r="P393" s="1">
        <v>35918</v>
      </c>
      <c r="Q393" s="1">
        <v>37297</v>
      </c>
      <c r="R393" s="1">
        <v>37154</v>
      </c>
      <c r="S393" s="1">
        <v>32581</v>
      </c>
      <c r="T393" s="1">
        <v>33316</v>
      </c>
      <c r="U393" s="1">
        <v>38621</v>
      </c>
      <c r="V393" s="1">
        <v>2000</v>
      </c>
      <c r="W393" s="1">
        <v>1130</v>
      </c>
      <c r="X393" s="1">
        <v>922</v>
      </c>
      <c r="Y393" s="1">
        <v>1011</v>
      </c>
      <c r="Z393" s="1">
        <v>5000</v>
      </c>
      <c r="AA393">
        <v>1</v>
      </c>
      <c r="AB393" t="str">
        <f t="shared" si="6"/>
        <v>Defaulter</v>
      </c>
      <c r="AC393" s="1">
        <f>Table2[[#This Row],[BILL_AMT1]]-Table2[[#This Row],[PAY_AMT1]]</f>
        <v>-39933</v>
      </c>
      <c r="AD393" s="1" t="str" cm="1">
        <f t="array" ref="AD393">_xlfn.IFS(Table2[[#This Row],[PAYMENT GAP]]&lt;=0,"No Gap / Overpaid",Table2[[#This Row],[PAYMENT GAP]]&lt;=25000,"Low Gap",Table2[[#This Row],[PAYMENT GAP]]&lt;=100000,"Medium Gap",
TRUE,"High Gap"
)</f>
        <v>No Gap / Overpaid</v>
      </c>
    </row>
    <row r="394" spans="1:30" x14ac:dyDescent="0.3">
      <c r="A394">
        <v>393</v>
      </c>
      <c r="B394" s="1">
        <v>310000</v>
      </c>
      <c r="C394" s="1" t="str" cm="1">
        <f t="array" ref="C394">_xlfn.IFS(Table2[[#This Row],[LIMIT_BAL]]&lt;=100000,"Low",Table2[[#This Row],[LIMIT_BAL]]&lt;=300000,"Medium",
TRUE,"High"
)</f>
        <v>High</v>
      </c>
      <c r="D394" t="s">
        <v>2042</v>
      </c>
      <c r="E394" t="s">
        <v>2043</v>
      </c>
      <c r="F394" t="s">
        <v>2028</v>
      </c>
      <c r="G394">
        <v>44</v>
      </c>
      <c r="H394" t="str" cm="1">
        <f t="array" ref="H394">_xlfn.IFS(
Table2[[#This Row],[AGE]]&lt;30,"Young",
Table2[[#This Row],[AGE]]&lt;40,"Middle Age",
Table2[[#This Row],[AGE]]&lt;50,"Senior",
TRUE,"Super Senior"
)</f>
        <v>Senior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 s="1">
        <v>103797</v>
      </c>
      <c r="P394" s="1">
        <v>91989</v>
      </c>
      <c r="Q394" s="1">
        <v>87720</v>
      </c>
      <c r="R394" s="1">
        <v>76218</v>
      </c>
      <c r="S394" s="1">
        <v>72090</v>
      </c>
      <c r="T394" s="1">
        <v>71620</v>
      </c>
      <c r="U394" s="1">
        <v>4400</v>
      </c>
      <c r="V394" s="1">
        <v>4013</v>
      </c>
      <c r="W394" s="1">
        <v>3011</v>
      </c>
      <c r="X394" s="1">
        <v>3000</v>
      </c>
      <c r="Y394" s="1">
        <v>3001</v>
      </c>
      <c r="Z394" s="1">
        <v>2653</v>
      </c>
      <c r="AA394">
        <v>0</v>
      </c>
      <c r="AB394" t="str">
        <f t="shared" si="6"/>
        <v>Not Defaulter</v>
      </c>
      <c r="AC394" s="1">
        <f>Table2[[#This Row],[BILL_AMT1]]-Table2[[#This Row],[PAY_AMT1]]</f>
        <v>99397</v>
      </c>
      <c r="AD394" s="1" t="str" cm="1">
        <f t="array" ref="AD394">_xlfn.IFS(Table2[[#This Row],[PAYMENT GAP]]&lt;=0,"No Gap / Overpaid",Table2[[#This Row],[PAYMENT GAP]]&lt;=25000,"Low Gap",Table2[[#This Row],[PAYMENT GAP]]&lt;=100000,"Medium Gap",
TRUE,"High Gap"
)</f>
        <v>Medium Gap</v>
      </c>
    </row>
    <row r="395" spans="1:30" x14ac:dyDescent="0.3">
      <c r="A395">
        <v>394</v>
      </c>
      <c r="B395" s="1">
        <v>140000</v>
      </c>
      <c r="C395" s="1" t="str" cm="1">
        <f t="array" ref="C395">_xlfn.IFS(Table2[[#This Row],[LIMIT_BAL]]&lt;=100000,"Low",Table2[[#This Row],[LIMIT_BAL]]&lt;=300000,"Medium",
TRUE,"High"
)</f>
        <v>Medium</v>
      </c>
      <c r="D395" t="s">
        <v>2041</v>
      </c>
      <c r="E395" t="s">
        <v>2043</v>
      </c>
      <c r="F395" t="s">
        <v>2029</v>
      </c>
      <c r="G395">
        <v>29</v>
      </c>
      <c r="H395" t="str" cm="1">
        <f t="array" ref="H395">_xlfn.IFS(
Table2[[#This Row],[AGE]]&lt;30,"Young",
Table2[[#This Row],[AGE]]&lt;40,"Middle Age",
Table2[[#This Row],[AGE]]&lt;50,"Senior",
TRUE,"Super Senior"
)</f>
        <v>Young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 s="1">
        <v>20110</v>
      </c>
      <c r="P395" s="1">
        <v>17102</v>
      </c>
      <c r="Q395" s="1">
        <v>18862</v>
      </c>
      <c r="R395" s="1">
        <v>19996</v>
      </c>
      <c r="S395" s="1">
        <v>21214</v>
      </c>
      <c r="T395" s="1">
        <v>21085</v>
      </c>
      <c r="U395" s="1">
        <v>3000</v>
      </c>
      <c r="V395" s="1">
        <v>3000</v>
      </c>
      <c r="W395" s="1">
        <v>3000</v>
      </c>
      <c r="X395" s="1">
        <v>3500</v>
      </c>
      <c r="Y395" s="1">
        <v>2000</v>
      </c>
      <c r="Z395" s="1">
        <v>2000</v>
      </c>
      <c r="AA395">
        <v>0</v>
      </c>
      <c r="AB395" t="str">
        <f t="shared" si="6"/>
        <v>Not Defaulter</v>
      </c>
      <c r="AC395" s="1">
        <f>Table2[[#This Row],[BILL_AMT1]]-Table2[[#This Row],[PAY_AMT1]]</f>
        <v>17110</v>
      </c>
      <c r="AD395" s="1" t="str" cm="1">
        <f t="array" ref="AD395">_xlfn.IFS(Table2[[#This Row],[PAYMENT GAP]]&lt;=0,"No Gap / Overpaid",Table2[[#This Row],[PAYMENT GAP]]&lt;=25000,"Low Gap",Table2[[#This Row],[PAYMENT GAP]]&lt;=100000,"Medium Gap",
TRUE,"High Gap"
)</f>
        <v>Low Gap</v>
      </c>
    </row>
    <row r="396" spans="1:30" x14ac:dyDescent="0.3">
      <c r="A396">
        <v>395</v>
      </c>
      <c r="B396" s="1">
        <v>360000</v>
      </c>
      <c r="C396" s="1" t="str" cm="1">
        <f t="array" ref="C396">_xlfn.IFS(Table2[[#This Row],[LIMIT_BAL]]&lt;=100000,"Low",Table2[[#This Row],[LIMIT_BAL]]&lt;=300000,"Medium",
TRUE,"High"
)</f>
        <v>High</v>
      </c>
      <c r="D396" t="s">
        <v>2042</v>
      </c>
      <c r="E396" t="s">
        <v>2026</v>
      </c>
      <c r="F396" t="s">
        <v>2028</v>
      </c>
      <c r="G396">
        <v>51</v>
      </c>
      <c r="H396" t="str" cm="1">
        <f t="array" ref="H396">_xlfn.IFS(
Table2[[#This Row],[AGE]]&lt;30,"Young",
Table2[[#This Row],[AGE]]&lt;40,"Middle Age",
Table2[[#This Row],[AGE]]&lt;50,"Senior",
TRUE,"Super Senior"
)</f>
        <v>Super Senior</v>
      </c>
      <c r="I396">
        <v>-1</v>
      </c>
      <c r="J396">
        <v>-1</v>
      </c>
      <c r="K396">
        <v>-1</v>
      </c>
      <c r="L396">
        <v>-2</v>
      </c>
      <c r="M396">
        <v>-2</v>
      </c>
      <c r="N396">
        <v>-2</v>
      </c>
      <c r="O396" s="1">
        <v>38000</v>
      </c>
      <c r="P396" s="1">
        <v>25000</v>
      </c>
      <c r="Q396" s="1">
        <v>0</v>
      </c>
      <c r="R396" s="1">
        <v>0</v>
      </c>
      <c r="S396" s="1">
        <v>0</v>
      </c>
      <c r="T396" s="1">
        <v>0</v>
      </c>
      <c r="U396" s="1">
        <v>25000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>
        <v>0</v>
      </c>
      <c r="AB396" t="str">
        <f t="shared" si="6"/>
        <v>Not Defaulter</v>
      </c>
      <c r="AC396" s="1">
        <f>Table2[[#This Row],[BILL_AMT1]]-Table2[[#This Row],[PAY_AMT1]]</f>
        <v>13000</v>
      </c>
      <c r="AD396" s="1" t="str" cm="1">
        <f t="array" ref="AD396">_xlfn.IFS(Table2[[#This Row],[PAYMENT GAP]]&lt;=0,"No Gap / Overpaid",Table2[[#This Row],[PAYMENT GAP]]&lt;=25000,"Low Gap",Table2[[#This Row],[PAYMENT GAP]]&lt;=100000,"Medium Gap",
TRUE,"High Gap"
)</f>
        <v>Low Gap</v>
      </c>
    </row>
    <row r="397" spans="1:30" x14ac:dyDescent="0.3">
      <c r="A397">
        <v>396</v>
      </c>
      <c r="B397" s="1">
        <v>140000</v>
      </c>
      <c r="C397" s="1" t="str" cm="1">
        <f t="array" ref="C397">_xlfn.IFS(Table2[[#This Row],[LIMIT_BAL]]&lt;=100000,"Low",Table2[[#This Row],[LIMIT_BAL]]&lt;=300000,"Medium",
TRUE,"High"
)</f>
        <v>Medium</v>
      </c>
      <c r="D397" t="s">
        <v>2041</v>
      </c>
      <c r="E397" t="s">
        <v>2026</v>
      </c>
      <c r="F397" t="s">
        <v>2029</v>
      </c>
      <c r="G397">
        <v>27</v>
      </c>
      <c r="H397" t="str" cm="1">
        <f t="array" ref="H397">_xlfn.IFS(
Table2[[#This Row],[AGE]]&lt;30,"Young",
Table2[[#This Row],[AGE]]&lt;40,"Middle Age",
Table2[[#This Row],[AGE]]&lt;50,"Senior",
TRUE,"Super Senior"
)</f>
        <v>Young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 s="1">
        <v>142428</v>
      </c>
      <c r="P397" s="1">
        <v>144105</v>
      </c>
      <c r="Q397" s="1">
        <v>143952</v>
      </c>
      <c r="R397" s="1">
        <v>142590</v>
      </c>
      <c r="S397" s="1">
        <v>142650</v>
      </c>
      <c r="T397" s="1">
        <v>142620</v>
      </c>
      <c r="U397" s="1">
        <v>10000</v>
      </c>
      <c r="V397" s="1">
        <v>10000</v>
      </c>
      <c r="W397" s="1">
        <v>6000</v>
      </c>
      <c r="X397" s="1">
        <v>6000</v>
      </c>
      <c r="Y397" s="1">
        <v>6000</v>
      </c>
      <c r="Z397" s="1">
        <v>5600</v>
      </c>
      <c r="AA397">
        <v>0</v>
      </c>
      <c r="AB397" t="str">
        <f t="shared" si="6"/>
        <v>Not Defaulter</v>
      </c>
      <c r="AC397" s="1">
        <f>Table2[[#This Row],[BILL_AMT1]]-Table2[[#This Row],[PAY_AMT1]]</f>
        <v>132428</v>
      </c>
      <c r="AD397" s="1" t="str" cm="1">
        <f t="array" ref="AD397">_xlfn.IFS(Table2[[#This Row],[PAYMENT GAP]]&lt;=0,"No Gap / Overpaid",Table2[[#This Row],[PAYMENT GAP]]&lt;=25000,"Low Gap",Table2[[#This Row],[PAYMENT GAP]]&lt;=100000,"Medium Gap",
TRUE,"High Gap"
)</f>
        <v>High Gap</v>
      </c>
    </row>
    <row r="398" spans="1:30" x14ac:dyDescent="0.3">
      <c r="A398">
        <v>397</v>
      </c>
      <c r="B398" s="1">
        <v>100000</v>
      </c>
      <c r="C398" s="1" t="str" cm="1">
        <f t="array" ref="C398">_xlfn.IFS(Table2[[#This Row],[LIMIT_BAL]]&lt;=100000,"Low",Table2[[#This Row],[LIMIT_BAL]]&lt;=300000,"Medium",
TRUE,"High"
)</f>
        <v>Low</v>
      </c>
      <c r="D398" t="s">
        <v>2042</v>
      </c>
      <c r="E398" t="s">
        <v>2026</v>
      </c>
      <c r="F398" t="s">
        <v>2029</v>
      </c>
      <c r="G398">
        <v>38</v>
      </c>
      <c r="H398" t="str" cm="1">
        <f t="array" ref="H398">_xlfn.IFS(
Table2[[#This Row],[AGE]]&lt;30,"Young",
Table2[[#This Row],[AGE]]&lt;40,"Middle Age",
Table2[[#This Row],[AGE]]&lt;50,"Senior",
TRUE,"Super Senior"
)</f>
        <v>Middle Age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s="1">
        <v>40810</v>
      </c>
      <c r="P398" s="1">
        <v>42653</v>
      </c>
      <c r="Q398" s="1">
        <v>42351</v>
      </c>
      <c r="R398" s="1">
        <v>43011</v>
      </c>
      <c r="S398" s="1">
        <v>43011</v>
      </c>
      <c r="T398" s="1">
        <v>28947</v>
      </c>
      <c r="U398" s="1">
        <v>2502</v>
      </c>
      <c r="V398" s="1">
        <v>1200</v>
      </c>
      <c r="W398" s="1">
        <v>860</v>
      </c>
      <c r="X398" s="1">
        <v>0</v>
      </c>
      <c r="Y398" s="1">
        <v>579</v>
      </c>
      <c r="Z398" s="1">
        <v>0</v>
      </c>
      <c r="AA398">
        <v>0</v>
      </c>
      <c r="AB398" t="str">
        <f t="shared" si="6"/>
        <v>Not Defaulter</v>
      </c>
      <c r="AC398" s="1">
        <f>Table2[[#This Row],[BILL_AMT1]]-Table2[[#This Row],[PAY_AMT1]]</f>
        <v>38308</v>
      </c>
      <c r="AD398" s="1" t="str" cm="1">
        <f t="array" ref="AD398">_xlfn.IFS(Table2[[#This Row],[PAYMENT GAP]]&lt;=0,"No Gap / Overpaid",Table2[[#This Row],[PAYMENT GAP]]&lt;=25000,"Low Gap",Table2[[#This Row],[PAYMENT GAP]]&lt;=100000,"Medium Gap",
TRUE,"High Gap"
)</f>
        <v>Medium Gap</v>
      </c>
    </row>
    <row r="399" spans="1:30" x14ac:dyDescent="0.3">
      <c r="A399">
        <v>398</v>
      </c>
      <c r="B399" s="1">
        <v>50000</v>
      </c>
      <c r="C399" s="1" t="str" cm="1">
        <f t="array" ref="C399">_xlfn.IFS(Table2[[#This Row],[LIMIT_BAL]]&lt;=100000,"Low",Table2[[#This Row],[LIMIT_BAL]]&lt;=300000,"Medium",
TRUE,"High"
)</f>
        <v>Low</v>
      </c>
      <c r="D399" t="s">
        <v>2041</v>
      </c>
      <c r="E399" t="s">
        <v>2043</v>
      </c>
      <c r="F399" t="s">
        <v>2029</v>
      </c>
      <c r="G399">
        <v>22</v>
      </c>
      <c r="H399" t="str" cm="1">
        <f t="array" ref="H399">_xlfn.IFS(
Table2[[#This Row],[AGE]]&lt;30,"Young",
Table2[[#This Row],[AGE]]&lt;40,"Middle Age",
Table2[[#This Row],[AGE]]&lt;50,"Senior",
TRUE,"Super Senior"
)</f>
        <v>Young</v>
      </c>
      <c r="I399">
        <v>-2</v>
      </c>
      <c r="J399">
        <v>-2</v>
      </c>
      <c r="K399">
        <v>-2</v>
      </c>
      <c r="L399">
        <v>-2</v>
      </c>
      <c r="M399">
        <v>-2</v>
      </c>
      <c r="N399">
        <v>-2</v>
      </c>
      <c r="O399" s="1">
        <v>0</v>
      </c>
      <c r="P399" s="1">
        <v>0</v>
      </c>
      <c r="Q399" s="1">
        <v>0</v>
      </c>
      <c r="R399" s="1">
        <v>848</v>
      </c>
      <c r="S399" s="1">
        <v>0</v>
      </c>
      <c r="T399" s="1">
        <v>632</v>
      </c>
      <c r="U399" s="1">
        <v>0</v>
      </c>
      <c r="V399" s="1">
        <v>0</v>
      </c>
      <c r="W399" s="1">
        <v>848</v>
      </c>
      <c r="X399" s="1">
        <v>0</v>
      </c>
      <c r="Y399" s="1">
        <v>632</v>
      </c>
      <c r="Z399" s="1">
        <v>0</v>
      </c>
      <c r="AA399">
        <v>0</v>
      </c>
      <c r="AB399" t="str">
        <f t="shared" si="6"/>
        <v>Not Defaulter</v>
      </c>
      <c r="AC399" s="1">
        <f>Table2[[#This Row],[BILL_AMT1]]-Table2[[#This Row],[PAY_AMT1]]</f>
        <v>0</v>
      </c>
      <c r="AD399" s="1" t="str" cm="1">
        <f t="array" ref="AD399">_xlfn.IFS(Table2[[#This Row],[PAYMENT GAP]]&lt;=0,"No Gap / Overpaid",Table2[[#This Row],[PAYMENT GAP]]&lt;=25000,"Low Gap",Table2[[#This Row],[PAYMENT GAP]]&lt;=100000,"Medium Gap",
TRUE,"High Gap"
)</f>
        <v>No Gap / Overpaid</v>
      </c>
    </row>
    <row r="400" spans="1:30" x14ac:dyDescent="0.3">
      <c r="A400">
        <v>399</v>
      </c>
      <c r="B400" s="1">
        <v>210000</v>
      </c>
      <c r="C400" s="1" t="str" cm="1">
        <f t="array" ref="C400">_xlfn.IFS(Table2[[#This Row],[LIMIT_BAL]]&lt;=100000,"Low",Table2[[#This Row],[LIMIT_BAL]]&lt;=300000,"Medium",
TRUE,"High"
)</f>
        <v>Medium</v>
      </c>
      <c r="D400" t="s">
        <v>2041</v>
      </c>
      <c r="E400" t="s">
        <v>2043</v>
      </c>
      <c r="F400" t="s">
        <v>2028</v>
      </c>
      <c r="G400">
        <v>30</v>
      </c>
      <c r="H400" t="str" cm="1">
        <f t="array" ref="H400">_xlfn.IFS(
Table2[[#This Row],[AGE]]&lt;30,"Young",
Table2[[#This Row],[AGE]]&lt;40,"Middle Age",
Table2[[#This Row],[AGE]]&lt;50,"Senior",
TRUE,"Super Senior"
)</f>
        <v>Middle Age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 s="1">
        <v>104701</v>
      </c>
      <c r="P400" s="1">
        <v>106134</v>
      </c>
      <c r="Q400" s="1">
        <v>108423</v>
      </c>
      <c r="R400" s="1">
        <v>91143</v>
      </c>
      <c r="S400" s="1">
        <v>82733</v>
      </c>
      <c r="T400" s="1">
        <v>74125</v>
      </c>
      <c r="U400" s="1">
        <v>4002</v>
      </c>
      <c r="V400" s="1">
        <v>5000</v>
      </c>
      <c r="W400" s="1">
        <v>3500</v>
      </c>
      <c r="X400" s="1">
        <v>3000</v>
      </c>
      <c r="Y400" s="1">
        <v>2700</v>
      </c>
      <c r="Z400" s="1">
        <v>5000</v>
      </c>
      <c r="AA400">
        <v>0</v>
      </c>
      <c r="AB400" t="str">
        <f t="shared" si="6"/>
        <v>Not Defaulter</v>
      </c>
      <c r="AC400" s="1">
        <f>Table2[[#This Row],[BILL_AMT1]]-Table2[[#This Row],[PAY_AMT1]]</f>
        <v>100699</v>
      </c>
      <c r="AD400" s="1" t="str" cm="1">
        <f t="array" ref="AD400">_xlfn.IFS(Table2[[#This Row],[PAYMENT GAP]]&lt;=0,"No Gap / Overpaid",Table2[[#This Row],[PAYMENT GAP]]&lt;=25000,"Low Gap",Table2[[#This Row],[PAYMENT GAP]]&lt;=100000,"Medium Gap",
TRUE,"High Gap"
)</f>
        <v>High Gap</v>
      </c>
    </row>
    <row r="401" spans="1:30" x14ac:dyDescent="0.3">
      <c r="A401">
        <v>400</v>
      </c>
      <c r="B401" s="1">
        <v>120000</v>
      </c>
      <c r="C401" s="1" t="str" cm="1">
        <f t="array" ref="C401">_xlfn.IFS(Table2[[#This Row],[LIMIT_BAL]]&lt;=100000,"Low",Table2[[#This Row],[LIMIT_BAL]]&lt;=300000,"Medium",
TRUE,"High"
)</f>
        <v>Medium</v>
      </c>
      <c r="D401" t="s">
        <v>2041</v>
      </c>
      <c r="E401" t="s">
        <v>2043</v>
      </c>
      <c r="F401" t="s">
        <v>2029</v>
      </c>
      <c r="G401">
        <v>25</v>
      </c>
      <c r="H401" t="str" cm="1">
        <f t="array" ref="H401">_xlfn.IFS(
Table2[[#This Row],[AGE]]&lt;30,"Young",
Table2[[#This Row],[AGE]]&lt;40,"Middle Age",
Table2[[#This Row],[AGE]]&lt;50,"Senior",
TRUE,"Super Senior"
)</f>
        <v>Young</v>
      </c>
      <c r="I401">
        <v>2</v>
      </c>
      <c r="J401">
        <v>2</v>
      </c>
      <c r="K401">
        <v>2</v>
      </c>
      <c r="L401">
        <v>2</v>
      </c>
      <c r="M401">
        <v>2</v>
      </c>
      <c r="N401">
        <v>2</v>
      </c>
      <c r="O401" s="1">
        <v>120298</v>
      </c>
      <c r="P401" s="1">
        <v>120822</v>
      </c>
      <c r="Q401" s="1">
        <v>109887</v>
      </c>
      <c r="R401" s="1">
        <v>116313</v>
      </c>
      <c r="S401" s="1">
        <v>119311</v>
      </c>
      <c r="T401" s="1">
        <v>117167</v>
      </c>
      <c r="U401" s="1">
        <v>4007</v>
      </c>
      <c r="V401" s="1">
        <v>0</v>
      </c>
      <c r="W401" s="1">
        <v>8272</v>
      </c>
      <c r="X401" s="1">
        <v>5000</v>
      </c>
      <c r="Y401" s="1">
        <v>0</v>
      </c>
      <c r="Z401" s="1">
        <v>4400</v>
      </c>
      <c r="AA401">
        <v>0</v>
      </c>
      <c r="AB401" t="str">
        <f t="shared" si="6"/>
        <v>Not Defaulter</v>
      </c>
      <c r="AC401" s="1">
        <f>Table2[[#This Row],[BILL_AMT1]]-Table2[[#This Row],[PAY_AMT1]]</f>
        <v>116291</v>
      </c>
      <c r="AD401" s="1" t="str" cm="1">
        <f t="array" ref="AD401">_xlfn.IFS(Table2[[#This Row],[PAYMENT GAP]]&lt;=0,"No Gap / Overpaid",Table2[[#This Row],[PAYMENT GAP]]&lt;=25000,"Low Gap",Table2[[#This Row],[PAYMENT GAP]]&lt;=100000,"Medium Gap",
TRUE,"High Gap"
)</f>
        <v>High Gap</v>
      </c>
    </row>
    <row r="402" spans="1:30" x14ac:dyDescent="0.3">
      <c r="A402">
        <v>401</v>
      </c>
      <c r="B402" s="1">
        <v>240000</v>
      </c>
      <c r="C402" s="1" t="str" cm="1">
        <f t="array" ref="C402">_xlfn.IFS(Table2[[#This Row],[LIMIT_BAL]]&lt;=100000,"Low",Table2[[#This Row],[LIMIT_BAL]]&lt;=300000,"Medium",
TRUE,"High"
)</f>
        <v>Medium</v>
      </c>
      <c r="D402" t="s">
        <v>2042</v>
      </c>
      <c r="E402" t="s">
        <v>2026</v>
      </c>
      <c r="F402" t="s">
        <v>2029</v>
      </c>
      <c r="G402">
        <v>29</v>
      </c>
      <c r="H402" t="str" cm="1">
        <f t="array" ref="H402">_xlfn.IFS(
Table2[[#This Row],[AGE]]&lt;30,"Young",
Table2[[#This Row],[AGE]]&lt;40,"Middle Age",
Table2[[#This Row],[AGE]]&lt;50,"Senior",
TRUE,"Super Senior"
)</f>
        <v>Young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-1</v>
      </c>
      <c r="O402" s="1">
        <v>156362</v>
      </c>
      <c r="P402" s="1">
        <v>132280</v>
      </c>
      <c r="Q402" s="1">
        <v>99174</v>
      </c>
      <c r="R402" s="1">
        <v>65372</v>
      </c>
      <c r="S402" s="1">
        <v>28797</v>
      </c>
      <c r="T402" s="1">
        <v>184922</v>
      </c>
      <c r="U402" s="1">
        <v>5233</v>
      </c>
      <c r="V402" s="1">
        <v>3289</v>
      </c>
      <c r="W402" s="1">
        <v>2072</v>
      </c>
      <c r="X402" s="1">
        <v>3018</v>
      </c>
      <c r="Y402" s="1">
        <v>184922</v>
      </c>
      <c r="Z402" s="1">
        <v>6100</v>
      </c>
      <c r="AA402">
        <v>0</v>
      </c>
      <c r="AB402" t="str">
        <f t="shared" si="6"/>
        <v>Not Defaulter</v>
      </c>
      <c r="AC402" s="1">
        <f>Table2[[#This Row],[BILL_AMT1]]-Table2[[#This Row],[PAY_AMT1]]</f>
        <v>151129</v>
      </c>
      <c r="AD402" s="1" t="str" cm="1">
        <f t="array" ref="AD402">_xlfn.IFS(Table2[[#This Row],[PAYMENT GAP]]&lt;=0,"No Gap / Overpaid",Table2[[#This Row],[PAYMENT GAP]]&lt;=25000,"Low Gap",Table2[[#This Row],[PAYMENT GAP]]&lt;=100000,"Medium Gap",
TRUE,"High Gap"
)</f>
        <v>High Gap</v>
      </c>
    </row>
    <row r="403" spans="1:30" x14ac:dyDescent="0.3">
      <c r="A403">
        <v>402</v>
      </c>
      <c r="B403" s="1">
        <v>60000</v>
      </c>
      <c r="C403" s="1" t="str" cm="1">
        <f t="array" ref="C403">_xlfn.IFS(Table2[[#This Row],[LIMIT_BAL]]&lt;=100000,"Low",Table2[[#This Row],[LIMIT_BAL]]&lt;=300000,"Medium",
TRUE,"High"
)</f>
        <v>Low</v>
      </c>
      <c r="D403" t="s">
        <v>2041</v>
      </c>
      <c r="E403" t="s">
        <v>2027</v>
      </c>
      <c r="F403" t="s">
        <v>2055</v>
      </c>
      <c r="G403">
        <v>42</v>
      </c>
      <c r="H403" t="str" cm="1">
        <f t="array" ref="H403">_xlfn.IFS(
Table2[[#This Row],[AGE]]&lt;30,"Young",
Table2[[#This Row],[AGE]]&lt;40,"Middle Age",
Table2[[#This Row],[AGE]]&lt;50,"Senior",
TRUE,"Super Senior"
)</f>
        <v>Senior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 s="1">
        <v>41322</v>
      </c>
      <c r="P403" s="1">
        <v>29091</v>
      </c>
      <c r="Q403" s="1">
        <v>28097</v>
      </c>
      <c r="R403" s="1">
        <v>28665</v>
      </c>
      <c r="S403" s="1">
        <v>28768</v>
      </c>
      <c r="T403" s="1">
        <v>29064</v>
      </c>
      <c r="U403" s="1">
        <v>1488</v>
      </c>
      <c r="V403" s="1">
        <v>1394</v>
      </c>
      <c r="W403" s="1">
        <v>962</v>
      </c>
      <c r="X403" s="1">
        <v>1500</v>
      </c>
      <c r="Y403" s="1">
        <v>2541</v>
      </c>
      <c r="Z403" s="1">
        <v>2000</v>
      </c>
      <c r="AA403">
        <v>0</v>
      </c>
      <c r="AB403" t="str">
        <f t="shared" si="6"/>
        <v>Not Defaulter</v>
      </c>
      <c r="AC403" s="1">
        <f>Table2[[#This Row],[BILL_AMT1]]-Table2[[#This Row],[PAY_AMT1]]</f>
        <v>39834</v>
      </c>
      <c r="AD403" s="1" t="str" cm="1">
        <f t="array" ref="AD403">_xlfn.IFS(Table2[[#This Row],[PAYMENT GAP]]&lt;=0,"No Gap / Overpaid",Table2[[#This Row],[PAYMENT GAP]]&lt;=25000,"Low Gap",Table2[[#This Row],[PAYMENT GAP]]&lt;=100000,"Medium Gap",
TRUE,"High Gap"
)</f>
        <v>Medium Gap</v>
      </c>
    </row>
    <row r="404" spans="1:30" x14ac:dyDescent="0.3">
      <c r="A404">
        <v>403</v>
      </c>
      <c r="B404" s="1">
        <v>150000</v>
      </c>
      <c r="C404" s="1" t="str" cm="1">
        <f t="array" ref="C404">_xlfn.IFS(Table2[[#This Row],[LIMIT_BAL]]&lt;=100000,"Low",Table2[[#This Row],[LIMIT_BAL]]&lt;=300000,"Medium",
TRUE,"High"
)</f>
        <v>Medium</v>
      </c>
      <c r="D404" t="s">
        <v>2042</v>
      </c>
      <c r="E404" t="s">
        <v>2026</v>
      </c>
      <c r="F404" t="s">
        <v>2029</v>
      </c>
      <c r="G404">
        <v>41</v>
      </c>
      <c r="H404" t="str" cm="1">
        <f t="array" ref="H404">_xlfn.IFS(
Table2[[#This Row],[AGE]]&lt;30,"Young",
Table2[[#This Row],[AGE]]&lt;40,"Middle Age",
Table2[[#This Row],[AGE]]&lt;50,"Senior",
TRUE,"Super Senior"
)</f>
        <v>Senior</v>
      </c>
      <c r="I404">
        <v>-1</v>
      </c>
      <c r="J404">
        <v>-1</v>
      </c>
      <c r="K404">
        <v>-1</v>
      </c>
      <c r="L404">
        <v>-1</v>
      </c>
      <c r="M404">
        <v>-1</v>
      </c>
      <c r="N404">
        <v>2</v>
      </c>
      <c r="O404" s="1">
        <v>1464</v>
      </c>
      <c r="P404" s="1">
        <v>2084</v>
      </c>
      <c r="Q404" s="1">
        <v>384</v>
      </c>
      <c r="R404" s="1">
        <v>0</v>
      </c>
      <c r="S404" s="1">
        <v>2344</v>
      </c>
      <c r="T404" s="1">
        <v>822</v>
      </c>
      <c r="U404" s="1">
        <v>2091</v>
      </c>
      <c r="V404" s="1">
        <v>384</v>
      </c>
      <c r="W404" s="1">
        <v>0</v>
      </c>
      <c r="X404" s="1">
        <v>2344</v>
      </c>
      <c r="Y404" s="1">
        <v>0</v>
      </c>
      <c r="Z404" s="1">
        <v>472</v>
      </c>
      <c r="AA404">
        <v>1</v>
      </c>
      <c r="AB404" t="str">
        <f t="shared" si="6"/>
        <v>Defaulter</v>
      </c>
      <c r="AC404" s="1">
        <f>Table2[[#This Row],[BILL_AMT1]]-Table2[[#This Row],[PAY_AMT1]]</f>
        <v>-627</v>
      </c>
      <c r="AD404" s="1" t="str" cm="1">
        <f t="array" ref="AD404">_xlfn.IFS(Table2[[#This Row],[PAYMENT GAP]]&lt;=0,"No Gap / Overpaid",Table2[[#This Row],[PAYMENT GAP]]&lt;=25000,"Low Gap",Table2[[#This Row],[PAYMENT GAP]]&lt;=100000,"Medium Gap",
TRUE,"High Gap"
)</f>
        <v>No Gap / Overpaid</v>
      </c>
    </row>
    <row r="405" spans="1:30" x14ac:dyDescent="0.3">
      <c r="A405">
        <v>404</v>
      </c>
      <c r="B405" s="1">
        <v>30000</v>
      </c>
      <c r="C405" s="1" t="str" cm="1">
        <f t="array" ref="C405">_xlfn.IFS(Table2[[#This Row],[LIMIT_BAL]]&lt;=100000,"Low",Table2[[#This Row],[LIMIT_BAL]]&lt;=300000,"Medium",
TRUE,"High"
)</f>
        <v>Low</v>
      </c>
      <c r="D405" t="s">
        <v>2042</v>
      </c>
      <c r="E405" t="s">
        <v>2043</v>
      </c>
      <c r="F405" t="s">
        <v>2028</v>
      </c>
      <c r="G405">
        <v>48</v>
      </c>
      <c r="H405" t="str" cm="1">
        <f t="array" ref="H405">_xlfn.IFS(
Table2[[#This Row],[AGE]]&lt;30,"Young",
Table2[[#This Row],[AGE]]&lt;40,"Middle Age",
Table2[[#This Row],[AGE]]&lt;50,"Senior",
TRUE,"Super Senior"
)</f>
        <v>Senior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 s="1">
        <v>27879</v>
      </c>
      <c r="P405" s="1">
        <v>28870</v>
      </c>
      <c r="Q405" s="1">
        <v>27806</v>
      </c>
      <c r="R405" s="1">
        <v>25142</v>
      </c>
      <c r="S405" s="1">
        <v>25667</v>
      </c>
      <c r="T405" s="1">
        <v>26179</v>
      </c>
      <c r="U405" s="1">
        <v>1774</v>
      </c>
      <c r="V405" s="1">
        <v>1710</v>
      </c>
      <c r="W405" s="1">
        <v>1046</v>
      </c>
      <c r="X405" s="1">
        <v>1079</v>
      </c>
      <c r="Y405" s="1">
        <v>1089</v>
      </c>
      <c r="Z405" s="1">
        <v>2244</v>
      </c>
      <c r="AA405">
        <v>0</v>
      </c>
      <c r="AB405" t="str">
        <f t="shared" si="6"/>
        <v>Not Defaulter</v>
      </c>
      <c r="AC405" s="1">
        <f>Table2[[#This Row],[BILL_AMT1]]-Table2[[#This Row],[PAY_AMT1]]</f>
        <v>26105</v>
      </c>
      <c r="AD405" s="1" t="str" cm="1">
        <f t="array" ref="AD405">_xlfn.IFS(Table2[[#This Row],[PAYMENT GAP]]&lt;=0,"No Gap / Overpaid",Table2[[#This Row],[PAYMENT GAP]]&lt;=25000,"Low Gap",Table2[[#This Row],[PAYMENT GAP]]&lt;=100000,"Medium Gap",
TRUE,"High Gap"
)</f>
        <v>Medium Gap</v>
      </c>
    </row>
    <row r="406" spans="1:30" x14ac:dyDescent="0.3">
      <c r="A406">
        <v>405</v>
      </c>
      <c r="B406" s="1">
        <v>160000</v>
      </c>
      <c r="C406" s="1" t="str" cm="1">
        <f t="array" ref="C406">_xlfn.IFS(Table2[[#This Row],[LIMIT_BAL]]&lt;=100000,"Low",Table2[[#This Row],[LIMIT_BAL]]&lt;=300000,"Medium",
TRUE,"High"
)</f>
        <v>Medium</v>
      </c>
      <c r="D406" t="s">
        <v>2041</v>
      </c>
      <c r="E406" t="s">
        <v>2026</v>
      </c>
      <c r="F406" t="s">
        <v>2029</v>
      </c>
      <c r="G406">
        <v>29</v>
      </c>
      <c r="H406" t="str" cm="1">
        <f t="array" ref="H406">_xlfn.IFS(
Table2[[#This Row],[AGE]]&lt;30,"Young",
Table2[[#This Row],[AGE]]&lt;40,"Middle Age",
Table2[[#This Row],[AGE]]&lt;50,"Senior",
TRUE,"Super Senior"
)</f>
        <v>Young</v>
      </c>
      <c r="I406">
        <v>2</v>
      </c>
      <c r="J406">
        <v>2</v>
      </c>
      <c r="K406">
        <v>2</v>
      </c>
      <c r="L406">
        <v>2</v>
      </c>
      <c r="M406">
        <v>2</v>
      </c>
      <c r="N406">
        <v>2</v>
      </c>
      <c r="O406" s="1">
        <v>160432</v>
      </c>
      <c r="P406" s="1">
        <v>163916</v>
      </c>
      <c r="Q406" s="1">
        <v>159676</v>
      </c>
      <c r="R406" s="1">
        <v>166893</v>
      </c>
      <c r="S406" s="1">
        <v>170098</v>
      </c>
      <c r="T406" s="1">
        <v>153800</v>
      </c>
      <c r="U406" s="1">
        <v>7500</v>
      </c>
      <c r="V406" s="1">
        <v>0</v>
      </c>
      <c r="W406" s="1">
        <v>11558</v>
      </c>
      <c r="X406" s="1">
        <v>5800</v>
      </c>
      <c r="Y406" s="1">
        <v>0</v>
      </c>
      <c r="Z406" s="1">
        <v>5654</v>
      </c>
      <c r="AA406">
        <v>1</v>
      </c>
      <c r="AB406" t="str">
        <f t="shared" si="6"/>
        <v>Defaulter</v>
      </c>
      <c r="AC406" s="1">
        <f>Table2[[#This Row],[BILL_AMT1]]-Table2[[#This Row],[PAY_AMT1]]</f>
        <v>152932</v>
      </c>
      <c r="AD406" s="1" t="str" cm="1">
        <f t="array" ref="AD406">_xlfn.IFS(Table2[[#This Row],[PAYMENT GAP]]&lt;=0,"No Gap / Overpaid",Table2[[#This Row],[PAYMENT GAP]]&lt;=25000,"Low Gap",Table2[[#This Row],[PAYMENT GAP]]&lt;=100000,"Medium Gap",
TRUE,"High Gap"
)</f>
        <v>High Gap</v>
      </c>
    </row>
    <row r="407" spans="1:30" x14ac:dyDescent="0.3">
      <c r="A407">
        <v>406</v>
      </c>
      <c r="B407" s="1">
        <v>200000</v>
      </c>
      <c r="C407" s="1" t="str" cm="1">
        <f t="array" ref="C407">_xlfn.IFS(Table2[[#This Row],[LIMIT_BAL]]&lt;=100000,"Low",Table2[[#This Row],[LIMIT_BAL]]&lt;=300000,"Medium",
TRUE,"High"
)</f>
        <v>Medium</v>
      </c>
      <c r="D407" t="s">
        <v>2042</v>
      </c>
      <c r="E407" t="s">
        <v>2026</v>
      </c>
      <c r="F407" t="s">
        <v>2028</v>
      </c>
      <c r="G407">
        <v>52</v>
      </c>
      <c r="H407" t="str" cm="1">
        <f t="array" ref="H407">_xlfn.IFS(
Table2[[#This Row],[AGE]]&lt;30,"Young",
Table2[[#This Row],[AGE]]&lt;40,"Middle Age",
Table2[[#This Row],[AGE]]&lt;50,"Senior",
TRUE,"Super Senior"
)</f>
        <v>Super Senior</v>
      </c>
      <c r="I407">
        <v>-2</v>
      </c>
      <c r="J407">
        <v>-2</v>
      </c>
      <c r="K407">
        <v>-2</v>
      </c>
      <c r="L407">
        <v>-2</v>
      </c>
      <c r="M407">
        <v>-2</v>
      </c>
      <c r="N407">
        <v>-2</v>
      </c>
      <c r="O407" s="1">
        <v>3858</v>
      </c>
      <c r="P407" s="1">
        <v>2690</v>
      </c>
      <c r="Q407" s="1">
        <v>3410</v>
      </c>
      <c r="R407" s="1">
        <v>0</v>
      </c>
      <c r="S407" s="1">
        <v>0</v>
      </c>
      <c r="T407" s="1">
        <v>82150</v>
      </c>
      <c r="U407" s="1">
        <v>2690</v>
      </c>
      <c r="V407" s="1">
        <v>3487</v>
      </c>
      <c r="W407" s="1">
        <v>0</v>
      </c>
      <c r="X407" s="1">
        <v>0</v>
      </c>
      <c r="Y407" s="1">
        <v>85900</v>
      </c>
      <c r="Z407" s="1">
        <v>396</v>
      </c>
      <c r="AA407">
        <v>0</v>
      </c>
      <c r="AB407" t="str">
        <f t="shared" si="6"/>
        <v>Not Defaulter</v>
      </c>
      <c r="AC407" s="1">
        <f>Table2[[#This Row],[BILL_AMT1]]-Table2[[#This Row],[PAY_AMT1]]</f>
        <v>1168</v>
      </c>
      <c r="AD407" s="1" t="str" cm="1">
        <f t="array" ref="AD407">_xlfn.IFS(Table2[[#This Row],[PAYMENT GAP]]&lt;=0,"No Gap / Overpaid",Table2[[#This Row],[PAYMENT GAP]]&lt;=25000,"Low Gap",Table2[[#This Row],[PAYMENT GAP]]&lt;=100000,"Medium Gap",
TRUE,"High Gap"
)</f>
        <v>Low Gap</v>
      </c>
    </row>
    <row r="408" spans="1:30" x14ac:dyDescent="0.3">
      <c r="A408">
        <v>407</v>
      </c>
      <c r="B408" s="1">
        <v>120000</v>
      </c>
      <c r="C408" s="1" t="str" cm="1">
        <f t="array" ref="C408">_xlfn.IFS(Table2[[#This Row],[LIMIT_BAL]]&lt;=100000,"Low",Table2[[#This Row],[LIMIT_BAL]]&lt;=300000,"Medium",
TRUE,"High"
)</f>
        <v>Medium</v>
      </c>
      <c r="D408" t="s">
        <v>2041</v>
      </c>
      <c r="E408" t="s">
        <v>2043</v>
      </c>
      <c r="F408" t="s">
        <v>2028</v>
      </c>
      <c r="G408">
        <v>25</v>
      </c>
      <c r="H408" t="str" cm="1">
        <f t="array" ref="H408">_xlfn.IFS(
Table2[[#This Row],[AGE]]&lt;30,"Young",
Table2[[#This Row],[AGE]]&lt;40,"Middle Age",
Table2[[#This Row],[AGE]]&lt;50,"Senior",
TRUE,"Super Senior"
)</f>
        <v>Young</v>
      </c>
      <c r="I408">
        <v>0</v>
      </c>
      <c r="J408">
        <v>0</v>
      </c>
      <c r="K408">
        <v>0</v>
      </c>
      <c r="L408">
        <v>-2</v>
      </c>
      <c r="M408">
        <v>-2</v>
      </c>
      <c r="N408">
        <v>-2</v>
      </c>
      <c r="O408" s="1">
        <v>26476</v>
      </c>
      <c r="P408" s="1">
        <v>21393</v>
      </c>
      <c r="Q408" s="1">
        <v>0</v>
      </c>
      <c r="R408" s="1">
        <v>0</v>
      </c>
      <c r="S408" s="1">
        <v>0</v>
      </c>
      <c r="T408" s="1">
        <v>0</v>
      </c>
      <c r="U408" s="1">
        <v>6000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>
        <v>0</v>
      </c>
      <c r="AB408" t="str">
        <f t="shared" si="6"/>
        <v>Not Defaulter</v>
      </c>
      <c r="AC408" s="1">
        <f>Table2[[#This Row],[BILL_AMT1]]-Table2[[#This Row],[PAY_AMT1]]</f>
        <v>20476</v>
      </c>
      <c r="AD408" s="1" t="str" cm="1">
        <f t="array" ref="AD408">_xlfn.IFS(Table2[[#This Row],[PAYMENT GAP]]&lt;=0,"No Gap / Overpaid",Table2[[#This Row],[PAYMENT GAP]]&lt;=25000,"Low Gap",Table2[[#This Row],[PAYMENT GAP]]&lt;=100000,"Medium Gap",
TRUE,"High Gap"
)</f>
        <v>Low Gap</v>
      </c>
    </row>
    <row r="409" spans="1:30" x14ac:dyDescent="0.3">
      <c r="A409">
        <v>408</v>
      </c>
      <c r="B409" s="1">
        <v>500000</v>
      </c>
      <c r="C409" s="1" t="str" cm="1">
        <f t="array" ref="C409">_xlfn.IFS(Table2[[#This Row],[LIMIT_BAL]]&lt;=100000,"Low",Table2[[#This Row],[LIMIT_BAL]]&lt;=300000,"Medium",
TRUE,"High"
)</f>
        <v>High</v>
      </c>
      <c r="D409" t="s">
        <v>2042</v>
      </c>
      <c r="E409" t="s">
        <v>2026</v>
      </c>
      <c r="F409" t="s">
        <v>2028</v>
      </c>
      <c r="G409">
        <v>37</v>
      </c>
      <c r="H409" t="str" cm="1">
        <f t="array" ref="H409">_xlfn.IFS(
Table2[[#This Row],[AGE]]&lt;30,"Young",
Table2[[#This Row],[AGE]]&lt;40,"Middle Age",
Table2[[#This Row],[AGE]]&lt;50,"Senior",
TRUE,"Super Senior"
)</f>
        <v>Middle Age</v>
      </c>
      <c r="I409">
        <v>1</v>
      </c>
      <c r="J409">
        <v>2</v>
      </c>
      <c r="K409">
        <v>0</v>
      </c>
      <c r="L409">
        <v>0</v>
      </c>
      <c r="M409">
        <v>0</v>
      </c>
      <c r="N409">
        <v>0</v>
      </c>
      <c r="O409" s="1">
        <v>507062</v>
      </c>
      <c r="P409" s="1">
        <v>491956</v>
      </c>
      <c r="Q409" s="1">
        <v>430637</v>
      </c>
      <c r="R409" s="1">
        <v>376657</v>
      </c>
      <c r="S409" s="1">
        <v>356636</v>
      </c>
      <c r="T409" s="1">
        <v>303510</v>
      </c>
      <c r="U409" s="1">
        <v>325</v>
      </c>
      <c r="V409" s="1">
        <v>15296</v>
      </c>
      <c r="W409" s="1">
        <v>12137</v>
      </c>
      <c r="X409" s="1">
        <v>12312</v>
      </c>
      <c r="Y409" s="1">
        <v>14113</v>
      </c>
      <c r="Z409" s="1">
        <v>10526</v>
      </c>
      <c r="AA409">
        <v>0</v>
      </c>
      <c r="AB409" t="str">
        <f t="shared" si="6"/>
        <v>Not Defaulter</v>
      </c>
      <c r="AC409" s="1">
        <f>Table2[[#This Row],[BILL_AMT1]]-Table2[[#This Row],[PAY_AMT1]]</f>
        <v>506737</v>
      </c>
      <c r="AD409" s="1" t="str" cm="1">
        <f t="array" ref="AD409">_xlfn.IFS(Table2[[#This Row],[PAYMENT GAP]]&lt;=0,"No Gap / Overpaid",Table2[[#This Row],[PAYMENT GAP]]&lt;=25000,"Low Gap",Table2[[#This Row],[PAYMENT GAP]]&lt;=100000,"Medium Gap",
TRUE,"High Gap"
)</f>
        <v>High Gap</v>
      </c>
    </row>
    <row r="410" spans="1:30" x14ac:dyDescent="0.3">
      <c r="A410">
        <v>409</v>
      </c>
      <c r="B410" s="1">
        <v>320000</v>
      </c>
      <c r="C410" s="1" t="str" cm="1">
        <f t="array" ref="C410">_xlfn.IFS(Table2[[#This Row],[LIMIT_BAL]]&lt;=100000,"Low",Table2[[#This Row],[LIMIT_BAL]]&lt;=300000,"Medium",
TRUE,"High"
)</f>
        <v>High</v>
      </c>
      <c r="D410" t="s">
        <v>2041</v>
      </c>
      <c r="E410" t="s">
        <v>2026</v>
      </c>
      <c r="F410" t="s">
        <v>2029</v>
      </c>
      <c r="G410">
        <v>27</v>
      </c>
      <c r="H410" t="str" cm="1">
        <f t="array" ref="H410">_xlfn.IFS(
Table2[[#This Row],[AGE]]&lt;30,"Young",
Table2[[#This Row],[AGE]]&lt;40,"Middle Age",
Table2[[#This Row],[AGE]]&lt;50,"Senior",
TRUE,"Super Senior"
)</f>
        <v>Young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 s="1">
        <v>55607</v>
      </c>
      <c r="P410" s="1">
        <v>62893</v>
      </c>
      <c r="Q410" s="1">
        <v>59001</v>
      </c>
      <c r="R410" s="1">
        <v>61565</v>
      </c>
      <c r="S410" s="1">
        <v>59508</v>
      </c>
      <c r="T410" s="1">
        <v>66541</v>
      </c>
      <c r="U410" s="1">
        <v>11404</v>
      </c>
      <c r="V410" s="1">
        <v>8232</v>
      </c>
      <c r="W410" s="1">
        <v>10450</v>
      </c>
      <c r="X410" s="1">
        <v>9697</v>
      </c>
      <c r="Y410" s="1">
        <v>16477</v>
      </c>
      <c r="Z410" s="1">
        <v>11341</v>
      </c>
      <c r="AA410">
        <v>0</v>
      </c>
      <c r="AB410" t="str">
        <f t="shared" si="6"/>
        <v>Not Defaulter</v>
      </c>
      <c r="AC410" s="1">
        <f>Table2[[#This Row],[BILL_AMT1]]-Table2[[#This Row],[PAY_AMT1]]</f>
        <v>44203</v>
      </c>
      <c r="AD410" s="1" t="str" cm="1">
        <f t="array" ref="AD410">_xlfn.IFS(Table2[[#This Row],[PAYMENT GAP]]&lt;=0,"No Gap / Overpaid",Table2[[#This Row],[PAYMENT GAP]]&lt;=25000,"Low Gap",Table2[[#This Row],[PAYMENT GAP]]&lt;=100000,"Medium Gap",
TRUE,"High Gap"
)</f>
        <v>Medium Gap</v>
      </c>
    </row>
    <row r="411" spans="1:30" x14ac:dyDescent="0.3">
      <c r="A411">
        <v>410</v>
      </c>
      <c r="B411" s="1">
        <v>280000</v>
      </c>
      <c r="C411" s="1" t="str" cm="1">
        <f t="array" ref="C411">_xlfn.IFS(Table2[[#This Row],[LIMIT_BAL]]&lt;=100000,"Low",Table2[[#This Row],[LIMIT_BAL]]&lt;=300000,"Medium",
TRUE,"High"
)</f>
        <v>Medium</v>
      </c>
      <c r="D411" t="s">
        <v>2042</v>
      </c>
      <c r="E411" t="s">
        <v>2026</v>
      </c>
      <c r="F411" t="s">
        <v>2029</v>
      </c>
      <c r="G411">
        <v>31</v>
      </c>
      <c r="H411" t="str" cm="1">
        <f t="array" ref="H411">_xlfn.IFS(
Table2[[#This Row],[AGE]]&lt;30,"Young",
Table2[[#This Row],[AGE]]&lt;40,"Middle Age",
Table2[[#This Row],[AGE]]&lt;50,"Senior",
TRUE,"Super Senior"
)</f>
        <v>Middle Age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 s="1">
        <v>168382</v>
      </c>
      <c r="P411" s="1">
        <v>175646</v>
      </c>
      <c r="Q411" s="1">
        <v>180650</v>
      </c>
      <c r="R411" s="1">
        <v>182672</v>
      </c>
      <c r="S411" s="1">
        <v>168399</v>
      </c>
      <c r="T411" s="1">
        <v>167983</v>
      </c>
      <c r="U411" s="1">
        <v>10000</v>
      </c>
      <c r="V411" s="1">
        <v>8000</v>
      </c>
      <c r="W411" s="1">
        <v>6371</v>
      </c>
      <c r="X411" s="1">
        <v>6217</v>
      </c>
      <c r="Y411" s="1">
        <v>5947</v>
      </c>
      <c r="Z411" s="1">
        <v>6288</v>
      </c>
      <c r="AA411">
        <v>0</v>
      </c>
      <c r="AB411" t="str">
        <f t="shared" si="6"/>
        <v>Not Defaulter</v>
      </c>
      <c r="AC411" s="1">
        <f>Table2[[#This Row],[BILL_AMT1]]-Table2[[#This Row],[PAY_AMT1]]</f>
        <v>158382</v>
      </c>
      <c r="AD411" s="1" t="str" cm="1">
        <f t="array" ref="AD411">_xlfn.IFS(Table2[[#This Row],[PAYMENT GAP]]&lt;=0,"No Gap / Overpaid",Table2[[#This Row],[PAYMENT GAP]]&lt;=25000,"Low Gap",Table2[[#This Row],[PAYMENT GAP]]&lt;=100000,"Medium Gap",
TRUE,"High Gap"
)</f>
        <v>High Gap</v>
      </c>
    </row>
    <row r="412" spans="1:30" x14ac:dyDescent="0.3">
      <c r="A412">
        <v>411</v>
      </c>
      <c r="B412" s="1">
        <v>60000</v>
      </c>
      <c r="C412" s="1" t="str" cm="1">
        <f t="array" ref="C412">_xlfn.IFS(Table2[[#This Row],[LIMIT_BAL]]&lt;=100000,"Low",Table2[[#This Row],[LIMIT_BAL]]&lt;=300000,"Medium",
TRUE,"High"
)</f>
        <v>Low</v>
      </c>
      <c r="D412" t="s">
        <v>2041</v>
      </c>
      <c r="E412" t="s">
        <v>2026</v>
      </c>
      <c r="F412" t="s">
        <v>2029</v>
      </c>
      <c r="G412">
        <v>23</v>
      </c>
      <c r="H412" t="str" cm="1">
        <f t="array" ref="H412">_xlfn.IFS(
Table2[[#This Row],[AGE]]&lt;30,"Young",
Table2[[#This Row],[AGE]]&lt;40,"Middle Age",
Table2[[#This Row],[AGE]]&lt;50,"Senior",
TRUE,"Super Senior"
)</f>
        <v>Young</v>
      </c>
      <c r="I412">
        <v>1</v>
      </c>
      <c r="J412">
        <v>2</v>
      </c>
      <c r="K412">
        <v>2</v>
      </c>
      <c r="L412">
        <v>2</v>
      </c>
      <c r="M412">
        <v>2</v>
      </c>
      <c r="N412">
        <v>2</v>
      </c>
      <c r="O412" s="1">
        <v>29332</v>
      </c>
      <c r="P412" s="1">
        <v>28577</v>
      </c>
      <c r="Q412" s="1">
        <v>30805</v>
      </c>
      <c r="R412" s="1">
        <v>31601</v>
      </c>
      <c r="S412" s="1">
        <v>32349</v>
      </c>
      <c r="T412" s="1">
        <v>32965</v>
      </c>
      <c r="U412" s="1">
        <v>0</v>
      </c>
      <c r="V412" s="1">
        <v>2709</v>
      </c>
      <c r="W412" s="1">
        <v>1600</v>
      </c>
      <c r="X412" s="1">
        <v>1400</v>
      </c>
      <c r="Y412" s="1">
        <v>1300</v>
      </c>
      <c r="Z412" s="1">
        <v>1200</v>
      </c>
      <c r="AA412">
        <v>1</v>
      </c>
      <c r="AB412" t="str">
        <f t="shared" si="6"/>
        <v>Defaulter</v>
      </c>
      <c r="AC412" s="1">
        <f>Table2[[#This Row],[BILL_AMT1]]-Table2[[#This Row],[PAY_AMT1]]</f>
        <v>29332</v>
      </c>
      <c r="AD412" s="1" t="str" cm="1">
        <f t="array" ref="AD412">_xlfn.IFS(Table2[[#This Row],[PAYMENT GAP]]&lt;=0,"No Gap / Overpaid",Table2[[#This Row],[PAYMENT GAP]]&lt;=25000,"Low Gap",Table2[[#This Row],[PAYMENT GAP]]&lt;=100000,"Medium Gap",
TRUE,"High Gap"
)</f>
        <v>Medium Gap</v>
      </c>
    </row>
    <row r="413" spans="1:30" x14ac:dyDescent="0.3">
      <c r="A413">
        <v>412</v>
      </c>
      <c r="B413" s="1">
        <v>200000</v>
      </c>
      <c r="C413" s="1" t="str" cm="1">
        <f t="array" ref="C413">_xlfn.IFS(Table2[[#This Row],[LIMIT_BAL]]&lt;=100000,"Low",Table2[[#This Row],[LIMIT_BAL]]&lt;=300000,"Medium",
TRUE,"High"
)</f>
        <v>Medium</v>
      </c>
      <c r="D413" t="s">
        <v>2041</v>
      </c>
      <c r="E413" t="s">
        <v>2026</v>
      </c>
      <c r="F413" t="s">
        <v>2028</v>
      </c>
      <c r="G413">
        <v>38</v>
      </c>
      <c r="H413" t="str" cm="1">
        <f t="array" ref="H413">_xlfn.IFS(
Table2[[#This Row],[AGE]]&lt;30,"Young",
Table2[[#This Row],[AGE]]&lt;40,"Middle Age",
Table2[[#This Row],[AGE]]&lt;50,"Senior",
TRUE,"Super Senior"
)</f>
        <v>Middle Age</v>
      </c>
      <c r="I413">
        <v>-1</v>
      </c>
      <c r="J413">
        <v>-1</v>
      </c>
      <c r="K413">
        <v>-2</v>
      </c>
      <c r="L413">
        <v>-1</v>
      </c>
      <c r="M413">
        <v>-1</v>
      </c>
      <c r="N413">
        <v>-2</v>
      </c>
      <c r="O413" s="1">
        <v>190</v>
      </c>
      <c r="P413" s="1">
        <v>0</v>
      </c>
      <c r="Q413" s="1">
        <v>0</v>
      </c>
      <c r="R413" s="1">
        <v>367</v>
      </c>
      <c r="S413" s="1">
        <v>-150</v>
      </c>
      <c r="T413" s="1">
        <v>-150</v>
      </c>
      <c r="U413" s="1">
        <v>0</v>
      </c>
      <c r="V413" s="1">
        <v>0</v>
      </c>
      <c r="W413" s="1">
        <v>367</v>
      </c>
      <c r="X413" s="1">
        <v>150</v>
      </c>
      <c r="Y413" s="1">
        <v>0</v>
      </c>
      <c r="Z413" s="1">
        <v>0</v>
      </c>
      <c r="AA413">
        <v>0</v>
      </c>
      <c r="AB413" t="str">
        <f t="shared" si="6"/>
        <v>Not Defaulter</v>
      </c>
      <c r="AC413" s="1">
        <f>Table2[[#This Row],[BILL_AMT1]]-Table2[[#This Row],[PAY_AMT1]]</f>
        <v>190</v>
      </c>
      <c r="AD413" s="1" t="str" cm="1">
        <f t="array" ref="AD413">_xlfn.IFS(Table2[[#This Row],[PAYMENT GAP]]&lt;=0,"No Gap / Overpaid",Table2[[#This Row],[PAYMENT GAP]]&lt;=25000,"Low Gap",Table2[[#This Row],[PAYMENT GAP]]&lt;=100000,"Medium Gap",
TRUE,"High Gap"
)</f>
        <v>Low Gap</v>
      </c>
    </row>
    <row r="414" spans="1:30" x14ac:dyDescent="0.3">
      <c r="A414">
        <v>413</v>
      </c>
      <c r="B414" s="1">
        <v>230000</v>
      </c>
      <c r="C414" s="1" t="str" cm="1">
        <f t="array" ref="C414">_xlfn.IFS(Table2[[#This Row],[LIMIT_BAL]]&lt;=100000,"Low",Table2[[#This Row],[LIMIT_BAL]]&lt;=300000,"Medium",
TRUE,"High"
)</f>
        <v>Medium</v>
      </c>
      <c r="D414" t="s">
        <v>2041</v>
      </c>
      <c r="E414" t="s">
        <v>2026</v>
      </c>
      <c r="F414" t="s">
        <v>2028</v>
      </c>
      <c r="G414">
        <v>32</v>
      </c>
      <c r="H414" t="str" cm="1">
        <f t="array" ref="H414">_xlfn.IFS(
Table2[[#This Row],[AGE]]&lt;30,"Young",
Table2[[#This Row],[AGE]]&lt;40,"Middle Age",
Table2[[#This Row],[AGE]]&lt;50,"Senior",
TRUE,"Super Senior"
)</f>
        <v>Middle Age</v>
      </c>
      <c r="I414">
        <v>1</v>
      </c>
      <c r="J414">
        <v>-2</v>
      </c>
      <c r="K414">
        <v>-1</v>
      </c>
      <c r="L414">
        <v>-1</v>
      </c>
      <c r="M414">
        <v>-1</v>
      </c>
      <c r="N414">
        <v>-1</v>
      </c>
      <c r="O414" s="1">
        <v>0</v>
      </c>
      <c r="P414" s="1">
        <v>0</v>
      </c>
      <c r="Q414" s="1">
        <v>2809</v>
      </c>
      <c r="R414" s="1">
        <v>4595</v>
      </c>
      <c r="S414" s="1">
        <v>792</v>
      </c>
      <c r="T414" s="1">
        <v>3404</v>
      </c>
      <c r="U414" s="1">
        <v>0</v>
      </c>
      <c r="V414" s="1">
        <v>2809</v>
      </c>
      <c r="W414" s="1">
        <v>4606</v>
      </c>
      <c r="X414" s="1">
        <v>792</v>
      </c>
      <c r="Y414" s="1">
        <v>3404</v>
      </c>
      <c r="Z414" s="1">
        <v>0</v>
      </c>
      <c r="AA414">
        <v>0</v>
      </c>
      <c r="AB414" t="str">
        <f t="shared" si="6"/>
        <v>Not Defaulter</v>
      </c>
      <c r="AC414" s="1">
        <f>Table2[[#This Row],[BILL_AMT1]]-Table2[[#This Row],[PAY_AMT1]]</f>
        <v>0</v>
      </c>
      <c r="AD414" s="1" t="str" cm="1">
        <f t="array" ref="AD414">_xlfn.IFS(Table2[[#This Row],[PAYMENT GAP]]&lt;=0,"No Gap / Overpaid",Table2[[#This Row],[PAYMENT GAP]]&lt;=25000,"Low Gap",Table2[[#This Row],[PAYMENT GAP]]&lt;=100000,"Medium Gap",
TRUE,"High Gap"
)</f>
        <v>No Gap / Overpaid</v>
      </c>
    </row>
    <row r="415" spans="1:30" x14ac:dyDescent="0.3">
      <c r="A415">
        <v>414</v>
      </c>
      <c r="B415" s="1">
        <v>230000</v>
      </c>
      <c r="C415" s="1" t="str" cm="1">
        <f t="array" ref="C415">_xlfn.IFS(Table2[[#This Row],[LIMIT_BAL]]&lt;=100000,"Low",Table2[[#This Row],[LIMIT_BAL]]&lt;=300000,"Medium",
TRUE,"High"
)</f>
        <v>Medium</v>
      </c>
      <c r="D415" t="s">
        <v>2041</v>
      </c>
      <c r="E415" t="s">
        <v>2043</v>
      </c>
      <c r="F415" t="s">
        <v>2029</v>
      </c>
      <c r="G415">
        <v>27</v>
      </c>
      <c r="H415" t="str" cm="1">
        <f t="array" ref="H415">_xlfn.IFS(
Table2[[#This Row],[AGE]]&lt;30,"Young",
Table2[[#This Row],[AGE]]&lt;40,"Middle Age",
Table2[[#This Row],[AGE]]&lt;50,"Senior",
TRUE,"Super Senior"
)</f>
        <v>Young</v>
      </c>
      <c r="I415">
        <v>1</v>
      </c>
      <c r="J415">
        <v>2</v>
      </c>
      <c r="K415">
        <v>0</v>
      </c>
      <c r="L415">
        <v>0</v>
      </c>
      <c r="M415">
        <v>0</v>
      </c>
      <c r="N415">
        <v>0</v>
      </c>
      <c r="O415" s="1">
        <v>13668</v>
      </c>
      <c r="P415" s="1">
        <v>12647</v>
      </c>
      <c r="Q415" s="1">
        <v>13135</v>
      </c>
      <c r="R415" s="1">
        <v>10596</v>
      </c>
      <c r="S415" s="1">
        <v>9218</v>
      </c>
      <c r="T415" s="1">
        <v>5068</v>
      </c>
      <c r="U415" s="1">
        <v>0</v>
      </c>
      <c r="V415" s="1">
        <v>1064</v>
      </c>
      <c r="W415" s="1">
        <v>423</v>
      </c>
      <c r="X415" s="1">
        <v>313</v>
      </c>
      <c r="Y415" s="1">
        <v>1000</v>
      </c>
      <c r="Z415" s="1">
        <v>4641</v>
      </c>
      <c r="AA415">
        <v>1</v>
      </c>
      <c r="AB415" t="str">
        <f t="shared" si="6"/>
        <v>Defaulter</v>
      </c>
      <c r="AC415" s="1">
        <f>Table2[[#This Row],[BILL_AMT1]]-Table2[[#This Row],[PAY_AMT1]]</f>
        <v>13668</v>
      </c>
      <c r="AD415" s="1" t="str" cm="1">
        <f t="array" ref="AD415">_xlfn.IFS(Table2[[#This Row],[PAYMENT GAP]]&lt;=0,"No Gap / Overpaid",Table2[[#This Row],[PAYMENT GAP]]&lt;=25000,"Low Gap",Table2[[#This Row],[PAYMENT GAP]]&lt;=100000,"Medium Gap",
TRUE,"High Gap"
)</f>
        <v>Low Gap</v>
      </c>
    </row>
    <row r="416" spans="1:30" x14ac:dyDescent="0.3">
      <c r="A416">
        <v>415</v>
      </c>
      <c r="B416" s="1">
        <v>480000</v>
      </c>
      <c r="C416" s="1" t="str" cm="1">
        <f t="array" ref="C416">_xlfn.IFS(Table2[[#This Row],[LIMIT_BAL]]&lt;=100000,"Low",Table2[[#This Row],[LIMIT_BAL]]&lt;=300000,"Medium",
TRUE,"High"
)</f>
        <v>High</v>
      </c>
      <c r="D416" t="s">
        <v>2041</v>
      </c>
      <c r="E416" t="s">
        <v>2027</v>
      </c>
      <c r="F416" t="s">
        <v>2028</v>
      </c>
      <c r="G416">
        <v>41</v>
      </c>
      <c r="H416" t="str" cm="1">
        <f t="array" ref="H416">_xlfn.IFS(
Table2[[#This Row],[AGE]]&lt;30,"Young",
Table2[[#This Row],[AGE]]&lt;40,"Middle Age",
Table2[[#This Row],[AGE]]&lt;50,"Senior",
TRUE,"Super Senior"
)</f>
        <v>Senior</v>
      </c>
      <c r="I416">
        <v>-2</v>
      </c>
      <c r="J416">
        <v>-2</v>
      </c>
      <c r="K416">
        <v>-2</v>
      </c>
      <c r="L416">
        <v>-2</v>
      </c>
      <c r="M416">
        <v>-2</v>
      </c>
      <c r="N416">
        <v>-2</v>
      </c>
      <c r="O416" s="1">
        <v>14867</v>
      </c>
      <c r="P416" s="1">
        <v>26665</v>
      </c>
      <c r="Q416" s="1">
        <v>199960</v>
      </c>
      <c r="R416" s="1">
        <v>9033</v>
      </c>
      <c r="S416" s="1">
        <v>19371</v>
      </c>
      <c r="T416" s="1">
        <v>22593</v>
      </c>
      <c r="U416" s="1">
        <v>26734</v>
      </c>
      <c r="V416" s="1">
        <v>199982</v>
      </c>
      <c r="W416" s="1">
        <v>9033</v>
      </c>
      <c r="X416" s="1">
        <v>19371</v>
      </c>
      <c r="Y416" s="1">
        <v>22593</v>
      </c>
      <c r="Z416" s="1">
        <v>2000</v>
      </c>
      <c r="AA416">
        <v>0</v>
      </c>
      <c r="AB416" t="str">
        <f t="shared" si="6"/>
        <v>Not Defaulter</v>
      </c>
      <c r="AC416" s="1">
        <f>Table2[[#This Row],[BILL_AMT1]]-Table2[[#This Row],[PAY_AMT1]]</f>
        <v>-11867</v>
      </c>
      <c r="AD416" s="1" t="str" cm="1">
        <f t="array" ref="AD416">_xlfn.IFS(Table2[[#This Row],[PAYMENT GAP]]&lt;=0,"No Gap / Overpaid",Table2[[#This Row],[PAYMENT GAP]]&lt;=25000,"Low Gap",Table2[[#This Row],[PAYMENT GAP]]&lt;=100000,"Medium Gap",
TRUE,"High Gap"
)</f>
        <v>No Gap / Overpaid</v>
      </c>
    </row>
    <row r="417" spans="1:30" x14ac:dyDescent="0.3">
      <c r="A417">
        <v>416</v>
      </c>
      <c r="B417" s="1">
        <v>50000</v>
      </c>
      <c r="C417" s="1" t="str" cm="1">
        <f t="array" ref="C417">_xlfn.IFS(Table2[[#This Row],[LIMIT_BAL]]&lt;=100000,"Low",Table2[[#This Row],[LIMIT_BAL]]&lt;=300000,"Medium",
TRUE,"High"
)</f>
        <v>Low</v>
      </c>
      <c r="D417" t="s">
        <v>2041</v>
      </c>
      <c r="E417" t="s">
        <v>2027</v>
      </c>
      <c r="F417" t="s">
        <v>2028</v>
      </c>
      <c r="G417">
        <v>35</v>
      </c>
      <c r="H417" t="str" cm="1">
        <f t="array" ref="H417">_xlfn.IFS(
Table2[[#This Row],[AGE]]&lt;30,"Young",
Table2[[#This Row],[AGE]]&lt;40,"Middle Age",
Table2[[#This Row],[AGE]]&lt;50,"Senior",
TRUE,"Super Senior"
)</f>
        <v>Middle Age</v>
      </c>
      <c r="I417">
        <v>-1</v>
      </c>
      <c r="J417">
        <v>-1</v>
      </c>
      <c r="K417">
        <v>-1</v>
      </c>
      <c r="L417">
        <v>-2</v>
      </c>
      <c r="M417">
        <v>-2</v>
      </c>
      <c r="N417">
        <v>-2</v>
      </c>
      <c r="O417" s="1">
        <v>22500</v>
      </c>
      <c r="P417" s="1">
        <v>5000</v>
      </c>
      <c r="Q417" s="1">
        <v>0</v>
      </c>
      <c r="R417" s="1">
        <v>0</v>
      </c>
      <c r="S417" s="1">
        <v>0</v>
      </c>
      <c r="T417" s="1">
        <v>0</v>
      </c>
      <c r="U417" s="1">
        <v>5000</v>
      </c>
      <c r="V417" s="1">
        <v>0</v>
      </c>
      <c r="W417" s="1">
        <v>0</v>
      </c>
      <c r="X417" s="1">
        <v>0</v>
      </c>
      <c r="Y417" s="1">
        <v>0</v>
      </c>
      <c r="Z417" s="1">
        <v>640</v>
      </c>
      <c r="AA417">
        <v>0</v>
      </c>
      <c r="AB417" t="str">
        <f t="shared" si="6"/>
        <v>Not Defaulter</v>
      </c>
      <c r="AC417" s="1">
        <f>Table2[[#This Row],[BILL_AMT1]]-Table2[[#This Row],[PAY_AMT1]]</f>
        <v>17500</v>
      </c>
      <c r="AD417" s="1" t="str" cm="1">
        <f t="array" ref="AD417">_xlfn.IFS(Table2[[#This Row],[PAYMENT GAP]]&lt;=0,"No Gap / Overpaid",Table2[[#This Row],[PAYMENT GAP]]&lt;=25000,"Low Gap",Table2[[#This Row],[PAYMENT GAP]]&lt;=100000,"Medium Gap",
TRUE,"High Gap"
)</f>
        <v>Low Gap</v>
      </c>
    </row>
    <row r="418" spans="1:30" x14ac:dyDescent="0.3">
      <c r="A418">
        <v>417</v>
      </c>
      <c r="B418" s="1">
        <v>200000</v>
      </c>
      <c r="C418" s="1" t="str" cm="1">
        <f t="array" ref="C418">_xlfn.IFS(Table2[[#This Row],[LIMIT_BAL]]&lt;=100000,"Low",Table2[[#This Row],[LIMIT_BAL]]&lt;=300000,"Medium",
TRUE,"High"
)</f>
        <v>Medium</v>
      </c>
      <c r="D418" t="s">
        <v>2041</v>
      </c>
      <c r="E418" t="s">
        <v>2026</v>
      </c>
      <c r="F418" t="s">
        <v>2029</v>
      </c>
      <c r="G418">
        <v>31</v>
      </c>
      <c r="H418" t="str" cm="1">
        <f t="array" ref="H418">_xlfn.IFS(
Table2[[#This Row],[AGE]]&lt;30,"Young",
Table2[[#This Row],[AGE]]&lt;40,"Middle Age",
Table2[[#This Row],[AGE]]&lt;50,"Senior",
TRUE,"Super Senior"
)</f>
        <v>Middle Age</v>
      </c>
      <c r="I418">
        <v>-2</v>
      </c>
      <c r="J418">
        <v>-2</v>
      </c>
      <c r="K418">
        <v>-2</v>
      </c>
      <c r="L418">
        <v>-2</v>
      </c>
      <c r="M418">
        <v>-2</v>
      </c>
      <c r="N418">
        <v>-2</v>
      </c>
      <c r="O418" s="1">
        <v>7184</v>
      </c>
      <c r="P418" s="1">
        <v>14845</v>
      </c>
      <c r="Q418" s="1">
        <v>1097</v>
      </c>
      <c r="R418" s="1">
        <v>0</v>
      </c>
      <c r="S418" s="1">
        <v>0</v>
      </c>
      <c r="T418" s="1">
        <v>160</v>
      </c>
      <c r="U418" s="1">
        <v>17507</v>
      </c>
      <c r="V418" s="1">
        <v>1102</v>
      </c>
      <c r="W418" s="1">
        <v>0</v>
      </c>
      <c r="X418" s="1">
        <v>0</v>
      </c>
      <c r="Y418" s="1">
        <v>160</v>
      </c>
      <c r="Z418" s="1">
        <v>1103</v>
      </c>
      <c r="AA418">
        <v>0</v>
      </c>
      <c r="AB418" t="str">
        <f t="shared" si="6"/>
        <v>Not Defaulter</v>
      </c>
      <c r="AC418" s="1">
        <f>Table2[[#This Row],[BILL_AMT1]]-Table2[[#This Row],[PAY_AMT1]]</f>
        <v>-10323</v>
      </c>
      <c r="AD418" s="1" t="str" cm="1">
        <f t="array" ref="AD418">_xlfn.IFS(Table2[[#This Row],[PAYMENT GAP]]&lt;=0,"No Gap / Overpaid",Table2[[#This Row],[PAYMENT GAP]]&lt;=25000,"Low Gap",Table2[[#This Row],[PAYMENT GAP]]&lt;=100000,"Medium Gap",
TRUE,"High Gap"
)</f>
        <v>No Gap / Overpaid</v>
      </c>
    </row>
    <row r="419" spans="1:30" x14ac:dyDescent="0.3">
      <c r="A419">
        <v>418</v>
      </c>
      <c r="B419" s="1">
        <v>50000</v>
      </c>
      <c r="C419" s="1" t="str" cm="1">
        <f t="array" ref="C419">_xlfn.IFS(Table2[[#This Row],[LIMIT_BAL]]&lt;=100000,"Low",Table2[[#This Row],[LIMIT_BAL]]&lt;=300000,"Medium",
TRUE,"High"
)</f>
        <v>Low</v>
      </c>
      <c r="D419" t="s">
        <v>2041</v>
      </c>
      <c r="E419" t="s">
        <v>2026</v>
      </c>
      <c r="F419" t="s">
        <v>2029</v>
      </c>
      <c r="G419">
        <v>30</v>
      </c>
      <c r="H419" t="str" cm="1">
        <f t="array" ref="H419">_xlfn.IFS(
Table2[[#This Row],[AGE]]&lt;30,"Young",
Table2[[#This Row],[AGE]]&lt;40,"Middle Age",
Table2[[#This Row],[AGE]]&lt;50,"Senior",
TRUE,"Super Senior"
)</f>
        <v>Middle Age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2</v>
      </c>
      <c r="O419" s="1">
        <v>14811</v>
      </c>
      <c r="P419" s="1">
        <v>16262</v>
      </c>
      <c r="Q419" s="1">
        <v>17286</v>
      </c>
      <c r="R419" s="1">
        <v>17895</v>
      </c>
      <c r="S419" s="1">
        <v>19450</v>
      </c>
      <c r="T419" s="1">
        <v>18990</v>
      </c>
      <c r="U419" s="1">
        <v>2000</v>
      </c>
      <c r="V419" s="1">
        <v>1600</v>
      </c>
      <c r="W419" s="1">
        <v>1200</v>
      </c>
      <c r="X419" s="1">
        <v>2000</v>
      </c>
      <c r="Y419" s="1">
        <v>0</v>
      </c>
      <c r="Z419" s="1">
        <v>1000</v>
      </c>
      <c r="AA419">
        <v>0</v>
      </c>
      <c r="AB419" t="str">
        <f t="shared" si="6"/>
        <v>Not Defaulter</v>
      </c>
      <c r="AC419" s="1">
        <f>Table2[[#This Row],[BILL_AMT1]]-Table2[[#This Row],[PAY_AMT1]]</f>
        <v>12811</v>
      </c>
      <c r="AD419" s="1" t="str" cm="1">
        <f t="array" ref="AD419">_xlfn.IFS(Table2[[#This Row],[PAYMENT GAP]]&lt;=0,"No Gap / Overpaid",Table2[[#This Row],[PAYMENT GAP]]&lt;=25000,"Low Gap",Table2[[#This Row],[PAYMENT GAP]]&lt;=100000,"Medium Gap",
TRUE,"High Gap"
)</f>
        <v>Low Gap</v>
      </c>
    </row>
    <row r="420" spans="1:30" x14ac:dyDescent="0.3">
      <c r="A420">
        <v>419</v>
      </c>
      <c r="B420" s="1">
        <v>50000</v>
      </c>
      <c r="C420" s="1" t="str" cm="1">
        <f t="array" ref="C420">_xlfn.IFS(Table2[[#This Row],[LIMIT_BAL]]&lt;=100000,"Low",Table2[[#This Row],[LIMIT_BAL]]&lt;=300000,"Medium",
TRUE,"High"
)</f>
        <v>Low</v>
      </c>
      <c r="D420" t="s">
        <v>2042</v>
      </c>
      <c r="E420" t="s">
        <v>2043</v>
      </c>
      <c r="F420" t="s">
        <v>2028</v>
      </c>
      <c r="G420">
        <v>48</v>
      </c>
      <c r="H420" t="str" cm="1">
        <f t="array" ref="H420">_xlfn.IFS(
Table2[[#This Row],[AGE]]&lt;30,"Young",
Table2[[#This Row],[AGE]]&lt;40,"Middle Age",
Table2[[#This Row],[AGE]]&lt;50,"Senior",
TRUE,"Super Senior"
)</f>
        <v>Senior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 s="1">
        <v>44338</v>
      </c>
      <c r="P420" s="1">
        <v>43048</v>
      </c>
      <c r="Q420" s="1">
        <v>35639</v>
      </c>
      <c r="R420" s="1">
        <v>18753</v>
      </c>
      <c r="S420" s="1">
        <v>19091</v>
      </c>
      <c r="T420" s="1">
        <v>19548</v>
      </c>
      <c r="U420" s="1">
        <v>3629</v>
      </c>
      <c r="V420" s="1">
        <v>3332</v>
      </c>
      <c r="W420" s="1">
        <v>2000</v>
      </c>
      <c r="X420" s="1">
        <v>2000</v>
      </c>
      <c r="Y420" s="1">
        <v>2000</v>
      </c>
      <c r="Z420" s="1">
        <v>2500</v>
      </c>
      <c r="AA420">
        <v>0</v>
      </c>
      <c r="AB420" t="str">
        <f t="shared" si="6"/>
        <v>Not Defaulter</v>
      </c>
      <c r="AC420" s="1">
        <f>Table2[[#This Row],[BILL_AMT1]]-Table2[[#This Row],[PAY_AMT1]]</f>
        <v>40709</v>
      </c>
      <c r="AD420" s="1" t="str" cm="1">
        <f t="array" ref="AD420">_xlfn.IFS(Table2[[#This Row],[PAYMENT GAP]]&lt;=0,"No Gap / Overpaid",Table2[[#This Row],[PAYMENT GAP]]&lt;=25000,"Low Gap",Table2[[#This Row],[PAYMENT GAP]]&lt;=100000,"Medium Gap",
TRUE,"High Gap"
)</f>
        <v>Medium Gap</v>
      </c>
    </row>
    <row r="421" spans="1:30" x14ac:dyDescent="0.3">
      <c r="A421">
        <v>420</v>
      </c>
      <c r="B421" s="1">
        <v>260000</v>
      </c>
      <c r="C421" s="1" t="str" cm="1">
        <f t="array" ref="C421">_xlfn.IFS(Table2[[#This Row],[LIMIT_BAL]]&lt;=100000,"Low",Table2[[#This Row],[LIMIT_BAL]]&lt;=300000,"Medium",
TRUE,"High"
)</f>
        <v>Medium</v>
      </c>
      <c r="D421" t="s">
        <v>2041</v>
      </c>
      <c r="E421" t="s">
        <v>2026</v>
      </c>
      <c r="F421" t="s">
        <v>2029</v>
      </c>
      <c r="G421">
        <v>36</v>
      </c>
      <c r="H421" t="str" cm="1">
        <f t="array" ref="H421">_xlfn.IFS(
Table2[[#This Row],[AGE]]&lt;30,"Young",
Table2[[#This Row],[AGE]]&lt;40,"Middle Age",
Table2[[#This Row],[AGE]]&lt;50,"Senior",
TRUE,"Super Senior"
)</f>
        <v>Middle Age</v>
      </c>
      <c r="I421">
        <v>1</v>
      </c>
      <c r="J421">
        <v>-2</v>
      </c>
      <c r="K421">
        <v>-2</v>
      </c>
      <c r="L421">
        <v>-2</v>
      </c>
      <c r="M421">
        <v>-2</v>
      </c>
      <c r="N421">
        <v>-2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>
        <v>1</v>
      </c>
      <c r="AB421" t="str">
        <f t="shared" si="6"/>
        <v>Defaulter</v>
      </c>
      <c r="AC421" s="1">
        <f>Table2[[#This Row],[BILL_AMT1]]-Table2[[#This Row],[PAY_AMT1]]</f>
        <v>0</v>
      </c>
      <c r="AD421" s="1" t="str" cm="1">
        <f t="array" ref="AD421">_xlfn.IFS(Table2[[#This Row],[PAYMENT GAP]]&lt;=0,"No Gap / Overpaid",Table2[[#This Row],[PAYMENT GAP]]&lt;=25000,"Low Gap",Table2[[#This Row],[PAYMENT GAP]]&lt;=100000,"Medium Gap",
TRUE,"High Gap"
)</f>
        <v>No Gap / Overpaid</v>
      </c>
    </row>
    <row r="422" spans="1:30" x14ac:dyDescent="0.3">
      <c r="A422">
        <v>421</v>
      </c>
      <c r="B422" s="1">
        <v>30000</v>
      </c>
      <c r="C422" s="1" t="str" cm="1">
        <f t="array" ref="C422">_xlfn.IFS(Table2[[#This Row],[LIMIT_BAL]]&lt;=100000,"Low",Table2[[#This Row],[LIMIT_BAL]]&lt;=300000,"Medium",
TRUE,"High"
)</f>
        <v>Low</v>
      </c>
      <c r="D422" t="s">
        <v>2042</v>
      </c>
      <c r="E422" t="s">
        <v>2026</v>
      </c>
      <c r="F422" t="s">
        <v>2029</v>
      </c>
      <c r="G422">
        <v>24</v>
      </c>
      <c r="H422" t="str" cm="1">
        <f t="array" ref="H422">_xlfn.IFS(
Table2[[#This Row],[AGE]]&lt;30,"Young",
Table2[[#This Row],[AGE]]&lt;40,"Middle Age",
Table2[[#This Row],[AGE]]&lt;50,"Senior",
TRUE,"Super Senior"
)</f>
        <v>Young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2</v>
      </c>
      <c r="O422" s="1">
        <v>25265</v>
      </c>
      <c r="P422" s="1">
        <v>26354</v>
      </c>
      <c r="Q422" s="1">
        <v>27710</v>
      </c>
      <c r="R422" s="1">
        <v>27959</v>
      </c>
      <c r="S422" s="1">
        <v>30002</v>
      </c>
      <c r="T422" s="1">
        <v>29371</v>
      </c>
      <c r="U422" s="1">
        <v>1500</v>
      </c>
      <c r="V422" s="1">
        <v>1800</v>
      </c>
      <c r="W422" s="1">
        <v>1007</v>
      </c>
      <c r="X422" s="1">
        <v>2500</v>
      </c>
      <c r="Y422" s="1">
        <v>0</v>
      </c>
      <c r="Z422" s="1">
        <v>1800</v>
      </c>
      <c r="AA422">
        <v>0</v>
      </c>
      <c r="AB422" t="str">
        <f t="shared" si="6"/>
        <v>Not Defaulter</v>
      </c>
      <c r="AC422" s="1">
        <f>Table2[[#This Row],[BILL_AMT1]]-Table2[[#This Row],[PAY_AMT1]]</f>
        <v>23765</v>
      </c>
      <c r="AD422" s="1" t="str" cm="1">
        <f t="array" ref="AD422">_xlfn.IFS(Table2[[#This Row],[PAYMENT GAP]]&lt;=0,"No Gap / Overpaid",Table2[[#This Row],[PAYMENT GAP]]&lt;=25000,"Low Gap",Table2[[#This Row],[PAYMENT GAP]]&lt;=100000,"Medium Gap",
TRUE,"High Gap"
)</f>
        <v>Low Gap</v>
      </c>
    </row>
    <row r="423" spans="1:30" x14ac:dyDescent="0.3">
      <c r="A423">
        <v>422</v>
      </c>
      <c r="B423" s="1">
        <v>440000</v>
      </c>
      <c r="C423" s="1" t="str" cm="1">
        <f t="array" ref="C423">_xlfn.IFS(Table2[[#This Row],[LIMIT_BAL]]&lt;=100000,"Low",Table2[[#This Row],[LIMIT_BAL]]&lt;=300000,"Medium",
TRUE,"High"
)</f>
        <v>High</v>
      </c>
      <c r="D423" t="s">
        <v>2041</v>
      </c>
      <c r="E423" t="s">
        <v>2026</v>
      </c>
      <c r="F423" t="s">
        <v>2029</v>
      </c>
      <c r="G423">
        <v>29</v>
      </c>
      <c r="H423" t="str" cm="1">
        <f t="array" ref="H423">_xlfn.IFS(
Table2[[#This Row],[AGE]]&lt;30,"Young",
Table2[[#This Row],[AGE]]&lt;40,"Middle Age",
Table2[[#This Row],[AGE]]&lt;50,"Senior",
TRUE,"Super Senior"
)</f>
        <v>Young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 s="1">
        <v>169661</v>
      </c>
      <c r="P423" s="1">
        <v>167199</v>
      </c>
      <c r="Q423" s="1">
        <v>158520</v>
      </c>
      <c r="R423" s="1">
        <v>156977</v>
      </c>
      <c r="S423" s="1">
        <v>157963</v>
      </c>
      <c r="T423" s="1">
        <v>151936</v>
      </c>
      <c r="U423" s="1">
        <v>8071</v>
      </c>
      <c r="V423" s="1">
        <v>9021</v>
      </c>
      <c r="W423" s="1">
        <v>7013</v>
      </c>
      <c r="X423" s="1">
        <v>6013</v>
      </c>
      <c r="Y423" s="1">
        <v>6028</v>
      </c>
      <c r="Z423" s="1">
        <v>6010</v>
      </c>
      <c r="AA423">
        <v>0</v>
      </c>
      <c r="AB423" t="str">
        <f t="shared" si="6"/>
        <v>Not Defaulter</v>
      </c>
      <c r="AC423" s="1">
        <f>Table2[[#This Row],[BILL_AMT1]]-Table2[[#This Row],[PAY_AMT1]]</f>
        <v>161590</v>
      </c>
      <c r="AD423" s="1" t="str" cm="1">
        <f t="array" ref="AD423">_xlfn.IFS(Table2[[#This Row],[PAYMENT GAP]]&lt;=0,"No Gap / Overpaid",Table2[[#This Row],[PAYMENT GAP]]&lt;=25000,"Low Gap",Table2[[#This Row],[PAYMENT GAP]]&lt;=100000,"Medium Gap",
TRUE,"High Gap"
)</f>
        <v>High Gap</v>
      </c>
    </row>
    <row r="424" spans="1:30" x14ac:dyDescent="0.3">
      <c r="A424">
        <v>423</v>
      </c>
      <c r="B424" s="1">
        <v>230000</v>
      </c>
      <c r="C424" s="1" t="str" cm="1">
        <f t="array" ref="C424">_xlfn.IFS(Table2[[#This Row],[LIMIT_BAL]]&lt;=100000,"Low",Table2[[#This Row],[LIMIT_BAL]]&lt;=300000,"Medium",
TRUE,"High"
)</f>
        <v>Medium</v>
      </c>
      <c r="D424" t="s">
        <v>2041</v>
      </c>
      <c r="E424" t="s">
        <v>2043</v>
      </c>
      <c r="F424" t="s">
        <v>2029</v>
      </c>
      <c r="G424">
        <v>38</v>
      </c>
      <c r="H424" t="str" cm="1">
        <f t="array" ref="H424">_xlfn.IFS(
Table2[[#This Row],[AGE]]&lt;30,"Young",
Table2[[#This Row],[AGE]]&lt;40,"Middle Age",
Table2[[#This Row],[AGE]]&lt;50,"Senior",
TRUE,"Super Senior"
)</f>
        <v>Middle Age</v>
      </c>
      <c r="I424">
        <v>-1</v>
      </c>
      <c r="J424">
        <v>-1</v>
      </c>
      <c r="K424">
        <v>-1</v>
      </c>
      <c r="L424">
        <v>-1</v>
      </c>
      <c r="M424">
        <v>-1</v>
      </c>
      <c r="N424">
        <v>-1</v>
      </c>
      <c r="O424" s="1">
        <v>10237</v>
      </c>
      <c r="P424" s="1">
        <v>2795</v>
      </c>
      <c r="Q424" s="1">
        <v>1350</v>
      </c>
      <c r="R424" s="1">
        <v>371</v>
      </c>
      <c r="S424" s="1">
        <v>2980</v>
      </c>
      <c r="T424" s="1">
        <v>0</v>
      </c>
      <c r="U424" s="1">
        <v>2795</v>
      </c>
      <c r="V424" s="1">
        <v>1350</v>
      </c>
      <c r="W424" s="1">
        <v>371</v>
      </c>
      <c r="X424" s="1">
        <v>2980</v>
      </c>
      <c r="Y424" s="1">
        <v>0</v>
      </c>
      <c r="Z424" s="1">
        <v>2213</v>
      </c>
      <c r="AA424">
        <v>0</v>
      </c>
      <c r="AB424" t="str">
        <f t="shared" si="6"/>
        <v>Not Defaulter</v>
      </c>
      <c r="AC424" s="1">
        <f>Table2[[#This Row],[BILL_AMT1]]-Table2[[#This Row],[PAY_AMT1]]</f>
        <v>7442</v>
      </c>
      <c r="AD424" s="1" t="str" cm="1">
        <f t="array" ref="AD424">_xlfn.IFS(Table2[[#This Row],[PAYMENT GAP]]&lt;=0,"No Gap / Overpaid",Table2[[#This Row],[PAYMENT GAP]]&lt;=25000,"Low Gap",Table2[[#This Row],[PAYMENT GAP]]&lt;=100000,"Medium Gap",
TRUE,"High Gap"
)</f>
        <v>Low Gap</v>
      </c>
    </row>
    <row r="425" spans="1:30" x14ac:dyDescent="0.3">
      <c r="A425">
        <v>424</v>
      </c>
      <c r="B425" s="1">
        <v>200000</v>
      </c>
      <c r="C425" s="1" t="str" cm="1">
        <f t="array" ref="C425">_xlfn.IFS(Table2[[#This Row],[LIMIT_BAL]]&lt;=100000,"Low",Table2[[#This Row],[LIMIT_BAL]]&lt;=300000,"Medium",
TRUE,"High"
)</f>
        <v>Medium</v>
      </c>
      <c r="D425" t="s">
        <v>2042</v>
      </c>
      <c r="E425" t="s">
        <v>2043</v>
      </c>
      <c r="F425" t="s">
        <v>2028</v>
      </c>
      <c r="G425">
        <v>38</v>
      </c>
      <c r="H425" t="str" cm="1">
        <f t="array" ref="H425">_xlfn.IFS(
Table2[[#This Row],[AGE]]&lt;30,"Young",
Table2[[#This Row],[AGE]]&lt;40,"Middle Age",
Table2[[#This Row],[AGE]]&lt;50,"Senior",
TRUE,"Super Senior"
)</f>
        <v>Middle Age</v>
      </c>
      <c r="I425">
        <v>2</v>
      </c>
      <c r="J425">
        <v>2</v>
      </c>
      <c r="K425">
        <v>2</v>
      </c>
      <c r="L425">
        <v>0</v>
      </c>
      <c r="M425">
        <v>0</v>
      </c>
      <c r="N425">
        <v>0</v>
      </c>
      <c r="O425" s="1">
        <v>104978</v>
      </c>
      <c r="P425" s="1">
        <v>105924</v>
      </c>
      <c r="Q425" s="1">
        <v>102663</v>
      </c>
      <c r="R425" s="1">
        <v>97090</v>
      </c>
      <c r="S425" s="1">
        <v>98045</v>
      </c>
      <c r="T425" s="1">
        <v>105253</v>
      </c>
      <c r="U425" s="1">
        <v>4500</v>
      </c>
      <c r="V425" s="1">
        <v>0</v>
      </c>
      <c r="W425" s="1">
        <v>3500</v>
      </c>
      <c r="X425" s="1">
        <v>3500</v>
      </c>
      <c r="Y425" s="1">
        <v>9000</v>
      </c>
      <c r="Z425" s="1">
        <v>0</v>
      </c>
      <c r="AA425">
        <v>1</v>
      </c>
      <c r="AB425" t="str">
        <f t="shared" si="6"/>
        <v>Defaulter</v>
      </c>
      <c r="AC425" s="1">
        <f>Table2[[#This Row],[BILL_AMT1]]-Table2[[#This Row],[PAY_AMT1]]</f>
        <v>100478</v>
      </c>
      <c r="AD425" s="1" t="str" cm="1">
        <f t="array" ref="AD425">_xlfn.IFS(Table2[[#This Row],[PAYMENT GAP]]&lt;=0,"No Gap / Overpaid",Table2[[#This Row],[PAYMENT GAP]]&lt;=25000,"Low Gap",Table2[[#This Row],[PAYMENT GAP]]&lt;=100000,"Medium Gap",
TRUE,"High Gap"
)</f>
        <v>High Gap</v>
      </c>
    </row>
    <row r="426" spans="1:30" x14ac:dyDescent="0.3">
      <c r="A426">
        <v>425</v>
      </c>
      <c r="B426" s="1">
        <v>490000</v>
      </c>
      <c r="C426" s="1" t="str" cm="1">
        <f t="array" ref="C426">_xlfn.IFS(Table2[[#This Row],[LIMIT_BAL]]&lt;=100000,"Low",Table2[[#This Row],[LIMIT_BAL]]&lt;=300000,"Medium",
TRUE,"High"
)</f>
        <v>High</v>
      </c>
      <c r="D426" t="s">
        <v>2041</v>
      </c>
      <c r="E426" t="s">
        <v>2043</v>
      </c>
      <c r="F426" t="s">
        <v>2028</v>
      </c>
      <c r="G426">
        <v>30</v>
      </c>
      <c r="H426" t="str" cm="1">
        <f t="array" ref="H426">_xlfn.IFS(
Table2[[#This Row],[AGE]]&lt;30,"Young",
Table2[[#This Row],[AGE]]&lt;40,"Middle Age",
Table2[[#This Row],[AGE]]&lt;50,"Senior",
TRUE,"Super Senior"
)</f>
        <v>Middle Age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 s="1">
        <v>192586</v>
      </c>
      <c r="P426" s="1">
        <v>197967</v>
      </c>
      <c r="Q426" s="1">
        <v>201666</v>
      </c>
      <c r="R426" s="1">
        <v>205798</v>
      </c>
      <c r="S426" s="1">
        <v>196698</v>
      </c>
      <c r="T426" s="1">
        <v>190306</v>
      </c>
      <c r="U426" s="1">
        <v>10000</v>
      </c>
      <c r="V426" s="1">
        <v>7143</v>
      </c>
      <c r="W426" s="1">
        <v>7306</v>
      </c>
      <c r="X426" s="1">
        <v>6303</v>
      </c>
      <c r="Y426" s="1">
        <v>6429</v>
      </c>
      <c r="Z426" s="1">
        <v>6000</v>
      </c>
      <c r="AA426">
        <v>0</v>
      </c>
      <c r="AB426" t="str">
        <f t="shared" si="6"/>
        <v>Not Defaulter</v>
      </c>
      <c r="AC426" s="1">
        <f>Table2[[#This Row],[BILL_AMT1]]-Table2[[#This Row],[PAY_AMT1]]</f>
        <v>182586</v>
      </c>
      <c r="AD426" s="1" t="str" cm="1">
        <f t="array" ref="AD426">_xlfn.IFS(Table2[[#This Row],[PAYMENT GAP]]&lt;=0,"No Gap / Overpaid",Table2[[#This Row],[PAYMENT GAP]]&lt;=25000,"Low Gap",Table2[[#This Row],[PAYMENT GAP]]&lt;=100000,"Medium Gap",
TRUE,"High Gap"
)</f>
        <v>High Gap</v>
      </c>
    </row>
    <row r="427" spans="1:30" x14ac:dyDescent="0.3">
      <c r="A427">
        <v>426</v>
      </c>
      <c r="B427" s="1">
        <v>80000</v>
      </c>
      <c r="C427" s="1" t="str" cm="1">
        <f t="array" ref="C427">_xlfn.IFS(Table2[[#This Row],[LIMIT_BAL]]&lt;=100000,"Low",Table2[[#This Row],[LIMIT_BAL]]&lt;=300000,"Medium",
TRUE,"High"
)</f>
        <v>Low</v>
      </c>
      <c r="D427" t="s">
        <v>2041</v>
      </c>
      <c r="E427" t="s">
        <v>2043</v>
      </c>
      <c r="F427" t="s">
        <v>2028</v>
      </c>
      <c r="G427">
        <v>32</v>
      </c>
      <c r="H427" t="str" cm="1">
        <f t="array" ref="H427">_xlfn.IFS(
Table2[[#This Row],[AGE]]&lt;30,"Young",
Table2[[#This Row],[AGE]]&lt;40,"Middle Age",
Table2[[#This Row],[AGE]]&lt;50,"Senior",
TRUE,"Super Senior"
)</f>
        <v>Middle Age</v>
      </c>
      <c r="I427">
        <v>-1</v>
      </c>
      <c r="J427">
        <v>-1</v>
      </c>
      <c r="K427">
        <v>-2</v>
      </c>
      <c r="L427">
        <v>-2</v>
      </c>
      <c r="M427">
        <v>-2</v>
      </c>
      <c r="N427">
        <v>-2</v>
      </c>
      <c r="O427" s="1">
        <v>11262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>
        <v>0</v>
      </c>
      <c r="AB427" t="str">
        <f t="shared" si="6"/>
        <v>Not Defaulter</v>
      </c>
      <c r="AC427" s="1">
        <f>Table2[[#This Row],[BILL_AMT1]]-Table2[[#This Row],[PAY_AMT1]]</f>
        <v>11262</v>
      </c>
      <c r="AD427" s="1" t="str" cm="1">
        <f t="array" ref="AD427">_xlfn.IFS(Table2[[#This Row],[PAYMENT GAP]]&lt;=0,"No Gap / Overpaid",Table2[[#This Row],[PAYMENT GAP]]&lt;=25000,"Low Gap",Table2[[#This Row],[PAYMENT GAP]]&lt;=100000,"Medium Gap",
TRUE,"High Gap"
)</f>
        <v>Low Gap</v>
      </c>
    </row>
    <row r="428" spans="1:30" x14ac:dyDescent="0.3">
      <c r="A428">
        <v>427</v>
      </c>
      <c r="B428" s="1">
        <v>20000</v>
      </c>
      <c r="C428" s="1" t="str" cm="1">
        <f t="array" ref="C428">_xlfn.IFS(Table2[[#This Row],[LIMIT_BAL]]&lt;=100000,"Low",Table2[[#This Row],[LIMIT_BAL]]&lt;=300000,"Medium",
TRUE,"High"
)</f>
        <v>Low</v>
      </c>
      <c r="D428" t="s">
        <v>2041</v>
      </c>
      <c r="E428" t="s">
        <v>2027</v>
      </c>
      <c r="F428" t="s">
        <v>2029</v>
      </c>
      <c r="G428">
        <v>49</v>
      </c>
      <c r="H428" t="str" cm="1">
        <f t="array" ref="H428">_xlfn.IFS(
Table2[[#This Row],[AGE]]&lt;30,"Young",
Table2[[#This Row],[AGE]]&lt;40,"Middle Age",
Table2[[#This Row],[AGE]]&lt;50,"Senior",
TRUE,"Super Senior"
)</f>
        <v>Senior</v>
      </c>
      <c r="I428">
        <v>2</v>
      </c>
      <c r="J428">
        <v>2</v>
      </c>
      <c r="K428">
        <v>2</v>
      </c>
      <c r="L428">
        <v>2</v>
      </c>
      <c r="M428">
        <v>0</v>
      </c>
      <c r="N428">
        <v>0</v>
      </c>
      <c r="O428" s="1">
        <v>9551</v>
      </c>
      <c r="P428" s="1">
        <v>12081</v>
      </c>
      <c r="Q428" s="1">
        <v>13087</v>
      </c>
      <c r="R428" s="1">
        <v>12583</v>
      </c>
      <c r="S428" s="1">
        <v>15327</v>
      </c>
      <c r="T428" s="1">
        <v>16414</v>
      </c>
      <c r="U428" s="1">
        <v>3000</v>
      </c>
      <c r="V428" s="1">
        <v>1500</v>
      </c>
      <c r="W428" s="1">
        <v>0</v>
      </c>
      <c r="X428" s="1">
        <v>3123</v>
      </c>
      <c r="Y428" s="1">
        <v>1500</v>
      </c>
      <c r="Z428" s="1">
        <v>1000</v>
      </c>
      <c r="AA428">
        <v>1</v>
      </c>
      <c r="AB428" t="str">
        <f t="shared" si="6"/>
        <v>Defaulter</v>
      </c>
      <c r="AC428" s="1">
        <f>Table2[[#This Row],[BILL_AMT1]]-Table2[[#This Row],[PAY_AMT1]]</f>
        <v>6551</v>
      </c>
      <c r="AD428" s="1" t="str" cm="1">
        <f t="array" ref="AD428">_xlfn.IFS(Table2[[#This Row],[PAYMENT GAP]]&lt;=0,"No Gap / Overpaid",Table2[[#This Row],[PAYMENT GAP]]&lt;=25000,"Low Gap",Table2[[#This Row],[PAYMENT GAP]]&lt;=100000,"Medium Gap",
TRUE,"High Gap"
)</f>
        <v>Low Gap</v>
      </c>
    </row>
    <row r="429" spans="1:30" x14ac:dyDescent="0.3">
      <c r="A429">
        <v>428</v>
      </c>
      <c r="B429" s="1">
        <v>170000</v>
      </c>
      <c r="C429" s="1" t="str" cm="1">
        <f t="array" ref="C429">_xlfn.IFS(Table2[[#This Row],[LIMIT_BAL]]&lt;=100000,"Low",Table2[[#This Row],[LIMIT_BAL]]&lt;=300000,"Medium",
TRUE,"High"
)</f>
        <v>Medium</v>
      </c>
      <c r="D429" t="s">
        <v>2041</v>
      </c>
      <c r="E429" t="s">
        <v>2026</v>
      </c>
      <c r="F429" t="s">
        <v>2029</v>
      </c>
      <c r="G429">
        <v>31</v>
      </c>
      <c r="H429" t="str" cm="1">
        <f t="array" ref="H429">_xlfn.IFS(
Table2[[#This Row],[AGE]]&lt;30,"Young",
Table2[[#This Row],[AGE]]&lt;40,"Middle Age",
Table2[[#This Row],[AGE]]&lt;50,"Senior",
TRUE,"Super Senior"
)</f>
        <v>Middle Age</v>
      </c>
      <c r="I429">
        <v>-1</v>
      </c>
      <c r="J429">
        <v>-1</v>
      </c>
      <c r="K429">
        <v>-1</v>
      </c>
      <c r="L429">
        <v>-1</v>
      </c>
      <c r="M429">
        <v>0</v>
      </c>
      <c r="N429">
        <v>-1</v>
      </c>
      <c r="O429" s="1">
        <v>199</v>
      </c>
      <c r="P429" s="1">
        <v>199</v>
      </c>
      <c r="Q429" s="1">
        <v>199</v>
      </c>
      <c r="R429" s="1">
        <v>398</v>
      </c>
      <c r="S429" s="1">
        <v>199</v>
      </c>
      <c r="T429" s="1">
        <v>199</v>
      </c>
      <c r="U429" s="1">
        <v>199</v>
      </c>
      <c r="V429" s="1">
        <v>199</v>
      </c>
      <c r="W429" s="1">
        <v>398</v>
      </c>
      <c r="X429" s="1">
        <v>0</v>
      </c>
      <c r="Y429" s="1">
        <v>199</v>
      </c>
      <c r="Z429" s="1">
        <v>398</v>
      </c>
      <c r="AA429">
        <v>1</v>
      </c>
      <c r="AB429" t="str">
        <f t="shared" si="6"/>
        <v>Defaulter</v>
      </c>
      <c r="AC429" s="1">
        <f>Table2[[#This Row],[BILL_AMT1]]-Table2[[#This Row],[PAY_AMT1]]</f>
        <v>0</v>
      </c>
      <c r="AD429" s="1" t="str" cm="1">
        <f t="array" ref="AD429">_xlfn.IFS(Table2[[#This Row],[PAYMENT GAP]]&lt;=0,"No Gap / Overpaid",Table2[[#This Row],[PAYMENT GAP]]&lt;=25000,"Low Gap",Table2[[#This Row],[PAYMENT GAP]]&lt;=100000,"Medium Gap",
TRUE,"High Gap"
)</f>
        <v>No Gap / Overpaid</v>
      </c>
    </row>
    <row r="430" spans="1:30" x14ac:dyDescent="0.3">
      <c r="A430">
        <v>429</v>
      </c>
      <c r="B430" s="1">
        <v>70000</v>
      </c>
      <c r="C430" s="1" t="str" cm="1">
        <f t="array" ref="C430">_xlfn.IFS(Table2[[#This Row],[LIMIT_BAL]]&lt;=100000,"Low",Table2[[#This Row],[LIMIT_BAL]]&lt;=300000,"Medium",
TRUE,"High"
)</f>
        <v>Low</v>
      </c>
      <c r="D430" t="s">
        <v>2042</v>
      </c>
      <c r="E430" t="s">
        <v>2026</v>
      </c>
      <c r="F430" t="s">
        <v>2029</v>
      </c>
      <c r="G430">
        <v>27</v>
      </c>
      <c r="H430" t="str" cm="1">
        <f t="array" ref="H430">_xlfn.IFS(
Table2[[#This Row],[AGE]]&lt;30,"Young",
Table2[[#This Row],[AGE]]&lt;40,"Middle Age",
Table2[[#This Row],[AGE]]&lt;50,"Senior",
TRUE,"Super Senior"
)</f>
        <v>Young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s="1">
        <v>70119</v>
      </c>
      <c r="P430" s="1">
        <v>68536</v>
      </c>
      <c r="Q430" s="1">
        <v>66601</v>
      </c>
      <c r="R430" s="1">
        <v>29401</v>
      </c>
      <c r="S430" s="1">
        <v>28949</v>
      </c>
      <c r="T430" s="1">
        <v>29795</v>
      </c>
      <c r="U430" s="1">
        <v>3600</v>
      </c>
      <c r="V430" s="1">
        <v>1646</v>
      </c>
      <c r="W430" s="1">
        <v>600</v>
      </c>
      <c r="X430" s="1">
        <v>28468</v>
      </c>
      <c r="Y430" s="1">
        <v>1327</v>
      </c>
      <c r="Z430" s="1">
        <v>1000</v>
      </c>
      <c r="AA430">
        <v>0</v>
      </c>
      <c r="AB430" t="str">
        <f t="shared" si="6"/>
        <v>Not Defaulter</v>
      </c>
      <c r="AC430" s="1">
        <f>Table2[[#This Row],[BILL_AMT1]]-Table2[[#This Row],[PAY_AMT1]]</f>
        <v>66519</v>
      </c>
      <c r="AD430" s="1" t="str" cm="1">
        <f t="array" ref="AD430">_xlfn.IFS(Table2[[#This Row],[PAYMENT GAP]]&lt;=0,"No Gap / Overpaid",Table2[[#This Row],[PAYMENT GAP]]&lt;=25000,"Low Gap",Table2[[#This Row],[PAYMENT GAP]]&lt;=100000,"Medium Gap",
TRUE,"High Gap"
)</f>
        <v>Medium Gap</v>
      </c>
    </row>
    <row r="431" spans="1:30" x14ac:dyDescent="0.3">
      <c r="A431">
        <v>430</v>
      </c>
      <c r="B431" s="1">
        <v>210000</v>
      </c>
      <c r="C431" s="1" t="str" cm="1">
        <f t="array" ref="C431">_xlfn.IFS(Table2[[#This Row],[LIMIT_BAL]]&lt;=100000,"Low",Table2[[#This Row],[LIMIT_BAL]]&lt;=300000,"Medium",
TRUE,"High"
)</f>
        <v>Medium</v>
      </c>
      <c r="D431" t="s">
        <v>2041</v>
      </c>
      <c r="E431" t="s">
        <v>2043</v>
      </c>
      <c r="F431" t="s">
        <v>2029</v>
      </c>
      <c r="G431">
        <v>33</v>
      </c>
      <c r="H431" t="str" cm="1">
        <f t="array" ref="H431">_xlfn.IFS(
Table2[[#This Row],[AGE]]&lt;30,"Young",
Table2[[#This Row],[AGE]]&lt;40,"Middle Age",
Table2[[#This Row],[AGE]]&lt;50,"Senior",
TRUE,"Super Senior"
)</f>
        <v>Middle Age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 s="1">
        <v>212601</v>
      </c>
      <c r="P431" s="1">
        <v>177946</v>
      </c>
      <c r="Q431" s="1">
        <v>119362</v>
      </c>
      <c r="R431" s="1">
        <v>117766</v>
      </c>
      <c r="S431" s="1">
        <v>68791</v>
      </c>
      <c r="T431" s="1">
        <v>66167</v>
      </c>
      <c r="U431" s="1">
        <v>6000</v>
      </c>
      <c r="V431" s="1">
        <v>4500</v>
      </c>
      <c r="W431" s="1">
        <v>5000</v>
      </c>
      <c r="X431" s="1">
        <v>3000</v>
      </c>
      <c r="Y431" s="1">
        <v>3000</v>
      </c>
      <c r="Z431" s="1">
        <v>3000</v>
      </c>
      <c r="AA431">
        <v>0</v>
      </c>
      <c r="AB431" t="str">
        <f t="shared" si="6"/>
        <v>Not Defaulter</v>
      </c>
      <c r="AC431" s="1">
        <f>Table2[[#This Row],[BILL_AMT1]]-Table2[[#This Row],[PAY_AMT1]]</f>
        <v>206601</v>
      </c>
      <c r="AD431" s="1" t="str" cm="1">
        <f t="array" ref="AD431">_xlfn.IFS(Table2[[#This Row],[PAYMENT GAP]]&lt;=0,"No Gap / Overpaid",Table2[[#This Row],[PAYMENT GAP]]&lt;=25000,"Low Gap",Table2[[#This Row],[PAYMENT GAP]]&lt;=100000,"Medium Gap",
TRUE,"High Gap"
)</f>
        <v>High Gap</v>
      </c>
    </row>
    <row r="432" spans="1:30" x14ac:dyDescent="0.3">
      <c r="A432">
        <v>431</v>
      </c>
      <c r="B432" s="1">
        <v>90000</v>
      </c>
      <c r="C432" s="1" t="str" cm="1">
        <f t="array" ref="C432">_xlfn.IFS(Table2[[#This Row],[LIMIT_BAL]]&lt;=100000,"Low",Table2[[#This Row],[LIMIT_BAL]]&lt;=300000,"Medium",
TRUE,"High"
)</f>
        <v>Low</v>
      </c>
      <c r="D432" t="s">
        <v>2041</v>
      </c>
      <c r="E432" t="s">
        <v>2043</v>
      </c>
      <c r="F432" t="s">
        <v>2029</v>
      </c>
      <c r="G432">
        <v>25</v>
      </c>
      <c r="H432" t="str" cm="1">
        <f t="array" ref="H432">_xlfn.IFS(
Table2[[#This Row],[AGE]]&lt;30,"Young",
Table2[[#This Row],[AGE]]&lt;40,"Middle Age",
Table2[[#This Row],[AGE]]&lt;50,"Senior",
TRUE,"Super Senior"
)</f>
        <v>Young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 s="1">
        <v>91894</v>
      </c>
      <c r="P432" s="1">
        <v>71732</v>
      </c>
      <c r="Q432" s="1">
        <v>73241</v>
      </c>
      <c r="R432" s="1">
        <v>74424</v>
      </c>
      <c r="S432" s="1">
        <v>76070</v>
      </c>
      <c r="T432" s="1">
        <v>77648</v>
      </c>
      <c r="U432" s="1">
        <v>3200</v>
      </c>
      <c r="V432" s="1">
        <v>3300</v>
      </c>
      <c r="W432" s="1">
        <v>3000</v>
      </c>
      <c r="X432" s="1">
        <v>3001</v>
      </c>
      <c r="Y432" s="1">
        <v>3000</v>
      </c>
      <c r="Z432" s="1">
        <v>3100</v>
      </c>
      <c r="AA432">
        <v>0</v>
      </c>
      <c r="AB432" t="str">
        <f t="shared" si="6"/>
        <v>Not Defaulter</v>
      </c>
      <c r="AC432" s="1">
        <f>Table2[[#This Row],[BILL_AMT1]]-Table2[[#This Row],[PAY_AMT1]]</f>
        <v>88694</v>
      </c>
      <c r="AD432" s="1" t="str" cm="1">
        <f t="array" ref="AD432">_xlfn.IFS(Table2[[#This Row],[PAYMENT GAP]]&lt;=0,"No Gap / Overpaid",Table2[[#This Row],[PAYMENT GAP]]&lt;=25000,"Low Gap",Table2[[#This Row],[PAYMENT GAP]]&lt;=100000,"Medium Gap",
TRUE,"High Gap"
)</f>
        <v>Medium Gap</v>
      </c>
    </row>
    <row r="433" spans="1:30" x14ac:dyDescent="0.3">
      <c r="A433">
        <v>432</v>
      </c>
      <c r="B433" s="1">
        <v>390000</v>
      </c>
      <c r="C433" s="1" t="str" cm="1">
        <f t="array" ref="C433">_xlfn.IFS(Table2[[#This Row],[LIMIT_BAL]]&lt;=100000,"Low",Table2[[#This Row],[LIMIT_BAL]]&lt;=300000,"Medium",
TRUE,"High"
)</f>
        <v>High</v>
      </c>
      <c r="D433" t="s">
        <v>2041</v>
      </c>
      <c r="E433" t="s">
        <v>2026</v>
      </c>
      <c r="F433" t="s">
        <v>2029</v>
      </c>
      <c r="G433">
        <v>27</v>
      </c>
      <c r="H433" t="str" cm="1">
        <f t="array" ref="H433">_xlfn.IFS(
Table2[[#This Row],[AGE]]&lt;30,"Young",
Table2[[#This Row],[AGE]]&lt;40,"Middle Age",
Table2[[#This Row],[AGE]]&lt;50,"Senior",
TRUE,"Super Senior"
)</f>
        <v>Young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 s="1">
        <v>304867</v>
      </c>
      <c r="P433" s="1">
        <v>299998</v>
      </c>
      <c r="Q433" s="1">
        <v>300426</v>
      </c>
      <c r="R433" s="1">
        <v>292869</v>
      </c>
      <c r="S433" s="1">
        <v>292885</v>
      </c>
      <c r="T433" s="1">
        <v>281826</v>
      </c>
      <c r="U433" s="1">
        <v>13007</v>
      </c>
      <c r="V433" s="1">
        <v>10612</v>
      </c>
      <c r="W433" s="1">
        <v>10041</v>
      </c>
      <c r="X433" s="1">
        <v>11000</v>
      </c>
      <c r="Y433" s="1">
        <v>10512</v>
      </c>
      <c r="Z433" s="1">
        <v>7000</v>
      </c>
      <c r="AA433">
        <v>1</v>
      </c>
      <c r="AB433" t="str">
        <f t="shared" si="6"/>
        <v>Defaulter</v>
      </c>
      <c r="AC433" s="1">
        <f>Table2[[#This Row],[BILL_AMT1]]-Table2[[#This Row],[PAY_AMT1]]</f>
        <v>291860</v>
      </c>
      <c r="AD433" s="1" t="str" cm="1">
        <f t="array" ref="AD433">_xlfn.IFS(Table2[[#This Row],[PAYMENT GAP]]&lt;=0,"No Gap / Overpaid",Table2[[#This Row],[PAYMENT GAP]]&lt;=25000,"Low Gap",Table2[[#This Row],[PAYMENT GAP]]&lt;=100000,"Medium Gap",
TRUE,"High Gap"
)</f>
        <v>High Gap</v>
      </c>
    </row>
    <row r="434" spans="1:30" x14ac:dyDescent="0.3">
      <c r="A434">
        <v>433</v>
      </c>
      <c r="B434" s="1">
        <v>110000</v>
      </c>
      <c r="C434" s="1" t="str" cm="1">
        <f t="array" ref="C434">_xlfn.IFS(Table2[[#This Row],[LIMIT_BAL]]&lt;=100000,"Low",Table2[[#This Row],[LIMIT_BAL]]&lt;=300000,"Medium",
TRUE,"High"
)</f>
        <v>Medium</v>
      </c>
      <c r="D434" t="s">
        <v>2041</v>
      </c>
      <c r="E434" t="s">
        <v>2026</v>
      </c>
      <c r="F434" t="s">
        <v>2029</v>
      </c>
      <c r="G434">
        <v>29</v>
      </c>
      <c r="H434" t="str" cm="1">
        <f t="array" ref="H434">_xlfn.IFS(
Table2[[#This Row],[AGE]]&lt;30,"Young",
Table2[[#This Row],[AGE]]&lt;40,"Middle Age",
Table2[[#This Row],[AGE]]&lt;50,"Senior",
TRUE,"Super Senior"
)</f>
        <v>Young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 s="1">
        <v>48123</v>
      </c>
      <c r="P434" s="1">
        <v>49537</v>
      </c>
      <c r="Q434" s="1">
        <v>50422</v>
      </c>
      <c r="R434" s="1">
        <v>50990</v>
      </c>
      <c r="S434" s="1">
        <v>52014</v>
      </c>
      <c r="T434" s="1">
        <v>53206</v>
      </c>
      <c r="U434" s="1">
        <v>2500</v>
      </c>
      <c r="V434" s="1">
        <v>2500</v>
      </c>
      <c r="W434" s="1">
        <v>2000</v>
      </c>
      <c r="X434" s="1">
        <v>2000</v>
      </c>
      <c r="Y434" s="1">
        <v>2057</v>
      </c>
      <c r="Z434" s="1">
        <v>2500</v>
      </c>
      <c r="AA434">
        <v>0</v>
      </c>
      <c r="AB434" t="str">
        <f t="shared" si="6"/>
        <v>Not Defaulter</v>
      </c>
      <c r="AC434" s="1">
        <f>Table2[[#This Row],[BILL_AMT1]]-Table2[[#This Row],[PAY_AMT1]]</f>
        <v>45623</v>
      </c>
      <c r="AD434" s="1" t="str" cm="1">
        <f t="array" ref="AD434">_xlfn.IFS(Table2[[#This Row],[PAYMENT GAP]]&lt;=0,"No Gap / Overpaid",Table2[[#This Row],[PAYMENT GAP]]&lt;=25000,"Low Gap",Table2[[#This Row],[PAYMENT GAP]]&lt;=100000,"Medium Gap",
TRUE,"High Gap"
)</f>
        <v>Medium Gap</v>
      </c>
    </row>
    <row r="435" spans="1:30" x14ac:dyDescent="0.3">
      <c r="A435">
        <v>434</v>
      </c>
      <c r="B435" s="1">
        <v>580000</v>
      </c>
      <c r="C435" s="1" t="str" cm="1">
        <f t="array" ref="C435">_xlfn.IFS(Table2[[#This Row],[LIMIT_BAL]]&lt;=100000,"Low",Table2[[#This Row],[LIMIT_BAL]]&lt;=300000,"Medium",
TRUE,"High"
)</f>
        <v>High</v>
      </c>
      <c r="D435" t="s">
        <v>2041</v>
      </c>
      <c r="E435" t="s">
        <v>2026</v>
      </c>
      <c r="F435" t="s">
        <v>2028</v>
      </c>
      <c r="G435">
        <v>36</v>
      </c>
      <c r="H435" t="str" cm="1">
        <f t="array" ref="H435">_xlfn.IFS(
Table2[[#This Row],[AGE]]&lt;30,"Young",
Table2[[#This Row],[AGE]]&lt;40,"Middle Age",
Table2[[#This Row],[AGE]]&lt;50,"Senior",
TRUE,"Super Senior"
)</f>
        <v>Middle Age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 s="1">
        <v>159760</v>
      </c>
      <c r="P435" s="1">
        <v>162189</v>
      </c>
      <c r="Q435" s="1">
        <v>166127</v>
      </c>
      <c r="R435" s="1">
        <v>169365</v>
      </c>
      <c r="S435" s="1">
        <v>168755</v>
      </c>
      <c r="T435" s="1">
        <v>167964</v>
      </c>
      <c r="U435" s="1">
        <v>6422</v>
      </c>
      <c r="V435" s="1">
        <v>6565</v>
      </c>
      <c r="W435" s="1">
        <v>5951</v>
      </c>
      <c r="X435" s="1">
        <v>6006</v>
      </c>
      <c r="Y435" s="1">
        <v>5894</v>
      </c>
      <c r="Z435" s="1">
        <v>5946</v>
      </c>
      <c r="AA435">
        <v>0</v>
      </c>
      <c r="AB435" t="str">
        <f t="shared" si="6"/>
        <v>Not Defaulter</v>
      </c>
      <c r="AC435" s="1">
        <f>Table2[[#This Row],[BILL_AMT1]]-Table2[[#This Row],[PAY_AMT1]]</f>
        <v>153338</v>
      </c>
      <c r="AD435" s="1" t="str" cm="1">
        <f t="array" ref="AD435">_xlfn.IFS(Table2[[#This Row],[PAYMENT GAP]]&lt;=0,"No Gap / Overpaid",Table2[[#This Row],[PAYMENT GAP]]&lt;=25000,"Low Gap",Table2[[#This Row],[PAYMENT GAP]]&lt;=100000,"Medium Gap",
TRUE,"High Gap"
)</f>
        <v>High Gap</v>
      </c>
    </row>
    <row r="436" spans="1:30" x14ac:dyDescent="0.3">
      <c r="A436">
        <v>435</v>
      </c>
      <c r="B436" s="1">
        <v>360000</v>
      </c>
      <c r="C436" s="1" t="str" cm="1">
        <f t="array" ref="C436">_xlfn.IFS(Table2[[#This Row],[LIMIT_BAL]]&lt;=100000,"Low",Table2[[#This Row],[LIMIT_BAL]]&lt;=300000,"Medium",
TRUE,"High"
)</f>
        <v>High</v>
      </c>
      <c r="D436" t="s">
        <v>2042</v>
      </c>
      <c r="E436" t="s">
        <v>2027</v>
      </c>
      <c r="F436" t="s">
        <v>2028</v>
      </c>
      <c r="G436">
        <v>55</v>
      </c>
      <c r="H436" t="str" cm="1">
        <f t="array" ref="H436">_xlfn.IFS(
Table2[[#This Row],[AGE]]&lt;30,"Young",
Table2[[#This Row],[AGE]]&lt;40,"Middle Age",
Table2[[#This Row],[AGE]]&lt;50,"Senior",
TRUE,"Super Senior"
)</f>
        <v>Super Senior</v>
      </c>
      <c r="I436">
        <v>0</v>
      </c>
      <c r="J436">
        <v>0</v>
      </c>
      <c r="K436">
        <v>-1</v>
      </c>
      <c r="L436">
        <v>-1</v>
      </c>
      <c r="M436">
        <v>-1</v>
      </c>
      <c r="N436">
        <v>-2</v>
      </c>
      <c r="O436" s="1">
        <v>9210</v>
      </c>
      <c r="P436" s="1">
        <v>8485</v>
      </c>
      <c r="Q436" s="1">
        <v>17231</v>
      </c>
      <c r="R436" s="1">
        <v>1770</v>
      </c>
      <c r="S436" s="1">
        <v>0</v>
      </c>
      <c r="T436" s="1">
        <v>0</v>
      </c>
      <c r="U436" s="1">
        <v>6015</v>
      </c>
      <c r="V436" s="1">
        <v>17454</v>
      </c>
      <c r="W436" s="1">
        <v>1775</v>
      </c>
      <c r="X436" s="1">
        <v>0</v>
      </c>
      <c r="Y436" s="1">
        <v>0</v>
      </c>
      <c r="Z436" s="1">
        <v>0</v>
      </c>
      <c r="AA436">
        <v>0</v>
      </c>
      <c r="AB436" t="str">
        <f t="shared" si="6"/>
        <v>Not Defaulter</v>
      </c>
      <c r="AC436" s="1">
        <f>Table2[[#This Row],[BILL_AMT1]]-Table2[[#This Row],[PAY_AMT1]]</f>
        <v>3195</v>
      </c>
      <c r="AD436" s="1" t="str" cm="1">
        <f t="array" ref="AD436">_xlfn.IFS(Table2[[#This Row],[PAYMENT GAP]]&lt;=0,"No Gap / Overpaid",Table2[[#This Row],[PAYMENT GAP]]&lt;=25000,"Low Gap",Table2[[#This Row],[PAYMENT GAP]]&lt;=100000,"Medium Gap",
TRUE,"High Gap"
)</f>
        <v>Low Gap</v>
      </c>
    </row>
    <row r="437" spans="1:30" x14ac:dyDescent="0.3">
      <c r="A437">
        <v>436</v>
      </c>
      <c r="B437" s="1">
        <v>270000</v>
      </c>
      <c r="C437" s="1" t="str" cm="1">
        <f t="array" ref="C437">_xlfn.IFS(Table2[[#This Row],[LIMIT_BAL]]&lt;=100000,"Low",Table2[[#This Row],[LIMIT_BAL]]&lt;=300000,"Medium",
TRUE,"High"
)</f>
        <v>Medium</v>
      </c>
      <c r="D437" t="s">
        <v>2041</v>
      </c>
      <c r="E437" t="s">
        <v>2043</v>
      </c>
      <c r="F437" t="s">
        <v>2028</v>
      </c>
      <c r="G437">
        <v>32</v>
      </c>
      <c r="H437" t="str" cm="1">
        <f t="array" ref="H437">_xlfn.IFS(
Table2[[#This Row],[AGE]]&lt;30,"Young",
Table2[[#This Row],[AGE]]&lt;40,"Middle Age",
Table2[[#This Row],[AGE]]&lt;50,"Senior",
TRUE,"Super Senior"
)</f>
        <v>Middle Age</v>
      </c>
      <c r="I437">
        <v>1</v>
      </c>
      <c r="J437">
        <v>2</v>
      </c>
      <c r="K437">
        <v>2</v>
      </c>
      <c r="L437">
        <v>2</v>
      </c>
      <c r="M437">
        <v>2</v>
      </c>
      <c r="N437">
        <v>2</v>
      </c>
      <c r="O437" s="1">
        <v>234752</v>
      </c>
      <c r="P437" s="1">
        <v>233036</v>
      </c>
      <c r="Q437" s="1">
        <v>229286</v>
      </c>
      <c r="R437" s="1">
        <v>217644</v>
      </c>
      <c r="S437" s="1">
        <v>223690</v>
      </c>
      <c r="T437" s="1">
        <v>221413</v>
      </c>
      <c r="U437" s="1">
        <v>10000</v>
      </c>
      <c r="V437" s="1">
        <v>8000</v>
      </c>
      <c r="W437" s="1">
        <v>0</v>
      </c>
      <c r="X437" s="1">
        <v>16000</v>
      </c>
      <c r="Y437" s="1">
        <v>8000</v>
      </c>
      <c r="Z437" s="1">
        <v>0</v>
      </c>
      <c r="AA437">
        <v>1</v>
      </c>
      <c r="AB437" t="str">
        <f t="shared" si="6"/>
        <v>Defaulter</v>
      </c>
      <c r="AC437" s="1">
        <f>Table2[[#This Row],[BILL_AMT1]]-Table2[[#This Row],[PAY_AMT1]]</f>
        <v>224752</v>
      </c>
      <c r="AD437" s="1" t="str" cm="1">
        <f t="array" ref="AD437">_xlfn.IFS(Table2[[#This Row],[PAYMENT GAP]]&lt;=0,"No Gap / Overpaid",Table2[[#This Row],[PAYMENT GAP]]&lt;=25000,"Low Gap",Table2[[#This Row],[PAYMENT GAP]]&lt;=100000,"Medium Gap",
TRUE,"High Gap"
)</f>
        <v>High Gap</v>
      </c>
    </row>
    <row r="438" spans="1:30" x14ac:dyDescent="0.3">
      <c r="A438">
        <v>437</v>
      </c>
      <c r="B438" s="1">
        <v>60000</v>
      </c>
      <c r="C438" s="1" t="str" cm="1">
        <f t="array" ref="C438">_xlfn.IFS(Table2[[#This Row],[LIMIT_BAL]]&lt;=100000,"Low",Table2[[#This Row],[LIMIT_BAL]]&lt;=300000,"Medium",
TRUE,"High"
)</f>
        <v>Low</v>
      </c>
      <c r="D438" t="s">
        <v>2041</v>
      </c>
      <c r="E438" t="s">
        <v>2026</v>
      </c>
      <c r="F438" t="s">
        <v>2029</v>
      </c>
      <c r="G438">
        <v>27</v>
      </c>
      <c r="H438" t="str" cm="1">
        <f t="array" ref="H438">_xlfn.IFS(
Table2[[#This Row],[AGE]]&lt;30,"Young",
Table2[[#This Row],[AGE]]&lt;40,"Middle Age",
Table2[[#This Row],[AGE]]&lt;50,"Senior",
TRUE,"Super Senior"
)</f>
        <v>Young</v>
      </c>
      <c r="I438">
        <v>-1</v>
      </c>
      <c r="J438">
        <v>-1</v>
      </c>
      <c r="K438">
        <v>-2</v>
      </c>
      <c r="L438">
        <v>-1</v>
      </c>
      <c r="M438">
        <v>2</v>
      </c>
      <c r="N438">
        <v>-1</v>
      </c>
      <c r="O438" s="1">
        <v>14072</v>
      </c>
      <c r="P438" s="1">
        <v>0</v>
      </c>
      <c r="Q438" s="1">
        <v>0</v>
      </c>
      <c r="R438" s="1">
        <v>300</v>
      </c>
      <c r="S438" s="1">
        <v>150</v>
      </c>
      <c r="T438" s="1">
        <v>150</v>
      </c>
      <c r="U438" s="1">
        <v>0</v>
      </c>
      <c r="V438" s="1">
        <v>0</v>
      </c>
      <c r="W438" s="1">
        <v>300</v>
      </c>
      <c r="X438" s="1">
        <v>0</v>
      </c>
      <c r="Y438" s="1">
        <v>150</v>
      </c>
      <c r="Z438" s="1">
        <v>200</v>
      </c>
      <c r="AA438">
        <v>0</v>
      </c>
      <c r="AB438" t="str">
        <f t="shared" si="6"/>
        <v>Not Defaulter</v>
      </c>
      <c r="AC438" s="1">
        <f>Table2[[#This Row],[BILL_AMT1]]-Table2[[#This Row],[PAY_AMT1]]</f>
        <v>14072</v>
      </c>
      <c r="AD438" s="1" t="str" cm="1">
        <f t="array" ref="AD438">_xlfn.IFS(Table2[[#This Row],[PAYMENT GAP]]&lt;=0,"No Gap / Overpaid",Table2[[#This Row],[PAYMENT GAP]]&lt;=25000,"Low Gap",Table2[[#This Row],[PAYMENT GAP]]&lt;=100000,"Medium Gap",
TRUE,"High Gap"
)</f>
        <v>Low Gap</v>
      </c>
    </row>
    <row r="439" spans="1:30" x14ac:dyDescent="0.3">
      <c r="A439">
        <v>438</v>
      </c>
      <c r="B439" s="1">
        <v>110000</v>
      </c>
      <c r="C439" s="1" t="str" cm="1">
        <f t="array" ref="C439">_xlfn.IFS(Table2[[#This Row],[LIMIT_BAL]]&lt;=100000,"Low",Table2[[#This Row],[LIMIT_BAL]]&lt;=300000,"Medium",
TRUE,"High"
)</f>
        <v>Medium</v>
      </c>
      <c r="D439" t="s">
        <v>2042</v>
      </c>
      <c r="E439" t="s">
        <v>2027</v>
      </c>
      <c r="F439" t="s">
        <v>2028</v>
      </c>
      <c r="G439">
        <v>37</v>
      </c>
      <c r="H439" t="str" cm="1">
        <f t="array" ref="H439">_xlfn.IFS(
Table2[[#This Row],[AGE]]&lt;30,"Young",
Table2[[#This Row],[AGE]]&lt;40,"Middle Age",
Table2[[#This Row],[AGE]]&lt;50,"Senior",
TRUE,"Super Senior"
)</f>
        <v>Middle Age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 s="1">
        <v>61807</v>
      </c>
      <c r="P439" s="1">
        <v>62499</v>
      </c>
      <c r="Q439" s="1">
        <v>62162</v>
      </c>
      <c r="R439" s="1">
        <v>60605</v>
      </c>
      <c r="S439" s="1">
        <v>60272</v>
      </c>
      <c r="T439" s="1">
        <v>60145</v>
      </c>
      <c r="U439" s="1">
        <v>2300</v>
      </c>
      <c r="V439" s="1">
        <v>2200</v>
      </c>
      <c r="W439" s="1">
        <v>2300</v>
      </c>
      <c r="X439" s="1">
        <v>2200</v>
      </c>
      <c r="Y439" s="1">
        <v>2300</v>
      </c>
      <c r="Z439" s="1">
        <v>2300</v>
      </c>
      <c r="AA439">
        <v>0</v>
      </c>
      <c r="AB439" t="str">
        <f t="shared" si="6"/>
        <v>Not Defaulter</v>
      </c>
      <c r="AC439" s="1">
        <f>Table2[[#This Row],[BILL_AMT1]]-Table2[[#This Row],[PAY_AMT1]]</f>
        <v>59507</v>
      </c>
      <c r="AD439" s="1" t="str" cm="1">
        <f t="array" ref="AD439">_xlfn.IFS(Table2[[#This Row],[PAYMENT GAP]]&lt;=0,"No Gap / Overpaid",Table2[[#This Row],[PAYMENT GAP]]&lt;=25000,"Low Gap",Table2[[#This Row],[PAYMENT GAP]]&lt;=100000,"Medium Gap",
TRUE,"High Gap"
)</f>
        <v>Medium Gap</v>
      </c>
    </row>
    <row r="440" spans="1:30" x14ac:dyDescent="0.3">
      <c r="A440">
        <v>439</v>
      </c>
      <c r="B440" s="1">
        <v>50000</v>
      </c>
      <c r="C440" s="1" t="str" cm="1">
        <f t="array" ref="C440">_xlfn.IFS(Table2[[#This Row],[LIMIT_BAL]]&lt;=100000,"Low",Table2[[#This Row],[LIMIT_BAL]]&lt;=300000,"Medium",
TRUE,"High"
)</f>
        <v>Low</v>
      </c>
      <c r="D440" t="s">
        <v>2041</v>
      </c>
      <c r="E440" t="s">
        <v>2026</v>
      </c>
      <c r="F440" t="s">
        <v>2028</v>
      </c>
      <c r="G440">
        <v>25</v>
      </c>
      <c r="H440" t="str" cm="1">
        <f t="array" ref="H440">_xlfn.IFS(
Table2[[#This Row],[AGE]]&lt;30,"Young",
Table2[[#This Row],[AGE]]&lt;40,"Middle Age",
Table2[[#This Row],[AGE]]&lt;50,"Senior",
TRUE,"Super Senior"
)</f>
        <v>Young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 s="1">
        <v>51044</v>
      </c>
      <c r="P440" s="1">
        <v>50231</v>
      </c>
      <c r="Q440" s="1">
        <v>46677</v>
      </c>
      <c r="R440" s="1">
        <v>44982</v>
      </c>
      <c r="S440" s="1">
        <v>21399</v>
      </c>
      <c r="T440" s="1">
        <v>20859</v>
      </c>
      <c r="U440" s="1">
        <v>2500</v>
      </c>
      <c r="V440" s="1">
        <v>3008</v>
      </c>
      <c r="W440" s="1">
        <v>1000</v>
      </c>
      <c r="X440" s="1">
        <v>761</v>
      </c>
      <c r="Y440" s="1">
        <v>800</v>
      </c>
      <c r="Z440" s="1">
        <v>704</v>
      </c>
      <c r="AA440">
        <v>0</v>
      </c>
      <c r="AB440" t="str">
        <f t="shared" si="6"/>
        <v>Not Defaulter</v>
      </c>
      <c r="AC440" s="1">
        <f>Table2[[#This Row],[BILL_AMT1]]-Table2[[#This Row],[PAY_AMT1]]</f>
        <v>48544</v>
      </c>
      <c r="AD440" s="1" t="str" cm="1">
        <f t="array" ref="AD440">_xlfn.IFS(Table2[[#This Row],[PAYMENT GAP]]&lt;=0,"No Gap / Overpaid",Table2[[#This Row],[PAYMENT GAP]]&lt;=25000,"Low Gap",Table2[[#This Row],[PAYMENT GAP]]&lt;=100000,"Medium Gap",
TRUE,"High Gap"
)</f>
        <v>Medium Gap</v>
      </c>
    </row>
    <row r="441" spans="1:30" x14ac:dyDescent="0.3">
      <c r="A441">
        <v>440</v>
      </c>
      <c r="B441" s="1">
        <v>80000</v>
      </c>
      <c r="C441" s="1" t="str" cm="1">
        <f t="array" ref="C441">_xlfn.IFS(Table2[[#This Row],[LIMIT_BAL]]&lt;=100000,"Low",Table2[[#This Row],[LIMIT_BAL]]&lt;=300000,"Medium",
TRUE,"High"
)</f>
        <v>Low</v>
      </c>
      <c r="D441" t="s">
        <v>2041</v>
      </c>
      <c r="E441" t="s">
        <v>2026</v>
      </c>
      <c r="F441" t="s">
        <v>2029</v>
      </c>
      <c r="G441">
        <v>23</v>
      </c>
      <c r="H441" t="str" cm="1">
        <f t="array" ref="H441">_xlfn.IFS(
Table2[[#This Row],[AGE]]&lt;30,"Young",
Table2[[#This Row],[AGE]]&lt;40,"Middle Age",
Table2[[#This Row],[AGE]]&lt;50,"Senior",
TRUE,"Super Senior"
)</f>
        <v>Young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 s="1">
        <v>77024</v>
      </c>
      <c r="P441" s="1">
        <v>73281</v>
      </c>
      <c r="Q441" s="1">
        <v>57806</v>
      </c>
      <c r="R441" s="1">
        <v>37642</v>
      </c>
      <c r="S441" s="1">
        <v>46235</v>
      </c>
      <c r="T441" s="1">
        <v>47110</v>
      </c>
      <c r="U441" s="1">
        <v>3212</v>
      </c>
      <c r="V441" s="1">
        <v>1600</v>
      </c>
      <c r="W441" s="1">
        <v>956</v>
      </c>
      <c r="X441" s="1">
        <v>40000</v>
      </c>
      <c r="Y441" s="1">
        <v>1800</v>
      </c>
      <c r="Z441" s="1">
        <v>1700</v>
      </c>
      <c r="AA441">
        <v>1</v>
      </c>
      <c r="AB441" t="str">
        <f t="shared" si="6"/>
        <v>Defaulter</v>
      </c>
      <c r="AC441" s="1">
        <f>Table2[[#This Row],[BILL_AMT1]]-Table2[[#This Row],[PAY_AMT1]]</f>
        <v>73812</v>
      </c>
      <c r="AD441" s="1" t="str" cm="1">
        <f t="array" ref="AD441">_xlfn.IFS(Table2[[#This Row],[PAYMENT GAP]]&lt;=0,"No Gap / Overpaid",Table2[[#This Row],[PAYMENT GAP]]&lt;=25000,"Low Gap",Table2[[#This Row],[PAYMENT GAP]]&lt;=100000,"Medium Gap",
TRUE,"High Gap"
)</f>
        <v>Medium Gap</v>
      </c>
    </row>
    <row r="442" spans="1:30" x14ac:dyDescent="0.3">
      <c r="A442">
        <v>441</v>
      </c>
      <c r="B442" s="1">
        <v>50000</v>
      </c>
      <c r="C442" s="1" t="str" cm="1">
        <f t="array" ref="C442">_xlfn.IFS(Table2[[#This Row],[LIMIT_BAL]]&lt;=100000,"Low",Table2[[#This Row],[LIMIT_BAL]]&lt;=300000,"Medium",
TRUE,"High"
)</f>
        <v>Low</v>
      </c>
      <c r="D442" t="s">
        <v>2042</v>
      </c>
      <c r="E442" t="s">
        <v>2043</v>
      </c>
      <c r="F442" t="s">
        <v>2029</v>
      </c>
      <c r="G442">
        <v>23</v>
      </c>
      <c r="H442" t="str" cm="1">
        <f t="array" ref="H442">_xlfn.IFS(
Table2[[#This Row],[AGE]]&lt;30,"Young",
Table2[[#This Row],[AGE]]&lt;40,"Middle Age",
Table2[[#This Row],[AGE]]&lt;50,"Senior",
TRUE,"Super Senior"
)</f>
        <v>Young</v>
      </c>
      <c r="I442">
        <v>-1</v>
      </c>
      <c r="J442">
        <v>-1</v>
      </c>
      <c r="K442">
        <v>-1</v>
      </c>
      <c r="L442">
        <v>-1</v>
      </c>
      <c r="M442">
        <v>0</v>
      </c>
      <c r="N442">
        <v>0</v>
      </c>
      <c r="O442" s="1">
        <v>350</v>
      </c>
      <c r="P442" s="1">
        <v>350</v>
      </c>
      <c r="Q442" s="1">
        <v>400</v>
      </c>
      <c r="R442" s="1">
        <v>1695</v>
      </c>
      <c r="S442" s="1">
        <v>12645</v>
      </c>
      <c r="T442" s="1">
        <v>12584</v>
      </c>
      <c r="U442" s="1">
        <v>350</v>
      </c>
      <c r="V442" s="1">
        <v>400</v>
      </c>
      <c r="W442" s="1">
        <v>1695</v>
      </c>
      <c r="X442" s="1">
        <v>11300</v>
      </c>
      <c r="Y442" s="1">
        <v>485</v>
      </c>
      <c r="Z442" s="1">
        <v>2400</v>
      </c>
      <c r="AA442">
        <v>0</v>
      </c>
      <c r="AB442" t="str">
        <f t="shared" si="6"/>
        <v>Not Defaulter</v>
      </c>
      <c r="AC442" s="1">
        <f>Table2[[#This Row],[BILL_AMT1]]-Table2[[#This Row],[PAY_AMT1]]</f>
        <v>0</v>
      </c>
      <c r="AD442" s="1" t="str" cm="1">
        <f t="array" ref="AD442">_xlfn.IFS(Table2[[#This Row],[PAYMENT GAP]]&lt;=0,"No Gap / Overpaid",Table2[[#This Row],[PAYMENT GAP]]&lt;=25000,"Low Gap",Table2[[#This Row],[PAYMENT GAP]]&lt;=100000,"Medium Gap",
TRUE,"High Gap"
)</f>
        <v>No Gap / Overpaid</v>
      </c>
    </row>
    <row r="443" spans="1:30" x14ac:dyDescent="0.3">
      <c r="A443">
        <v>442</v>
      </c>
      <c r="B443" s="1">
        <v>100000</v>
      </c>
      <c r="C443" s="1" t="str" cm="1">
        <f t="array" ref="C443">_xlfn.IFS(Table2[[#This Row],[LIMIT_BAL]]&lt;=100000,"Low",Table2[[#This Row],[LIMIT_BAL]]&lt;=300000,"Medium",
TRUE,"High"
)</f>
        <v>Low</v>
      </c>
      <c r="D443" t="s">
        <v>2042</v>
      </c>
      <c r="E443" t="s">
        <v>2026</v>
      </c>
      <c r="F443" t="s">
        <v>2029</v>
      </c>
      <c r="G443">
        <v>32</v>
      </c>
      <c r="H443" t="str" cm="1">
        <f t="array" ref="H443">_xlfn.IFS(
Table2[[#This Row],[AGE]]&lt;30,"Young",
Table2[[#This Row],[AGE]]&lt;40,"Middle Age",
Table2[[#This Row],[AGE]]&lt;50,"Senior",
TRUE,"Super Senior"
)</f>
        <v>Middle Age</v>
      </c>
      <c r="I443">
        <v>0</v>
      </c>
      <c r="J443">
        <v>0</v>
      </c>
      <c r="K443">
        <v>0</v>
      </c>
      <c r="L443">
        <v>0</v>
      </c>
      <c r="M443">
        <v>2</v>
      </c>
      <c r="N443">
        <v>2</v>
      </c>
      <c r="O443" s="1">
        <v>83831</v>
      </c>
      <c r="P443" s="1">
        <v>85586</v>
      </c>
      <c r="Q443" s="1">
        <v>87289</v>
      </c>
      <c r="R443" s="1">
        <v>91451</v>
      </c>
      <c r="S443" s="1">
        <v>93381</v>
      </c>
      <c r="T443" s="1">
        <v>89522</v>
      </c>
      <c r="U443" s="1">
        <v>4000</v>
      </c>
      <c r="V443" s="1">
        <v>4037</v>
      </c>
      <c r="W443" s="1">
        <v>6500</v>
      </c>
      <c r="X443" s="1">
        <v>3500</v>
      </c>
      <c r="Y443" s="1">
        <v>0</v>
      </c>
      <c r="Z443" s="1">
        <v>3200</v>
      </c>
      <c r="AA443">
        <v>0</v>
      </c>
      <c r="AB443" t="str">
        <f t="shared" si="6"/>
        <v>Not Defaulter</v>
      </c>
      <c r="AC443" s="1">
        <f>Table2[[#This Row],[BILL_AMT1]]-Table2[[#This Row],[PAY_AMT1]]</f>
        <v>79831</v>
      </c>
      <c r="AD443" s="1" t="str" cm="1">
        <f t="array" ref="AD443">_xlfn.IFS(Table2[[#This Row],[PAYMENT GAP]]&lt;=0,"No Gap / Overpaid",Table2[[#This Row],[PAYMENT GAP]]&lt;=25000,"Low Gap",Table2[[#This Row],[PAYMENT GAP]]&lt;=100000,"Medium Gap",
TRUE,"High Gap"
)</f>
        <v>Medium Gap</v>
      </c>
    </row>
    <row r="444" spans="1:30" x14ac:dyDescent="0.3">
      <c r="A444">
        <v>443</v>
      </c>
      <c r="B444" s="1">
        <v>30000</v>
      </c>
      <c r="C444" s="1" t="str" cm="1">
        <f t="array" ref="C444">_xlfn.IFS(Table2[[#This Row],[LIMIT_BAL]]&lt;=100000,"Low",Table2[[#This Row],[LIMIT_BAL]]&lt;=300000,"Medium",
TRUE,"High"
)</f>
        <v>Low</v>
      </c>
      <c r="D444" t="s">
        <v>2041</v>
      </c>
      <c r="E444" t="s">
        <v>2026</v>
      </c>
      <c r="F444" t="s">
        <v>2029</v>
      </c>
      <c r="G444">
        <v>26</v>
      </c>
      <c r="H444" t="str" cm="1">
        <f t="array" ref="H444">_xlfn.IFS(
Table2[[#This Row],[AGE]]&lt;30,"Young",
Table2[[#This Row],[AGE]]&lt;40,"Middle Age",
Table2[[#This Row],[AGE]]&lt;50,"Senior",
TRUE,"Super Senior"
)</f>
        <v>Young</v>
      </c>
      <c r="I444">
        <v>1</v>
      </c>
      <c r="J444">
        <v>-2</v>
      </c>
      <c r="K444">
        <v>-1</v>
      </c>
      <c r="L444">
        <v>-1</v>
      </c>
      <c r="M444">
        <v>-1</v>
      </c>
      <c r="N444">
        <v>-1</v>
      </c>
      <c r="O444" s="1">
        <v>0</v>
      </c>
      <c r="P444" s="1">
        <v>0</v>
      </c>
      <c r="Q444" s="1">
        <v>945</v>
      </c>
      <c r="R444" s="1">
        <v>0</v>
      </c>
      <c r="S444" s="1">
        <v>197</v>
      </c>
      <c r="T444" s="1">
        <v>2995</v>
      </c>
      <c r="U444" s="1">
        <v>0</v>
      </c>
      <c r="V444" s="1">
        <v>945</v>
      </c>
      <c r="W444" s="1">
        <v>0</v>
      </c>
      <c r="X444" s="1">
        <v>197</v>
      </c>
      <c r="Y444" s="1">
        <v>2995</v>
      </c>
      <c r="Z444" s="1">
        <v>0</v>
      </c>
      <c r="AA444">
        <v>0</v>
      </c>
      <c r="AB444" t="str">
        <f t="shared" si="6"/>
        <v>Not Defaulter</v>
      </c>
      <c r="AC444" s="1">
        <f>Table2[[#This Row],[BILL_AMT1]]-Table2[[#This Row],[PAY_AMT1]]</f>
        <v>0</v>
      </c>
      <c r="AD444" s="1" t="str" cm="1">
        <f t="array" ref="AD444">_xlfn.IFS(Table2[[#This Row],[PAYMENT GAP]]&lt;=0,"No Gap / Overpaid",Table2[[#This Row],[PAYMENT GAP]]&lt;=25000,"Low Gap",Table2[[#This Row],[PAYMENT GAP]]&lt;=100000,"Medium Gap",
TRUE,"High Gap"
)</f>
        <v>No Gap / Overpaid</v>
      </c>
    </row>
    <row r="445" spans="1:30" x14ac:dyDescent="0.3">
      <c r="A445">
        <v>444</v>
      </c>
      <c r="B445" s="1">
        <v>200000</v>
      </c>
      <c r="C445" s="1" t="str" cm="1">
        <f t="array" ref="C445">_xlfn.IFS(Table2[[#This Row],[LIMIT_BAL]]&lt;=100000,"Low",Table2[[#This Row],[LIMIT_BAL]]&lt;=300000,"Medium",
TRUE,"High"
)</f>
        <v>Medium</v>
      </c>
      <c r="D445" t="s">
        <v>2041</v>
      </c>
      <c r="E445" t="s">
        <v>2026</v>
      </c>
      <c r="F445" t="s">
        <v>2029</v>
      </c>
      <c r="G445">
        <v>27</v>
      </c>
      <c r="H445" t="str" cm="1">
        <f t="array" ref="H445">_xlfn.IFS(
Table2[[#This Row],[AGE]]&lt;30,"Young",
Table2[[#This Row],[AGE]]&lt;40,"Middle Age",
Table2[[#This Row],[AGE]]&lt;50,"Senior",
TRUE,"Super Senior"
)</f>
        <v>Young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 s="1">
        <v>122923</v>
      </c>
      <c r="P445" s="1">
        <v>124653</v>
      </c>
      <c r="Q445" s="1">
        <v>126355</v>
      </c>
      <c r="R445" s="1">
        <v>114881</v>
      </c>
      <c r="S445" s="1">
        <v>117213</v>
      </c>
      <c r="T445" s="1">
        <v>124793</v>
      </c>
      <c r="U445" s="1">
        <v>5704</v>
      </c>
      <c r="V445" s="1">
        <v>5930</v>
      </c>
      <c r="W445" s="1">
        <v>4000</v>
      </c>
      <c r="X445" s="1">
        <v>4003</v>
      </c>
      <c r="Y445" s="1">
        <v>10033</v>
      </c>
      <c r="Z445" s="1">
        <v>4400</v>
      </c>
      <c r="AA445">
        <v>0</v>
      </c>
      <c r="AB445" t="str">
        <f t="shared" si="6"/>
        <v>Not Defaulter</v>
      </c>
      <c r="AC445" s="1">
        <f>Table2[[#This Row],[BILL_AMT1]]-Table2[[#This Row],[PAY_AMT1]]</f>
        <v>117219</v>
      </c>
      <c r="AD445" s="1" t="str" cm="1">
        <f t="array" ref="AD445">_xlfn.IFS(Table2[[#This Row],[PAYMENT GAP]]&lt;=0,"No Gap / Overpaid",Table2[[#This Row],[PAYMENT GAP]]&lt;=25000,"Low Gap",Table2[[#This Row],[PAYMENT GAP]]&lt;=100000,"Medium Gap",
TRUE,"High Gap"
)</f>
        <v>High Gap</v>
      </c>
    </row>
    <row r="446" spans="1:30" x14ac:dyDescent="0.3">
      <c r="A446">
        <v>445</v>
      </c>
      <c r="B446" s="1">
        <v>240000</v>
      </c>
      <c r="C446" s="1" t="str" cm="1">
        <f t="array" ref="C446">_xlfn.IFS(Table2[[#This Row],[LIMIT_BAL]]&lt;=100000,"Low",Table2[[#This Row],[LIMIT_BAL]]&lt;=300000,"Medium",
TRUE,"High"
)</f>
        <v>Medium</v>
      </c>
      <c r="D446" t="s">
        <v>2042</v>
      </c>
      <c r="E446" t="s">
        <v>2026</v>
      </c>
      <c r="F446" t="s">
        <v>2029</v>
      </c>
      <c r="G446">
        <v>44</v>
      </c>
      <c r="H446" t="str" cm="1">
        <f t="array" ref="H446">_xlfn.IFS(
Table2[[#This Row],[AGE]]&lt;30,"Young",
Table2[[#This Row],[AGE]]&lt;40,"Middle Age",
Table2[[#This Row],[AGE]]&lt;50,"Senior",
TRUE,"Super Senior"
)</f>
        <v>Senior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s="1">
        <v>246135</v>
      </c>
      <c r="P446" s="1">
        <v>231443</v>
      </c>
      <c r="Q446" s="1">
        <v>234557</v>
      </c>
      <c r="R446" s="1">
        <v>200643</v>
      </c>
      <c r="S446" s="1">
        <v>194410</v>
      </c>
      <c r="T446" s="1">
        <v>198857</v>
      </c>
      <c r="U446" s="1">
        <v>12026</v>
      </c>
      <c r="V446" s="1">
        <v>9010</v>
      </c>
      <c r="W446" s="1">
        <v>7400</v>
      </c>
      <c r="X446" s="1">
        <v>8000</v>
      </c>
      <c r="Y446" s="1">
        <v>8000</v>
      </c>
      <c r="Z446" s="1">
        <v>7000</v>
      </c>
      <c r="AA446">
        <v>1</v>
      </c>
      <c r="AB446" t="str">
        <f t="shared" si="6"/>
        <v>Defaulter</v>
      </c>
      <c r="AC446" s="1">
        <f>Table2[[#This Row],[BILL_AMT1]]-Table2[[#This Row],[PAY_AMT1]]</f>
        <v>234109</v>
      </c>
      <c r="AD446" s="1" t="str" cm="1">
        <f t="array" ref="AD446">_xlfn.IFS(Table2[[#This Row],[PAYMENT GAP]]&lt;=0,"No Gap / Overpaid",Table2[[#This Row],[PAYMENT GAP]]&lt;=25000,"Low Gap",Table2[[#This Row],[PAYMENT GAP]]&lt;=100000,"Medium Gap",
TRUE,"High Gap"
)</f>
        <v>High Gap</v>
      </c>
    </row>
    <row r="447" spans="1:30" x14ac:dyDescent="0.3">
      <c r="A447">
        <v>446</v>
      </c>
      <c r="B447" s="1">
        <v>220000</v>
      </c>
      <c r="C447" s="1" t="str" cm="1">
        <f t="array" ref="C447">_xlfn.IFS(Table2[[#This Row],[LIMIT_BAL]]&lt;=100000,"Low",Table2[[#This Row],[LIMIT_BAL]]&lt;=300000,"Medium",
TRUE,"High"
)</f>
        <v>Medium</v>
      </c>
      <c r="D447" t="s">
        <v>2042</v>
      </c>
      <c r="E447" t="s">
        <v>2043</v>
      </c>
      <c r="F447" t="s">
        <v>2029</v>
      </c>
      <c r="G447">
        <v>34</v>
      </c>
      <c r="H447" t="str" cm="1">
        <f t="array" ref="H447">_xlfn.IFS(
Table2[[#This Row],[AGE]]&lt;30,"Young",
Table2[[#This Row],[AGE]]&lt;40,"Middle Age",
Table2[[#This Row],[AGE]]&lt;50,"Senior",
TRUE,"Super Senior"
)</f>
        <v>Middle Age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 s="1">
        <v>37304</v>
      </c>
      <c r="P447" s="1">
        <v>33304</v>
      </c>
      <c r="Q447" s="1">
        <v>29254</v>
      </c>
      <c r="R447" s="1">
        <v>24875</v>
      </c>
      <c r="S447" s="1">
        <v>20329</v>
      </c>
      <c r="T447" s="1">
        <v>15602</v>
      </c>
      <c r="U447" s="1">
        <v>1600</v>
      </c>
      <c r="V447" s="1">
        <v>1500</v>
      </c>
      <c r="W447" s="1">
        <v>1100</v>
      </c>
      <c r="X447" s="1">
        <v>1000</v>
      </c>
      <c r="Y447" s="1">
        <v>600</v>
      </c>
      <c r="Z447" s="1">
        <v>500</v>
      </c>
      <c r="AA447">
        <v>0</v>
      </c>
      <c r="AB447" t="str">
        <f t="shared" si="6"/>
        <v>Not Defaulter</v>
      </c>
      <c r="AC447" s="1">
        <f>Table2[[#This Row],[BILL_AMT1]]-Table2[[#This Row],[PAY_AMT1]]</f>
        <v>35704</v>
      </c>
      <c r="AD447" s="1" t="str" cm="1">
        <f t="array" ref="AD447">_xlfn.IFS(Table2[[#This Row],[PAYMENT GAP]]&lt;=0,"No Gap / Overpaid",Table2[[#This Row],[PAYMENT GAP]]&lt;=25000,"Low Gap",Table2[[#This Row],[PAYMENT GAP]]&lt;=100000,"Medium Gap",
TRUE,"High Gap"
)</f>
        <v>Medium Gap</v>
      </c>
    </row>
    <row r="448" spans="1:30" x14ac:dyDescent="0.3">
      <c r="A448">
        <v>447</v>
      </c>
      <c r="B448" s="1">
        <v>160000</v>
      </c>
      <c r="C448" s="1" t="str" cm="1">
        <f t="array" ref="C448">_xlfn.IFS(Table2[[#This Row],[LIMIT_BAL]]&lt;=100000,"Low",Table2[[#This Row],[LIMIT_BAL]]&lt;=300000,"Medium",
TRUE,"High"
)</f>
        <v>Medium</v>
      </c>
      <c r="D448" t="s">
        <v>2041</v>
      </c>
      <c r="E448" t="s">
        <v>2026</v>
      </c>
      <c r="F448" t="s">
        <v>2029</v>
      </c>
      <c r="G448">
        <v>28</v>
      </c>
      <c r="H448" t="str" cm="1">
        <f t="array" ref="H448">_xlfn.IFS(
Table2[[#This Row],[AGE]]&lt;30,"Young",
Table2[[#This Row],[AGE]]&lt;40,"Middle Age",
Table2[[#This Row],[AGE]]&lt;50,"Senior",
TRUE,"Super Senior"
)</f>
        <v>Young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 s="1">
        <v>146433</v>
      </c>
      <c r="P448" s="1">
        <v>107604</v>
      </c>
      <c r="Q448" s="1">
        <v>89902</v>
      </c>
      <c r="R448" s="1">
        <v>90983</v>
      </c>
      <c r="S448" s="1">
        <v>82255</v>
      </c>
      <c r="T448" s="1">
        <v>83988</v>
      </c>
      <c r="U448" s="1">
        <v>4500</v>
      </c>
      <c r="V448" s="1">
        <v>4400</v>
      </c>
      <c r="W448" s="1">
        <v>3000</v>
      </c>
      <c r="X448" s="1">
        <v>2400</v>
      </c>
      <c r="Y448" s="1">
        <v>2500</v>
      </c>
      <c r="Z448" s="1">
        <v>2500</v>
      </c>
      <c r="AA448">
        <v>0</v>
      </c>
      <c r="AB448" t="str">
        <f t="shared" si="6"/>
        <v>Not Defaulter</v>
      </c>
      <c r="AC448" s="1">
        <f>Table2[[#This Row],[BILL_AMT1]]-Table2[[#This Row],[PAY_AMT1]]</f>
        <v>141933</v>
      </c>
      <c r="AD448" s="1" t="str" cm="1">
        <f t="array" ref="AD448">_xlfn.IFS(Table2[[#This Row],[PAYMENT GAP]]&lt;=0,"No Gap / Overpaid",Table2[[#This Row],[PAYMENT GAP]]&lt;=25000,"Low Gap",Table2[[#This Row],[PAYMENT GAP]]&lt;=100000,"Medium Gap",
TRUE,"High Gap"
)</f>
        <v>High Gap</v>
      </c>
    </row>
    <row r="449" spans="1:30" x14ac:dyDescent="0.3">
      <c r="A449">
        <v>448</v>
      </c>
      <c r="B449" s="1">
        <v>180000</v>
      </c>
      <c r="C449" s="1" t="str" cm="1">
        <f t="array" ref="C449">_xlfn.IFS(Table2[[#This Row],[LIMIT_BAL]]&lt;=100000,"Low",Table2[[#This Row],[LIMIT_BAL]]&lt;=300000,"Medium",
TRUE,"High"
)</f>
        <v>Medium</v>
      </c>
      <c r="D449" t="s">
        <v>2041</v>
      </c>
      <c r="E449" t="s">
        <v>2026</v>
      </c>
      <c r="F449" t="s">
        <v>2028</v>
      </c>
      <c r="G449">
        <v>53</v>
      </c>
      <c r="H449" t="str" cm="1">
        <f t="array" ref="H449">_xlfn.IFS(
Table2[[#This Row],[AGE]]&lt;30,"Young",
Table2[[#This Row],[AGE]]&lt;40,"Middle Age",
Table2[[#This Row],[AGE]]&lt;50,"Senior",
TRUE,"Super Senior"
)</f>
        <v>Super Senior</v>
      </c>
      <c r="I449">
        <v>-1</v>
      </c>
      <c r="J449">
        <v>-1</v>
      </c>
      <c r="K449">
        <v>-1</v>
      </c>
      <c r="L449">
        <v>0</v>
      </c>
      <c r="M449">
        <v>0</v>
      </c>
      <c r="N449">
        <v>-1</v>
      </c>
      <c r="O449" s="1">
        <v>46122</v>
      </c>
      <c r="P449" s="1">
        <v>1260</v>
      </c>
      <c r="Q449" s="1">
        <v>29366</v>
      </c>
      <c r="R449" s="1">
        <v>5400</v>
      </c>
      <c r="S449" s="1">
        <v>0</v>
      </c>
      <c r="T449" s="1">
        <v>1599</v>
      </c>
      <c r="U449" s="1">
        <v>1260</v>
      </c>
      <c r="V449" s="1">
        <v>29366</v>
      </c>
      <c r="W449" s="1">
        <v>54</v>
      </c>
      <c r="X449" s="1">
        <v>0</v>
      </c>
      <c r="Y449" s="1">
        <v>1599</v>
      </c>
      <c r="Z449" s="1">
        <v>0</v>
      </c>
      <c r="AA449">
        <v>0</v>
      </c>
      <c r="AB449" t="str">
        <f t="shared" si="6"/>
        <v>Not Defaulter</v>
      </c>
      <c r="AC449" s="1">
        <f>Table2[[#This Row],[BILL_AMT1]]-Table2[[#This Row],[PAY_AMT1]]</f>
        <v>44862</v>
      </c>
      <c r="AD449" s="1" t="str" cm="1">
        <f t="array" ref="AD449">_xlfn.IFS(Table2[[#This Row],[PAYMENT GAP]]&lt;=0,"No Gap / Overpaid",Table2[[#This Row],[PAYMENT GAP]]&lt;=25000,"Low Gap",Table2[[#This Row],[PAYMENT GAP]]&lt;=100000,"Medium Gap",
TRUE,"High Gap"
)</f>
        <v>Medium Gap</v>
      </c>
    </row>
    <row r="450" spans="1:30" x14ac:dyDescent="0.3">
      <c r="A450">
        <v>449</v>
      </c>
      <c r="B450" s="1">
        <v>200000</v>
      </c>
      <c r="C450" s="1" t="str" cm="1">
        <f t="array" ref="C450">_xlfn.IFS(Table2[[#This Row],[LIMIT_BAL]]&lt;=100000,"Low",Table2[[#This Row],[LIMIT_BAL]]&lt;=300000,"Medium",
TRUE,"High"
)</f>
        <v>Medium</v>
      </c>
      <c r="D450" t="s">
        <v>2042</v>
      </c>
      <c r="E450" t="s">
        <v>2044</v>
      </c>
      <c r="F450" t="s">
        <v>2028</v>
      </c>
      <c r="G450">
        <v>42</v>
      </c>
      <c r="H450" t="str" cm="1">
        <f t="array" ref="H450">_xlfn.IFS(
Table2[[#This Row],[AGE]]&lt;30,"Young",
Table2[[#This Row],[AGE]]&lt;40,"Middle Age",
Table2[[#This Row],[AGE]]&lt;50,"Senior",
TRUE,"Super Senior"
)</f>
        <v>Senior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 s="1">
        <v>38564</v>
      </c>
      <c r="P450" s="1">
        <v>38246</v>
      </c>
      <c r="Q450" s="1">
        <v>32253</v>
      </c>
      <c r="R450" s="1">
        <v>30384</v>
      </c>
      <c r="S450" s="1">
        <v>30900</v>
      </c>
      <c r="T450" s="1">
        <v>0</v>
      </c>
      <c r="U450" s="1">
        <v>5000</v>
      </c>
      <c r="V450" s="1">
        <v>1485</v>
      </c>
      <c r="W450" s="1">
        <v>1956</v>
      </c>
      <c r="X450" s="1">
        <v>1500</v>
      </c>
      <c r="Y450" s="1">
        <v>0</v>
      </c>
      <c r="Z450" s="1">
        <v>2102</v>
      </c>
      <c r="AA450">
        <v>0</v>
      </c>
      <c r="AB450" t="str">
        <f t="shared" si="6"/>
        <v>Not Defaulter</v>
      </c>
      <c r="AC450" s="1">
        <f>Table2[[#This Row],[BILL_AMT1]]-Table2[[#This Row],[PAY_AMT1]]</f>
        <v>33564</v>
      </c>
      <c r="AD450" s="1" t="str" cm="1">
        <f t="array" ref="AD450">_xlfn.IFS(Table2[[#This Row],[PAYMENT GAP]]&lt;=0,"No Gap / Overpaid",Table2[[#This Row],[PAYMENT GAP]]&lt;=25000,"Low Gap",Table2[[#This Row],[PAYMENT GAP]]&lt;=100000,"Medium Gap",
TRUE,"High Gap"
)</f>
        <v>Medium Gap</v>
      </c>
    </row>
    <row r="451" spans="1:30" x14ac:dyDescent="0.3">
      <c r="A451">
        <v>450</v>
      </c>
      <c r="B451" s="1">
        <v>140000</v>
      </c>
      <c r="C451" s="1" t="str" cm="1">
        <f t="array" ref="C451">_xlfn.IFS(Table2[[#This Row],[LIMIT_BAL]]&lt;=100000,"Low",Table2[[#This Row],[LIMIT_BAL]]&lt;=300000,"Medium",
TRUE,"High"
)</f>
        <v>Medium</v>
      </c>
      <c r="D451" t="s">
        <v>2041</v>
      </c>
      <c r="E451" t="s">
        <v>2027</v>
      </c>
      <c r="F451" t="s">
        <v>2028</v>
      </c>
      <c r="G451">
        <v>30</v>
      </c>
      <c r="H451" t="str" cm="1">
        <f t="array" ref="H451">_xlfn.IFS(
Table2[[#This Row],[AGE]]&lt;30,"Young",
Table2[[#This Row],[AGE]]&lt;40,"Middle Age",
Table2[[#This Row],[AGE]]&lt;50,"Senior",
TRUE,"Super Senior"
)</f>
        <v>Middle Age</v>
      </c>
      <c r="I451">
        <v>0</v>
      </c>
      <c r="J451">
        <v>0</v>
      </c>
      <c r="K451">
        <v>0</v>
      </c>
      <c r="L451">
        <v>2</v>
      </c>
      <c r="M451">
        <v>0</v>
      </c>
      <c r="N451">
        <v>0</v>
      </c>
      <c r="O451" s="1">
        <v>96304</v>
      </c>
      <c r="P451" s="1">
        <v>98007</v>
      </c>
      <c r="Q451" s="1">
        <v>82227</v>
      </c>
      <c r="R451" s="1">
        <v>65000</v>
      </c>
      <c r="S451" s="1">
        <v>60848</v>
      </c>
      <c r="T451" s="1">
        <v>58880</v>
      </c>
      <c r="U451" s="1">
        <v>4505</v>
      </c>
      <c r="V451" s="1">
        <v>12906</v>
      </c>
      <c r="W451" s="1">
        <v>0</v>
      </c>
      <c r="X451" s="1">
        <v>2210</v>
      </c>
      <c r="Y451" s="1">
        <v>2300</v>
      </c>
      <c r="Z451" s="1">
        <v>5200</v>
      </c>
      <c r="AA451">
        <v>0</v>
      </c>
      <c r="AB451" t="str">
        <f t="shared" ref="AB451:AB514" si="7">IF(AA451=1,"Defaulter","Not Defaulter")</f>
        <v>Not Defaulter</v>
      </c>
      <c r="AC451" s="1">
        <f>Table2[[#This Row],[BILL_AMT1]]-Table2[[#This Row],[PAY_AMT1]]</f>
        <v>91799</v>
      </c>
      <c r="AD451" s="1" t="str" cm="1">
        <f t="array" ref="AD451">_xlfn.IFS(Table2[[#This Row],[PAYMENT GAP]]&lt;=0,"No Gap / Overpaid",Table2[[#This Row],[PAYMENT GAP]]&lt;=25000,"Low Gap",Table2[[#This Row],[PAYMENT GAP]]&lt;=100000,"Medium Gap",
TRUE,"High Gap"
)</f>
        <v>Medium Gap</v>
      </c>
    </row>
    <row r="452" spans="1:30" x14ac:dyDescent="0.3">
      <c r="A452">
        <v>451</v>
      </c>
      <c r="B452" s="1">
        <v>380000</v>
      </c>
      <c r="C452" s="1" t="str" cm="1">
        <f t="array" ref="C452">_xlfn.IFS(Table2[[#This Row],[LIMIT_BAL]]&lt;=100000,"Low",Table2[[#This Row],[LIMIT_BAL]]&lt;=300000,"Medium",
TRUE,"High"
)</f>
        <v>High</v>
      </c>
      <c r="D452" t="s">
        <v>2042</v>
      </c>
      <c r="E452" t="s">
        <v>2026</v>
      </c>
      <c r="F452" t="s">
        <v>2028</v>
      </c>
      <c r="G452">
        <v>51</v>
      </c>
      <c r="H452" t="str" cm="1">
        <f t="array" ref="H452">_xlfn.IFS(
Table2[[#This Row],[AGE]]&lt;30,"Young",
Table2[[#This Row],[AGE]]&lt;40,"Middle Age",
Table2[[#This Row],[AGE]]&lt;50,"Senior",
TRUE,"Super Senior"
)</f>
        <v>Super Senior</v>
      </c>
      <c r="I452">
        <v>1</v>
      </c>
      <c r="J452">
        <v>-2</v>
      </c>
      <c r="K452">
        <v>-2</v>
      </c>
      <c r="L452">
        <v>-2</v>
      </c>
      <c r="M452">
        <v>-2</v>
      </c>
      <c r="N452">
        <v>-2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>
        <v>1</v>
      </c>
      <c r="AB452" t="str">
        <f t="shared" si="7"/>
        <v>Defaulter</v>
      </c>
      <c r="AC452" s="1">
        <f>Table2[[#This Row],[BILL_AMT1]]-Table2[[#This Row],[PAY_AMT1]]</f>
        <v>0</v>
      </c>
      <c r="AD452" s="1" t="str" cm="1">
        <f t="array" ref="AD452">_xlfn.IFS(Table2[[#This Row],[PAYMENT GAP]]&lt;=0,"No Gap / Overpaid",Table2[[#This Row],[PAYMENT GAP]]&lt;=25000,"Low Gap",Table2[[#This Row],[PAYMENT GAP]]&lt;=100000,"Medium Gap",
TRUE,"High Gap"
)</f>
        <v>No Gap / Overpaid</v>
      </c>
    </row>
    <row r="453" spans="1:30" x14ac:dyDescent="0.3">
      <c r="A453">
        <v>452</v>
      </c>
      <c r="B453" s="1">
        <v>600000</v>
      </c>
      <c r="C453" s="1" t="str" cm="1">
        <f t="array" ref="C453">_xlfn.IFS(Table2[[#This Row],[LIMIT_BAL]]&lt;=100000,"Low",Table2[[#This Row],[LIMIT_BAL]]&lt;=300000,"Medium",
TRUE,"High"
)</f>
        <v>High</v>
      </c>
      <c r="D453" t="s">
        <v>2042</v>
      </c>
      <c r="E453" t="s">
        <v>2026</v>
      </c>
      <c r="F453" t="s">
        <v>2028</v>
      </c>
      <c r="G453">
        <v>53</v>
      </c>
      <c r="H453" t="str" cm="1">
        <f t="array" ref="H453">_xlfn.IFS(
Table2[[#This Row],[AGE]]&lt;30,"Young",
Table2[[#This Row],[AGE]]&lt;40,"Middle Age",
Table2[[#This Row],[AGE]]&lt;50,"Senior",
TRUE,"Super Senior"
)</f>
        <v>Super Senior</v>
      </c>
      <c r="I453">
        <v>2</v>
      </c>
      <c r="J453">
        <v>2</v>
      </c>
      <c r="K453">
        <v>0</v>
      </c>
      <c r="L453">
        <v>0</v>
      </c>
      <c r="M453">
        <v>0</v>
      </c>
      <c r="N453">
        <v>0</v>
      </c>
      <c r="O453" s="1">
        <v>467150</v>
      </c>
      <c r="P453" s="1">
        <v>458862</v>
      </c>
      <c r="Q453" s="1">
        <v>469703</v>
      </c>
      <c r="R453" s="1">
        <v>447130</v>
      </c>
      <c r="S453" s="1">
        <v>440982</v>
      </c>
      <c r="T453" s="1">
        <v>434715</v>
      </c>
      <c r="U453" s="1">
        <v>0</v>
      </c>
      <c r="V453" s="1">
        <v>18000</v>
      </c>
      <c r="W453" s="1">
        <v>16000</v>
      </c>
      <c r="X453" s="1">
        <v>16000</v>
      </c>
      <c r="Y453" s="1">
        <v>21000</v>
      </c>
      <c r="Z453" s="1">
        <v>20000</v>
      </c>
      <c r="AA453">
        <v>1</v>
      </c>
      <c r="AB453" t="str">
        <f t="shared" si="7"/>
        <v>Defaulter</v>
      </c>
      <c r="AC453" s="1">
        <f>Table2[[#This Row],[BILL_AMT1]]-Table2[[#This Row],[PAY_AMT1]]</f>
        <v>467150</v>
      </c>
      <c r="AD453" s="1" t="str" cm="1">
        <f t="array" ref="AD453">_xlfn.IFS(Table2[[#This Row],[PAYMENT GAP]]&lt;=0,"No Gap / Overpaid",Table2[[#This Row],[PAYMENT GAP]]&lt;=25000,"Low Gap",Table2[[#This Row],[PAYMENT GAP]]&lt;=100000,"Medium Gap",
TRUE,"High Gap"
)</f>
        <v>High Gap</v>
      </c>
    </row>
    <row r="454" spans="1:30" x14ac:dyDescent="0.3">
      <c r="A454">
        <v>453</v>
      </c>
      <c r="B454" s="1">
        <v>260000</v>
      </c>
      <c r="C454" s="1" t="str" cm="1">
        <f t="array" ref="C454">_xlfn.IFS(Table2[[#This Row],[LIMIT_BAL]]&lt;=100000,"Low",Table2[[#This Row],[LIMIT_BAL]]&lt;=300000,"Medium",
TRUE,"High"
)</f>
        <v>Medium</v>
      </c>
      <c r="D454" t="s">
        <v>2042</v>
      </c>
      <c r="E454" t="s">
        <v>2043</v>
      </c>
      <c r="F454" t="s">
        <v>2029</v>
      </c>
      <c r="G454">
        <v>37</v>
      </c>
      <c r="H454" t="str" cm="1">
        <f t="array" ref="H454">_xlfn.IFS(
Table2[[#This Row],[AGE]]&lt;30,"Young",
Table2[[#This Row],[AGE]]&lt;40,"Middle Age",
Table2[[#This Row],[AGE]]&lt;50,"Senior",
TRUE,"Super Senior"
)</f>
        <v>Middle Age</v>
      </c>
      <c r="I454">
        <v>0</v>
      </c>
      <c r="J454">
        <v>0</v>
      </c>
      <c r="K454">
        <v>0</v>
      </c>
      <c r="L454">
        <v>-1</v>
      </c>
      <c r="M454">
        <v>0</v>
      </c>
      <c r="N454">
        <v>0</v>
      </c>
      <c r="O454" s="1">
        <v>255691</v>
      </c>
      <c r="P454" s="1">
        <v>262736</v>
      </c>
      <c r="Q454" s="1">
        <v>36638</v>
      </c>
      <c r="R454" s="1">
        <v>122388</v>
      </c>
      <c r="S454" s="1">
        <v>127402</v>
      </c>
      <c r="T454" s="1">
        <v>131074</v>
      </c>
      <c r="U454" s="1">
        <v>14000</v>
      </c>
      <c r="V454" s="1">
        <v>5022</v>
      </c>
      <c r="W454" s="1">
        <v>130000</v>
      </c>
      <c r="X454" s="1">
        <v>7000</v>
      </c>
      <c r="Y454" s="1">
        <v>6000</v>
      </c>
      <c r="Z454" s="1">
        <v>6000</v>
      </c>
      <c r="AA454">
        <v>0</v>
      </c>
      <c r="AB454" t="str">
        <f t="shared" si="7"/>
        <v>Not Defaulter</v>
      </c>
      <c r="AC454" s="1">
        <f>Table2[[#This Row],[BILL_AMT1]]-Table2[[#This Row],[PAY_AMT1]]</f>
        <v>241691</v>
      </c>
      <c r="AD454" s="1" t="str" cm="1">
        <f t="array" ref="AD454">_xlfn.IFS(Table2[[#This Row],[PAYMENT GAP]]&lt;=0,"No Gap / Overpaid",Table2[[#This Row],[PAYMENT GAP]]&lt;=25000,"Low Gap",Table2[[#This Row],[PAYMENT GAP]]&lt;=100000,"Medium Gap",
TRUE,"High Gap"
)</f>
        <v>High Gap</v>
      </c>
    </row>
    <row r="455" spans="1:30" x14ac:dyDescent="0.3">
      <c r="A455">
        <v>454</v>
      </c>
      <c r="B455" s="1">
        <v>200000</v>
      </c>
      <c r="C455" s="1" t="str" cm="1">
        <f t="array" ref="C455">_xlfn.IFS(Table2[[#This Row],[LIMIT_BAL]]&lt;=100000,"Low",Table2[[#This Row],[LIMIT_BAL]]&lt;=300000,"Medium",
TRUE,"High"
)</f>
        <v>Medium</v>
      </c>
      <c r="D455" t="s">
        <v>2041</v>
      </c>
      <c r="E455" t="s">
        <v>2026</v>
      </c>
      <c r="F455" t="s">
        <v>2029</v>
      </c>
      <c r="G455">
        <v>26</v>
      </c>
      <c r="H455" t="str" cm="1">
        <f t="array" ref="H455">_xlfn.IFS(
Table2[[#This Row],[AGE]]&lt;30,"Young",
Table2[[#This Row],[AGE]]&lt;40,"Middle Age",
Table2[[#This Row],[AGE]]&lt;50,"Senior",
TRUE,"Super Senior"
)</f>
        <v>Young</v>
      </c>
      <c r="I455">
        <v>0</v>
      </c>
      <c r="J455">
        <v>0</v>
      </c>
      <c r="K455">
        <v>-2</v>
      </c>
      <c r="L455">
        <v>-2</v>
      </c>
      <c r="M455">
        <v>-2</v>
      </c>
      <c r="N455">
        <v>-2</v>
      </c>
      <c r="O455" s="1">
        <v>156786</v>
      </c>
      <c r="P455" s="1">
        <v>179</v>
      </c>
      <c r="Q455" s="1">
        <v>1443</v>
      </c>
      <c r="R455" s="1">
        <v>1443</v>
      </c>
      <c r="S455" s="1">
        <v>1443</v>
      </c>
      <c r="T455" s="1">
        <v>871</v>
      </c>
      <c r="U455" s="1">
        <v>179</v>
      </c>
      <c r="V455" s="1">
        <v>1443</v>
      </c>
      <c r="W455" s="1">
        <v>1443</v>
      </c>
      <c r="X455" s="1">
        <v>1443</v>
      </c>
      <c r="Y455" s="1">
        <v>871</v>
      </c>
      <c r="Z455" s="1">
        <v>2015</v>
      </c>
      <c r="AA455">
        <v>0</v>
      </c>
      <c r="AB455" t="str">
        <f t="shared" si="7"/>
        <v>Not Defaulter</v>
      </c>
      <c r="AC455" s="1">
        <f>Table2[[#This Row],[BILL_AMT1]]-Table2[[#This Row],[PAY_AMT1]]</f>
        <v>156607</v>
      </c>
      <c r="AD455" s="1" t="str" cm="1">
        <f t="array" ref="AD455">_xlfn.IFS(Table2[[#This Row],[PAYMENT GAP]]&lt;=0,"No Gap / Overpaid",Table2[[#This Row],[PAYMENT GAP]]&lt;=25000,"Low Gap",Table2[[#This Row],[PAYMENT GAP]]&lt;=100000,"Medium Gap",
TRUE,"High Gap"
)</f>
        <v>High Gap</v>
      </c>
    </row>
    <row r="456" spans="1:30" x14ac:dyDescent="0.3">
      <c r="A456">
        <v>455</v>
      </c>
      <c r="B456" s="1">
        <v>80000</v>
      </c>
      <c r="C456" s="1" t="str" cm="1">
        <f t="array" ref="C456">_xlfn.IFS(Table2[[#This Row],[LIMIT_BAL]]&lt;=100000,"Low",Table2[[#This Row],[LIMIT_BAL]]&lt;=300000,"Medium",
TRUE,"High"
)</f>
        <v>Low</v>
      </c>
      <c r="D456" t="s">
        <v>2042</v>
      </c>
      <c r="E456" t="s">
        <v>2043</v>
      </c>
      <c r="F456" t="s">
        <v>2029</v>
      </c>
      <c r="G456">
        <v>42</v>
      </c>
      <c r="H456" t="str" cm="1">
        <f t="array" ref="H456">_xlfn.IFS(
Table2[[#This Row],[AGE]]&lt;30,"Young",
Table2[[#This Row],[AGE]]&lt;40,"Middle Age",
Table2[[#This Row],[AGE]]&lt;50,"Senior",
TRUE,"Super Senior"
)</f>
        <v>Senior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 s="1">
        <v>78129</v>
      </c>
      <c r="P456" s="1">
        <v>28202</v>
      </c>
      <c r="Q456" s="1">
        <v>78553</v>
      </c>
      <c r="R456" s="1">
        <v>49340</v>
      </c>
      <c r="S456" s="1">
        <v>48919</v>
      </c>
      <c r="T456" s="1">
        <v>48443</v>
      </c>
      <c r="U456" s="1">
        <v>2500</v>
      </c>
      <c r="V456" s="1">
        <v>51432</v>
      </c>
      <c r="W456" s="1">
        <v>1800</v>
      </c>
      <c r="X456" s="1">
        <v>1800</v>
      </c>
      <c r="Y456" s="1">
        <v>1800</v>
      </c>
      <c r="Z456" s="1">
        <v>1700</v>
      </c>
      <c r="AA456">
        <v>0</v>
      </c>
      <c r="AB456" t="str">
        <f t="shared" si="7"/>
        <v>Not Defaulter</v>
      </c>
      <c r="AC456" s="1">
        <f>Table2[[#This Row],[BILL_AMT1]]-Table2[[#This Row],[PAY_AMT1]]</f>
        <v>75629</v>
      </c>
      <c r="AD456" s="1" t="str" cm="1">
        <f t="array" ref="AD456">_xlfn.IFS(Table2[[#This Row],[PAYMENT GAP]]&lt;=0,"No Gap / Overpaid",Table2[[#This Row],[PAYMENT GAP]]&lt;=25000,"Low Gap",Table2[[#This Row],[PAYMENT GAP]]&lt;=100000,"Medium Gap",
TRUE,"High Gap"
)</f>
        <v>Medium Gap</v>
      </c>
    </row>
    <row r="457" spans="1:30" x14ac:dyDescent="0.3">
      <c r="A457">
        <v>456</v>
      </c>
      <c r="B457" s="1">
        <v>40000</v>
      </c>
      <c r="C457" s="1" t="str" cm="1">
        <f t="array" ref="C457">_xlfn.IFS(Table2[[#This Row],[LIMIT_BAL]]&lt;=100000,"Low",Table2[[#This Row],[LIMIT_BAL]]&lt;=300000,"Medium",
TRUE,"High"
)</f>
        <v>Low</v>
      </c>
      <c r="D457" t="s">
        <v>2042</v>
      </c>
      <c r="E457" t="s">
        <v>2043</v>
      </c>
      <c r="F457" t="s">
        <v>2029</v>
      </c>
      <c r="G457">
        <v>39</v>
      </c>
      <c r="H457" t="str" cm="1">
        <f t="array" ref="H457">_xlfn.IFS(
Table2[[#This Row],[AGE]]&lt;30,"Young",
Table2[[#This Row],[AGE]]&lt;40,"Middle Age",
Table2[[#This Row],[AGE]]&lt;50,"Senior",
TRUE,"Super Senior"
)</f>
        <v>Middle Age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-1</v>
      </c>
      <c r="O457" s="1">
        <v>40034</v>
      </c>
      <c r="P457" s="1">
        <v>36549</v>
      </c>
      <c r="Q457" s="1">
        <v>17431</v>
      </c>
      <c r="R457" s="1">
        <v>15031</v>
      </c>
      <c r="S457" s="1">
        <v>10600</v>
      </c>
      <c r="T457" s="1">
        <v>5315</v>
      </c>
      <c r="U457" s="1">
        <v>2027</v>
      </c>
      <c r="V457" s="1">
        <v>1207</v>
      </c>
      <c r="W457" s="1">
        <v>301</v>
      </c>
      <c r="X457" s="1">
        <v>212</v>
      </c>
      <c r="Y457" s="1">
        <v>5315</v>
      </c>
      <c r="Z457" s="1">
        <v>4987</v>
      </c>
      <c r="AA457">
        <v>0</v>
      </c>
      <c r="AB457" t="str">
        <f t="shared" si="7"/>
        <v>Not Defaulter</v>
      </c>
      <c r="AC457" s="1">
        <f>Table2[[#This Row],[BILL_AMT1]]-Table2[[#This Row],[PAY_AMT1]]</f>
        <v>38007</v>
      </c>
      <c r="AD457" s="1" t="str" cm="1">
        <f t="array" ref="AD457">_xlfn.IFS(Table2[[#This Row],[PAYMENT GAP]]&lt;=0,"No Gap / Overpaid",Table2[[#This Row],[PAYMENT GAP]]&lt;=25000,"Low Gap",Table2[[#This Row],[PAYMENT GAP]]&lt;=100000,"Medium Gap",
TRUE,"High Gap"
)</f>
        <v>Medium Gap</v>
      </c>
    </row>
    <row r="458" spans="1:30" x14ac:dyDescent="0.3">
      <c r="A458">
        <v>457</v>
      </c>
      <c r="B458" s="1">
        <v>130000</v>
      </c>
      <c r="C458" s="1" t="str" cm="1">
        <f t="array" ref="C458">_xlfn.IFS(Table2[[#This Row],[LIMIT_BAL]]&lt;=100000,"Low",Table2[[#This Row],[LIMIT_BAL]]&lt;=300000,"Medium",
TRUE,"High"
)</f>
        <v>Medium</v>
      </c>
      <c r="D458" t="s">
        <v>2042</v>
      </c>
      <c r="E458" t="s">
        <v>2027</v>
      </c>
      <c r="F458" t="s">
        <v>2029</v>
      </c>
      <c r="G458">
        <v>39</v>
      </c>
      <c r="H458" t="str" cm="1">
        <f t="array" ref="H458">_xlfn.IFS(
Table2[[#This Row],[AGE]]&lt;30,"Young",
Table2[[#This Row],[AGE]]&lt;40,"Middle Age",
Table2[[#This Row],[AGE]]&lt;50,"Senior",
TRUE,"Super Senior"
)</f>
        <v>Middle Age</v>
      </c>
      <c r="I458">
        <v>1</v>
      </c>
      <c r="J458">
        <v>2</v>
      </c>
      <c r="K458">
        <v>2</v>
      </c>
      <c r="L458">
        <v>2</v>
      </c>
      <c r="M458">
        <v>2</v>
      </c>
      <c r="N458">
        <v>2</v>
      </c>
      <c r="O458" s="1">
        <v>71034</v>
      </c>
      <c r="P458" s="1">
        <v>69329</v>
      </c>
      <c r="Q458" s="1">
        <v>74175</v>
      </c>
      <c r="R458" s="1">
        <v>72383</v>
      </c>
      <c r="S458" s="1">
        <v>77217</v>
      </c>
      <c r="T458" s="1">
        <v>75820</v>
      </c>
      <c r="U458" s="1">
        <v>0</v>
      </c>
      <c r="V458" s="1">
        <v>6000</v>
      </c>
      <c r="W458" s="1">
        <v>0</v>
      </c>
      <c r="X458" s="1">
        <v>6000</v>
      </c>
      <c r="Y458" s="1">
        <v>0</v>
      </c>
      <c r="Z458" s="1">
        <v>6000</v>
      </c>
      <c r="AA458">
        <v>0</v>
      </c>
      <c r="AB458" t="str">
        <f t="shared" si="7"/>
        <v>Not Defaulter</v>
      </c>
      <c r="AC458" s="1">
        <f>Table2[[#This Row],[BILL_AMT1]]-Table2[[#This Row],[PAY_AMT1]]</f>
        <v>71034</v>
      </c>
      <c r="AD458" s="1" t="str" cm="1">
        <f t="array" ref="AD458">_xlfn.IFS(Table2[[#This Row],[PAYMENT GAP]]&lt;=0,"No Gap / Overpaid",Table2[[#This Row],[PAYMENT GAP]]&lt;=25000,"Low Gap",Table2[[#This Row],[PAYMENT GAP]]&lt;=100000,"Medium Gap",
TRUE,"High Gap"
)</f>
        <v>Medium Gap</v>
      </c>
    </row>
    <row r="459" spans="1:30" x14ac:dyDescent="0.3">
      <c r="A459">
        <v>458</v>
      </c>
      <c r="B459" s="1">
        <v>50000</v>
      </c>
      <c r="C459" s="1" t="str" cm="1">
        <f t="array" ref="C459">_xlfn.IFS(Table2[[#This Row],[LIMIT_BAL]]&lt;=100000,"Low",Table2[[#This Row],[LIMIT_BAL]]&lt;=300000,"Medium",
TRUE,"High"
)</f>
        <v>Low</v>
      </c>
      <c r="D459" t="s">
        <v>2042</v>
      </c>
      <c r="E459" t="s">
        <v>2026</v>
      </c>
      <c r="F459" t="s">
        <v>2029</v>
      </c>
      <c r="G459">
        <v>32</v>
      </c>
      <c r="H459" t="str" cm="1">
        <f t="array" ref="H459">_xlfn.IFS(
Table2[[#This Row],[AGE]]&lt;30,"Young",
Table2[[#This Row],[AGE]]&lt;40,"Middle Age",
Table2[[#This Row],[AGE]]&lt;50,"Senior",
TRUE,"Super Senior"
)</f>
        <v>Middle Age</v>
      </c>
      <c r="I459">
        <v>-1</v>
      </c>
      <c r="J459">
        <v>0</v>
      </c>
      <c r="K459">
        <v>0</v>
      </c>
      <c r="L459">
        <v>0</v>
      </c>
      <c r="M459">
        <v>0</v>
      </c>
      <c r="N459">
        <v>-2</v>
      </c>
      <c r="O459" s="1">
        <v>23974</v>
      </c>
      <c r="P459" s="1">
        <v>24131</v>
      </c>
      <c r="Q459" s="1">
        <v>25326</v>
      </c>
      <c r="R459" s="1">
        <v>25775</v>
      </c>
      <c r="S459" s="1">
        <v>0</v>
      </c>
      <c r="T459" s="1">
        <v>0</v>
      </c>
      <c r="U459" s="1">
        <v>1800</v>
      </c>
      <c r="V459" s="1">
        <v>1900</v>
      </c>
      <c r="W459" s="1">
        <v>1300</v>
      </c>
      <c r="X459" s="1">
        <v>0</v>
      </c>
      <c r="Y459" s="1">
        <v>0</v>
      </c>
      <c r="Z459" s="1">
        <v>0</v>
      </c>
      <c r="AA459">
        <v>0</v>
      </c>
      <c r="AB459" t="str">
        <f t="shared" si="7"/>
        <v>Not Defaulter</v>
      </c>
      <c r="AC459" s="1">
        <f>Table2[[#This Row],[BILL_AMT1]]-Table2[[#This Row],[PAY_AMT1]]</f>
        <v>22174</v>
      </c>
      <c r="AD459" s="1" t="str" cm="1">
        <f t="array" ref="AD459">_xlfn.IFS(Table2[[#This Row],[PAYMENT GAP]]&lt;=0,"No Gap / Overpaid",Table2[[#This Row],[PAYMENT GAP]]&lt;=25000,"Low Gap",Table2[[#This Row],[PAYMENT GAP]]&lt;=100000,"Medium Gap",
TRUE,"High Gap"
)</f>
        <v>Low Gap</v>
      </c>
    </row>
    <row r="460" spans="1:30" x14ac:dyDescent="0.3">
      <c r="A460">
        <v>459</v>
      </c>
      <c r="B460" s="1">
        <v>230000</v>
      </c>
      <c r="C460" s="1" t="str" cm="1">
        <f t="array" ref="C460">_xlfn.IFS(Table2[[#This Row],[LIMIT_BAL]]&lt;=100000,"Low",Table2[[#This Row],[LIMIT_BAL]]&lt;=300000,"Medium",
TRUE,"High"
)</f>
        <v>Medium</v>
      </c>
      <c r="D460" t="s">
        <v>2041</v>
      </c>
      <c r="E460" t="s">
        <v>2043</v>
      </c>
      <c r="F460" t="s">
        <v>2028</v>
      </c>
      <c r="G460">
        <v>41</v>
      </c>
      <c r="H460" t="str" cm="1">
        <f t="array" ref="H460">_xlfn.IFS(
Table2[[#This Row],[AGE]]&lt;30,"Young",
Table2[[#This Row],[AGE]]&lt;40,"Middle Age",
Table2[[#This Row],[AGE]]&lt;50,"Senior",
TRUE,"Super Senior"
)</f>
        <v>Senior</v>
      </c>
      <c r="I460">
        <v>-1</v>
      </c>
      <c r="J460">
        <v>-1</v>
      </c>
      <c r="K460">
        <v>-1</v>
      </c>
      <c r="L460">
        <v>-1</v>
      </c>
      <c r="M460">
        <v>-1</v>
      </c>
      <c r="N460">
        <v>-1</v>
      </c>
      <c r="O460" s="1">
        <v>819</v>
      </c>
      <c r="P460" s="1">
        <v>18163</v>
      </c>
      <c r="Q460" s="1">
        <v>5473</v>
      </c>
      <c r="R460" s="1">
        <v>8162</v>
      </c>
      <c r="S460" s="1">
        <v>6985</v>
      </c>
      <c r="T460" s="1">
        <v>9130</v>
      </c>
      <c r="U460" s="1">
        <v>18163</v>
      </c>
      <c r="V460" s="1">
        <v>5654</v>
      </c>
      <c r="W460" s="1">
        <v>12887</v>
      </c>
      <c r="X460" s="1">
        <v>6985</v>
      </c>
      <c r="Y460" s="1">
        <v>9130</v>
      </c>
      <c r="Z460" s="1">
        <v>6554</v>
      </c>
      <c r="AA460">
        <v>0</v>
      </c>
      <c r="AB460" t="str">
        <f t="shared" si="7"/>
        <v>Not Defaulter</v>
      </c>
      <c r="AC460" s="1">
        <f>Table2[[#This Row],[BILL_AMT1]]-Table2[[#This Row],[PAY_AMT1]]</f>
        <v>-17344</v>
      </c>
      <c r="AD460" s="1" t="str" cm="1">
        <f t="array" ref="AD460">_xlfn.IFS(Table2[[#This Row],[PAYMENT GAP]]&lt;=0,"No Gap / Overpaid",Table2[[#This Row],[PAYMENT GAP]]&lt;=25000,"Low Gap",Table2[[#This Row],[PAYMENT GAP]]&lt;=100000,"Medium Gap",
TRUE,"High Gap"
)</f>
        <v>No Gap / Overpaid</v>
      </c>
    </row>
    <row r="461" spans="1:30" x14ac:dyDescent="0.3">
      <c r="A461">
        <v>460</v>
      </c>
      <c r="B461" s="1">
        <v>70000</v>
      </c>
      <c r="C461" s="1" t="str" cm="1">
        <f t="array" ref="C461">_xlfn.IFS(Table2[[#This Row],[LIMIT_BAL]]&lt;=100000,"Low",Table2[[#This Row],[LIMIT_BAL]]&lt;=300000,"Medium",
TRUE,"High"
)</f>
        <v>Low</v>
      </c>
      <c r="D461" t="s">
        <v>2042</v>
      </c>
      <c r="E461" t="s">
        <v>2043</v>
      </c>
      <c r="F461" t="s">
        <v>2028</v>
      </c>
      <c r="G461">
        <v>48</v>
      </c>
      <c r="H461" t="str" cm="1">
        <f t="array" ref="H461">_xlfn.IFS(
Table2[[#This Row],[AGE]]&lt;30,"Young",
Table2[[#This Row],[AGE]]&lt;40,"Middle Age",
Table2[[#This Row],[AGE]]&lt;50,"Senior",
TRUE,"Super Senior"
)</f>
        <v>Senior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-1</v>
      </c>
      <c r="O461" s="1">
        <v>50927</v>
      </c>
      <c r="P461" s="1">
        <v>39883</v>
      </c>
      <c r="Q461" s="1">
        <v>32017</v>
      </c>
      <c r="R461" s="1">
        <v>17630</v>
      </c>
      <c r="S461" s="1">
        <v>9730</v>
      </c>
      <c r="T461" s="1">
        <v>6400</v>
      </c>
      <c r="U461" s="1">
        <v>2100</v>
      </c>
      <c r="V461" s="1">
        <v>1217</v>
      </c>
      <c r="W461" s="1">
        <v>500</v>
      </c>
      <c r="X461" s="1">
        <v>0</v>
      </c>
      <c r="Y461" s="1">
        <v>6400</v>
      </c>
      <c r="Z461" s="1">
        <v>4590</v>
      </c>
      <c r="AA461">
        <v>1</v>
      </c>
      <c r="AB461" t="str">
        <f t="shared" si="7"/>
        <v>Defaulter</v>
      </c>
      <c r="AC461" s="1">
        <f>Table2[[#This Row],[BILL_AMT1]]-Table2[[#This Row],[PAY_AMT1]]</f>
        <v>48827</v>
      </c>
      <c r="AD461" s="1" t="str" cm="1">
        <f t="array" ref="AD461">_xlfn.IFS(Table2[[#This Row],[PAYMENT GAP]]&lt;=0,"No Gap / Overpaid",Table2[[#This Row],[PAYMENT GAP]]&lt;=25000,"Low Gap",Table2[[#This Row],[PAYMENT GAP]]&lt;=100000,"Medium Gap",
TRUE,"High Gap"
)</f>
        <v>Medium Gap</v>
      </c>
    </row>
    <row r="462" spans="1:30" x14ac:dyDescent="0.3">
      <c r="A462">
        <v>461</v>
      </c>
      <c r="B462" s="1">
        <v>180000</v>
      </c>
      <c r="C462" s="1" t="str" cm="1">
        <f t="array" ref="C462">_xlfn.IFS(Table2[[#This Row],[LIMIT_BAL]]&lt;=100000,"Low",Table2[[#This Row],[LIMIT_BAL]]&lt;=300000,"Medium",
TRUE,"High"
)</f>
        <v>Medium</v>
      </c>
      <c r="D462" t="s">
        <v>2041</v>
      </c>
      <c r="E462" t="s">
        <v>2043</v>
      </c>
      <c r="F462" t="s">
        <v>2028</v>
      </c>
      <c r="G462">
        <v>38</v>
      </c>
      <c r="H462" t="str" cm="1">
        <f t="array" ref="H462">_xlfn.IFS(
Table2[[#This Row],[AGE]]&lt;30,"Young",
Table2[[#This Row],[AGE]]&lt;40,"Middle Age",
Table2[[#This Row],[AGE]]&lt;50,"Senior",
TRUE,"Super Senior"
)</f>
        <v>Middle Age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s="1">
        <v>152510</v>
      </c>
      <c r="P462" s="1">
        <v>151651</v>
      </c>
      <c r="Q462" s="1">
        <v>159019</v>
      </c>
      <c r="R462" s="1">
        <v>123022</v>
      </c>
      <c r="S462" s="1">
        <v>126075</v>
      </c>
      <c r="T462" s="1">
        <v>126219</v>
      </c>
      <c r="U462" s="1">
        <v>5657</v>
      </c>
      <c r="V462" s="1">
        <v>10372</v>
      </c>
      <c r="W462" s="1">
        <v>5000</v>
      </c>
      <c r="X462" s="1">
        <v>5000</v>
      </c>
      <c r="Y462" s="1">
        <v>5000</v>
      </c>
      <c r="Z462" s="1">
        <v>5000</v>
      </c>
      <c r="AA462">
        <v>0</v>
      </c>
      <c r="AB462" t="str">
        <f t="shared" si="7"/>
        <v>Not Defaulter</v>
      </c>
      <c r="AC462" s="1">
        <f>Table2[[#This Row],[BILL_AMT1]]-Table2[[#This Row],[PAY_AMT1]]</f>
        <v>146853</v>
      </c>
      <c r="AD462" s="1" t="str" cm="1">
        <f t="array" ref="AD462">_xlfn.IFS(Table2[[#This Row],[PAYMENT GAP]]&lt;=0,"No Gap / Overpaid",Table2[[#This Row],[PAYMENT GAP]]&lt;=25000,"Low Gap",Table2[[#This Row],[PAYMENT GAP]]&lt;=100000,"Medium Gap",
TRUE,"High Gap"
)</f>
        <v>High Gap</v>
      </c>
    </row>
    <row r="463" spans="1:30" x14ac:dyDescent="0.3">
      <c r="A463">
        <v>462</v>
      </c>
      <c r="B463" s="1">
        <v>80000</v>
      </c>
      <c r="C463" s="1" t="str" cm="1">
        <f t="array" ref="C463">_xlfn.IFS(Table2[[#This Row],[LIMIT_BAL]]&lt;=100000,"Low",Table2[[#This Row],[LIMIT_BAL]]&lt;=300000,"Medium",
TRUE,"High"
)</f>
        <v>Low</v>
      </c>
      <c r="D463" t="s">
        <v>2041</v>
      </c>
      <c r="E463" t="s">
        <v>2043</v>
      </c>
      <c r="F463" t="s">
        <v>2028</v>
      </c>
      <c r="G463">
        <v>36</v>
      </c>
      <c r="H463" t="str" cm="1">
        <f t="array" ref="H463">_xlfn.IFS(
Table2[[#This Row],[AGE]]&lt;30,"Young",
Table2[[#This Row],[AGE]]&lt;40,"Middle Age",
Table2[[#This Row],[AGE]]&lt;50,"Senior",
TRUE,"Super Senior"
)</f>
        <v>Middle Age</v>
      </c>
      <c r="I463">
        <v>-1</v>
      </c>
      <c r="J463">
        <v>-1</v>
      </c>
      <c r="K463">
        <v>-1</v>
      </c>
      <c r="L463">
        <v>-1</v>
      </c>
      <c r="M463">
        <v>-1</v>
      </c>
      <c r="N463">
        <v>-1</v>
      </c>
      <c r="O463" s="1">
        <v>1689</v>
      </c>
      <c r="P463" s="1">
        <v>8638</v>
      </c>
      <c r="Q463" s="1">
        <v>5702</v>
      </c>
      <c r="R463" s="1">
        <v>2980</v>
      </c>
      <c r="S463" s="1">
        <v>1260</v>
      </c>
      <c r="T463" s="1">
        <v>7868</v>
      </c>
      <c r="U463" s="1">
        <v>8638</v>
      </c>
      <c r="V463" s="1">
        <v>5723</v>
      </c>
      <c r="W463" s="1">
        <v>2980</v>
      </c>
      <c r="X463" s="1">
        <v>1260</v>
      </c>
      <c r="Y463" s="1">
        <v>7868</v>
      </c>
      <c r="Z463" s="1">
        <v>2198</v>
      </c>
      <c r="AA463">
        <v>0</v>
      </c>
      <c r="AB463" t="str">
        <f t="shared" si="7"/>
        <v>Not Defaulter</v>
      </c>
      <c r="AC463" s="1">
        <f>Table2[[#This Row],[BILL_AMT1]]-Table2[[#This Row],[PAY_AMT1]]</f>
        <v>-6949</v>
      </c>
      <c r="AD463" s="1" t="str" cm="1">
        <f t="array" ref="AD463">_xlfn.IFS(Table2[[#This Row],[PAYMENT GAP]]&lt;=0,"No Gap / Overpaid",Table2[[#This Row],[PAYMENT GAP]]&lt;=25000,"Low Gap",Table2[[#This Row],[PAYMENT GAP]]&lt;=100000,"Medium Gap",
TRUE,"High Gap"
)</f>
        <v>No Gap / Overpaid</v>
      </c>
    </row>
    <row r="464" spans="1:30" x14ac:dyDescent="0.3">
      <c r="A464">
        <v>463</v>
      </c>
      <c r="B464" s="1">
        <v>290000</v>
      </c>
      <c r="C464" s="1" t="str" cm="1">
        <f t="array" ref="C464">_xlfn.IFS(Table2[[#This Row],[LIMIT_BAL]]&lt;=100000,"Low",Table2[[#This Row],[LIMIT_BAL]]&lt;=300000,"Medium",
TRUE,"High"
)</f>
        <v>Medium</v>
      </c>
      <c r="D464" t="s">
        <v>2041</v>
      </c>
      <c r="E464" t="s">
        <v>2043</v>
      </c>
      <c r="F464" t="s">
        <v>2029</v>
      </c>
      <c r="G464">
        <v>26</v>
      </c>
      <c r="H464" t="str" cm="1">
        <f t="array" ref="H464">_xlfn.IFS(
Table2[[#This Row],[AGE]]&lt;30,"Young",
Table2[[#This Row],[AGE]]&lt;40,"Middle Age",
Table2[[#This Row],[AGE]]&lt;50,"Senior",
TRUE,"Super Senior"
)</f>
        <v>Young</v>
      </c>
      <c r="I464">
        <v>0</v>
      </c>
      <c r="J464">
        <v>0</v>
      </c>
      <c r="K464">
        <v>0</v>
      </c>
      <c r="L464">
        <v>-1</v>
      </c>
      <c r="M464">
        <v>-1</v>
      </c>
      <c r="N464">
        <v>0</v>
      </c>
      <c r="O464" s="1">
        <v>20807</v>
      </c>
      <c r="P464" s="1">
        <v>99860</v>
      </c>
      <c r="Q464" s="1">
        <v>100000</v>
      </c>
      <c r="R464" s="1">
        <v>3015</v>
      </c>
      <c r="S464" s="1">
        <v>23473</v>
      </c>
      <c r="T464" s="1">
        <v>1448</v>
      </c>
      <c r="U464" s="1">
        <v>80000</v>
      </c>
      <c r="V464" s="1">
        <v>3000</v>
      </c>
      <c r="W464" s="1">
        <v>3015</v>
      </c>
      <c r="X464" s="1">
        <v>23473</v>
      </c>
      <c r="Y464" s="1">
        <v>1148</v>
      </c>
      <c r="Z464" s="1">
        <v>4900</v>
      </c>
      <c r="AA464">
        <v>0</v>
      </c>
      <c r="AB464" t="str">
        <f t="shared" si="7"/>
        <v>Not Defaulter</v>
      </c>
      <c r="AC464" s="1">
        <f>Table2[[#This Row],[BILL_AMT1]]-Table2[[#This Row],[PAY_AMT1]]</f>
        <v>-59193</v>
      </c>
      <c r="AD464" s="1" t="str" cm="1">
        <f t="array" ref="AD464">_xlfn.IFS(Table2[[#This Row],[PAYMENT GAP]]&lt;=0,"No Gap / Overpaid",Table2[[#This Row],[PAYMENT GAP]]&lt;=25000,"Low Gap",Table2[[#This Row],[PAYMENT GAP]]&lt;=100000,"Medium Gap",
TRUE,"High Gap"
)</f>
        <v>No Gap / Overpaid</v>
      </c>
    </row>
    <row r="465" spans="1:30" x14ac:dyDescent="0.3">
      <c r="A465">
        <v>464</v>
      </c>
      <c r="B465" s="1">
        <v>230000</v>
      </c>
      <c r="C465" s="1" t="str" cm="1">
        <f t="array" ref="C465">_xlfn.IFS(Table2[[#This Row],[LIMIT_BAL]]&lt;=100000,"Low",Table2[[#This Row],[LIMIT_BAL]]&lt;=300000,"Medium",
TRUE,"High"
)</f>
        <v>Medium</v>
      </c>
      <c r="D465" t="s">
        <v>2041</v>
      </c>
      <c r="E465" t="s">
        <v>2026</v>
      </c>
      <c r="F465" t="s">
        <v>2029</v>
      </c>
      <c r="G465">
        <v>28</v>
      </c>
      <c r="H465" t="str" cm="1">
        <f t="array" ref="H465">_xlfn.IFS(
Table2[[#This Row],[AGE]]&lt;30,"Young",
Table2[[#This Row],[AGE]]&lt;40,"Middle Age",
Table2[[#This Row],[AGE]]&lt;50,"Senior",
TRUE,"Super Senior"
)</f>
        <v>Young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 s="1">
        <v>30141</v>
      </c>
      <c r="P465" s="1">
        <v>131255</v>
      </c>
      <c r="Q465" s="1">
        <v>110503</v>
      </c>
      <c r="R465" s="1">
        <v>99283</v>
      </c>
      <c r="S465" s="1">
        <v>97599</v>
      </c>
      <c r="T465" s="1">
        <v>96116</v>
      </c>
      <c r="U465" s="1">
        <v>120093</v>
      </c>
      <c r="V465" s="1">
        <v>8034</v>
      </c>
      <c r="W465" s="1">
        <v>3013</v>
      </c>
      <c r="X465" s="1">
        <v>4010</v>
      </c>
      <c r="Y465" s="1">
        <v>5882</v>
      </c>
      <c r="Z465" s="1">
        <v>3000</v>
      </c>
      <c r="AA465">
        <v>0</v>
      </c>
      <c r="AB465" t="str">
        <f t="shared" si="7"/>
        <v>Not Defaulter</v>
      </c>
      <c r="AC465" s="1">
        <f>Table2[[#This Row],[BILL_AMT1]]-Table2[[#This Row],[PAY_AMT1]]</f>
        <v>-89952</v>
      </c>
      <c r="AD465" s="1" t="str" cm="1">
        <f t="array" ref="AD465">_xlfn.IFS(Table2[[#This Row],[PAYMENT GAP]]&lt;=0,"No Gap / Overpaid",Table2[[#This Row],[PAYMENT GAP]]&lt;=25000,"Low Gap",Table2[[#This Row],[PAYMENT GAP]]&lt;=100000,"Medium Gap",
TRUE,"High Gap"
)</f>
        <v>No Gap / Overpaid</v>
      </c>
    </row>
    <row r="466" spans="1:30" x14ac:dyDescent="0.3">
      <c r="A466">
        <v>465</v>
      </c>
      <c r="B466" s="1">
        <v>170000</v>
      </c>
      <c r="C466" s="1" t="str" cm="1">
        <f t="array" ref="C466">_xlfn.IFS(Table2[[#This Row],[LIMIT_BAL]]&lt;=100000,"Low",Table2[[#This Row],[LIMIT_BAL]]&lt;=300000,"Medium",
TRUE,"High"
)</f>
        <v>Medium</v>
      </c>
      <c r="D466" t="s">
        <v>2041</v>
      </c>
      <c r="E466" t="s">
        <v>2027</v>
      </c>
      <c r="F466" t="s">
        <v>2055</v>
      </c>
      <c r="G466">
        <v>56</v>
      </c>
      <c r="H466" t="str" cm="1">
        <f t="array" ref="H466">_xlfn.IFS(
Table2[[#This Row],[AGE]]&lt;30,"Young",
Table2[[#This Row],[AGE]]&lt;40,"Middle Age",
Table2[[#This Row],[AGE]]&lt;50,"Senior",
TRUE,"Super Senior"
)</f>
        <v>Super Senior</v>
      </c>
      <c r="I466">
        <v>1</v>
      </c>
      <c r="J466">
        <v>-2</v>
      </c>
      <c r="K466">
        <v>-1</v>
      </c>
      <c r="L466">
        <v>-1</v>
      </c>
      <c r="M466">
        <v>-2</v>
      </c>
      <c r="N466">
        <v>-1</v>
      </c>
      <c r="O466" s="1">
        <v>0</v>
      </c>
      <c r="P466" s="1">
        <v>0</v>
      </c>
      <c r="Q466" s="1">
        <v>1991</v>
      </c>
      <c r="R466" s="1">
        <v>0</v>
      </c>
      <c r="S466" s="1">
        <v>0</v>
      </c>
      <c r="T466" s="1">
        <v>150</v>
      </c>
      <c r="U466" s="1">
        <v>0</v>
      </c>
      <c r="V466" s="1">
        <v>1991</v>
      </c>
      <c r="W466" s="1">
        <v>0</v>
      </c>
      <c r="X466" s="1">
        <v>0</v>
      </c>
      <c r="Y466" s="1">
        <v>150</v>
      </c>
      <c r="Z466" s="1">
        <v>614</v>
      </c>
      <c r="AA466">
        <v>0</v>
      </c>
      <c r="AB466" t="str">
        <f t="shared" si="7"/>
        <v>Not Defaulter</v>
      </c>
      <c r="AC466" s="1">
        <f>Table2[[#This Row],[BILL_AMT1]]-Table2[[#This Row],[PAY_AMT1]]</f>
        <v>0</v>
      </c>
      <c r="AD466" s="1" t="str" cm="1">
        <f t="array" ref="AD466">_xlfn.IFS(Table2[[#This Row],[PAYMENT GAP]]&lt;=0,"No Gap / Overpaid",Table2[[#This Row],[PAYMENT GAP]]&lt;=25000,"Low Gap",Table2[[#This Row],[PAYMENT GAP]]&lt;=100000,"Medium Gap",
TRUE,"High Gap"
)</f>
        <v>No Gap / Overpaid</v>
      </c>
    </row>
    <row r="467" spans="1:30" x14ac:dyDescent="0.3">
      <c r="A467">
        <v>466</v>
      </c>
      <c r="B467" s="1">
        <v>230000</v>
      </c>
      <c r="C467" s="1" t="str" cm="1">
        <f t="array" ref="C467">_xlfn.IFS(Table2[[#This Row],[LIMIT_BAL]]&lt;=100000,"Low",Table2[[#This Row],[LIMIT_BAL]]&lt;=300000,"Medium",
TRUE,"High"
)</f>
        <v>Medium</v>
      </c>
      <c r="D467" t="s">
        <v>2042</v>
      </c>
      <c r="E467" t="s">
        <v>2026</v>
      </c>
      <c r="F467" t="s">
        <v>2028</v>
      </c>
      <c r="G467">
        <v>59</v>
      </c>
      <c r="H467" t="str" cm="1">
        <f t="array" ref="H467">_xlfn.IFS(
Table2[[#This Row],[AGE]]&lt;30,"Young",
Table2[[#This Row],[AGE]]&lt;40,"Middle Age",
Table2[[#This Row],[AGE]]&lt;50,"Senior",
TRUE,"Super Senior"
)</f>
        <v>Super Senior</v>
      </c>
      <c r="I467">
        <v>-1</v>
      </c>
      <c r="J467">
        <v>0</v>
      </c>
      <c r="K467">
        <v>0</v>
      </c>
      <c r="L467">
        <v>0</v>
      </c>
      <c r="M467">
        <v>0</v>
      </c>
      <c r="N467">
        <v>0</v>
      </c>
      <c r="O467" s="1">
        <v>208459</v>
      </c>
      <c r="P467" s="1">
        <v>206331</v>
      </c>
      <c r="Q467" s="1">
        <v>203813</v>
      </c>
      <c r="R467" s="1">
        <v>201331</v>
      </c>
      <c r="S467" s="1">
        <v>198999</v>
      </c>
      <c r="T467" s="1">
        <v>191671</v>
      </c>
      <c r="U467" s="1">
        <v>7536</v>
      </c>
      <c r="V467" s="1">
        <v>7277</v>
      </c>
      <c r="W467" s="1">
        <v>7100</v>
      </c>
      <c r="X467" s="1">
        <v>7120</v>
      </c>
      <c r="Y467" s="1">
        <v>6844</v>
      </c>
      <c r="Z467" s="1">
        <v>6945</v>
      </c>
      <c r="AA467">
        <v>1</v>
      </c>
      <c r="AB467" t="str">
        <f t="shared" si="7"/>
        <v>Defaulter</v>
      </c>
      <c r="AC467" s="1">
        <f>Table2[[#This Row],[BILL_AMT1]]-Table2[[#This Row],[PAY_AMT1]]</f>
        <v>200923</v>
      </c>
      <c r="AD467" s="1" t="str" cm="1">
        <f t="array" ref="AD467">_xlfn.IFS(Table2[[#This Row],[PAYMENT GAP]]&lt;=0,"No Gap / Overpaid",Table2[[#This Row],[PAYMENT GAP]]&lt;=25000,"Low Gap",Table2[[#This Row],[PAYMENT GAP]]&lt;=100000,"Medium Gap",
TRUE,"High Gap"
)</f>
        <v>High Gap</v>
      </c>
    </row>
    <row r="468" spans="1:30" x14ac:dyDescent="0.3">
      <c r="A468">
        <v>467</v>
      </c>
      <c r="B468" s="1">
        <v>220000</v>
      </c>
      <c r="C468" s="1" t="str" cm="1">
        <f t="array" ref="C468">_xlfn.IFS(Table2[[#This Row],[LIMIT_BAL]]&lt;=100000,"Low",Table2[[#This Row],[LIMIT_BAL]]&lt;=300000,"Medium",
TRUE,"High"
)</f>
        <v>Medium</v>
      </c>
      <c r="D468" t="s">
        <v>2042</v>
      </c>
      <c r="E468" t="s">
        <v>2026</v>
      </c>
      <c r="F468" t="s">
        <v>2029</v>
      </c>
      <c r="G468">
        <v>38</v>
      </c>
      <c r="H468" t="str" cm="1">
        <f t="array" ref="H468">_xlfn.IFS(
Table2[[#This Row],[AGE]]&lt;30,"Young",
Table2[[#This Row],[AGE]]&lt;40,"Middle Age",
Table2[[#This Row],[AGE]]&lt;50,"Senior",
TRUE,"Super Senior"
)</f>
        <v>Middle Age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s="1">
        <v>212795</v>
      </c>
      <c r="P468" s="1">
        <v>211043</v>
      </c>
      <c r="Q468" s="1">
        <v>212759</v>
      </c>
      <c r="R468" s="1">
        <v>218541</v>
      </c>
      <c r="S468" s="1">
        <v>167743</v>
      </c>
      <c r="T468" s="1">
        <v>165300</v>
      </c>
      <c r="U468" s="1">
        <v>8909</v>
      </c>
      <c r="V468" s="1">
        <v>7500</v>
      </c>
      <c r="W468" s="1">
        <v>9000</v>
      </c>
      <c r="X468" s="1">
        <v>6729</v>
      </c>
      <c r="Y468" s="1">
        <v>6000</v>
      </c>
      <c r="Z468" s="1">
        <v>7009</v>
      </c>
      <c r="AA468">
        <v>1</v>
      </c>
      <c r="AB468" t="str">
        <f t="shared" si="7"/>
        <v>Defaulter</v>
      </c>
      <c r="AC468" s="1">
        <f>Table2[[#This Row],[BILL_AMT1]]-Table2[[#This Row],[PAY_AMT1]]</f>
        <v>203886</v>
      </c>
      <c r="AD468" s="1" t="str" cm="1">
        <f t="array" ref="AD468">_xlfn.IFS(Table2[[#This Row],[PAYMENT GAP]]&lt;=0,"No Gap / Overpaid",Table2[[#This Row],[PAYMENT GAP]]&lt;=25000,"Low Gap",Table2[[#This Row],[PAYMENT GAP]]&lt;=100000,"Medium Gap",
TRUE,"High Gap"
)</f>
        <v>High Gap</v>
      </c>
    </row>
    <row r="469" spans="1:30" x14ac:dyDescent="0.3">
      <c r="A469">
        <v>468</v>
      </c>
      <c r="B469" s="1">
        <v>230000</v>
      </c>
      <c r="C469" s="1" t="str" cm="1">
        <f t="array" ref="C469">_xlfn.IFS(Table2[[#This Row],[LIMIT_BAL]]&lt;=100000,"Low",Table2[[#This Row],[LIMIT_BAL]]&lt;=300000,"Medium",
TRUE,"High"
)</f>
        <v>Medium</v>
      </c>
      <c r="D469" t="s">
        <v>2042</v>
      </c>
      <c r="E469" t="s">
        <v>2043</v>
      </c>
      <c r="F469" t="s">
        <v>2029</v>
      </c>
      <c r="G469">
        <v>32</v>
      </c>
      <c r="H469" t="str" cm="1">
        <f t="array" ref="H469">_xlfn.IFS(
Table2[[#This Row],[AGE]]&lt;30,"Young",
Table2[[#This Row],[AGE]]&lt;40,"Middle Age",
Table2[[#This Row],[AGE]]&lt;50,"Senior",
TRUE,"Super Senior"
)</f>
        <v>Middle Age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 s="1">
        <v>28114</v>
      </c>
      <c r="P469" s="1">
        <v>28006</v>
      </c>
      <c r="Q469" s="1">
        <v>25000</v>
      </c>
      <c r="R469" s="1">
        <v>22046</v>
      </c>
      <c r="S469" s="1">
        <v>19860</v>
      </c>
      <c r="T469" s="1">
        <v>19831</v>
      </c>
      <c r="U469" s="1">
        <v>1610</v>
      </c>
      <c r="V469" s="1">
        <v>1224</v>
      </c>
      <c r="W469" s="1">
        <v>655</v>
      </c>
      <c r="X469" s="1">
        <v>627</v>
      </c>
      <c r="Y469" s="1">
        <v>620</v>
      </c>
      <c r="Z469" s="1">
        <v>500</v>
      </c>
      <c r="AA469">
        <v>0</v>
      </c>
      <c r="AB469" t="str">
        <f t="shared" si="7"/>
        <v>Not Defaulter</v>
      </c>
      <c r="AC469" s="1">
        <f>Table2[[#This Row],[BILL_AMT1]]-Table2[[#This Row],[PAY_AMT1]]</f>
        <v>26504</v>
      </c>
      <c r="AD469" s="1" t="str" cm="1">
        <f t="array" ref="AD469">_xlfn.IFS(Table2[[#This Row],[PAYMENT GAP]]&lt;=0,"No Gap / Overpaid",Table2[[#This Row],[PAYMENT GAP]]&lt;=25000,"Low Gap",Table2[[#This Row],[PAYMENT GAP]]&lt;=100000,"Medium Gap",
TRUE,"High Gap"
)</f>
        <v>Medium Gap</v>
      </c>
    </row>
    <row r="470" spans="1:30" x14ac:dyDescent="0.3">
      <c r="A470">
        <v>469</v>
      </c>
      <c r="B470" s="1">
        <v>500000</v>
      </c>
      <c r="C470" s="1" t="str" cm="1">
        <f t="array" ref="C470">_xlfn.IFS(Table2[[#This Row],[LIMIT_BAL]]&lt;=100000,"Low",Table2[[#This Row],[LIMIT_BAL]]&lt;=300000,"Medium",
TRUE,"High"
)</f>
        <v>High</v>
      </c>
      <c r="D470" t="s">
        <v>2042</v>
      </c>
      <c r="E470" t="s">
        <v>2043</v>
      </c>
      <c r="F470" t="s">
        <v>2028</v>
      </c>
      <c r="G470">
        <v>38</v>
      </c>
      <c r="H470" t="str" cm="1">
        <f t="array" ref="H470">_xlfn.IFS(
Table2[[#This Row],[AGE]]&lt;30,"Young",
Table2[[#This Row],[AGE]]&lt;40,"Middle Age",
Table2[[#This Row],[AGE]]&lt;50,"Senior",
TRUE,"Super Senior"
)</f>
        <v>Middle Age</v>
      </c>
      <c r="I470">
        <v>0</v>
      </c>
      <c r="J470">
        <v>0</v>
      </c>
      <c r="K470">
        <v>0</v>
      </c>
      <c r="L470">
        <v>-1</v>
      </c>
      <c r="M470">
        <v>0</v>
      </c>
      <c r="N470">
        <v>0</v>
      </c>
      <c r="O470" s="1">
        <v>59372</v>
      </c>
      <c r="P470" s="1">
        <v>49677</v>
      </c>
      <c r="Q470" s="1">
        <v>49515</v>
      </c>
      <c r="R470" s="1">
        <v>42568</v>
      </c>
      <c r="S470" s="1">
        <v>48268</v>
      </c>
      <c r="T470" s="1">
        <v>51481</v>
      </c>
      <c r="U470" s="1">
        <v>10026</v>
      </c>
      <c r="V470" s="1">
        <v>7241</v>
      </c>
      <c r="W470" s="1">
        <v>50091</v>
      </c>
      <c r="X470" s="1">
        <v>25000</v>
      </c>
      <c r="Y470" s="1">
        <v>5078</v>
      </c>
      <c r="Z470" s="1">
        <v>2132</v>
      </c>
      <c r="AA470">
        <v>0</v>
      </c>
      <c r="AB470" t="str">
        <f t="shared" si="7"/>
        <v>Not Defaulter</v>
      </c>
      <c r="AC470" s="1">
        <f>Table2[[#This Row],[BILL_AMT1]]-Table2[[#This Row],[PAY_AMT1]]</f>
        <v>49346</v>
      </c>
      <c r="AD470" s="1" t="str" cm="1">
        <f t="array" ref="AD470">_xlfn.IFS(Table2[[#This Row],[PAYMENT GAP]]&lt;=0,"No Gap / Overpaid",Table2[[#This Row],[PAYMENT GAP]]&lt;=25000,"Low Gap",Table2[[#This Row],[PAYMENT GAP]]&lt;=100000,"Medium Gap",
TRUE,"High Gap"
)</f>
        <v>Medium Gap</v>
      </c>
    </row>
    <row r="471" spans="1:30" x14ac:dyDescent="0.3">
      <c r="A471">
        <v>470</v>
      </c>
      <c r="B471" s="1">
        <v>90000</v>
      </c>
      <c r="C471" s="1" t="str" cm="1">
        <f t="array" ref="C471">_xlfn.IFS(Table2[[#This Row],[LIMIT_BAL]]&lt;=100000,"Low",Table2[[#This Row],[LIMIT_BAL]]&lt;=300000,"Medium",
TRUE,"High"
)</f>
        <v>Low</v>
      </c>
      <c r="D471" t="s">
        <v>2041</v>
      </c>
      <c r="E471" t="s">
        <v>2026</v>
      </c>
      <c r="F471" t="s">
        <v>2028</v>
      </c>
      <c r="G471">
        <v>41</v>
      </c>
      <c r="H471" t="str" cm="1">
        <f t="array" ref="H471">_xlfn.IFS(
Table2[[#This Row],[AGE]]&lt;30,"Young",
Table2[[#This Row],[AGE]]&lt;40,"Middle Age",
Table2[[#This Row],[AGE]]&lt;50,"Senior",
TRUE,"Super Senior"
)</f>
        <v>Senior</v>
      </c>
      <c r="I471">
        <v>-1</v>
      </c>
      <c r="J471">
        <v>-1</v>
      </c>
      <c r="K471">
        <v>-1</v>
      </c>
      <c r="L471">
        <v>-1</v>
      </c>
      <c r="M471">
        <v>-1</v>
      </c>
      <c r="N471">
        <v>-1</v>
      </c>
      <c r="O471" s="1">
        <v>6160</v>
      </c>
      <c r="P471" s="1">
        <v>3274</v>
      </c>
      <c r="Q471" s="1">
        <v>6190</v>
      </c>
      <c r="R471" s="1">
        <v>307</v>
      </c>
      <c r="S471" s="1">
        <v>2870</v>
      </c>
      <c r="T471" s="1">
        <v>670</v>
      </c>
      <c r="U471" s="1">
        <v>3276</v>
      </c>
      <c r="V471" s="1">
        <v>6246</v>
      </c>
      <c r="W471" s="1">
        <v>307</v>
      </c>
      <c r="X471" s="1">
        <v>2870</v>
      </c>
      <c r="Y471" s="1">
        <v>670</v>
      </c>
      <c r="Z471" s="1">
        <v>1362</v>
      </c>
      <c r="AA471">
        <v>0</v>
      </c>
      <c r="AB471" t="str">
        <f t="shared" si="7"/>
        <v>Not Defaulter</v>
      </c>
      <c r="AC471" s="1">
        <f>Table2[[#This Row],[BILL_AMT1]]-Table2[[#This Row],[PAY_AMT1]]</f>
        <v>2884</v>
      </c>
      <c r="AD471" s="1" t="str" cm="1">
        <f t="array" ref="AD471">_xlfn.IFS(Table2[[#This Row],[PAYMENT GAP]]&lt;=0,"No Gap / Overpaid",Table2[[#This Row],[PAYMENT GAP]]&lt;=25000,"Low Gap",Table2[[#This Row],[PAYMENT GAP]]&lt;=100000,"Medium Gap",
TRUE,"High Gap"
)</f>
        <v>Low Gap</v>
      </c>
    </row>
    <row r="472" spans="1:30" x14ac:dyDescent="0.3">
      <c r="A472">
        <v>471</v>
      </c>
      <c r="B472" s="1">
        <v>390000</v>
      </c>
      <c r="C472" s="1" t="str" cm="1">
        <f t="array" ref="C472">_xlfn.IFS(Table2[[#This Row],[LIMIT_BAL]]&lt;=100000,"Low",Table2[[#This Row],[LIMIT_BAL]]&lt;=300000,"Medium",
TRUE,"High"
)</f>
        <v>High</v>
      </c>
      <c r="D472" t="s">
        <v>2041</v>
      </c>
      <c r="E472" t="s">
        <v>2027</v>
      </c>
      <c r="F472" t="s">
        <v>2029</v>
      </c>
      <c r="G472">
        <v>35</v>
      </c>
      <c r="H472" t="str" cm="1">
        <f t="array" ref="H472">_xlfn.IFS(
Table2[[#This Row],[AGE]]&lt;30,"Young",
Table2[[#This Row],[AGE]]&lt;40,"Middle Age",
Table2[[#This Row],[AGE]]&lt;50,"Senior",
TRUE,"Super Senior"
)</f>
        <v>Middle Age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 s="1">
        <v>355215</v>
      </c>
      <c r="P472" s="1">
        <v>363325</v>
      </c>
      <c r="Q472" s="1">
        <v>373181</v>
      </c>
      <c r="R472" s="1">
        <v>252195</v>
      </c>
      <c r="S472" s="1">
        <v>257496</v>
      </c>
      <c r="T472" s="1">
        <v>263018</v>
      </c>
      <c r="U472" s="1">
        <v>13802</v>
      </c>
      <c r="V472" s="1">
        <v>16525</v>
      </c>
      <c r="W472" s="1">
        <v>8893</v>
      </c>
      <c r="X472" s="1">
        <v>9229</v>
      </c>
      <c r="Y472" s="1">
        <v>10000</v>
      </c>
      <c r="Z472" s="1">
        <v>9435</v>
      </c>
      <c r="AA472">
        <v>1</v>
      </c>
      <c r="AB472" t="str">
        <f t="shared" si="7"/>
        <v>Defaulter</v>
      </c>
      <c r="AC472" s="1">
        <f>Table2[[#This Row],[BILL_AMT1]]-Table2[[#This Row],[PAY_AMT1]]</f>
        <v>341413</v>
      </c>
      <c r="AD472" s="1" t="str" cm="1">
        <f t="array" ref="AD472">_xlfn.IFS(Table2[[#This Row],[PAYMENT GAP]]&lt;=0,"No Gap / Overpaid",Table2[[#This Row],[PAYMENT GAP]]&lt;=25000,"Low Gap",Table2[[#This Row],[PAYMENT GAP]]&lt;=100000,"Medium Gap",
TRUE,"High Gap"
)</f>
        <v>High Gap</v>
      </c>
    </row>
    <row r="473" spans="1:30" x14ac:dyDescent="0.3">
      <c r="A473">
        <v>472</v>
      </c>
      <c r="B473" s="1">
        <v>400000</v>
      </c>
      <c r="C473" s="1" t="str" cm="1">
        <f t="array" ref="C473">_xlfn.IFS(Table2[[#This Row],[LIMIT_BAL]]&lt;=100000,"Low",Table2[[#This Row],[LIMIT_BAL]]&lt;=300000,"Medium",
TRUE,"High"
)</f>
        <v>High</v>
      </c>
      <c r="D473" t="s">
        <v>2041</v>
      </c>
      <c r="E473" t="s">
        <v>2043</v>
      </c>
      <c r="F473" t="s">
        <v>2029</v>
      </c>
      <c r="G473">
        <v>41</v>
      </c>
      <c r="H473" t="str" cm="1">
        <f t="array" ref="H473">_xlfn.IFS(
Table2[[#This Row],[AGE]]&lt;30,"Young",
Table2[[#This Row],[AGE]]&lt;40,"Middle Age",
Table2[[#This Row],[AGE]]&lt;50,"Senior",
TRUE,"Super Senior"
)</f>
        <v>Senior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 s="1">
        <v>366193</v>
      </c>
      <c r="P473" s="1">
        <v>372700</v>
      </c>
      <c r="Q473" s="1">
        <v>375948</v>
      </c>
      <c r="R473" s="1">
        <v>195991</v>
      </c>
      <c r="S473" s="1">
        <v>152127</v>
      </c>
      <c r="T473" s="1">
        <v>155182</v>
      </c>
      <c r="U473" s="1">
        <v>14020</v>
      </c>
      <c r="V473" s="1">
        <v>13595</v>
      </c>
      <c r="W473" s="1">
        <v>6243</v>
      </c>
      <c r="X473" s="1">
        <v>6007</v>
      </c>
      <c r="Y473" s="1">
        <v>6061</v>
      </c>
      <c r="Z473" s="1">
        <v>6012</v>
      </c>
      <c r="AA473">
        <v>0</v>
      </c>
      <c r="AB473" t="str">
        <f t="shared" si="7"/>
        <v>Not Defaulter</v>
      </c>
      <c r="AC473" s="1">
        <f>Table2[[#This Row],[BILL_AMT1]]-Table2[[#This Row],[PAY_AMT1]]</f>
        <v>352173</v>
      </c>
      <c r="AD473" s="1" t="str" cm="1">
        <f t="array" ref="AD473">_xlfn.IFS(Table2[[#This Row],[PAYMENT GAP]]&lt;=0,"No Gap / Overpaid",Table2[[#This Row],[PAYMENT GAP]]&lt;=25000,"Low Gap",Table2[[#This Row],[PAYMENT GAP]]&lt;=100000,"Medium Gap",
TRUE,"High Gap"
)</f>
        <v>High Gap</v>
      </c>
    </row>
    <row r="474" spans="1:30" x14ac:dyDescent="0.3">
      <c r="A474">
        <v>473</v>
      </c>
      <c r="B474" s="1">
        <v>180000</v>
      </c>
      <c r="C474" s="1" t="str" cm="1">
        <f t="array" ref="C474">_xlfn.IFS(Table2[[#This Row],[LIMIT_BAL]]&lt;=100000,"Low",Table2[[#This Row],[LIMIT_BAL]]&lt;=300000,"Medium",
TRUE,"High"
)</f>
        <v>Medium</v>
      </c>
      <c r="D474" t="s">
        <v>2042</v>
      </c>
      <c r="E474" t="s">
        <v>2043</v>
      </c>
      <c r="F474" t="s">
        <v>2028</v>
      </c>
      <c r="G474">
        <v>34</v>
      </c>
      <c r="H474" t="str" cm="1">
        <f t="array" ref="H474">_xlfn.IFS(
Table2[[#This Row],[AGE]]&lt;30,"Young",
Table2[[#This Row],[AGE]]&lt;40,"Middle Age",
Table2[[#This Row],[AGE]]&lt;50,"Senior",
TRUE,"Super Senior"
)</f>
        <v>Middle Age</v>
      </c>
      <c r="I474">
        <v>-1</v>
      </c>
      <c r="J474">
        <v>-1</v>
      </c>
      <c r="K474">
        <v>-1</v>
      </c>
      <c r="L474">
        <v>-1</v>
      </c>
      <c r="M474">
        <v>-1</v>
      </c>
      <c r="N474">
        <v>-1</v>
      </c>
      <c r="O474" s="1">
        <v>2927</v>
      </c>
      <c r="P474" s="1">
        <v>2790</v>
      </c>
      <c r="Q474" s="1">
        <v>1140</v>
      </c>
      <c r="R474" s="1">
        <v>2144</v>
      </c>
      <c r="S474" s="1">
        <v>1180</v>
      </c>
      <c r="T474" s="1">
        <v>1382</v>
      </c>
      <c r="U474" s="1">
        <v>2790</v>
      </c>
      <c r="V474" s="1">
        <v>1140</v>
      </c>
      <c r="W474" s="1">
        <v>2144</v>
      </c>
      <c r="X474" s="1">
        <v>1180</v>
      </c>
      <c r="Y474" s="1">
        <v>1382</v>
      </c>
      <c r="Z474" s="1">
        <v>2440</v>
      </c>
      <c r="AA474">
        <v>0</v>
      </c>
      <c r="AB474" t="str">
        <f t="shared" si="7"/>
        <v>Not Defaulter</v>
      </c>
      <c r="AC474" s="1">
        <f>Table2[[#This Row],[BILL_AMT1]]-Table2[[#This Row],[PAY_AMT1]]</f>
        <v>137</v>
      </c>
      <c r="AD474" s="1" t="str" cm="1">
        <f t="array" ref="AD474">_xlfn.IFS(Table2[[#This Row],[PAYMENT GAP]]&lt;=0,"No Gap / Overpaid",Table2[[#This Row],[PAYMENT GAP]]&lt;=25000,"Low Gap",Table2[[#This Row],[PAYMENT GAP]]&lt;=100000,"Medium Gap",
TRUE,"High Gap"
)</f>
        <v>Low Gap</v>
      </c>
    </row>
    <row r="475" spans="1:30" x14ac:dyDescent="0.3">
      <c r="A475">
        <v>474</v>
      </c>
      <c r="B475" s="1">
        <v>60000</v>
      </c>
      <c r="C475" s="1" t="str" cm="1">
        <f t="array" ref="C475">_xlfn.IFS(Table2[[#This Row],[LIMIT_BAL]]&lt;=100000,"Low",Table2[[#This Row],[LIMIT_BAL]]&lt;=300000,"Medium",
TRUE,"High"
)</f>
        <v>Low</v>
      </c>
      <c r="D475" t="s">
        <v>2042</v>
      </c>
      <c r="E475" t="s">
        <v>2027</v>
      </c>
      <c r="F475" t="s">
        <v>2028</v>
      </c>
      <c r="G475">
        <v>38</v>
      </c>
      <c r="H475" t="str" cm="1">
        <f t="array" ref="H475">_xlfn.IFS(
Table2[[#This Row],[AGE]]&lt;30,"Young",
Table2[[#This Row],[AGE]]&lt;40,"Middle Age",
Table2[[#This Row],[AGE]]&lt;50,"Senior",
TRUE,"Super Senior"
)</f>
        <v>Middle Age</v>
      </c>
      <c r="I475">
        <v>1</v>
      </c>
      <c r="J475">
        <v>2</v>
      </c>
      <c r="K475">
        <v>2</v>
      </c>
      <c r="L475">
        <v>0</v>
      </c>
      <c r="M475">
        <v>0</v>
      </c>
      <c r="N475">
        <v>2</v>
      </c>
      <c r="O475" s="1">
        <v>29295</v>
      </c>
      <c r="P475" s="1">
        <v>30321</v>
      </c>
      <c r="Q475" s="1">
        <v>31018</v>
      </c>
      <c r="R475" s="1">
        <v>32193</v>
      </c>
      <c r="S475" s="1">
        <v>34213</v>
      </c>
      <c r="T475" s="1">
        <v>35002</v>
      </c>
      <c r="U475" s="1">
        <v>1800</v>
      </c>
      <c r="V475" s="1">
        <v>1500</v>
      </c>
      <c r="W475" s="1">
        <v>2000</v>
      </c>
      <c r="X475" s="1">
        <v>2700</v>
      </c>
      <c r="Y475" s="1">
        <v>1500</v>
      </c>
      <c r="Z475" s="1">
        <v>0</v>
      </c>
      <c r="AA475">
        <v>0</v>
      </c>
      <c r="AB475" t="str">
        <f t="shared" si="7"/>
        <v>Not Defaulter</v>
      </c>
      <c r="AC475" s="1">
        <f>Table2[[#This Row],[BILL_AMT1]]-Table2[[#This Row],[PAY_AMT1]]</f>
        <v>27495</v>
      </c>
      <c r="AD475" s="1" t="str" cm="1">
        <f t="array" ref="AD475">_xlfn.IFS(Table2[[#This Row],[PAYMENT GAP]]&lt;=0,"No Gap / Overpaid",Table2[[#This Row],[PAYMENT GAP]]&lt;=25000,"Low Gap",Table2[[#This Row],[PAYMENT GAP]]&lt;=100000,"Medium Gap",
TRUE,"High Gap"
)</f>
        <v>Medium Gap</v>
      </c>
    </row>
    <row r="476" spans="1:30" x14ac:dyDescent="0.3">
      <c r="A476">
        <v>475</v>
      </c>
      <c r="B476" s="1">
        <v>120000</v>
      </c>
      <c r="C476" s="1" t="str" cm="1">
        <f t="array" ref="C476">_xlfn.IFS(Table2[[#This Row],[LIMIT_BAL]]&lt;=100000,"Low",Table2[[#This Row],[LIMIT_BAL]]&lt;=300000,"Medium",
TRUE,"High"
)</f>
        <v>Medium</v>
      </c>
      <c r="D476" t="s">
        <v>2041</v>
      </c>
      <c r="E476" t="s">
        <v>2043</v>
      </c>
      <c r="F476" t="s">
        <v>2028</v>
      </c>
      <c r="G476">
        <v>32</v>
      </c>
      <c r="H476" t="str" cm="1">
        <f t="array" ref="H476">_xlfn.IFS(
Table2[[#This Row],[AGE]]&lt;30,"Young",
Table2[[#This Row],[AGE]]&lt;40,"Middle Age",
Table2[[#This Row],[AGE]]&lt;50,"Senior",
TRUE,"Super Senior"
)</f>
        <v>Middle Age</v>
      </c>
      <c r="I476">
        <v>-1</v>
      </c>
      <c r="J476">
        <v>-1</v>
      </c>
      <c r="K476">
        <v>-1</v>
      </c>
      <c r="L476">
        <v>-1</v>
      </c>
      <c r="M476">
        <v>-1</v>
      </c>
      <c r="N476">
        <v>-1</v>
      </c>
      <c r="O476" s="1">
        <v>4158</v>
      </c>
      <c r="P476" s="1">
        <v>2682</v>
      </c>
      <c r="Q476" s="1">
        <v>0</v>
      </c>
      <c r="R476" s="1">
        <v>6440</v>
      </c>
      <c r="S476" s="1">
        <v>0</v>
      </c>
      <c r="T476" s="1">
        <v>5930</v>
      </c>
      <c r="U476" s="1">
        <v>2682</v>
      </c>
      <c r="V476" s="1">
        <v>0</v>
      </c>
      <c r="W476" s="1">
        <v>6440</v>
      </c>
      <c r="X476" s="1">
        <v>0</v>
      </c>
      <c r="Y476" s="1">
        <v>5930</v>
      </c>
      <c r="Z476" s="1">
        <v>5120</v>
      </c>
      <c r="AA476">
        <v>0</v>
      </c>
      <c r="AB476" t="str">
        <f t="shared" si="7"/>
        <v>Not Defaulter</v>
      </c>
      <c r="AC476" s="1">
        <f>Table2[[#This Row],[BILL_AMT1]]-Table2[[#This Row],[PAY_AMT1]]</f>
        <v>1476</v>
      </c>
      <c r="AD476" s="1" t="str" cm="1">
        <f t="array" ref="AD476">_xlfn.IFS(Table2[[#This Row],[PAYMENT GAP]]&lt;=0,"No Gap / Overpaid",Table2[[#This Row],[PAYMENT GAP]]&lt;=25000,"Low Gap",Table2[[#This Row],[PAYMENT GAP]]&lt;=100000,"Medium Gap",
TRUE,"High Gap"
)</f>
        <v>Low Gap</v>
      </c>
    </row>
    <row r="477" spans="1:30" x14ac:dyDescent="0.3">
      <c r="A477">
        <v>476</v>
      </c>
      <c r="B477" s="1">
        <v>60000</v>
      </c>
      <c r="C477" s="1" t="str" cm="1">
        <f t="array" ref="C477">_xlfn.IFS(Table2[[#This Row],[LIMIT_BAL]]&lt;=100000,"Low",Table2[[#This Row],[LIMIT_BAL]]&lt;=300000,"Medium",
TRUE,"High"
)</f>
        <v>Low</v>
      </c>
      <c r="D477" t="s">
        <v>2041</v>
      </c>
      <c r="E477" t="s">
        <v>2043</v>
      </c>
      <c r="F477" t="s">
        <v>2029</v>
      </c>
      <c r="G477">
        <v>29</v>
      </c>
      <c r="H477" t="str" cm="1">
        <f t="array" ref="H477">_xlfn.IFS(
Table2[[#This Row],[AGE]]&lt;30,"Young",
Table2[[#This Row],[AGE]]&lt;40,"Middle Age",
Table2[[#This Row],[AGE]]&lt;50,"Senior",
TRUE,"Super Senior"
)</f>
        <v>Young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 s="1">
        <v>27199</v>
      </c>
      <c r="P477" s="1">
        <v>28358</v>
      </c>
      <c r="Q477" s="1">
        <v>28937</v>
      </c>
      <c r="R477" s="1">
        <v>29614</v>
      </c>
      <c r="S477" s="1">
        <v>30391</v>
      </c>
      <c r="T477" s="1">
        <v>23159</v>
      </c>
      <c r="U477" s="1">
        <v>1900</v>
      </c>
      <c r="V477" s="1">
        <v>1400</v>
      </c>
      <c r="W477" s="1">
        <v>1000</v>
      </c>
      <c r="X477" s="1">
        <v>1100</v>
      </c>
      <c r="Y477" s="1">
        <v>1000</v>
      </c>
      <c r="Z477" s="1">
        <v>420</v>
      </c>
      <c r="AA477">
        <v>0</v>
      </c>
      <c r="AB477" t="str">
        <f t="shared" si="7"/>
        <v>Not Defaulter</v>
      </c>
      <c r="AC477" s="1">
        <f>Table2[[#This Row],[BILL_AMT1]]-Table2[[#This Row],[PAY_AMT1]]</f>
        <v>25299</v>
      </c>
      <c r="AD477" s="1" t="str" cm="1">
        <f t="array" ref="AD477">_xlfn.IFS(Table2[[#This Row],[PAYMENT GAP]]&lt;=0,"No Gap / Overpaid",Table2[[#This Row],[PAYMENT GAP]]&lt;=25000,"Low Gap",Table2[[#This Row],[PAYMENT GAP]]&lt;=100000,"Medium Gap",
TRUE,"High Gap"
)</f>
        <v>Medium Gap</v>
      </c>
    </row>
    <row r="478" spans="1:30" x14ac:dyDescent="0.3">
      <c r="A478">
        <v>477</v>
      </c>
      <c r="B478" s="1">
        <v>50000</v>
      </c>
      <c r="C478" s="1" t="str" cm="1">
        <f t="array" ref="C478">_xlfn.IFS(Table2[[#This Row],[LIMIT_BAL]]&lt;=100000,"Low",Table2[[#This Row],[LIMIT_BAL]]&lt;=300000,"Medium",
TRUE,"High"
)</f>
        <v>Low</v>
      </c>
      <c r="D478" t="s">
        <v>2042</v>
      </c>
      <c r="E478" t="s">
        <v>2026</v>
      </c>
      <c r="F478" t="s">
        <v>2029</v>
      </c>
      <c r="G478">
        <v>44</v>
      </c>
      <c r="H478" t="str" cm="1">
        <f t="array" ref="H478">_xlfn.IFS(
Table2[[#This Row],[AGE]]&lt;30,"Young",
Table2[[#This Row],[AGE]]&lt;40,"Middle Age",
Table2[[#This Row],[AGE]]&lt;50,"Senior",
TRUE,"Super Senior"
)</f>
        <v>Senior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s="1">
        <v>50893</v>
      </c>
      <c r="P478" s="1">
        <v>28527</v>
      </c>
      <c r="Q478" s="1">
        <v>29241</v>
      </c>
      <c r="R478" s="1">
        <v>28513</v>
      </c>
      <c r="S478" s="1">
        <v>29106</v>
      </c>
      <c r="T478" s="1">
        <v>29638</v>
      </c>
      <c r="U478" s="1">
        <v>1800</v>
      </c>
      <c r="V478" s="1">
        <v>1500</v>
      </c>
      <c r="W478" s="1">
        <v>1200</v>
      </c>
      <c r="X478" s="1">
        <v>1203</v>
      </c>
      <c r="Y478" s="1">
        <v>1166</v>
      </c>
      <c r="Z478" s="1">
        <v>1000</v>
      </c>
      <c r="AA478">
        <v>0</v>
      </c>
      <c r="AB478" t="str">
        <f t="shared" si="7"/>
        <v>Not Defaulter</v>
      </c>
      <c r="AC478" s="1">
        <f>Table2[[#This Row],[BILL_AMT1]]-Table2[[#This Row],[PAY_AMT1]]</f>
        <v>49093</v>
      </c>
      <c r="AD478" s="1" t="str" cm="1">
        <f t="array" ref="AD478">_xlfn.IFS(Table2[[#This Row],[PAYMENT GAP]]&lt;=0,"No Gap / Overpaid",Table2[[#This Row],[PAYMENT GAP]]&lt;=25000,"Low Gap",Table2[[#This Row],[PAYMENT GAP]]&lt;=100000,"Medium Gap",
TRUE,"High Gap"
)</f>
        <v>Medium Gap</v>
      </c>
    </row>
    <row r="479" spans="1:30" x14ac:dyDescent="0.3">
      <c r="A479">
        <v>478</v>
      </c>
      <c r="B479" s="1">
        <v>70000</v>
      </c>
      <c r="C479" s="1" t="str" cm="1">
        <f t="array" ref="C479">_xlfn.IFS(Table2[[#This Row],[LIMIT_BAL]]&lt;=100000,"Low",Table2[[#This Row],[LIMIT_BAL]]&lt;=300000,"Medium",
TRUE,"High"
)</f>
        <v>Low</v>
      </c>
      <c r="D479" t="s">
        <v>2041</v>
      </c>
      <c r="E479" t="s">
        <v>2043</v>
      </c>
      <c r="F479" t="s">
        <v>2028</v>
      </c>
      <c r="G479">
        <v>37</v>
      </c>
      <c r="H479" t="str" cm="1">
        <f t="array" ref="H479">_xlfn.IFS(
Table2[[#This Row],[AGE]]&lt;30,"Young",
Table2[[#This Row],[AGE]]&lt;40,"Middle Age",
Table2[[#This Row],[AGE]]&lt;50,"Senior",
TRUE,"Super Senior"
)</f>
        <v>Middle Age</v>
      </c>
      <c r="I479">
        <v>0</v>
      </c>
      <c r="J479">
        <v>0</v>
      </c>
      <c r="K479">
        <v>0</v>
      </c>
      <c r="L479">
        <v>2</v>
      </c>
      <c r="M479">
        <v>0</v>
      </c>
      <c r="N479">
        <v>0</v>
      </c>
      <c r="O479" s="1">
        <v>66759</v>
      </c>
      <c r="P479" s="1">
        <v>68200</v>
      </c>
      <c r="Q479" s="1">
        <v>72972</v>
      </c>
      <c r="R479" s="1">
        <v>71248</v>
      </c>
      <c r="S479" s="1">
        <v>50610</v>
      </c>
      <c r="T479" s="1">
        <v>50809</v>
      </c>
      <c r="U479" s="1">
        <v>2518</v>
      </c>
      <c r="V479" s="1">
        <v>5950</v>
      </c>
      <c r="W479" s="1">
        <v>0</v>
      </c>
      <c r="X479" s="1">
        <v>1782</v>
      </c>
      <c r="Y479" s="1">
        <v>1985</v>
      </c>
      <c r="Z479" s="1">
        <v>2700</v>
      </c>
      <c r="AA479">
        <v>0</v>
      </c>
      <c r="AB479" t="str">
        <f t="shared" si="7"/>
        <v>Not Defaulter</v>
      </c>
      <c r="AC479" s="1">
        <f>Table2[[#This Row],[BILL_AMT1]]-Table2[[#This Row],[PAY_AMT1]]</f>
        <v>64241</v>
      </c>
      <c r="AD479" s="1" t="str" cm="1">
        <f t="array" ref="AD479">_xlfn.IFS(Table2[[#This Row],[PAYMENT GAP]]&lt;=0,"No Gap / Overpaid",Table2[[#This Row],[PAYMENT GAP]]&lt;=25000,"Low Gap",Table2[[#This Row],[PAYMENT GAP]]&lt;=100000,"Medium Gap",
TRUE,"High Gap"
)</f>
        <v>Medium Gap</v>
      </c>
    </row>
    <row r="480" spans="1:30" x14ac:dyDescent="0.3">
      <c r="A480">
        <v>479</v>
      </c>
      <c r="B480" s="1">
        <v>500000</v>
      </c>
      <c r="C480" s="1" t="str" cm="1">
        <f t="array" ref="C480">_xlfn.IFS(Table2[[#This Row],[LIMIT_BAL]]&lt;=100000,"Low",Table2[[#This Row],[LIMIT_BAL]]&lt;=300000,"Medium",
TRUE,"High"
)</f>
        <v>High</v>
      </c>
      <c r="D480" t="s">
        <v>2041</v>
      </c>
      <c r="E480" t="s">
        <v>2026</v>
      </c>
      <c r="F480" t="s">
        <v>2028</v>
      </c>
      <c r="G480">
        <v>38</v>
      </c>
      <c r="H480" t="str" cm="1">
        <f t="array" ref="H480">_xlfn.IFS(
Table2[[#This Row],[AGE]]&lt;30,"Young",
Table2[[#This Row],[AGE]]&lt;40,"Middle Age",
Table2[[#This Row],[AGE]]&lt;50,"Senior",
TRUE,"Super Senior"
)</f>
        <v>Middle Age</v>
      </c>
      <c r="I480">
        <v>-1</v>
      </c>
      <c r="J480">
        <v>2</v>
      </c>
      <c r="K480">
        <v>-1</v>
      </c>
      <c r="L480">
        <v>-1</v>
      </c>
      <c r="M480">
        <v>-1</v>
      </c>
      <c r="N480">
        <v>0</v>
      </c>
      <c r="O480" s="1">
        <v>600</v>
      </c>
      <c r="P480" s="1">
        <v>300</v>
      </c>
      <c r="Q480" s="1">
        <v>501</v>
      </c>
      <c r="R480" s="1">
        <v>300</v>
      </c>
      <c r="S480" s="1">
        <v>600</v>
      </c>
      <c r="T480" s="1">
        <v>450</v>
      </c>
      <c r="U480" s="1">
        <v>0</v>
      </c>
      <c r="V480" s="1">
        <v>501</v>
      </c>
      <c r="W480" s="1">
        <v>300</v>
      </c>
      <c r="X480" s="1">
        <v>600</v>
      </c>
      <c r="Y480" s="1">
        <v>300</v>
      </c>
      <c r="Z480" s="1">
        <v>600</v>
      </c>
      <c r="AA480">
        <v>0</v>
      </c>
      <c r="AB480" t="str">
        <f t="shared" si="7"/>
        <v>Not Defaulter</v>
      </c>
      <c r="AC480" s="1">
        <f>Table2[[#This Row],[BILL_AMT1]]-Table2[[#This Row],[PAY_AMT1]]</f>
        <v>600</v>
      </c>
      <c r="AD480" s="1" t="str" cm="1">
        <f t="array" ref="AD480">_xlfn.IFS(Table2[[#This Row],[PAYMENT GAP]]&lt;=0,"No Gap / Overpaid",Table2[[#This Row],[PAYMENT GAP]]&lt;=25000,"Low Gap",Table2[[#This Row],[PAYMENT GAP]]&lt;=100000,"Medium Gap",
TRUE,"High Gap"
)</f>
        <v>Low Gap</v>
      </c>
    </row>
    <row r="481" spans="1:30" x14ac:dyDescent="0.3">
      <c r="A481">
        <v>480</v>
      </c>
      <c r="B481" s="1">
        <v>200000</v>
      </c>
      <c r="C481" s="1" t="str" cm="1">
        <f t="array" ref="C481">_xlfn.IFS(Table2[[#This Row],[LIMIT_BAL]]&lt;=100000,"Low",Table2[[#This Row],[LIMIT_BAL]]&lt;=300000,"Medium",
TRUE,"High"
)</f>
        <v>Medium</v>
      </c>
      <c r="D481" t="s">
        <v>2042</v>
      </c>
      <c r="E481" t="s">
        <v>2026</v>
      </c>
      <c r="F481" t="s">
        <v>2029</v>
      </c>
      <c r="G481">
        <v>31</v>
      </c>
      <c r="H481" t="str" cm="1">
        <f t="array" ref="H481">_xlfn.IFS(
Table2[[#This Row],[AGE]]&lt;30,"Young",
Table2[[#This Row],[AGE]]&lt;40,"Middle Age",
Table2[[#This Row],[AGE]]&lt;50,"Senior",
TRUE,"Super Senior"
)</f>
        <v>Middle Age</v>
      </c>
      <c r="I481">
        <v>-2</v>
      </c>
      <c r="J481">
        <v>-2</v>
      </c>
      <c r="K481">
        <v>-2</v>
      </c>
      <c r="L481">
        <v>-2</v>
      </c>
      <c r="M481">
        <v>-2</v>
      </c>
      <c r="N481">
        <v>-2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>
        <v>0</v>
      </c>
      <c r="AB481" t="str">
        <f t="shared" si="7"/>
        <v>Not Defaulter</v>
      </c>
      <c r="AC481" s="1">
        <f>Table2[[#This Row],[BILL_AMT1]]-Table2[[#This Row],[PAY_AMT1]]</f>
        <v>0</v>
      </c>
      <c r="AD481" s="1" t="str" cm="1">
        <f t="array" ref="AD481">_xlfn.IFS(Table2[[#This Row],[PAYMENT GAP]]&lt;=0,"No Gap / Overpaid",Table2[[#This Row],[PAYMENT GAP]]&lt;=25000,"Low Gap",Table2[[#This Row],[PAYMENT GAP]]&lt;=100000,"Medium Gap",
TRUE,"High Gap"
)</f>
        <v>No Gap / Overpaid</v>
      </c>
    </row>
    <row r="482" spans="1:30" x14ac:dyDescent="0.3">
      <c r="A482">
        <v>481</v>
      </c>
      <c r="B482" s="1">
        <v>250000</v>
      </c>
      <c r="C482" s="1" t="str" cm="1">
        <f t="array" ref="C482">_xlfn.IFS(Table2[[#This Row],[LIMIT_BAL]]&lt;=100000,"Low",Table2[[#This Row],[LIMIT_BAL]]&lt;=300000,"Medium",
TRUE,"High"
)</f>
        <v>Medium</v>
      </c>
      <c r="D482" t="s">
        <v>2041</v>
      </c>
      <c r="E482" t="s">
        <v>2043</v>
      </c>
      <c r="F482" t="s">
        <v>2028</v>
      </c>
      <c r="G482">
        <v>40</v>
      </c>
      <c r="H482" t="str" cm="1">
        <f t="array" ref="H482">_xlfn.IFS(
Table2[[#This Row],[AGE]]&lt;30,"Young",
Table2[[#This Row],[AGE]]&lt;40,"Middle Age",
Table2[[#This Row],[AGE]]&lt;50,"Senior",
TRUE,"Super Senior"
)</f>
        <v>Senior</v>
      </c>
      <c r="I482">
        <v>0</v>
      </c>
      <c r="J482">
        <v>0</v>
      </c>
      <c r="K482">
        <v>0</v>
      </c>
      <c r="L482">
        <v>0</v>
      </c>
      <c r="M482">
        <v>-1</v>
      </c>
      <c r="N482">
        <v>2</v>
      </c>
      <c r="O482" s="1">
        <v>44930</v>
      </c>
      <c r="P482" s="1">
        <v>137101</v>
      </c>
      <c r="Q482" s="1">
        <v>90801</v>
      </c>
      <c r="R482" s="1">
        <v>0</v>
      </c>
      <c r="S482" s="1">
        <v>1069</v>
      </c>
      <c r="T482" s="1">
        <v>919</v>
      </c>
      <c r="U482" s="1">
        <v>120041</v>
      </c>
      <c r="V482" s="1">
        <v>4435</v>
      </c>
      <c r="W482" s="1">
        <v>0</v>
      </c>
      <c r="X482" s="1">
        <v>1069</v>
      </c>
      <c r="Y482" s="1">
        <v>0</v>
      </c>
      <c r="Z482" s="1">
        <v>67619</v>
      </c>
      <c r="AA482">
        <v>0</v>
      </c>
      <c r="AB482" t="str">
        <f t="shared" si="7"/>
        <v>Not Defaulter</v>
      </c>
      <c r="AC482" s="1">
        <f>Table2[[#This Row],[BILL_AMT1]]-Table2[[#This Row],[PAY_AMT1]]</f>
        <v>-75111</v>
      </c>
      <c r="AD482" s="1" t="str" cm="1">
        <f t="array" ref="AD482">_xlfn.IFS(Table2[[#This Row],[PAYMENT GAP]]&lt;=0,"No Gap / Overpaid",Table2[[#This Row],[PAYMENT GAP]]&lt;=25000,"Low Gap",Table2[[#This Row],[PAYMENT GAP]]&lt;=100000,"Medium Gap",
TRUE,"High Gap"
)</f>
        <v>No Gap / Overpaid</v>
      </c>
    </row>
    <row r="483" spans="1:30" x14ac:dyDescent="0.3">
      <c r="A483">
        <v>482</v>
      </c>
      <c r="B483" s="1">
        <v>140000</v>
      </c>
      <c r="C483" s="1" t="str" cm="1">
        <f t="array" ref="C483">_xlfn.IFS(Table2[[#This Row],[LIMIT_BAL]]&lt;=100000,"Low",Table2[[#This Row],[LIMIT_BAL]]&lt;=300000,"Medium",
TRUE,"High"
)</f>
        <v>Medium</v>
      </c>
      <c r="D483" t="s">
        <v>2042</v>
      </c>
      <c r="E483" t="s">
        <v>2043</v>
      </c>
      <c r="F483" t="s">
        <v>2029</v>
      </c>
      <c r="G483">
        <v>26</v>
      </c>
      <c r="H483" t="str" cm="1">
        <f t="array" ref="H483">_xlfn.IFS(
Table2[[#This Row],[AGE]]&lt;30,"Young",
Table2[[#This Row],[AGE]]&lt;40,"Middle Age",
Table2[[#This Row],[AGE]]&lt;50,"Senior",
TRUE,"Super Senior"
)</f>
        <v>Young</v>
      </c>
      <c r="I483">
        <v>0</v>
      </c>
      <c r="J483">
        <v>0</v>
      </c>
      <c r="K483">
        <v>2</v>
      </c>
      <c r="L483">
        <v>2</v>
      </c>
      <c r="M483">
        <v>2</v>
      </c>
      <c r="N483">
        <v>2</v>
      </c>
      <c r="O483" s="1">
        <v>131367</v>
      </c>
      <c r="P483" s="1">
        <v>146193</v>
      </c>
      <c r="Q483" s="1">
        <v>140202</v>
      </c>
      <c r="R483" s="1">
        <v>144035</v>
      </c>
      <c r="S483" s="1">
        <v>140419</v>
      </c>
      <c r="T483" s="1">
        <v>130271</v>
      </c>
      <c r="U483" s="1">
        <v>17000</v>
      </c>
      <c r="V483" s="1">
        <v>0</v>
      </c>
      <c r="W483" s="1">
        <v>11400</v>
      </c>
      <c r="X483" s="1">
        <v>550</v>
      </c>
      <c r="Y483" s="1">
        <v>5300</v>
      </c>
      <c r="Z483" s="1">
        <v>5400</v>
      </c>
      <c r="AA483">
        <v>1</v>
      </c>
      <c r="AB483" t="str">
        <f t="shared" si="7"/>
        <v>Defaulter</v>
      </c>
      <c r="AC483" s="1">
        <f>Table2[[#This Row],[BILL_AMT1]]-Table2[[#This Row],[PAY_AMT1]]</f>
        <v>114367</v>
      </c>
      <c r="AD483" s="1" t="str" cm="1">
        <f t="array" ref="AD483">_xlfn.IFS(Table2[[#This Row],[PAYMENT GAP]]&lt;=0,"No Gap / Overpaid",Table2[[#This Row],[PAYMENT GAP]]&lt;=25000,"Low Gap",Table2[[#This Row],[PAYMENT GAP]]&lt;=100000,"Medium Gap",
TRUE,"High Gap"
)</f>
        <v>High Gap</v>
      </c>
    </row>
    <row r="484" spans="1:30" x14ac:dyDescent="0.3">
      <c r="A484">
        <v>483</v>
      </c>
      <c r="B484" s="1">
        <v>70000</v>
      </c>
      <c r="C484" s="1" t="str" cm="1">
        <f t="array" ref="C484">_xlfn.IFS(Table2[[#This Row],[LIMIT_BAL]]&lt;=100000,"Low",Table2[[#This Row],[LIMIT_BAL]]&lt;=300000,"Medium",
TRUE,"High"
)</f>
        <v>Low</v>
      </c>
      <c r="D484" t="s">
        <v>2041</v>
      </c>
      <c r="E484" t="s">
        <v>2043</v>
      </c>
      <c r="F484" t="s">
        <v>2029</v>
      </c>
      <c r="G484">
        <v>28</v>
      </c>
      <c r="H484" t="str" cm="1">
        <f t="array" ref="H484">_xlfn.IFS(
Table2[[#This Row],[AGE]]&lt;30,"Young",
Table2[[#This Row],[AGE]]&lt;40,"Middle Age",
Table2[[#This Row],[AGE]]&lt;50,"Senior",
TRUE,"Super Senior"
)</f>
        <v>Young</v>
      </c>
      <c r="I484">
        <v>0</v>
      </c>
      <c r="J484">
        <v>0</v>
      </c>
      <c r="K484">
        <v>0</v>
      </c>
      <c r="L484">
        <v>0</v>
      </c>
      <c r="M484">
        <v>-1</v>
      </c>
      <c r="N484">
        <v>2</v>
      </c>
      <c r="O484" s="1">
        <v>41264</v>
      </c>
      <c r="P484" s="1">
        <v>41799</v>
      </c>
      <c r="Q484" s="1">
        <v>37887</v>
      </c>
      <c r="R484" s="1">
        <v>37876</v>
      </c>
      <c r="S484" s="1">
        <v>6736</v>
      </c>
      <c r="T484" s="1">
        <v>4162</v>
      </c>
      <c r="U484" s="1">
        <v>2112</v>
      </c>
      <c r="V484" s="1">
        <v>1200</v>
      </c>
      <c r="W484" s="1">
        <v>758</v>
      </c>
      <c r="X484" s="1">
        <v>6736</v>
      </c>
      <c r="Y484" s="1">
        <v>0</v>
      </c>
      <c r="Z484" s="1">
        <v>0</v>
      </c>
      <c r="AA484">
        <v>0</v>
      </c>
      <c r="AB484" t="str">
        <f t="shared" si="7"/>
        <v>Not Defaulter</v>
      </c>
      <c r="AC484" s="1">
        <f>Table2[[#This Row],[BILL_AMT1]]-Table2[[#This Row],[PAY_AMT1]]</f>
        <v>39152</v>
      </c>
      <c r="AD484" s="1" t="str" cm="1">
        <f t="array" ref="AD484">_xlfn.IFS(Table2[[#This Row],[PAYMENT GAP]]&lt;=0,"No Gap / Overpaid",Table2[[#This Row],[PAYMENT GAP]]&lt;=25000,"Low Gap",Table2[[#This Row],[PAYMENT GAP]]&lt;=100000,"Medium Gap",
TRUE,"High Gap"
)</f>
        <v>Medium Gap</v>
      </c>
    </row>
    <row r="485" spans="1:30" x14ac:dyDescent="0.3">
      <c r="A485">
        <v>484</v>
      </c>
      <c r="B485" s="1">
        <v>90000</v>
      </c>
      <c r="C485" s="1" t="str" cm="1">
        <f t="array" ref="C485">_xlfn.IFS(Table2[[#This Row],[LIMIT_BAL]]&lt;=100000,"Low",Table2[[#This Row],[LIMIT_BAL]]&lt;=300000,"Medium",
TRUE,"High"
)</f>
        <v>Low</v>
      </c>
      <c r="D485" t="s">
        <v>2042</v>
      </c>
      <c r="E485" t="s">
        <v>2027</v>
      </c>
      <c r="F485" t="s">
        <v>2028</v>
      </c>
      <c r="G485">
        <v>48</v>
      </c>
      <c r="H485" t="str" cm="1">
        <f t="array" ref="H485">_xlfn.IFS(
Table2[[#This Row],[AGE]]&lt;30,"Young",
Table2[[#This Row],[AGE]]&lt;40,"Middle Age",
Table2[[#This Row],[AGE]]&lt;50,"Senior",
TRUE,"Super Senior"
)</f>
        <v>Senior</v>
      </c>
      <c r="I485">
        <v>1</v>
      </c>
      <c r="J485">
        <v>2</v>
      </c>
      <c r="K485">
        <v>2</v>
      </c>
      <c r="L485">
        <v>2</v>
      </c>
      <c r="M485">
        <v>2</v>
      </c>
      <c r="N485">
        <v>2</v>
      </c>
      <c r="O485" s="1">
        <v>77604</v>
      </c>
      <c r="P485" s="1">
        <v>73317</v>
      </c>
      <c r="Q485" s="1">
        <v>71334</v>
      </c>
      <c r="R485" s="1">
        <v>67009</v>
      </c>
      <c r="S485" s="1">
        <v>63228</v>
      </c>
      <c r="T485" s="1">
        <v>59378</v>
      </c>
      <c r="U485" s="1">
        <v>1700</v>
      </c>
      <c r="V485" s="1">
        <v>4000</v>
      </c>
      <c r="W485" s="1">
        <v>1600</v>
      </c>
      <c r="X485" s="1">
        <v>1600</v>
      </c>
      <c r="Y485" s="1">
        <v>1500</v>
      </c>
      <c r="Z485" s="1">
        <v>4086</v>
      </c>
      <c r="AA485">
        <v>0</v>
      </c>
      <c r="AB485" t="str">
        <f t="shared" si="7"/>
        <v>Not Defaulter</v>
      </c>
      <c r="AC485" s="1">
        <f>Table2[[#This Row],[BILL_AMT1]]-Table2[[#This Row],[PAY_AMT1]]</f>
        <v>75904</v>
      </c>
      <c r="AD485" s="1" t="str" cm="1">
        <f t="array" ref="AD485">_xlfn.IFS(Table2[[#This Row],[PAYMENT GAP]]&lt;=0,"No Gap / Overpaid",Table2[[#This Row],[PAYMENT GAP]]&lt;=25000,"Low Gap",Table2[[#This Row],[PAYMENT GAP]]&lt;=100000,"Medium Gap",
TRUE,"High Gap"
)</f>
        <v>Medium Gap</v>
      </c>
    </row>
    <row r="486" spans="1:30" x14ac:dyDescent="0.3">
      <c r="A486">
        <v>485</v>
      </c>
      <c r="B486" s="1">
        <v>100000</v>
      </c>
      <c r="C486" s="1" t="str" cm="1">
        <f t="array" ref="C486">_xlfn.IFS(Table2[[#This Row],[LIMIT_BAL]]&lt;=100000,"Low",Table2[[#This Row],[LIMIT_BAL]]&lt;=300000,"Medium",
TRUE,"High"
)</f>
        <v>Low</v>
      </c>
      <c r="D486" t="s">
        <v>2041</v>
      </c>
      <c r="E486" t="s">
        <v>2043</v>
      </c>
      <c r="F486" t="s">
        <v>2028</v>
      </c>
      <c r="G486">
        <v>43</v>
      </c>
      <c r="H486" t="str" cm="1">
        <f t="array" ref="H486">_xlfn.IFS(
Table2[[#This Row],[AGE]]&lt;30,"Young",
Table2[[#This Row],[AGE]]&lt;40,"Middle Age",
Table2[[#This Row],[AGE]]&lt;50,"Senior",
TRUE,"Super Senior"
)</f>
        <v>Senior</v>
      </c>
      <c r="I486">
        <v>-1</v>
      </c>
      <c r="J486">
        <v>-1</v>
      </c>
      <c r="K486">
        <v>-1</v>
      </c>
      <c r="L486">
        <v>-1</v>
      </c>
      <c r="M486">
        <v>-1</v>
      </c>
      <c r="N486">
        <v>-1</v>
      </c>
      <c r="O486" s="1">
        <v>2491</v>
      </c>
      <c r="P486" s="1">
        <v>1709</v>
      </c>
      <c r="Q486" s="1">
        <v>574</v>
      </c>
      <c r="R486" s="1">
        <v>556</v>
      </c>
      <c r="S486" s="1">
        <v>2306</v>
      </c>
      <c r="T486" s="1">
        <v>2562</v>
      </c>
      <c r="U486" s="1">
        <v>1709</v>
      </c>
      <c r="V486" s="1">
        <v>574</v>
      </c>
      <c r="W486" s="1">
        <v>556</v>
      </c>
      <c r="X486" s="1">
        <v>2306</v>
      </c>
      <c r="Y486" s="1">
        <v>2562</v>
      </c>
      <c r="Z486" s="1">
        <v>2111</v>
      </c>
      <c r="AA486">
        <v>0</v>
      </c>
      <c r="AB486" t="str">
        <f t="shared" si="7"/>
        <v>Not Defaulter</v>
      </c>
      <c r="AC486" s="1">
        <f>Table2[[#This Row],[BILL_AMT1]]-Table2[[#This Row],[PAY_AMT1]]</f>
        <v>782</v>
      </c>
      <c r="AD486" s="1" t="str" cm="1">
        <f t="array" ref="AD486">_xlfn.IFS(Table2[[#This Row],[PAYMENT GAP]]&lt;=0,"No Gap / Overpaid",Table2[[#This Row],[PAYMENT GAP]]&lt;=25000,"Low Gap",Table2[[#This Row],[PAYMENT GAP]]&lt;=100000,"Medium Gap",
TRUE,"High Gap"
)</f>
        <v>Low Gap</v>
      </c>
    </row>
    <row r="487" spans="1:30" x14ac:dyDescent="0.3">
      <c r="A487">
        <v>486</v>
      </c>
      <c r="B487" s="1">
        <v>190000</v>
      </c>
      <c r="C487" s="1" t="str" cm="1">
        <f t="array" ref="C487">_xlfn.IFS(Table2[[#This Row],[LIMIT_BAL]]&lt;=100000,"Low",Table2[[#This Row],[LIMIT_BAL]]&lt;=300000,"Medium",
TRUE,"High"
)</f>
        <v>Medium</v>
      </c>
      <c r="D487" t="s">
        <v>2042</v>
      </c>
      <c r="E487" t="s">
        <v>2043</v>
      </c>
      <c r="F487" t="s">
        <v>2028</v>
      </c>
      <c r="G487">
        <v>31</v>
      </c>
      <c r="H487" t="str" cm="1">
        <f t="array" ref="H487">_xlfn.IFS(
Table2[[#This Row],[AGE]]&lt;30,"Young",
Table2[[#This Row],[AGE]]&lt;40,"Middle Age",
Table2[[#This Row],[AGE]]&lt;50,"Senior",
TRUE,"Super Senior"
)</f>
        <v>Middle Age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 s="1">
        <v>177554</v>
      </c>
      <c r="P487" s="1">
        <v>180633</v>
      </c>
      <c r="Q487" s="1">
        <v>172914</v>
      </c>
      <c r="R487" s="1">
        <v>130139</v>
      </c>
      <c r="S487" s="1">
        <v>115494</v>
      </c>
      <c r="T487" s="1">
        <v>117465</v>
      </c>
      <c r="U487" s="1">
        <v>7600</v>
      </c>
      <c r="V487" s="1">
        <v>6303</v>
      </c>
      <c r="W487" s="1">
        <v>4137</v>
      </c>
      <c r="X487" s="1">
        <v>3502</v>
      </c>
      <c r="Y487" s="1">
        <v>4027</v>
      </c>
      <c r="Z487" s="1">
        <v>3517</v>
      </c>
      <c r="AA487">
        <v>0</v>
      </c>
      <c r="AB487" t="str">
        <f t="shared" si="7"/>
        <v>Not Defaulter</v>
      </c>
      <c r="AC487" s="1">
        <f>Table2[[#This Row],[BILL_AMT1]]-Table2[[#This Row],[PAY_AMT1]]</f>
        <v>169954</v>
      </c>
      <c r="AD487" s="1" t="str" cm="1">
        <f t="array" ref="AD487">_xlfn.IFS(Table2[[#This Row],[PAYMENT GAP]]&lt;=0,"No Gap / Overpaid",Table2[[#This Row],[PAYMENT GAP]]&lt;=25000,"Low Gap",Table2[[#This Row],[PAYMENT GAP]]&lt;=100000,"Medium Gap",
TRUE,"High Gap"
)</f>
        <v>High Gap</v>
      </c>
    </row>
    <row r="488" spans="1:30" x14ac:dyDescent="0.3">
      <c r="A488">
        <v>487</v>
      </c>
      <c r="B488" s="1">
        <v>230000</v>
      </c>
      <c r="C488" s="1" t="str" cm="1">
        <f t="array" ref="C488">_xlfn.IFS(Table2[[#This Row],[LIMIT_BAL]]&lt;=100000,"Low",Table2[[#This Row],[LIMIT_BAL]]&lt;=300000,"Medium",
TRUE,"High"
)</f>
        <v>Medium</v>
      </c>
      <c r="D488" t="s">
        <v>2041</v>
      </c>
      <c r="E488" t="s">
        <v>2026</v>
      </c>
      <c r="F488" t="s">
        <v>2028</v>
      </c>
      <c r="G488">
        <v>42</v>
      </c>
      <c r="H488" t="str" cm="1">
        <f t="array" ref="H488">_xlfn.IFS(
Table2[[#This Row],[AGE]]&lt;30,"Young",
Table2[[#This Row],[AGE]]&lt;40,"Middle Age",
Table2[[#This Row],[AGE]]&lt;50,"Senior",
TRUE,"Super Senior"
)</f>
        <v>Senior</v>
      </c>
      <c r="I488">
        <v>-1</v>
      </c>
      <c r="J488">
        <v>-1</v>
      </c>
      <c r="K488">
        <v>-1</v>
      </c>
      <c r="L488">
        <v>-1</v>
      </c>
      <c r="M488">
        <v>-1</v>
      </c>
      <c r="N488">
        <v>-1</v>
      </c>
      <c r="O488" s="1">
        <v>6865</v>
      </c>
      <c r="P488" s="1">
        <v>15111</v>
      </c>
      <c r="Q488" s="1">
        <v>13165</v>
      </c>
      <c r="R488" s="1">
        <v>0</v>
      </c>
      <c r="S488" s="1">
        <v>10500</v>
      </c>
      <c r="T488" s="1">
        <v>6992</v>
      </c>
      <c r="U488" s="1">
        <v>15111</v>
      </c>
      <c r="V488" s="1">
        <v>13165</v>
      </c>
      <c r="W488" s="1">
        <v>0</v>
      </c>
      <c r="X488" s="1">
        <v>10500</v>
      </c>
      <c r="Y488" s="1">
        <v>6992</v>
      </c>
      <c r="Z488" s="1">
        <v>0</v>
      </c>
      <c r="AA488">
        <v>0</v>
      </c>
      <c r="AB488" t="str">
        <f t="shared" si="7"/>
        <v>Not Defaulter</v>
      </c>
      <c r="AC488" s="1">
        <f>Table2[[#This Row],[BILL_AMT1]]-Table2[[#This Row],[PAY_AMT1]]</f>
        <v>-8246</v>
      </c>
      <c r="AD488" s="1" t="str" cm="1">
        <f t="array" ref="AD488">_xlfn.IFS(Table2[[#This Row],[PAYMENT GAP]]&lt;=0,"No Gap / Overpaid",Table2[[#This Row],[PAYMENT GAP]]&lt;=25000,"Low Gap",Table2[[#This Row],[PAYMENT GAP]]&lt;=100000,"Medium Gap",
TRUE,"High Gap"
)</f>
        <v>No Gap / Overpaid</v>
      </c>
    </row>
    <row r="489" spans="1:30" x14ac:dyDescent="0.3">
      <c r="A489">
        <v>488</v>
      </c>
      <c r="B489" s="1">
        <v>320000</v>
      </c>
      <c r="C489" s="1" t="str" cm="1">
        <f t="array" ref="C489">_xlfn.IFS(Table2[[#This Row],[LIMIT_BAL]]&lt;=100000,"Low",Table2[[#This Row],[LIMIT_BAL]]&lt;=300000,"Medium",
TRUE,"High"
)</f>
        <v>High</v>
      </c>
      <c r="D489" t="s">
        <v>2042</v>
      </c>
      <c r="E489" t="s">
        <v>2043</v>
      </c>
      <c r="F489" t="s">
        <v>2028</v>
      </c>
      <c r="G489">
        <v>39</v>
      </c>
      <c r="H489" t="str" cm="1">
        <f t="array" ref="H489">_xlfn.IFS(
Table2[[#This Row],[AGE]]&lt;30,"Young",
Table2[[#This Row],[AGE]]&lt;40,"Middle Age",
Table2[[#This Row],[AGE]]&lt;50,"Senior",
TRUE,"Super Senior"
)</f>
        <v>Middle Age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 s="1">
        <v>93768</v>
      </c>
      <c r="P489" s="1">
        <v>91523</v>
      </c>
      <c r="Q489" s="1">
        <v>91579</v>
      </c>
      <c r="R489" s="1">
        <v>91193</v>
      </c>
      <c r="S489" s="1">
        <v>92837</v>
      </c>
      <c r="T489" s="1">
        <v>95323</v>
      </c>
      <c r="U489" s="1">
        <v>3317</v>
      </c>
      <c r="V489" s="1">
        <v>3506</v>
      </c>
      <c r="W489" s="1">
        <v>4218</v>
      </c>
      <c r="X489" s="1">
        <v>5000</v>
      </c>
      <c r="Y489" s="1">
        <v>6080</v>
      </c>
      <c r="Z489" s="1">
        <v>938</v>
      </c>
      <c r="AA489">
        <v>0</v>
      </c>
      <c r="AB489" t="str">
        <f t="shared" si="7"/>
        <v>Not Defaulter</v>
      </c>
      <c r="AC489" s="1">
        <f>Table2[[#This Row],[BILL_AMT1]]-Table2[[#This Row],[PAY_AMT1]]</f>
        <v>90451</v>
      </c>
      <c r="AD489" s="1" t="str" cm="1">
        <f t="array" ref="AD489">_xlfn.IFS(Table2[[#This Row],[PAYMENT GAP]]&lt;=0,"No Gap / Overpaid",Table2[[#This Row],[PAYMENT GAP]]&lt;=25000,"Low Gap",Table2[[#This Row],[PAYMENT GAP]]&lt;=100000,"Medium Gap",
TRUE,"High Gap"
)</f>
        <v>Medium Gap</v>
      </c>
    </row>
    <row r="490" spans="1:30" x14ac:dyDescent="0.3">
      <c r="A490">
        <v>489</v>
      </c>
      <c r="B490" s="1">
        <v>220000</v>
      </c>
      <c r="C490" s="1" t="str" cm="1">
        <f t="array" ref="C490">_xlfn.IFS(Table2[[#This Row],[LIMIT_BAL]]&lt;=100000,"Low",Table2[[#This Row],[LIMIT_BAL]]&lt;=300000,"Medium",
TRUE,"High"
)</f>
        <v>Medium</v>
      </c>
      <c r="D490" t="s">
        <v>2041</v>
      </c>
      <c r="E490" t="s">
        <v>2043</v>
      </c>
      <c r="F490" t="s">
        <v>2028</v>
      </c>
      <c r="G490">
        <v>36</v>
      </c>
      <c r="H490" t="str" cm="1">
        <f t="array" ref="H490">_xlfn.IFS(
Table2[[#This Row],[AGE]]&lt;30,"Young",
Table2[[#This Row],[AGE]]&lt;40,"Middle Age",
Table2[[#This Row],[AGE]]&lt;50,"Senior",
TRUE,"Super Senior"
)</f>
        <v>Middle Age</v>
      </c>
      <c r="I490">
        <v>-1</v>
      </c>
      <c r="J490">
        <v>-1</v>
      </c>
      <c r="K490">
        <v>-1</v>
      </c>
      <c r="L490">
        <v>0</v>
      </c>
      <c r="M490">
        <v>-1</v>
      </c>
      <c r="N490">
        <v>-1</v>
      </c>
      <c r="O490" s="1">
        <v>396</v>
      </c>
      <c r="P490" s="1">
        <v>1648</v>
      </c>
      <c r="Q490" s="1">
        <v>792</v>
      </c>
      <c r="R490" s="1">
        <v>396</v>
      </c>
      <c r="S490" s="1">
        <v>396</v>
      </c>
      <c r="T490" s="1">
        <v>396</v>
      </c>
      <c r="U490" s="1">
        <v>1648</v>
      </c>
      <c r="V490" s="1">
        <v>792</v>
      </c>
      <c r="W490" s="1">
        <v>0</v>
      </c>
      <c r="X490" s="1">
        <v>396</v>
      </c>
      <c r="Y490" s="1">
        <v>396</v>
      </c>
      <c r="Z490" s="1">
        <v>792</v>
      </c>
      <c r="AA490">
        <v>1</v>
      </c>
      <c r="AB490" t="str">
        <f t="shared" si="7"/>
        <v>Defaulter</v>
      </c>
      <c r="AC490" s="1">
        <f>Table2[[#This Row],[BILL_AMT1]]-Table2[[#This Row],[PAY_AMT1]]</f>
        <v>-1252</v>
      </c>
      <c r="AD490" s="1" t="str" cm="1">
        <f t="array" ref="AD490">_xlfn.IFS(Table2[[#This Row],[PAYMENT GAP]]&lt;=0,"No Gap / Overpaid",Table2[[#This Row],[PAYMENT GAP]]&lt;=25000,"Low Gap",Table2[[#This Row],[PAYMENT GAP]]&lt;=100000,"Medium Gap",
TRUE,"High Gap"
)</f>
        <v>No Gap / Overpaid</v>
      </c>
    </row>
    <row r="491" spans="1:30" x14ac:dyDescent="0.3">
      <c r="A491">
        <v>490</v>
      </c>
      <c r="B491" s="1">
        <v>260000</v>
      </c>
      <c r="C491" s="1" t="str" cm="1">
        <f t="array" ref="C491">_xlfn.IFS(Table2[[#This Row],[LIMIT_BAL]]&lt;=100000,"Low",Table2[[#This Row],[LIMIT_BAL]]&lt;=300000,"Medium",
TRUE,"High"
)</f>
        <v>Medium</v>
      </c>
      <c r="D491" t="s">
        <v>2041</v>
      </c>
      <c r="E491" t="s">
        <v>2026</v>
      </c>
      <c r="F491" t="s">
        <v>2028</v>
      </c>
      <c r="G491">
        <v>34</v>
      </c>
      <c r="H491" t="str" cm="1">
        <f t="array" ref="H491">_xlfn.IFS(
Table2[[#This Row],[AGE]]&lt;30,"Young",
Table2[[#This Row],[AGE]]&lt;40,"Middle Age",
Table2[[#This Row],[AGE]]&lt;50,"Senior",
TRUE,"Super Senior"
)</f>
        <v>Middle Age</v>
      </c>
      <c r="I491">
        <v>-1</v>
      </c>
      <c r="J491">
        <v>-1</v>
      </c>
      <c r="K491">
        <v>-1</v>
      </c>
      <c r="L491">
        <v>-1</v>
      </c>
      <c r="M491">
        <v>-1</v>
      </c>
      <c r="N491">
        <v>-1</v>
      </c>
      <c r="O491" s="1">
        <v>16426</v>
      </c>
      <c r="P491" s="1">
        <v>6088</v>
      </c>
      <c r="Q491" s="1">
        <v>4663</v>
      </c>
      <c r="R491" s="1">
        <v>3885</v>
      </c>
      <c r="S491" s="1">
        <v>4414</v>
      </c>
      <c r="T491" s="1">
        <v>2514</v>
      </c>
      <c r="U491" s="1">
        <v>6277</v>
      </c>
      <c r="V491" s="1">
        <v>4663</v>
      </c>
      <c r="W491" s="1">
        <v>4140</v>
      </c>
      <c r="X491" s="1">
        <v>4414</v>
      </c>
      <c r="Y491" s="1">
        <v>2646</v>
      </c>
      <c r="Z491" s="1">
        <v>7725</v>
      </c>
      <c r="AA491">
        <v>0</v>
      </c>
      <c r="AB491" t="str">
        <f t="shared" si="7"/>
        <v>Not Defaulter</v>
      </c>
      <c r="AC491" s="1">
        <f>Table2[[#This Row],[BILL_AMT1]]-Table2[[#This Row],[PAY_AMT1]]</f>
        <v>10149</v>
      </c>
      <c r="AD491" s="1" t="str" cm="1">
        <f t="array" ref="AD491">_xlfn.IFS(Table2[[#This Row],[PAYMENT GAP]]&lt;=0,"No Gap / Overpaid",Table2[[#This Row],[PAYMENT GAP]]&lt;=25000,"Low Gap",Table2[[#This Row],[PAYMENT GAP]]&lt;=100000,"Medium Gap",
TRUE,"High Gap"
)</f>
        <v>Low Gap</v>
      </c>
    </row>
    <row r="492" spans="1:30" x14ac:dyDescent="0.3">
      <c r="A492">
        <v>491</v>
      </c>
      <c r="B492" s="1">
        <v>90000</v>
      </c>
      <c r="C492" s="1" t="str" cm="1">
        <f t="array" ref="C492">_xlfn.IFS(Table2[[#This Row],[LIMIT_BAL]]&lt;=100000,"Low",Table2[[#This Row],[LIMIT_BAL]]&lt;=300000,"Medium",
TRUE,"High"
)</f>
        <v>Low</v>
      </c>
      <c r="D492" t="s">
        <v>2041</v>
      </c>
      <c r="E492" t="s">
        <v>2043</v>
      </c>
      <c r="F492" t="s">
        <v>2029</v>
      </c>
      <c r="G492">
        <v>32</v>
      </c>
      <c r="H492" t="str" cm="1">
        <f t="array" ref="H492">_xlfn.IFS(
Table2[[#This Row],[AGE]]&lt;30,"Young",
Table2[[#This Row],[AGE]]&lt;40,"Middle Age",
Table2[[#This Row],[AGE]]&lt;50,"Senior",
TRUE,"Super Senior"
)</f>
        <v>Middle Age</v>
      </c>
      <c r="I492">
        <v>-2</v>
      </c>
      <c r="J492">
        <v>-2</v>
      </c>
      <c r="K492">
        <v>-2</v>
      </c>
      <c r="L492">
        <v>-2</v>
      </c>
      <c r="M492">
        <v>-2</v>
      </c>
      <c r="N492">
        <v>-2</v>
      </c>
      <c r="O492" s="1">
        <v>573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157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>
        <v>0</v>
      </c>
      <c r="AB492" t="str">
        <f t="shared" si="7"/>
        <v>Not Defaulter</v>
      </c>
      <c r="AC492" s="1">
        <f>Table2[[#This Row],[BILL_AMT1]]-Table2[[#This Row],[PAY_AMT1]]</f>
        <v>416</v>
      </c>
      <c r="AD492" s="1" t="str" cm="1">
        <f t="array" ref="AD492">_xlfn.IFS(Table2[[#This Row],[PAYMENT GAP]]&lt;=0,"No Gap / Overpaid",Table2[[#This Row],[PAYMENT GAP]]&lt;=25000,"Low Gap",Table2[[#This Row],[PAYMENT GAP]]&lt;=100000,"Medium Gap",
TRUE,"High Gap"
)</f>
        <v>Low Gap</v>
      </c>
    </row>
    <row r="493" spans="1:30" x14ac:dyDescent="0.3">
      <c r="A493">
        <v>492</v>
      </c>
      <c r="B493" s="1">
        <v>30000</v>
      </c>
      <c r="C493" s="1" t="str" cm="1">
        <f t="array" ref="C493">_xlfn.IFS(Table2[[#This Row],[LIMIT_BAL]]&lt;=100000,"Low",Table2[[#This Row],[LIMIT_BAL]]&lt;=300000,"Medium",
TRUE,"High"
)</f>
        <v>Low</v>
      </c>
      <c r="D493" t="s">
        <v>2041</v>
      </c>
      <c r="E493" t="s">
        <v>2043</v>
      </c>
      <c r="F493" t="s">
        <v>2028</v>
      </c>
      <c r="G493">
        <v>43</v>
      </c>
      <c r="H493" t="str" cm="1">
        <f t="array" ref="H493">_xlfn.IFS(
Table2[[#This Row],[AGE]]&lt;30,"Young",
Table2[[#This Row],[AGE]]&lt;40,"Middle Age",
Table2[[#This Row],[AGE]]&lt;50,"Senior",
TRUE,"Super Senior"
)</f>
        <v>Senior</v>
      </c>
      <c r="I493">
        <v>2</v>
      </c>
      <c r="J493">
        <v>2</v>
      </c>
      <c r="K493">
        <v>2</v>
      </c>
      <c r="L493">
        <v>2</v>
      </c>
      <c r="M493">
        <v>2</v>
      </c>
      <c r="N493">
        <v>0</v>
      </c>
      <c r="O493" s="1">
        <v>28703</v>
      </c>
      <c r="P493" s="1">
        <v>26622</v>
      </c>
      <c r="Q493" s="1">
        <v>24022</v>
      </c>
      <c r="R493" s="1">
        <v>24368</v>
      </c>
      <c r="S493" s="1">
        <v>20859</v>
      </c>
      <c r="T493" s="1">
        <v>19633</v>
      </c>
      <c r="U493" s="1">
        <v>1300</v>
      </c>
      <c r="V493" s="1">
        <v>2</v>
      </c>
      <c r="W493" s="1">
        <v>1608</v>
      </c>
      <c r="X493" s="1">
        <v>0</v>
      </c>
      <c r="Y493" s="1">
        <v>900</v>
      </c>
      <c r="Z493" s="1">
        <v>800</v>
      </c>
      <c r="AA493">
        <v>0</v>
      </c>
      <c r="AB493" t="str">
        <f t="shared" si="7"/>
        <v>Not Defaulter</v>
      </c>
      <c r="AC493" s="1">
        <f>Table2[[#This Row],[BILL_AMT1]]-Table2[[#This Row],[PAY_AMT1]]</f>
        <v>27403</v>
      </c>
      <c r="AD493" s="1" t="str" cm="1">
        <f t="array" ref="AD493">_xlfn.IFS(Table2[[#This Row],[PAYMENT GAP]]&lt;=0,"No Gap / Overpaid",Table2[[#This Row],[PAYMENT GAP]]&lt;=25000,"Low Gap",Table2[[#This Row],[PAYMENT GAP]]&lt;=100000,"Medium Gap",
TRUE,"High Gap"
)</f>
        <v>Medium Gap</v>
      </c>
    </row>
    <row r="494" spans="1:30" x14ac:dyDescent="0.3">
      <c r="A494">
        <v>493</v>
      </c>
      <c r="B494" s="1">
        <v>260000</v>
      </c>
      <c r="C494" s="1" t="str" cm="1">
        <f t="array" ref="C494">_xlfn.IFS(Table2[[#This Row],[LIMIT_BAL]]&lt;=100000,"Low",Table2[[#This Row],[LIMIT_BAL]]&lt;=300000,"Medium",
TRUE,"High"
)</f>
        <v>Medium</v>
      </c>
      <c r="D494" t="s">
        <v>2042</v>
      </c>
      <c r="E494" t="s">
        <v>2043</v>
      </c>
      <c r="F494" t="s">
        <v>2029</v>
      </c>
      <c r="G494">
        <v>30</v>
      </c>
      <c r="H494" t="str" cm="1">
        <f t="array" ref="H494">_xlfn.IFS(
Table2[[#This Row],[AGE]]&lt;30,"Young",
Table2[[#This Row],[AGE]]&lt;40,"Middle Age",
Table2[[#This Row],[AGE]]&lt;50,"Senior",
TRUE,"Super Senior"
)</f>
        <v>Middle Age</v>
      </c>
      <c r="I494">
        <v>0</v>
      </c>
      <c r="J494">
        <v>0</v>
      </c>
      <c r="K494">
        <v>0</v>
      </c>
      <c r="L494">
        <v>2</v>
      </c>
      <c r="M494">
        <v>0</v>
      </c>
      <c r="N494">
        <v>0</v>
      </c>
      <c r="O494" s="1">
        <v>98560</v>
      </c>
      <c r="P494" s="1">
        <v>100980</v>
      </c>
      <c r="Q494" s="1">
        <v>222102</v>
      </c>
      <c r="R494" s="1">
        <v>108724</v>
      </c>
      <c r="S494" s="1">
        <v>68500</v>
      </c>
      <c r="T494" s="1">
        <v>69174</v>
      </c>
      <c r="U494" s="1">
        <v>4000</v>
      </c>
      <c r="V494" s="1">
        <v>11900</v>
      </c>
      <c r="W494" s="1">
        <v>207</v>
      </c>
      <c r="X494" s="1">
        <v>2003</v>
      </c>
      <c r="Y494" s="1">
        <v>2003</v>
      </c>
      <c r="Z494" s="1">
        <v>2003</v>
      </c>
      <c r="AA494">
        <v>0</v>
      </c>
      <c r="AB494" t="str">
        <f t="shared" si="7"/>
        <v>Not Defaulter</v>
      </c>
      <c r="AC494" s="1">
        <f>Table2[[#This Row],[BILL_AMT1]]-Table2[[#This Row],[PAY_AMT1]]</f>
        <v>94560</v>
      </c>
      <c r="AD494" s="1" t="str" cm="1">
        <f t="array" ref="AD494">_xlfn.IFS(Table2[[#This Row],[PAYMENT GAP]]&lt;=0,"No Gap / Overpaid",Table2[[#This Row],[PAYMENT GAP]]&lt;=25000,"Low Gap",Table2[[#This Row],[PAYMENT GAP]]&lt;=100000,"Medium Gap",
TRUE,"High Gap"
)</f>
        <v>Medium Gap</v>
      </c>
    </row>
    <row r="495" spans="1:30" x14ac:dyDescent="0.3">
      <c r="A495">
        <v>494</v>
      </c>
      <c r="B495" s="1">
        <v>170000</v>
      </c>
      <c r="C495" s="1" t="str" cm="1">
        <f t="array" ref="C495">_xlfn.IFS(Table2[[#This Row],[LIMIT_BAL]]&lt;=100000,"Low",Table2[[#This Row],[LIMIT_BAL]]&lt;=300000,"Medium",
TRUE,"High"
)</f>
        <v>Medium</v>
      </c>
      <c r="D495" t="s">
        <v>2041</v>
      </c>
      <c r="E495" t="s">
        <v>2043</v>
      </c>
      <c r="F495" t="s">
        <v>2029</v>
      </c>
      <c r="G495">
        <v>28</v>
      </c>
      <c r="H495" t="str" cm="1">
        <f t="array" ref="H495">_xlfn.IFS(
Table2[[#This Row],[AGE]]&lt;30,"Young",
Table2[[#This Row],[AGE]]&lt;40,"Middle Age",
Table2[[#This Row],[AGE]]&lt;50,"Senior",
TRUE,"Super Senior"
)</f>
        <v>Young</v>
      </c>
      <c r="I495">
        <v>0</v>
      </c>
      <c r="J495">
        <v>0</v>
      </c>
      <c r="K495">
        <v>-1</v>
      </c>
      <c r="L495">
        <v>-1</v>
      </c>
      <c r="M495">
        <v>-2</v>
      </c>
      <c r="N495">
        <v>-2</v>
      </c>
      <c r="O495" s="1">
        <v>28304</v>
      </c>
      <c r="P495" s="1">
        <v>17616</v>
      </c>
      <c r="Q495" s="1">
        <v>308</v>
      </c>
      <c r="R495" s="1">
        <v>0</v>
      </c>
      <c r="S495" s="1">
        <v>0</v>
      </c>
      <c r="T495" s="1">
        <v>0</v>
      </c>
      <c r="U495" s="1">
        <v>4000</v>
      </c>
      <c r="V495" s="1">
        <v>308</v>
      </c>
      <c r="W495" s="1">
        <v>0</v>
      </c>
      <c r="X495" s="1">
        <v>0</v>
      </c>
      <c r="Y495" s="1">
        <v>0</v>
      </c>
      <c r="Z495" s="1">
        <v>0</v>
      </c>
      <c r="AA495">
        <v>0</v>
      </c>
      <c r="AB495" t="str">
        <f t="shared" si="7"/>
        <v>Not Defaulter</v>
      </c>
      <c r="AC495" s="1">
        <f>Table2[[#This Row],[BILL_AMT1]]-Table2[[#This Row],[PAY_AMT1]]</f>
        <v>24304</v>
      </c>
      <c r="AD495" s="1" t="str" cm="1">
        <f t="array" ref="AD495">_xlfn.IFS(Table2[[#This Row],[PAYMENT GAP]]&lt;=0,"No Gap / Overpaid",Table2[[#This Row],[PAYMENT GAP]]&lt;=25000,"Low Gap",Table2[[#This Row],[PAYMENT GAP]]&lt;=100000,"Medium Gap",
TRUE,"High Gap"
)</f>
        <v>Low Gap</v>
      </c>
    </row>
    <row r="496" spans="1:30" x14ac:dyDescent="0.3">
      <c r="A496">
        <v>495</v>
      </c>
      <c r="B496" s="1">
        <v>80000</v>
      </c>
      <c r="C496" s="1" t="str" cm="1">
        <f t="array" ref="C496">_xlfn.IFS(Table2[[#This Row],[LIMIT_BAL]]&lt;=100000,"Low",Table2[[#This Row],[LIMIT_BAL]]&lt;=300000,"Medium",
TRUE,"High"
)</f>
        <v>Low</v>
      </c>
      <c r="D496" t="s">
        <v>2041</v>
      </c>
      <c r="E496" t="s">
        <v>2026</v>
      </c>
      <c r="F496" t="s">
        <v>2028</v>
      </c>
      <c r="G496">
        <v>28</v>
      </c>
      <c r="H496" t="str" cm="1">
        <f t="array" ref="H496">_xlfn.IFS(
Table2[[#This Row],[AGE]]&lt;30,"Young",
Table2[[#This Row],[AGE]]&lt;40,"Middle Age",
Table2[[#This Row],[AGE]]&lt;50,"Senior",
TRUE,"Super Senior"
)</f>
        <v>Young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 s="1">
        <v>8574</v>
      </c>
      <c r="P496" s="1">
        <v>9434</v>
      </c>
      <c r="Q496" s="1">
        <v>10038</v>
      </c>
      <c r="R496" s="1">
        <v>10040</v>
      </c>
      <c r="S496" s="1">
        <v>10400</v>
      </c>
      <c r="T496" s="1">
        <v>10490</v>
      </c>
      <c r="U496" s="1">
        <v>1203</v>
      </c>
      <c r="V496" s="1">
        <v>1047</v>
      </c>
      <c r="W496" s="1">
        <v>248</v>
      </c>
      <c r="X496" s="1">
        <v>408</v>
      </c>
      <c r="Y496" s="1">
        <v>294</v>
      </c>
      <c r="Z496" s="1">
        <v>276</v>
      </c>
      <c r="AA496">
        <v>1</v>
      </c>
      <c r="AB496" t="str">
        <f t="shared" si="7"/>
        <v>Defaulter</v>
      </c>
      <c r="AC496" s="1">
        <f>Table2[[#This Row],[BILL_AMT1]]-Table2[[#This Row],[PAY_AMT1]]</f>
        <v>7371</v>
      </c>
      <c r="AD496" s="1" t="str" cm="1">
        <f t="array" ref="AD496">_xlfn.IFS(Table2[[#This Row],[PAYMENT GAP]]&lt;=0,"No Gap / Overpaid",Table2[[#This Row],[PAYMENT GAP]]&lt;=25000,"Low Gap",Table2[[#This Row],[PAYMENT GAP]]&lt;=100000,"Medium Gap",
TRUE,"High Gap"
)</f>
        <v>Low Gap</v>
      </c>
    </row>
    <row r="497" spans="1:30" x14ac:dyDescent="0.3">
      <c r="A497">
        <v>496</v>
      </c>
      <c r="B497" s="1">
        <v>50000</v>
      </c>
      <c r="C497" s="1" t="str" cm="1">
        <f t="array" ref="C497">_xlfn.IFS(Table2[[#This Row],[LIMIT_BAL]]&lt;=100000,"Low",Table2[[#This Row],[LIMIT_BAL]]&lt;=300000,"Medium",
TRUE,"High"
)</f>
        <v>Low</v>
      </c>
      <c r="D497" t="s">
        <v>2042</v>
      </c>
      <c r="E497" t="s">
        <v>2026</v>
      </c>
      <c r="F497" t="s">
        <v>2028</v>
      </c>
      <c r="G497">
        <v>41</v>
      </c>
      <c r="H497" t="str" cm="1">
        <f t="array" ref="H497">_xlfn.IFS(
Table2[[#This Row],[AGE]]&lt;30,"Young",
Table2[[#This Row],[AGE]]&lt;40,"Middle Age",
Table2[[#This Row],[AGE]]&lt;50,"Senior",
TRUE,"Super Senior"
)</f>
        <v>Senior</v>
      </c>
      <c r="I497">
        <v>-1</v>
      </c>
      <c r="J497">
        <v>-1</v>
      </c>
      <c r="K497">
        <v>-1</v>
      </c>
      <c r="L497">
        <v>-1</v>
      </c>
      <c r="M497">
        <v>-1</v>
      </c>
      <c r="N497">
        <v>-1</v>
      </c>
      <c r="O497" s="1">
        <v>508</v>
      </c>
      <c r="P497" s="1">
        <v>672</v>
      </c>
      <c r="Q497" s="1">
        <v>226</v>
      </c>
      <c r="R497" s="1">
        <v>390</v>
      </c>
      <c r="S497" s="1">
        <v>220</v>
      </c>
      <c r="T497" s="1">
        <v>320</v>
      </c>
      <c r="U497" s="1">
        <v>1000</v>
      </c>
      <c r="V497" s="1">
        <v>390</v>
      </c>
      <c r="W497" s="1">
        <v>1000</v>
      </c>
      <c r="X497" s="1">
        <v>220</v>
      </c>
      <c r="Y497" s="1">
        <v>640</v>
      </c>
      <c r="Z497" s="1">
        <v>1000</v>
      </c>
      <c r="AA497">
        <v>0</v>
      </c>
      <c r="AB497" t="str">
        <f t="shared" si="7"/>
        <v>Not Defaulter</v>
      </c>
      <c r="AC497" s="1">
        <f>Table2[[#This Row],[BILL_AMT1]]-Table2[[#This Row],[PAY_AMT1]]</f>
        <v>-492</v>
      </c>
      <c r="AD497" s="1" t="str" cm="1">
        <f t="array" ref="AD497">_xlfn.IFS(Table2[[#This Row],[PAYMENT GAP]]&lt;=0,"No Gap / Overpaid",Table2[[#This Row],[PAYMENT GAP]]&lt;=25000,"Low Gap",Table2[[#This Row],[PAYMENT GAP]]&lt;=100000,"Medium Gap",
TRUE,"High Gap"
)</f>
        <v>No Gap / Overpaid</v>
      </c>
    </row>
    <row r="498" spans="1:30" x14ac:dyDescent="0.3">
      <c r="A498">
        <v>497</v>
      </c>
      <c r="B498" s="1">
        <v>200000</v>
      </c>
      <c r="C498" s="1" t="str" cm="1">
        <f t="array" ref="C498">_xlfn.IFS(Table2[[#This Row],[LIMIT_BAL]]&lt;=100000,"Low",Table2[[#This Row],[LIMIT_BAL]]&lt;=300000,"Medium",
TRUE,"High"
)</f>
        <v>Medium</v>
      </c>
      <c r="D498" t="s">
        <v>2041</v>
      </c>
      <c r="E498" t="s">
        <v>2027</v>
      </c>
      <c r="F498" t="s">
        <v>2029</v>
      </c>
      <c r="G498">
        <v>47</v>
      </c>
      <c r="H498" t="str" cm="1">
        <f t="array" ref="H498">_xlfn.IFS(
Table2[[#This Row],[AGE]]&lt;30,"Young",
Table2[[#This Row],[AGE]]&lt;40,"Middle Age",
Table2[[#This Row],[AGE]]&lt;50,"Senior",
TRUE,"Super Senior"
)</f>
        <v>Senior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 s="1">
        <v>203183</v>
      </c>
      <c r="P498" s="1">
        <v>202961</v>
      </c>
      <c r="Q498" s="1">
        <v>194449</v>
      </c>
      <c r="R498" s="1">
        <v>196814</v>
      </c>
      <c r="S498" s="1">
        <v>200526</v>
      </c>
      <c r="T498" s="1">
        <v>198717</v>
      </c>
      <c r="U498" s="1">
        <v>7521</v>
      </c>
      <c r="V498" s="1">
        <v>7000</v>
      </c>
      <c r="W498" s="1">
        <v>7000</v>
      </c>
      <c r="X498" s="1">
        <v>7128</v>
      </c>
      <c r="Y498" s="1">
        <v>8000</v>
      </c>
      <c r="Z498" s="1">
        <v>7100</v>
      </c>
      <c r="AA498">
        <v>0</v>
      </c>
      <c r="AB498" t="str">
        <f t="shared" si="7"/>
        <v>Not Defaulter</v>
      </c>
      <c r="AC498" s="1">
        <f>Table2[[#This Row],[BILL_AMT1]]-Table2[[#This Row],[PAY_AMT1]]</f>
        <v>195662</v>
      </c>
      <c r="AD498" s="1" t="str" cm="1">
        <f t="array" ref="AD498">_xlfn.IFS(Table2[[#This Row],[PAYMENT GAP]]&lt;=0,"No Gap / Overpaid",Table2[[#This Row],[PAYMENT GAP]]&lt;=25000,"Low Gap",Table2[[#This Row],[PAYMENT GAP]]&lt;=100000,"Medium Gap",
TRUE,"High Gap"
)</f>
        <v>High Gap</v>
      </c>
    </row>
    <row r="499" spans="1:30" x14ac:dyDescent="0.3">
      <c r="A499">
        <v>498</v>
      </c>
      <c r="B499" s="1">
        <v>20000</v>
      </c>
      <c r="C499" s="1" t="str" cm="1">
        <f t="array" ref="C499">_xlfn.IFS(Table2[[#This Row],[LIMIT_BAL]]&lt;=100000,"Low",Table2[[#This Row],[LIMIT_BAL]]&lt;=300000,"Medium",
TRUE,"High"
)</f>
        <v>Low</v>
      </c>
      <c r="D499" t="s">
        <v>2042</v>
      </c>
      <c r="E499" t="s">
        <v>2043</v>
      </c>
      <c r="F499" t="s">
        <v>2029</v>
      </c>
      <c r="G499">
        <v>23</v>
      </c>
      <c r="H499" t="str" cm="1">
        <f t="array" ref="H499">_xlfn.IFS(
Table2[[#This Row],[AGE]]&lt;30,"Young",
Table2[[#This Row],[AGE]]&lt;40,"Middle Age",
Table2[[#This Row],[AGE]]&lt;50,"Senior",
TRUE,"Super Senior"
)</f>
        <v>Young</v>
      </c>
      <c r="I499">
        <v>0</v>
      </c>
      <c r="J499">
        <v>0</v>
      </c>
      <c r="K499">
        <v>2</v>
      </c>
      <c r="L499">
        <v>0</v>
      </c>
      <c r="M499">
        <v>0</v>
      </c>
      <c r="N499">
        <v>0</v>
      </c>
      <c r="O499" s="1">
        <v>16440</v>
      </c>
      <c r="P499" s="1">
        <v>20417</v>
      </c>
      <c r="Q499" s="1">
        <v>18333</v>
      </c>
      <c r="R499" s="1">
        <v>18848</v>
      </c>
      <c r="S499" s="1">
        <v>30190</v>
      </c>
      <c r="T499" s="1">
        <v>19664</v>
      </c>
      <c r="U499" s="1">
        <v>7403</v>
      </c>
      <c r="V499" s="1">
        <v>0</v>
      </c>
      <c r="W499" s="1">
        <v>820</v>
      </c>
      <c r="X499" s="1">
        <v>1025</v>
      </c>
      <c r="Y499" s="1">
        <v>1113</v>
      </c>
      <c r="Z499" s="1">
        <v>104</v>
      </c>
      <c r="AA499">
        <v>0</v>
      </c>
      <c r="AB499" t="str">
        <f t="shared" si="7"/>
        <v>Not Defaulter</v>
      </c>
      <c r="AC499" s="1">
        <f>Table2[[#This Row],[BILL_AMT1]]-Table2[[#This Row],[PAY_AMT1]]</f>
        <v>9037</v>
      </c>
      <c r="AD499" s="1" t="str" cm="1">
        <f t="array" ref="AD499">_xlfn.IFS(Table2[[#This Row],[PAYMENT GAP]]&lt;=0,"No Gap / Overpaid",Table2[[#This Row],[PAYMENT GAP]]&lt;=25000,"Low Gap",Table2[[#This Row],[PAYMENT GAP]]&lt;=100000,"Medium Gap",
TRUE,"High Gap"
)</f>
        <v>Low Gap</v>
      </c>
    </row>
    <row r="500" spans="1:30" x14ac:dyDescent="0.3">
      <c r="A500">
        <v>499</v>
      </c>
      <c r="B500" s="1">
        <v>250000</v>
      </c>
      <c r="C500" s="1" t="str" cm="1">
        <f t="array" ref="C500">_xlfn.IFS(Table2[[#This Row],[LIMIT_BAL]]&lt;=100000,"Low",Table2[[#This Row],[LIMIT_BAL]]&lt;=300000,"Medium",
TRUE,"High"
)</f>
        <v>Medium</v>
      </c>
      <c r="D500" t="s">
        <v>2041</v>
      </c>
      <c r="E500" t="s">
        <v>2026</v>
      </c>
      <c r="F500" t="s">
        <v>2028</v>
      </c>
      <c r="G500">
        <v>49</v>
      </c>
      <c r="H500" t="str" cm="1">
        <f t="array" ref="H500">_xlfn.IFS(
Table2[[#This Row],[AGE]]&lt;30,"Young",
Table2[[#This Row],[AGE]]&lt;40,"Middle Age",
Table2[[#This Row],[AGE]]&lt;50,"Senior",
TRUE,"Super Senior"
)</f>
        <v>Senior</v>
      </c>
      <c r="I500">
        <v>-1</v>
      </c>
      <c r="J500">
        <v>-1</v>
      </c>
      <c r="K500">
        <v>-2</v>
      </c>
      <c r="L500">
        <v>-1</v>
      </c>
      <c r="M500">
        <v>-1</v>
      </c>
      <c r="N500">
        <v>-1</v>
      </c>
      <c r="O500" s="1">
        <v>66</v>
      </c>
      <c r="P500" s="1">
        <v>0</v>
      </c>
      <c r="Q500" s="1">
        <v>0</v>
      </c>
      <c r="R500" s="1">
        <v>120</v>
      </c>
      <c r="S500" s="1">
        <v>-6</v>
      </c>
      <c r="T500" s="1">
        <v>1639</v>
      </c>
      <c r="U500" s="1">
        <v>0</v>
      </c>
      <c r="V500" s="1">
        <v>0</v>
      </c>
      <c r="W500" s="1">
        <v>120</v>
      </c>
      <c r="X500" s="1">
        <v>6</v>
      </c>
      <c r="Y500" s="1">
        <v>1645</v>
      </c>
      <c r="Z500" s="1">
        <v>0</v>
      </c>
      <c r="AA500">
        <v>0</v>
      </c>
      <c r="AB500" t="str">
        <f t="shared" si="7"/>
        <v>Not Defaulter</v>
      </c>
      <c r="AC500" s="1">
        <f>Table2[[#This Row],[BILL_AMT1]]-Table2[[#This Row],[PAY_AMT1]]</f>
        <v>66</v>
      </c>
      <c r="AD500" s="1" t="str" cm="1">
        <f t="array" ref="AD500">_xlfn.IFS(Table2[[#This Row],[PAYMENT GAP]]&lt;=0,"No Gap / Overpaid",Table2[[#This Row],[PAYMENT GAP]]&lt;=25000,"Low Gap",Table2[[#This Row],[PAYMENT GAP]]&lt;=100000,"Medium Gap",
TRUE,"High Gap"
)</f>
        <v>Low Gap</v>
      </c>
    </row>
    <row r="501" spans="1:30" x14ac:dyDescent="0.3">
      <c r="A501">
        <v>500</v>
      </c>
      <c r="B501" s="1">
        <v>20000</v>
      </c>
      <c r="C501" s="1" t="str" cm="1">
        <f t="array" ref="C501">_xlfn.IFS(Table2[[#This Row],[LIMIT_BAL]]&lt;=100000,"Low",Table2[[#This Row],[LIMIT_BAL]]&lt;=300000,"Medium",
TRUE,"High"
)</f>
        <v>Low</v>
      </c>
      <c r="D501" t="s">
        <v>2042</v>
      </c>
      <c r="E501" t="s">
        <v>2026</v>
      </c>
      <c r="F501" t="s">
        <v>2028</v>
      </c>
      <c r="G501">
        <v>38</v>
      </c>
      <c r="H501" t="str" cm="1">
        <f t="array" ref="H501">_xlfn.IFS(
Table2[[#This Row],[AGE]]&lt;30,"Young",
Table2[[#This Row],[AGE]]&lt;40,"Middle Age",
Table2[[#This Row],[AGE]]&lt;50,"Senior",
TRUE,"Super Senior"
)</f>
        <v>Middle Age</v>
      </c>
      <c r="I501">
        <v>0</v>
      </c>
      <c r="J501">
        <v>0</v>
      </c>
      <c r="K501">
        <v>0</v>
      </c>
      <c r="L501">
        <v>2</v>
      </c>
      <c r="M501">
        <v>2</v>
      </c>
      <c r="N501">
        <v>0</v>
      </c>
      <c r="O501" s="1">
        <v>15912</v>
      </c>
      <c r="P501" s="1">
        <v>17272</v>
      </c>
      <c r="Q501" s="1">
        <v>20565</v>
      </c>
      <c r="R501" s="1">
        <v>20705</v>
      </c>
      <c r="S501" s="1">
        <v>20255</v>
      </c>
      <c r="T501" s="1">
        <v>19933</v>
      </c>
      <c r="U501" s="1">
        <v>1623</v>
      </c>
      <c r="V501" s="1">
        <v>3916</v>
      </c>
      <c r="W501" s="1">
        <v>750</v>
      </c>
      <c r="X501" s="1">
        <v>0</v>
      </c>
      <c r="Y501" s="1">
        <v>800</v>
      </c>
      <c r="Z501" s="1">
        <v>850</v>
      </c>
      <c r="AA501">
        <v>0</v>
      </c>
      <c r="AB501" t="str">
        <f t="shared" si="7"/>
        <v>Not Defaulter</v>
      </c>
      <c r="AC501" s="1">
        <f>Table2[[#This Row],[BILL_AMT1]]-Table2[[#This Row],[PAY_AMT1]]</f>
        <v>14289</v>
      </c>
      <c r="AD501" s="1" t="str" cm="1">
        <f t="array" ref="AD501">_xlfn.IFS(Table2[[#This Row],[PAYMENT GAP]]&lt;=0,"No Gap / Overpaid",Table2[[#This Row],[PAYMENT GAP]]&lt;=25000,"Low Gap",Table2[[#This Row],[PAYMENT GAP]]&lt;=100000,"Medium Gap",
TRUE,"High Gap"
)</f>
        <v>Low Gap</v>
      </c>
    </row>
    <row r="502" spans="1:30" x14ac:dyDescent="0.3">
      <c r="A502">
        <v>501</v>
      </c>
      <c r="B502" s="1">
        <v>30000</v>
      </c>
      <c r="C502" s="1" t="str" cm="1">
        <f t="array" ref="C502">_xlfn.IFS(Table2[[#This Row],[LIMIT_BAL]]&lt;=100000,"Low",Table2[[#This Row],[LIMIT_BAL]]&lt;=300000,"Medium",
TRUE,"High"
)</f>
        <v>Low</v>
      </c>
      <c r="D502" t="s">
        <v>2041</v>
      </c>
      <c r="E502" t="s">
        <v>2043</v>
      </c>
      <c r="F502" t="s">
        <v>2028</v>
      </c>
      <c r="G502">
        <v>38</v>
      </c>
      <c r="H502" t="str" cm="1">
        <f t="array" ref="H502">_xlfn.IFS(
Table2[[#This Row],[AGE]]&lt;30,"Young",
Table2[[#This Row],[AGE]]&lt;40,"Middle Age",
Table2[[#This Row],[AGE]]&lt;50,"Senior",
TRUE,"Super Senior"
)</f>
        <v>Middle Age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2</v>
      </c>
      <c r="O502" s="1">
        <v>20344</v>
      </c>
      <c r="P502" s="1">
        <v>21705</v>
      </c>
      <c r="Q502" s="1">
        <v>22537</v>
      </c>
      <c r="R502" s="1">
        <v>24161</v>
      </c>
      <c r="S502" s="1">
        <v>25128</v>
      </c>
      <c r="T502" s="1">
        <v>24576</v>
      </c>
      <c r="U502" s="1">
        <v>2000</v>
      </c>
      <c r="V502" s="1">
        <v>1500</v>
      </c>
      <c r="W502" s="1">
        <v>2000</v>
      </c>
      <c r="X502" s="1">
        <v>1500</v>
      </c>
      <c r="Y502" s="1">
        <v>0</v>
      </c>
      <c r="Z502" s="1">
        <v>1200</v>
      </c>
      <c r="AA502">
        <v>0</v>
      </c>
      <c r="AB502" t="str">
        <f t="shared" si="7"/>
        <v>Not Defaulter</v>
      </c>
      <c r="AC502" s="1">
        <f>Table2[[#This Row],[BILL_AMT1]]-Table2[[#This Row],[PAY_AMT1]]</f>
        <v>18344</v>
      </c>
      <c r="AD502" s="1" t="str" cm="1">
        <f t="array" ref="AD502">_xlfn.IFS(Table2[[#This Row],[PAYMENT GAP]]&lt;=0,"No Gap / Overpaid",Table2[[#This Row],[PAYMENT GAP]]&lt;=25000,"Low Gap",Table2[[#This Row],[PAYMENT GAP]]&lt;=100000,"Medium Gap",
TRUE,"High Gap"
)</f>
        <v>Low Gap</v>
      </c>
    </row>
    <row r="503" spans="1:30" x14ac:dyDescent="0.3">
      <c r="A503">
        <v>502</v>
      </c>
      <c r="B503" s="1">
        <v>90000</v>
      </c>
      <c r="C503" s="1" t="str" cm="1">
        <f t="array" ref="C503">_xlfn.IFS(Table2[[#This Row],[LIMIT_BAL]]&lt;=100000,"Low",Table2[[#This Row],[LIMIT_BAL]]&lt;=300000,"Medium",
TRUE,"High"
)</f>
        <v>Low</v>
      </c>
      <c r="D503" t="s">
        <v>2041</v>
      </c>
      <c r="E503" t="s">
        <v>2043</v>
      </c>
      <c r="F503" t="s">
        <v>2028</v>
      </c>
      <c r="G503">
        <v>35</v>
      </c>
      <c r="H503" t="str" cm="1">
        <f t="array" ref="H503">_xlfn.IFS(
Table2[[#This Row],[AGE]]&lt;30,"Young",
Table2[[#This Row],[AGE]]&lt;40,"Middle Age",
Table2[[#This Row],[AGE]]&lt;50,"Senior",
TRUE,"Super Senior"
)</f>
        <v>Middle Age</v>
      </c>
      <c r="I503">
        <v>1</v>
      </c>
      <c r="J503">
        <v>2</v>
      </c>
      <c r="K503">
        <v>2</v>
      </c>
      <c r="L503">
        <v>2</v>
      </c>
      <c r="M503">
        <v>2</v>
      </c>
      <c r="N503">
        <v>2</v>
      </c>
      <c r="O503" s="1">
        <v>23132</v>
      </c>
      <c r="P503" s="1">
        <v>22474</v>
      </c>
      <c r="Q503" s="1">
        <v>28067</v>
      </c>
      <c r="R503" s="1">
        <v>27320</v>
      </c>
      <c r="S503" s="1">
        <v>31199</v>
      </c>
      <c r="T503" s="1">
        <v>30548</v>
      </c>
      <c r="U503" s="1">
        <v>0</v>
      </c>
      <c r="V503" s="1">
        <v>6000</v>
      </c>
      <c r="W503" s="1">
        <v>0</v>
      </c>
      <c r="X503" s="1">
        <v>4500</v>
      </c>
      <c r="Y503" s="1">
        <v>0</v>
      </c>
      <c r="Z503" s="1">
        <v>2000</v>
      </c>
      <c r="AA503">
        <v>0</v>
      </c>
      <c r="AB503" t="str">
        <f t="shared" si="7"/>
        <v>Not Defaulter</v>
      </c>
      <c r="AC503" s="1">
        <f>Table2[[#This Row],[BILL_AMT1]]-Table2[[#This Row],[PAY_AMT1]]</f>
        <v>23132</v>
      </c>
      <c r="AD503" s="1" t="str" cm="1">
        <f t="array" ref="AD503">_xlfn.IFS(Table2[[#This Row],[PAYMENT GAP]]&lt;=0,"No Gap / Overpaid",Table2[[#This Row],[PAYMENT GAP]]&lt;=25000,"Low Gap",Table2[[#This Row],[PAYMENT GAP]]&lt;=100000,"Medium Gap",
TRUE,"High Gap"
)</f>
        <v>Low Gap</v>
      </c>
    </row>
    <row r="504" spans="1:30" x14ac:dyDescent="0.3">
      <c r="A504">
        <v>503</v>
      </c>
      <c r="B504" s="1">
        <v>230000</v>
      </c>
      <c r="C504" s="1" t="str" cm="1">
        <f t="array" ref="C504">_xlfn.IFS(Table2[[#This Row],[LIMIT_BAL]]&lt;=100000,"Low",Table2[[#This Row],[LIMIT_BAL]]&lt;=300000,"Medium",
TRUE,"High"
)</f>
        <v>Medium</v>
      </c>
      <c r="D504" t="s">
        <v>2041</v>
      </c>
      <c r="E504" t="s">
        <v>2044</v>
      </c>
      <c r="F504" t="s">
        <v>2029</v>
      </c>
      <c r="G504">
        <v>46</v>
      </c>
      <c r="H504" t="str" cm="1">
        <f t="array" ref="H504">_xlfn.IFS(
Table2[[#This Row],[AGE]]&lt;30,"Young",
Table2[[#This Row],[AGE]]&lt;40,"Middle Age",
Table2[[#This Row],[AGE]]&lt;50,"Senior",
TRUE,"Super Senior"
)</f>
        <v>Senior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 s="1">
        <v>221590</v>
      </c>
      <c r="P504" s="1">
        <v>227397</v>
      </c>
      <c r="Q504" s="1">
        <v>230302</v>
      </c>
      <c r="R504" s="1">
        <v>186635</v>
      </c>
      <c r="S504" s="1">
        <v>189896</v>
      </c>
      <c r="T504" s="1">
        <v>193351</v>
      </c>
      <c r="U504" s="1">
        <v>10000</v>
      </c>
      <c r="V504" s="1">
        <v>9000</v>
      </c>
      <c r="W504" s="1">
        <v>8000</v>
      </c>
      <c r="X504" s="1">
        <v>8000</v>
      </c>
      <c r="Y504" s="1">
        <v>7500</v>
      </c>
      <c r="Z504" s="1">
        <v>7000</v>
      </c>
      <c r="AA504">
        <v>0</v>
      </c>
      <c r="AB504" t="str">
        <f t="shared" si="7"/>
        <v>Not Defaulter</v>
      </c>
      <c r="AC504" s="1">
        <f>Table2[[#This Row],[BILL_AMT1]]-Table2[[#This Row],[PAY_AMT1]]</f>
        <v>211590</v>
      </c>
      <c r="AD504" s="1" t="str" cm="1">
        <f t="array" ref="AD504">_xlfn.IFS(Table2[[#This Row],[PAYMENT GAP]]&lt;=0,"No Gap / Overpaid",Table2[[#This Row],[PAYMENT GAP]]&lt;=25000,"Low Gap",Table2[[#This Row],[PAYMENT GAP]]&lt;=100000,"Medium Gap",
TRUE,"High Gap"
)</f>
        <v>High Gap</v>
      </c>
    </row>
    <row r="505" spans="1:30" x14ac:dyDescent="0.3">
      <c r="A505">
        <v>504</v>
      </c>
      <c r="B505" s="1">
        <v>130000</v>
      </c>
      <c r="C505" s="1" t="str" cm="1">
        <f t="array" ref="C505">_xlfn.IFS(Table2[[#This Row],[LIMIT_BAL]]&lt;=100000,"Low",Table2[[#This Row],[LIMIT_BAL]]&lt;=300000,"Medium",
TRUE,"High"
)</f>
        <v>Medium</v>
      </c>
      <c r="D505" t="s">
        <v>2041</v>
      </c>
      <c r="E505" t="s">
        <v>2026</v>
      </c>
      <c r="F505" t="s">
        <v>2028</v>
      </c>
      <c r="G505">
        <v>33</v>
      </c>
      <c r="H505" t="str" cm="1">
        <f t="array" ref="H505">_xlfn.IFS(
Table2[[#This Row],[AGE]]&lt;30,"Young",
Table2[[#This Row],[AGE]]&lt;40,"Middle Age",
Table2[[#This Row],[AGE]]&lt;50,"Senior",
TRUE,"Super Senior"
)</f>
        <v>Middle Age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 s="1">
        <v>19161</v>
      </c>
      <c r="P505" s="1">
        <v>20544</v>
      </c>
      <c r="Q505" s="1">
        <v>22704</v>
      </c>
      <c r="R505" s="1">
        <v>22304</v>
      </c>
      <c r="S505" s="1">
        <v>22304</v>
      </c>
      <c r="T505" s="1">
        <v>0</v>
      </c>
      <c r="U505" s="1">
        <v>2000</v>
      </c>
      <c r="V505" s="1">
        <v>3000</v>
      </c>
      <c r="W505" s="1">
        <v>0</v>
      </c>
      <c r="X505" s="1">
        <v>0</v>
      </c>
      <c r="Y505" s="1">
        <v>0</v>
      </c>
      <c r="Z505" s="1">
        <v>0</v>
      </c>
      <c r="AA505">
        <v>1</v>
      </c>
      <c r="AB505" t="str">
        <f t="shared" si="7"/>
        <v>Defaulter</v>
      </c>
      <c r="AC505" s="1">
        <f>Table2[[#This Row],[BILL_AMT1]]-Table2[[#This Row],[PAY_AMT1]]</f>
        <v>17161</v>
      </c>
      <c r="AD505" s="1" t="str" cm="1">
        <f t="array" ref="AD505">_xlfn.IFS(Table2[[#This Row],[PAYMENT GAP]]&lt;=0,"No Gap / Overpaid",Table2[[#This Row],[PAYMENT GAP]]&lt;=25000,"Low Gap",Table2[[#This Row],[PAYMENT GAP]]&lt;=100000,"Medium Gap",
TRUE,"High Gap"
)</f>
        <v>Low Gap</v>
      </c>
    </row>
    <row r="506" spans="1:30" x14ac:dyDescent="0.3">
      <c r="A506">
        <v>505</v>
      </c>
      <c r="B506" s="1">
        <v>30000</v>
      </c>
      <c r="C506" s="1" t="str" cm="1">
        <f t="array" ref="C506">_xlfn.IFS(Table2[[#This Row],[LIMIT_BAL]]&lt;=100000,"Low",Table2[[#This Row],[LIMIT_BAL]]&lt;=300000,"Medium",
TRUE,"High"
)</f>
        <v>Low</v>
      </c>
      <c r="D506" t="s">
        <v>2042</v>
      </c>
      <c r="E506" t="s">
        <v>2044</v>
      </c>
      <c r="F506" t="s">
        <v>2028</v>
      </c>
      <c r="G506">
        <v>53</v>
      </c>
      <c r="H506" t="str" cm="1">
        <f t="array" ref="H506">_xlfn.IFS(
Table2[[#This Row],[AGE]]&lt;30,"Young",
Table2[[#This Row],[AGE]]&lt;40,"Middle Age",
Table2[[#This Row],[AGE]]&lt;50,"Senior",
TRUE,"Super Senior"
)</f>
        <v>Super Senior</v>
      </c>
      <c r="I506">
        <v>-2</v>
      </c>
      <c r="J506">
        <v>-2</v>
      </c>
      <c r="K506">
        <v>-2</v>
      </c>
      <c r="L506">
        <v>-2</v>
      </c>
      <c r="M506">
        <v>-2</v>
      </c>
      <c r="N506">
        <v>-2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>
        <v>0</v>
      </c>
      <c r="AB506" t="str">
        <f t="shared" si="7"/>
        <v>Not Defaulter</v>
      </c>
      <c r="AC506" s="1">
        <f>Table2[[#This Row],[BILL_AMT1]]-Table2[[#This Row],[PAY_AMT1]]</f>
        <v>0</v>
      </c>
      <c r="AD506" s="1" t="str" cm="1">
        <f t="array" ref="AD506">_xlfn.IFS(Table2[[#This Row],[PAYMENT GAP]]&lt;=0,"No Gap / Overpaid",Table2[[#This Row],[PAYMENT GAP]]&lt;=25000,"Low Gap",Table2[[#This Row],[PAYMENT GAP]]&lt;=100000,"Medium Gap",
TRUE,"High Gap"
)</f>
        <v>No Gap / Overpaid</v>
      </c>
    </row>
    <row r="507" spans="1:30" x14ac:dyDescent="0.3">
      <c r="A507">
        <v>506</v>
      </c>
      <c r="B507" s="1">
        <v>160000</v>
      </c>
      <c r="C507" s="1" t="str" cm="1">
        <f t="array" ref="C507">_xlfn.IFS(Table2[[#This Row],[LIMIT_BAL]]&lt;=100000,"Low",Table2[[#This Row],[LIMIT_BAL]]&lt;=300000,"Medium",
TRUE,"High"
)</f>
        <v>Medium</v>
      </c>
      <c r="D507" t="s">
        <v>2042</v>
      </c>
      <c r="E507" t="s">
        <v>2026</v>
      </c>
      <c r="F507" t="s">
        <v>2029</v>
      </c>
      <c r="G507">
        <v>35</v>
      </c>
      <c r="H507" t="str" cm="1">
        <f t="array" ref="H507">_xlfn.IFS(
Table2[[#This Row],[AGE]]&lt;30,"Young",
Table2[[#This Row],[AGE]]&lt;40,"Middle Age",
Table2[[#This Row],[AGE]]&lt;50,"Senior",
TRUE,"Super Senior"
)</f>
        <v>Middle Age</v>
      </c>
      <c r="I507">
        <v>-1</v>
      </c>
      <c r="J507">
        <v>-1</v>
      </c>
      <c r="K507">
        <v>-1</v>
      </c>
      <c r="L507">
        <v>-1</v>
      </c>
      <c r="M507">
        <v>-1</v>
      </c>
      <c r="N507">
        <v>-1</v>
      </c>
      <c r="O507" s="1">
        <v>396</v>
      </c>
      <c r="P507" s="1">
        <v>396</v>
      </c>
      <c r="Q507" s="1">
        <v>396</v>
      </c>
      <c r="R507" s="1">
        <v>0</v>
      </c>
      <c r="S507" s="1">
        <v>792</v>
      </c>
      <c r="T507" s="1">
        <v>1220</v>
      </c>
      <c r="U507" s="1">
        <v>396</v>
      </c>
      <c r="V507" s="1">
        <v>396</v>
      </c>
      <c r="W507" s="1">
        <v>0</v>
      </c>
      <c r="X507" s="1">
        <v>793</v>
      </c>
      <c r="Y507" s="1">
        <v>1220</v>
      </c>
      <c r="Z507" s="1">
        <v>0</v>
      </c>
      <c r="AA507">
        <v>0</v>
      </c>
      <c r="AB507" t="str">
        <f t="shared" si="7"/>
        <v>Not Defaulter</v>
      </c>
      <c r="AC507" s="1">
        <f>Table2[[#This Row],[BILL_AMT1]]-Table2[[#This Row],[PAY_AMT1]]</f>
        <v>0</v>
      </c>
      <c r="AD507" s="1" t="str" cm="1">
        <f t="array" ref="AD507">_xlfn.IFS(Table2[[#This Row],[PAYMENT GAP]]&lt;=0,"No Gap / Overpaid",Table2[[#This Row],[PAYMENT GAP]]&lt;=25000,"Low Gap",Table2[[#This Row],[PAYMENT GAP]]&lt;=100000,"Medium Gap",
TRUE,"High Gap"
)</f>
        <v>No Gap / Overpaid</v>
      </c>
    </row>
    <row r="508" spans="1:30" x14ac:dyDescent="0.3">
      <c r="A508">
        <v>507</v>
      </c>
      <c r="B508" s="1">
        <v>500000</v>
      </c>
      <c r="C508" s="1" t="str" cm="1">
        <f t="array" ref="C508">_xlfn.IFS(Table2[[#This Row],[LIMIT_BAL]]&lt;=100000,"Low",Table2[[#This Row],[LIMIT_BAL]]&lt;=300000,"Medium",
TRUE,"High"
)</f>
        <v>High</v>
      </c>
      <c r="D508" t="s">
        <v>2041</v>
      </c>
      <c r="E508" t="s">
        <v>2043</v>
      </c>
      <c r="F508" t="s">
        <v>2029</v>
      </c>
      <c r="G508">
        <v>43</v>
      </c>
      <c r="H508" t="str" cm="1">
        <f t="array" ref="H508">_xlfn.IFS(
Table2[[#This Row],[AGE]]&lt;30,"Young",
Table2[[#This Row],[AGE]]&lt;40,"Middle Age",
Table2[[#This Row],[AGE]]&lt;50,"Senior",
TRUE,"Super Senior"
)</f>
        <v>Senior</v>
      </c>
      <c r="I508">
        <v>-1</v>
      </c>
      <c r="J508">
        <v>-1</v>
      </c>
      <c r="K508">
        <v>-1</v>
      </c>
      <c r="L508">
        <v>0</v>
      </c>
      <c r="M508">
        <v>0</v>
      </c>
      <c r="N508">
        <v>-1</v>
      </c>
      <c r="O508" s="1">
        <v>3959</v>
      </c>
      <c r="P508" s="1">
        <v>0</v>
      </c>
      <c r="Q508" s="1">
        <v>285138</v>
      </c>
      <c r="R508" s="1">
        <v>249445</v>
      </c>
      <c r="S508" s="1">
        <v>222831</v>
      </c>
      <c r="T508" s="1">
        <v>200</v>
      </c>
      <c r="U508" s="1">
        <v>0</v>
      </c>
      <c r="V508" s="1">
        <v>285138</v>
      </c>
      <c r="W508" s="1">
        <v>4989</v>
      </c>
      <c r="X508" s="1">
        <v>100</v>
      </c>
      <c r="Y508" s="1">
        <v>200</v>
      </c>
      <c r="Z508" s="1">
        <v>528666</v>
      </c>
      <c r="AA508">
        <v>0</v>
      </c>
      <c r="AB508" t="str">
        <f t="shared" si="7"/>
        <v>Not Defaulter</v>
      </c>
      <c r="AC508" s="1">
        <f>Table2[[#This Row],[BILL_AMT1]]-Table2[[#This Row],[PAY_AMT1]]</f>
        <v>3959</v>
      </c>
      <c r="AD508" s="1" t="str" cm="1">
        <f t="array" ref="AD508">_xlfn.IFS(Table2[[#This Row],[PAYMENT GAP]]&lt;=0,"No Gap / Overpaid",Table2[[#This Row],[PAYMENT GAP]]&lt;=25000,"Low Gap",Table2[[#This Row],[PAYMENT GAP]]&lt;=100000,"Medium Gap",
TRUE,"High Gap"
)</f>
        <v>Low Gap</v>
      </c>
    </row>
    <row r="509" spans="1:30" x14ac:dyDescent="0.3">
      <c r="A509">
        <v>508</v>
      </c>
      <c r="B509" s="1">
        <v>180000</v>
      </c>
      <c r="C509" s="1" t="str" cm="1">
        <f t="array" ref="C509">_xlfn.IFS(Table2[[#This Row],[LIMIT_BAL]]&lt;=100000,"Low",Table2[[#This Row],[LIMIT_BAL]]&lt;=300000,"Medium",
TRUE,"High"
)</f>
        <v>Medium</v>
      </c>
      <c r="D509" t="s">
        <v>2041</v>
      </c>
      <c r="E509" t="s">
        <v>2043</v>
      </c>
      <c r="F509" t="s">
        <v>2029</v>
      </c>
      <c r="G509">
        <v>28</v>
      </c>
      <c r="H509" t="str" cm="1">
        <f t="array" ref="H509">_xlfn.IFS(
Table2[[#This Row],[AGE]]&lt;30,"Young",
Table2[[#This Row],[AGE]]&lt;40,"Middle Age",
Table2[[#This Row],[AGE]]&lt;50,"Senior",
TRUE,"Super Senior"
)</f>
        <v>Young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2</v>
      </c>
      <c r="O509" s="1">
        <v>42238</v>
      </c>
      <c r="P509" s="1">
        <v>38741</v>
      </c>
      <c r="Q509" s="1">
        <v>36696</v>
      </c>
      <c r="R509" s="1">
        <v>35813</v>
      </c>
      <c r="S509" s="1">
        <v>37893</v>
      </c>
      <c r="T509" s="1">
        <v>34661</v>
      </c>
      <c r="U509" s="1">
        <v>2500</v>
      </c>
      <c r="V509" s="1">
        <v>2000</v>
      </c>
      <c r="W509" s="1">
        <v>1128</v>
      </c>
      <c r="X509" s="1">
        <v>2500</v>
      </c>
      <c r="Y509" s="1">
        <v>0</v>
      </c>
      <c r="Z509" s="1">
        <v>2000</v>
      </c>
      <c r="AA509">
        <v>0</v>
      </c>
      <c r="AB509" t="str">
        <f t="shared" si="7"/>
        <v>Not Defaulter</v>
      </c>
      <c r="AC509" s="1">
        <f>Table2[[#This Row],[BILL_AMT1]]-Table2[[#This Row],[PAY_AMT1]]</f>
        <v>39738</v>
      </c>
      <c r="AD509" s="1" t="str" cm="1">
        <f t="array" ref="AD509">_xlfn.IFS(Table2[[#This Row],[PAYMENT GAP]]&lt;=0,"No Gap / Overpaid",Table2[[#This Row],[PAYMENT GAP]]&lt;=25000,"Low Gap",Table2[[#This Row],[PAYMENT GAP]]&lt;=100000,"Medium Gap",
TRUE,"High Gap"
)</f>
        <v>Medium Gap</v>
      </c>
    </row>
    <row r="510" spans="1:30" x14ac:dyDescent="0.3">
      <c r="A510">
        <v>509</v>
      </c>
      <c r="B510" s="1">
        <v>80000</v>
      </c>
      <c r="C510" s="1" t="str" cm="1">
        <f t="array" ref="C510">_xlfn.IFS(Table2[[#This Row],[LIMIT_BAL]]&lt;=100000,"Low",Table2[[#This Row],[LIMIT_BAL]]&lt;=300000,"Medium",
TRUE,"High"
)</f>
        <v>Low</v>
      </c>
      <c r="D510" t="s">
        <v>2041</v>
      </c>
      <c r="E510" t="s">
        <v>2043</v>
      </c>
      <c r="F510" t="s">
        <v>2028</v>
      </c>
      <c r="G510">
        <v>30</v>
      </c>
      <c r="H510" t="str" cm="1">
        <f t="array" ref="H510">_xlfn.IFS(
Table2[[#This Row],[AGE]]&lt;30,"Young",
Table2[[#This Row],[AGE]]&lt;40,"Middle Age",
Table2[[#This Row],[AGE]]&lt;50,"Senior",
TRUE,"Super Senior"
)</f>
        <v>Middle Age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2</v>
      </c>
      <c r="O510" s="1">
        <v>21507</v>
      </c>
      <c r="P510" s="1">
        <v>13207</v>
      </c>
      <c r="Q510" s="1">
        <v>13997</v>
      </c>
      <c r="R510" s="1">
        <v>10914</v>
      </c>
      <c r="S510" s="1">
        <v>10685</v>
      </c>
      <c r="T510" s="1">
        <v>5515</v>
      </c>
      <c r="U510" s="1">
        <v>1700</v>
      </c>
      <c r="V510" s="1">
        <v>1400</v>
      </c>
      <c r="W510" s="1">
        <v>200</v>
      </c>
      <c r="X510" s="1">
        <v>1000</v>
      </c>
      <c r="Y510" s="1">
        <v>0</v>
      </c>
      <c r="Z510" s="1">
        <v>500</v>
      </c>
      <c r="AA510">
        <v>0</v>
      </c>
      <c r="AB510" t="str">
        <f t="shared" si="7"/>
        <v>Not Defaulter</v>
      </c>
      <c r="AC510" s="1">
        <f>Table2[[#This Row],[BILL_AMT1]]-Table2[[#This Row],[PAY_AMT1]]</f>
        <v>19807</v>
      </c>
      <c r="AD510" s="1" t="str" cm="1">
        <f t="array" ref="AD510">_xlfn.IFS(Table2[[#This Row],[PAYMENT GAP]]&lt;=0,"No Gap / Overpaid",Table2[[#This Row],[PAYMENT GAP]]&lt;=25000,"Low Gap",Table2[[#This Row],[PAYMENT GAP]]&lt;=100000,"Medium Gap",
TRUE,"High Gap"
)</f>
        <v>Low Gap</v>
      </c>
    </row>
    <row r="511" spans="1:30" x14ac:dyDescent="0.3">
      <c r="A511">
        <v>510</v>
      </c>
      <c r="B511" s="1">
        <v>120000</v>
      </c>
      <c r="C511" s="1" t="str" cm="1">
        <f t="array" ref="C511">_xlfn.IFS(Table2[[#This Row],[LIMIT_BAL]]&lt;=100000,"Low",Table2[[#This Row],[LIMIT_BAL]]&lt;=300000,"Medium",
TRUE,"High"
)</f>
        <v>Medium</v>
      </c>
      <c r="D511" t="s">
        <v>2042</v>
      </c>
      <c r="E511" t="s">
        <v>2026</v>
      </c>
      <c r="F511" t="s">
        <v>2029</v>
      </c>
      <c r="G511">
        <v>26</v>
      </c>
      <c r="H511" t="str" cm="1">
        <f t="array" ref="H511">_xlfn.IFS(
Table2[[#This Row],[AGE]]&lt;30,"Young",
Table2[[#This Row],[AGE]]&lt;40,"Middle Age",
Table2[[#This Row],[AGE]]&lt;50,"Senior",
TRUE,"Super Senior"
)</f>
        <v>Young</v>
      </c>
      <c r="I511">
        <v>-1</v>
      </c>
      <c r="J511">
        <v>-1</v>
      </c>
      <c r="K511">
        <v>-2</v>
      </c>
      <c r="L511">
        <v>-1</v>
      </c>
      <c r="M511">
        <v>-1</v>
      </c>
      <c r="N511">
        <v>-2</v>
      </c>
      <c r="O511" s="1">
        <v>884</v>
      </c>
      <c r="P511" s="1">
        <v>0</v>
      </c>
      <c r="Q511" s="1">
        <v>0</v>
      </c>
      <c r="R511" s="1">
        <v>10446</v>
      </c>
      <c r="S511" s="1">
        <v>0</v>
      </c>
      <c r="T511" s="1">
        <v>0</v>
      </c>
      <c r="U511" s="1">
        <v>0</v>
      </c>
      <c r="V511" s="1">
        <v>0</v>
      </c>
      <c r="W511" s="1">
        <v>10446</v>
      </c>
      <c r="X511" s="1">
        <v>0</v>
      </c>
      <c r="Y511" s="1">
        <v>0</v>
      </c>
      <c r="Z511" s="1">
        <v>0</v>
      </c>
      <c r="AA511">
        <v>0</v>
      </c>
      <c r="AB511" t="str">
        <f t="shared" si="7"/>
        <v>Not Defaulter</v>
      </c>
      <c r="AC511" s="1">
        <f>Table2[[#This Row],[BILL_AMT1]]-Table2[[#This Row],[PAY_AMT1]]</f>
        <v>884</v>
      </c>
      <c r="AD511" s="1" t="str" cm="1">
        <f t="array" ref="AD511">_xlfn.IFS(Table2[[#This Row],[PAYMENT GAP]]&lt;=0,"No Gap / Overpaid",Table2[[#This Row],[PAYMENT GAP]]&lt;=25000,"Low Gap",Table2[[#This Row],[PAYMENT GAP]]&lt;=100000,"Medium Gap",
TRUE,"High Gap"
)</f>
        <v>Low Gap</v>
      </c>
    </row>
    <row r="512" spans="1:30" x14ac:dyDescent="0.3">
      <c r="A512">
        <v>511</v>
      </c>
      <c r="B512" s="1">
        <v>130000</v>
      </c>
      <c r="C512" s="1" t="str" cm="1">
        <f t="array" ref="C512">_xlfn.IFS(Table2[[#This Row],[LIMIT_BAL]]&lt;=100000,"Low",Table2[[#This Row],[LIMIT_BAL]]&lt;=300000,"Medium",
TRUE,"High"
)</f>
        <v>Medium</v>
      </c>
      <c r="D512" t="s">
        <v>2042</v>
      </c>
      <c r="E512" t="s">
        <v>2043</v>
      </c>
      <c r="F512" t="s">
        <v>2028</v>
      </c>
      <c r="G512">
        <v>31</v>
      </c>
      <c r="H512" t="str" cm="1">
        <f t="array" ref="H512">_xlfn.IFS(
Table2[[#This Row],[AGE]]&lt;30,"Young",
Table2[[#This Row],[AGE]]&lt;40,"Middle Age",
Table2[[#This Row],[AGE]]&lt;50,"Senior",
TRUE,"Super Senior"
)</f>
        <v>Middle Age</v>
      </c>
      <c r="I512">
        <v>-1</v>
      </c>
      <c r="J512">
        <v>-1</v>
      </c>
      <c r="K512">
        <v>-1</v>
      </c>
      <c r="L512">
        <v>-1</v>
      </c>
      <c r="M512">
        <v>-1</v>
      </c>
      <c r="N512">
        <v>2</v>
      </c>
      <c r="O512" s="1">
        <v>1261</v>
      </c>
      <c r="P512" s="1">
        <v>1261</v>
      </c>
      <c r="Q512" s="1">
        <v>1261</v>
      </c>
      <c r="R512" s="1">
        <v>1411</v>
      </c>
      <c r="S512" s="1">
        <v>930</v>
      </c>
      <c r="T512" s="1">
        <v>390</v>
      </c>
      <c r="U512" s="1">
        <v>1261</v>
      </c>
      <c r="V512" s="1">
        <v>1261</v>
      </c>
      <c r="W512" s="1">
        <v>1411</v>
      </c>
      <c r="X512" s="1">
        <v>930</v>
      </c>
      <c r="Y512" s="1">
        <v>0</v>
      </c>
      <c r="Z512" s="1">
        <v>780</v>
      </c>
      <c r="AA512">
        <v>0</v>
      </c>
      <c r="AB512" t="str">
        <f t="shared" si="7"/>
        <v>Not Defaulter</v>
      </c>
      <c r="AC512" s="1">
        <f>Table2[[#This Row],[BILL_AMT1]]-Table2[[#This Row],[PAY_AMT1]]</f>
        <v>0</v>
      </c>
      <c r="AD512" s="1" t="str" cm="1">
        <f t="array" ref="AD512">_xlfn.IFS(Table2[[#This Row],[PAYMENT GAP]]&lt;=0,"No Gap / Overpaid",Table2[[#This Row],[PAYMENT GAP]]&lt;=25000,"Low Gap",Table2[[#This Row],[PAYMENT GAP]]&lt;=100000,"Medium Gap",
TRUE,"High Gap"
)</f>
        <v>No Gap / Overpaid</v>
      </c>
    </row>
    <row r="513" spans="1:30" x14ac:dyDescent="0.3">
      <c r="A513">
        <v>512</v>
      </c>
      <c r="B513" s="1">
        <v>120000</v>
      </c>
      <c r="C513" s="1" t="str" cm="1">
        <f t="array" ref="C513">_xlfn.IFS(Table2[[#This Row],[LIMIT_BAL]]&lt;=100000,"Low",Table2[[#This Row],[LIMIT_BAL]]&lt;=300000,"Medium",
TRUE,"High"
)</f>
        <v>Medium</v>
      </c>
      <c r="D513" t="s">
        <v>2041</v>
      </c>
      <c r="E513" t="s">
        <v>2043</v>
      </c>
      <c r="F513" t="s">
        <v>2029</v>
      </c>
      <c r="G513">
        <v>35</v>
      </c>
      <c r="H513" t="str" cm="1">
        <f t="array" ref="H513">_xlfn.IFS(
Table2[[#This Row],[AGE]]&lt;30,"Young",
Table2[[#This Row],[AGE]]&lt;40,"Middle Age",
Table2[[#This Row],[AGE]]&lt;50,"Senior",
TRUE,"Super Senior"
)</f>
        <v>Middle Age</v>
      </c>
      <c r="I513">
        <v>-1</v>
      </c>
      <c r="J513">
        <v>-1</v>
      </c>
      <c r="K513">
        <v>-1</v>
      </c>
      <c r="L513">
        <v>-1</v>
      </c>
      <c r="M513">
        <v>-1</v>
      </c>
      <c r="N513">
        <v>-1</v>
      </c>
      <c r="O513" s="1">
        <v>240</v>
      </c>
      <c r="P513" s="1">
        <v>240</v>
      </c>
      <c r="Q513" s="1">
        <v>240</v>
      </c>
      <c r="R513" s="1">
        <v>240</v>
      </c>
      <c r="S513" s="1">
        <v>240</v>
      </c>
      <c r="T513" s="1">
        <v>240</v>
      </c>
      <c r="U513" s="1">
        <v>240</v>
      </c>
      <c r="V513" s="1">
        <v>240</v>
      </c>
      <c r="W513" s="1">
        <v>240</v>
      </c>
      <c r="X513" s="1">
        <v>240</v>
      </c>
      <c r="Y513" s="1">
        <v>240</v>
      </c>
      <c r="Z513" s="1">
        <v>240</v>
      </c>
      <c r="AA513">
        <v>1</v>
      </c>
      <c r="AB513" t="str">
        <f t="shared" si="7"/>
        <v>Defaulter</v>
      </c>
      <c r="AC513" s="1">
        <f>Table2[[#This Row],[BILL_AMT1]]-Table2[[#This Row],[PAY_AMT1]]</f>
        <v>0</v>
      </c>
      <c r="AD513" s="1" t="str" cm="1">
        <f t="array" ref="AD513">_xlfn.IFS(Table2[[#This Row],[PAYMENT GAP]]&lt;=0,"No Gap / Overpaid",Table2[[#This Row],[PAYMENT GAP]]&lt;=25000,"Low Gap",Table2[[#This Row],[PAYMENT GAP]]&lt;=100000,"Medium Gap",
TRUE,"High Gap"
)</f>
        <v>No Gap / Overpaid</v>
      </c>
    </row>
    <row r="514" spans="1:30" x14ac:dyDescent="0.3">
      <c r="A514">
        <v>513</v>
      </c>
      <c r="B514" s="1">
        <v>360000</v>
      </c>
      <c r="C514" s="1" t="str" cm="1">
        <f t="array" ref="C514">_xlfn.IFS(Table2[[#This Row],[LIMIT_BAL]]&lt;=100000,"Low",Table2[[#This Row],[LIMIT_BAL]]&lt;=300000,"Medium",
TRUE,"High"
)</f>
        <v>High</v>
      </c>
      <c r="D514" t="s">
        <v>2042</v>
      </c>
      <c r="E514" t="s">
        <v>2026</v>
      </c>
      <c r="F514" t="s">
        <v>2029</v>
      </c>
      <c r="G514">
        <v>28</v>
      </c>
      <c r="H514" t="str" cm="1">
        <f t="array" ref="H514">_xlfn.IFS(
Table2[[#This Row],[AGE]]&lt;30,"Young",
Table2[[#This Row],[AGE]]&lt;40,"Middle Age",
Table2[[#This Row],[AGE]]&lt;50,"Senior",
TRUE,"Super Senior"
)</f>
        <v>Young</v>
      </c>
      <c r="I514">
        <v>-1</v>
      </c>
      <c r="J514">
        <v>-1</v>
      </c>
      <c r="K514">
        <v>-1</v>
      </c>
      <c r="L514">
        <v>-1</v>
      </c>
      <c r="M514">
        <v>-1</v>
      </c>
      <c r="N514">
        <v>-1</v>
      </c>
      <c r="O514" s="1">
        <v>20223</v>
      </c>
      <c r="P514" s="1">
        <v>52962</v>
      </c>
      <c r="Q514" s="1">
        <v>3978</v>
      </c>
      <c r="R514" s="1">
        <v>1743</v>
      </c>
      <c r="S514" s="1">
        <v>2828</v>
      </c>
      <c r="T514" s="1">
        <v>50537</v>
      </c>
      <c r="U514" s="1">
        <v>53228</v>
      </c>
      <c r="V514" s="1">
        <v>3997</v>
      </c>
      <c r="W514" s="1">
        <v>1750</v>
      </c>
      <c r="X514" s="1">
        <v>2853</v>
      </c>
      <c r="Y514" s="1">
        <v>51041</v>
      </c>
      <c r="Z514" s="1">
        <v>3219</v>
      </c>
      <c r="AA514">
        <v>0</v>
      </c>
      <c r="AB514" t="str">
        <f t="shared" si="7"/>
        <v>Not Defaulter</v>
      </c>
      <c r="AC514" s="1">
        <f>Table2[[#This Row],[BILL_AMT1]]-Table2[[#This Row],[PAY_AMT1]]</f>
        <v>-33005</v>
      </c>
      <c r="AD514" s="1" t="str" cm="1">
        <f t="array" ref="AD514">_xlfn.IFS(Table2[[#This Row],[PAYMENT GAP]]&lt;=0,"No Gap / Overpaid",Table2[[#This Row],[PAYMENT GAP]]&lt;=25000,"Low Gap",Table2[[#This Row],[PAYMENT GAP]]&lt;=100000,"Medium Gap",
TRUE,"High Gap"
)</f>
        <v>No Gap / Overpaid</v>
      </c>
    </row>
    <row r="515" spans="1:30" x14ac:dyDescent="0.3">
      <c r="A515">
        <v>514</v>
      </c>
      <c r="B515" s="1">
        <v>50000</v>
      </c>
      <c r="C515" s="1" t="str" cm="1">
        <f t="array" ref="C515">_xlfn.IFS(Table2[[#This Row],[LIMIT_BAL]]&lt;=100000,"Low",Table2[[#This Row],[LIMIT_BAL]]&lt;=300000,"Medium",
TRUE,"High"
)</f>
        <v>Low</v>
      </c>
      <c r="D515" t="s">
        <v>2042</v>
      </c>
      <c r="E515" t="s">
        <v>2043</v>
      </c>
      <c r="F515" t="s">
        <v>2029</v>
      </c>
      <c r="G515">
        <v>23</v>
      </c>
      <c r="H515" t="str" cm="1">
        <f t="array" ref="H515">_xlfn.IFS(
Table2[[#This Row],[AGE]]&lt;30,"Young",
Table2[[#This Row],[AGE]]&lt;40,"Middle Age",
Table2[[#This Row],[AGE]]&lt;50,"Senior",
TRUE,"Super Senior"
)</f>
        <v>Young</v>
      </c>
      <c r="I515">
        <v>2</v>
      </c>
      <c r="J515">
        <v>2</v>
      </c>
      <c r="K515">
        <v>2</v>
      </c>
      <c r="L515">
        <v>2</v>
      </c>
      <c r="M515">
        <v>2</v>
      </c>
      <c r="N515">
        <v>2</v>
      </c>
      <c r="O515" s="1">
        <v>29509</v>
      </c>
      <c r="P515" s="1">
        <v>30741</v>
      </c>
      <c r="Q515" s="1">
        <v>31438</v>
      </c>
      <c r="R515" s="1">
        <v>31924</v>
      </c>
      <c r="S515" s="1">
        <v>32566</v>
      </c>
      <c r="T515" s="1">
        <v>33081</v>
      </c>
      <c r="U515" s="1">
        <v>2000</v>
      </c>
      <c r="V515" s="1">
        <v>1500</v>
      </c>
      <c r="W515" s="1">
        <v>1300</v>
      </c>
      <c r="X515" s="1">
        <v>1300</v>
      </c>
      <c r="Y515" s="1">
        <v>1200</v>
      </c>
      <c r="Z515" s="1">
        <v>1500</v>
      </c>
      <c r="AA515">
        <v>1</v>
      </c>
      <c r="AB515" t="str">
        <f t="shared" ref="AB515:AB578" si="8">IF(AA515=1,"Defaulter","Not Defaulter")</f>
        <v>Defaulter</v>
      </c>
      <c r="AC515" s="1">
        <f>Table2[[#This Row],[BILL_AMT1]]-Table2[[#This Row],[PAY_AMT1]]</f>
        <v>27509</v>
      </c>
      <c r="AD515" s="1" t="str" cm="1">
        <f t="array" ref="AD515">_xlfn.IFS(Table2[[#This Row],[PAYMENT GAP]]&lt;=0,"No Gap / Overpaid",Table2[[#This Row],[PAYMENT GAP]]&lt;=25000,"Low Gap",Table2[[#This Row],[PAYMENT GAP]]&lt;=100000,"Medium Gap",
TRUE,"High Gap"
)</f>
        <v>Medium Gap</v>
      </c>
    </row>
    <row r="516" spans="1:30" x14ac:dyDescent="0.3">
      <c r="A516">
        <v>515</v>
      </c>
      <c r="B516" s="1">
        <v>20000</v>
      </c>
      <c r="C516" s="1" t="str" cm="1">
        <f t="array" ref="C516">_xlfn.IFS(Table2[[#This Row],[LIMIT_BAL]]&lt;=100000,"Low",Table2[[#This Row],[LIMIT_BAL]]&lt;=300000,"Medium",
TRUE,"High"
)</f>
        <v>Low</v>
      </c>
      <c r="D516" t="s">
        <v>2041</v>
      </c>
      <c r="E516" t="s">
        <v>2043</v>
      </c>
      <c r="F516" t="s">
        <v>2029</v>
      </c>
      <c r="G516">
        <v>23</v>
      </c>
      <c r="H516" t="str" cm="1">
        <f t="array" ref="H516">_xlfn.IFS(
Table2[[#This Row],[AGE]]&lt;30,"Young",
Table2[[#This Row],[AGE]]&lt;40,"Middle Age",
Table2[[#This Row],[AGE]]&lt;50,"Senior",
TRUE,"Super Senior"
)</f>
        <v>Young</v>
      </c>
      <c r="I516">
        <v>0</v>
      </c>
      <c r="J516">
        <v>0</v>
      </c>
      <c r="K516">
        <v>2</v>
      </c>
      <c r="L516">
        <v>0</v>
      </c>
      <c r="M516">
        <v>0</v>
      </c>
      <c r="N516">
        <v>0</v>
      </c>
      <c r="O516" s="1">
        <v>18355</v>
      </c>
      <c r="P516" s="1">
        <v>20259</v>
      </c>
      <c r="Q516" s="1">
        <v>19534</v>
      </c>
      <c r="R516" s="1">
        <v>16467</v>
      </c>
      <c r="S516" s="1">
        <v>15746</v>
      </c>
      <c r="T516" s="1">
        <v>13246</v>
      </c>
      <c r="U516" s="1">
        <v>2900</v>
      </c>
      <c r="V516" s="1">
        <v>10</v>
      </c>
      <c r="W516" s="1">
        <v>577</v>
      </c>
      <c r="X516" s="1">
        <v>430</v>
      </c>
      <c r="Y516" s="1">
        <v>1017</v>
      </c>
      <c r="Z516" s="1">
        <v>4</v>
      </c>
      <c r="AA516">
        <v>0</v>
      </c>
      <c r="AB516" t="str">
        <f t="shared" si="8"/>
        <v>Not Defaulter</v>
      </c>
      <c r="AC516" s="1">
        <f>Table2[[#This Row],[BILL_AMT1]]-Table2[[#This Row],[PAY_AMT1]]</f>
        <v>15455</v>
      </c>
      <c r="AD516" s="1" t="str" cm="1">
        <f t="array" ref="AD516">_xlfn.IFS(Table2[[#This Row],[PAYMENT GAP]]&lt;=0,"No Gap / Overpaid",Table2[[#This Row],[PAYMENT GAP]]&lt;=25000,"Low Gap",Table2[[#This Row],[PAYMENT GAP]]&lt;=100000,"Medium Gap",
TRUE,"High Gap"
)</f>
        <v>Low Gap</v>
      </c>
    </row>
    <row r="517" spans="1:30" x14ac:dyDescent="0.3">
      <c r="A517">
        <v>516</v>
      </c>
      <c r="B517" s="1">
        <v>100000</v>
      </c>
      <c r="C517" s="1" t="str" cm="1">
        <f t="array" ref="C517">_xlfn.IFS(Table2[[#This Row],[LIMIT_BAL]]&lt;=100000,"Low",Table2[[#This Row],[LIMIT_BAL]]&lt;=300000,"Medium",
TRUE,"High"
)</f>
        <v>Low</v>
      </c>
      <c r="D517" t="s">
        <v>2042</v>
      </c>
      <c r="E517" t="s">
        <v>2027</v>
      </c>
      <c r="F517" t="s">
        <v>2028</v>
      </c>
      <c r="G517">
        <v>56</v>
      </c>
      <c r="H517" t="str" cm="1">
        <f t="array" ref="H517">_xlfn.IFS(
Table2[[#This Row],[AGE]]&lt;30,"Young",
Table2[[#This Row],[AGE]]&lt;40,"Middle Age",
Table2[[#This Row],[AGE]]&lt;50,"Senior",
TRUE,"Super Senior"
)</f>
        <v>Super Senior</v>
      </c>
      <c r="I517">
        <v>0</v>
      </c>
      <c r="J517">
        <v>0</v>
      </c>
      <c r="K517">
        <v>-1</v>
      </c>
      <c r="L517">
        <v>0</v>
      </c>
      <c r="M517">
        <v>0</v>
      </c>
      <c r="N517">
        <v>0</v>
      </c>
      <c r="O517" s="1">
        <v>94265</v>
      </c>
      <c r="P517" s="1">
        <v>53376</v>
      </c>
      <c r="Q517" s="1">
        <v>85787</v>
      </c>
      <c r="R517" s="1">
        <v>78762</v>
      </c>
      <c r="S517" s="1">
        <v>79529</v>
      </c>
      <c r="T517" s="1">
        <v>80335</v>
      </c>
      <c r="U517" s="1">
        <v>2385</v>
      </c>
      <c r="V517" s="1">
        <v>88678</v>
      </c>
      <c r="W517" s="1">
        <v>2169</v>
      </c>
      <c r="X517" s="1">
        <v>2634</v>
      </c>
      <c r="Y517" s="1">
        <v>3132</v>
      </c>
      <c r="Z517" s="1">
        <v>732</v>
      </c>
      <c r="AA517">
        <v>0</v>
      </c>
      <c r="AB517" t="str">
        <f t="shared" si="8"/>
        <v>Not Defaulter</v>
      </c>
      <c r="AC517" s="1">
        <f>Table2[[#This Row],[BILL_AMT1]]-Table2[[#This Row],[PAY_AMT1]]</f>
        <v>91880</v>
      </c>
      <c r="AD517" s="1" t="str" cm="1">
        <f t="array" ref="AD517">_xlfn.IFS(Table2[[#This Row],[PAYMENT GAP]]&lt;=0,"No Gap / Overpaid",Table2[[#This Row],[PAYMENT GAP]]&lt;=25000,"Low Gap",Table2[[#This Row],[PAYMENT GAP]]&lt;=100000,"Medium Gap",
TRUE,"High Gap"
)</f>
        <v>Medium Gap</v>
      </c>
    </row>
    <row r="518" spans="1:30" x14ac:dyDescent="0.3">
      <c r="A518">
        <v>517</v>
      </c>
      <c r="B518" s="1">
        <v>70000</v>
      </c>
      <c r="C518" s="1" t="str" cm="1">
        <f t="array" ref="C518">_xlfn.IFS(Table2[[#This Row],[LIMIT_BAL]]&lt;=100000,"Low",Table2[[#This Row],[LIMIT_BAL]]&lt;=300000,"Medium",
TRUE,"High"
)</f>
        <v>Low</v>
      </c>
      <c r="D518" t="s">
        <v>2042</v>
      </c>
      <c r="E518" t="s">
        <v>2027</v>
      </c>
      <c r="F518" t="s">
        <v>2028</v>
      </c>
      <c r="G518">
        <v>32</v>
      </c>
      <c r="H518" t="str" cm="1">
        <f t="array" ref="H518">_xlfn.IFS(
Table2[[#This Row],[AGE]]&lt;30,"Young",
Table2[[#This Row],[AGE]]&lt;40,"Middle Age",
Table2[[#This Row],[AGE]]&lt;50,"Senior",
TRUE,"Super Senior"
)</f>
        <v>Middle Age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 s="1">
        <v>68739</v>
      </c>
      <c r="P518" s="1">
        <v>67629</v>
      </c>
      <c r="Q518" s="1">
        <v>69188</v>
      </c>
      <c r="R518" s="1">
        <v>68392</v>
      </c>
      <c r="S518" s="1">
        <v>69884</v>
      </c>
      <c r="T518" s="1">
        <v>71284</v>
      </c>
      <c r="U518" s="1">
        <v>3060</v>
      </c>
      <c r="V518" s="1">
        <v>3300</v>
      </c>
      <c r="W518" s="1">
        <v>2610</v>
      </c>
      <c r="X518" s="1">
        <v>2750</v>
      </c>
      <c r="Y518" s="1">
        <v>2750</v>
      </c>
      <c r="Z518" s="1">
        <v>5500</v>
      </c>
      <c r="AA518">
        <v>0</v>
      </c>
      <c r="AB518" t="str">
        <f t="shared" si="8"/>
        <v>Not Defaulter</v>
      </c>
      <c r="AC518" s="1">
        <f>Table2[[#This Row],[BILL_AMT1]]-Table2[[#This Row],[PAY_AMT1]]</f>
        <v>65679</v>
      </c>
      <c r="AD518" s="1" t="str" cm="1">
        <f t="array" ref="AD518">_xlfn.IFS(Table2[[#This Row],[PAYMENT GAP]]&lt;=0,"No Gap / Overpaid",Table2[[#This Row],[PAYMENT GAP]]&lt;=25000,"Low Gap",Table2[[#This Row],[PAYMENT GAP]]&lt;=100000,"Medium Gap",
TRUE,"High Gap"
)</f>
        <v>Medium Gap</v>
      </c>
    </row>
    <row r="519" spans="1:30" x14ac:dyDescent="0.3">
      <c r="A519">
        <v>518</v>
      </c>
      <c r="B519" s="1">
        <v>50000</v>
      </c>
      <c r="C519" s="1" t="str" cm="1">
        <f t="array" ref="C519">_xlfn.IFS(Table2[[#This Row],[LIMIT_BAL]]&lt;=100000,"Low",Table2[[#This Row],[LIMIT_BAL]]&lt;=300000,"Medium",
TRUE,"High"
)</f>
        <v>Low</v>
      </c>
      <c r="D519" t="s">
        <v>2042</v>
      </c>
      <c r="E519" t="s">
        <v>2043</v>
      </c>
      <c r="F519" t="s">
        <v>2028</v>
      </c>
      <c r="G519">
        <v>47</v>
      </c>
      <c r="H519" t="str" cm="1">
        <f t="array" ref="H519">_xlfn.IFS(
Table2[[#This Row],[AGE]]&lt;30,"Young",
Table2[[#This Row],[AGE]]&lt;40,"Middle Age",
Table2[[#This Row],[AGE]]&lt;50,"Senior",
TRUE,"Super Senior"
)</f>
        <v>Senior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 s="1">
        <v>13917</v>
      </c>
      <c r="P519" s="1">
        <v>16695</v>
      </c>
      <c r="Q519" s="1">
        <v>21320</v>
      </c>
      <c r="R519" s="1">
        <v>18614</v>
      </c>
      <c r="S519" s="1">
        <v>19003</v>
      </c>
      <c r="T519" s="1">
        <v>19439</v>
      </c>
      <c r="U519" s="1">
        <v>3000</v>
      </c>
      <c r="V519" s="1">
        <v>5000</v>
      </c>
      <c r="W519" s="1">
        <v>2000</v>
      </c>
      <c r="X519" s="1">
        <v>618</v>
      </c>
      <c r="Y519" s="1">
        <v>679</v>
      </c>
      <c r="Z519" s="1">
        <v>500</v>
      </c>
      <c r="AA519">
        <v>0</v>
      </c>
      <c r="AB519" t="str">
        <f t="shared" si="8"/>
        <v>Not Defaulter</v>
      </c>
      <c r="AC519" s="1">
        <f>Table2[[#This Row],[BILL_AMT1]]-Table2[[#This Row],[PAY_AMT1]]</f>
        <v>10917</v>
      </c>
      <c r="AD519" s="1" t="str" cm="1">
        <f t="array" ref="AD519">_xlfn.IFS(Table2[[#This Row],[PAYMENT GAP]]&lt;=0,"No Gap / Overpaid",Table2[[#This Row],[PAYMENT GAP]]&lt;=25000,"Low Gap",Table2[[#This Row],[PAYMENT GAP]]&lt;=100000,"Medium Gap",
TRUE,"High Gap"
)</f>
        <v>Low Gap</v>
      </c>
    </row>
    <row r="520" spans="1:30" x14ac:dyDescent="0.3">
      <c r="A520">
        <v>519</v>
      </c>
      <c r="B520" s="1">
        <v>10000</v>
      </c>
      <c r="C520" s="1" t="str" cm="1">
        <f t="array" ref="C520">_xlfn.IFS(Table2[[#This Row],[LIMIT_BAL]]&lt;=100000,"Low",Table2[[#This Row],[LIMIT_BAL]]&lt;=300000,"Medium",
TRUE,"High"
)</f>
        <v>Low</v>
      </c>
      <c r="D520" t="s">
        <v>2041</v>
      </c>
      <c r="E520" t="s">
        <v>2043</v>
      </c>
      <c r="F520" t="s">
        <v>2029</v>
      </c>
      <c r="G520">
        <v>22</v>
      </c>
      <c r="H520" t="str" cm="1">
        <f t="array" ref="H520">_xlfn.IFS(
Table2[[#This Row],[AGE]]&lt;30,"Young",
Table2[[#This Row],[AGE]]&lt;40,"Middle Age",
Table2[[#This Row],[AGE]]&lt;50,"Senior",
TRUE,"Super Senior"
)</f>
        <v>Young</v>
      </c>
      <c r="I520">
        <v>1</v>
      </c>
      <c r="J520">
        <v>2</v>
      </c>
      <c r="K520">
        <v>0</v>
      </c>
      <c r="L520">
        <v>0</v>
      </c>
      <c r="M520">
        <v>0</v>
      </c>
      <c r="N520">
        <v>0</v>
      </c>
      <c r="O520" s="1">
        <v>10250</v>
      </c>
      <c r="P520" s="1">
        <v>8558</v>
      </c>
      <c r="Q520" s="1">
        <v>10525</v>
      </c>
      <c r="R520" s="1">
        <v>10050</v>
      </c>
      <c r="S520" s="1">
        <v>9903</v>
      </c>
      <c r="T520" s="1">
        <v>9984</v>
      </c>
      <c r="U520" s="1">
        <v>0</v>
      </c>
      <c r="V520" s="1">
        <v>2126</v>
      </c>
      <c r="W520" s="1">
        <v>390</v>
      </c>
      <c r="X520" s="1">
        <v>328</v>
      </c>
      <c r="Y520" s="1">
        <v>476</v>
      </c>
      <c r="Z520" s="1">
        <v>1287</v>
      </c>
      <c r="AA520">
        <v>0</v>
      </c>
      <c r="AB520" t="str">
        <f t="shared" si="8"/>
        <v>Not Defaulter</v>
      </c>
      <c r="AC520" s="1">
        <f>Table2[[#This Row],[BILL_AMT1]]-Table2[[#This Row],[PAY_AMT1]]</f>
        <v>10250</v>
      </c>
      <c r="AD520" s="1" t="str" cm="1">
        <f t="array" ref="AD520">_xlfn.IFS(Table2[[#This Row],[PAYMENT GAP]]&lt;=0,"No Gap / Overpaid",Table2[[#This Row],[PAYMENT GAP]]&lt;=25000,"Low Gap",Table2[[#This Row],[PAYMENT GAP]]&lt;=100000,"Medium Gap",
TRUE,"High Gap"
)</f>
        <v>Low Gap</v>
      </c>
    </row>
    <row r="521" spans="1:30" x14ac:dyDescent="0.3">
      <c r="A521">
        <v>520</v>
      </c>
      <c r="B521" s="1">
        <v>290000</v>
      </c>
      <c r="C521" s="1" t="str" cm="1">
        <f t="array" ref="C521">_xlfn.IFS(Table2[[#This Row],[LIMIT_BAL]]&lt;=100000,"Low",Table2[[#This Row],[LIMIT_BAL]]&lt;=300000,"Medium",
TRUE,"High"
)</f>
        <v>Medium</v>
      </c>
      <c r="D521" t="s">
        <v>2041</v>
      </c>
      <c r="E521" t="s">
        <v>2026</v>
      </c>
      <c r="F521" t="s">
        <v>2028</v>
      </c>
      <c r="G521">
        <v>34</v>
      </c>
      <c r="H521" t="str" cm="1">
        <f t="array" ref="H521">_xlfn.IFS(
Table2[[#This Row],[AGE]]&lt;30,"Young",
Table2[[#This Row],[AGE]]&lt;40,"Middle Age",
Table2[[#This Row],[AGE]]&lt;50,"Senior",
TRUE,"Super Senior"
)</f>
        <v>Middle Age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 s="1">
        <v>93844</v>
      </c>
      <c r="P521" s="1">
        <v>97708</v>
      </c>
      <c r="Q521" s="1">
        <v>103066</v>
      </c>
      <c r="R521" s="1">
        <v>104864</v>
      </c>
      <c r="S521" s="1">
        <v>110151</v>
      </c>
      <c r="T521" s="1">
        <v>115297</v>
      </c>
      <c r="U521" s="1">
        <v>6000</v>
      </c>
      <c r="V521" s="1">
        <v>7000</v>
      </c>
      <c r="W521" s="1">
        <v>5000</v>
      </c>
      <c r="X521" s="1">
        <v>7000</v>
      </c>
      <c r="Y521" s="1">
        <v>7000</v>
      </c>
      <c r="Z521" s="1">
        <v>7000</v>
      </c>
      <c r="AA521">
        <v>0</v>
      </c>
      <c r="AB521" t="str">
        <f t="shared" si="8"/>
        <v>Not Defaulter</v>
      </c>
      <c r="AC521" s="1">
        <f>Table2[[#This Row],[BILL_AMT1]]-Table2[[#This Row],[PAY_AMT1]]</f>
        <v>87844</v>
      </c>
      <c r="AD521" s="1" t="str" cm="1">
        <f t="array" ref="AD521">_xlfn.IFS(Table2[[#This Row],[PAYMENT GAP]]&lt;=0,"No Gap / Overpaid",Table2[[#This Row],[PAYMENT GAP]]&lt;=25000,"Low Gap",Table2[[#This Row],[PAYMENT GAP]]&lt;=100000,"Medium Gap",
TRUE,"High Gap"
)</f>
        <v>Medium Gap</v>
      </c>
    </row>
    <row r="522" spans="1:30" x14ac:dyDescent="0.3">
      <c r="A522">
        <v>521</v>
      </c>
      <c r="B522" s="1">
        <v>30000</v>
      </c>
      <c r="C522" s="1" t="str" cm="1">
        <f t="array" ref="C522">_xlfn.IFS(Table2[[#This Row],[LIMIT_BAL]]&lt;=100000,"Low",Table2[[#This Row],[LIMIT_BAL]]&lt;=300000,"Medium",
TRUE,"High"
)</f>
        <v>Low</v>
      </c>
      <c r="D522" t="s">
        <v>2041</v>
      </c>
      <c r="E522" t="s">
        <v>2026</v>
      </c>
      <c r="F522" t="s">
        <v>2028</v>
      </c>
      <c r="G522">
        <v>31</v>
      </c>
      <c r="H522" t="str" cm="1">
        <f t="array" ref="H522">_xlfn.IFS(
Table2[[#This Row],[AGE]]&lt;30,"Young",
Table2[[#This Row],[AGE]]&lt;40,"Middle Age",
Table2[[#This Row],[AGE]]&lt;50,"Senior",
TRUE,"Super Senior"
)</f>
        <v>Middle Age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 s="1">
        <v>16496</v>
      </c>
      <c r="P522" s="1">
        <v>17522</v>
      </c>
      <c r="Q522" s="1">
        <v>18531</v>
      </c>
      <c r="R522" s="1">
        <v>18744</v>
      </c>
      <c r="S522" s="1">
        <v>19291</v>
      </c>
      <c r="T522" s="1">
        <v>19818</v>
      </c>
      <c r="U522" s="1">
        <v>1597</v>
      </c>
      <c r="V522" s="1">
        <v>1606</v>
      </c>
      <c r="W522" s="1">
        <v>819</v>
      </c>
      <c r="X522" s="1">
        <v>1000</v>
      </c>
      <c r="Y522" s="1">
        <v>1000</v>
      </c>
      <c r="Z522" s="1">
        <v>1623</v>
      </c>
      <c r="AA522">
        <v>0</v>
      </c>
      <c r="AB522" t="str">
        <f t="shared" si="8"/>
        <v>Not Defaulter</v>
      </c>
      <c r="AC522" s="1">
        <f>Table2[[#This Row],[BILL_AMT1]]-Table2[[#This Row],[PAY_AMT1]]</f>
        <v>14899</v>
      </c>
      <c r="AD522" s="1" t="str" cm="1">
        <f t="array" ref="AD522">_xlfn.IFS(Table2[[#This Row],[PAYMENT GAP]]&lt;=0,"No Gap / Overpaid",Table2[[#This Row],[PAYMENT GAP]]&lt;=25000,"Low Gap",Table2[[#This Row],[PAYMENT GAP]]&lt;=100000,"Medium Gap",
TRUE,"High Gap"
)</f>
        <v>Low Gap</v>
      </c>
    </row>
    <row r="523" spans="1:30" x14ac:dyDescent="0.3">
      <c r="A523">
        <v>522</v>
      </c>
      <c r="B523" s="1">
        <v>410000</v>
      </c>
      <c r="C523" s="1" t="str" cm="1">
        <f t="array" ref="C523">_xlfn.IFS(Table2[[#This Row],[LIMIT_BAL]]&lt;=100000,"Low",Table2[[#This Row],[LIMIT_BAL]]&lt;=300000,"Medium",
TRUE,"High"
)</f>
        <v>High</v>
      </c>
      <c r="D523" t="s">
        <v>2041</v>
      </c>
      <c r="E523" t="s">
        <v>2043</v>
      </c>
      <c r="F523" t="s">
        <v>2029</v>
      </c>
      <c r="G523">
        <v>27</v>
      </c>
      <c r="H523" t="str" cm="1">
        <f t="array" ref="H523">_xlfn.IFS(
Table2[[#This Row],[AGE]]&lt;30,"Young",
Table2[[#This Row],[AGE]]&lt;40,"Middle Age",
Table2[[#This Row],[AGE]]&lt;50,"Senior",
TRUE,"Super Senior"
)</f>
        <v>Young</v>
      </c>
      <c r="I523">
        <v>1</v>
      </c>
      <c r="J523">
        <v>-1</v>
      </c>
      <c r="K523">
        <v>0</v>
      </c>
      <c r="L523">
        <v>0</v>
      </c>
      <c r="M523">
        <v>0</v>
      </c>
      <c r="N523">
        <v>0</v>
      </c>
      <c r="O523" s="1">
        <v>-58</v>
      </c>
      <c r="P523" s="1">
        <v>32991</v>
      </c>
      <c r="Q523" s="1">
        <v>36465</v>
      </c>
      <c r="R523" s="1">
        <v>44310</v>
      </c>
      <c r="S523" s="1">
        <v>62408</v>
      </c>
      <c r="T523" s="1">
        <v>61420</v>
      </c>
      <c r="U523" s="1">
        <v>33049</v>
      </c>
      <c r="V523" s="1">
        <v>16000</v>
      </c>
      <c r="W523" s="1">
        <v>8700</v>
      </c>
      <c r="X523" s="1">
        <v>18775</v>
      </c>
      <c r="Y523" s="1">
        <v>15000</v>
      </c>
      <c r="Z523" s="1">
        <v>5350</v>
      </c>
      <c r="AA523">
        <v>0</v>
      </c>
      <c r="AB523" t="str">
        <f t="shared" si="8"/>
        <v>Not Defaulter</v>
      </c>
      <c r="AC523" s="1">
        <f>Table2[[#This Row],[BILL_AMT1]]-Table2[[#This Row],[PAY_AMT1]]</f>
        <v>-33107</v>
      </c>
      <c r="AD523" s="1" t="str" cm="1">
        <f t="array" ref="AD523">_xlfn.IFS(Table2[[#This Row],[PAYMENT GAP]]&lt;=0,"No Gap / Overpaid",Table2[[#This Row],[PAYMENT GAP]]&lt;=25000,"Low Gap",Table2[[#This Row],[PAYMENT GAP]]&lt;=100000,"Medium Gap",
TRUE,"High Gap"
)</f>
        <v>No Gap / Overpaid</v>
      </c>
    </row>
    <row r="524" spans="1:30" x14ac:dyDescent="0.3">
      <c r="A524">
        <v>523</v>
      </c>
      <c r="B524" s="1">
        <v>360000</v>
      </c>
      <c r="C524" s="1" t="str" cm="1">
        <f t="array" ref="C524">_xlfn.IFS(Table2[[#This Row],[LIMIT_BAL]]&lt;=100000,"Low",Table2[[#This Row],[LIMIT_BAL]]&lt;=300000,"Medium",
TRUE,"High"
)</f>
        <v>High</v>
      </c>
      <c r="D524" t="s">
        <v>2042</v>
      </c>
      <c r="E524" t="s">
        <v>2026</v>
      </c>
      <c r="F524" t="s">
        <v>2029</v>
      </c>
      <c r="G524">
        <v>28</v>
      </c>
      <c r="H524" t="str" cm="1">
        <f t="array" ref="H524">_xlfn.IFS(
Table2[[#This Row],[AGE]]&lt;30,"Young",
Table2[[#This Row],[AGE]]&lt;40,"Middle Age",
Table2[[#This Row],[AGE]]&lt;50,"Senior",
TRUE,"Super Senior"
)</f>
        <v>Young</v>
      </c>
      <c r="I524">
        <v>-1</v>
      </c>
      <c r="J524">
        <v>-1</v>
      </c>
      <c r="K524">
        <v>-1</v>
      </c>
      <c r="L524">
        <v>0</v>
      </c>
      <c r="M524">
        <v>0</v>
      </c>
      <c r="N524">
        <v>-1</v>
      </c>
      <c r="O524" s="1">
        <v>1210</v>
      </c>
      <c r="P524" s="1">
        <v>820</v>
      </c>
      <c r="Q524" s="1">
        <v>64644</v>
      </c>
      <c r="R524" s="1">
        <v>125984</v>
      </c>
      <c r="S524" s="1">
        <v>106584</v>
      </c>
      <c r="T524" s="1">
        <v>125557</v>
      </c>
      <c r="U524" s="1">
        <v>390</v>
      </c>
      <c r="V524" s="1">
        <v>75720</v>
      </c>
      <c r="W524" s="1">
        <v>62520</v>
      </c>
      <c r="X524" s="1">
        <v>17000</v>
      </c>
      <c r="Y524" s="1">
        <v>132200</v>
      </c>
      <c r="Z524" s="1">
        <v>167000</v>
      </c>
      <c r="AA524">
        <v>1</v>
      </c>
      <c r="AB524" t="str">
        <f t="shared" si="8"/>
        <v>Defaulter</v>
      </c>
      <c r="AC524" s="1">
        <f>Table2[[#This Row],[BILL_AMT1]]-Table2[[#This Row],[PAY_AMT1]]</f>
        <v>820</v>
      </c>
      <c r="AD524" s="1" t="str" cm="1">
        <f t="array" ref="AD524">_xlfn.IFS(Table2[[#This Row],[PAYMENT GAP]]&lt;=0,"No Gap / Overpaid",Table2[[#This Row],[PAYMENT GAP]]&lt;=25000,"Low Gap",Table2[[#This Row],[PAYMENT GAP]]&lt;=100000,"Medium Gap",
TRUE,"High Gap"
)</f>
        <v>Low Gap</v>
      </c>
    </row>
    <row r="525" spans="1:30" x14ac:dyDescent="0.3">
      <c r="A525">
        <v>524</v>
      </c>
      <c r="B525" s="1">
        <v>140000</v>
      </c>
      <c r="C525" s="1" t="str" cm="1">
        <f t="array" ref="C525">_xlfn.IFS(Table2[[#This Row],[LIMIT_BAL]]&lt;=100000,"Low",Table2[[#This Row],[LIMIT_BAL]]&lt;=300000,"Medium",
TRUE,"High"
)</f>
        <v>Medium</v>
      </c>
      <c r="D525" t="s">
        <v>2041</v>
      </c>
      <c r="E525" t="s">
        <v>2043</v>
      </c>
      <c r="F525" t="s">
        <v>2028</v>
      </c>
      <c r="G525">
        <v>42</v>
      </c>
      <c r="H525" t="str" cm="1">
        <f t="array" ref="H525">_xlfn.IFS(
Table2[[#This Row],[AGE]]&lt;30,"Young",
Table2[[#This Row],[AGE]]&lt;40,"Middle Age",
Table2[[#This Row],[AGE]]&lt;50,"Senior",
TRUE,"Super Senior"
)</f>
        <v>Senior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 s="1">
        <v>111496</v>
      </c>
      <c r="P525" s="1">
        <v>112133</v>
      </c>
      <c r="Q525" s="1">
        <v>69529</v>
      </c>
      <c r="R525" s="1">
        <v>70804</v>
      </c>
      <c r="S525" s="1">
        <v>70781</v>
      </c>
      <c r="T525" s="1">
        <v>66735</v>
      </c>
      <c r="U525" s="1">
        <v>6022</v>
      </c>
      <c r="V525" s="1">
        <v>3021</v>
      </c>
      <c r="W525" s="1">
        <v>5012</v>
      </c>
      <c r="X525" s="1">
        <v>5112</v>
      </c>
      <c r="Y525" s="1">
        <v>3000</v>
      </c>
      <c r="Z525" s="1">
        <v>5000</v>
      </c>
      <c r="AA525">
        <v>1</v>
      </c>
      <c r="AB525" t="str">
        <f t="shared" si="8"/>
        <v>Defaulter</v>
      </c>
      <c r="AC525" s="1">
        <f>Table2[[#This Row],[BILL_AMT1]]-Table2[[#This Row],[PAY_AMT1]]</f>
        <v>105474</v>
      </c>
      <c r="AD525" s="1" t="str" cm="1">
        <f t="array" ref="AD525">_xlfn.IFS(Table2[[#This Row],[PAYMENT GAP]]&lt;=0,"No Gap / Overpaid",Table2[[#This Row],[PAYMENT GAP]]&lt;=25000,"Low Gap",Table2[[#This Row],[PAYMENT GAP]]&lt;=100000,"Medium Gap",
TRUE,"High Gap"
)</f>
        <v>High Gap</v>
      </c>
    </row>
    <row r="526" spans="1:30" x14ac:dyDescent="0.3">
      <c r="A526">
        <v>525</v>
      </c>
      <c r="B526" s="1">
        <v>210000</v>
      </c>
      <c r="C526" s="1" t="str" cm="1">
        <f t="array" ref="C526">_xlfn.IFS(Table2[[#This Row],[LIMIT_BAL]]&lt;=100000,"Low",Table2[[#This Row],[LIMIT_BAL]]&lt;=300000,"Medium",
TRUE,"High"
)</f>
        <v>Medium</v>
      </c>
      <c r="D526" t="s">
        <v>2041</v>
      </c>
      <c r="E526" t="s">
        <v>2026</v>
      </c>
      <c r="F526" t="s">
        <v>2029</v>
      </c>
      <c r="G526">
        <v>32</v>
      </c>
      <c r="H526" t="str" cm="1">
        <f t="array" ref="H526">_xlfn.IFS(
Table2[[#This Row],[AGE]]&lt;30,"Young",
Table2[[#This Row],[AGE]]&lt;40,"Middle Age",
Table2[[#This Row],[AGE]]&lt;50,"Senior",
TRUE,"Super Senior"
)</f>
        <v>Middle Age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s="1">
        <v>67374</v>
      </c>
      <c r="P526" s="1">
        <v>69489</v>
      </c>
      <c r="Q526" s="1">
        <v>70937</v>
      </c>
      <c r="R526" s="1">
        <v>71761</v>
      </c>
      <c r="S526" s="1">
        <v>73505</v>
      </c>
      <c r="T526" s="1">
        <v>74827</v>
      </c>
      <c r="U526" s="1">
        <v>3200</v>
      </c>
      <c r="V526" s="1">
        <v>3200</v>
      </c>
      <c r="W526" s="1">
        <v>2600</v>
      </c>
      <c r="X526" s="1">
        <v>2900</v>
      </c>
      <c r="Y526" s="1">
        <v>2700</v>
      </c>
      <c r="Z526" s="1">
        <v>3000</v>
      </c>
      <c r="AA526">
        <v>0</v>
      </c>
      <c r="AB526" t="str">
        <f t="shared" si="8"/>
        <v>Not Defaulter</v>
      </c>
      <c r="AC526" s="1">
        <f>Table2[[#This Row],[BILL_AMT1]]-Table2[[#This Row],[PAY_AMT1]]</f>
        <v>64174</v>
      </c>
      <c r="AD526" s="1" t="str" cm="1">
        <f t="array" ref="AD526">_xlfn.IFS(Table2[[#This Row],[PAYMENT GAP]]&lt;=0,"No Gap / Overpaid",Table2[[#This Row],[PAYMENT GAP]]&lt;=25000,"Low Gap",Table2[[#This Row],[PAYMENT GAP]]&lt;=100000,"Medium Gap",
TRUE,"High Gap"
)</f>
        <v>Medium Gap</v>
      </c>
    </row>
    <row r="527" spans="1:30" x14ac:dyDescent="0.3">
      <c r="A527">
        <v>526</v>
      </c>
      <c r="B527" s="1">
        <v>220000</v>
      </c>
      <c r="C527" s="1" t="str" cm="1">
        <f t="array" ref="C527">_xlfn.IFS(Table2[[#This Row],[LIMIT_BAL]]&lt;=100000,"Low",Table2[[#This Row],[LIMIT_BAL]]&lt;=300000,"Medium",
TRUE,"High"
)</f>
        <v>Medium</v>
      </c>
      <c r="D527" t="s">
        <v>2041</v>
      </c>
      <c r="E527" t="s">
        <v>2043</v>
      </c>
      <c r="F527" t="s">
        <v>2029</v>
      </c>
      <c r="G527">
        <v>27</v>
      </c>
      <c r="H527" t="str" cm="1">
        <f t="array" ref="H527">_xlfn.IFS(
Table2[[#This Row],[AGE]]&lt;30,"Young",
Table2[[#This Row],[AGE]]&lt;40,"Middle Age",
Table2[[#This Row],[AGE]]&lt;50,"Senior",
TRUE,"Super Senior"
)</f>
        <v>Young</v>
      </c>
      <c r="I527">
        <v>-1</v>
      </c>
      <c r="J527">
        <v>-1</v>
      </c>
      <c r="K527">
        <v>-1</v>
      </c>
      <c r="L527">
        <v>-1</v>
      </c>
      <c r="M527">
        <v>-1</v>
      </c>
      <c r="N527">
        <v>-1</v>
      </c>
      <c r="O527" s="1">
        <v>1692</v>
      </c>
      <c r="P527" s="1">
        <v>13250</v>
      </c>
      <c r="Q527" s="1">
        <v>433</v>
      </c>
      <c r="R527" s="1">
        <v>1831</v>
      </c>
      <c r="S527" s="1">
        <v>0</v>
      </c>
      <c r="T527" s="1">
        <v>2891</v>
      </c>
      <c r="U527" s="1">
        <v>13250</v>
      </c>
      <c r="V527" s="1">
        <v>433</v>
      </c>
      <c r="W527" s="1">
        <v>1831</v>
      </c>
      <c r="X527" s="1">
        <v>0</v>
      </c>
      <c r="Y527" s="1">
        <v>2891</v>
      </c>
      <c r="Z527" s="1">
        <v>153504</v>
      </c>
      <c r="AA527">
        <v>0</v>
      </c>
      <c r="AB527" t="str">
        <f t="shared" si="8"/>
        <v>Not Defaulter</v>
      </c>
      <c r="AC527" s="1">
        <f>Table2[[#This Row],[BILL_AMT1]]-Table2[[#This Row],[PAY_AMT1]]</f>
        <v>-11558</v>
      </c>
      <c r="AD527" s="1" t="str" cm="1">
        <f t="array" ref="AD527">_xlfn.IFS(Table2[[#This Row],[PAYMENT GAP]]&lt;=0,"No Gap / Overpaid",Table2[[#This Row],[PAYMENT GAP]]&lt;=25000,"Low Gap",Table2[[#This Row],[PAYMENT GAP]]&lt;=100000,"Medium Gap",
TRUE,"High Gap"
)</f>
        <v>No Gap / Overpaid</v>
      </c>
    </row>
    <row r="528" spans="1:30" x14ac:dyDescent="0.3">
      <c r="A528">
        <v>527</v>
      </c>
      <c r="B528" s="1">
        <v>20000</v>
      </c>
      <c r="C528" s="1" t="str" cm="1">
        <f t="array" ref="C528">_xlfn.IFS(Table2[[#This Row],[LIMIT_BAL]]&lt;=100000,"Low",Table2[[#This Row],[LIMIT_BAL]]&lt;=300000,"Medium",
TRUE,"High"
)</f>
        <v>Low</v>
      </c>
      <c r="D528" t="s">
        <v>2042</v>
      </c>
      <c r="E528" t="s">
        <v>2043</v>
      </c>
      <c r="F528" t="s">
        <v>2029</v>
      </c>
      <c r="G528">
        <v>27</v>
      </c>
      <c r="H528" t="str" cm="1">
        <f t="array" ref="H528">_xlfn.IFS(
Table2[[#This Row],[AGE]]&lt;30,"Young",
Table2[[#This Row],[AGE]]&lt;40,"Middle Age",
Table2[[#This Row],[AGE]]&lt;50,"Senior",
TRUE,"Super Senior"
)</f>
        <v>Young</v>
      </c>
      <c r="I528">
        <v>1</v>
      </c>
      <c r="J528">
        <v>2</v>
      </c>
      <c r="K528">
        <v>0</v>
      </c>
      <c r="L528">
        <v>0</v>
      </c>
      <c r="M528">
        <v>0</v>
      </c>
      <c r="N528">
        <v>2</v>
      </c>
      <c r="O528" s="1">
        <v>18649</v>
      </c>
      <c r="P528" s="1">
        <v>18066</v>
      </c>
      <c r="Q528" s="1">
        <v>19040</v>
      </c>
      <c r="R528" s="1">
        <v>19446</v>
      </c>
      <c r="S528" s="1">
        <v>20759</v>
      </c>
      <c r="T528" s="1">
        <v>20241</v>
      </c>
      <c r="U528" s="1">
        <v>0</v>
      </c>
      <c r="V528" s="1">
        <v>1594</v>
      </c>
      <c r="W528" s="1">
        <v>1000</v>
      </c>
      <c r="X528" s="1">
        <v>1606</v>
      </c>
      <c r="Y528" s="1">
        <v>0</v>
      </c>
      <c r="Z528" s="1">
        <v>300</v>
      </c>
      <c r="AA528">
        <v>0</v>
      </c>
      <c r="AB528" t="str">
        <f t="shared" si="8"/>
        <v>Not Defaulter</v>
      </c>
      <c r="AC528" s="1">
        <f>Table2[[#This Row],[BILL_AMT1]]-Table2[[#This Row],[PAY_AMT1]]</f>
        <v>18649</v>
      </c>
      <c r="AD528" s="1" t="str" cm="1">
        <f t="array" ref="AD528">_xlfn.IFS(Table2[[#This Row],[PAYMENT GAP]]&lt;=0,"No Gap / Overpaid",Table2[[#This Row],[PAYMENT GAP]]&lt;=25000,"Low Gap",Table2[[#This Row],[PAYMENT GAP]]&lt;=100000,"Medium Gap",
TRUE,"High Gap"
)</f>
        <v>Low Gap</v>
      </c>
    </row>
    <row r="529" spans="1:30" x14ac:dyDescent="0.3">
      <c r="A529">
        <v>528</v>
      </c>
      <c r="B529" s="1">
        <v>620000</v>
      </c>
      <c r="C529" s="1" t="str" cm="1">
        <f t="array" ref="C529">_xlfn.IFS(Table2[[#This Row],[LIMIT_BAL]]&lt;=100000,"Low",Table2[[#This Row],[LIMIT_BAL]]&lt;=300000,"Medium",
TRUE,"High"
)</f>
        <v>High</v>
      </c>
      <c r="D529" t="s">
        <v>2041</v>
      </c>
      <c r="E529" t="s">
        <v>2043</v>
      </c>
      <c r="F529" t="s">
        <v>2028</v>
      </c>
      <c r="G529">
        <v>45</v>
      </c>
      <c r="H529" t="str" cm="1">
        <f t="array" ref="H529">_xlfn.IFS(
Table2[[#This Row],[AGE]]&lt;30,"Young",
Table2[[#This Row],[AGE]]&lt;40,"Middle Age",
Table2[[#This Row],[AGE]]&lt;50,"Senior",
TRUE,"Super Senior"
)</f>
        <v>Senior</v>
      </c>
      <c r="I529">
        <v>2</v>
      </c>
      <c r="J529">
        <v>2</v>
      </c>
      <c r="K529">
        <v>0</v>
      </c>
      <c r="L529">
        <v>0</v>
      </c>
      <c r="M529">
        <v>0</v>
      </c>
      <c r="N529">
        <v>0</v>
      </c>
      <c r="O529" s="1">
        <v>160837</v>
      </c>
      <c r="P529" s="1">
        <v>156839</v>
      </c>
      <c r="Q529" s="1">
        <v>160440</v>
      </c>
      <c r="R529" s="1">
        <v>163781</v>
      </c>
      <c r="S529" s="1">
        <v>167159</v>
      </c>
      <c r="T529" s="1">
        <v>170894</v>
      </c>
      <c r="U529" s="1">
        <v>0</v>
      </c>
      <c r="V529" s="1">
        <v>6200</v>
      </c>
      <c r="W529" s="1">
        <v>6000</v>
      </c>
      <c r="X529" s="1">
        <v>6000</v>
      </c>
      <c r="Y529" s="1">
        <v>6500</v>
      </c>
      <c r="Z529" s="1">
        <v>6000</v>
      </c>
      <c r="AA529">
        <v>1</v>
      </c>
      <c r="AB529" t="str">
        <f t="shared" si="8"/>
        <v>Defaulter</v>
      </c>
      <c r="AC529" s="1">
        <f>Table2[[#This Row],[BILL_AMT1]]-Table2[[#This Row],[PAY_AMT1]]</f>
        <v>160837</v>
      </c>
      <c r="AD529" s="1" t="str" cm="1">
        <f t="array" ref="AD529">_xlfn.IFS(Table2[[#This Row],[PAYMENT GAP]]&lt;=0,"No Gap / Overpaid",Table2[[#This Row],[PAYMENT GAP]]&lt;=25000,"Low Gap",Table2[[#This Row],[PAYMENT GAP]]&lt;=100000,"Medium Gap",
TRUE,"High Gap"
)</f>
        <v>High Gap</v>
      </c>
    </row>
    <row r="530" spans="1:30" x14ac:dyDescent="0.3">
      <c r="A530">
        <v>529</v>
      </c>
      <c r="B530" s="1">
        <v>360000</v>
      </c>
      <c r="C530" s="1" t="str" cm="1">
        <f t="array" ref="C530">_xlfn.IFS(Table2[[#This Row],[LIMIT_BAL]]&lt;=100000,"Low",Table2[[#This Row],[LIMIT_BAL]]&lt;=300000,"Medium",
TRUE,"High"
)</f>
        <v>High</v>
      </c>
      <c r="D530" t="s">
        <v>2042</v>
      </c>
      <c r="E530" t="s">
        <v>2026</v>
      </c>
      <c r="F530" t="s">
        <v>2029</v>
      </c>
      <c r="G530">
        <v>26</v>
      </c>
      <c r="H530" t="str" cm="1">
        <f t="array" ref="H530">_xlfn.IFS(
Table2[[#This Row],[AGE]]&lt;30,"Young",
Table2[[#This Row],[AGE]]&lt;40,"Middle Age",
Table2[[#This Row],[AGE]]&lt;50,"Senior",
TRUE,"Super Senior"
)</f>
        <v>Young</v>
      </c>
      <c r="I530">
        <v>1</v>
      </c>
      <c r="J530">
        <v>-2</v>
      </c>
      <c r="K530">
        <v>-2</v>
      </c>
      <c r="L530">
        <v>-2</v>
      </c>
      <c r="M530">
        <v>-1</v>
      </c>
      <c r="N530">
        <v>-1</v>
      </c>
      <c r="O530" s="1">
        <v>-8</v>
      </c>
      <c r="P530" s="1">
        <v>-8</v>
      </c>
      <c r="Q530" s="1">
        <v>-8</v>
      </c>
      <c r="R530" s="1">
        <v>-8</v>
      </c>
      <c r="S530" s="1">
        <v>1677</v>
      </c>
      <c r="T530" s="1">
        <v>2600</v>
      </c>
      <c r="U530" s="1">
        <v>0</v>
      </c>
      <c r="V530" s="1">
        <v>0</v>
      </c>
      <c r="W530" s="1">
        <v>0</v>
      </c>
      <c r="X530" s="1">
        <v>1685</v>
      </c>
      <c r="Y530" s="1">
        <v>2613</v>
      </c>
      <c r="Z530" s="1">
        <v>0</v>
      </c>
      <c r="AA530">
        <v>0</v>
      </c>
      <c r="AB530" t="str">
        <f t="shared" si="8"/>
        <v>Not Defaulter</v>
      </c>
      <c r="AC530" s="1">
        <f>Table2[[#This Row],[BILL_AMT1]]-Table2[[#This Row],[PAY_AMT1]]</f>
        <v>-8</v>
      </c>
      <c r="AD530" s="1" t="str" cm="1">
        <f t="array" ref="AD530">_xlfn.IFS(Table2[[#This Row],[PAYMENT GAP]]&lt;=0,"No Gap / Overpaid",Table2[[#This Row],[PAYMENT GAP]]&lt;=25000,"Low Gap",Table2[[#This Row],[PAYMENT GAP]]&lt;=100000,"Medium Gap",
TRUE,"High Gap"
)</f>
        <v>No Gap / Overpaid</v>
      </c>
    </row>
    <row r="531" spans="1:30" x14ac:dyDescent="0.3">
      <c r="A531">
        <v>530</v>
      </c>
      <c r="B531" s="1">
        <v>20000</v>
      </c>
      <c r="C531" s="1" t="str" cm="1">
        <f t="array" ref="C531">_xlfn.IFS(Table2[[#This Row],[LIMIT_BAL]]&lt;=100000,"Low",Table2[[#This Row],[LIMIT_BAL]]&lt;=300000,"Medium",
TRUE,"High"
)</f>
        <v>Low</v>
      </c>
      <c r="D531" t="s">
        <v>2041</v>
      </c>
      <c r="E531" t="s">
        <v>2043</v>
      </c>
      <c r="F531" t="s">
        <v>2029</v>
      </c>
      <c r="G531">
        <v>21</v>
      </c>
      <c r="H531" t="str" cm="1">
        <f t="array" ref="H531">_xlfn.IFS(
Table2[[#This Row],[AGE]]&lt;30,"Young",
Table2[[#This Row],[AGE]]&lt;40,"Middle Age",
Table2[[#This Row],[AGE]]&lt;50,"Senior",
TRUE,"Super Senior"
)</f>
        <v>Young</v>
      </c>
      <c r="I531">
        <v>-1</v>
      </c>
      <c r="J531">
        <v>-1</v>
      </c>
      <c r="K531">
        <v>2</v>
      </c>
      <c r="L531">
        <v>2</v>
      </c>
      <c r="M531">
        <v>-1</v>
      </c>
      <c r="N531">
        <v>-1</v>
      </c>
      <c r="O531" s="1">
        <v>18763</v>
      </c>
      <c r="P531" s="1">
        <v>14410</v>
      </c>
      <c r="Q531" s="1">
        <v>13771</v>
      </c>
      <c r="R531" s="1">
        <v>362</v>
      </c>
      <c r="S531" s="1">
        <v>5308</v>
      </c>
      <c r="T531" s="1">
        <v>0</v>
      </c>
      <c r="U531" s="1">
        <v>14410</v>
      </c>
      <c r="V531" s="1">
        <v>0</v>
      </c>
      <c r="W531" s="1">
        <v>28</v>
      </c>
      <c r="X531" s="1">
        <v>22073</v>
      </c>
      <c r="Y531" s="1">
        <v>0</v>
      </c>
      <c r="Z531" s="1">
        <v>0</v>
      </c>
      <c r="AA531">
        <v>0</v>
      </c>
      <c r="AB531" t="str">
        <f t="shared" si="8"/>
        <v>Not Defaulter</v>
      </c>
      <c r="AC531" s="1">
        <f>Table2[[#This Row],[BILL_AMT1]]-Table2[[#This Row],[PAY_AMT1]]</f>
        <v>4353</v>
      </c>
      <c r="AD531" s="1" t="str" cm="1">
        <f t="array" ref="AD531">_xlfn.IFS(Table2[[#This Row],[PAYMENT GAP]]&lt;=0,"No Gap / Overpaid",Table2[[#This Row],[PAYMENT GAP]]&lt;=25000,"Low Gap",Table2[[#This Row],[PAYMENT GAP]]&lt;=100000,"Medium Gap",
TRUE,"High Gap"
)</f>
        <v>Low Gap</v>
      </c>
    </row>
    <row r="532" spans="1:30" x14ac:dyDescent="0.3">
      <c r="A532">
        <v>531</v>
      </c>
      <c r="B532" s="1">
        <v>50000</v>
      </c>
      <c r="C532" s="1" t="str" cm="1">
        <f t="array" ref="C532">_xlfn.IFS(Table2[[#This Row],[LIMIT_BAL]]&lt;=100000,"Low",Table2[[#This Row],[LIMIT_BAL]]&lt;=300000,"Medium",
TRUE,"High"
)</f>
        <v>Low</v>
      </c>
      <c r="D532" t="s">
        <v>2042</v>
      </c>
      <c r="E532" t="s">
        <v>2043</v>
      </c>
      <c r="F532" t="s">
        <v>2029</v>
      </c>
      <c r="G532">
        <v>23</v>
      </c>
      <c r="H532" t="str" cm="1">
        <f t="array" ref="H532">_xlfn.IFS(
Table2[[#This Row],[AGE]]&lt;30,"Young",
Table2[[#This Row],[AGE]]&lt;40,"Middle Age",
Table2[[#This Row],[AGE]]&lt;50,"Senior",
TRUE,"Super Senior"
)</f>
        <v>Young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 s="1">
        <v>34549</v>
      </c>
      <c r="P532" s="1">
        <v>18552</v>
      </c>
      <c r="Q532" s="1">
        <v>19334</v>
      </c>
      <c r="R532" s="1">
        <v>18165</v>
      </c>
      <c r="S532" s="1">
        <v>19322</v>
      </c>
      <c r="T532" s="1">
        <v>19575</v>
      </c>
      <c r="U532" s="1">
        <v>2836</v>
      </c>
      <c r="V532" s="1">
        <v>1200</v>
      </c>
      <c r="W532" s="1">
        <v>13000</v>
      </c>
      <c r="X532" s="1">
        <v>1500</v>
      </c>
      <c r="Y532" s="1">
        <v>9000</v>
      </c>
      <c r="Z532" s="1">
        <v>1000</v>
      </c>
      <c r="AA532">
        <v>0</v>
      </c>
      <c r="AB532" t="str">
        <f t="shared" si="8"/>
        <v>Not Defaulter</v>
      </c>
      <c r="AC532" s="1">
        <f>Table2[[#This Row],[BILL_AMT1]]-Table2[[#This Row],[PAY_AMT1]]</f>
        <v>31713</v>
      </c>
      <c r="AD532" s="1" t="str" cm="1">
        <f t="array" ref="AD532">_xlfn.IFS(Table2[[#This Row],[PAYMENT GAP]]&lt;=0,"No Gap / Overpaid",Table2[[#This Row],[PAYMENT GAP]]&lt;=25000,"Low Gap",Table2[[#This Row],[PAYMENT GAP]]&lt;=100000,"Medium Gap",
TRUE,"High Gap"
)</f>
        <v>Medium Gap</v>
      </c>
    </row>
    <row r="533" spans="1:30" x14ac:dyDescent="0.3">
      <c r="A533">
        <v>532</v>
      </c>
      <c r="B533" s="1">
        <v>50000</v>
      </c>
      <c r="C533" s="1" t="str" cm="1">
        <f t="array" ref="C533">_xlfn.IFS(Table2[[#This Row],[LIMIT_BAL]]&lt;=100000,"Low",Table2[[#This Row],[LIMIT_BAL]]&lt;=300000,"Medium",
TRUE,"High"
)</f>
        <v>Low</v>
      </c>
      <c r="D533" t="s">
        <v>2042</v>
      </c>
      <c r="E533" t="s">
        <v>2043</v>
      </c>
      <c r="F533" t="s">
        <v>2055</v>
      </c>
      <c r="G533">
        <v>30</v>
      </c>
      <c r="H533" t="str" cm="1">
        <f t="array" ref="H533">_xlfn.IFS(
Table2[[#This Row],[AGE]]&lt;30,"Young",
Table2[[#This Row],[AGE]]&lt;40,"Middle Age",
Table2[[#This Row],[AGE]]&lt;50,"Senior",
TRUE,"Super Senior"
)</f>
        <v>Middle Age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 s="1">
        <v>97538</v>
      </c>
      <c r="P533" s="1">
        <v>49187</v>
      </c>
      <c r="Q533" s="1">
        <v>17518</v>
      </c>
      <c r="R533" s="1">
        <v>17710</v>
      </c>
      <c r="S533" s="1">
        <v>18079</v>
      </c>
      <c r="T533" s="1">
        <v>18302</v>
      </c>
      <c r="U533" s="1">
        <v>2454</v>
      </c>
      <c r="V533" s="1">
        <v>1588</v>
      </c>
      <c r="W533" s="1">
        <v>780</v>
      </c>
      <c r="X533" s="1">
        <v>803</v>
      </c>
      <c r="Y533" s="1">
        <v>673</v>
      </c>
      <c r="Z533" s="1">
        <v>637</v>
      </c>
      <c r="AA533">
        <v>0</v>
      </c>
      <c r="AB533" t="str">
        <f t="shared" si="8"/>
        <v>Not Defaulter</v>
      </c>
      <c r="AC533" s="1">
        <f>Table2[[#This Row],[BILL_AMT1]]-Table2[[#This Row],[PAY_AMT1]]</f>
        <v>95084</v>
      </c>
      <c r="AD533" s="1" t="str" cm="1">
        <f t="array" ref="AD533">_xlfn.IFS(Table2[[#This Row],[PAYMENT GAP]]&lt;=0,"No Gap / Overpaid",Table2[[#This Row],[PAYMENT GAP]]&lt;=25000,"Low Gap",Table2[[#This Row],[PAYMENT GAP]]&lt;=100000,"Medium Gap",
TRUE,"High Gap"
)</f>
        <v>Medium Gap</v>
      </c>
    </row>
    <row r="534" spans="1:30" x14ac:dyDescent="0.3">
      <c r="A534">
        <v>533</v>
      </c>
      <c r="B534" s="1">
        <v>10000</v>
      </c>
      <c r="C534" s="1" t="str" cm="1">
        <f t="array" ref="C534">_xlfn.IFS(Table2[[#This Row],[LIMIT_BAL]]&lt;=100000,"Low",Table2[[#This Row],[LIMIT_BAL]]&lt;=300000,"Medium",
TRUE,"High"
)</f>
        <v>Low</v>
      </c>
      <c r="D534" t="s">
        <v>2042</v>
      </c>
      <c r="E534" t="s">
        <v>2043</v>
      </c>
      <c r="F534" t="s">
        <v>2029</v>
      </c>
      <c r="G534">
        <v>46</v>
      </c>
      <c r="H534" t="str" cm="1">
        <f t="array" ref="H534">_xlfn.IFS(
Table2[[#This Row],[AGE]]&lt;30,"Young",
Table2[[#This Row],[AGE]]&lt;40,"Middle Age",
Table2[[#This Row],[AGE]]&lt;50,"Senior",
TRUE,"Super Senior"
)</f>
        <v>Senior</v>
      </c>
      <c r="I534">
        <v>0</v>
      </c>
      <c r="J534">
        <v>0</v>
      </c>
      <c r="K534">
        <v>2</v>
      </c>
      <c r="L534">
        <v>2</v>
      </c>
      <c r="M534">
        <v>2</v>
      </c>
      <c r="N534">
        <v>0</v>
      </c>
      <c r="O534" s="1">
        <v>4073</v>
      </c>
      <c r="P534" s="1">
        <v>6394</v>
      </c>
      <c r="Q534" s="1">
        <v>6143</v>
      </c>
      <c r="R534" s="1">
        <v>6908</v>
      </c>
      <c r="S534" s="1">
        <v>6652</v>
      </c>
      <c r="T534" s="1">
        <v>6785</v>
      </c>
      <c r="U534" s="1">
        <v>2400</v>
      </c>
      <c r="V534" s="1">
        <v>0</v>
      </c>
      <c r="W534" s="1">
        <v>871</v>
      </c>
      <c r="X534" s="1">
        <v>0</v>
      </c>
      <c r="Y534" s="1">
        <v>244</v>
      </c>
      <c r="Z534" s="1">
        <v>251</v>
      </c>
      <c r="AA534">
        <v>1</v>
      </c>
      <c r="AB534" t="str">
        <f t="shared" si="8"/>
        <v>Defaulter</v>
      </c>
      <c r="AC534" s="1">
        <f>Table2[[#This Row],[BILL_AMT1]]-Table2[[#This Row],[PAY_AMT1]]</f>
        <v>1673</v>
      </c>
      <c r="AD534" s="1" t="str" cm="1">
        <f t="array" ref="AD534">_xlfn.IFS(Table2[[#This Row],[PAYMENT GAP]]&lt;=0,"No Gap / Overpaid",Table2[[#This Row],[PAYMENT GAP]]&lt;=25000,"Low Gap",Table2[[#This Row],[PAYMENT GAP]]&lt;=100000,"Medium Gap",
TRUE,"High Gap"
)</f>
        <v>Low Gap</v>
      </c>
    </row>
    <row r="535" spans="1:30" x14ac:dyDescent="0.3">
      <c r="A535">
        <v>534</v>
      </c>
      <c r="B535" s="1">
        <v>100000</v>
      </c>
      <c r="C535" s="1" t="str" cm="1">
        <f t="array" ref="C535">_xlfn.IFS(Table2[[#This Row],[LIMIT_BAL]]&lt;=100000,"Low",Table2[[#This Row],[LIMIT_BAL]]&lt;=300000,"Medium",
TRUE,"High"
)</f>
        <v>Low</v>
      </c>
      <c r="D535" t="s">
        <v>2041</v>
      </c>
      <c r="E535" t="s">
        <v>2027</v>
      </c>
      <c r="F535" t="s">
        <v>2028</v>
      </c>
      <c r="G535">
        <v>50</v>
      </c>
      <c r="H535" t="str" cm="1">
        <f t="array" ref="H535">_xlfn.IFS(
Table2[[#This Row],[AGE]]&lt;30,"Young",
Table2[[#This Row],[AGE]]&lt;40,"Middle Age",
Table2[[#This Row],[AGE]]&lt;50,"Senior",
TRUE,"Super Senior"
)</f>
        <v>Super Senior</v>
      </c>
      <c r="I535">
        <v>2</v>
      </c>
      <c r="J535">
        <v>0</v>
      </c>
      <c r="K535">
        <v>0</v>
      </c>
      <c r="L535">
        <v>3</v>
      </c>
      <c r="M535">
        <v>3</v>
      </c>
      <c r="N535">
        <v>2</v>
      </c>
      <c r="O535" s="1">
        <v>53849</v>
      </c>
      <c r="P535" s="1">
        <v>55030</v>
      </c>
      <c r="Q535" s="1">
        <v>61574</v>
      </c>
      <c r="R535" s="1">
        <v>62470</v>
      </c>
      <c r="S535" s="1">
        <v>61198</v>
      </c>
      <c r="T535" s="1">
        <v>62524</v>
      </c>
      <c r="U535" s="1">
        <v>2050</v>
      </c>
      <c r="V535" s="1">
        <v>7500</v>
      </c>
      <c r="W535" s="1">
        <v>2500</v>
      </c>
      <c r="X535" s="1">
        <v>0</v>
      </c>
      <c r="Y535" s="1">
        <v>2500</v>
      </c>
      <c r="Z535" s="1">
        <v>2500</v>
      </c>
      <c r="AA535">
        <v>1</v>
      </c>
      <c r="AB535" t="str">
        <f t="shared" si="8"/>
        <v>Defaulter</v>
      </c>
      <c r="AC535" s="1">
        <f>Table2[[#This Row],[BILL_AMT1]]-Table2[[#This Row],[PAY_AMT1]]</f>
        <v>51799</v>
      </c>
      <c r="AD535" s="1" t="str" cm="1">
        <f t="array" ref="AD535">_xlfn.IFS(Table2[[#This Row],[PAYMENT GAP]]&lt;=0,"No Gap / Overpaid",Table2[[#This Row],[PAYMENT GAP]]&lt;=25000,"Low Gap",Table2[[#This Row],[PAYMENT GAP]]&lt;=100000,"Medium Gap",
TRUE,"High Gap"
)</f>
        <v>Medium Gap</v>
      </c>
    </row>
    <row r="536" spans="1:30" x14ac:dyDescent="0.3">
      <c r="A536">
        <v>535</v>
      </c>
      <c r="B536" s="1">
        <v>50000</v>
      </c>
      <c r="C536" s="1" t="str" cm="1">
        <f t="array" ref="C536">_xlfn.IFS(Table2[[#This Row],[LIMIT_BAL]]&lt;=100000,"Low",Table2[[#This Row],[LIMIT_BAL]]&lt;=300000,"Medium",
TRUE,"High"
)</f>
        <v>Low</v>
      </c>
      <c r="D536" t="s">
        <v>2042</v>
      </c>
      <c r="E536" t="s">
        <v>2026</v>
      </c>
      <c r="F536" t="s">
        <v>2029</v>
      </c>
      <c r="G536">
        <v>26</v>
      </c>
      <c r="H536" t="str" cm="1">
        <f t="array" ref="H536">_xlfn.IFS(
Table2[[#This Row],[AGE]]&lt;30,"Young",
Table2[[#This Row],[AGE]]&lt;40,"Middle Age",
Table2[[#This Row],[AGE]]&lt;50,"Senior",
TRUE,"Super Senior"
)</f>
        <v>Young</v>
      </c>
      <c r="I536">
        <v>-2</v>
      </c>
      <c r="J536">
        <v>-2</v>
      </c>
      <c r="K536">
        <v>-2</v>
      </c>
      <c r="L536">
        <v>-2</v>
      </c>
      <c r="M536">
        <v>-2</v>
      </c>
      <c r="N536">
        <v>-2</v>
      </c>
      <c r="O536" s="1">
        <v>2411</v>
      </c>
      <c r="P536" s="1">
        <v>3059</v>
      </c>
      <c r="Q536" s="1">
        <v>2333</v>
      </c>
      <c r="R536" s="1">
        <v>1800</v>
      </c>
      <c r="S536" s="1">
        <v>1620</v>
      </c>
      <c r="T536" s="1">
        <v>0</v>
      </c>
      <c r="U536" s="1">
        <v>3068</v>
      </c>
      <c r="V536" s="1">
        <v>2440</v>
      </c>
      <c r="W536" s="1">
        <v>1807</v>
      </c>
      <c r="X536" s="1">
        <v>2204</v>
      </c>
      <c r="Y536" s="1">
        <v>0</v>
      </c>
      <c r="Z536" s="1">
        <v>0</v>
      </c>
      <c r="AA536">
        <v>0</v>
      </c>
      <c r="AB536" t="str">
        <f t="shared" si="8"/>
        <v>Not Defaulter</v>
      </c>
      <c r="AC536" s="1">
        <f>Table2[[#This Row],[BILL_AMT1]]-Table2[[#This Row],[PAY_AMT1]]</f>
        <v>-657</v>
      </c>
      <c r="AD536" s="1" t="str" cm="1">
        <f t="array" ref="AD536">_xlfn.IFS(Table2[[#This Row],[PAYMENT GAP]]&lt;=0,"No Gap / Overpaid",Table2[[#This Row],[PAYMENT GAP]]&lt;=25000,"Low Gap",Table2[[#This Row],[PAYMENT GAP]]&lt;=100000,"Medium Gap",
TRUE,"High Gap"
)</f>
        <v>No Gap / Overpaid</v>
      </c>
    </row>
    <row r="537" spans="1:30" x14ac:dyDescent="0.3">
      <c r="A537">
        <v>536</v>
      </c>
      <c r="B537" s="1">
        <v>60000</v>
      </c>
      <c r="C537" s="1" t="str" cm="1">
        <f t="array" ref="C537">_xlfn.IFS(Table2[[#This Row],[LIMIT_BAL]]&lt;=100000,"Low",Table2[[#This Row],[LIMIT_BAL]]&lt;=300000,"Medium",
TRUE,"High"
)</f>
        <v>Low</v>
      </c>
      <c r="D537" t="s">
        <v>2042</v>
      </c>
      <c r="E537" t="s">
        <v>2043</v>
      </c>
      <c r="F537" t="s">
        <v>2029</v>
      </c>
      <c r="G537">
        <v>25</v>
      </c>
      <c r="H537" t="str" cm="1">
        <f t="array" ref="H537">_xlfn.IFS(
Table2[[#This Row],[AGE]]&lt;30,"Young",
Table2[[#This Row],[AGE]]&lt;40,"Middle Age",
Table2[[#This Row],[AGE]]&lt;50,"Senior",
TRUE,"Super Senior"
)</f>
        <v>Young</v>
      </c>
      <c r="I537">
        <v>-1</v>
      </c>
      <c r="J537">
        <v>-1</v>
      </c>
      <c r="K537">
        <v>0</v>
      </c>
      <c r="L537">
        <v>-1</v>
      </c>
      <c r="M537">
        <v>-1</v>
      </c>
      <c r="N537">
        <v>0</v>
      </c>
      <c r="O537" s="1">
        <v>480</v>
      </c>
      <c r="P537" s="1">
        <v>1675</v>
      </c>
      <c r="Q537" s="1">
        <v>3630</v>
      </c>
      <c r="R537" s="1">
        <v>578</v>
      </c>
      <c r="S537" s="1">
        <v>4825</v>
      </c>
      <c r="T537" s="1">
        <v>6200</v>
      </c>
      <c r="U537" s="1">
        <v>1675</v>
      </c>
      <c r="V537" s="1">
        <v>2500</v>
      </c>
      <c r="W537" s="1">
        <v>578</v>
      </c>
      <c r="X537" s="1">
        <v>4825</v>
      </c>
      <c r="Y537" s="1">
        <v>2000</v>
      </c>
      <c r="Z537" s="1">
        <v>2435</v>
      </c>
      <c r="AA537">
        <v>0</v>
      </c>
      <c r="AB537" t="str">
        <f t="shared" si="8"/>
        <v>Not Defaulter</v>
      </c>
      <c r="AC537" s="1">
        <f>Table2[[#This Row],[BILL_AMT1]]-Table2[[#This Row],[PAY_AMT1]]</f>
        <v>-1195</v>
      </c>
      <c r="AD537" s="1" t="str" cm="1">
        <f t="array" ref="AD537">_xlfn.IFS(Table2[[#This Row],[PAYMENT GAP]]&lt;=0,"No Gap / Overpaid",Table2[[#This Row],[PAYMENT GAP]]&lt;=25000,"Low Gap",Table2[[#This Row],[PAYMENT GAP]]&lt;=100000,"Medium Gap",
TRUE,"High Gap"
)</f>
        <v>No Gap / Overpaid</v>
      </c>
    </row>
    <row r="538" spans="1:30" x14ac:dyDescent="0.3">
      <c r="A538">
        <v>537</v>
      </c>
      <c r="B538" s="1">
        <v>440000</v>
      </c>
      <c r="C538" s="1" t="str" cm="1">
        <f t="array" ref="C538">_xlfn.IFS(Table2[[#This Row],[LIMIT_BAL]]&lt;=100000,"Low",Table2[[#This Row],[LIMIT_BAL]]&lt;=300000,"Medium",
TRUE,"High"
)</f>
        <v>High</v>
      </c>
      <c r="D538" t="s">
        <v>2041</v>
      </c>
      <c r="E538" t="s">
        <v>2026</v>
      </c>
      <c r="F538" t="s">
        <v>2029</v>
      </c>
      <c r="G538">
        <v>35</v>
      </c>
      <c r="H538" t="str" cm="1">
        <f t="array" ref="H538">_xlfn.IFS(
Table2[[#This Row],[AGE]]&lt;30,"Young",
Table2[[#This Row],[AGE]]&lt;40,"Middle Age",
Table2[[#This Row],[AGE]]&lt;50,"Senior",
TRUE,"Super Senior"
)</f>
        <v>Middle Age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 s="1">
        <v>330759</v>
      </c>
      <c r="P538" s="1">
        <v>337794</v>
      </c>
      <c r="Q538" s="1">
        <v>274075</v>
      </c>
      <c r="R538" s="1">
        <v>252584</v>
      </c>
      <c r="S538" s="1">
        <v>216547</v>
      </c>
      <c r="T538" s="1">
        <v>179221</v>
      </c>
      <c r="U538" s="1">
        <v>13100</v>
      </c>
      <c r="V538" s="1">
        <v>11000</v>
      </c>
      <c r="W538" s="1">
        <v>10000</v>
      </c>
      <c r="X538" s="1">
        <v>9000</v>
      </c>
      <c r="Y538" s="1">
        <v>7100</v>
      </c>
      <c r="Z538" s="1">
        <v>5500</v>
      </c>
      <c r="AA538">
        <v>0</v>
      </c>
      <c r="AB538" t="str">
        <f t="shared" si="8"/>
        <v>Not Defaulter</v>
      </c>
      <c r="AC538" s="1">
        <f>Table2[[#This Row],[BILL_AMT1]]-Table2[[#This Row],[PAY_AMT1]]</f>
        <v>317659</v>
      </c>
      <c r="AD538" s="1" t="str" cm="1">
        <f t="array" ref="AD538">_xlfn.IFS(Table2[[#This Row],[PAYMENT GAP]]&lt;=0,"No Gap / Overpaid",Table2[[#This Row],[PAYMENT GAP]]&lt;=25000,"Low Gap",Table2[[#This Row],[PAYMENT GAP]]&lt;=100000,"Medium Gap",
TRUE,"High Gap"
)</f>
        <v>High Gap</v>
      </c>
    </row>
    <row r="539" spans="1:30" x14ac:dyDescent="0.3">
      <c r="A539">
        <v>538</v>
      </c>
      <c r="B539" s="1">
        <v>120000</v>
      </c>
      <c r="C539" s="1" t="str" cm="1">
        <f t="array" ref="C539">_xlfn.IFS(Table2[[#This Row],[LIMIT_BAL]]&lt;=100000,"Low",Table2[[#This Row],[LIMIT_BAL]]&lt;=300000,"Medium",
TRUE,"High"
)</f>
        <v>Medium</v>
      </c>
      <c r="D539" t="s">
        <v>2042</v>
      </c>
      <c r="E539" t="s">
        <v>2043</v>
      </c>
      <c r="F539" t="s">
        <v>2028</v>
      </c>
      <c r="G539">
        <v>44</v>
      </c>
      <c r="H539" t="str" cm="1">
        <f t="array" ref="H539">_xlfn.IFS(
Table2[[#This Row],[AGE]]&lt;30,"Young",
Table2[[#This Row],[AGE]]&lt;40,"Middle Age",
Table2[[#This Row],[AGE]]&lt;50,"Senior",
TRUE,"Super Senior"
)</f>
        <v>Senior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 s="1">
        <v>92007</v>
      </c>
      <c r="P539" s="1">
        <v>87939</v>
      </c>
      <c r="Q539" s="1">
        <v>82094</v>
      </c>
      <c r="R539" s="1">
        <v>59105</v>
      </c>
      <c r="S539" s="1">
        <v>53442</v>
      </c>
      <c r="T539" s="1">
        <v>46775</v>
      </c>
      <c r="U539" s="1">
        <v>5417</v>
      </c>
      <c r="V539" s="1">
        <v>2847</v>
      </c>
      <c r="W539" s="1">
        <v>2066</v>
      </c>
      <c r="X539" s="1">
        <v>1919</v>
      </c>
      <c r="Y539" s="1">
        <v>2200</v>
      </c>
      <c r="Z539" s="1">
        <v>0</v>
      </c>
      <c r="AA539">
        <v>0</v>
      </c>
      <c r="AB539" t="str">
        <f t="shared" si="8"/>
        <v>Not Defaulter</v>
      </c>
      <c r="AC539" s="1">
        <f>Table2[[#This Row],[BILL_AMT1]]-Table2[[#This Row],[PAY_AMT1]]</f>
        <v>86590</v>
      </c>
      <c r="AD539" s="1" t="str" cm="1">
        <f t="array" ref="AD539">_xlfn.IFS(Table2[[#This Row],[PAYMENT GAP]]&lt;=0,"No Gap / Overpaid",Table2[[#This Row],[PAYMENT GAP]]&lt;=25000,"Low Gap",Table2[[#This Row],[PAYMENT GAP]]&lt;=100000,"Medium Gap",
TRUE,"High Gap"
)</f>
        <v>Medium Gap</v>
      </c>
    </row>
    <row r="540" spans="1:30" x14ac:dyDescent="0.3">
      <c r="A540">
        <v>539</v>
      </c>
      <c r="B540" s="1">
        <v>50000</v>
      </c>
      <c r="C540" s="1" t="str" cm="1">
        <f t="array" ref="C540">_xlfn.IFS(Table2[[#This Row],[LIMIT_BAL]]&lt;=100000,"Low",Table2[[#This Row],[LIMIT_BAL]]&lt;=300000,"Medium",
TRUE,"High"
)</f>
        <v>Low</v>
      </c>
      <c r="D540" t="s">
        <v>2041</v>
      </c>
      <c r="E540" t="s">
        <v>2026</v>
      </c>
      <c r="F540" t="s">
        <v>2029</v>
      </c>
      <c r="G540">
        <v>52</v>
      </c>
      <c r="H540" t="str" cm="1">
        <f t="array" ref="H540">_xlfn.IFS(
Table2[[#This Row],[AGE]]&lt;30,"Young",
Table2[[#This Row],[AGE]]&lt;40,"Middle Age",
Table2[[#This Row],[AGE]]&lt;50,"Senior",
TRUE,"Super Senior"
)</f>
        <v>Super Senior</v>
      </c>
      <c r="I540">
        <v>0</v>
      </c>
      <c r="J540">
        <v>0</v>
      </c>
      <c r="K540">
        <v>0</v>
      </c>
      <c r="L540">
        <v>-2</v>
      </c>
      <c r="M540">
        <v>-1</v>
      </c>
      <c r="N540">
        <v>-1</v>
      </c>
      <c r="O540" s="1">
        <v>3257</v>
      </c>
      <c r="P540" s="1">
        <v>4166</v>
      </c>
      <c r="Q540" s="1">
        <v>0</v>
      </c>
      <c r="R540" s="1">
        <v>0</v>
      </c>
      <c r="S540" s="1">
        <v>318</v>
      </c>
      <c r="T540" s="1">
        <v>0</v>
      </c>
      <c r="U540" s="1">
        <v>1000</v>
      </c>
      <c r="V540" s="1">
        <v>0</v>
      </c>
      <c r="W540" s="1">
        <v>0</v>
      </c>
      <c r="X540" s="1">
        <v>318</v>
      </c>
      <c r="Y540" s="1">
        <v>0</v>
      </c>
      <c r="Z540" s="1">
        <v>0</v>
      </c>
      <c r="AA540">
        <v>0</v>
      </c>
      <c r="AB540" t="str">
        <f t="shared" si="8"/>
        <v>Not Defaulter</v>
      </c>
      <c r="AC540" s="1">
        <f>Table2[[#This Row],[BILL_AMT1]]-Table2[[#This Row],[PAY_AMT1]]</f>
        <v>2257</v>
      </c>
      <c r="AD540" s="1" t="str" cm="1">
        <f t="array" ref="AD540">_xlfn.IFS(Table2[[#This Row],[PAYMENT GAP]]&lt;=0,"No Gap / Overpaid",Table2[[#This Row],[PAYMENT GAP]]&lt;=25000,"Low Gap",Table2[[#This Row],[PAYMENT GAP]]&lt;=100000,"Medium Gap",
TRUE,"High Gap"
)</f>
        <v>Low Gap</v>
      </c>
    </row>
    <row r="541" spans="1:30" x14ac:dyDescent="0.3">
      <c r="A541">
        <v>540</v>
      </c>
      <c r="B541" s="1">
        <v>110000</v>
      </c>
      <c r="C541" s="1" t="str" cm="1">
        <f t="array" ref="C541">_xlfn.IFS(Table2[[#This Row],[LIMIT_BAL]]&lt;=100000,"Low",Table2[[#This Row],[LIMIT_BAL]]&lt;=300000,"Medium",
TRUE,"High"
)</f>
        <v>Medium</v>
      </c>
      <c r="D541" t="s">
        <v>2041</v>
      </c>
      <c r="E541" t="s">
        <v>2043</v>
      </c>
      <c r="F541" t="s">
        <v>2028</v>
      </c>
      <c r="G541">
        <v>40</v>
      </c>
      <c r="H541" t="str" cm="1">
        <f t="array" ref="H541">_xlfn.IFS(
Table2[[#This Row],[AGE]]&lt;30,"Young",
Table2[[#This Row],[AGE]]&lt;40,"Middle Age",
Table2[[#This Row],[AGE]]&lt;50,"Senior",
TRUE,"Super Senior"
)</f>
        <v>Senior</v>
      </c>
      <c r="I541">
        <v>1</v>
      </c>
      <c r="J541">
        <v>2</v>
      </c>
      <c r="K541">
        <v>2</v>
      </c>
      <c r="L541">
        <v>2</v>
      </c>
      <c r="M541">
        <v>2</v>
      </c>
      <c r="N541">
        <v>2</v>
      </c>
      <c r="O541" s="1">
        <v>92638</v>
      </c>
      <c r="P541" s="1">
        <v>90905</v>
      </c>
      <c r="Q541" s="1">
        <v>95768</v>
      </c>
      <c r="R541" s="1">
        <v>97004</v>
      </c>
      <c r="S541" s="1">
        <v>99005</v>
      </c>
      <c r="T541" s="1">
        <v>101213</v>
      </c>
      <c r="U541" s="1">
        <v>600</v>
      </c>
      <c r="V541" s="1">
        <v>7300</v>
      </c>
      <c r="W541" s="1">
        <v>3700</v>
      </c>
      <c r="X541" s="1">
        <v>3700</v>
      </c>
      <c r="Y541" s="1">
        <v>4000</v>
      </c>
      <c r="Z541" s="1">
        <v>3800</v>
      </c>
      <c r="AA541">
        <v>0</v>
      </c>
      <c r="AB541" t="str">
        <f t="shared" si="8"/>
        <v>Not Defaulter</v>
      </c>
      <c r="AC541" s="1">
        <f>Table2[[#This Row],[BILL_AMT1]]-Table2[[#This Row],[PAY_AMT1]]</f>
        <v>92038</v>
      </c>
      <c r="AD541" s="1" t="str" cm="1">
        <f t="array" ref="AD541">_xlfn.IFS(Table2[[#This Row],[PAYMENT GAP]]&lt;=0,"No Gap / Overpaid",Table2[[#This Row],[PAYMENT GAP]]&lt;=25000,"Low Gap",Table2[[#This Row],[PAYMENT GAP]]&lt;=100000,"Medium Gap",
TRUE,"High Gap"
)</f>
        <v>Medium Gap</v>
      </c>
    </row>
    <row r="542" spans="1:30" x14ac:dyDescent="0.3">
      <c r="A542">
        <v>541</v>
      </c>
      <c r="B542" s="1">
        <v>200000</v>
      </c>
      <c r="C542" s="1" t="str" cm="1">
        <f t="array" ref="C542">_xlfn.IFS(Table2[[#This Row],[LIMIT_BAL]]&lt;=100000,"Low",Table2[[#This Row],[LIMIT_BAL]]&lt;=300000,"Medium",
TRUE,"High"
)</f>
        <v>Medium</v>
      </c>
      <c r="D542" t="s">
        <v>2041</v>
      </c>
      <c r="E542" t="s">
        <v>2026</v>
      </c>
      <c r="F542" t="s">
        <v>2029</v>
      </c>
      <c r="G542">
        <v>38</v>
      </c>
      <c r="H542" t="str" cm="1">
        <f t="array" ref="H542">_xlfn.IFS(
Table2[[#This Row],[AGE]]&lt;30,"Young",
Table2[[#This Row],[AGE]]&lt;40,"Middle Age",
Table2[[#This Row],[AGE]]&lt;50,"Senior",
TRUE,"Super Senior"
)</f>
        <v>Middle Age</v>
      </c>
      <c r="I542">
        <v>-1</v>
      </c>
      <c r="J542">
        <v>-1</v>
      </c>
      <c r="K542">
        <v>-2</v>
      </c>
      <c r="L542">
        <v>-2</v>
      </c>
      <c r="M542">
        <v>-1</v>
      </c>
      <c r="N542">
        <v>-1</v>
      </c>
      <c r="O542" s="1">
        <v>399</v>
      </c>
      <c r="P542" s="1">
        <v>0</v>
      </c>
      <c r="Q542" s="1">
        <v>0</v>
      </c>
      <c r="R542" s="1">
        <v>0</v>
      </c>
      <c r="S542" s="1">
        <v>218</v>
      </c>
      <c r="T542" s="1">
        <v>270</v>
      </c>
      <c r="U542" s="1">
        <v>0</v>
      </c>
      <c r="V542" s="1">
        <v>0</v>
      </c>
      <c r="W542" s="1">
        <v>0</v>
      </c>
      <c r="X542" s="1">
        <v>218</v>
      </c>
      <c r="Y542" s="1">
        <v>270</v>
      </c>
      <c r="Z542" s="1">
        <v>317</v>
      </c>
      <c r="AA542">
        <v>0</v>
      </c>
      <c r="AB542" t="str">
        <f t="shared" si="8"/>
        <v>Not Defaulter</v>
      </c>
      <c r="AC542" s="1">
        <f>Table2[[#This Row],[BILL_AMT1]]-Table2[[#This Row],[PAY_AMT1]]</f>
        <v>399</v>
      </c>
      <c r="AD542" s="1" t="str" cm="1">
        <f t="array" ref="AD542">_xlfn.IFS(Table2[[#This Row],[PAYMENT GAP]]&lt;=0,"No Gap / Overpaid",Table2[[#This Row],[PAYMENT GAP]]&lt;=25000,"Low Gap",Table2[[#This Row],[PAYMENT GAP]]&lt;=100000,"Medium Gap",
TRUE,"High Gap"
)</f>
        <v>Low Gap</v>
      </c>
    </row>
    <row r="543" spans="1:30" x14ac:dyDescent="0.3">
      <c r="A543">
        <v>542</v>
      </c>
      <c r="B543" s="1">
        <v>150000</v>
      </c>
      <c r="C543" s="1" t="str" cm="1">
        <f t="array" ref="C543">_xlfn.IFS(Table2[[#This Row],[LIMIT_BAL]]&lt;=100000,"Low",Table2[[#This Row],[LIMIT_BAL]]&lt;=300000,"Medium",
TRUE,"High"
)</f>
        <v>Medium</v>
      </c>
      <c r="D543" t="s">
        <v>2041</v>
      </c>
      <c r="E543" t="s">
        <v>2026</v>
      </c>
      <c r="F543" t="s">
        <v>2029</v>
      </c>
      <c r="G543">
        <v>28</v>
      </c>
      <c r="H543" t="str" cm="1">
        <f t="array" ref="H543">_xlfn.IFS(
Table2[[#This Row],[AGE]]&lt;30,"Young",
Table2[[#This Row],[AGE]]&lt;40,"Middle Age",
Table2[[#This Row],[AGE]]&lt;50,"Senior",
TRUE,"Super Senior"
)</f>
        <v>Young</v>
      </c>
      <c r="I543">
        <v>1</v>
      </c>
      <c r="J543">
        <v>-2</v>
      </c>
      <c r="K543">
        <v>-2</v>
      </c>
      <c r="L543">
        <v>-2</v>
      </c>
      <c r="M543">
        <v>-2</v>
      </c>
      <c r="N543">
        <v>-1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318</v>
      </c>
      <c r="U543" s="1">
        <v>0</v>
      </c>
      <c r="V543" s="1">
        <v>0</v>
      </c>
      <c r="W543" s="1">
        <v>0</v>
      </c>
      <c r="X543" s="1">
        <v>0</v>
      </c>
      <c r="Y543" s="1">
        <v>318</v>
      </c>
      <c r="Z543" s="1">
        <v>0</v>
      </c>
      <c r="AA543">
        <v>0</v>
      </c>
      <c r="AB543" t="str">
        <f t="shared" si="8"/>
        <v>Not Defaulter</v>
      </c>
      <c r="AC543" s="1">
        <f>Table2[[#This Row],[BILL_AMT1]]-Table2[[#This Row],[PAY_AMT1]]</f>
        <v>0</v>
      </c>
      <c r="AD543" s="1" t="str" cm="1">
        <f t="array" ref="AD543">_xlfn.IFS(Table2[[#This Row],[PAYMENT GAP]]&lt;=0,"No Gap / Overpaid",Table2[[#This Row],[PAYMENT GAP]]&lt;=25000,"Low Gap",Table2[[#This Row],[PAYMENT GAP]]&lt;=100000,"Medium Gap",
TRUE,"High Gap"
)</f>
        <v>No Gap / Overpaid</v>
      </c>
    </row>
    <row r="544" spans="1:30" x14ac:dyDescent="0.3">
      <c r="A544">
        <v>543</v>
      </c>
      <c r="B544" s="1">
        <v>30000</v>
      </c>
      <c r="C544" s="1" t="str" cm="1">
        <f t="array" ref="C544">_xlfn.IFS(Table2[[#This Row],[LIMIT_BAL]]&lt;=100000,"Low",Table2[[#This Row],[LIMIT_BAL]]&lt;=300000,"Medium",
TRUE,"High"
)</f>
        <v>Low</v>
      </c>
      <c r="D544" t="s">
        <v>2041</v>
      </c>
      <c r="E544" t="s">
        <v>2043</v>
      </c>
      <c r="F544" t="s">
        <v>2028</v>
      </c>
      <c r="G544">
        <v>36</v>
      </c>
      <c r="H544" t="str" cm="1">
        <f t="array" ref="H544">_xlfn.IFS(
Table2[[#This Row],[AGE]]&lt;30,"Young",
Table2[[#This Row],[AGE]]&lt;40,"Middle Age",
Table2[[#This Row],[AGE]]&lt;50,"Senior",
TRUE,"Super Senior"
)</f>
        <v>Middle Age</v>
      </c>
      <c r="I544">
        <v>2</v>
      </c>
      <c r="J544">
        <v>3</v>
      </c>
      <c r="K544">
        <v>2</v>
      </c>
      <c r="L544">
        <v>2</v>
      </c>
      <c r="M544">
        <v>0</v>
      </c>
      <c r="N544">
        <v>0</v>
      </c>
      <c r="O544" s="1">
        <v>28778</v>
      </c>
      <c r="P544" s="1">
        <v>28039</v>
      </c>
      <c r="Q544" s="1">
        <v>28286</v>
      </c>
      <c r="R544" s="1">
        <v>27533</v>
      </c>
      <c r="S544" s="1">
        <v>28189</v>
      </c>
      <c r="T544" s="1">
        <v>28805</v>
      </c>
      <c r="U544" s="1">
        <v>0</v>
      </c>
      <c r="V544" s="1">
        <v>1000</v>
      </c>
      <c r="W544" s="1">
        <v>0</v>
      </c>
      <c r="X544" s="1">
        <v>1100</v>
      </c>
      <c r="Y544" s="1">
        <v>1100</v>
      </c>
      <c r="Z544" s="1">
        <v>1500</v>
      </c>
      <c r="AA544">
        <v>1</v>
      </c>
      <c r="AB544" t="str">
        <f t="shared" si="8"/>
        <v>Defaulter</v>
      </c>
      <c r="AC544" s="1">
        <f>Table2[[#This Row],[BILL_AMT1]]-Table2[[#This Row],[PAY_AMT1]]</f>
        <v>28778</v>
      </c>
      <c r="AD544" s="1" t="str" cm="1">
        <f t="array" ref="AD544">_xlfn.IFS(Table2[[#This Row],[PAYMENT GAP]]&lt;=0,"No Gap / Overpaid",Table2[[#This Row],[PAYMENT GAP]]&lt;=25000,"Low Gap",Table2[[#This Row],[PAYMENT GAP]]&lt;=100000,"Medium Gap",
TRUE,"High Gap"
)</f>
        <v>Medium Gap</v>
      </c>
    </row>
    <row r="545" spans="1:30" x14ac:dyDescent="0.3">
      <c r="A545">
        <v>544</v>
      </c>
      <c r="B545" s="1">
        <v>100000</v>
      </c>
      <c r="C545" s="1" t="str" cm="1">
        <f t="array" ref="C545">_xlfn.IFS(Table2[[#This Row],[LIMIT_BAL]]&lt;=100000,"Low",Table2[[#This Row],[LIMIT_BAL]]&lt;=300000,"Medium",
TRUE,"High"
)</f>
        <v>Low</v>
      </c>
      <c r="D545" t="s">
        <v>2041</v>
      </c>
      <c r="E545" t="s">
        <v>2026</v>
      </c>
      <c r="F545" t="s">
        <v>2029</v>
      </c>
      <c r="G545">
        <v>24</v>
      </c>
      <c r="H545" t="str" cm="1">
        <f t="array" ref="H545">_xlfn.IFS(
Table2[[#This Row],[AGE]]&lt;30,"Young",
Table2[[#This Row],[AGE]]&lt;40,"Middle Age",
Table2[[#This Row],[AGE]]&lt;50,"Senior",
TRUE,"Super Senior"
)</f>
        <v>Young</v>
      </c>
      <c r="I545">
        <v>0</v>
      </c>
      <c r="J545">
        <v>0</v>
      </c>
      <c r="K545">
        <v>0</v>
      </c>
      <c r="L545">
        <v>0</v>
      </c>
      <c r="M545">
        <v>-1</v>
      </c>
      <c r="N545">
        <v>-1</v>
      </c>
      <c r="O545" s="1">
        <v>30092</v>
      </c>
      <c r="P545" s="1">
        <v>30486</v>
      </c>
      <c r="Q545" s="1">
        <v>30178</v>
      </c>
      <c r="R545" s="1">
        <v>29735</v>
      </c>
      <c r="S545" s="1">
        <v>14718</v>
      </c>
      <c r="T545" s="1">
        <v>29427</v>
      </c>
      <c r="U545" s="1">
        <v>1553</v>
      </c>
      <c r="V545" s="1">
        <v>5000</v>
      </c>
      <c r="W545" s="1">
        <v>87</v>
      </c>
      <c r="X545" s="1">
        <v>14761</v>
      </c>
      <c r="Y545" s="1">
        <v>29514</v>
      </c>
      <c r="Z545" s="1">
        <v>330</v>
      </c>
      <c r="AA545">
        <v>0</v>
      </c>
      <c r="AB545" t="str">
        <f t="shared" si="8"/>
        <v>Not Defaulter</v>
      </c>
      <c r="AC545" s="1">
        <f>Table2[[#This Row],[BILL_AMT1]]-Table2[[#This Row],[PAY_AMT1]]</f>
        <v>28539</v>
      </c>
      <c r="AD545" s="1" t="str" cm="1">
        <f t="array" ref="AD545">_xlfn.IFS(Table2[[#This Row],[PAYMENT GAP]]&lt;=0,"No Gap / Overpaid",Table2[[#This Row],[PAYMENT GAP]]&lt;=25000,"Low Gap",Table2[[#This Row],[PAYMENT GAP]]&lt;=100000,"Medium Gap",
TRUE,"High Gap"
)</f>
        <v>Medium Gap</v>
      </c>
    </row>
    <row r="546" spans="1:30" x14ac:dyDescent="0.3">
      <c r="A546">
        <v>545</v>
      </c>
      <c r="B546" s="1">
        <v>360000</v>
      </c>
      <c r="C546" s="1" t="str" cm="1">
        <f t="array" ref="C546">_xlfn.IFS(Table2[[#This Row],[LIMIT_BAL]]&lt;=100000,"Low",Table2[[#This Row],[LIMIT_BAL]]&lt;=300000,"Medium",
TRUE,"High"
)</f>
        <v>High</v>
      </c>
      <c r="D546" t="s">
        <v>2041</v>
      </c>
      <c r="E546" t="s">
        <v>2026</v>
      </c>
      <c r="F546" t="s">
        <v>2028</v>
      </c>
      <c r="G546">
        <v>34</v>
      </c>
      <c r="H546" t="str" cm="1">
        <f t="array" ref="H546">_xlfn.IFS(
Table2[[#This Row],[AGE]]&lt;30,"Young",
Table2[[#This Row],[AGE]]&lt;40,"Middle Age",
Table2[[#This Row],[AGE]]&lt;50,"Senior",
TRUE,"Super Senior"
)</f>
        <v>Middle Age</v>
      </c>
      <c r="I546">
        <v>-1</v>
      </c>
      <c r="J546">
        <v>0</v>
      </c>
      <c r="K546">
        <v>0</v>
      </c>
      <c r="L546">
        <v>-1</v>
      </c>
      <c r="M546">
        <v>0</v>
      </c>
      <c r="N546">
        <v>-1</v>
      </c>
      <c r="O546" s="1">
        <v>12339</v>
      </c>
      <c r="P546" s="1">
        <v>10138</v>
      </c>
      <c r="Q546" s="1">
        <v>23912</v>
      </c>
      <c r="R546" s="1">
        <v>9785</v>
      </c>
      <c r="S546" s="1">
        <v>166</v>
      </c>
      <c r="T546" s="1">
        <v>2142</v>
      </c>
      <c r="U546" s="1">
        <v>10000</v>
      </c>
      <c r="V546" s="1">
        <v>13912</v>
      </c>
      <c r="W546" s="1">
        <v>9785</v>
      </c>
      <c r="X546" s="1">
        <v>0</v>
      </c>
      <c r="Y546" s="1">
        <v>2142</v>
      </c>
      <c r="Z546" s="1">
        <v>4230</v>
      </c>
      <c r="AA546">
        <v>0</v>
      </c>
      <c r="AB546" t="str">
        <f t="shared" si="8"/>
        <v>Not Defaulter</v>
      </c>
      <c r="AC546" s="1">
        <f>Table2[[#This Row],[BILL_AMT1]]-Table2[[#This Row],[PAY_AMT1]]</f>
        <v>2339</v>
      </c>
      <c r="AD546" s="1" t="str" cm="1">
        <f t="array" ref="AD546">_xlfn.IFS(Table2[[#This Row],[PAYMENT GAP]]&lt;=0,"No Gap / Overpaid",Table2[[#This Row],[PAYMENT GAP]]&lt;=25000,"Low Gap",Table2[[#This Row],[PAYMENT GAP]]&lt;=100000,"Medium Gap",
TRUE,"High Gap"
)</f>
        <v>Low Gap</v>
      </c>
    </row>
    <row r="547" spans="1:30" x14ac:dyDescent="0.3">
      <c r="A547">
        <v>546</v>
      </c>
      <c r="B547" s="1">
        <v>390000</v>
      </c>
      <c r="C547" s="1" t="str" cm="1">
        <f t="array" ref="C547">_xlfn.IFS(Table2[[#This Row],[LIMIT_BAL]]&lt;=100000,"Low",Table2[[#This Row],[LIMIT_BAL]]&lt;=300000,"Medium",
TRUE,"High"
)</f>
        <v>High</v>
      </c>
      <c r="D547" t="s">
        <v>2041</v>
      </c>
      <c r="E547" t="s">
        <v>2026</v>
      </c>
      <c r="F547" t="s">
        <v>2029</v>
      </c>
      <c r="G547">
        <v>31</v>
      </c>
      <c r="H547" t="str" cm="1">
        <f t="array" ref="H547">_xlfn.IFS(
Table2[[#This Row],[AGE]]&lt;30,"Young",
Table2[[#This Row],[AGE]]&lt;40,"Middle Age",
Table2[[#This Row],[AGE]]&lt;50,"Senior",
TRUE,"Super Senior"
)</f>
        <v>Middle Age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 s="1">
        <v>50620</v>
      </c>
      <c r="P547" s="1">
        <v>43220</v>
      </c>
      <c r="Q547" s="1">
        <v>44237</v>
      </c>
      <c r="R547" s="1">
        <v>46495</v>
      </c>
      <c r="S547" s="1">
        <v>47751</v>
      </c>
      <c r="T547" s="1">
        <v>51941</v>
      </c>
      <c r="U547" s="1">
        <v>5000</v>
      </c>
      <c r="V547" s="1">
        <v>3000</v>
      </c>
      <c r="W547" s="1">
        <v>3000</v>
      </c>
      <c r="X547" s="1">
        <v>2000</v>
      </c>
      <c r="Y547" s="1">
        <v>5000</v>
      </c>
      <c r="Z547" s="1">
        <v>5000</v>
      </c>
      <c r="AA547">
        <v>0</v>
      </c>
      <c r="AB547" t="str">
        <f t="shared" si="8"/>
        <v>Not Defaulter</v>
      </c>
      <c r="AC547" s="1">
        <f>Table2[[#This Row],[BILL_AMT1]]-Table2[[#This Row],[PAY_AMT1]]</f>
        <v>45620</v>
      </c>
      <c r="AD547" s="1" t="str" cm="1">
        <f t="array" ref="AD547">_xlfn.IFS(Table2[[#This Row],[PAYMENT GAP]]&lt;=0,"No Gap / Overpaid",Table2[[#This Row],[PAYMENT GAP]]&lt;=25000,"Low Gap",Table2[[#This Row],[PAYMENT GAP]]&lt;=100000,"Medium Gap",
TRUE,"High Gap"
)</f>
        <v>Medium Gap</v>
      </c>
    </row>
    <row r="548" spans="1:30" x14ac:dyDescent="0.3">
      <c r="A548">
        <v>547</v>
      </c>
      <c r="B548" s="1">
        <v>220000</v>
      </c>
      <c r="C548" s="1" t="str" cm="1">
        <f t="array" ref="C548">_xlfn.IFS(Table2[[#This Row],[LIMIT_BAL]]&lt;=100000,"Low",Table2[[#This Row],[LIMIT_BAL]]&lt;=300000,"Medium",
TRUE,"High"
)</f>
        <v>Medium</v>
      </c>
      <c r="D548" t="s">
        <v>2041</v>
      </c>
      <c r="E548" t="s">
        <v>2026</v>
      </c>
      <c r="F548" t="s">
        <v>2028</v>
      </c>
      <c r="G548">
        <v>41</v>
      </c>
      <c r="H548" t="str" cm="1">
        <f t="array" ref="H548">_xlfn.IFS(
Table2[[#This Row],[AGE]]&lt;30,"Young",
Table2[[#This Row],[AGE]]&lt;40,"Middle Age",
Table2[[#This Row],[AGE]]&lt;50,"Senior",
TRUE,"Super Senior"
)</f>
        <v>Senior</v>
      </c>
      <c r="I548">
        <v>1</v>
      </c>
      <c r="J548">
        <v>-2</v>
      </c>
      <c r="K548">
        <v>-2</v>
      </c>
      <c r="L548">
        <v>-2</v>
      </c>
      <c r="M548">
        <v>-2</v>
      </c>
      <c r="N548">
        <v>-2</v>
      </c>
      <c r="O548" s="1">
        <v>-65</v>
      </c>
      <c r="P548" s="1">
        <v>-65</v>
      </c>
      <c r="Q548" s="1">
        <v>-65</v>
      </c>
      <c r="R548" s="1">
        <v>-65</v>
      </c>
      <c r="S548" s="1">
        <v>-65</v>
      </c>
      <c r="T548" s="1">
        <v>-200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>
        <v>1</v>
      </c>
      <c r="AB548" t="str">
        <f t="shared" si="8"/>
        <v>Defaulter</v>
      </c>
      <c r="AC548" s="1">
        <f>Table2[[#This Row],[BILL_AMT1]]-Table2[[#This Row],[PAY_AMT1]]</f>
        <v>-65</v>
      </c>
      <c r="AD548" s="1" t="str" cm="1">
        <f t="array" ref="AD548">_xlfn.IFS(Table2[[#This Row],[PAYMENT GAP]]&lt;=0,"No Gap / Overpaid",Table2[[#This Row],[PAYMENT GAP]]&lt;=25000,"Low Gap",Table2[[#This Row],[PAYMENT GAP]]&lt;=100000,"Medium Gap",
TRUE,"High Gap"
)</f>
        <v>No Gap / Overpaid</v>
      </c>
    </row>
    <row r="549" spans="1:30" x14ac:dyDescent="0.3">
      <c r="A549">
        <v>548</v>
      </c>
      <c r="B549" s="1">
        <v>160000</v>
      </c>
      <c r="C549" s="1" t="str" cm="1">
        <f t="array" ref="C549">_xlfn.IFS(Table2[[#This Row],[LIMIT_BAL]]&lt;=100000,"Low",Table2[[#This Row],[LIMIT_BAL]]&lt;=300000,"Medium",
TRUE,"High"
)</f>
        <v>Medium</v>
      </c>
      <c r="D549" t="s">
        <v>2041</v>
      </c>
      <c r="E549" t="s">
        <v>2043</v>
      </c>
      <c r="F549" t="s">
        <v>2029</v>
      </c>
      <c r="G549">
        <v>25</v>
      </c>
      <c r="H549" t="str" cm="1">
        <f t="array" ref="H549">_xlfn.IFS(
Table2[[#This Row],[AGE]]&lt;30,"Young",
Table2[[#This Row],[AGE]]&lt;40,"Middle Age",
Table2[[#This Row],[AGE]]&lt;50,"Senior",
TRUE,"Super Senior"
)</f>
        <v>Young</v>
      </c>
      <c r="I549">
        <v>-2</v>
      </c>
      <c r="J549">
        <v>-2</v>
      </c>
      <c r="K549">
        <v>-2</v>
      </c>
      <c r="L549">
        <v>-2</v>
      </c>
      <c r="M549">
        <v>-2</v>
      </c>
      <c r="N549">
        <v>-2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>
        <v>0</v>
      </c>
      <c r="AB549" t="str">
        <f t="shared" si="8"/>
        <v>Not Defaulter</v>
      </c>
      <c r="AC549" s="1">
        <f>Table2[[#This Row],[BILL_AMT1]]-Table2[[#This Row],[PAY_AMT1]]</f>
        <v>0</v>
      </c>
      <c r="AD549" s="1" t="str" cm="1">
        <f t="array" ref="AD549">_xlfn.IFS(Table2[[#This Row],[PAYMENT GAP]]&lt;=0,"No Gap / Overpaid",Table2[[#This Row],[PAYMENT GAP]]&lt;=25000,"Low Gap",Table2[[#This Row],[PAYMENT GAP]]&lt;=100000,"Medium Gap",
TRUE,"High Gap"
)</f>
        <v>No Gap / Overpaid</v>
      </c>
    </row>
    <row r="550" spans="1:30" x14ac:dyDescent="0.3">
      <c r="A550">
        <v>549</v>
      </c>
      <c r="B550" s="1">
        <v>230000</v>
      </c>
      <c r="C550" s="1" t="str" cm="1">
        <f t="array" ref="C550">_xlfn.IFS(Table2[[#This Row],[LIMIT_BAL]]&lt;=100000,"Low",Table2[[#This Row],[LIMIT_BAL]]&lt;=300000,"Medium",
TRUE,"High"
)</f>
        <v>Medium</v>
      </c>
      <c r="D550" t="s">
        <v>2041</v>
      </c>
      <c r="E550" t="s">
        <v>2026</v>
      </c>
      <c r="F550" t="s">
        <v>2029</v>
      </c>
      <c r="G550">
        <v>28</v>
      </c>
      <c r="H550" t="str" cm="1">
        <f t="array" ref="H550">_xlfn.IFS(
Table2[[#This Row],[AGE]]&lt;30,"Young",
Table2[[#This Row],[AGE]]&lt;40,"Middle Age",
Table2[[#This Row],[AGE]]&lt;50,"Senior",
TRUE,"Super Senior"
)</f>
        <v>Young</v>
      </c>
      <c r="I550">
        <v>-1</v>
      </c>
      <c r="J550">
        <v>-1</v>
      </c>
      <c r="K550">
        <v>0</v>
      </c>
      <c r="L550">
        <v>0</v>
      </c>
      <c r="M550">
        <v>0</v>
      </c>
      <c r="N550">
        <v>0</v>
      </c>
      <c r="O550" s="1">
        <v>2403</v>
      </c>
      <c r="P550" s="1">
        <v>7357</v>
      </c>
      <c r="Q550" s="1">
        <v>9752</v>
      </c>
      <c r="R550" s="1">
        <v>12608</v>
      </c>
      <c r="S550" s="1">
        <v>10797</v>
      </c>
      <c r="T550" s="1">
        <v>20539</v>
      </c>
      <c r="U550" s="1">
        <v>7357</v>
      </c>
      <c r="V550" s="1">
        <v>2566</v>
      </c>
      <c r="W550" s="1">
        <v>3000</v>
      </c>
      <c r="X550" s="1">
        <v>1000</v>
      </c>
      <c r="Y550" s="1">
        <v>10000</v>
      </c>
      <c r="Z550" s="1">
        <v>2000</v>
      </c>
      <c r="AA550">
        <v>0</v>
      </c>
      <c r="AB550" t="str">
        <f t="shared" si="8"/>
        <v>Not Defaulter</v>
      </c>
      <c r="AC550" s="1">
        <f>Table2[[#This Row],[BILL_AMT1]]-Table2[[#This Row],[PAY_AMT1]]</f>
        <v>-4954</v>
      </c>
      <c r="AD550" s="1" t="str" cm="1">
        <f t="array" ref="AD550">_xlfn.IFS(Table2[[#This Row],[PAYMENT GAP]]&lt;=0,"No Gap / Overpaid",Table2[[#This Row],[PAYMENT GAP]]&lt;=25000,"Low Gap",Table2[[#This Row],[PAYMENT GAP]]&lt;=100000,"Medium Gap",
TRUE,"High Gap"
)</f>
        <v>No Gap / Overpaid</v>
      </c>
    </row>
    <row r="551" spans="1:30" x14ac:dyDescent="0.3">
      <c r="A551">
        <v>550</v>
      </c>
      <c r="B551" s="1">
        <v>120000</v>
      </c>
      <c r="C551" s="1" t="str" cm="1">
        <f t="array" ref="C551">_xlfn.IFS(Table2[[#This Row],[LIMIT_BAL]]&lt;=100000,"Low",Table2[[#This Row],[LIMIT_BAL]]&lt;=300000,"Medium",
TRUE,"High"
)</f>
        <v>Medium</v>
      </c>
      <c r="D551" t="s">
        <v>2042</v>
      </c>
      <c r="E551" t="s">
        <v>2026</v>
      </c>
      <c r="F551" t="s">
        <v>2029</v>
      </c>
      <c r="G551">
        <v>27</v>
      </c>
      <c r="H551" t="str" cm="1">
        <f t="array" ref="H551">_xlfn.IFS(
Table2[[#This Row],[AGE]]&lt;30,"Young",
Table2[[#This Row],[AGE]]&lt;40,"Middle Age",
Table2[[#This Row],[AGE]]&lt;50,"Senior",
TRUE,"Super Senior"
)</f>
        <v>Young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 s="1">
        <v>52437</v>
      </c>
      <c r="P551" s="1">
        <v>50473</v>
      </c>
      <c r="Q551" s="1">
        <v>45087</v>
      </c>
      <c r="R551" s="1">
        <v>35424</v>
      </c>
      <c r="S551" s="1">
        <v>31760</v>
      </c>
      <c r="T551" s="1">
        <v>31214</v>
      </c>
      <c r="U551" s="1">
        <v>5024</v>
      </c>
      <c r="V551" s="1">
        <v>5000</v>
      </c>
      <c r="W551" s="1">
        <v>5000</v>
      </c>
      <c r="X551" s="1">
        <v>4000</v>
      </c>
      <c r="Y551" s="1">
        <v>5000</v>
      </c>
      <c r="Z551" s="1">
        <v>3500</v>
      </c>
      <c r="AA551">
        <v>0</v>
      </c>
      <c r="AB551" t="str">
        <f t="shared" si="8"/>
        <v>Not Defaulter</v>
      </c>
      <c r="AC551" s="1">
        <f>Table2[[#This Row],[BILL_AMT1]]-Table2[[#This Row],[PAY_AMT1]]</f>
        <v>47413</v>
      </c>
      <c r="AD551" s="1" t="str" cm="1">
        <f t="array" ref="AD551">_xlfn.IFS(Table2[[#This Row],[PAYMENT GAP]]&lt;=0,"No Gap / Overpaid",Table2[[#This Row],[PAYMENT GAP]]&lt;=25000,"Low Gap",Table2[[#This Row],[PAYMENT GAP]]&lt;=100000,"Medium Gap",
TRUE,"High Gap"
)</f>
        <v>Medium Gap</v>
      </c>
    </row>
    <row r="552" spans="1:30" x14ac:dyDescent="0.3">
      <c r="A552">
        <v>551</v>
      </c>
      <c r="B552" s="1">
        <v>100000</v>
      </c>
      <c r="C552" s="1" t="str" cm="1">
        <f t="array" ref="C552">_xlfn.IFS(Table2[[#This Row],[LIMIT_BAL]]&lt;=100000,"Low",Table2[[#This Row],[LIMIT_BAL]]&lt;=300000,"Medium",
TRUE,"High"
)</f>
        <v>Low</v>
      </c>
      <c r="D552" t="s">
        <v>2042</v>
      </c>
      <c r="E552" t="s">
        <v>2027</v>
      </c>
      <c r="F552" t="s">
        <v>2028</v>
      </c>
      <c r="G552">
        <v>52</v>
      </c>
      <c r="H552" t="str" cm="1">
        <f t="array" ref="H552">_xlfn.IFS(
Table2[[#This Row],[AGE]]&lt;30,"Young",
Table2[[#This Row],[AGE]]&lt;40,"Middle Age",
Table2[[#This Row],[AGE]]&lt;50,"Senior",
TRUE,"Super Senior"
)</f>
        <v>Super Senior</v>
      </c>
      <c r="I552">
        <v>0</v>
      </c>
      <c r="J552">
        <v>0</v>
      </c>
      <c r="K552">
        <v>2</v>
      </c>
      <c r="L552">
        <v>2</v>
      </c>
      <c r="M552">
        <v>2</v>
      </c>
      <c r="N552">
        <v>0</v>
      </c>
      <c r="O552" s="1">
        <v>4657</v>
      </c>
      <c r="P552" s="1">
        <v>6068</v>
      </c>
      <c r="Q552" s="1">
        <v>6418</v>
      </c>
      <c r="R552" s="1">
        <v>6781</v>
      </c>
      <c r="S552" s="1">
        <v>6144</v>
      </c>
      <c r="T552" s="1">
        <v>7638</v>
      </c>
      <c r="U552" s="1">
        <v>1500</v>
      </c>
      <c r="V552" s="1">
        <v>1000</v>
      </c>
      <c r="W552" s="1">
        <v>1000</v>
      </c>
      <c r="X552" s="1">
        <v>0</v>
      </c>
      <c r="Y552" s="1">
        <v>2000</v>
      </c>
      <c r="Z552" s="1">
        <v>2000</v>
      </c>
      <c r="AA552">
        <v>1</v>
      </c>
      <c r="AB552" t="str">
        <f t="shared" si="8"/>
        <v>Defaulter</v>
      </c>
      <c r="AC552" s="1">
        <f>Table2[[#This Row],[BILL_AMT1]]-Table2[[#This Row],[PAY_AMT1]]</f>
        <v>3157</v>
      </c>
      <c r="AD552" s="1" t="str" cm="1">
        <f t="array" ref="AD552">_xlfn.IFS(Table2[[#This Row],[PAYMENT GAP]]&lt;=0,"No Gap / Overpaid",Table2[[#This Row],[PAYMENT GAP]]&lt;=25000,"Low Gap",Table2[[#This Row],[PAYMENT GAP]]&lt;=100000,"Medium Gap",
TRUE,"High Gap"
)</f>
        <v>Low Gap</v>
      </c>
    </row>
    <row r="553" spans="1:30" x14ac:dyDescent="0.3">
      <c r="A553">
        <v>552</v>
      </c>
      <c r="B553" s="1">
        <v>190000</v>
      </c>
      <c r="C553" s="1" t="str" cm="1">
        <f t="array" ref="C553">_xlfn.IFS(Table2[[#This Row],[LIMIT_BAL]]&lt;=100000,"Low",Table2[[#This Row],[LIMIT_BAL]]&lt;=300000,"Medium",
TRUE,"High"
)</f>
        <v>Medium</v>
      </c>
      <c r="D553" t="s">
        <v>2041</v>
      </c>
      <c r="E553" t="s">
        <v>2026</v>
      </c>
      <c r="F553" t="s">
        <v>2029</v>
      </c>
      <c r="G553">
        <v>41</v>
      </c>
      <c r="H553" t="str" cm="1">
        <f t="array" ref="H553">_xlfn.IFS(
Table2[[#This Row],[AGE]]&lt;30,"Young",
Table2[[#This Row],[AGE]]&lt;40,"Middle Age",
Table2[[#This Row],[AGE]]&lt;50,"Senior",
TRUE,"Super Senior"
)</f>
        <v>Senior</v>
      </c>
      <c r="I553">
        <v>-1</v>
      </c>
      <c r="J553">
        <v>-1</v>
      </c>
      <c r="K553">
        <v>-1</v>
      </c>
      <c r="L553">
        <v>-1</v>
      </c>
      <c r="M553">
        <v>-1</v>
      </c>
      <c r="N553">
        <v>-1</v>
      </c>
      <c r="O553" s="1">
        <v>28204</v>
      </c>
      <c r="P553" s="1">
        <v>0</v>
      </c>
      <c r="Q553" s="1">
        <v>16500</v>
      </c>
      <c r="R553" s="1">
        <v>0</v>
      </c>
      <c r="S553" s="1">
        <v>26854</v>
      </c>
      <c r="T553" s="1">
        <v>554</v>
      </c>
      <c r="U553" s="1">
        <v>0</v>
      </c>
      <c r="V553" s="1">
        <v>16500</v>
      </c>
      <c r="W553" s="1">
        <v>0</v>
      </c>
      <c r="X553" s="1">
        <v>26854</v>
      </c>
      <c r="Y553" s="1">
        <v>500</v>
      </c>
      <c r="Z553" s="1">
        <v>0</v>
      </c>
      <c r="AA553">
        <v>1</v>
      </c>
      <c r="AB553" t="str">
        <f t="shared" si="8"/>
        <v>Defaulter</v>
      </c>
      <c r="AC553" s="1">
        <f>Table2[[#This Row],[BILL_AMT1]]-Table2[[#This Row],[PAY_AMT1]]</f>
        <v>28204</v>
      </c>
      <c r="AD553" s="1" t="str" cm="1">
        <f t="array" ref="AD553">_xlfn.IFS(Table2[[#This Row],[PAYMENT GAP]]&lt;=0,"No Gap / Overpaid",Table2[[#This Row],[PAYMENT GAP]]&lt;=25000,"Low Gap",Table2[[#This Row],[PAYMENT GAP]]&lt;=100000,"Medium Gap",
TRUE,"High Gap"
)</f>
        <v>Medium Gap</v>
      </c>
    </row>
    <row r="554" spans="1:30" x14ac:dyDescent="0.3">
      <c r="A554">
        <v>553</v>
      </c>
      <c r="B554" s="1">
        <v>50000</v>
      </c>
      <c r="C554" s="1" t="str" cm="1">
        <f t="array" ref="C554">_xlfn.IFS(Table2[[#This Row],[LIMIT_BAL]]&lt;=100000,"Low",Table2[[#This Row],[LIMIT_BAL]]&lt;=300000,"Medium",
TRUE,"High"
)</f>
        <v>Low</v>
      </c>
      <c r="D554" t="s">
        <v>2042</v>
      </c>
      <c r="E554" t="s">
        <v>2026</v>
      </c>
      <c r="F554" t="s">
        <v>2028</v>
      </c>
      <c r="G554">
        <v>56</v>
      </c>
      <c r="H554" t="str" cm="1">
        <f t="array" ref="H554">_xlfn.IFS(
Table2[[#This Row],[AGE]]&lt;30,"Young",
Table2[[#This Row],[AGE]]&lt;40,"Middle Age",
Table2[[#This Row],[AGE]]&lt;50,"Senior",
TRUE,"Super Senior"
)</f>
        <v>Super Senior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 s="1">
        <v>50715</v>
      </c>
      <c r="P554" s="1">
        <v>51073</v>
      </c>
      <c r="Q554" s="1">
        <v>28185</v>
      </c>
      <c r="R554" s="1">
        <v>28842</v>
      </c>
      <c r="S554" s="1">
        <v>30399</v>
      </c>
      <c r="T554" s="1">
        <v>29977</v>
      </c>
      <c r="U554" s="1">
        <v>2500</v>
      </c>
      <c r="V554" s="1">
        <v>1500</v>
      </c>
      <c r="W554" s="1">
        <v>1100</v>
      </c>
      <c r="X554" s="1">
        <v>2000</v>
      </c>
      <c r="Y554" s="1">
        <v>1500</v>
      </c>
      <c r="Z554" s="1">
        <v>1017</v>
      </c>
      <c r="AA554">
        <v>1</v>
      </c>
      <c r="AB554" t="str">
        <f t="shared" si="8"/>
        <v>Defaulter</v>
      </c>
      <c r="AC554" s="1">
        <f>Table2[[#This Row],[BILL_AMT1]]-Table2[[#This Row],[PAY_AMT1]]</f>
        <v>48215</v>
      </c>
      <c r="AD554" s="1" t="str" cm="1">
        <f t="array" ref="AD554">_xlfn.IFS(Table2[[#This Row],[PAYMENT GAP]]&lt;=0,"No Gap / Overpaid",Table2[[#This Row],[PAYMENT GAP]]&lt;=25000,"Low Gap",Table2[[#This Row],[PAYMENT GAP]]&lt;=100000,"Medium Gap",
TRUE,"High Gap"
)</f>
        <v>Medium Gap</v>
      </c>
    </row>
    <row r="555" spans="1:30" x14ac:dyDescent="0.3">
      <c r="A555">
        <v>554</v>
      </c>
      <c r="B555" s="1">
        <v>240000</v>
      </c>
      <c r="C555" s="1" t="str" cm="1">
        <f t="array" ref="C555">_xlfn.IFS(Table2[[#This Row],[LIMIT_BAL]]&lt;=100000,"Low",Table2[[#This Row],[LIMIT_BAL]]&lt;=300000,"Medium",
TRUE,"High"
)</f>
        <v>Medium</v>
      </c>
      <c r="D555" t="s">
        <v>2041</v>
      </c>
      <c r="E555" t="s">
        <v>2026</v>
      </c>
      <c r="F555" t="s">
        <v>2028</v>
      </c>
      <c r="G555">
        <v>42</v>
      </c>
      <c r="H555" t="str" cm="1">
        <f t="array" ref="H555">_xlfn.IFS(
Table2[[#This Row],[AGE]]&lt;30,"Young",
Table2[[#This Row],[AGE]]&lt;40,"Middle Age",
Table2[[#This Row],[AGE]]&lt;50,"Senior",
TRUE,"Super Senior"
)</f>
        <v>Senior</v>
      </c>
      <c r="I555">
        <v>1</v>
      </c>
      <c r="J555">
        <v>-1</v>
      </c>
      <c r="K555">
        <v>-1</v>
      </c>
      <c r="L555">
        <v>-2</v>
      </c>
      <c r="M555">
        <v>-2</v>
      </c>
      <c r="N555">
        <v>-2</v>
      </c>
      <c r="O555" s="1">
        <v>0</v>
      </c>
      <c r="P555" s="1">
        <v>6370</v>
      </c>
      <c r="Q555" s="1">
        <v>0</v>
      </c>
      <c r="R555" s="1">
        <v>0</v>
      </c>
      <c r="S555" s="1">
        <v>0</v>
      </c>
      <c r="T555" s="1">
        <v>0</v>
      </c>
      <c r="U555" s="1">
        <v>6370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>
        <v>0</v>
      </c>
      <c r="AB555" t="str">
        <f t="shared" si="8"/>
        <v>Not Defaulter</v>
      </c>
      <c r="AC555" s="1">
        <f>Table2[[#This Row],[BILL_AMT1]]-Table2[[#This Row],[PAY_AMT1]]</f>
        <v>-6370</v>
      </c>
      <c r="AD555" s="1" t="str" cm="1">
        <f t="array" ref="AD555">_xlfn.IFS(Table2[[#This Row],[PAYMENT GAP]]&lt;=0,"No Gap / Overpaid",Table2[[#This Row],[PAYMENT GAP]]&lt;=25000,"Low Gap",Table2[[#This Row],[PAYMENT GAP]]&lt;=100000,"Medium Gap",
TRUE,"High Gap"
)</f>
        <v>No Gap / Overpaid</v>
      </c>
    </row>
    <row r="556" spans="1:30" x14ac:dyDescent="0.3">
      <c r="A556">
        <v>555</v>
      </c>
      <c r="B556" s="1">
        <v>40000</v>
      </c>
      <c r="C556" s="1" t="str" cm="1">
        <f t="array" ref="C556">_xlfn.IFS(Table2[[#This Row],[LIMIT_BAL]]&lt;=100000,"Low",Table2[[#This Row],[LIMIT_BAL]]&lt;=300000,"Medium",
TRUE,"High"
)</f>
        <v>Low</v>
      </c>
      <c r="D556" t="s">
        <v>2041</v>
      </c>
      <c r="E556" t="s">
        <v>2043</v>
      </c>
      <c r="F556" t="s">
        <v>2029</v>
      </c>
      <c r="G556">
        <v>24</v>
      </c>
      <c r="H556" t="str" cm="1">
        <f t="array" ref="H556">_xlfn.IFS(
Table2[[#This Row],[AGE]]&lt;30,"Young",
Table2[[#This Row],[AGE]]&lt;40,"Middle Age",
Table2[[#This Row],[AGE]]&lt;50,"Senior",
TRUE,"Super Senior"
)</f>
        <v>Young</v>
      </c>
      <c r="I556">
        <v>-2</v>
      </c>
      <c r="J556">
        <v>-2</v>
      </c>
      <c r="K556">
        <v>-2</v>
      </c>
      <c r="L556">
        <v>-2</v>
      </c>
      <c r="M556">
        <v>-2</v>
      </c>
      <c r="N556">
        <v>-2</v>
      </c>
      <c r="O556" s="1">
        <v>35285</v>
      </c>
      <c r="P556" s="1">
        <v>36714</v>
      </c>
      <c r="Q556" s="1">
        <v>37356</v>
      </c>
      <c r="R556" s="1">
        <v>38184</v>
      </c>
      <c r="S556" s="1">
        <v>38724</v>
      </c>
      <c r="T556" s="1">
        <v>37255</v>
      </c>
      <c r="U556" s="1">
        <v>2000</v>
      </c>
      <c r="V556" s="1">
        <v>1600</v>
      </c>
      <c r="W556" s="1">
        <v>1401</v>
      </c>
      <c r="X556" s="1">
        <v>1607</v>
      </c>
      <c r="Y556" s="1">
        <v>1800</v>
      </c>
      <c r="Z556" s="1">
        <v>1751</v>
      </c>
      <c r="AA556">
        <v>0</v>
      </c>
      <c r="AB556" t="str">
        <f t="shared" si="8"/>
        <v>Not Defaulter</v>
      </c>
      <c r="AC556" s="1">
        <f>Table2[[#This Row],[BILL_AMT1]]-Table2[[#This Row],[PAY_AMT1]]</f>
        <v>33285</v>
      </c>
      <c r="AD556" s="1" t="str" cm="1">
        <f t="array" ref="AD556">_xlfn.IFS(Table2[[#This Row],[PAYMENT GAP]]&lt;=0,"No Gap / Overpaid",Table2[[#This Row],[PAYMENT GAP]]&lt;=25000,"Low Gap",Table2[[#This Row],[PAYMENT GAP]]&lt;=100000,"Medium Gap",
TRUE,"High Gap"
)</f>
        <v>Medium Gap</v>
      </c>
    </row>
    <row r="557" spans="1:30" x14ac:dyDescent="0.3">
      <c r="A557">
        <v>556</v>
      </c>
      <c r="B557" s="1">
        <v>630000</v>
      </c>
      <c r="C557" s="1" t="str" cm="1">
        <f t="array" ref="C557">_xlfn.IFS(Table2[[#This Row],[LIMIT_BAL]]&lt;=100000,"Low",Table2[[#This Row],[LIMIT_BAL]]&lt;=300000,"Medium",
TRUE,"High"
)</f>
        <v>High</v>
      </c>
      <c r="D557" t="s">
        <v>2041</v>
      </c>
      <c r="E557" t="s">
        <v>2043</v>
      </c>
      <c r="F557" t="s">
        <v>2028</v>
      </c>
      <c r="G557">
        <v>47</v>
      </c>
      <c r="H557" t="str" cm="1">
        <f t="array" ref="H557">_xlfn.IFS(
Table2[[#This Row],[AGE]]&lt;30,"Young",
Table2[[#This Row],[AGE]]&lt;40,"Middle Age",
Table2[[#This Row],[AGE]]&lt;50,"Senior",
TRUE,"Super Senior"
)</f>
        <v>Senior</v>
      </c>
      <c r="I557">
        <v>0</v>
      </c>
      <c r="J557">
        <v>0</v>
      </c>
      <c r="K557">
        <v>0</v>
      </c>
      <c r="L557">
        <v>-1</v>
      </c>
      <c r="M557">
        <v>-1</v>
      </c>
      <c r="N557">
        <v>-2</v>
      </c>
      <c r="O557" s="1">
        <v>37850</v>
      </c>
      <c r="P557" s="1">
        <v>68187</v>
      </c>
      <c r="Q557" s="1">
        <v>1207</v>
      </c>
      <c r="R557" s="1">
        <v>2632</v>
      </c>
      <c r="S557" s="1">
        <v>8654</v>
      </c>
      <c r="T557" s="1">
        <v>0</v>
      </c>
      <c r="U557" s="1">
        <v>38187</v>
      </c>
      <c r="V557" s="1">
        <v>1207</v>
      </c>
      <c r="W557" s="1">
        <v>2632</v>
      </c>
      <c r="X557" s="1">
        <v>8654</v>
      </c>
      <c r="Y557" s="1">
        <v>0</v>
      </c>
      <c r="Z557" s="1">
        <v>4981</v>
      </c>
      <c r="AA557">
        <v>0</v>
      </c>
      <c r="AB557" t="str">
        <f t="shared" si="8"/>
        <v>Not Defaulter</v>
      </c>
      <c r="AC557" s="1">
        <f>Table2[[#This Row],[BILL_AMT1]]-Table2[[#This Row],[PAY_AMT1]]</f>
        <v>-337</v>
      </c>
      <c r="AD557" s="1" t="str" cm="1">
        <f t="array" ref="AD557">_xlfn.IFS(Table2[[#This Row],[PAYMENT GAP]]&lt;=0,"No Gap / Overpaid",Table2[[#This Row],[PAYMENT GAP]]&lt;=25000,"Low Gap",Table2[[#This Row],[PAYMENT GAP]]&lt;=100000,"Medium Gap",
TRUE,"High Gap"
)</f>
        <v>No Gap / Overpaid</v>
      </c>
    </row>
    <row r="558" spans="1:30" x14ac:dyDescent="0.3">
      <c r="A558">
        <v>557</v>
      </c>
      <c r="B558" s="1">
        <v>160000</v>
      </c>
      <c r="C558" s="1" t="str" cm="1">
        <f t="array" ref="C558">_xlfn.IFS(Table2[[#This Row],[LIMIT_BAL]]&lt;=100000,"Low",Table2[[#This Row],[LIMIT_BAL]]&lt;=300000,"Medium",
TRUE,"High"
)</f>
        <v>Medium</v>
      </c>
      <c r="D558" t="s">
        <v>2041</v>
      </c>
      <c r="E558" t="s">
        <v>2026</v>
      </c>
      <c r="F558" t="s">
        <v>2028</v>
      </c>
      <c r="G558">
        <v>33</v>
      </c>
      <c r="H558" t="str" cm="1">
        <f t="array" ref="H558">_xlfn.IFS(
Table2[[#This Row],[AGE]]&lt;30,"Young",
Table2[[#This Row],[AGE]]&lt;40,"Middle Age",
Table2[[#This Row],[AGE]]&lt;50,"Senior",
TRUE,"Super Senior"
)</f>
        <v>Middle Age</v>
      </c>
      <c r="I558">
        <v>-2</v>
      </c>
      <c r="J558">
        <v>-2</v>
      </c>
      <c r="K558">
        <v>-2</v>
      </c>
      <c r="L558">
        <v>-2</v>
      </c>
      <c r="M558">
        <v>-2</v>
      </c>
      <c r="N558">
        <v>-2</v>
      </c>
      <c r="O558" s="1">
        <v>5233</v>
      </c>
      <c r="P558" s="1">
        <v>5393</v>
      </c>
      <c r="Q558" s="1">
        <v>1824</v>
      </c>
      <c r="R558" s="1">
        <v>350</v>
      </c>
      <c r="S558" s="1">
        <v>150</v>
      </c>
      <c r="T558" s="1">
        <v>199</v>
      </c>
      <c r="U558" s="1">
        <v>5401</v>
      </c>
      <c r="V558" s="1">
        <v>1829</v>
      </c>
      <c r="W558" s="1">
        <v>350</v>
      </c>
      <c r="X558" s="1">
        <v>150</v>
      </c>
      <c r="Y558" s="1">
        <v>199</v>
      </c>
      <c r="Z558" s="1">
        <v>1145</v>
      </c>
      <c r="AA558">
        <v>0</v>
      </c>
      <c r="AB558" t="str">
        <f t="shared" si="8"/>
        <v>Not Defaulter</v>
      </c>
      <c r="AC558" s="1">
        <f>Table2[[#This Row],[BILL_AMT1]]-Table2[[#This Row],[PAY_AMT1]]</f>
        <v>-168</v>
      </c>
      <c r="AD558" s="1" t="str" cm="1">
        <f t="array" ref="AD558">_xlfn.IFS(Table2[[#This Row],[PAYMENT GAP]]&lt;=0,"No Gap / Overpaid",Table2[[#This Row],[PAYMENT GAP]]&lt;=25000,"Low Gap",Table2[[#This Row],[PAYMENT GAP]]&lt;=100000,"Medium Gap",
TRUE,"High Gap"
)</f>
        <v>No Gap / Overpaid</v>
      </c>
    </row>
    <row r="559" spans="1:30" x14ac:dyDescent="0.3">
      <c r="A559">
        <v>558</v>
      </c>
      <c r="B559" s="1">
        <v>110000</v>
      </c>
      <c r="C559" s="1" t="str" cm="1">
        <f t="array" ref="C559">_xlfn.IFS(Table2[[#This Row],[LIMIT_BAL]]&lt;=100000,"Low",Table2[[#This Row],[LIMIT_BAL]]&lt;=300000,"Medium",
TRUE,"High"
)</f>
        <v>Medium</v>
      </c>
      <c r="D559" t="s">
        <v>2041</v>
      </c>
      <c r="E559" t="s">
        <v>2043</v>
      </c>
      <c r="F559" t="s">
        <v>2029</v>
      </c>
      <c r="G559">
        <v>32</v>
      </c>
      <c r="H559" t="str" cm="1">
        <f t="array" ref="H559">_xlfn.IFS(
Table2[[#This Row],[AGE]]&lt;30,"Young",
Table2[[#This Row],[AGE]]&lt;40,"Middle Age",
Table2[[#This Row],[AGE]]&lt;50,"Senior",
TRUE,"Super Senior"
)</f>
        <v>Middle Age</v>
      </c>
      <c r="I559">
        <v>0</v>
      </c>
      <c r="J559">
        <v>0</v>
      </c>
      <c r="K559">
        <v>2</v>
      </c>
      <c r="L559">
        <v>2</v>
      </c>
      <c r="M559">
        <v>2</v>
      </c>
      <c r="N559">
        <v>2</v>
      </c>
      <c r="O559" s="1">
        <v>65299</v>
      </c>
      <c r="P559" s="1">
        <v>74565</v>
      </c>
      <c r="Q559" s="1">
        <v>78516</v>
      </c>
      <c r="R559" s="1">
        <v>79829</v>
      </c>
      <c r="S559" s="1">
        <v>81603</v>
      </c>
      <c r="T559" s="1">
        <v>83206</v>
      </c>
      <c r="U559" s="1">
        <v>11000</v>
      </c>
      <c r="V559" s="1">
        <v>5800</v>
      </c>
      <c r="W559" s="1">
        <v>3200</v>
      </c>
      <c r="X559" s="1">
        <v>3200</v>
      </c>
      <c r="Y559" s="1">
        <v>3100</v>
      </c>
      <c r="Z559" s="1">
        <v>3000</v>
      </c>
      <c r="AA559">
        <v>0</v>
      </c>
      <c r="AB559" t="str">
        <f t="shared" si="8"/>
        <v>Not Defaulter</v>
      </c>
      <c r="AC559" s="1">
        <f>Table2[[#This Row],[BILL_AMT1]]-Table2[[#This Row],[PAY_AMT1]]</f>
        <v>54299</v>
      </c>
      <c r="AD559" s="1" t="str" cm="1">
        <f t="array" ref="AD559">_xlfn.IFS(Table2[[#This Row],[PAYMENT GAP]]&lt;=0,"No Gap / Overpaid",Table2[[#This Row],[PAYMENT GAP]]&lt;=25000,"Low Gap",Table2[[#This Row],[PAYMENT GAP]]&lt;=100000,"Medium Gap",
TRUE,"High Gap"
)</f>
        <v>Medium Gap</v>
      </c>
    </row>
    <row r="560" spans="1:30" x14ac:dyDescent="0.3">
      <c r="A560">
        <v>559</v>
      </c>
      <c r="B560" s="1">
        <v>20000</v>
      </c>
      <c r="C560" s="1" t="str" cm="1">
        <f t="array" ref="C560">_xlfn.IFS(Table2[[#This Row],[LIMIT_BAL]]&lt;=100000,"Low",Table2[[#This Row],[LIMIT_BAL]]&lt;=300000,"Medium",
TRUE,"High"
)</f>
        <v>Low</v>
      </c>
      <c r="D560" t="s">
        <v>2042</v>
      </c>
      <c r="E560" t="s">
        <v>2043</v>
      </c>
      <c r="F560" t="s">
        <v>2029</v>
      </c>
      <c r="G560">
        <v>29</v>
      </c>
      <c r="H560" t="str" cm="1">
        <f t="array" ref="H560">_xlfn.IFS(
Table2[[#This Row],[AGE]]&lt;30,"Young",
Table2[[#This Row],[AGE]]&lt;40,"Middle Age",
Table2[[#This Row],[AGE]]&lt;50,"Senior",
TRUE,"Super Senior"
)</f>
        <v>Young</v>
      </c>
      <c r="I560">
        <v>0</v>
      </c>
      <c r="J560">
        <v>0</v>
      </c>
      <c r="K560">
        <v>0</v>
      </c>
      <c r="L560">
        <v>-2</v>
      </c>
      <c r="M560">
        <v>-2</v>
      </c>
      <c r="N560">
        <v>-2</v>
      </c>
      <c r="O560" s="1">
        <v>17208</v>
      </c>
      <c r="P560" s="1">
        <v>18419</v>
      </c>
      <c r="Q560" s="1">
        <v>0</v>
      </c>
      <c r="R560" s="1">
        <v>0</v>
      </c>
      <c r="S560" s="1">
        <v>0</v>
      </c>
      <c r="T560" s="1">
        <v>0</v>
      </c>
      <c r="U560" s="1">
        <v>2055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>
        <v>0</v>
      </c>
      <c r="AB560" t="str">
        <f t="shared" si="8"/>
        <v>Not Defaulter</v>
      </c>
      <c r="AC560" s="1">
        <f>Table2[[#This Row],[BILL_AMT1]]-Table2[[#This Row],[PAY_AMT1]]</f>
        <v>15153</v>
      </c>
      <c r="AD560" s="1" t="str" cm="1">
        <f t="array" ref="AD560">_xlfn.IFS(Table2[[#This Row],[PAYMENT GAP]]&lt;=0,"No Gap / Overpaid",Table2[[#This Row],[PAYMENT GAP]]&lt;=25000,"Low Gap",Table2[[#This Row],[PAYMENT GAP]]&lt;=100000,"Medium Gap",
TRUE,"High Gap"
)</f>
        <v>Low Gap</v>
      </c>
    </row>
    <row r="561" spans="1:30" x14ac:dyDescent="0.3">
      <c r="A561">
        <v>560</v>
      </c>
      <c r="B561" s="1">
        <v>210000</v>
      </c>
      <c r="C561" s="1" t="str" cm="1">
        <f t="array" ref="C561">_xlfn.IFS(Table2[[#This Row],[LIMIT_BAL]]&lt;=100000,"Low",Table2[[#This Row],[LIMIT_BAL]]&lt;=300000,"Medium",
TRUE,"High"
)</f>
        <v>Medium</v>
      </c>
      <c r="D561" t="s">
        <v>2041</v>
      </c>
      <c r="E561" t="s">
        <v>2027</v>
      </c>
      <c r="F561" t="s">
        <v>2028</v>
      </c>
      <c r="G561">
        <v>53</v>
      </c>
      <c r="H561" t="str" cm="1">
        <f t="array" ref="H561">_xlfn.IFS(
Table2[[#This Row],[AGE]]&lt;30,"Young",
Table2[[#This Row],[AGE]]&lt;40,"Middle Age",
Table2[[#This Row],[AGE]]&lt;50,"Senior",
TRUE,"Super Senior"
)</f>
        <v>Super Senior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 s="1">
        <v>57192</v>
      </c>
      <c r="P561" s="1">
        <v>58472</v>
      </c>
      <c r="Q561" s="1">
        <v>59658</v>
      </c>
      <c r="R561" s="1">
        <v>60466</v>
      </c>
      <c r="S561" s="1">
        <v>61593</v>
      </c>
      <c r="T561" s="1">
        <v>65163</v>
      </c>
      <c r="U561" s="1">
        <v>2800</v>
      </c>
      <c r="V561" s="1">
        <v>2753</v>
      </c>
      <c r="W561" s="1">
        <v>2400</v>
      </c>
      <c r="X561" s="1">
        <v>2255</v>
      </c>
      <c r="Y561" s="1">
        <v>4767</v>
      </c>
      <c r="Z561" s="1">
        <v>0</v>
      </c>
      <c r="AA561">
        <v>0</v>
      </c>
      <c r="AB561" t="str">
        <f t="shared" si="8"/>
        <v>Not Defaulter</v>
      </c>
      <c r="AC561" s="1">
        <f>Table2[[#This Row],[BILL_AMT1]]-Table2[[#This Row],[PAY_AMT1]]</f>
        <v>54392</v>
      </c>
      <c r="AD561" s="1" t="str" cm="1">
        <f t="array" ref="AD561">_xlfn.IFS(Table2[[#This Row],[PAYMENT GAP]]&lt;=0,"No Gap / Overpaid",Table2[[#This Row],[PAYMENT GAP]]&lt;=25000,"Low Gap",Table2[[#This Row],[PAYMENT GAP]]&lt;=100000,"Medium Gap",
TRUE,"High Gap"
)</f>
        <v>Medium Gap</v>
      </c>
    </row>
    <row r="562" spans="1:30" x14ac:dyDescent="0.3">
      <c r="A562">
        <v>561</v>
      </c>
      <c r="B562" s="1">
        <v>270000</v>
      </c>
      <c r="C562" s="1" t="str" cm="1">
        <f t="array" ref="C562">_xlfn.IFS(Table2[[#This Row],[LIMIT_BAL]]&lt;=100000,"Low",Table2[[#This Row],[LIMIT_BAL]]&lt;=300000,"Medium",
TRUE,"High"
)</f>
        <v>Medium</v>
      </c>
      <c r="D562" t="s">
        <v>2042</v>
      </c>
      <c r="E562" t="s">
        <v>2026</v>
      </c>
      <c r="F562" t="s">
        <v>2029</v>
      </c>
      <c r="G562">
        <v>34</v>
      </c>
      <c r="H562" t="str" cm="1">
        <f t="array" ref="H562">_xlfn.IFS(
Table2[[#This Row],[AGE]]&lt;30,"Young",
Table2[[#This Row],[AGE]]&lt;40,"Middle Age",
Table2[[#This Row],[AGE]]&lt;50,"Senior",
TRUE,"Super Senior"
)</f>
        <v>Middle Age</v>
      </c>
      <c r="I562">
        <v>-1</v>
      </c>
      <c r="J562">
        <v>-1</v>
      </c>
      <c r="K562">
        <v>0</v>
      </c>
      <c r="L562">
        <v>-1</v>
      </c>
      <c r="M562">
        <v>-1</v>
      </c>
      <c r="N562">
        <v>-1</v>
      </c>
      <c r="O562" s="1">
        <v>5780</v>
      </c>
      <c r="P562" s="1">
        <v>12006</v>
      </c>
      <c r="Q562" s="1">
        <v>15736</v>
      </c>
      <c r="R562" s="1">
        <v>6621</v>
      </c>
      <c r="S562" s="1">
        <v>2457</v>
      </c>
      <c r="T562" s="1">
        <v>14923</v>
      </c>
      <c r="U562" s="1">
        <v>12006</v>
      </c>
      <c r="V562" s="1">
        <v>5736</v>
      </c>
      <c r="W562" s="1">
        <v>6621</v>
      </c>
      <c r="X562" s="1">
        <v>2457</v>
      </c>
      <c r="Y562" s="1">
        <v>14923</v>
      </c>
      <c r="Z562" s="1">
        <v>1712</v>
      </c>
      <c r="AA562">
        <v>0</v>
      </c>
      <c r="AB562" t="str">
        <f t="shared" si="8"/>
        <v>Not Defaulter</v>
      </c>
      <c r="AC562" s="1">
        <f>Table2[[#This Row],[BILL_AMT1]]-Table2[[#This Row],[PAY_AMT1]]</f>
        <v>-6226</v>
      </c>
      <c r="AD562" s="1" t="str" cm="1">
        <f t="array" ref="AD562">_xlfn.IFS(Table2[[#This Row],[PAYMENT GAP]]&lt;=0,"No Gap / Overpaid",Table2[[#This Row],[PAYMENT GAP]]&lt;=25000,"Low Gap",Table2[[#This Row],[PAYMENT GAP]]&lt;=100000,"Medium Gap",
TRUE,"High Gap"
)</f>
        <v>No Gap / Overpaid</v>
      </c>
    </row>
    <row r="563" spans="1:30" x14ac:dyDescent="0.3">
      <c r="A563">
        <v>562</v>
      </c>
      <c r="B563" s="1">
        <v>360000</v>
      </c>
      <c r="C563" s="1" t="str" cm="1">
        <f t="array" ref="C563">_xlfn.IFS(Table2[[#This Row],[LIMIT_BAL]]&lt;=100000,"Low",Table2[[#This Row],[LIMIT_BAL]]&lt;=300000,"Medium",
TRUE,"High"
)</f>
        <v>High</v>
      </c>
      <c r="D563" t="s">
        <v>2041</v>
      </c>
      <c r="E563" t="s">
        <v>2043</v>
      </c>
      <c r="F563" t="s">
        <v>2029</v>
      </c>
      <c r="G563">
        <v>52</v>
      </c>
      <c r="H563" t="str" cm="1">
        <f t="array" ref="H563">_xlfn.IFS(
Table2[[#This Row],[AGE]]&lt;30,"Young",
Table2[[#This Row],[AGE]]&lt;40,"Middle Age",
Table2[[#This Row],[AGE]]&lt;50,"Senior",
TRUE,"Super Senior"
)</f>
        <v>Super Senior</v>
      </c>
      <c r="I563">
        <v>-2</v>
      </c>
      <c r="J563">
        <v>-2</v>
      </c>
      <c r="K563">
        <v>-2</v>
      </c>
      <c r="L563">
        <v>-2</v>
      </c>
      <c r="M563">
        <v>-2</v>
      </c>
      <c r="N563">
        <v>-2</v>
      </c>
      <c r="O563" s="1">
        <v>640</v>
      </c>
      <c r="P563" s="1">
        <v>2113</v>
      </c>
      <c r="Q563" s="1">
        <v>-6</v>
      </c>
      <c r="R563" s="1">
        <v>999</v>
      </c>
      <c r="S563" s="1">
        <v>944</v>
      </c>
      <c r="T563" s="1">
        <v>-3</v>
      </c>
      <c r="U563" s="1">
        <v>2231</v>
      </c>
      <c r="V563" s="1">
        <v>0</v>
      </c>
      <c r="W563" s="1">
        <v>1005</v>
      </c>
      <c r="X563" s="1">
        <v>948</v>
      </c>
      <c r="Y563" s="1">
        <v>0</v>
      </c>
      <c r="Z563" s="1">
        <v>789</v>
      </c>
      <c r="AA563">
        <v>0</v>
      </c>
      <c r="AB563" t="str">
        <f t="shared" si="8"/>
        <v>Not Defaulter</v>
      </c>
      <c r="AC563" s="1">
        <f>Table2[[#This Row],[BILL_AMT1]]-Table2[[#This Row],[PAY_AMT1]]</f>
        <v>-1591</v>
      </c>
      <c r="AD563" s="1" t="str" cm="1">
        <f t="array" ref="AD563">_xlfn.IFS(Table2[[#This Row],[PAYMENT GAP]]&lt;=0,"No Gap / Overpaid",Table2[[#This Row],[PAYMENT GAP]]&lt;=25000,"Low Gap",Table2[[#This Row],[PAYMENT GAP]]&lt;=100000,"Medium Gap",
TRUE,"High Gap"
)</f>
        <v>No Gap / Overpaid</v>
      </c>
    </row>
    <row r="564" spans="1:30" x14ac:dyDescent="0.3">
      <c r="A564">
        <v>563</v>
      </c>
      <c r="B564" s="1">
        <v>60000</v>
      </c>
      <c r="C564" s="1" t="str" cm="1">
        <f t="array" ref="C564">_xlfn.IFS(Table2[[#This Row],[LIMIT_BAL]]&lt;=100000,"Low",Table2[[#This Row],[LIMIT_BAL]]&lt;=300000,"Medium",
TRUE,"High"
)</f>
        <v>Low</v>
      </c>
      <c r="D564" t="s">
        <v>2041</v>
      </c>
      <c r="E564" t="s">
        <v>2043</v>
      </c>
      <c r="F564" t="s">
        <v>2028</v>
      </c>
      <c r="G564">
        <v>42</v>
      </c>
      <c r="H564" t="str" cm="1">
        <f t="array" ref="H564">_xlfn.IFS(
Table2[[#This Row],[AGE]]&lt;30,"Young",
Table2[[#This Row],[AGE]]&lt;40,"Middle Age",
Table2[[#This Row],[AGE]]&lt;50,"Senior",
TRUE,"Super Senior"
)</f>
        <v>Senior</v>
      </c>
      <c r="I564">
        <v>-1</v>
      </c>
      <c r="J564">
        <v>-1</v>
      </c>
      <c r="K564">
        <v>-1</v>
      </c>
      <c r="L564">
        <v>-1</v>
      </c>
      <c r="M564">
        <v>-1</v>
      </c>
      <c r="N564">
        <v>-1</v>
      </c>
      <c r="O564" s="1">
        <v>631</v>
      </c>
      <c r="P564" s="1">
        <v>2790</v>
      </c>
      <c r="Q564" s="1">
        <v>1758</v>
      </c>
      <c r="R564" s="1">
        <v>416</v>
      </c>
      <c r="S564" s="1">
        <v>416</v>
      </c>
      <c r="T564" s="1">
        <v>3640</v>
      </c>
      <c r="U564" s="1">
        <v>2790</v>
      </c>
      <c r="V564" s="1">
        <v>1758</v>
      </c>
      <c r="W564" s="1">
        <v>416</v>
      </c>
      <c r="X564" s="1">
        <v>416</v>
      </c>
      <c r="Y564" s="1">
        <v>3640</v>
      </c>
      <c r="Z564" s="1">
        <v>730</v>
      </c>
      <c r="AA564">
        <v>0</v>
      </c>
      <c r="AB564" t="str">
        <f t="shared" si="8"/>
        <v>Not Defaulter</v>
      </c>
      <c r="AC564" s="1">
        <f>Table2[[#This Row],[BILL_AMT1]]-Table2[[#This Row],[PAY_AMT1]]</f>
        <v>-2159</v>
      </c>
      <c r="AD564" s="1" t="str" cm="1">
        <f t="array" ref="AD564">_xlfn.IFS(Table2[[#This Row],[PAYMENT GAP]]&lt;=0,"No Gap / Overpaid",Table2[[#This Row],[PAYMENT GAP]]&lt;=25000,"Low Gap",Table2[[#This Row],[PAYMENT GAP]]&lt;=100000,"Medium Gap",
TRUE,"High Gap"
)</f>
        <v>No Gap / Overpaid</v>
      </c>
    </row>
    <row r="565" spans="1:30" x14ac:dyDescent="0.3">
      <c r="A565">
        <v>564</v>
      </c>
      <c r="B565" s="1">
        <v>360000</v>
      </c>
      <c r="C565" s="1" t="str" cm="1">
        <f t="array" ref="C565">_xlfn.IFS(Table2[[#This Row],[LIMIT_BAL]]&lt;=100000,"Low",Table2[[#This Row],[LIMIT_BAL]]&lt;=300000,"Medium",
TRUE,"High"
)</f>
        <v>High</v>
      </c>
      <c r="D565" t="s">
        <v>2042</v>
      </c>
      <c r="E565" t="s">
        <v>2043</v>
      </c>
      <c r="F565" t="s">
        <v>2029</v>
      </c>
      <c r="G565">
        <v>38</v>
      </c>
      <c r="H565" t="str" cm="1">
        <f t="array" ref="H565">_xlfn.IFS(
Table2[[#This Row],[AGE]]&lt;30,"Young",
Table2[[#This Row],[AGE]]&lt;40,"Middle Age",
Table2[[#This Row],[AGE]]&lt;50,"Senior",
TRUE,"Super Senior"
)</f>
        <v>Middle Age</v>
      </c>
      <c r="I565">
        <v>-1</v>
      </c>
      <c r="J565">
        <v>0</v>
      </c>
      <c r="K565">
        <v>0</v>
      </c>
      <c r="L565">
        <v>0</v>
      </c>
      <c r="M565">
        <v>0</v>
      </c>
      <c r="N565">
        <v>0</v>
      </c>
      <c r="O565" s="1">
        <v>108351</v>
      </c>
      <c r="P565" s="1">
        <v>111201</v>
      </c>
      <c r="Q565" s="1">
        <v>63146</v>
      </c>
      <c r="R565" s="1">
        <v>63723</v>
      </c>
      <c r="S565" s="1">
        <v>65108</v>
      </c>
      <c r="T565" s="1">
        <v>66078</v>
      </c>
      <c r="U565" s="1">
        <v>8005</v>
      </c>
      <c r="V565" s="1">
        <v>8004</v>
      </c>
      <c r="W565" s="1">
        <v>5000</v>
      </c>
      <c r="X565" s="1">
        <v>5000</v>
      </c>
      <c r="Y565" s="1">
        <v>5000</v>
      </c>
      <c r="Z565" s="1">
        <v>105700</v>
      </c>
      <c r="AA565">
        <v>0</v>
      </c>
      <c r="AB565" t="str">
        <f t="shared" si="8"/>
        <v>Not Defaulter</v>
      </c>
      <c r="AC565" s="1">
        <f>Table2[[#This Row],[BILL_AMT1]]-Table2[[#This Row],[PAY_AMT1]]</f>
        <v>100346</v>
      </c>
      <c r="AD565" s="1" t="str" cm="1">
        <f t="array" ref="AD565">_xlfn.IFS(Table2[[#This Row],[PAYMENT GAP]]&lt;=0,"No Gap / Overpaid",Table2[[#This Row],[PAYMENT GAP]]&lt;=25000,"Low Gap",Table2[[#This Row],[PAYMENT GAP]]&lt;=100000,"Medium Gap",
TRUE,"High Gap"
)</f>
        <v>High Gap</v>
      </c>
    </row>
    <row r="566" spans="1:30" x14ac:dyDescent="0.3">
      <c r="A566">
        <v>565</v>
      </c>
      <c r="B566" s="1">
        <v>390000</v>
      </c>
      <c r="C566" s="1" t="str" cm="1">
        <f t="array" ref="C566">_xlfn.IFS(Table2[[#This Row],[LIMIT_BAL]]&lt;=100000,"Low",Table2[[#This Row],[LIMIT_BAL]]&lt;=300000,"Medium",
TRUE,"High"
)</f>
        <v>High</v>
      </c>
      <c r="D566" t="s">
        <v>2041</v>
      </c>
      <c r="E566" t="s">
        <v>2026</v>
      </c>
      <c r="F566" t="s">
        <v>2029</v>
      </c>
      <c r="G566">
        <v>45</v>
      </c>
      <c r="H566" t="str" cm="1">
        <f t="array" ref="H566">_xlfn.IFS(
Table2[[#This Row],[AGE]]&lt;30,"Young",
Table2[[#This Row],[AGE]]&lt;40,"Middle Age",
Table2[[#This Row],[AGE]]&lt;50,"Senior",
TRUE,"Super Senior"
)</f>
        <v>Senior</v>
      </c>
      <c r="I566">
        <v>2</v>
      </c>
      <c r="J566">
        <v>2</v>
      </c>
      <c r="K566">
        <v>2</v>
      </c>
      <c r="L566">
        <v>-1</v>
      </c>
      <c r="M566">
        <v>2</v>
      </c>
      <c r="N566">
        <v>2</v>
      </c>
      <c r="O566" s="1">
        <v>834</v>
      </c>
      <c r="P566" s="1">
        <v>155</v>
      </c>
      <c r="Q566" s="1">
        <v>-1690</v>
      </c>
      <c r="R566" s="1">
        <v>4240</v>
      </c>
      <c r="S566" s="1">
        <v>3346</v>
      </c>
      <c r="T566" s="1">
        <v>2698</v>
      </c>
      <c r="U566" s="1">
        <v>1</v>
      </c>
      <c r="V566" s="1">
        <v>1693</v>
      </c>
      <c r="W566" s="1">
        <v>6940</v>
      </c>
      <c r="X566" s="1">
        <v>7</v>
      </c>
      <c r="Y566" s="1">
        <v>1230</v>
      </c>
      <c r="Z566" s="1">
        <v>3</v>
      </c>
      <c r="AA566">
        <v>0</v>
      </c>
      <c r="AB566" t="str">
        <f t="shared" si="8"/>
        <v>Not Defaulter</v>
      </c>
      <c r="AC566" s="1">
        <f>Table2[[#This Row],[BILL_AMT1]]-Table2[[#This Row],[PAY_AMT1]]</f>
        <v>833</v>
      </c>
      <c r="AD566" s="1" t="str" cm="1">
        <f t="array" ref="AD566">_xlfn.IFS(Table2[[#This Row],[PAYMENT GAP]]&lt;=0,"No Gap / Overpaid",Table2[[#This Row],[PAYMENT GAP]]&lt;=25000,"Low Gap",Table2[[#This Row],[PAYMENT GAP]]&lt;=100000,"Medium Gap",
TRUE,"High Gap"
)</f>
        <v>Low Gap</v>
      </c>
    </row>
    <row r="567" spans="1:30" x14ac:dyDescent="0.3">
      <c r="A567">
        <v>566</v>
      </c>
      <c r="B567" s="1">
        <v>250000</v>
      </c>
      <c r="C567" s="1" t="str" cm="1">
        <f t="array" ref="C567">_xlfn.IFS(Table2[[#This Row],[LIMIT_BAL]]&lt;=100000,"Low",Table2[[#This Row],[LIMIT_BAL]]&lt;=300000,"Medium",
TRUE,"High"
)</f>
        <v>Medium</v>
      </c>
      <c r="D567" t="s">
        <v>2041</v>
      </c>
      <c r="E567" t="s">
        <v>2027</v>
      </c>
      <c r="F567" t="s">
        <v>2029</v>
      </c>
      <c r="G567">
        <v>35</v>
      </c>
      <c r="H567" t="str" cm="1">
        <f t="array" ref="H567">_xlfn.IFS(
Table2[[#This Row],[AGE]]&lt;30,"Young",
Table2[[#This Row],[AGE]]&lt;40,"Middle Age",
Table2[[#This Row],[AGE]]&lt;50,"Senior",
TRUE,"Super Senior"
)</f>
        <v>Middle Age</v>
      </c>
      <c r="I567">
        <v>-2</v>
      </c>
      <c r="J567">
        <v>-2</v>
      </c>
      <c r="K567">
        <v>-2</v>
      </c>
      <c r="L567">
        <v>-2</v>
      </c>
      <c r="M567">
        <v>-2</v>
      </c>
      <c r="N567">
        <v>-2</v>
      </c>
      <c r="O567" s="1">
        <v>7244</v>
      </c>
      <c r="P567" s="1">
        <v>8472</v>
      </c>
      <c r="Q567" s="1">
        <v>1738</v>
      </c>
      <c r="R567" s="1">
        <v>6706</v>
      </c>
      <c r="S567" s="1">
        <v>2391</v>
      </c>
      <c r="T567" s="1">
        <v>11082</v>
      </c>
      <c r="U567" s="1">
        <v>8514</v>
      </c>
      <c r="V567" s="1">
        <v>1751</v>
      </c>
      <c r="W567" s="1">
        <v>6739</v>
      </c>
      <c r="X567" s="1">
        <v>2403</v>
      </c>
      <c r="Y567" s="1">
        <v>11137</v>
      </c>
      <c r="Z567" s="1">
        <v>13407</v>
      </c>
      <c r="AA567">
        <v>0</v>
      </c>
      <c r="AB567" t="str">
        <f t="shared" si="8"/>
        <v>Not Defaulter</v>
      </c>
      <c r="AC567" s="1">
        <f>Table2[[#This Row],[BILL_AMT1]]-Table2[[#This Row],[PAY_AMT1]]</f>
        <v>-1270</v>
      </c>
      <c r="AD567" s="1" t="str" cm="1">
        <f t="array" ref="AD567">_xlfn.IFS(Table2[[#This Row],[PAYMENT GAP]]&lt;=0,"No Gap / Overpaid",Table2[[#This Row],[PAYMENT GAP]]&lt;=25000,"Low Gap",Table2[[#This Row],[PAYMENT GAP]]&lt;=100000,"Medium Gap",
TRUE,"High Gap"
)</f>
        <v>No Gap / Overpaid</v>
      </c>
    </row>
    <row r="568" spans="1:30" x14ac:dyDescent="0.3">
      <c r="A568">
        <v>567</v>
      </c>
      <c r="B568" s="1">
        <v>90000</v>
      </c>
      <c r="C568" s="1" t="str" cm="1">
        <f t="array" ref="C568">_xlfn.IFS(Table2[[#This Row],[LIMIT_BAL]]&lt;=100000,"Low",Table2[[#This Row],[LIMIT_BAL]]&lt;=300000,"Medium",
TRUE,"High"
)</f>
        <v>Low</v>
      </c>
      <c r="D568" t="s">
        <v>2041</v>
      </c>
      <c r="E568" t="s">
        <v>2026</v>
      </c>
      <c r="F568" t="s">
        <v>2029</v>
      </c>
      <c r="G568">
        <v>24</v>
      </c>
      <c r="H568" t="str" cm="1">
        <f t="array" ref="H568">_xlfn.IFS(
Table2[[#This Row],[AGE]]&lt;30,"Young",
Table2[[#This Row],[AGE]]&lt;40,"Middle Age",
Table2[[#This Row],[AGE]]&lt;50,"Senior",
TRUE,"Super Senior"
)</f>
        <v>Young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 s="1">
        <v>13141</v>
      </c>
      <c r="P568" s="1">
        <v>14526</v>
      </c>
      <c r="Q568" s="1">
        <v>15482</v>
      </c>
      <c r="R568" s="1">
        <v>18219</v>
      </c>
      <c r="S568" s="1">
        <v>22737</v>
      </c>
      <c r="T568" s="1">
        <v>23387</v>
      </c>
      <c r="U568" s="1">
        <v>1600</v>
      </c>
      <c r="V568" s="1">
        <v>1500</v>
      </c>
      <c r="W568" s="1">
        <v>3000</v>
      </c>
      <c r="X568" s="1">
        <v>5000</v>
      </c>
      <c r="Y568" s="1">
        <v>1020</v>
      </c>
      <c r="Z568" s="1">
        <v>764</v>
      </c>
      <c r="AA568">
        <v>1</v>
      </c>
      <c r="AB568" t="str">
        <f t="shared" si="8"/>
        <v>Defaulter</v>
      </c>
      <c r="AC568" s="1">
        <f>Table2[[#This Row],[BILL_AMT1]]-Table2[[#This Row],[PAY_AMT1]]</f>
        <v>11541</v>
      </c>
      <c r="AD568" s="1" t="str" cm="1">
        <f t="array" ref="AD568">_xlfn.IFS(Table2[[#This Row],[PAYMENT GAP]]&lt;=0,"No Gap / Overpaid",Table2[[#This Row],[PAYMENT GAP]]&lt;=25000,"Low Gap",Table2[[#This Row],[PAYMENT GAP]]&lt;=100000,"Medium Gap",
TRUE,"High Gap"
)</f>
        <v>Low Gap</v>
      </c>
    </row>
    <row r="569" spans="1:30" x14ac:dyDescent="0.3">
      <c r="A569">
        <v>568</v>
      </c>
      <c r="B569" s="1">
        <v>360000</v>
      </c>
      <c r="C569" s="1" t="str" cm="1">
        <f t="array" ref="C569">_xlfn.IFS(Table2[[#This Row],[LIMIT_BAL]]&lt;=100000,"Low",Table2[[#This Row],[LIMIT_BAL]]&lt;=300000,"Medium",
TRUE,"High"
)</f>
        <v>High</v>
      </c>
      <c r="D569" t="s">
        <v>2042</v>
      </c>
      <c r="E569" t="s">
        <v>2026</v>
      </c>
      <c r="F569" t="s">
        <v>2029</v>
      </c>
      <c r="G569">
        <v>28</v>
      </c>
      <c r="H569" t="str" cm="1">
        <f t="array" ref="H569">_xlfn.IFS(
Table2[[#This Row],[AGE]]&lt;30,"Young",
Table2[[#This Row],[AGE]]&lt;40,"Middle Age",
Table2[[#This Row],[AGE]]&lt;50,"Senior",
TRUE,"Super Senior"
)</f>
        <v>Young</v>
      </c>
      <c r="I569">
        <v>-1</v>
      </c>
      <c r="J569">
        <v>-1</v>
      </c>
      <c r="K569">
        <v>-1</v>
      </c>
      <c r="L569">
        <v>-1</v>
      </c>
      <c r="M569">
        <v>-1</v>
      </c>
      <c r="N569">
        <v>-1</v>
      </c>
      <c r="O569" s="1">
        <v>7071</v>
      </c>
      <c r="P569" s="1">
        <v>401</v>
      </c>
      <c r="Q569" s="1">
        <v>3545</v>
      </c>
      <c r="R569" s="1">
        <v>10540</v>
      </c>
      <c r="S569" s="1">
        <v>10132</v>
      </c>
      <c r="T569" s="1">
        <v>6220</v>
      </c>
      <c r="U569" s="1">
        <v>1510</v>
      </c>
      <c r="V569" s="1">
        <v>3575</v>
      </c>
      <c r="W569" s="1">
        <v>10573</v>
      </c>
      <c r="X569" s="1">
        <v>10155</v>
      </c>
      <c r="Y569" s="1">
        <v>6240</v>
      </c>
      <c r="Z569" s="1">
        <v>16071</v>
      </c>
      <c r="AA569">
        <v>0</v>
      </c>
      <c r="AB569" t="str">
        <f t="shared" si="8"/>
        <v>Not Defaulter</v>
      </c>
      <c r="AC569" s="1">
        <f>Table2[[#This Row],[BILL_AMT1]]-Table2[[#This Row],[PAY_AMT1]]</f>
        <v>5561</v>
      </c>
      <c r="AD569" s="1" t="str" cm="1">
        <f t="array" ref="AD569">_xlfn.IFS(Table2[[#This Row],[PAYMENT GAP]]&lt;=0,"No Gap / Overpaid",Table2[[#This Row],[PAYMENT GAP]]&lt;=25000,"Low Gap",Table2[[#This Row],[PAYMENT GAP]]&lt;=100000,"Medium Gap",
TRUE,"High Gap"
)</f>
        <v>Low Gap</v>
      </c>
    </row>
    <row r="570" spans="1:30" x14ac:dyDescent="0.3">
      <c r="A570">
        <v>569</v>
      </c>
      <c r="B570" s="1">
        <v>50000</v>
      </c>
      <c r="C570" s="1" t="str" cm="1">
        <f t="array" ref="C570">_xlfn.IFS(Table2[[#This Row],[LIMIT_BAL]]&lt;=100000,"Low",Table2[[#This Row],[LIMIT_BAL]]&lt;=300000,"Medium",
TRUE,"High"
)</f>
        <v>Low</v>
      </c>
      <c r="D570" t="s">
        <v>2042</v>
      </c>
      <c r="E570" t="s">
        <v>2027</v>
      </c>
      <c r="F570" t="s">
        <v>2029</v>
      </c>
      <c r="G570">
        <v>26</v>
      </c>
      <c r="H570" t="str" cm="1">
        <f t="array" ref="H570">_xlfn.IFS(
Table2[[#This Row],[AGE]]&lt;30,"Young",
Table2[[#This Row],[AGE]]&lt;40,"Middle Age",
Table2[[#This Row],[AGE]]&lt;50,"Senior",
TRUE,"Super Senior"
)</f>
        <v>Young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 s="1">
        <v>35429</v>
      </c>
      <c r="P570" s="1">
        <v>30626</v>
      </c>
      <c r="Q570" s="1">
        <v>30241</v>
      </c>
      <c r="R570" s="1">
        <v>20284</v>
      </c>
      <c r="S570" s="1">
        <v>19166</v>
      </c>
      <c r="T570" s="1">
        <v>19567</v>
      </c>
      <c r="U570" s="1">
        <v>1537</v>
      </c>
      <c r="V570" s="1">
        <v>1947</v>
      </c>
      <c r="W570" s="1">
        <v>800</v>
      </c>
      <c r="X570" s="1">
        <v>1000</v>
      </c>
      <c r="Y570" s="1">
        <v>718</v>
      </c>
      <c r="Z570" s="1">
        <v>683</v>
      </c>
      <c r="AA570">
        <v>0</v>
      </c>
      <c r="AB570" t="str">
        <f t="shared" si="8"/>
        <v>Not Defaulter</v>
      </c>
      <c r="AC570" s="1">
        <f>Table2[[#This Row],[BILL_AMT1]]-Table2[[#This Row],[PAY_AMT1]]</f>
        <v>33892</v>
      </c>
      <c r="AD570" s="1" t="str" cm="1">
        <f t="array" ref="AD570">_xlfn.IFS(Table2[[#This Row],[PAYMENT GAP]]&lt;=0,"No Gap / Overpaid",Table2[[#This Row],[PAYMENT GAP]]&lt;=25000,"Low Gap",Table2[[#This Row],[PAYMENT GAP]]&lt;=100000,"Medium Gap",
TRUE,"High Gap"
)</f>
        <v>Medium Gap</v>
      </c>
    </row>
    <row r="571" spans="1:30" x14ac:dyDescent="0.3">
      <c r="A571">
        <v>570</v>
      </c>
      <c r="B571" s="1">
        <v>270000</v>
      </c>
      <c r="C571" s="1" t="str" cm="1">
        <f t="array" ref="C571">_xlfn.IFS(Table2[[#This Row],[LIMIT_BAL]]&lt;=100000,"Low",Table2[[#This Row],[LIMIT_BAL]]&lt;=300000,"Medium",
TRUE,"High"
)</f>
        <v>Medium</v>
      </c>
      <c r="D571" t="s">
        <v>2041</v>
      </c>
      <c r="E571" t="s">
        <v>2026</v>
      </c>
      <c r="F571" t="s">
        <v>2028</v>
      </c>
      <c r="G571">
        <v>40</v>
      </c>
      <c r="H571" t="str" cm="1">
        <f t="array" ref="H571">_xlfn.IFS(
Table2[[#This Row],[AGE]]&lt;30,"Young",
Table2[[#This Row],[AGE]]&lt;40,"Middle Age",
Table2[[#This Row],[AGE]]&lt;50,"Senior",
TRUE,"Super Senior"
)</f>
        <v>Senior</v>
      </c>
      <c r="I571">
        <v>0</v>
      </c>
      <c r="J571">
        <v>0</v>
      </c>
      <c r="K571">
        <v>0</v>
      </c>
      <c r="L571">
        <v>-2</v>
      </c>
      <c r="M571">
        <v>-2</v>
      </c>
      <c r="N571">
        <v>-2</v>
      </c>
      <c r="O571" s="1">
        <v>18751</v>
      </c>
      <c r="P571" s="1">
        <v>5706</v>
      </c>
      <c r="Q571" s="1">
        <v>0</v>
      </c>
      <c r="R571" s="1">
        <v>0</v>
      </c>
      <c r="S571" s="1">
        <v>0</v>
      </c>
      <c r="T571" s="1">
        <v>0</v>
      </c>
      <c r="U571" s="1">
        <v>1000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>
        <v>0</v>
      </c>
      <c r="AB571" t="str">
        <f t="shared" si="8"/>
        <v>Not Defaulter</v>
      </c>
      <c r="AC571" s="1">
        <f>Table2[[#This Row],[BILL_AMT1]]-Table2[[#This Row],[PAY_AMT1]]</f>
        <v>17751</v>
      </c>
      <c r="AD571" s="1" t="str" cm="1">
        <f t="array" ref="AD571">_xlfn.IFS(Table2[[#This Row],[PAYMENT GAP]]&lt;=0,"No Gap / Overpaid",Table2[[#This Row],[PAYMENT GAP]]&lt;=25000,"Low Gap",Table2[[#This Row],[PAYMENT GAP]]&lt;=100000,"Medium Gap",
TRUE,"High Gap"
)</f>
        <v>Low Gap</v>
      </c>
    </row>
    <row r="572" spans="1:30" x14ac:dyDescent="0.3">
      <c r="A572">
        <v>571</v>
      </c>
      <c r="B572" s="1">
        <v>200000</v>
      </c>
      <c r="C572" s="1" t="str" cm="1">
        <f t="array" ref="C572">_xlfn.IFS(Table2[[#This Row],[LIMIT_BAL]]&lt;=100000,"Low",Table2[[#This Row],[LIMIT_BAL]]&lt;=300000,"Medium",
TRUE,"High"
)</f>
        <v>Medium</v>
      </c>
      <c r="D572" t="s">
        <v>2041</v>
      </c>
      <c r="E572" t="s">
        <v>2026</v>
      </c>
      <c r="F572" t="s">
        <v>2029</v>
      </c>
      <c r="G572">
        <v>29</v>
      </c>
      <c r="H572" t="str" cm="1">
        <f t="array" ref="H572">_xlfn.IFS(
Table2[[#This Row],[AGE]]&lt;30,"Young",
Table2[[#This Row],[AGE]]&lt;40,"Middle Age",
Table2[[#This Row],[AGE]]&lt;50,"Senior",
TRUE,"Super Senior"
)</f>
        <v>Young</v>
      </c>
      <c r="I572">
        <v>1</v>
      </c>
      <c r="J572">
        <v>-1</v>
      </c>
      <c r="K572">
        <v>-1</v>
      </c>
      <c r="L572">
        <v>-1</v>
      </c>
      <c r="M572">
        <v>-1</v>
      </c>
      <c r="N572">
        <v>-1</v>
      </c>
      <c r="O572" s="1">
        <v>55788</v>
      </c>
      <c r="P572" s="1">
        <v>8360</v>
      </c>
      <c r="Q572" s="1">
        <v>4897</v>
      </c>
      <c r="R572" s="1">
        <v>5065</v>
      </c>
      <c r="S572" s="1">
        <v>19468</v>
      </c>
      <c r="T572" s="1">
        <v>0</v>
      </c>
      <c r="U572" s="1">
        <v>8394</v>
      </c>
      <c r="V572" s="1">
        <v>4927</v>
      </c>
      <c r="W572" s="1">
        <v>5089</v>
      </c>
      <c r="X572" s="1">
        <v>19561</v>
      </c>
      <c r="Y572" s="1">
        <v>0</v>
      </c>
      <c r="Z572" s="1">
        <v>125</v>
      </c>
      <c r="AA572">
        <v>0</v>
      </c>
      <c r="AB572" t="str">
        <f t="shared" si="8"/>
        <v>Not Defaulter</v>
      </c>
      <c r="AC572" s="1">
        <f>Table2[[#This Row],[BILL_AMT1]]-Table2[[#This Row],[PAY_AMT1]]</f>
        <v>47394</v>
      </c>
      <c r="AD572" s="1" t="str" cm="1">
        <f t="array" ref="AD572">_xlfn.IFS(Table2[[#This Row],[PAYMENT GAP]]&lt;=0,"No Gap / Overpaid",Table2[[#This Row],[PAYMENT GAP]]&lt;=25000,"Low Gap",Table2[[#This Row],[PAYMENT GAP]]&lt;=100000,"Medium Gap",
TRUE,"High Gap"
)</f>
        <v>Medium Gap</v>
      </c>
    </row>
    <row r="573" spans="1:30" x14ac:dyDescent="0.3">
      <c r="A573">
        <v>572</v>
      </c>
      <c r="B573" s="1">
        <v>50000</v>
      </c>
      <c r="C573" s="1" t="str" cm="1">
        <f t="array" ref="C573">_xlfn.IFS(Table2[[#This Row],[LIMIT_BAL]]&lt;=100000,"Low",Table2[[#This Row],[LIMIT_BAL]]&lt;=300000,"Medium",
TRUE,"High"
)</f>
        <v>Low</v>
      </c>
      <c r="D573" t="s">
        <v>2041</v>
      </c>
      <c r="E573" t="s">
        <v>2043</v>
      </c>
      <c r="F573" t="s">
        <v>2029</v>
      </c>
      <c r="G573">
        <v>23</v>
      </c>
      <c r="H573" t="str" cm="1">
        <f t="array" ref="H573">_xlfn.IFS(
Table2[[#This Row],[AGE]]&lt;30,"Young",
Table2[[#This Row],[AGE]]&lt;40,"Middle Age",
Table2[[#This Row],[AGE]]&lt;50,"Senior",
TRUE,"Super Senior"
)</f>
        <v>Young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 s="1">
        <v>49809</v>
      </c>
      <c r="P573" s="1">
        <v>50364</v>
      </c>
      <c r="Q573" s="1">
        <v>38429</v>
      </c>
      <c r="R573" s="1">
        <v>18815</v>
      </c>
      <c r="S573" s="1">
        <v>18305</v>
      </c>
      <c r="T573" s="1">
        <v>19013</v>
      </c>
      <c r="U573" s="1">
        <v>2040</v>
      </c>
      <c r="V573" s="1">
        <v>2766</v>
      </c>
      <c r="W573" s="1">
        <v>1690</v>
      </c>
      <c r="X573" s="1">
        <v>1000</v>
      </c>
      <c r="Y573" s="1">
        <v>1000</v>
      </c>
      <c r="Z573" s="1">
        <v>1000</v>
      </c>
      <c r="AA573">
        <v>0</v>
      </c>
      <c r="AB573" t="str">
        <f t="shared" si="8"/>
        <v>Not Defaulter</v>
      </c>
      <c r="AC573" s="1">
        <f>Table2[[#This Row],[BILL_AMT1]]-Table2[[#This Row],[PAY_AMT1]]</f>
        <v>47769</v>
      </c>
      <c r="AD573" s="1" t="str" cm="1">
        <f t="array" ref="AD573">_xlfn.IFS(Table2[[#This Row],[PAYMENT GAP]]&lt;=0,"No Gap / Overpaid",Table2[[#This Row],[PAYMENT GAP]]&lt;=25000,"Low Gap",Table2[[#This Row],[PAYMENT GAP]]&lt;=100000,"Medium Gap",
TRUE,"High Gap"
)</f>
        <v>Medium Gap</v>
      </c>
    </row>
    <row r="574" spans="1:30" x14ac:dyDescent="0.3">
      <c r="A574">
        <v>573</v>
      </c>
      <c r="B574" s="1">
        <v>350000</v>
      </c>
      <c r="C574" s="1" t="str" cm="1">
        <f t="array" ref="C574">_xlfn.IFS(Table2[[#This Row],[LIMIT_BAL]]&lt;=100000,"Low",Table2[[#This Row],[LIMIT_BAL]]&lt;=300000,"Medium",
TRUE,"High"
)</f>
        <v>High</v>
      </c>
      <c r="D574" t="s">
        <v>2042</v>
      </c>
      <c r="E574" t="s">
        <v>2026</v>
      </c>
      <c r="F574" t="s">
        <v>2029</v>
      </c>
      <c r="G574">
        <v>33</v>
      </c>
      <c r="H574" t="str" cm="1">
        <f t="array" ref="H574">_xlfn.IFS(
Table2[[#This Row],[AGE]]&lt;30,"Young",
Table2[[#This Row],[AGE]]&lt;40,"Middle Age",
Table2[[#This Row],[AGE]]&lt;50,"Senior",
TRUE,"Super Senior"
)</f>
        <v>Middle Age</v>
      </c>
      <c r="I574">
        <v>-1</v>
      </c>
      <c r="J574">
        <v>-1</v>
      </c>
      <c r="K574">
        <v>-1</v>
      </c>
      <c r="L574">
        <v>-2</v>
      </c>
      <c r="M574">
        <v>-2</v>
      </c>
      <c r="N574">
        <v>-1</v>
      </c>
      <c r="O574" s="1">
        <v>10900</v>
      </c>
      <c r="P574" s="1">
        <v>10478</v>
      </c>
      <c r="Q574" s="1">
        <v>-22</v>
      </c>
      <c r="R574" s="1">
        <v>-22</v>
      </c>
      <c r="S574" s="1">
        <v>-22</v>
      </c>
      <c r="T574" s="1">
        <v>4532</v>
      </c>
      <c r="U574" s="1">
        <v>10530</v>
      </c>
      <c r="V574" s="1">
        <v>0</v>
      </c>
      <c r="W574" s="1">
        <v>0</v>
      </c>
      <c r="X574" s="1">
        <v>0</v>
      </c>
      <c r="Y574" s="1">
        <v>4554</v>
      </c>
      <c r="Z574" s="1">
        <v>0</v>
      </c>
      <c r="AA574">
        <v>0</v>
      </c>
      <c r="AB574" t="str">
        <f t="shared" si="8"/>
        <v>Not Defaulter</v>
      </c>
      <c r="AC574" s="1">
        <f>Table2[[#This Row],[BILL_AMT1]]-Table2[[#This Row],[PAY_AMT1]]</f>
        <v>370</v>
      </c>
      <c r="AD574" s="1" t="str" cm="1">
        <f t="array" ref="AD574">_xlfn.IFS(Table2[[#This Row],[PAYMENT GAP]]&lt;=0,"No Gap / Overpaid",Table2[[#This Row],[PAYMENT GAP]]&lt;=25000,"Low Gap",Table2[[#This Row],[PAYMENT GAP]]&lt;=100000,"Medium Gap",
TRUE,"High Gap"
)</f>
        <v>Low Gap</v>
      </c>
    </row>
    <row r="575" spans="1:30" x14ac:dyDescent="0.3">
      <c r="A575">
        <v>574</v>
      </c>
      <c r="B575" s="1">
        <v>160000</v>
      </c>
      <c r="C575" s="1" t="str" cm="1">
        <f t="array" ref="C575">_xlfn.IFS(Table2[[#This Row],[LIMIT_BAL]]&lt;=100000,"Low",Table2[[#This Row],[LIMIT_BAL]]&lt;=300000,"Medium",
TRUE,"High"
)</f>
        <v>Medium</v>
      </c>
      <c r="D575" t="s">
        <v>2041</v>
      </c>
      <c r="E575" t="s">
        <v>2043</v>
      </c>
      <c r="F575" t="s">
        <v>2029</v>
      </c>
      <c r="G575">
        <v>60</v>
      </c>
      <c r="H575" t="str" cm="1">
        <f t="array" ref="H575">_xlfn.IFS(
Table2[[#This Row],[AGE]]&lt;30,"Young",
Table2[[#This Row],[AGE]]&lt;40,"Middle Age",
Table2[[#This Row],[AGE]]&lt;50,"Senior",
TRUE,"Super Senior"
)</f>
        <v>Super Senior</v>
      </c>
      <c r="I575">
        <v>-2</v>
      </c>
      <c r="J575">
        <v>-1</v>
      </c>
      <c r="K575">
        <v>-1</v>
      </c>
      <c r="L575">
        <v>0</v>
      </c>
      <c r="M575">
        <v>-1</v>
      </c>
      <c r="N575">
        <v>-1</v>
      </c>
      <c r="O575" s="1">
        <v>3128</v>
      </c>
      <c r="P575" s="1">
        <v>5156</v>
      </c>
      <c r="Q575" s="1">
        <v>1089</v>
      </c>
      <c r="R575" s="1">
        <v>489</v>
      </c>
      <c r="S575" s="1">
        <v>3177</v>
      </c>
      <c r="T575" s="1">
        <v>1009</v>
      </c>
      <c r="U575" s="1">
        <v>5156</v>
      </c>
      <c r="V575" s="1">
        <v>1089</v>
      </c>
      <c r="W575" s="1">
        <v>0</v>
      </c>
      <c r="X575" s="1">
        <v>3177</v>
      </c>
      <c r="Y575" s="1">
        <v>1009</v>
      </c>
      <c r="Z575" s="1">
        <v>0</v>
      </c>
      <c r="AA575">
        <v>1</v>
      </c>
      <c r="AB575" t="str">
        <f t="shared" si="8"/>
        <v>Defaulter</v>
      </c>
      <c r="AC575" s="1">
        <f>Table2[[#This Row],[BILL_AMT1]]-Table2[[#This Row],[PAY_AMT1]]</f>
        <v>-2028</v>
      </c>
      <c r="AD575" s="1" t="str" cm="1">
        <f t="array" ref="AD575">_xlfn.IFS(Table2[[#This Row],[PAYMENT GAP]]&lt;=0,"No Gap / Overpaid",Table2[[#This Row],[PAYMENT GAP]]&lt;=25000,"Low Gap",Table2[[#This Row],[PAYMENT GAP]]&lt;=100000,"Medium Gap",
TRUE,"High Gap"
)</f>
        <v>No Gap / Overpaid</v>
      </c>
    </row>
    <row r="576" spans="1:30" x14ac:dyDescent="0.3">
      <c r="A576">
        <v>575</v>
      </c>
      <c r="B576" s="1">
        <v>80000</v>
      </c>
      <c r="C576" s="1" t="str" cm="1">
        <f t="array" ref="C576">_xlfn.IFS(Table2[[#This Row],[LIMIT_BAL]]&lt;=100000,"Low",Table2[[#This Row],[LIMIT_BAL]]&lt;=300000,"Medium",
TRUE,"High"
)</f>
        <v>Low</v>
      </c>
      <c r="D576" t="s">
        <v>2041</v>
      </c>
      <c r="E576" t="s">
        <v>2027</v>
      </c>
      <c r="F576" t="s">
        <v>2028</v>
      </c>
      <c r="G576">
        <v>49</v>
      </c>
      <c r="H576" t="str" cm="1">
        <f t="array" ref="H576">_xlfn.IFS(
Table2[[#This Row],[AGE]]&lt;30,"Young",
Table2[[#This Row],[AGE]]&lt;40,"Middle Age",
Table2[[#This Row],[AGE]]&lt;50,"Senior",
TRUE,"Super Senior"
)</f>
        <v>Senior</v>
      </c>
      <c r="I576">
        <v>-1</v>
      </c>
      <c r="J576">
        <v>-1</v>
      </c>
      <c r="K576">
        <v>-1</v>
      </c>
      <c r="L576">
        <v>-1</v>
      </c>
      <c r="M576">
        <v>-1</v>
      </c>
      <c r="N576">
        <v>-1</v>
      </c>
      <c r="O576" s="1">
        <v>3367</v>
      </c>
      <c r="P576" s="1">
        <v>4641</v>
      </c>
      <c r="Q576" s="1">
        <v>2290</v>
      </c>
      <c r="R576" s="1">
        <v>1459</v>
      </c>
      <c r="S576" s="1">
        <v>6764</v>
      </c>
      <c r="T576" s="1">
        <v>7601</v>
      </c>
      <c r="U576" s="1">
        <v>4641</v>
      </c>
      <c r="V576" s="1">
        <v>2290</v>
      </c>
      <c r="W576" s="1">
        <v>1459</v>
      </c>
      <c r="X576" s="1">
        <v>6764</v>
      </c>
      <c r="Y576" s="1">
        <v>7601</v>
      </c>
      <c r="Z576" s="1">
        <v>7990</v>
      </c>
      <c r="AA576">
        <v>0</v>
      </c>
      <c r="AB576" t="str">
        <f t="shared" si="8"/>
        <v>Not Defaulter</v>
      </c>
      <c r="AC576" s="1">
        <f>Table2[[#This Row],[BILL_AMT1]]-Table2[[#This Row],[PAY_AMT1]]</f>
        <v>-1274</v>
      </c>
      <c r="AD576" s="1" t="str" cm="1">
        <f t="array" ref="AD576">_xlfn.IFS(Table2[[#This Row],[PAYMENT GAP]]&lt;=0,"No Gap / Overpaid",Table2[[#This Row],[PAYMENT GAP]]&lt;=25000,"Low Gap",Table2[[#This Row],[PAYMENT GAP]]&lt;=100000,"Medium Gap",
TRUE,"High Gap"
)</f>
        <v>No Gap / Overpaid</v>
      </c>
    </row>
    <row r="577" spans="1:30" x14ac:dyDescent="0.3">
      <c r="A577">
        <v>576</v>
      </c>
      <c r="B577" s="1">
        <v>290000</v>
      </c>
      <c r="C577" s="1" t="str" cm="1">
        <f t="array" ref="C577">_xlfn.IFS(Table2[[#This Row],[LIMIT_BAL]]&lt;=100000,"Low",Table2[[#This Row],[LIMIT_BAL]]&lt;=300000,"Medium",
TRUE,"High"
)</f>
        <v>Medium</v>
      </c>
      <c r="D577" t="s">
        <v>2042</v>
      </c>
      <c r="E577" t="s">
        <v>2026</v>
      </c>
      <c r="F577" t="s">
        <v>2028</v>
      </c>
      <c r="G577">
        <v>53</v>
      </c>
      <c r="H577" t="str" cm="1">
        <f t="array" ref="H577">_xlfn.IFS(
Table2[[#This Row],[AGE]]&lt;30,"Young",
Table2[[#This Row],[AGE]]&lt;40,"Middle Age",
Table2[[#This Row],[AGE]]&lt;50,"Senior",
TRUE,"Super Senior"
)</f>
        <v>Super Senior</v>
      </c>
      <c r="I577">
        <v>2</v>
      </c>
      <c r="J577">
        <v>0</v>
      </c>
      <c r="K577">
        <v>0</v>
      </c>
      <c r="L577">
        <v>0</v>
      </c>
      <c r="M577">
        <v>0</v>
      </c>
      <c r="N577">
        <v>0</v>
      </c>
      <c r="O577" s="1">
        <v>279610</v>
      </c>
      <c r="P577" s="1">
        <v>282024</v>
      </c>
      <c r="Q577" s="1">
        <v>282508</v>
      </c>
      <c r="R577" s="1">
        <v>284660</v>
      </c>
      <c r="S577" s="1">
        <v>255892</v>
      </c>
      <c r="T577" s="1">
        <v>238266</v>
      </c>
      <c r="U577" s="1">
        <v>13000</v>
      </c>
      <c r="V577" s="1">
        <v>10200</v>
      </c>
      <c r="W577" s="1">
        <v>10265</v>
      </c>
      <c r="X577" s="1">
        <v>8803</v>
      </c>
      <c r="Y577" s="1">
        <v>8300</v>
      </c>
      <c r="Z577" s="1">
        <v>8546</v>
      </c>
      <c r="AA577">
        <v>1</v>
      </c>
      <c r="AB577" t="str">
        <f t="shared" si="8"/>
        <v>Defaulter</v>
      </c>
      <c r="AC577" s="1">
        <f>Table2[[#This Row],[BILL_AMT1]]-Table2[[#This Row],[PAY_AMT1]]</f>
        <v>266610</v>
      </c>
      <c r="AD577" s="1" t="str" cm="1">
        <f t="array" ref="AD577">_xlfn.IFS(Table2[[#This Row],[PAYMENT GAP]]&lt;=0,"No Gap / Overpaid",Table2[[#This Row],[PAYMENT GAP]]&lt;=25000,"Low Gap",Table2[[#This Row],[PAYMENT GAP]]&lt;=100000,"Medium Gap",
TRUE,"High Gap"
)</f>
        <v>High Gap</v>
      </c>
    </row>
    <row r="578" spans="1:30" x14ac:dyDescent="0.3">
      <c r="A578">
        <v>577</v>
      </c>
      <c r="B578" s="1">
        <v>270000</v>
      </c>
      <c r="C578" s="1" t="str" cm="1">
        <f t="array" ref="C578">_xlfn.IFS(Table2[[#This Row],[LIMIT_BAL]]&lt;=100000,"Low",Table2[[#This Row],[LIMIT_BAL]]&lt;=300000,"Medium",
TRUE,"High"
)</f>
        <v>Medium</v>
      </c>
      <c r="D578" t="s">
        <v>2041</v>
      </c>
      <c r="E578" t="s">
        <v>2026</v>
      </c>
      <c r="F578" t="s">
        <v>2029</v>
      </c>
      <c r="G578">
        <v>28</v>
      </c>
      <c r="H578" t="str" cm="1">
        <f t="array" ref="H578">_xlfn.IFS(
Table2[[#This Row],[AGE]]&lt;30,"Young",
Table2[[#This Row],[AGE]]&lt;40,"Middle Age",
Table2[[#This Row],[AGE]]&lt;50,"Senior",
TRUE,"Super Senior"
)</f>
        <v>Young</v>
      </c>
      <c r="I578">
        <v>-1</v>
      </c>
      <c r="J578">
        <v>-1</v>
      </c>
      <c r="K578">
        <v>-1</v>
      </c>
      <c r="L578">
        <v>0</v>
      </c>
      <c r="M578">
        <v>0</v>
      </c>
      <c r="N578">
        <v>0</v>
      </c>
      <c r="O578" s="1">
        <v>475</v>
      </c>
      <c r="P578" s="1">
        <v>475</v>
      </c>
      <c r="Q578" s="1">
        <v>5691</v>
      </c>
      <c r="R578" s="1">
        <v>37526</v>
      </c>
      <c r="S578" s="1">
        <v>50565</v>
      </c>
      <c r="T578" s="1">
        <v>48888</v>
      </c>
      <c r="U578" s="1">
        <v>475</v>
      </c>
      <c r="V578" s="1">
        <v>5691</v>
      </c>
      <c r="W578" s="1">
        <v>34000</v>
      </c>
      <c r="X578" s="1">
        <v>14000</v>
      </c>
      <c r="Y578" s="1">
        <v>8000</v>
      </c>
      <c r="Z578" s="1">
        <v>15000</v>
      </c>
      <c r="AA578">
        <v>0</v>
      </c>
      <c r="AB578" t="str">
        <f t="shared" si="8"/>
        <v>Not Defaulter</v>
      </c>
      <c r="AC578" s="1">
        <f>Table2[[#This Row],[BILL_AMT1]]-Table2[[#This Row],[PAY_AMT1]]</f>
        <v>0</v>
      </c>
      <c r="AD578" s="1" t="str" cm="1">
        <f t="array" ref="AD578">_xlfn.IFS(Table2[[#This Row],[PAYMENT GAP]]&lt;=0,"No Gap / Overpaid",Table2[[#This Row],[PAYMENT GAP]]&lt;=25000,"Low Gap",Table2[[#This Row],[PAYMENT GAP]]&lt;=100000,"Medium Gap",
TRUE,"High Gap"
)</f>
        <v>No Gap / Overpaid</v>
      </c>
    </row>
    <row r="579" spans="1:30" x14ac:dyDescent="0.3">
      <c r="A579">
        <v>578</v>
      </c>
      <c r="B579" s="1">
        <v>80000</v>
      </c>
      <c r="C579" s="1" t="str" cm="1">
        <f t="array" ref="C579">_xlfn.IFS(Table2[[#This Row],[LIMIT_BAL]]&lt;=100000,"Low",Table2[[#This Row],[LIMIT_BAL]]&lt;=300000,"Medium",
TRUE,"High"
)</f>
        <v>Low</v>
      </c>
      <c r="D579" t="s">
        <v>2042</v>
      </c>
      <c r="E579" t="s">
        <v>2026</v>
      </c>
      <c r="F579" t="s">
        <v>2029</v>
      </c>
      <c r="G579">
        <v>31</v>
      </c>
      <c r="H579" t="str" cm="1">
        <f t="array" ref="H579">_xlfn.IFS(
Table2[[#This Row],[AGE]]&lt;30,"Young",
Table2[[#This Row],[AGE]]&lt;40,"Middle Age",
Table2[[#This Row],[AGE]]&lt;50,"Senior",
TRUE,"Super Senior"
)</f>
        <v>Middle Age</v>
      </c>
      <c r="I579">
        <v>-1</v>
      </c>
      <c r="J579">
        <v>-1</v>
      </c>
      <c r="K579">
        <v>-1</v>
      </c>
      <c r="L579">
        <v>-1</v>
      </c>
      <c r="M579">
        <v>2</v>
      </c>
      <c r="N579">
        <v>-1</v>
      </c>
      <c r="O579" s="1">
        <v>5994</v>
      </c>
      <c r="P579" s="1">
        <v>32223</v>
      </c>
      <c r="Q579" s="1">
        <v>8308</v>
      </c>
      <c r="R579" s="1">
        <v>4082</v>
      </c>
      <c r="S579" s="1">
        <v>538</v>
      </c>
      <c r="T579" s="1">
        <v>4085</v>
      </c>
      <c r="U579" s="1">
        <v>13647</v>
      </c>
      <c r="V579" s="1">
        <v>8314</v>
      </c>
      <c r="W579" s="1">
        <v>4082</v>
      </c>
      <c r="X579" s="1">
        <v>0</v>
      </c>
      <c r="Y579" s="1">
        <v>4085</v>
      </c>
      <c r="Z579" s="1">
        <v>0</v>
      </c>
      <c r="AA579">
        <v>0</v>
      </c>
      <c r="AB579" t="str">
        <f t="shared" ref="AB579:AB642" si="9">IF(AA579=1,"Defaulter","Not Defaulter")</f>
        <v>Not Defaulter</v>
      </c>
      <c r="AC579" s="1">
        <f>Table2[[#This Row],[BILL_AMT1]]-Table2[[#This Row],[PAY_AMT1]]</f>
        <v>-7653</v>
      </c>
      <c r="AD579" s="1" t="str" cm="1">
        <f t="array" ref="AD579">_xlfn.IFS(Table2[[#This Row],[PAYMENT GAP]]&lt;=0,"No Gap / Overpaid",Table2[[#This Row],[PAYMENT GAP]]&lt;=25000,"Low Gap",Table2[[#This Row],[PAYMENT GAP]]&lt;=100000,"Medium Gap",
TRUE,"High Gap"
)</f>
        <v>No Gap / Overpaid</v>
      </c>
    </row>
    <row r="580" spans="1:30" x14ac:dyDescent="0.3">
      <c r="A580">
        <v>579</v>
      </c>
      <c r="B580" s="1">
        <v>50000</v>
      </c>
      <c r="C580" s="1" t="str" cm="1">
        <f t="array" ref="C580">_xlfn.IFS(Table2[[#This Row],[LIMIT_BAL]]&lt;=100000,"Low",Table2[[#This Row],[LIMIT_BAL]]&lt;=300000,"Medium",
TRUE,"High"
)</f>
        <v>Low</v>
      </c>
      <c r="D580" t="s">
        <v>2042</v>
      </c>
      <c r="E580" t="s">
        <v>2043</v>
      </c>
      <c r="F580" t="s">
        <v>2029</v>
      </c>
      <c r="G580">
        <v>36</v>
      </c>
      <c r="H580" t="str" cm="1">
        <f t="array" ref="H580">_xlfn.IFS(
Table2[[#This Row],[AGE]]&lt;30,"Young",
Table2[[#This Row],[AGE]]&lt;40,"Middle Age",
Table2[[#This Row],[AGE]]&lt;50,"Senior",
TRUE,"Super Senior"
)</f>
        <v>Middle Age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 s="1">
        <v>5197</v>
      </c>
      <c r="P580" s="1">
        <v>6015</v>
      </c>
      <c r="Q580" s="1">
        <v>6615</v>
      </c>
      <c r="R580" s="1">
        <v>7131</v>
      </c>
      <c r="S580" s="1">
        <v>6987</v>
      </c>
      <c r="T580" s="1">
        <v>6980</v>
      </c>
      <c r="U580" s="1">
        <v>1300</v>
      </c>
      <c r="V580" s="1">
        <v>1100</v>
      </c>
      <c r="W580" s="1">
        <v>1000</v>
      </c>
      <c r="X580" s="1">
        <v>500</v>
      </c>
      <c r="Y580" s="1">
        <v>500</v>
      </c>
      <c r="Z580" s="1">
        <v>1000</v>
      </c>
      <c r="AA580">
        <v>0</v>
      </c>
      <c r="AB580" t="str">
        <f t="shared" si="9"/>
        <v>Not Defaulter</v>
      </c>
      <c r="AC580" s="1">
        <f>Table2[[#This Row],[BILL_AMT1]]-Table2[[#This Row],[PAY_AMT1]]</f>
        <v>3897</v>
      </c>
      <c r="AD580" s="1" t="str" cm="1">
        <f t="array" ref="AD580">_xlfn.IFS(Table2[[#This Row],[PAYMENT GAP]]&lt;=0,"No Gap / Overpaid",Table2[[#This Row],[PAYMENT GAP]]&lt;=25000,"Low Gap",Table2[[#This Row],[PAYMENT GAP]]&lt;=100000,"Medium Gap",
TRUE,"High Gap"
)</f>
        <v>Low Gap</v>
      </c>
    </row>
    <row r="581" spans="1:30" x14ac:dyDescent="0.3">
      <c r="A581">
        <v>580</v>
      </c>
      <c r="B581" s="1">
        <v>30000</v>
      </c>
      <c r="C581" s="1" t="str" cm="1">
        <f t="array" ref="C581">_xlfn.IFS(Table2[[#This Row],[LIMIT_BAL]]&lt;=100000,"Low",Table2[[#This Row],[LIMIT_BAL]]&lt;=300000,"Medium",
TRUE,"High"
)</f>
        <v>Low</v>
      </c>
      <c r="D581" t="s">
        <v>2042</v>
      </c>
      <c r="E581" t="s">
        <v>2043</v>
      </c>
      <c r="F581" t="s">
        <v>2028</v>
      </c>
      <c r="G581">
        <v>35</v>
      </c>
      <c r="H581" t="str" cm="1">
        <f t="array" ref="H581">_xlfn.IFS(
Table2[[#This Row],[AGE]]&lt;30,"Young",
Table2[[#This Row],[AGE]]&lt;40,"Middle Age",
Table2[[#This Row],[AGE]]&lt;50,"Senior",
TRUE,"Super Senior"
)</f>
        <v>Middle Age</v>
      </c>
      <c r="I581">
        <v>-2</v>
      </c>
      <c r="J581">
        <v>-1</v>
      </c>
      <c r="K581">
        <v>-1</v>
      </c>
      <c r="L581">
        <v>-1</v>
      </c>
      <c r="M581">
        <v>-1</v>
      </c>
      <c r="N581">
        <v>-2</v>
      </c>
      <c r="O581" s="1">
        <v>7797</v>
      </c>
      <c r="P581" s="1">
        <v>2687</v>
      </c>
      <c r="Q581" s="1">
        <v>8762</v>
      </c>
      <c r="R581" s="1">
        <v>3377</v>
      </c>
      <c r="S581" s="1">
        <v>2000</v>
      </c>
      <c r="T581" s="1">
        <v>0</v>
      </c>
      <c r="U581" s="1">
        <v>2687</v>
      </c>
      <c r="V581" s="1">
        <v>8765</v>
      </c>
      <c r="W581" s="1">
        <v>3390</v>
      </c>
      <c r="X581" s="1">
        <v>2040</v>
      </c>
      <c r="Y581" s="1">
        <v>0</v>
      </c>
      <c r="Z581" s="1">
        <v>0</v>
      </c>
      <c r="AA581">
        <v>0</v>
      </c>
      <c r="AB581" t="str">
        <f t="shared" si="9"/>
        <v>Not Defaulter</v>
      </c>
      <c r="AC581" s="1">
        <f>Table2[[#This Row],[BILL_AMT1]]-Table2[[#This Row],[PAY_AMT1]]</f>
        <v>5110</v>
      </c>
      <c r="AD581" s="1" t="str" cm="1">
        <f t="array" ref="AD581">_xlfn.IFS(Table2[[#This Row],[PAYMENT GAP]]&lt;=0,"No Gap / Overpaid",Table2[[#This Row],[PAYMENT GAP]]&lt;=25000,"Low Gap",Table2[[#This Row],[PAYMENT GAP]]&lt;=100000,"Medium Gap",
TRUE,"High Gap"
)</f>
        <v>Low Gap</v>
      </c>
    </row>
    <row r="582" spans="1:30" x14ac:dyDescent="0.3">
      <c r="A582">
        <v>581</v>
      </c>
      <c r="B582" s="1">
        <v>30000</v>
      </c>
      <c r="C582" s="1" t="str" cm="1">
        <f t="array" ref="C582">_xlfn.IFS(Table2[[#This Row],[LIMIT_BAL]]&lt;=100000,"Low",Table2[[#This Row],[LIMIT_BAL]]&lt;=300000,"Medium",
TRUE,"High"
)</f>
        <v>Low</v>
      </c>
      <c r="D582" t="s">
        <v>2042</v>
      </c>
      <c r="E582" t="s">
        <v>2043</v>
      </c>
      <c r="F582" t="s">
        <v>2029</v>
      </c>
      <c r="G582">
        <v>28</v>
      </c>
      <c r="H582" t="str" cm="1">
        <f t="array" ref="H582">_xlfn.IFS(
Table2[[#This Row],[AGE]]&lt;30,"Young",
Table2[[#This Row],[AGE]]&lt;40,"Middle Age",
Table2[[#This Row],[AGE]]&lt;50,"Senior",
TRUE,"Super Senior"
)</f>
        <v>Young</v>
      </c>
      <c r="I582">
        <v>1</v>
      </c>
      <c r="J582">
        <v>-1</v>
      </c>
      <c r="K582">
        <v>-1</v>
      </c>
      <c r="L582">
        <v>-2</v>
      </c>
      <c r="M582">
        <v>-2</v>
      </c>
      <c r="N582">
        <v>-2</v>
      </c>
      <c r="O582" s="1">
        <v>0</v>
      </c>
      <c r="P582" s="1">
        <v>780</v>
      </c>
      <c r="Q582" s="1">
        <v>0</v>
      </c>
      <c r="R582" s="1">
        <v>0</v>
      </c>
      <c r="S582" s="1">
        <v>0</v>
      </c>
      <c r="T582" s="1">
        <v>0</v>
      </c>
      <c r="U582" s="1">
        <v>780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>
        <v>1</v>
      </c>
      <c r="AB582" t="str">
        <f t="shared" si="9"/>
        <v>Defaulter</v>
      </c>
      <c r="AC582" s="1">
        <f>Table2[[#This Row],[BILL_AMT1]]-Table2[[#This Row],[PAY_AMT1]]</f>
        <v>-780</v>
      </c>
      <c r="AD582" s="1" t="str" cm="1">
        <f t="array" ref="AD582">_xlfn.IFS(Table2[[#This Row],[PAYMENT GAP]]&lt;=0,"No Gap / Overpaid",Table2[[#This Row],[PAYMENT GAP]]&lt;=25000,"Low Gap",Table2[[#This Row],[PAYMENT GAP]]&lt;=100000,"Medium Gap",
TRUE,"High Gap"
)</f>
        <v>No Gap / Overpaid</v>
      </c>
    </row>
    <row r="583" spans="1:30" x14ac:dyDescent="0.3">
      <c r="A583">
        <v>582</v>
      </c>
      <c r="B583" s="1">
        <v>90000</v>
      </c>
      <c r="C583" s="1" t="str" cm="1">
        <f t="array" ref="C583">_xlfn.IFS(Table2[[#This Row],[LIMIT_BAL]]&lt;=100000,"Low",Table2[[#This Row],[LIMIT_BAL]]&lt;=300000,"Medium",
TRUE,"High"
)</f>
        <v>Low</v>
      </c>
      <c r="D583" t="s">
        <v>2042</v>
      </c>
      <c r="E583" t="s">
        <v>2043</v>
      </c>
      <c r="F583" t="s">
        <v>2029</v>
      </c>
      <c r="G583">
        <v>33</v>
      </c>
      <c r="H583" t="str" cm="1">
        <f t="array" ref="H583">_xlfn.IFS(
Table2[[#This Row],[AGE]]&lt;30,"Young",
Table2[[#This Row],[AGE]]&lt;40,"Middle Age",
Table2[[#This Row],[AGE]]&lt;50,"Senior",
TRUE,"Super Senior"
)</f>
        <v>Middle Age</v>
      </c>
      <c r="I583">
        <v>-1</v>
      </c>
      <c r="J583">
        <v>0</v>
      </c>
      <c r="K583">
        <v>0</v>
      </c>
      <c r="L583">
        <v>0</v>
      </c>
      <c r="M583">
        <v>0</v>
      </c>
      <c r="N583">
        <v>0</v>
      </c>
      <c r="O583" s="1">
        <v>35785</v>
      </c>
      <c r="P583" s="1">
        <v>29155</v>
      </c>
      <c r="Q583" s="1">
        <v>27485</v>
      </c>
      <c r="R583" s="1">
        <v>29266</v>
      </c>
      <c r="S583" s="1">
        <v>35598</v>
      </c>
      <c r="T583" s="1">
        <v>38449</v>
      </c>
      <c r="U583" s="1">
        <v>15155</v>
      </c>
      <c r="V583" s="1">
        <v>5485</v>
      </c>
      <c r="W583" s="1">
        <v>5263</v>
      </c>
      <c r="X583" s="1">
        <v>8598</v>
      </c>
      <c r="Y583" s="1">
        <v>5449</v>
      </c>
      <c r="Z583" s="1">
        <v>6537</v>
      </c>
      <c r="AA583">
        <v>0</v>
      </c>
      <c r="AB583" t="str">
        <f t="shared" si="9"/>
        <v>Not Defaulter</v>
      </c>
      <c r="AC583" s="1">
        <f>Table2[[#This Row],[BILL_AMT1]]-Table2[[#This Row],[PAY_AMT1]]</f>
        <v>20630</v>
      </c>
      <c r="AD583" s="1" t="str" cm="1">
        <f t="array" ref="AD583">_xlfn.IFS(Table2[[#This Row],[PAYMENT GAP]]&lt;=0,"No Gap / Overpaid",Table2[[#This Row],[PAYMENT GAP]]&lt;=25000,"Low Gap",Table2[[#This Row],[PAYMENT GAP]]&lt;=100000,"Medium Gap",
TRUE,"High Gap"
)</f>
        <v>Low Gap</v>
      </c>
    </row>
    <row r="584" spans="1:30" x14ac:dyDescent="0.3">
      <c r="A584">
        <v>583</v>
      </c>
      <c r="B584" s="1">
        <v>160000</v>
      </c>
      <c r="C584" s="1" t="str" cm="1">
        <f t="array" ref="C584">_xlfn.IFS(Table2[[#This Row],[LIMIT_BAL]]&lt;=100000,"Low",Table2[[#This Row],[LIMIT_BAL]]&lt;=300000,"Medium",
TRUE,"High"
)</f>
        <v>Medium</v>
      </c>
      <c r="D584" t="s">
        <v>2042</v>
      </c>
      <c r="E584" t="s">
        <v>2026</v>
      </c>
      <c r="F584" t="s">
        <v>2029</v>
      </c>
      <c r="G584">
        <v>26</v>
      </c>
      <c r="H584" t="str" cm="1">
        <f t="array" ref="H584">_xlfn.IFS(
Table2[[#This Row],[AGE]]&lt;30,"Young",
Table2[[#This Row],[AGE]]&lt;40,"Middle Age",
Table2[[#This Row],[AGE]]&lt;50,"Senior",
TRUE,"Super Senior"
)</f>
        <v>Young</v>
      </c>
      <c r="I584">
        <v>-1</v>
      </c>
      <c r="J584">
        <v>-1</v>
      </c>
      <c r="K584">
        <v>-1</v>
      </c>
      <c r="L584">
        <v>-1</v>
      </c>
      <c r="M584">
        <v>-1</v>
      </c>
      <c r="N584">
        <v>-1</v>
      </c>
      <c r="O584" s="1">
        <v>1433</v>
      </c>
      <c r="P584" s="1">
        <v>3746</v>
      </c>
      <c r="Q584" s="1">
        <v>30258</v>
      </c>
      <c r="R584" s="1">
        <v>1036</v>
      </c>
      <c r="S584" s="1">
        <v>21572</v>
      </c>
      <c r="T584" s="1">
        <v>9528</v>
      </c>
      <c r="U584" s="1">
        <v>3757</v>
      </c>
      <c r="V584" s="1">
        <v>30348</v>
      </c>
      <c r="W584" s="1">
        <v>1044</v>
      </c>
      <c r="X584" s="1">
        <v>21636</v>
      </c>
      <c r="Y584" s="1">
        <v>9556</v>
      </c>
      <c r="Z584" s="1">
        <v>6066</v>
      </c>
      <c r="AA584">
        <v>0</v>
      </c>
      <c r="AB584" t="str">
        <f t="shared" si="9"/>
        <v>Not Defaulter</v>
      </c>
      <c r="AC584" s="1">
        <f>Table2[[#This Row],[BILL_AMT1]]-Table2[[#This Row],[PAY_AMT1]]</f>
        <v>-2324</v>
      </c>
      <c r="AD584" s="1" t="str" cm="1">
        <f t="array" ref="AD584">_xlfn.IFS(Table2[[#This Row],[PAYMENT GAP]]&lt;=0,"No Gap / Overpaid",Table2[[#This Row],[PAYMENT GAP]]&lt;=25000,"Low Gap",Table2[[#This Row],[PAYMENT GAP]]&lt;=100000,"Medium Gap",
TRUE,"High Gap"
)</f>
        <v>No Gap / Overpaid</v>
      </c>
    </row>
    <row r="585" spans="1:30" x14ac:dyDescent="0.3">
      <c r="A585">
        <v>584</v>
      </c>
      <c r="B585" s="1">
        <v>80000</v>
      </c>
      <c r="C585" s="1" t="str" cm="1">
        <f t="array" ref="C585">_xlfn.IFS(Table2[[#This Row],[LIMIT_BAL]]&lt;=100000,"Low",Table2[[#This Row],[LIMIT_BAL]]&lt;=300000,"Medium",
TRUE,"High"
)</f>
        <v>Low</v>
      </c>
      <c r="D585" t="s">
        <v>2041</v>
      </c>
      <c r="E585" t="s">
        <v>2027</v>
      </c>
      <c r="F585" t="s">
        <v>2029</v>
      </c>
      <c r="G585">
        <v>53</v>
      </c>
      <c r="H585" t="str" cm="1">
        <f t="array" ref="H585">_xlfn.IFS(
Table2[[#This Row],[AGE]]&lt;30,"Young",
Table2[[#This Row],[AGE]]&lt;40,"Middle Age",
Table2[[#This Row],[AGE]]&lt;50,"Senior",
TRUE,"Super Senior"
)</f>
        <v>Super Senior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 s="1">
        <v>77766</v>
      </c>
      <c r="P585" s="1">
        <v>77954</v>
      </c>
      <c r="Q585" s="1">
        <v>78512</v>
      </c>
      <c r="R585" s="1">
        <v>60452</v>
      </c>
      <c r="S585" s="1">
        <v>61556</v>
      </c>
      <c r="T585" s="1">
        <v>54022</v>
      </c>
      <c r="U585" s="1">
        <v>4000</v>
      </c>
      <c r="V585" s="1">
        <v>2374</v>
      </c>
      <c r="W585" s="1">
        <v>2007</v>
      </c>
      <c r="X585" s="1">
        <v>2500</v>
      </c>
      <c r="Y585" s="1">
        <v>3000</v>
      </c>
      <c r="Z585" s="1">
        <v>2000</v>
      </c>
      <c r="AA585">
        <v>0</v>
      </c>
      <c r="AB585" t="str">
        <f t="shared" si="9"/>
        <v>Not Defaulter</v>
      </c>
      <c r="AC585" s="1">
        <f>Table2[[#This Row],[BILL_AMT1]]-Table2[[#This Row],[PAY_AMT1]]</f>
        <v>73766</v>
      </c>
      <c r="AD585" s="1" t="str" cm="1">
        <f t="array" ref="AD585">_xlfn.IFS(Table2[[#This Row],[PAYMENT GAP]]&lt;=0,"No Gap / Overpaid",Table2[[#This Row],[PAYMENT GAP]]&lt;=25000,"Low Gap",Table2[[#This Row],[PAYMENT GAP]]&lt;=100000,"Medium Gap",
TRUE,"High Gap"
)</f>
        <v>Medium Gap</v>
      </c>
    </row>
    <row r="586" spans="1:30" x14ac:dyDescent="0.3">
      <c r="A586">
        <v>585</v>
      </c>
      <c r="B586" s="1">
        <v>50000</v>
      </c>
      <c r="C586" s="1" t="str" cm="1">
        <f t="array" ref="C586">_xlfn.IFS(Table2[[#This Row],[LIMIT_BAL]]&lt;=100000,"Low",Table2[[#This Row],[LIMIT_BAL]]&lt;=300000,"Medium",
TRUE,"High"
)</f>
        <v>Low</v>
      </c>
      <c r="D586" t="s">
        <v>2042</v>
      </c>
      <c r="E586" t="s">
        <v>2043</v>
      </c>
      <c r="F586" t="s">
        <v>2029</v>
      </c>
      <c r="G586">
        <v>42</v>
      </c>
      <c r="H586" t="str" cm="1">
        <f t="array" ref="H586">_xlfn.IFS(
Table2[[#This Row],[AGE]]&lt;30,"Young",
Table2[[#This Row],[AGE]]&lt;40,"Middle Age",
Table2[[#This Row],[AGE]]&lt;50,"Senior",
TRUE,"Super Senior"
)</f>
        <v>Senior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 s="1">
        <v>50300</v>
      </c>
      <c r="P586" s="1">
        <v>50898</v>
      </c>
      <c r="Q586" s="1">
        <v>49111</v>
      </c>
      <c r="R586" s="1">
        <v>48943</v>
      </c>
      <c r="S586" s="1">
        <v>45775</v>
      </c>
      <c r="T586" s="1">
        <v>0</v>
      </c>
      <c r="U586" s="1">
        <v>2200</v>
      </c>
      <c r="V586" s="1">
        <v>1600</v>
      </c>
      <c r="W586" s="1">
        <v>1700</v>
      </c>
      <c r="X586" s="1">
        <v>1700</v>
      </c>
      <c r="Y586" s="1">
        <v>0</v>
      </c>
      <c r="Z586" s="1">
        <v>0</v>
      </c>
      <c r="AA586">
        <v>0</v>
      </c>
      <c r="AB586" t="str">
        <f t="shared" si="9"/>
        <v>Not Defaulter</v>
      </c>
      <c r="AC586" s="1">
        <f>Table2[[#This Row],[BILL_AMT1]]-Table2[[#This Row],[PAY_AMT1]]</f>
        <v>48100</v>
      </c>
      <c r="AD586" s="1" t="str" cm="1">
        <f t="array" ref="AD586">_xlfn.IFS(Table2[[#This Row],[PAYMENT GAP]]&lt;=0,"No Gap / Overpaid",Table2[[#This Row],[PAYMENT GAP]]&lt;=25000,"Low Gap",Table2[[#This Row],[PAYMENT GAP]]&lt;=100000,"Medium Gap",
TRUE,"High Gap"
)</f>
        <v>Medium Gap</v>
      </c>
    </row>
    <row r="587" spans="1:30" x14ac:dyDescent="0.3">
      <c r="A587">
        <v>586</v>
      </c>
      <c r="B587" s="1">
        <v>20000</v>
      </c>
      <c r="C587" s="1" t="str" cm="1">
        <f t="array" ref="C587">_xlfn.IFS(Table2[[#This Row],[LIMIT_BAL]]&lt;=100000,"Low",Table2[[#This Row],[LIMIT_BAL]]&lt;=300000,"Medium",
TRUE,"High"
)</f>
        <v>Low</v>
      </c>
      <c r="D587" t="s">
        <v>2041</v>
      </c>
      <c r="E587" t="s">
        <v>2026</v>
      </c>
      <c r="F587" t="s">
        <v>2029</v>
      </c>
      <c r="G587">
        <v>25</v>
      </c>
      <c r="H587" t="str" cm="1">
        <f t="array" ref="H587">_xlfn.IFS(
Table2[[#This Row],[AGE]]&lt;30,"Young",
Table2[[#This Row],[AGE]]&lt;40,"Middle Age",
Table2[[#This Row],[AGE]]&lt;50,"Senior",
TRUE,"Super Senior"
)</f>
        <v>Young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2</v>
      </c>
      <c r="O587" s="1">
        <v>14603</v>
      </c>
      <c r="P587" s="1">
        <v>15661</v>
      </c>
      <c r="Q587" s="1">
        <v>16394</v>
      </c>
      <c r="R587" s="1">
        <v>16723</v>
      </c>
      <c r="S587" s="1">
        <v>18056</v>
      </c>
      <c r="T587" s="1">
        <v>17618</v>
      </c>
      <c r="U587" s="1">
        <v>1600</v>
      </c>
      <c r="V587" s="1">
        <v>1300</v>
      </c>
      <c r="W587" s="1">
        <v>600</v>
      </c>
      <c r="X587" s="1">
        <v>1600</v>
      </c>
      <c r="Y587" s="1">
        <v>0</v>
      </c>
      <c r="Z587" s="1">
        <v>800</v>
      </c>
      <c r="AA587">
        <v>0</v>
      </c>
      <c r="AB587" t="str">
        <f t="shared" si="9"/>
        <v>Not Defaulter</v>
      </c>
      <c r="AC587" s="1">
        <f>Table2[[#This Row],[BILL_AMT1]]-Table2[[#This Row],[PAY_AMT1]]</f>
        <v>13003</v>
      </c>
      <c r="AD587" s="1" t="str" cm="1">
        <f t="array" ref="AD587">_xlfn.IFS(Table2[[#This Row],[PAYMENT GAP]]&lt;=0,"No Gap / Overpaid",Table2[[#This Row],[PAYMENT GAP]]&lt;=25000,"Low Gap",Table2[[#This Row],[PAYMENT GAP]]&lt;=100000,"Medium Gap",
TRUE,"High Gap"
)</f>
        <v>Low Gap</v>
      </c>
    </row>
    <row r="588" spans="1:30" x14ac:dyDescent="0.3">
      <c r="A588">
        <v>587</v>
      </c>
      <c r="B588" s="1">
        <v>220000</v>
      </c>
      <c r="C588" s="1" t="str" cm="1">
        <f t="array" ref="C588">_xlfn.IFS(Table2[[#This Row],[LIMIT_BAL]]&lt;=100000,"Low",Table2[[#This Row],[LIMIT_BAL]]&lt;=300000,"Medium",
TRUE,"High"
)</f>
        <v>Medium</v>
      </c>
      <c r="D588" t="s">
        <v>2042</v>
      </c>
      <c r="E588" t="s">
        <v>2026</v>
      </c>
      <c r="F588" t="s">
        <v>2028</v>
      </c>
      <c r="G588">
        <v>43</v>
      </c>
      <c r="H588" t="str" cm="1">
        <f t="array" ref="H588">_xlfn.IFS(
Table2[[#This Row],[AGE]]&lt;30,"Young",
Table2[[#This Row],[AGE]]&lt;40,"Middle Age",
Table2[[#This Row],[AGE]]&lt;50,"Senior",
TRUE,"Super Senior"
)</f>
        <v>Senior</v>
      </c>
      <c r="I588">
        <v>1</v>
      </c>
      <c r="J588">
        <v>-2</v>
      </c>
      <c r="K588">
        <v>-2</v>
      </c>
      <c r="L588">
        <v>-2</v>
      </c>
      <c r="M588">
        <v>-2</v>
      </c>
      <c r="N588">
        <v>-2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>
        <v>1</v>
      </c>
      <c r="AB588" t="str">
        <f t="shared" si="9"/>
        <v>Defaulter</v>
      </c>
      <c r="AC588" s="1">
        <f>Table2[[#This Row],[BILL_AMT1]]-Table2[[#This Row],[PAY_AMT1]]</f>
        <v>0</v>
      </c>
      <c r="AD588" s="1" t="str" cm="1">
        <f t="array" ref="AD588">_xlfn.IFS(Table2[[#This Row],[PAYMENT GAP]]&lt;=0,"No Gap / Overpaid",Table2[[#This Row],[PAYMENT GAP]]&lt;=25000,"Low Gap",Table2[[#This Row],[PAYMENT GAP]]&lt;=100000,"Medium Gap",
TRUE,"High Gap"
)</f>
        <v>No Gap / Overpaid</v>
      </c>
    </row>
    <row r="589" spans="1:30" x14ac:dyDescent="0.3">
      <c r="A589">
        <v>588</v>
      </c>
      <c r="B589" s="1">
        <v>210000</v>
      </c>
      <c r="C589" s="1" t="str" cm="1">
        <f t="array" ref="C589">_xlfn.IFS(Table2[[#This Row],[LIMIT_BAL]]&lt;=100000,"Low",Table2[[#This Row],[LIMIT_BAL]]&lt;=300000,"Medium",
TRUE,"High"
)</f>
        <v>Medium</v>
      </c>
      <c r="D589" t="s">
        <v>2042</v>
      </c>
      <c r="E589" t="s">
        <v>2027</v>
      </c>
      <c r="F589" t="s">
        <v>2029</v>
      </c>
      <c r="G589">
        <v>25</v>
      </c>
      <c r="H589" t="str" cm="1">
        <f t="array" ref="H589">_xlfn.IFS(
Table2[[#This Row],[AGE]]&lt;30,"Young",
Table2[[#This Row],[AGE]]&lt;40,"Middle Age",
Table2[[#This Row],[AGE]]&lt;50,"Senior",
TRUE,"Super Senior"
)</f>
        <v>Young</v>
      </c>
      <c r="I589">
        <v>-1</v>
      </c>
      <c r="J589">
        <v>-1</v>
      </c>
      <c r="K589">
        <v>2</v>
      </c>
      <c r="L589">
        <v>-1</v>
      </c>
      <c r="M589">
        <v>-1</v>
      </c>
      <c r="N589">
        <v>-1</v>
      </c>
      <c r="O589" s="1">
        <v>8817</v>
      </c>
      <c r="P589" s="1">
        <v>23634</v>
      </c>
      <c r="Q589" s="1">
        <v>21776</v>
      </c>
      <c r="R589" s="1">
        <v>9631</v>
      </c>
      <c r="S589" s="1">
        <v>1561</v>
      </c>
      <c r="T589" s="1">
        <v>1990</v>
      </c>
      <c r="U589" s="1">
        <v>23776</v>
      </c>
      <c r="V589" s="1">
        <v>0</v>
      </c>
      <c r="W589" s="1">
        <v>9631</v>
      </c>
      <c r="X589" s="1">
        <v>1561</v>
      </c>
      <c r="Y589" s="1">
        <v>1990</v>
      </c>
      <c r="Z589" s="1">
        <v>7967</v>
      </c>
      <c r="AA589">
        <v>1</v>
      </c>
      <c r="AB589" t="str">
        <f t="shared" si="9"/>
        <v>Defaulter</v>
      </c>
      <c r="AC589" s="1">
        <f>Table2[[#This Row],[BILL_AMT1]]-Table2[[#This Row],[PAY_AMT1]]</f>
        <v>-14959</v>
      </c>
      <c r="AD589" s="1" t="str" cm="1">
        <f t="array" ref="AD589">_xlfn.IFS(Table2[[#This Row],[PAYMENT GAP]]&lt;=0,"No Gap / Overpaid",Table2[[#This Row],[PAYMENT GAP]]&lt;=25000,"Low Gap",Table2[[#This Row],[PAYMENT GAP]]&lt;=100000,"Medium Gap",
TRUE,"High Gap"
)</f>
        <v>No Gap / Overpaid</v>
      </c>
    </row>
    <row r="590" spans="1:30" x14ac:dyDescent="0.3">
      <c r="A590">
        <v>589</v>
      </c>
      <c r="B590" s="1">
        <v>130000</v>
      </c>
      <c r="C590" s="1" t="str" cm="1">
        <f t="array" ref="C590">_xlfn.IFS(Table2[[#This Row],[LIMIT_BAL]]&lt;=100000,"Low",Table2[[#This Row],[LIMIT_BAL]]&lt;=300000,"Medium",
TRUE,"High"
)</f>
        <v>Medium</v>
      </c>
      <c r="D590" t="s">
        <v>2041</v>
      </c>
      <c r="E590" t="s">
        <v>2043</v>
      </c>
      <c r="F590" t="s">
        <v>2029</v>
      </c>
      <c r="G590">
        <v>29</v>
      </c>
      <c r="H590" t="str" cm="1">
        <f t="array" ref="H590">_xlfn.IFS(
Table2[[#This Row],[AGE]]&lt;30,"Young",
Table2[[#This Row],[AGE]]&lt;40,"Middle Age",
Table2[[#This Row],[AGE]]&lt;50,"Senior",
TRUE,"Super Senior"
)</f>
        <v>Young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 s="1">
        <v>131575</v>
      </c>
      <c r="P590" s="1">
        <v>130931</v>
      </c>
      <c r="Q590" s="1">
        <v>132969</v>
      </c>
      <c r="R590" s="1">
        <v>45584</v>
      </c>
      <c r="S590" s="1">
        <v>46516</v>
      </c>
      <c r="T590" s="1">
        <v>47455</v>
      </c>
      <c r="U590" s="1">
        <v>6700</v>
      </c>
      <c r="V590" s="1">
        <v>6000</v>
      </c>
      <c r="W590" s="1">
        <v>1291</v>
      </c>
      <c r="X590" s="1">
        <v>1319</v>
      </c>
      <c r="Y590" s="1">
        <v>1336</v>
      </c>
      <c r="Z590" s="1">
        <v>1365</v>
      </c>
      <c r="AA590">
        <v>0</v>
      </c>
      <c r="AB590" t="str">
        <f t="shared" si="9"/>
        <v>Not Defaulter</v>
      </c>
      <c r="AC590" s="1">
        <f>Table2[[#This Row],[BILL_AMT1]]-Table2[[#This Row],[PAY_AMT1]]</f>
        <v>124875</v>
      </c>
      <c r="AD590" s="1" t="str" cm="1">
        <f t="array" ref="AD590">_xlfn.IFS(Table2[[#This Row],[PAYMENT GAP]]&lt;=0,"No Gap / Overpaid",Table2[[#This Row],[PAYMENT GAP]]&lt;=25000,"Low Gap",Table2[[#This Row],[PAYMENT GAP]]&lt;=100000,"Medium Gap",
TRUE,"High Gap"
)</f>
        <v>High Gap</v>
      </c>
    </row>
    <row r="591" spans="1:30" x14ac:dyDescent="0.3">
      <c r="A591">
        <v>590</v>
      </c>
      <c r="B591" s="1">
        <v>260000</v>
      </c>
      <c r="C591" s="1" t="str" cm="1">
        <f t="array" ref="C591">_xlfn.IFS(Table2[[#This Row],[LIMIT_BAL]]&lt;=100000,"Low",Table2[[#This Row],[LIMIT_BAL]]&lt;=300000,"Medium",
TRUE,"High"
)</f>
        <v>Medium</v>
      </c>
      <c r="D591" t="s">
        <v>2041</v>
      </c>
      <c r="E591" t="s">
        <v>2043</v>
      </c>
      <c r="F591" t="s">
        <v>2028</v>
      </c>
      <c r="G591">
        <v>31</v>
      </c>
      <c r="H591" t="str" cm="1">
        <f t="array" ref="H591">_xlfn.IFS(
Table2[[#This Row],[AGE]]&lt;30,"Young",
Table2[[#This Row],[AGE]]&lt;40,"Middle Age",
Table2[[#This Row],[AGE]]&lt;50,"Senior",
TRUE,"Super Senior"
)</f>
        <v>Middle Age</v>
      </c>
      <c r="I591">
        <v>-1</v>
      </c>
      <c r="J591">
        <v>-1</v>
      </c>
      <c r="K591">
        <v>0</v>
      </c>
      <c r="L591">
        <v>0</v>
      </c>
      <c r="M591">
        <v>-1</v>
      </c>
      <c r="N591">
        <v>-1</v>
      </c>
      <c r="O591" s="1">
        <v>5841</v>
      </c>
      <c r="P591" s="1">
        <v>23194</v>
      </c>
      <c r="Q591" s="1">
        <v>62361</v>
      </c>
      <c r="R591" s="1">
        <v>67057</v>
      </c>
      <c r="S591" s="1">
        <v>17024</v>
      </c>
      <c r="T591" s="1">
        <v>18659</v>
      </c>
      <c r="U591" s="1">
        <v>23194</v>
      </c>
      <c r="V591" s="1">
        <v>50000</v>
      </c>
      <c r="W591" s="1">
        <v>11500</v>
      </c>
      <c r="X591" s="1">
        <v>17024</v>
      </c>
      <c r="Y591" s="1">
        <v>18659</v>
      </c>
      <c r="Z591" s="1">
        <v>38923</v>
      </c>
      <c r="AA591">
        <v>0</v>
      </c>
      <c r="AB591" t="str">
        <f t="shared" si="9"/>
        <v>Not Defaulter</v>
      </c>
      <c r="AC591" s="1">
        <f>Table2[[#This Row],[BILL_AMT1]]-Table2[[#This Row],[PAY_AMT1]]</f>
        <v>-17353</v>
      </c>
      <c r="AD591" s="1" t="str" cm="1">
        <f t="array" ref="AD591">_xlfn.IFS(Table2[[#This Row],[PAYMENT GAP]]&lt;=0,"No Gap / Overpaid",Table2[[#This Row],[PAYMENT GAP]]&lt;=25000,"Low Gap",Table2[[#This Row],[PAYMENT GAP]]&lt;=100000,"Medium Gap",
TRUE,"High Gap"
)</f>
        <v>No Gap / Overpaid</v>
      </c>
    </row>
    <row r="592" spans="1:30" x14ac:dyDescent="0.3">
      <c r="A592">
        <v>591</v>
      </c>
      <c r="B592" s="1">
        <v>230000</v>
      </c>
      <c r="C592" s="1" t="str" cm="1">
        <f t="array" ref="C592">_xlfn.IFS(Table2[[#This Row],[LIMIT_BAL]]&lt;=100000,"Low",Table2[[#This Row],[LIMIT_BAL]]&lt;=300000,"Medium",
TRUE,"High"
)</f>
        <v>Medium</v>
      </c>
      <c r="D592" t="s">
        <v>2041</v>
      </c>
      <c r="E592" t="s">
        <v>2026</v>
      </c>
      <c r="F592" t="s">
        <v>2028</v>
      </c>
      <c r="G592">
        <v>30</v>
      </c>
      <c r="H592" t="str" cm="1">
        <f t="array" ref="H592">_xlfn.IFS(
Table2[[#This Row],[AGE]]&lt;30,"Young",
Table2[[#This Row],[AGE]]&lt;40,"Middle Age",
Table2[[#This Row],[AGE]]&lt;50,"Senior",
TRUE,"Super Senior"
)</f>
        <v>Middle Age</v>
      </c>
      <c r="I592">
        <v>0</v>
      </c>
      <c r="J592">
        <v>0</v>
      </c>
      <c r="K592">
        <v>0</v>
      </c>
      <c r="L592">
        <v>-1</v>
      </c>
      <c r="M592">
        <v>0</v>
      </c>
      <c r="N592">
        <v>0</v>
      </c>
      <c r="O592" s="1">
        <v>30341</v>
      </c>
      <c r="P592" s="1">
        <v>25981</v>
      </c>
      <c r="Q592" s="1">
        <v>24092</v>
      </c>
      <c r="R592" s="1">
        <v>65840</v>
      </c>
      <c r="S592" s="1">
        <v>56538</v>
      </c>
      <c r="T592" s="1">
        <v>51522</v>
      </c>
      <c r="U592" s="1">
        <v>5000</v>
      </c>
      <c r="V592" s="1">
        <v>5000</v>
      </c>
      <c r="W592" s="1">
        <v>65840</v>
      </c>
      <c r="X592" s="1">
        <v>2000</v>
      </c>
      <c r="Y592" s="1">
        <v>2000</v>
      </c>
      <c r="Z592" s="1">
        <v>10000</v>
      </c>
      <c r="AA592">
        <v>0</v>
      </c>
      <c r="AB592" t="str">
        <f t="shared" si="9"/>
        <v>Not Defaulter</v>
      </c>
      <c r="AC592" s="1">
        <f>Table2[[#This Row],[BILL_AMT1]]-Table2[[#This Row],[PAY_AMT1]]</f>
        <v>25341</v>
      </c>
      <c r="AD592" s="1" t="str" cm="1">
        <f t="array" ref="AD592">_xlfn.IFS(Table2[[#This Row],[PAYMENT GAP]]&lt;=0,"No Gap / Overpaid",Table2[[#This Row],[PAYMENT GAP]]&lt;=25000,"Low Gap",Table2[[#This Row],[PAYMENT GAP]]&lt;=100000,"Medium Gap",
TRUE,"High Gap"
)</f>
        <v>Medium Gap</v>
      </c>
    </row>
    <row r="593" spans="1:30" x14ac:dyDescent="0.3">
      <c r="A593">
        <v>592</v>
      </c>
      <c r="B593" s="1">
        <v>160000</v>
      </c>
      <c r="C593" s="1" t="str" cm="1">
        <f t="array" ref="C593">_xlfn.IFS(Table2[[#This Row],[LIMIT_BAL]]&lt;=100000,"Low",Table2[[#This Row],[LIMIT_BAL]]&lt;=300000,"Medium",
TRUE,"High"
)</f>
        <v>Medium</v>
      </c>
      <c r="D593" t="s">
        <v>2042</v>
      </c>
      <c r="E593" t="s">
        <v>2026</v>
      </c>
      <c r="F593" t="s">
        <v>2029</v>
      </c>
      <c r="G593">
        <v>34</v>
      </c>
      <c r="H593" t="str" cm="1">
        <f t="array" ref="H593">_xlfn.IFS(
Table2[[#This Row],[AGE]]&lt;30,"Young",
Table2[[#This Row],[AGE]]&lt;40,"Middle Age",
Table2[[#This Row],[AGE]]&lt;50,"Senior",
TRUE,"Super Senior"
)</f>
        <v>Middle Age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 s="1">
        <v>83255</v>
      </c>
      <c r="P593" s="1">
        <v>83912</v>
      </c>
      <c r="Q593" s="1">
        <v>85161</v>
      </c>
      <c r="R593" s="1">
        <v>85715</v>
      </c>
      <c r="S593" s="1">
        <v>86773</v>
      </c>
      <c r="T593" s="1">
        <v>87526</v>
      </c>
      <c r="U593" s="1">
        <v>4000</v>
      </c>
      <c r="V593" s="1">
        <v>3924</v>
      </c>
      <c r="W593" s="1">
        <v>3200</v>
      </c>
      <c r="X593" s="1">
        <v>3300</v>
      </c>
      <c r="Y593" s="1">
        <v>3425</v>
      </c>
      <c r="Z593" s="1">
        <v>3013</v>
      </c>
      <c r="AA593">
        <v>0</v>
      </c>
      <c r="AB593" t="str">
        <f t="shared" si="9"/>
        <v>Not Defaulter</v>
      </c>
      <c r="AC593" s="1">
        <f>Table2[[#This Row],[BILL_AMT1]]-Table2[[#This Row],[PAY_AMT1]]</f>
        <v>79255</v>
      </c>
      <c r="AD593" s="1" t="str" cm="1">
        <f t="array" ref="AD593">_xlfn.IFS(Table2[[#This Row],[PAYMENT GAP]]&lt;=0,"No Gap / Overpaid",Table2[[#This Row],[PAYMENT GAP]]&lt;=25000,"Low Gap",Table2[[#This Row],[PAYMENT GAP]]&lt;=100000,"Medium Gap",
TRUE,"High Gap"
)</f>
        <v>Medium Gap</v>
      </c>
    </row>
    <row r="594" spans="1:30" x14ac:dyDescent="0.3">
      <c r="A594">
        <v>593</v>
      </c>
      <c r="B594" s="1">
        <v>50000</v>
      </c>
      <c r="C594" s="1" t="str" cm="1">
        <f t="array" ref="C594">_xlfn.IFS(Table2[[#This Row],[LIMIT_BAL]]&lt;=100000,"Low",Table2[[#This Row],[LIMIT_BAL]]&lt;=300000,"Medium",
TRUE,"High"
)</f>
        <v>Low</v>
      </c>
      <c r="D594" t="s">
        <v>2042</v>
      </c>
      <c r="E594" t="s">
        <v>2026</v>
      </c>
      <c r="F594" t="s">
        <v>2028</v>
      </c>
      <c r="G594">
        <v>35</v>
      </c>
      <c r="H594" t="str" cm="1">
        <f t="array" ref="H594">_xlfn.IFS(
Table2[[#This Row],[AGE]]&lt;30,"Young",
Table2[[#This Row],[AGE]]&lt;40,"Middle Age",
Table2[[#This Row],[AGE]]&lt;50,"Senior",
TRUE,"Super Senior"
)</f>
        <v>Middle Age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 s="1">
        <v>34976</v>
      </c>
      <c r="P594" s="1">
        <v>6018</v>
      </c>
      <c r="Q594" s="1">
        <v>13930</v>
      </c>
      <c r="R594" s="1">
        <v>7106</v>
      </c>
      <c r="S594" s="1">
        <v>6020</v>
      </c>
      <c r="T594" s="1">
        <v>9011</v>
      </c>
      <c r="U594" s="1">
        <v>1127</v>
      </c>
      <c r="V594" s="1">
        <v>1074</v>
      </c>
      <c r="W594" s="1">
        <v>215</v>
      </c>
      <c r="X594" s="1">
        <v>249</v>
      </c>
      <c r="Y594" s="1">
        <v>4383</v>
      </c>
      <c r="Z594" s="1">
        <v>172</v>
      </c>
      <c r="AA594">
        <v>0</v>
      </c>
      <c r="AB594" t="str">
        <f t="shared" si="9"/>
        <v>Not Defaulter</v>
      </c>
      <c r="AC594" s="1">
        <f>Table2[[#This Row],[BILL_AMT1]]-Table2[[#This Row],[PAY_AMT1]]</f>
        <v>33849</v>
      </c>
      <c r="AD594" s="1" t="str" cm="1">
        <f t="array" ref="AD594">_xlfn.IFS(Table2[[#This Row],[PAYMENT GAP]]&lt;=0,"No Gap / Overpaid",Table2[[#This Row],[PAYMENT GAP]]&lt;=25000,"Low Gap",Table2[[#This Row],[PAYMENT GAP]]&lt;=100000,"Medium Gap",
TRUE,"High Gap"
)</f>
        <v>Medium Gap</v>
      </c>
    </row>
    <row r="595" spans="1:30" x14ac:dyDescent="0.3">
      <c r="A595">
        <v>594</v>
      </c>
      <c r="B595" s="1">
        <v>80000</v>
      </c>
      <c r="C595" s="1" t="str" cm="1">
        <f t="array" ref="C595">_xlfn.IFS(Table2[[#This Row],[LIMIT_BAL]]&lt;=100000,"Low",Table2[[#This Row],[LIMIT_BAL]]&lt;=300000,"Medium",
TRUE,"High"
)</f>
        <v>Low</v>
      </c>
      <c r="D595" t="s">
        <v>2042</v>
      </c>
      <c r="E595" t="s">
        <v>2043</v>
      </c>
      <c r="F595" t="s">
        <v>2028</v>
      </c>
      <c r="G595">
        <v>32</v>
      </c>
      <c r="H595" t="str" cm="1">
        <f t="array" ref="H595">_xlfn.IFS(
Table2[[#This Row],[AGE]]&lt;30,"Young",
Table2[[#This Row],[AGE]]&lt;40,"Middle Age",
Table2[[#This Row],[AGE]]&lt;50,"Senior",
TRUE,"Super Senior"
)</f>
        <v>Middle Age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 s="1">
        <v>48747</v>
      </c>
      <c r="P595" s="1">
        <v>45955</v>
      </c>
      <c r="Q595" s="1">
        <v>44989</v>
      </c>
      <c r="R595" s="1">
        <v>41358</v>
      </c>
      <c r="S595" s="1">
        <v>42379</v>
      </c>
      <c r="T595" s="1">
        <v>38052</v>
      </c>
      <c r="U595" s="1">
        <v>2145</v>
      </c>
      <c r="V595" s="1">
        <v>1844</v>
      </c>
      <c r="W595" s="1">
        <v>2009</v>
      </c>
      <c r="X595" s="1">
        <v>5017</v>
      </c>
      <c r="Y595" s="1">
        <v>2000</v>
      </c>
      <c r="Z595" s="1">
        <v>5002</v>
      </c>
      <c r="AA595">
        <v>0</v>
      </c>
      <c r="AB595" t="str">
        <f t="shared" si="9"/>
        <v>Not Defaulter</v>
      </c>
      <c r="AC595" s="1">
        <f>Table2[[#This Row],[BILL_AMT1]]-Table2[[#This Row],[PAY_AMT1]]</f>
        <v>46602</v>
      </c>
      <c r="AD595" s="1" t="str" cm="1">
        <f t="array" ref="AD595">_xlfn.IFS(Table2[[#This Row],[PAYMENT GAP]]&lt;=0,"No Gap / Overpaid",Table2[[#This Row],[PAYMENT GAP]]&lt;=25000,"Low Gap",Table2[[#This Row],[PAYMENT GAP]]&lt;=100000,"Medium Gap",
TRUE,"High Gap"
)</f>
        <v>Medium Gap</v>
      </c>
    </row>
    <row r="596" spans="1:30" x14ac:dyDescent="0.3">
      <c r="A596">
        <v>595</v>
      </c>
      <c r="B596" s="1">
        <v>110000</v>
      </c>
      <c r="C596" s="1" t="str" cm="1">
        <f t="array" ref="C596">_xlfn.IFS(Table2[[#This Row],[LIMIT_BAL]]&lt;=100000,"Low",Table2[[#This Row],[LIMIT_BAL]]&lt;=300000,"Medium",
TRUE,"High"
)</f>
        <v>Medium</v>
      </c>
      <c r="D596" t="s">
        <v>2042</v>
      </c>
      <c r="E596" t="s">
        <v>2027</v>
      </c>
      <c r="F596" t="s">
        <v>2029</v>
      </c>
      <c r="G596">
        <v>46</v>
      </c>
      <c r="H596" t="str" cm="1">
        <f t="array" ref="H596">_xlfn.IFS(
Table2[[#This Row],[AGE]]&lt;30,"Young",
Table2[[#This Row],[AGE]]&lt;40,"Middle Age",
Table2[[#This Row],[AGE]]&lt;50,"Senior",
TRUE,"Super Senior"
)</f>
        <v>Senior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 s="1">
        <v>56700</v>
      </c>
      <c r="P596" s="1">
        <v>57875</v>
      </c>
      <c r="Q596" s="1">
        <v>59044</v>
      </c>
      <c r="R596" s="1">
        <v>59756</v>
      </c>
      <c r="S596" s="1">
        <v>61004</v>
      </c>
      <c r="T596" s="1">
        <v>62213</v>
      </c>
      <c r="U596" s="1">
        <v>2681</v>
      </c>
      <c r="V596" s="1">
        <v>2724</v>
      </c>
      <c r="W596" s="1">
        <v>2287</v>
      </c>
      <c r="X596" s="1">
        <v>2362</v>
      </c>
      <c r="Y596" s="1">
        <v>2374</v>
      </c>
      <c r="Z596" s="1">
        <v>2454</v>
      </c>
      <c r="AA596">
        <v>0</v>
      </c>
      <c r="AB596" t="str">
        <f t="shared" si="9"/>
        <v>Not Defaulter</v>
      </c>
      <c r="AC596" s="1">
        <f>Table2[[#This Row],[BILL_AMT1]]-Table2[[#This Row],[PAY_AMT1]]</f>
        <v>54019</v>
      </c>
      <c r="AD596" s="1" t="str" cm="1">
        <f t="array" ref="AD596">_xlfn.IFS(Table2[[#This Row],[PAYMENT GAP]]&lt;=0,"No Gap / Overpaid",Table2[[#This Row],[PAYMENT GAP]]&lt;=25000,"Low Gap",Table2[[#This Row],[PAYMENT GAP]]&lt;=100000,"Medium Gap",
TRUE,"High Gap"
)</f>
        <v>Medium Gap</v>
      </c>
    </row>
    <row r="597" spans="1:30" x14ac:dyDescent="0.3">
      <c r="A597">
        <v>596</v>
      </c>
      <c r="B597" s="1">
        <v>200000</v>
      </c>
      <c r="C597" s="1" t="str" cm="1">
        <f t="array" ref="C597">_xlfn.IFS(Table2[[#This Row],[LIMIT_BAL]]&lt;=100000,"Low",Table2[[#This Row],[LIMIT_BAL]]&lt;=300000,"Medium",
TRUE,"High"
)</f>
        <v>Medium</v>
      </c>
      <c r="D597" t="s">
        <v>2042</v>
      </c>
      <c r="E597" t="s">
        <v>2026</v>
      </c>
      <c r="F597" t="s">
        <v>2028</v>
      </c>
      <c r="G597">
        <v>43</v>
      </c>
      <c r="H597" t="str" cm="1">
        <f t="array" ref="H597">_xlfn.IFS(
Table2[[#This Row],[AGE]]&lt;30,"Young",
Table2[[#This Row],[AGE]]&lt;40,"Middle Age",
Table2[[#This Row],[AGE]]&lt;50,"Senior",
TRUE,"Super Senior"
)</f>
        <v>Senior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 s="1">
        <v>144678</v>
      </c>
      <c r="P597" s="1">
        <v>140804</v>
      </c>
      <c r="Q597" s="1">
        <v>136437</v>
      </c>
      <c r="R597" s="1">
        <v>135253</v>
      </c>
      <c r="S597" s="1">
        <v>134629</v>
      </c>
      <c r="T597" s="1">
        <v>134309</v>
      </c>
      <c r="U597" s="1">
        <v>5090</v>
      </c>
      <c r="V597" s="1">
        <v>5014</v>
      </c>
      <c r="W597" s="1">
        <v>5009</v>
      </c>
      <c r="X597" s="1">
        <v>4844</v>
      </c>
      <c r="Y597" s="1">
        <v>5002</v>
      </c>
      <c r="Z597" s="1">
        <v>4902</v>
      </c>
      <c r="AA597">
        <v>0</v>
      </c>
      <c r="AB597" t="str">
        <f t="shared" si="9"/>
        <v>Not Defaulter</v>
      </c>
      <c r="AC597" s="1">
        <f>Table2[[#This Row],[BILL_AMT1]]-Table2[[#This Row],[PAY_AMT1]]</f>
        <v>139588</v>
      </c>
      <c r="AD597" s="1" t="str" cm="1">
        <f t="array" ref="AD597">_xlfn.IFS(Table2[[#This Row],[PAYMENT GAP]]&lt;=0,"No Gap / Overpaid",Table2[[#This Row],[PAYMENT GAP]]&lt;=25000,"Low Gap",Table2[[#This Row],[PAYMENT GAP]]&lt;=100000,"Medium Gap",
TRUE,"High Gap"
)</f>
        <v>High Gap</v>
      </c>
    </row>
    <row r="598" spans="1:30" x14ac:dyDescent="0.3">
      <c r="A598">
        <v>597</v>
      </c>
      <c r="B598" s="1">
        <v>360000</v>
      </c>
      <c r="C598" s="1" t="str" cm="1">
        <f t="array" ref="C598">_xlfn.IFS(Table2[[#This Row],[LIMIT_BAL]]&lt;=100000,"Low",Table2[[#This Row],[LIMIT_BAL]]&lt;=300000,"Medium",
TRUE,"High"
)</f>
        <v>High</v>
      </c>
      <c r="D598" t="s">
        <v>2042</v>
      </c>
      <c r="E598" t="s">
        <v>2043</v>
      </c>
      <c r="F598" t="s">
        <v>2029</v>
      </c>
      <c r="G598">
        <v>29</v>
      </c>
      <c r="H598" t="str" cm="1">
        <f t="array" ref="H598">_xlfn.IFS(
Table2[[#This Row],[AGE]]&lt;30,"Young",
Table2[[#This Row],[AGE]]&lt;40,"Middle Age",
Table2[[#This Row],[AGE]]&lt;50,"Senior",
TRUE,"Super Senior"
)</f>
        <v>Young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 s="1">
        <v>268112</v>
      </c>
      <c r="P598" s="1">
        <v>263368</v>
      </c>
      <c r="Q598" s="1">
        <v>259969</v>
      </c>
      <c r="R598" s="1">
        <v>255832</v>
      </c>
      <c r="S598" s="1">
        <v>245462</v>
      </c>
      <c r="T598" s="1">
        <v>250244</v>
      </c>
      <c r="U598" s="1">
        <v>9429</v>
      </c>
      <c r="V598" s="1">
        <v>8738</v>
      </c>
      <c r="W598" s="1">
        <v>7017</v>
      </c>
      <c r="X598" s="1">
        <v>7154</v>
      </c>
      <c r="Y598" s="1">
        <v>7073</v>
      </c>
      <c r="Z598" s="1">
        <v>7300</v>
      </c>
      <c r="AA598">
        <v>0</v>
      </c>
      <c r="AB598" t="str">
        <f t="shared" si="9"/>
        <v>Not Defaulter</v>
      </c>
      <c r="AC598" s="1">
        <f>Table2[[#This Row],[BILL_AMT1]]-Table2[[#This Row],[PAY_AMT1]]</f>
        <v>258683</v>
      </c>
      <c r="AD598" s="1" t="str" cm="1">
        <f t="array" ref="AD598">_xlfn.IFS(Table2[[#This Row],[PAYMENT GAP]]&lt;=0,"No Gap / Overpaid",Table2[[#This Row],[PAYMENT GAP]]&lt;=25000,"Low Gap",Table2[[#This Row],[PAYMENT GAP]]&lt;=100000,"Medium Gap",
TRUE,"High Gap"
)</f>
        <v>High Gap</v>
      </c>
    </row>
    <row r="599" spans="1:30" x14ac:dyDescent="0.3">
      <c r="A599">
        <v>598</v>
      </c>
      <c r="B599" s="1">
        <v>210000</v>
      </c>
      <c r="C599" s="1" t="str" cm="1">
        <f t="array" ref="C599">_xlfn.IFS(Table2[[#This Row],[LIMIT_BAL]]&lt;=100000,"Low",Table2[[#This Row],[LIMIT_BAL]]&lt;=300000,"Medium",
TRUE,"High"
)</f>
        <v>Medium</v>
      </c>
      <c r="D599" t="s">
        <v>2041</v>
      </c>
      <c r="E599" t="s">
        <v>2027</v>
      </c>
      <c r="F599" t="s">
        <v>2029</v>
      </c>
      <c r="G599">
        <v>31</v>
      </c>
      <c r="H599" t="str" cm="1">
        <f t="array" ref="H599">_xlfn.IFS(
Table2[[#This Row],[AGE]]&lt;30,"Young",
Table2[[#This Row],[AGE]]&lt;40,"Middle Age",
Table2[[#This Row],[AGE]]&lt;50,"Senior",
TRUE,"Super Senior"
)</f>
        <v>Middle Age</v>
      </c>
      <c r="I599">
        <v>1</v>
      </c>
      <c r="J599">
        <v>-2</v>
      </c>
      <c r="K599">
        <v>-2</v>
      </c>
      <c r="L599">
        <v>-2</v>
      </c>
      <c r="M599">
        <v>-2</v>
      </c>
      <c r="N599">
        <v>-2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>
        <v>0</v>
      </c>
      <c r="AB599" t="str">
        <f t="shared" si="9"/>
        <v>Not Defaulter</v>
      </c>
      <c r="AC599" s="1">
        <f>Table2[[#This Row],[BILL_AMT1]]-Table2[[#This Row],[PAY_AMT1]]</f>
        <v>0</v>
      </c>
      <c r="AD599" s="1" t="str" cm="1">
        <f t="array" ref="AD599">_xlfn.IFS(Table2[[#This Row],[PAYMENT GAP]]&lt;=0,"No Gap / Overpaid",Table2[[#This Row],[PAYMENT GAP]]&lt;=25000,"Low Gap",Table2[[#This Row],[PAYMENT GAP]]&lt;=100000,"Medium Gap",
TRUE,"High Gap"
)</f>
        <v>No Gap / Overpaid</v>
      </c>
    </row>
    <row r="600" spans="1:30" x14ac:dyDescent="0.3">
      <c r="A600">
        <v>599</v>
      </c>
      <c r="B600" s="1">
        <v>80000</v>
      </c>
      <c r="C600" s="1" t="str" cm="1">
        <f t="array" ref="C600">_xlfn.IFS(Table2[[#This Row],[LIMIT_BAL]]&lt;=100000,"Low",Table2[[#This Row],[LIMIT_BAL]]&lt;=300000,"Medium",
TRUE,"High"
)</f>
        <v>Low</v>
      </c>
      <c r="D600" t="s">
        <v>2041</v>
      </c>
      <c r="E600" t="s">
        <v>2043</v>
      </c>
      <c r="F600" t="s">
        <v>2029</v>
      </c>
      <c r="G600">
        <v>24</v>
      </c>
      <c r="H600" t="str" cm="1">
        <f t="array" ref="H600">_xlfn.IFS(
Table2[[#This Row],[AGE]]&lt;30,"Young",
Table2[[#This Row],[AGE]]&lt;40,"Middle Age",
Table2[[#This Row],[AGE]]&lt;50,"Senior",
TRUE,"Super Senior"
)</f>
        <v>Young</v>
      </c>
      <c r="I600">
        <v>2</v>
      </c>
      <c r="J600">
        <v>0</v>
      </c>
      <c r="K600">
        <v>0</v>
      </c>
      <c r="L600">
        <v>0</v>
      </c>
      <c r="M600">
        <v>0</v>
      </c>
      <c r="N600">
        <v>0</v>
      </c>
      <c r="O600" s="1">
        <v>79243</v>
      </c>
      <c r="P600" s="1">
        <v>75254</v>
      </c>
      <c r="Q600" s="1">
        <v>58683</v>
      </c>
      <c r="R600" s="1">
        <v>58886</v>
      </c>
      <c r="S600" s="1">
        <v>60035</v>
      </c>
      <c r="T600" s="1">
        <v>57264</v>
      </c>
      <c r="U600" s="1">
        <v>3249</v>
      </c>
      <c r="V600" s="1">
        <v>3000</v>
      </c>
      <c r="W600" s="1">
        <v>5000</v>
      </c>
      <c r="X600" s="1">
        <v>2500</v>
      </c>
      <c r="Y600" s="1">
        <v>2300</v>
      </c>
      <c r="Z600" s="1">
        <v>2200</v>
      </c>
      <c r="AA600">
        <v>0</v>
      </c>
      <c r="AB600" t="str">
        <f t="shared" si="9"/>
        <v>Not Defaulter</v>
      </c>
      <c r="AC600" s="1">
        <f>Table2[[#This Row],[BILL_AMT1]]-Table2[[#This Row],[PAY_AMT1]]</f>
        <v>75994</v>
      </c>
      <c r="AD600" s="1" t="str" cm="1">
        <f t="array" ref="AD600">_xlfn.IFS(Table2[[#This Row],[PAYMENT GAP]]&lt;=0,"No Gap / Overpaid",Table2[[#This Row],[PAYMENT GAP]]&lt;=25000,"Low Gap",Table2[[#This Row],[PAYMENT GAP]]&lt;=100000,"Medium Gap",
TRUE,"High Gap"
)</f>
        <v>Medium Gap</v>
      </c>
    </row>
    <row r="601" spans="1:30" x14ac:dyDescent="0.3">
      <c r="A601">
        <v>600</v>
      </c>
      <c r="B601" s="1">
        <v>300000</v>
      </c>
      <c r="C601" s="1" t="str" cm="1">
        <f t="array" ref="C601">_xlfn.IFS(Table2[[#This Row],[LIMIT_BAL]]&lt;=100000,"Low",Table2[[#This Row],[LIMIT_BAL]]&lt;=300000,"Medium",
TRUE,"High"
)</f>
        <v>Medium</v>
      </c>
      <c r="D601" t="s">
        <v>2041</v>
      </c>
      <c r="E601" t="s">
        <v>2043</v>
      </c>
      <c r="F601" t="s">
        <v>2028</v>
      </c>
      <c r="G601">
        <v>36</v>
      </c>
      <c r="H601" t="str" cm="1">
        <f t="array" ref="H601">_xlfn.IFS(
Table2[[#This Row],[AGE]]&lt;30,"Young",
Table2[[#This Row],[AGE]]&lt;40,"Middle Age",
Table2[[#This Row],[AGE]]&lt;50,"Senior",
TRUE,"Super Senior"
)</f>
        <v>Middle Age</v>
      </c>
      <c r="I601">
        <v>-1</v>
      </c>
      <c r="J601">
        <v>-1</v>
      </c>
      <c r="K601">
        <v>2</v>
      </c>
      <c r="L601">
        <v>0</v>
      </c>
      <c r="M601">
        <v>-1</v>
      </c>
      <c r="N601">
        <v>-1</v>
      </c>
      <c r="O601" s="1">
        <v>-475</v>
      </c>
      <c r="P601" s="1">
        <v>5191</v>
      </c>
      <c r="Q601" s="1">
        <v>4606</v>
      </c>
      <c r="R601" s="1">
        <v>2303</v>
      </c>
      <c r="S601" s="1">
        <v>2768</v>
      </c>
      <c r="T601" s="1">
        <v>65373</v>
      </c>
      <c r="U601" s="1">
        <v>10000</v>
      </c>
      <c r="V601" s="1">
        <v>0</v>
      </c>
      <c r="W601" s="1">
        <v>0</v>
      </c>
      <c r="X601" s="1">
        <v>2768</v>
      </c>
      <c r="Y601" s="1">
        <v>65373</v>
      </c>
      <c r="Z601" s="1">
        <v>10780</v>
      </c>
      <c r="AA601">
        <v>1</v>
      </c>
      <c r="AB601" t="str">
        <f t="shared" si="9"/>
        <v>Defaulter</v>
      </c>
      <c r="AC601" s="1">
        <f>Table2[[#This Row],[BILL_AMT1]]-Table2[[#This Row],[PAY_AMT1]]</f>
        <v>-10475</v>
      </c>
      <c r="AD601" s="1" t="str" cm="1">
        <f t="array" ref="AD601">_xlfn.IFS(Table2[[#This Row],[PAYMENT GAP]]&lt;=0,"No Gap / Overpaid",Table2[[#This Row],[PAYMENT GAP]]&lt;=25000,"Low Gap",Table2[[#This Row],[PAYMENT GAP]]&lt;=100000,"Medium Gap",
TRUE,"High Gap"
)</f>
        <v>No Gap / Overpaid</v>
      </c>
    </row>
    <row r="602" spans="1:30" x14ac:dyDescent="0.3">
      <c r="A602">
        <v>601</v>
      </c>
      <c r="B602" s="1">
        <v>310000</v>
      </c>
      <c r="C602" s="1" t="str" cm="1">
        <f t="array" ref="C602">_xlfn.IFS(Table2[[#This Row],[LIMIT_BAL]]&lt;=100000,"Low",Table2[[#This Row],[LIMIT_BAL]]&lt;=300000,"Medium",
TRUE,"High"
)</f>
        <v>High</v>
      </c>
      <c r="D602" t="s">
        <v>2041</v>
      </c>
      <c r="E602" t="s">
        <v>2043</v>
      </c>
      <c r="F602" t="s">
        <v>2028</v>
      </c>
      <c r="G602">
        <v>43</v>
      </c>
      <c r="H602" t="str" cm="1">
        <f t="array" ref="H602">_xlfn.IFS(
Table2[[#This Row],[AGE]]&lt;30,"Young",
Table2[[#This Row],[AGE]]&lt;40,"Middle Age",
Table2[[#This Row],[AGE]]&lt;50,"Senior",
TRUE,"Super Senior"
)</f>
        <v>Senior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 s="1">
        <v>23396</v>
      </c>
      <c r="P602" s="1">
        <v>24182</v>
      </c>
      <c r="Q602" s="1">
        <v>25135</v>
      </c>
      <c r="R602" s="1">
        <v>25095</v>
      </c>
      <c r="S602" s="1">
        <v>25356</v>
      </c>
      <c r="T602" s="1">
        <v>25514</v>
      </c>
      <c r="U602" s="1">
        <v>1426</v>
      </c>
      <c r="V602" s="1">
        <v>1379</v>
      </c>
      <c r="W602" s="1">
        <v>867</v>
      </c>
      <c r="X602" s="1">
        <v>898</v>
      </c>
      <c r="Y602" s="1">
        <v>933</v>
      </c>
      <c r="Z602" s="1">
        <v>807</v>
      </c>
      <c r="AA602">
        <v>0</v>
      </c>
      <c r="AB602" t="str">
        <f t="shared" si="9"/>
        <v>Not Defaulter</v>
      </c>
      <c r="AC602" s="1">
        <f>Table2[[#This Row],[BILL_AMT1]]-Table2[[#This Row],[PAY_AMT1]]</f>
        <v>21970</v>
      </c>
      <c r="AD602" s="1" t="str" cm="1">
        <f t="array" ref="AD602">_xlfn.IFS(Table2[[#This Row],[PAYMENT GAP]]&lt;=0,"No Gap / Overpaid",Table2[[#This Row],[PAYMENT GAP]]&lt;=25000,"Low Gap",Table2[[#This Row],[PAYMENT GAP]]&lt;=100000,"Medium Gap",
TRUE,"High Gap"
)</f>
        <v>Low Gap</v>
      </c>
    </row>
    <row r="603" spans="1:30" x14ac:dyDescent="0.3">
      <c r="A603">
        <v>602</v>
      </c>
      <c r="B603" s="1">
        <v>30000</v>
      </c>
      <c r="C603" s="1" t="str" cm="1">
        <f t="array" ref="C603">_xlfn.IFS(Table2[[#This Row],[LIMIT_BAL]]&lt;=100000,"Low",Table2[[#This Row],[LIMIT_BAL]]&lt;=300000,"Medium",
TRUE,"High"
)</f>
        <v>Low</v>
      </c>
      <c r="D603" t="s">
        <v>2042</v>
      </c>
      <c r="E603" t="s">
        <v>2027</v>
      </c>
      <c r="F603" t="s">
        <v>2028</v>
      </c>
      <c r="G603">
        <v>59</v>
      </c>
      <c r="H603" t="str" cm="1">
        <f t="array" ref="H603">_xlfn.IFS(
Table2[[#This Row],[AGE]]&lt;30,"Young",
Table2[[#This Row],[AGE]]&lt;40,"Middle Age",
Table2[[#This Row],[AGE]]&lt;50,"Senior",
TRUE,"Super Senior"
)</f>
        <v>Super Senior</v>
      </c>
      <c r="I603">
        <v>-1</v>
      </c>
      <c r="J603">
        <v>-1</v>
      </c>
      <c r="K603">
        <v>-1</v>
      </c>
      <c r="L603">
        <v>-1</v>
      </c>
      <c r="M603">
        <v>-1</v>
      </c>
      <c r="N603">
        <v>-1</v>
      </c>
      <c r="O603" s="1">
        <v>390</v>
      </c>
      <c r="P603" s="1">
        <v>390</v>
      </c>
      <c r="Q603" s="1">
        <v>390</v>
      </c>
      <c r="R603" s="1">
        <v>390</v>
      </c>
      <c r="S603" s="1">
        <v>390</v>
      </c>
      <c r="T603" s="1">
        <v>1320</v>
      </c>
      <c r="U603" s="1">
        <v>390</v>
      </c>
      <c r="V603" s="1">
        <v>390</v>
      </c>
      <c r="W603" s="1">
        <v>390</v>
      </c>
      <c r="X603" s="1">
        <v>390</v>
      </c>
      <c r="Y603" s="1">
        <v>1320</v>
      </c>
      <c r="Z603" s="1">
        <v>0</v>
      </c>
      <c r="AA603">
        <v>1</v>
      </c>
      <c r="AB603" t="str">
        <f t="shared" si="9"/>
        <v>Defaulter</v>
      </c>
      <c r="AC603" s="1">
        <f>Table2[[#This Row],[BILL_AMT1]]-Table2[[#This Row],[PAY_AMT1]]</f>
        <v>0</v>
      </c>
      <c r="AD603" s="1" t="str" cm="1">
        <f t="array" ref="AD603">_xlfn.IFS(Table2[[#This Row],[PAYMENT GAP]]&lt;=0,"No Gap / Overpaid",Table2[[#This Row],[PAYMENT GAP]]&lt;=25000,"Low Gap",Table2[[#This Row],[PAYMENT GAP]]&lt;=100000,"Medium Gap",
TRUE,"High Gap"
)</f>
        <v>No Gap / Overpaid</v>
      </c>
    </row>
    <row r="604" spans="1:30" x14ac:dyDescent="0.3">
      <c r="A604">
        <v>603</v>
      </c>
      <c r="B604" s="1">
        <v>170000</v>
      </c>
      <c r="C604" s="1" t="str" cm="1">
        <f t="array" ref="C604">_xlfn.IFS(Table2[[#This Row],[LIMIT_BAL]]&lt;=100000,"Low",Table2[[#This Row],[LIMIT_BAL]]&lt;=300000,"Medium",
TRUE,"High"
)</f>
        <v>Medium</v>
      </c>
      <c r="D604" t="s">
        <v>2042</v>
      </c>
      <c r="E604" t="s">
        <v>2026</v>
      </c>
      <c r="F604" t="s">
        <v>2028</v>
      </c>
      <c r="G604">
        <v>53</v>
      </c>
      <c r="H604" t="str" cm="1">
        <f t="array" ref="H604">_xlfn.IFS(
Table2[[#This Row],[AGE]]&lt;30,"Young",
Table2[[#This Row],[AGE]]&lt;40,"Middle Age",
Table2[[#This Row],[AGE]]&lt;50,"Senior",
TRUE,"Super Senior"
)</f>
        <v>Super Senior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 s="1">
        <v>17862</v>
      </c>
      <c r="P604" s="1">
        <v>17927</v>
      </c>
      <c r="Q604" s="1">
        <v>18800</v>
      </c>
      <c r="R604" s="1">
        <v>17647</v>
      </c>
      <c r="S604" s="1">
        <v>18015</v>
      </c>
      <c r="T604" s="1">
        <v>12930</v>
      </c>
      <c r="U604" s="1">
        <v>1323</v>
      </c>
      <c r="V604" s="1">
        <v>1196</v>
      </c>
      <c r="W604" s="1">
        <v>544</v>
      </c>
      <c r="X604" s="1">
        <v>563</v>
      </c>
      <c r="Y604" s="1">
        <v>629</v>
      </c>
      <c r="Z604" s="1">
        <v>361</v>
      </c>
      <c r="AA604">
        <v>0</v>
      </c>
      <c r="AB604" t="str">
        <f t="shared" si="9"/>
        <v>Not Defaulter</v>
      </c>
      <c r="AC604" s="1">
        <f>Table2[[#This Row],[BILL_AMT1]]-Table2[[#This Row],[PAY_AMT1]]</f>
        <v>16539</v>
      </c>
      <c r="AD604" s="1" t="str" cm="1">
        <f t="array" ref="AD604">_xlfn.IFS(Table2[[#This Row],[PAYMENT GAP]]&lt;=0,"No Gap / Overpaid",Table2[[#This Row],[PAYMENT GAP]]&lt;=25000,"Low Gap",Table2[[#This Row],[PAYMENT GAP]]&lt;=100000,"Medium Gap",
TRUE,"High Gap"
)</f>
        <v>Low Gap</v>
      </c>
    </row>
    <row r="605" spans="1:30" x14ac:dyDescent="0.3">
      <c r="A605">
        <v>604</v>
      </c>
      <c r="B605" s="1">
        <v>140000</v>
      </c>
      <c r="C605" s="1" t="str" cm="1">
        <f t="array" ref="C605">_xlfn.IFS(Table2[[#This Row],[LIMIT_BAL]]&lt;=100000,"Low",Table2[[#This Row],[LIMIT_BAL]]&lt;=300000,"Medium",
TRUE,"High"
)</f>
        <v>Medium</v>
      </c>
      <c r="D605" t="s">
        <v>2041</v>
      </c>
      <c r="E605" t="s">
        <v>2043</v>
      </c>
      <c r="F605" t="s">
        <v>2029</v>
      </c>
      <c r="G605">
        <v>28</v>
      </c>
      <c r="H605" t="str" cm="1">
        <f t="array" ref="H605">_xlfn.IFS(
Table2[[#This Row],[AGE]]&lt;30,"Young",
Table2[[#This Row],[AGE]]&lt;40,"Middle Age",
Table2[[#This Row],[AGE]]&lt;50,"Senior",
TRUE,"Super Senior"
)</f>
        <v>Young</v>
      </c>
      <c r="I605">
        <v>2</v>
      </c>
      <c r="J605">
        <v>2</v>
      </c>
      <c r="K605">
        <v>2</v>
      </c>
      <c r="L605">
        <v>0</v>
      </c>
      <c r="M605">
        <v>0</v>
      </c>
      <c r="N605">
        <v>2</v>
      </c>
      <c r="O605" s="1">
        <v>26450</v>
      </c>
      <c r="P605" s="1">
        <v>28823</v>
      </c>
      <c r="Q605" s="1">
        <v>28171</v>
      </c>
      <c r="R605" s="1">
        <v>28740</v>
      </c>
      <c r="S605" s="1">
        <v>30454</v>
      </c>
      <c r="T605" s="1">
        <v>29930</v>
      </c>
      <c r="U605" s="1">
        <v>3007</v>
      </c>
      <c r="V605" s="1">
        <v>0</v>
      </c>
      <c r="W605" s="1">
        <v>924</v>
      </c>
      <c r="X605" s="1">
        <v>2070</v>
      </c>
      <c r="Y605" s="1">
        <v>0</v>
      </c>
      <c r="Z605" s="1">
        <v>3000</v>
      </c>
      <c r="AA605">
        <v>0</v>
      </c>
      <c r="AB605" t="str">
        <f t="shared" si="9"/>
        <v>Not Defaulter</v>
      </c>
      <c r="AC605" s="1">
        <f>Table2[[#This Row],[BILL_AMT1]]-Table2[[#This Row],[PAY_AMT1]]</f>
        <v>23443</v>
      </c>
      <c r="AD605" s="1" t="str" cm="1">
        <f t="array" ref="AD605">_xlfn.IFS(Table2[[#This Row],[PAYMENT GAP]]&lt;=0,"No Gap / Overpaid",Table2[[#This Row],[PAYMENT GAP]]&lt;=25000,"Low Gap",Table2[[#This Row],[PAYMENT GAP]]&lt;=100000,"Medium Gap",
TRUE,"High Gap"
)</f>
        <v>Low Gap</v>
      </c>
    </row>
    <row r="606" spans="1:30" x14ac:dyDescent="0.3">
      <c r="A606">
        <v>605</v>
      </c>
      <c r="B606" s="1">
        <v>180000</v>
      </c>
      <c r="C606" s="1" t="str" cm="1">
        <f t="array" ref="C606">_xlfn.IFS(Table2[[#This Row],[LIMIT_BAL]]&lt;=100000,"Low",Table2[[#This Row],[LIMIT_BAL]]&lt;=300000,"Medium",
TRUE,"High"
)</f>
        <v>Medium</v>
      </c>
      <c r="D606" t="s">
        <v>2041</v>
      </c>
      <c r="E606" t="s">
        <v>2043</v>
      </c>
      <c r="F606" t="s">
        <v>2029</v>
      </c>
      <c r="G606">
        <v>31</v>
      </c>
      <c r="H606" t="str" cm="1">
        <f t="array" ref="H606">_xlfn.IFS(
Table2[[#This Row],[AGE]]&lt;30,"Young",
Table2[[#This Row],[AGE]]&lt;40,"Middle Age",
Table2[[#This Row],[AGE]]&lt;50,"Senior",
TRUE,"Super Senior"
)</f>
        <v>Middle Age</v>
      </c>
      <c r="I606">
        <v>1</v>
      </c>
      <c r="J606">
        <v>-2</v>
      </c>
      <c r="K606">
        <v>-2</v>
      </c>
      <c r="L606">
        <v>-2</v>
      </c>
      <c r="M606">
        <v>-2</v>
      </c>
      <c r="N606">
        <v>-2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1576</v>
      </c>
      <c r="AA606">
        <v>0</v>
      </c>
      <c r="AB606" t="str">
        <f t="shared" si="9"/>
        <v>Not Defaulter</v>
      </c>
      <c r="AC606" s="1">
        <f>Table2[[#This Row],[BILL_AMT1]]-Table2[[#This Row],[PAY_AMT1]]</f>
        <v>0</v>
      </c>
      <c r="AD606" s="1" t="str" cm="1">
        <f t="array" ref="AD606">_xlfn.IFS(Table2[[#This Row],[PAYMENT GAP]]&lt;=0,"No Gap / Overpaid",Table2[[#This Row],[PAYMENT GAP]]&lt;=25000,"Low Gap",Table2[[#This Row],[PAYMENT GAP]]&lt;=100000,"Medium Gap",
TRUE,"High Gap"
)</f>
        <v>No Gap / Overpaid</v>
      </c>
    </row>
    <row r="607" spans="1:30" x14ac:dyDescent="0.3">
      <c r="A607">
        <v>606</v>
      </c>
      <c r="B607" s="1">
        <v>50000</v>
      </c>
      <c r="C607" s="1" t="str" cm="1">
        <f t="array" ref="C607">_xlfn.IFS(Table2[[#This Row],[LIMIT_BAL]]&lt;=100000,"Low",Table2[[#This Row],[LIMIT_BAL]]&lt;=300000,"Medium",
TRUE,"High"
)</f>
        <v>Low</v>
      </c>
      <c r="D607" t="s">
        <v>2042</v>
      </c>
      <c r="E607" t="s">
        <v>2026</v>
      </c>
      <c r="F607" t="s">
        <v>2029</v>
      </c>
      <c r="G607">
        <v>34</v>
      </c>
      <c r="H607" t="str" cm="1">
        <f t="array" ref="H607">_xlfn.IFS(
Table2[[#This Row],[AGE]]&lt;30,"Young",
Table2[[#This Row],[AGE]]&lt;40,"Middle Age",
Table2[[#This Row],[AGE]]&lt;50,"Senior",
TRUE,"Super Senior"
)</f>
        <v>Middle Age</v>
      </c>
      <c r="I607">
        <v>1</v>
      </c>
      <c r="J607">
        <v>2</v>
      </c>
      <c r="K607">
        <v>2</v>
      </c>
      <c r="L607">
        <v>2</v>
      </c>
      <c r="M607">
        <v>2</v>
      </c>
      <c r="N607">
        <v>2</v>
      </c>
      <c r="O607" s="1">
        <v>22746</v>
      </c>
      <c r="P607" s="1">
        <v>22099</v>
      </c>
      <c r="Q607" s="1">
        <v>24121</v>
      </c>
      <c r="R607" s="1">
        <v>23437</v>
      </c>
      <c r="S607" s="1">
        <v>25101</v>
      </c>
      <c r="T607" s="1">
        <v>24549</v>
      </c>
      <c r="U607" s="1">
        <v>0</v>
      </c>
      <c r="V607" s="1">
        <v>2700</v>
      </c>
      <c r="W607" s="1">
        <v>0</v>
      </c>
      <c r="X607" s="1">
        <v>2200</v>
      </c>
      <c r="Y607" s="1">
        <v>0</v>
      </c>
      <c r="Z607" s="1">
        <v>1030</v>
      </c>
      <c r="AA607">
        <v>0</v>
      </c>
      <c r="AB607" t="str">
        <f t="shared" si="9"/>
        <v>Not Defaulter</v>
      </c>
      <c r="AC607" s="1">
        <f>Table2[[#This Row],[BILL_AMT1]]-Table2[[#This Row],[PAY_AMT1]]</f>
        <v>22746</v>
      </c>
      <c r="AD607" s="1" t="str" cm="1">
        <f t="array" ref="AD607">_xlfn.IFS(Table2[[#This Row],[PAYMENT GAP]]&lt;=0,"No Gap / Overpaid",Table2[[#This Row],[PAYMENT GAP]]&lt;=25000,"Low Gap",Table2[[#This Row],[PAYMENT GAP]]&lt;=100000,"Medium Gap",
TRUE,"High Gap"
)</f>
        <v>Low Gap</v>
      </c>
    </row>
    <row r="608" spans="1:30" x14ac:dyDescent="0.3">
      <c r="A608">
        <v>607</v>
      </c>
      <c r="B608" s="1">
        <v>50000</v>
      </c>
      <c r="C608" s="1" t="str" cm="1">
        <f t="array" ref="C608">_xlfn.IFS(Table2[[#This Row],[LIMIT_BAL]]&lt;=100000,"Low",Table2[[#This Row],[LIMIT_BAL]]&lt;=300000,"Medium",
TRUE,"High"
)</f>
        <v>Low</v>
      </c>
      <c r="D608" t="s">
        <v>2041</v>
      </c>
      <c r="E608" t="s">
        <v>2043</v>
      </c>
      <c r="F608" t="s">
        <v>2028</v>
      </c>
      <c r="G608">
        <v>36</v>
      </c>
      <c r="H608" t="str" cm="1">
        <f t="array" ref="H608">_xlfn.IFS(
Table2[[#This Row],[AGE]]&lt;30,"Young",
Table2[[#This Row],[AGE]]&lt;40,"Middle Age",
Table2[[#This Row],[AGE]]&lt;50,"Senior",
TRUE,"Super Senior"
)</f>
        <v>Middle Age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-2</v>
      </c>
      <c r="O608" s="1">
        <v>9214</v>
      </c>
      <c r="P608" s="1">
        <v>10359</v>
      </c>
      <c r="Q608" s="1">
        <v>7350</v>
      </c>
      <c r="R608" s="1">
        <v>7500</v>
      </c>
      <c r="S608" s="1">
        <v>0</v>
      </c>
      <c r="T608" s="1">
        <v>0</v>
      </c>
      <c r="U608" s="1">
        <v>1351</v>
      </c>
      <c r="V608" s="1">
        <v>1500</v>
      </c>
      <c r="W608" s="1">
        <v>150</v>
      </c>
      <c r="X608" s="1">
        <v>0</v>
      </c>
      <c r="Y608" s="1">
        <v>0</v>
      </c>
      <c r="Z608" s="1">
        <v>0</v>
      </c>
      <c r="AA608">
        <v>0</v>
      </c>
      <c r="AB608" t="str">
        <f t="shared" si="9"/>
        <v>Not Defaulter</v>
      </c>
      <c r="AC608" s="1">
        <f>Table2[[#This Row],[BILL_AMT1]]-Table2[[#This Row],[PAY_AMT1]]</f>
        <v>7863</v>
      </c>
      <c r="AD608" s="1" t="str" cm="1">
        <f t="array" ref="AD608">_xlfn.IFS(Table2[[#This Row],[PAYMENT GAP]]&lt;=0,"No Gap / Overpaid",Table2[[#This Row],[PAYMENT GAP]]&lt;=25000,"Low Gap",Table2[[#This Row],[PAYMENT GAP]]&lt;=100000,"Medium Gap",
TRUE,"High Gap"
)</f>
        <v>Low Gap</v>
      </c>
    </row>
    <row r="609" spans="1:30" x14ac:dyDescent="0.3">
      <c r="A609">
        <v>608</v>
      </c>
      <c r="B609" s="1">
        <v>110000</v>
      </c>
      <c r="C609" s="1" t="str" cm="1">
        <f t="array" ref="C609">_xlfn.IFS(Table2[[#This Row],[LIMIT_BAL]]&lt;=100000,"Low",Table2[[#This Row],[LIMIT_BAL]]&lt;=300000,"Medium",
TRUE,"High"
)</f>
        <v>Medium</v>
      </c>
      <c r="D609" t="s">
        <v>2041</v>
      </c>
      <c r="E609" t="s">
        <v>2026</v>
      </c>
      <c r="F609" t="s">
        <v>2029</v>
      </c>
      <c r="G609">
        <v>24</v>
      </c>
      <c r="H609" t="str" cm="1">
        <f t="array" ref="H609">_xlfn.IFS(
Table2[[#This Row],[AGE]]&lt;30,"Young",
Table2[[#This Row],[AGE]]&lt;40,"Middle Age",
Table2[[#This Row],[AGE]]&lt;50,"Senior",
TRUE,"Super Senior"
)</f>
        <v>Young</v>
      </c>
      <c r="I609">
        <v>0</v>
      </c>
      <c r="J609">
        <v>0</v>
      </c>
      <c r="K609">
        <v>0</v>
      </c>
      <c r="L609">
        <v>0</v>
      </c>
      <c r="M609">
        <v>2</v>
      </c>
      <c r="N609">
        <v>0</v>
      </c>
      <c r="O609" s="1">
        <v>40882</v>
      </c>
      <c r="P609" s="1">
        <v>35428</v>
      </c>
      <c r="Q609" s="1">
        <v>39680</v>
      </c>
      <c r="R609" s="1">
        <v>44097</v>
      </c>
      <c r="S609" s="1">
        <v>42543</v>
      </c>
      <c r="T609" s="1">
        <v>33189</v>
      </c>
      <c r="U609" s="1">
        <v>2000</v>
      </c>
      <c r="V609" s="1">
        <v>5000</v>
      </c>
      <c r="W609" s="1">
        <v>5000</v>
      </c>
      <c r="X609" s="1">
        <v>0</v>
      </c>
      <c r="Y609" s="1">
        <v>2000</v>
      </c>
      <c r="Z609" s="1">
        <v>3000</v>
      </c>
      <c r="AA609">
        <v>0</v>
      </c>
      <c r="AB609" t="str">
        <f t="shared" si="9"/>
        <v>Not Defaulter</v>
      </c>
      <c r="AC609" s="1">
        <f>Table2[[#This Row],[BILL_AMT1]]-Table2[[#This Row],[PAY_AMT1]]</f>
        <v>38882</v>
      </c>
      <c r="AD609" s="1" t="str" cm="1">
        <f t="array" ref="AD609">_xlfn.IFS(Table2[[#This Row],[PAYMENT GAP]]&lt;=0,"No Gap / Overpaid",Table2[[#This Row],[PAYMENT GAP]]&lt;=25000,"Low Gap",Table2[[#This Row],[PAYMENT GAP]]&lt;=100000,"Medium Gap",
TRUE,"High Gap"
)</f>
        <v>Medium Gap</v>
      </c>
    </row>
    <row r="610" spans="1:30" x14ac:dyDescent="0.3">
      <c r="A610">
        <v>609</v>
      </c>
      <c r="B610" s="1">
        <v>450000</v>
      </c>
      <c r="C610" s="1" t="str" cm="1">
        <f t="array" ref="C610">_xlfn.IFS(Table2[[#This Row],[LIMIT_BAL]]&lt;=100000,"Low",Table2[[#This Row],[LIMIT_BAL]]&lt;=300000,"Medium",
TRUE,"High"
)</f>
        <v>High</v>
      </c>
      <c r="D610" t="s">
        <v>2041</v>
      </c>
      <c r="E610" t="s">
        <v>2027</v>
      </c>
      <c r="F610" t="s">
        <v>2028</v>
      </c>
      <c r="G610">
        <v>36</v>
      </c>
      <c r="H610" t="str" cm="1">
        <f t="array" ref="H610">_xlfn.IFS(
Table2[[#This Row],[AGE]]&lt;30,"Young",
Table2[[#This Row],[AGE]]&lt;40,"Middle Age",
Table2[[#This Row],[AGE]]&lt;50,"Senior",
TRUE,"Super Senior"
)</f>
        <v>Middle Age</v>
      </c>
      <c r="I610">
        <v>-2</v>
      </c>
      <c r="J610">
        <v>-2</v>
      </c>
      <c r="K610">
        <v>-2</v>
      </c>
      <c r="L610">
        <v>-2</v>
      </c>
      <c r="M610">
        <v>-2</v>
      </c>
      <c r="N610">
        <v>-2</v>
      </c>
      <c r="O610" s="1">
        <v>3996</v>
      </c>
      <c r="P610" s="1">
        <v>9120</v>
      </c>
      <c r="Q610" s="1">
        <v>8528</v>
      </c>
      <c r="R610" s="1">
        <v>0</v>
      </c>
      <c r="S610" s="1">
        <v>6368</v>
      </c>
      <c r="T610" s="1">
        <v>3000</v>
      </c>
      <c r="U610" s="1">
        <v>9120</v>
      </c>
      <c r="V610" s="1">
        <v>8528</v>
      </c>
      <c r="W610" s="1">
        <v>0</v>
      </c>
      <c r="X610" s="1">
        <v>6368</v>
      </c>
      <c r="Y610" s="1">
        <v>3000</v>
      </c>
      <c r="Z610" s="1">
        <v>3238</v>
      </c>
      <c r="AA610">
        <v>0</v>
      </c>
      <c r="AB610" t="str">
        <f t="shared" si="9"/>
        <v>Not Defaulter</v>
      </c>
      <c r="AC610" s="1">
        <f>Table2[[#This Row],[BILL_AMT1]]-Table2[[#This Row],[PAY_AMT1]]</f>
        <v>-5124</v>
      </c>
      <c r="AD610" s="1" t="str" cm="1">
        <f t="array" ref="AD610">_xlfn.IFS(Table2[[#This Row],[PAYMENT GAP]]&lt;=0,"No Gap / Overpaid",Table2[[#This Row],[PAYMENT GAP]]&lt;=25000,"Low Gap",Table2[[#This Row],[PAYMENT GAP]]&lt;=100000,"Medium Gap",
TRUE,"High Gap"
)</f>
        <v>No Gap / Overpaid</v>
      </c>
    </row>
    <row r="611" spans="1:30" x14ac:dyDescent="0.3">
      <c r="A611">
        <v>610</v>
      </c>
      <c r="B611" s="1">
        <v>200000</v>
      </c>
      <c r="C611" s="1" t="str" cm="1">
        <f t="array" ref="C611">_xlfn.IFS(Table2[[#This Row],[LIMIT_BAL]]&lt;=100000,"Low",Table2[[#This Row],[LIMIT_BAL]]&lt;=300000,"Medium",
TRUE,"High"
)</f>
        <v>Medium</v>
      </c>
      <c r="D611" t="s">
        <v>2041</v>
      </c>
      <c r="E611" t="s">
        <v>2043</v>
      </c>
      <c r="F611" t="s">
        <v>2028</v>
      </c>
      <c r="G611">
        <v>34</v>
      </c>
      <c r="H611" t="str" cm="1">
        <f t="array" ref="H611">_xlfn.IFS(
Table2[[#This Row],[AGE]]&lt;30,"Young",
Table2[[#This Row],[AGE]]&lt;40,"Middle Age",
Table2[[#This Row],[AGE]]&lt;50,"Senior",
TRUE,"Super Senior"
)</f>
        <v>Middle Age</v>
      </c>
      <c r="I611">
        <v>-1</v>
      </c>
      <c r="J611">
        <v>-1</v>
      </c>
      <c r="K611">
        <v>-1</v>
      </c>
      <c r="L611">
        <v>-1</v>
      </c>
      <c r="M611">
        <v>-1</v>
      </c>
      <c r="N611">
        <v>-1</v>
      </c>
      <c r="O611" s="1">
        <v>390</v>
      </c>
      <c r="P611" s="1">
        <v>390</v>
      </c>
      <c r="Q611" s="1">
        <v>390</v>
      </c>
      <c r="R611" s="1">
        <v>561</v>
      </c>
      <c r="S611" s="1">
        <v>390</v>
      </c>
      <c r="T611" s="1">
        <v>390</v>
      </c>
      <c r="U611" s="1">
        <v>390</v>
      </c>
      <c r="V611" s="1">
        <v>390</v>
      </c>
      <c r="W611" s="1">
        <v>561</v>
      </c>
      <c r="X611" s="1">
        <v>390</v>
      </c>
      <c r="Y611" s="1">
        <v>390</v>
      </c>
      <c r="Z611" s="1">
        <v>390</v>
      </c>
      <c r="AA611">
        <v>0</v>
      </c>
      <c r="AB611" t="str">
        <f t="shared" si="9"/>
        <v>Not Defaulter</v>
      </c>
      <c r="AC611" s="1">
        <f>Table2[[#This Row],[BILL_AMT1]]-Table2[[#This Row],[PAY_AMT1]]</f>
        <v>0</v>
      </c>
      <c r="AD611" s="1" t="str" cm="1">
        <f t="array" ref="AD611">_xlfn.IFS(Table2[[#This Row],[PAYMENT GAP]]&lt;=0,"No Gap / Overpaid",Table2[[#This Row],[PAYMENT GAP]]&lt;=25000,"Low Gap",Table2[[#This Row],[PAYMENT GAP]]&lt;=100000,"Medium Gap",
TRUE,"High Gap"
)</f>
        <v>No Gap / Overpaid</v>
      </c>
    </row>
    <row r="612" spans="1:30" x14ac:dyDescent="0.3">
      <c r="A612">
        <v>611</v>
      </c>
      <c r="B612" s="1">
        <v>220000</v>
      </c>
      <c r="C612" s="1" t="str" cm="1">
        <f t="array" ref="C612">_xlfn.IFS(Table2[[#This Row],[LIMIT_BAL]]&lt;=100000,"Low",Table2[[#This Row],[LIMIT_BAL]]&lt;=300000,"Medium",
TRUE,"High"
)</f>
        <v>Medium</v>
      </c>
      <c r="D612" t="s">
        <v>2042</v>
      </c>
      <c r="E612" t="s">
        <v>2026</v>
      </c>
      <c r="F612" t="s">
        <v>2029</v>
      </c>
      <c r="G612">
        <v>43</v>
      </c>
      <c r="H612" t="str" cm="1">
        <f t="array" ref="H612">_xlfn.IFS(
Table2[[#This Row],[AGE]]&lt;30,"Young",
Table2[[#This Row],[AGE]]&lt;40,"Middle Age",
Table2[[#This Row],[AGE]]&lt;50,"Senior",
TRUE,"Super Senior"
)</f>
        <v>Senior</v>
      </c>
      <c r="I612">
        <v>0</v>
      </c>
      <c r="J612">
        <v>0</v>
      </c>
      <c r="K612">
        <v>-1</v>
      </c>
      <c r="L612">
        <v>-1</v>
      </c>
      <c r="M612">
        <v>-1</v>
      </c>
      <c r="N612">
        <v>-1</v>
      </c>
      <c r="O612" s="1">
        <v>44177</v>
      </c>
      <c r="P612" s="1">
        <v>25736</v>
      </c>
      <c r="Q612" s="1">
        <v>19292</v>
      </c>
      <c r="R612" s="1">
        <v>18900</v>
      </c>
      <c r="S612" s="1">
        <v>13580</v>
      </c>
      <c r="T612" s="1">
        <v>33150</v>
      </c>
      <c r="U612" s="1">
        <v>1006</v>
      </c>
      <c r="V612" s="1">
        <v>32906</v>
      </c>
      <c r="W612" s="1">
        <v>18900</v>
      </c>
      <c r="X612" s="1">
        <v>13580</v>
      </c>
      <c r="Y612" s="1">
        <v>33150</v>
      </c>
      <c r="Z612" s="1">
        <v>0</v>
      </c>
      <c r="AA612">
        <v>0</v>
      </c>
      <c r="AB612" t="str">
        <f t="shared" si="9"/>
        <v>Not Defaulter</v>
      </c>
      <c r="AC612" s="1">
        <f>Table2[[#This Row],[BILL_AMT1]]-Table2[[#This Row],[PAY_AMT1]]</f>
        <v>43171</v>
      </c>
      <c r="AD612" s="1" t="str" cm="1">
        <f t="array" ref="AD612">_xlfn.IFS(Table2[[#This Row],[PAYMENT GAP]]&lt;=0,"No Gap / Overpaid",Table2[[#This Row],[PAYMENT GAP]]&lt;=25000,"Low Gap",Table2[[#This Row],[PAYMENT GAP]]&lt;=100000,"Medium Gap",
TRUE,"High Gap"
)</f>
        <v>Medium Gap</v>
      </c>
    </row>
    <row r="613" spans="1:30" x14ac:dyDescent="0.3">
      <c r="A613">
        <v>612</v>
      </c>
      <c r="B613" s="1">
        <v>360000</v>
      </c>
      <c r="C613" s="1" t="str" cm="1">
        <f t="array" ref="C613">_xlfn.IFS(Table2[[#This Row],[LIMIT_BAL]]&lt;=100000,"Low",Table2[[#This Row],[LIMIT_BAL]]&lt;=300000,"Medium",
TRUE,"High"
)</f>
        <v>High</v>
      </c>
      <c r="D613" t="s">
        <v>2041</v>
      </c>
      <c r="E613" t="s">
        <v>2026</v>
      </c>
      <c r="F613" t="s">
        <v>2029</v>
      </c>
      <c r="G613">
        <v>29</v>
      </c>
      <c r="H613" t="str" cm="1">
        <f t="array" ref="H613">_xlfn.IFS(
Table2[[#This Row],[AGE]]&lt;30,"Young",
Table2[[#This Row],[AGE]]&lt;40,"Middle Age",
Table2[[#This Row],[AGE]]&lt;50,"Senior",
TRUE,"Super Senior"
)</f>
        <v>Young</v>
      </c>
      <c r="I613">
        <v>0</v>
      </c>
      <c r="J613">
        <v>0</v>
      </c>
      <c r="K613">
        <v>-2</v>
      </c>
      <c r="L613">
        <v>-2</v>
      </c>
      <c r="M613">
        <v>-2</v>
      </c>
      <c r="N613">
        <v>-1</v>
      </c>
      <c r="O613" s="1">
        <v>3280</v>
      </c>
      <c r="P613" s="1">
        <v>0</v>
      </c>
      <c r="Q613" s="1">
        <v>0</v>
      </c>
      <c r="R613" s="1">
        <v>0</v>
      </c>
      <c r="S613" s="1">
        <v>0</v>
      </c>
      <c r="T613" s="1">
        <v>2650</v>
      </c>
      <c r="U613" s="1">
        <v>0</v>
      </c>
      <c r="V613" s="1">
        <v>0</v>
      </c>
      <c r="W613" s="1">
        <v>0</v>
      </c>
      <c r="X613" s="1">
        <v>0</v>
      </c>
      <c r="Y613" s="1">
        <v>2650</v>
      </c>
      <c r="Z613" s="1">
        <v>0</v>
      </c>
      <c r="AA613">
        <v>1</v>
      </c>
      <c r="AB613" t="str">
        <f t="shared" si="9"/>
        <v>Defaulter</v>
      </c>
      <c r="AC613" s="1">
        <f>Table2[[#This Row],[BILL_AMT1]]-Table2[[#This Row],[PAY_AMT1]]</f>
        <v>3280</v>
      </c>
      <c r="AD613" s="1" t="str" cm="1">
        <f t="array" ref="AD613">_xlfn.IFS(Table2[[#This Row],[PAYMENT GAP]]&lt;=0,"No Gap / Overpaid",Table2[[#This Row],[PAYMENT GAP]]&lt;=25000,"Low Gap",Table2[[#This Row],[PAYMENT GAP]]&lt;=100000,"Medium Gap",
TRUE,"High Gap"
)</f>
        <v>Low Gap</v>
      </c>
    </row>
    <row r="614" spans="1:30" x14ac:dyDescent="0.3">
      <c r="A614">
        <v>613</v>
      </c>
      <c r="B614" s="1">
        <v>50000</v>
      </c>
      <c r="C614" s="1" t="str" cm="1">
        <f t="array" ref="C614">_xlfn.IFS(Table2[[#This Row],[LIMIT_BAL]]&lt;=100000,"Low",Table2[[#This Row],[LIMIT_BAL]]&lt;=300000,"Medium",
TRUE,"High"
)</f>
        <v>Low</v>
      </c>
      <c r="D614" t="s">
        <v>2042</v>
      </c>
      <c r="E614" t="s">
        <v>2043</v>
      </c>
      <c r="F614" t="s">
        <v>2028</v>
      </c>
      <c r="G614">
        <v>37</v>
      </c>
      <c r="H614" t="str" cm="1">
        <f t="array" ref="H614">_xlfn.IFS(
Table2[[#This Row],[AGE]]&lt;30,"Young",
Table2[[#This Row],[AGE]]&lt;40,"Middle Age",
Table2[[#This Row],[AGE]]&lt;50,"Senior",
TRUE,"Super Senior"
)</f>
        <v>Middle Age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s="1">
        <v>48226</v>
      </c>
      <c r="P614" s="1">
        <v>48727</v>
      </c>
      <c r="Q614" s="1">
        <v>46228</v>
      </c>
      <c r="R614" s="1">
        <v>46755</v>
      </c>
      <c r="S614" s="1">
        <v>43686</v>
      </c>
      <c r="T614" s="1">
        <v>44573</v>
      </c>
      <c r="U614" s="1">
        <v>2000</v>
      </c>
      <c r="V614" s="1">
        <v>1684</v>
      </c>
      <c r="W614" s="1">
        <v>1601</v>
      </c>
      <c r="X614" s="1">
        <v>2000</v>
      </c>
      <c r="Y614" s="1">
        <v>2000</v>
      </c>
      <c r="Z614" s="1">
        <v>2000</v>
      </c>
      <c r="AA614">
        <v>0</v>
      </c>
      <c r="AB614" t="str">
        <f t="shared" si="9"/>
        <v>Not Defaulter</v>
      </c>
      <c r="AC614" s="1">
        <f>Table2[[#This Row],[BILL_AMT1]]-Table2[[#This Row],[PAY_AMT1]]</f>
        <v>46226</v>
      </c>
      <c r="AD614" s="1" t="str" cm="1">
        <f t="array" ref="AD614">_xlfn.IFS(Table2[[#This Row],[PAYMENT GAP]]&lt;=0,"No Gap / Overpaid",Table2[[#This Row],[PAYMENT GAP]]&lt;=25000,"Low Gap",Table2[[#This Row],[PAYMENT GAP]]&lt;=100000,"Medium Gap",
TRUE,"High Gap"
)</f>
        <v>Medium Gap</v>
      </c>
    </row>
    <row r="615" spans="1:30" x14ac:dyDescent="0.3">
      <c r="A615">
        <v>614</v>
      </c>
      <c r="B615" s="1">
        <v>40000</v>
      </c>
      <c r="C615" s="1" t="str" cm="1">
        <f t="array" ref="C615">_xlfn.IFS(Table2[[#This Row],[LIMIT_BAL]]&lt;=100000,"Low",Table2[[#This Row],[LIMIT_BAL]]&lt;=300000,"Medium",
TRUE,"High"
)</f>
        <v>Low</v>
      </c>
      <c r="D615" t="s">
        <v>2042</v>
      </c>
      <c r="E615" t="s">
        <v>2043</v>
      </c>
      <c r="F615" t="s">
        <v>2029</v>
      </c>
      <c r="G615">
        <v>23</v>
      </c>
      <c r="H615" t="str" cm="1">
        <f t="array" ref="H615">_xlfn.IFS(
Table2[[#This Row],[AGE]]&lt;30,"Young",
Table2[[#This Row],[AGE]]&lt;40,"Middle Age",
Table2[[#This Row],[AGE]]&lt;50,"Senior",
TRUE,"Super Senior"
)</f>
        <v>Young</v>
      </c>
      <c r="I615">
        <v>2</v>
      </c>
      <c r="J615">
        <v>2</v>
      </c>
      <c r="K615">
        <v>0</v>
      </c>
      <c r="L615">
        <v>0</v>
      </c>
      <c r="M615">
        <v>0</v>
      </c>
      <c r="N615">
        <v>0</v>
      </c>
      <c r="O615" s="1">
        <v>36650</v>
      </c>
      <c r="P615" s="1">
        <v>29541</v>
      </c>
      <c r="Q615" s="1">
        <v>26190</v>
      </c>
      <c r="R615" s="1">
        <v>26710</v>
      </c>
      <c r="S615" s="1">
        <v>27274</v>
      </c>
      <c r="T615" s="1">
        <v>29551</v>
      </c>
      <c r="U615" s="1">
        <v>0</v>
      </c>
      <c r="V615" s="1">
        <v>1435</v>
      </c>
      <c r="W615" s="1">
        <v>955</v>
      </c>
      <c r="X615" s="1">
        <v>993</v>
      </c>
      <c r="Y615" s="1">
        <v>2734</v>
      </c>
      <c r="Z615" s="1">
        <v>0</v>
      </c>
      <c r="AA615">
        <v>0</v>
      </c>
      <c r="AB615" t="str">
        <f t="shared" si="9"/>
        <v>Not Defaulter</v>
      </c>
      <c r="AC615" s="1">
        <f>Table2[[#This Row],[BILL_AMT1]]-Table2[[#This Row],[PAY_AMT1]]</f>
        <v>36650</v>
      </c>
      <c r="AD615" s="1" t="str" cm="1">
        <f t="array" ref="AD615">_xlfn.IFS(Table2[[#This Row],[PAYMENT GAP]]&lt;=0,"No Gap / Overpaid",Table2[[#This Row],[PAYMENT GAP]]&lt;=25000,"Low Gap",Table2[[#This Row],[PAYMENT GAP]]&lt;=100000,"Medium Gap",
TRUE,"High Gap"
)</f>
        <v>Medium Gap</v>
      </c>
    </row>
    <row r="616" spans="1:30" x14ac:dyDescent="0.3">
      <c r="A616">
        <v>615</v>
      </c>
      <c r="B616" s="1">
        <v>190000</v>
      </c>
      <c r="C616" s="1" t="str" cm="1">
        <f t="array" ref="C616">_xlfn.IFS(Table2[[#This Row],[LIMIT_BAL]]&lt;=100000,"Low",Table2[[#This Row],[LIMIT_BAL]]&lt;=300000,"Medium",
TRUE,"High"
)</f>
        <v>Medium</v>
      </c>
      <c r="D616" t="s">
        <v>2041</v>
      </c>
      <c r="E616" t="s">
        <v>2043</v>
      </c>
      <c r="F616" t="s">
        <v>2028</v>
      </c>
      <c r="G616">
        <v>37</v>
      </c>
      <c r="H616" t="str" cm="1">
        <f t="array" ref="H616">_xlfn.IFS(
Table2[[#This Row],[AGE]]&lt;30,"Young",
Table2[[#This Row],[AGE]]&lt;40,"Middle Age",
Table2[[#This Row],[AGE]]&lt;50,"Senior",
TRUE,"Super Senior"
)</f>
        <v>Middle Age</v>
      </c>
      <c r="I616">
        <v>1</v>
      </c>
      <c r="J616">
        <v>2</v>
      </c>
      <c r="K616">
        <v>2</v>
      </c>
      <c r="L616">
        <v>2</v>
      </c>
      <c r="M616">
        <v>2</v>
      </c>
      <c r="N616">
        <v>2</v>
      </c>
      <c r="O616" s="1">
        <v>115049</v>
      </c>
      <c r="P616" s="1">
        <v>117856</v>
      </c>
      <c r="Q616" s="1">
        <v>119570</v>
      </c>
      <c r="R616" s="1">
        <v>116284</v>
      </c>
      <c r="S616" s="1">
        <v>123528</v>
      </c>
      <c r="T616" s="1">
        <v>125478</v>
      </c>
      <c r="U616" s="1">
        <v>6000</v>
      </c>
      <c r="V616" s="1">
        <v>5000</v>
      </c>
      <c r="W616" s="1">
        <v>0</v>
      </c>
      <c r="X616" s="1">
        <v>9000</v>
      </c>
      <c r="Y616" s="1">
        <v>4000</v>
      </c>
      <c r="Z616" s="1">
        <v>5000</v>
      </c>
      <c r="AA616">
        <v>0</v>
      </c>
      <c r="AB616" t="str">
        <f t="shared" si="9"/>
        <v>Not Defaulter</v>
      </c>
      <c r="AC616" s="1">
        <f>Table2[[#This Row],[BILL_AMT1]]-Table2[[#This Row],[PAY_AMT1]]</f>
        <v>109049</v>
      </c>
      <c r="AD616" s="1" t="str" cm="1">
        <f t="array" ref="AD616">_xlfn.IFS(Table2[[#This Row],[PAYMENT GAP]]&lt;=0,"No Gap / Overpaid",Table2[[#This Row],[PAYMENT GAP]]&lt;=25000,"Low Gap",Table2[[#This Row],[PAYMENT GAP]]&lt;=100000,"Medium Gap",
TRUE,"High Gap"
)</f>
        <v>High Gap</v>
      </c>
    </row>
    <row r="617" spans="1:30" x14ac:dyDescent="0.3">
      <c r="A617">
        <v>616</v>
      </c>
      <c r="B617" s="1">
        <v>150000</v>
      </c>
      <c r="C617" s="1" t="str" cm="1">
        <f t="array" ref="C617">_xlfn.IFS(Table2[[#This Row],[LIMIT_BAL]]&lt;=100000,"Low",Table2[[#This Row],[LIMIT_BAL]]&lt;=300000,"Medium",
TRUE,"High"
)</f>
        <v>Medium</v>
      </c>
      <c r="D617" t="s">
        <v>2042</v>
      </c>
      <c r="E617" t="s">
        <v>2026</v>
      </c>
      <c r="F617" t="s">
        <v>2029</v>
      </c>
      <c r="G617">
        <v>33</v>
      </c>
      <c r="H617" t="str" cm="1">
        <f t="array" ref="H617">_xlfn.IFS(
Table2[[#This Row],[AGE]]&lt;30,"Young",
Table2[[#This Row],[AGE]]&lt;40,"Middle Age",
Table2[[#This Row],[AGE]]&lt;50,"Senior",
TRUE,"Super Senior"
)</f>
        <v>Middle Age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 s="1">
        <v>21724</v>
      </c>
      <c r="P617" s="1">
        <v>23168</v>
      </c>
      <c r="Q617" s="1">
        <v>23320</v>
      </c>
      <c r="R617" s="1">
        <v>24085</v>
      </c>
      <c r="S617" s="1">
        <v>24149</v>
      </c>
      <c r="T617" s="1">
        <v>3323</v>
      </c>
      <c r="U617" s="1">
        <v>2100</v>
      </c>
      <c r="V617" s="1">
        <v>1200</v>
      </c>
      <c r="W617" s="1">
        <v>965</v>
      </c>
      <c r="X617" s="1">
        <v>64</v>
      </c>
      <c r="Y617" s="1">
        <v>509</v>
      </c>
      <c r="Z617" s="1">
        <v>8399</v>
      </c>
      <c r="AA617">
        <v>0</v>
      </c>
      <c r="AB617" t="str">
        <f t="shared" si="9"/>
        <v>Not Defaulter</v>
      </c>
      <c r="AC617" s="1">
        <f>Table2[[#This Row],[BILL_AMT1]]-Table2[[#This Row],[PAY_AMT1]]</f>
        <v>19624</v>
      </c>
      <c r="AD617" s="1" t="str" cm="1">
        <f t="array" ref="AD617">_xlfn.IFS(Table2[[#This Row],[PAYMENT GAP]]&lt;=0,"No Gap / Overpaid",Table2[[#This Row],[PAYMENT GAP]]&lt;=25000,"Low Gap",Table2[[#This Row],[PAYMENT GAP]]&lt;=100000,"Medium Gap",
TRUE,"High Gap"
)</f>
        <v>Low Gap</v>
      </c>
    </row>
    <row r="618" spans="1:30" x14ac:dyDescent="0.3">
      <c r="A618">
        <v>617</v>
      </c>
      <c r="B618" s="1">
        <v>200000</v>
      </c>
      <c r="C618" s="1" t="str" cm="1">
        <f t="array" ref="C618">_xlfn.IFS(Table2[[#This Row],[LIMIT_BAL]]&lt;=100000,"Low",Table2[[#This Row],[LIMIT_BAL]]&lt;=300000,"Medium",
TRUE,"High"
)</f>
        <v>Medium</v>
      </c>
      <c r="D618" t="s">
        <v>2041</v>
      </c>
      <c r="E618" t="s">
        <v>2026</v>
      </c>
      <c r="F618" t="s">
        <v>2028</v>
      </c>
      <c r="G618">
        <v>37</v>
      </c>
      <c r="H618" t="str" cm="1">
        <f t="array" ref="H618">_xlfn.IFS(
Table2[[#This Row],[AGE]]&lt;30,"Young",
Table2[[#This Row],[AGE]]&lt;40,"Middle Age",
Table2[[#This Row],[AGE]]&lt;50,"Senior",
TRUE,"Super Senior"
)</f>
        <v>Middle Age</v>
      </c>
      <c r="I618">
        <v>1</v>
      </c>
      <c r="J618">
        <v>-2</v>
      </c>
      <c r="K618">
        <v>-2</v>
      </c>
      <c r="L618">
        <v>-2</v>
      </c>
      <c r="M618">
        <v>-1</v>
      </c>
      <c r="N618">
        <v>-1</v>
      </c>
      <c r="O618" s="1">
        <v>0</v>
      </c>
      <c r="P618" s="1">
        <v>0</v>
      </c>
      <c r="Q618" s="1">
        <v>0</v>
      </c>
      <c r="R618" s="1">
        <v>0</v>
      </c>
      <c r="S618" s="1">
        <v>595</v>
      </c>
      <c r="T618" s="1">
        <v>0</v>
      </c>
      <c r="U618" s="1">
        <v>0</v>
      </c>
      <c r="V618" s="1">
        <v>0</v>
      </c>
      <c r="W618" s="1">
        <v>0</v>
      </c>
      <c r="X618" s="1">
        <v>595</v>
      </c>
      <c r="Y618" s="1">
        <v>0</v>
      </c>
      <c r="Z618" s="1">
        <v>2370</v>
      </c>
      <c r="AA618">
        <v>0</v>
      </c>
      <c r="AB618" t="str">
        <f t="shared" si="9"/>
        <v>Not Defaulter</v>
      </c>
      <c r="AC618" s="1">
        <f>Table2[[#This Row],[BILL_AMT1]]-Table2[[#This Row],[PAY_AMT1]]</f>
        <v>0</v>
      </c>
      <c r="AD618" s="1" t="str" cm="1">
        <f t="array" ref="AD618">_xlfn.IFS(Table2[[#This Row],[PAYMENT GAP]]&lt;=0,"No Gap / Overpaid",Table2[[#This Row],[PAYMENT GAP]]&lt;=25000,"Low Gap",Table2[[#This Row],[PAYMENT GAP]]&lt;=100000,"Medium Gap",
TRUE,"High Gap"
)</f>
        <v>No Gap / Overpaid</v>
      </c>
    </row>
    <row r="619" spans="1:30" x14ac:dyDescent="0.3">
      <c r="A619">
        <v>618</v>
      </c>
      <c r="B619" s="1">
        <v>270000</v>
      </c>
      <c r="C619" s="1" t="str" cm="1">
        <f t="array" ref="C619">_xlfn.IFS(Table2[[#This Row],[LIMIT_BAL]]&lt;=100000,"Low",Table2[[#This Row],[LIMIT_BAL]]&lt;=300000,"Medium",
TRUE,"High"
)</f>
        <v>Medium</v>
      </c>
      <c r="D619" t="s">
        <v>2041</v>
      </c>
      <c r="E619" t="s">
        <v>2043</v>
      </c>
      <c r="F619" t="s">
        <v>2028</v>
      </c>
      <c r="G619">
        <v>56</v>
      </c>
      <c r="H619" t="str" cm="1">
        <f t="array" ref="H619">_xlfn.IFS(
Table2[[#This Row],[AGE]]&lt;30,"Young",
Table2[[#This Row],[AGE]]&lt;40,"Middle Age",
Table2[[#This Row],[AGE]]&lt;50,"Senior",
TRUE,"Super Senior"
)</f>
        <v>Super Senior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 s="1">
        <v>137807</v>
      </c>
      <c r="P619" s="1">
        <v>123769</v>
      </c>
      <c r="Q619" s="1">
        <v>104377</v>
      </c>
      <c r="R619" s="1">
        <v>106651</v>
      </c>
      <c r="S619" s="1">
        <v>109294</v>
      </c>
      <c r="T619" s="1">
        <v>101151</v>
      </c>
      <c r="U619" s="1">
        <v>5000</v>
      </c>
      <c r="V619" s="1">
        <v>5000</v>
      </c>
      <c r="W619" s="1">
        <v>3953</v>
      </c>
      <c r="X619" s="1">
        <v>4500</v>
      </c>
      <c r="Y619" s="1">
        <v>4000</v>
      </c>
      <c r="Z619" s="1">
        <v>3900</v>
      </c>
      <c r="AA619">
        <v>0</v>
      </c>
      <c r="AB619" t="str">
        <f t="shared" si="9"/>
        <v>Not Defaulter</v>
      </c>
      <c r="AC619" s="1">
        <f>Table2[[#This Row],[BILL_AMT1]]-Table2[[#This Row],[PAY_AMT1]]</f>
        <v>132807</v>
      </c>
      <c r="AD619" s="1" t="str" cm="1">
        <f t="array" ref="AD619">_xlfn.IFS(Table2[[#This Row],[PAYMENT GAP]]&lt;=0,"No Gap / Overpaid",Table2[[#This Row],[PAYMENT GAP]]&lt;=25000,"Low Gap",Table2[[#This Row],[PAYMENT GAP]]&lt;=100000,"Medium Gap",
TRUE,"High Gap"
)</f>
        <v>High Gap</v>
      </c>
    </row>
    <row r="620" spans="1:30" x14ac:dyDescent="0.3">
      <c r="A620">
        <v>619</v>
      </c>
      <c r="B620" s="1">
        <v>60000</v>
      </c>
      <c r="C620" s="1" t="str" cm="1">
        <f t="array" ref="C620">_xlfn.IFS(Table2[[#This Row],[LIMIT_BAL]]&lt;=100000,"Low",Table2[[#This Row],[LIMIT_BAL]]&lt;=300000,"Medium",
TRUE,"High"
)</f>
        <v>Low</v>
      </c>
      <c r="D620" t="s">
        <v>2042</v>
      </c>
      <c r="E620" t="s">
        <v>2026</v>
      </c>
      <c r="F620" t="s">
        <v>2029</v>
      </c>
      <c r="G620">
        <v>25</v>
      </c>
      <c r="H620" t="str" cm="1">
        <f t="array" ref="H620">_xlfn.IFS(
Table2[[#This Row],[AGE]]&lt;30,"Young",
Table2[[#This Row],[AGE]]&lt;40,"Middle Age",
Table2[[#This Row],[AGE]]&lt;50,"Senior",
TRUE,"Super Senior"
)</f>
        <v>Young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 s="1">
        <v>58839</v>
      </c>
      <c r="P620" s="1">
        <v>53235</v>
      </c>
      <c r="Q620" s="1">
        <v>38533</v>
      </c>
      <c r="R620" s="1">
        <v>39639</v>
      </c>
      <c r="S620" s="1">
        <v>39619</v>
      </c>
      <c r="T620" s="1">
        <v>39140</v>
      </c>
      <c r="U620" s="1">
        <v>2018</v>
      </c>
      <c r="V620" s="1">
        <v>1900</v>
      </c>
      <c r="W620" s="1">
        <v>2000</v>
      </c>
      <c r="X620" s="1">
        <v>1500</v>
      </c>
      <c r="Y620" s="1">
        <v>1900</v>
      </c>
      <c r="Z620" s="1">
        <v>2000</v>
      </c>
      <c r="AA620">
        <v>0</v>
      </c>
      <c r="AB620" t="str">
        <f t="shared" si="9"/>
        <v>Not Defaulter</v>
      </c>
      <c r="AC620" s="1">
        <f>Table2[[#This Row],[BILL_AMT1]]-Table2[[#This Row],[PAY_AMT1]]</f>
        <v>56821</v>
      </c>
      <c r="AD620" s="1" t="str" cm="1">
        <f t="array" ref="AD620">_xlfn.IFS(Table2[[#This Row],[PAYMENT GAP]]&lt;=0,"No Gap / Overpaid",Table2[[#This Row],[PAYMENT GAP]]&lt;=25000,"Low Gap",Table2[[#This Row],[PAYMENT GAP]]&lt;=100000,"Medium Gap",
TRUE,"High Gap"
)</f>
        <v>Medium Gap</v>
      </c>
    </row>
    <row r="621" spans="1:30" x14ac:dyDescent="0.3">
      <c r="A621">
        <v>620</v>
      </c>
      <c r="B621" s="1">
        <v>200000</v>
      </c>
      <c r="C621" s="1" t="str" cm="1">
        <f t="array" ref="C621">_xlfn.IFS(Table2[[#This Row],[LIMIT_BAL]]&lt;=100000,"Low",Table2[[#This Row],[LIMIT_BAL]]&lt;=300000,"Medium",
TRUE,"High"
)</f>
        <v>Medium</v>
      </c>
      <c r="D621" t="s">
        <v>2041</v>
      </c>
      <c r="E621" t="s">
        <v>2043</v>
      </c>
      <c r="F621" t="s">
        <v>2028</v>
      </c>
      <c r="G621">
        <v>39</v>
      </c>
      <c r="H621" t="str" cm="1">
        <f t="array" ref="H621">_xlfn.IFS(
Table2[[#This Row],[AGE]]&lt;30,"Young",
Table2[[#This Row],[AGE]]&lt;40,"Middle Age",
Table2[[#This Row],[AGE]]&lt;50,"Senior",
TRUE,"Super Senior"
)</f>
        <v>Middle Age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 s="1">
        <v>80833</v>
      </c>
      <c r="P621" s="1">
        <v>79100</v>
      </c>
      <c r="Q621" s="1">
        <v>70764</v>
      </c>
      <c r="R621" s="1">
        <v>71629</v>
      </c>
      <c r="S621" s="1">
        <v>70805</v>
      </c>
      <c r="T621" s="1">
        <v>70718</v>
      </c>
      <c r="U621" s="1">
        <v>3315</v>
      </c>
      <c r="V621" s="1">
        <v>3088</v>
      </c>
      <c r="W621" s="1">
        <v>2572</v>
      </c>
      <c r="X621" s="1">
        <v>2559</v>
      </c>
      <c r="Y621" s="1">
        <v>2526</v>
      </c>
      <c r="Z621" s="1">
        <v>2620</v>
      </c>
      <c r="AA621">
        <v>0</v>
      </c>
      <c r="AB621" t="str">
        <f t="shared" si="9"/>
        <v>Not Defaulter</v>
      </c>
      <c r="AC621" s="1">
        <f>Table2[[#This Row],[BILL_AMT1]]-Table2[[#This Row],[PAY_AMT1]]</f>
        <v>77518</v>
      </c>
      <c r="AD621" s="1" t="str" cm="1">
        <f t="array" ref="AD621">_xlfn.IFS(Table2[[#This Row],[PAYMENT GAP]]&lt;=0,"No Gap / Overpaid",Table2[[#This Row],[PAYMENT GAP]]&lt;=25000,"Low Gap",Table2[[#This Row],[PAYMENT GAP]]&lt;=100000,"Medium Gap",
TRUE,"High Gap"
)</f>
        <v>Medium Gap</v>
      </c>
    </row>
    <row r="622" spans="1:30" x14ac:dyDescent="0.3">
      <c r="A622">
        <v>621</v>
      </c>
      <c r="B622" s="1">
        <v>150000</v>
      </c>
      <c r="C622" s="1" t="str" cm="1">
        <f t="array" ref="C622">_xlfn.IFS(Table2[[#This Row],[LIMIT_BAL]]&lt;=100000,"Low",Table2[[#This Row],[LIMIT_BAL]]&lt;=300000,"Medium",
TRUE,"High"
)</f>
        <v>Medium</v>
      </c>
      <c r="D622" t="s">
        <v>2041</v>
      </c>
      <c r="E622" t="s">
        <v>2043</v>
      </c>
      <c r="F622" t="s">
        <v>2028</v>
      </c>
      <c r="G622">
        <v>39</v>
      </c>
      <c r="H622" t="str" cm="1">
        <f t="array" ref="H622">_xlfn.IFS(
Table2[[#This Row],[AGE]]&lt;30,"Young",
Table2[[#This Row],[AGE]]&lt;40,"Middle Age",
Table2[[#This Row],[AGE]]&lt;50,"Senior",
TRUE,"Super Senior"
)</f>
        <v>Middle Age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 s="1">
        <v>36146</v>
      </c>
      <c r="P622" s="1">
        <v>36184</v>
      </c>
      <c r="Q622" s="1">
        <v>37511</v>
      </c>
      <c r="R622" s="1">
        <v>33080</v>
      </c>
      <c r="S622" s="1">
        <v>30223</v>
      </c>
      <c r="T622" s="1">
        <v>31561</v>
      </c>
      <c r="U622" s="1">
        <v>3000</v>
      </c>
      <c r="V622" s="1">
        <v>3000</v>
      </c>
      <c r="W622" s="1">
        <v>3000</v>
      </c>
      <c r="X622" s="1">
        <v>2500</v>
      </c>
      <c r="Y622" s="1">
        <v>2000</v>
      </c>
      <c r="Z622" s="1">
        <v>2000</v>
      </c>
      <c r="AA622">
        <v>0</v>
      </c>
      <c r="AB622" t="str">
        <f t="shared" si="9"/>
        <v>Not Defaulter</v>
      </c>
      <c r="AC622" s="1">
        <f>Table2[[#This Row],[BILL_AMT1]]-Table2[[#This Row],[PAY_AMT1]]</f>
        <v>33146</v>
      </c>
      <c r="AD622" s="1" t="str" cm="1">
        <f t="array" ref="AD622">_xlfn.IFS(Table2[[#This Row],[PAYMENT GAP]]&lt;=0,"No Gap / Overpaid",Table2[[#This Row],[PAYMENT GAP]]&lt;=25000,"Low Gap",Table2[[#This Row],[PAYMENT GAP]]&lt;=100000,"Medium Gap",
TRUE,"High Gap"
)</f>
        <v>Medium Gap</v>
      </c>
    </row>
    <row r="623" spans="1:30" x14ac:dyDescent="0.3">
      <c r="A623">
        <v>622</v>
      </c>
      <c r="B623" s="1">
        <v>180000</v>
      </c>
      <c r="C623" s="1" t="str" cm="1">
        <f t="array" ref="C623">_xlfn.IFS(Table2[[#This Row],[LIMIT_BAL]]&lt;=100000,"Low",Table2[[#This Row],[LIMIT_BAL]]&lt;=300000,"Medium",
TRUE,"High"
)</f>
        <v>Medium</v>
      </c>
      <c r="D623" t="s">
        <v>2041</v>
      </c>
      <c r="E623" t="s">
        <v>2043</v>
      </c>
      <c r="F623" t="s">
        <v>2029</v>
      </c>
      <c r="G623">
        <v>28</v>
      </c>
      <c r="H623" t="str" cm="1">
        <f t="array" ref="H623">_xlfn.IFS(
Table2[[#This Row],[AGE]]&lt;30,"Young",
Table2[[#This Row],[AGE]]&lt;40,"Middle Age",
Table2[[#This Row],[AGE]]&lt;50,"Senior",
TRUE,"Super Senior"
)</f>
        <v>Young</v>
      </c>
      <c r="I623">
        <v>-1</v>
      </c>
      <c r="J623">
        <v>-1</v>
      </c>
      <c r="K623">
        <v>-1</v>
      </c>
      <c r="L623">
        <v>-1</v>
      </c>
      <c r="M623">
        <v>-1</v>
      </c>
      <c r="N623">
        <v>-1</v>
      </c>
      <c r="O623" s="1">
        <v>340</v>
      </c>
      <c r="P623" s="1">
        <v>-120</v>
      </c>
      <c r="Q623" s="1">
        <v>420</v>
      </c>
      <c r="R623" s="1">
        <v>460</v>
      </c>
      <c r="S623" s="1">
        <v>460</v>
      </c>
      <c r="T623" s="1">
        <v>610</v>
      </c>
      <c r="U623" s="1">
        <v>0</v>
      </c>
      <c r="V623" s="1">
        <v>1000</v>
      </c>
      <c r="W623" s="1">
        <v>500</v>
      </c>
      <c r="X623" s="1">
        <v>460</v>
      </c>
      <c r="Y623" s="1">
        <v>610</v>
      </c>
      <c r="Z623" s="1">
        <v>460</v>
      </c>
      <c r="AA623">
        <v>0</v>
      </c>
      <c r="AB623" t="str">
        <f t="shared" si="9"/>
        <v>Not Defaulter</v>
      </c>
      <c r="AC623" s="1">
        <f>Table2[[#This Row],[BILL_AMT1]]-Table2[[#This Row],[PAY_AMT1]]</f>
        <v>340</v>
      </c>
      <c r="AD623" s="1" t="str" cm="1">
        <f t="array" ref="AD623">_xlfn.IFS(Table2[[#This Row],[PAYMENT GAP]]&lt;=0,"No Gap / Overpaid",Table2[[#This Row],[PAYMENT GAP]]&lt;=25000,"Low Gap",Table2[[#This Row],[PAYMENT GAP]]&lt;=100000,"Medium Gap",
TRUE,"High Gap"
)</f>
        <v>Low Gap</v>
      </c>
    </row>
    <row r="624" spans="1:30" x14ac:dyDescent="0.3">
      <c r="A624">
        <v>623</v>
      </c>
      <c r="B624" s="1">
        <v>90000</v>
      </c>
      <c r="C624" s="1" t="str" cm="1">
        <f t="array" ref="C624">_xlfn.IFS(Table2[[#This Row],[LIMIT_BAL]]&lt;=100000,"Low",Table2[[#This Row],[LIMIT_BAL]]&lt;=300000,"Medium",
TRUE,"High"
)</f>
        <v>Low</v>
      </c>
      <c r="D624" t="s">
        <v>2041</v>
      </c>
      <c r="E624" t="s">
        <v>2026</v>
      </c>
      <c r="F624" t="s">
        <v>2029</v>
      </c>
      <c r="G624">
        <v>27</v>
      </c>
      <c r="H624" t="str" cm="1">
        <f t="array" ref="H624">_xlfn.IFS(
Table2[[#This Row],[AGE]]&lt;30,"Young",
Table2[[#This Row],[AGE]]&lt;40,"Middle Age",
Table2[[#This Row],[AGE]]&lt;50,"Senior",
TRUE,"Super Senior"
)</f>
        <v>Young</v>
      </c>
      <c r="I624">
        <v>0</v>
      </c>
      <c r="J624">
        <v>0</v>
      </c>
      <c r="K624">
        <v>-2</v>
      </c>
      <c r="L624">
        <v>-2</v>
      </c>
      <c r="M624">
        <v>-2</v>
      </c>
      <c r="N624">
        <v>-2</v>
      </c>
      <c r="O624" s="1">
        <v>7624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>
        <v>0</v>
      </c>
      <c r="AB624" t="str">
        <f t="shared" si="9"/>
        <v>Not Defaulter</v>
      </c>
      <c r="AC624" s="1">
        <f>Table2[[#This Row],[BILL_AMT1]]-Table2[[#This Row],[PAY_AMT1]]</f>
        <v>7624</v>
      </c>
      <c r="AD624" s="1" t="str" cm="1">
        <f t="array" ref="AD624">_xlfn.IFS(Table2[[#This Row],[PAYMENT GAP]]&lt;=0,"No Gap / Overpaid",Table2[[#This Row],[PAYMENT GAP]]&lt;=25000,"Low Gap",Table2[[#This Row],[PAYMENT GAP]]&lt;=100000,"Medium Gap",
TRUE,"High Gap"
)</f>
        <v>Low Gap</v>
      </c>
    </row>
    <row r="625" spans="1:30" x14ac:dyDescent="0.3">
      <c r="A625">
        <v>624</v>
      </c>
      <c r="B625" s="1">
        <v>360000</v>
      </c>
      <c r="C625" s="1" t="str" cm="1">
        <f t="array" ref="C625">_xlfn.IFS(Table2[[#This Row],[LIMIT_BAL]]&lt;=100000,"Low",Table2[[#This Row],[LIMIT_BAL]]&lt;=300000,"Medium",
TRUE,"High"
)</f>
        <v>High</v>
      </c>
      <c r="D625" t="s">
        <v>2041</v>
      </c>
      <c r="E625" t="s">
        <v>2043</v>
      </c>
      <c r="F625" t="s">
        <v>2028</v>
      </c>
      <c r="G625">
        <v>37</v>
      </c>
      <c r="H625" t="str" cm="1">
        <f t="array" ref="H625">_xlfn.IFS(
Table2[[#This Row],[AGE]]&lt;30,"Young",
Table2[[#This Row],[AGE]]&lt;40,"Middle Age",
Table2[[#This Row],[AGE]]&lt;50,"Senior",
TRUE,"Super Senior"
)</f>
        <v>Middle Age</v>
      </c>
      <c r="I625">
        <v>1</v>
      </c>
      <c r="J625">
        <v>-2</v>
      </c>
      <c r="K625">
        <v>-2</v>
      </c>
      <c r="L625">
        <v>-2</v>
      </c>
      <c r="M625">
        <v>-1</v>
      </c>
      <c r="N625">
        <v>-1</v>
      </c>
      <c r="O625" s="1">
        <v>0</v>
      </c>
      <c r="P625" s="1">
        <v>0</v>
      </c>
      <c r="Q625" s="1">
        <v>0</v>
      </c>
      <c r="R625" s="1">
        <v>0</v>
      </c>
      <c r="S625" s="1">
        <v>166</v>
      </c>
      <c r="T625" s="1">
        <v>541</v>
      </c>
      <c r="U625" s="1">
        <v>0</v>
      </c>
      <c r="V625" s="1">
        <v>0</v>
      </c>
      <c r="W625" s="1">
        <v>0</v>
      </c>
      <c r="X625" s="1">
        <v>166</v>
      </c>
      <c r="Y625" s="1">
        <v>543</v>
      </c>
      <c r="Z625" s="1">
        <v>4268</v>
      </c>
      <c r="AA625">
        <v>0</v>
      </c>
      <c r="AB625" t="str">
        <f t="shared" si="9"/>
        <v>Not Defaulter</v>
      </c>
      <c r="AC625" s="1">
        <f>Table2[[#This Row],[BILL_AMT1]]-Table2[[#This Row],[PAY_AMT1]]</f>
        <v>0</v>
      </c>
      <c r="AD625" s="1" t="str" cm="1">
        <f t="array" ref="AD625">_xlfn.IFS(Table2[[#This Row],[PAYMENT GAP]]&lt;=0,"No Gap / Overpaid",Table2[[#This Row],[PAYMENT GAP]]&lt;=25000,"Low Gap",Table2[[#This Row],[PAYMENT GAP]]&lt;=100000,"Medium Gap",
TRUE,"High Gap"
)</f>
        <v>No Gap / Overpaid</v>
      </c>
    </row>
    <row r="626" spans="1:30" x14ac:dyDescent="0.3">
      <c r="A626">
        <v>625</v>
      </c>
      <c r="B626" s="1">
        <v>90000</v>
      </c>
      <c r="C626" s="1" t="str" cm="1">
        <f t="array" ref="C626">_xlfn.IFS(Table2[[#This Row],[LIMIT_BAL]]&lt;=100000,"Low",Table2[[#This Row],[LIMIT_BAL]]&lt;=300000,"Medium",
TRUE,"High"
)</f>
        <v>Low</v>
      </c>
      <c r="D626" t="s">
        <v>2041</v>
      </c>
      <c r="E626" t="s">
        <v>2026</v>
      </c>
      <c r="F626" t="s">
        <v>2029</v>
      </c>
      <c r="G626">
        <v>24</v>
      </c>
      <c r="H626" t="str" cm="1">
        <f t="array" ref="H626">_xlfn.IFS(
Table2[[#This Row],[AGE]]&lt;30,"Young",
Table2[[#This Row],[AGE]]&lt;40,"Middle Age",
Table2[[#This Row],[AGE]]&lt;50,"Senior",
TRUE,"Super Senior"
)</f>
        <v>Young</v>
      </c>
      <c r="I626">
        <v>-1</v>
      </c>
      <c r="J626">
        <v>-1</v>
      </c>
      <c r="K626">
        <v>-2</v>
      </c>
      <c r="L626">
        <v>-2</v>
      </c>
      <c r="M626">
        <v>-2</v>
      </c>
      <c r="N626">
        <v>-2</v>
      </c>
      <c r="O626" s="1">
        <v>491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>
        <v>0</v>
      </c>
      <c r="AB626" t="str">
        <f t="shared" si="9"/>
        <v>Not Defaulter</v>
      </c>
      <c r="AC626" s="1">
        <f>Table2[[#This Row],[BILL_AMT1]]-Table2[[#This Row],[PAY_AMT1]]</f>
        <v>491</v>
      </c>
      <c r="AD626" s="1" t="str" cm="1">
        <f t="array" ref="AD626">_xlfn.IFS(Table2[[#This Row],[PAYMENT GAP]]&lt;=0,"No Gap / Overpaid",Table2[[#This Row],[PAYMENT GAP]]&lt;=25000,"Low Gap",Table2[[#This Row],[PAYMENT GAP]]&lt;=100000,"Medium Gap",
TRUE,"High Gap"
)</f>
        <v>Low Gap</v>
      </c>
    </row>
    <row r="627" spans="1:30" x14ac:dyDescent="0.3">
      <c r="A627">
        <v>626</v>
      </c>
      <c r="B627" s="1">
        <v>20000</v>
      </c>
      <c r="C627" s="1" t="str" cm="1">
        <f t="array" ref="C627">_xlfn.IFS(Table2[[#This Row],[LIMIT_BAL]]&lt;=100000,"Low",Table2[[#This Row],[LIMIT_BAL]]&lt;=300000,"Medium",
TRUE,"High"
)</f>
        <v>Low</v>
      </c>
      <c r="D627" t="s">
        <v>2041</v>
      </c>
      <c r="E627" t="s">
        <v>2043</v>
      </c>
      <c r="F627" t="s">
        <v>2029</v>
      </c>
      <c r="G627">
        <v>24</v>
      </c>
      <c r="H627" t="str" cm="1">
        <f t="array" ref="H627">_xlfn.IFS(
Table2[[#This Row],[AGE]]&lt;30,"Young",
Table2[[#This Row],[AGE]]&lt;40,"Middle Age",
Table2[[#This Row],[AGE]]&lt;50,"Senior",
TRUE,"Super Senior"
)</f>
        <v>Young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0</v>
      </c>
      <c r="O627" s="1">
        <v>13168</v>
      </c>
      <c r="P627" s="1">
        <v>13888</v>
      </c>
      <c r="Q627" s="1">
        <v>14900</v>
      </c>
      <c r="R627" s="1">
        <v>15916</v>
      </c>
      <c r="S627" s="1">
        <v>15519</v>
      </c>
      <c r="T627" s="1">
        <v>15829</v>
      </c>
      <c r="U627" s="1">
        <v>1237</v>
      </c>
      <c r="V627" s="1">
        <v>1249</v>
      </c>
      <c r="W627" s="1">
        <v>1265</v>
      </c>
      <c r="X627" s="1">
        <v>0</v>
      </c>
      <c r="Y627" s="1">
        <v>568</v>
      </c>
      <c r="Z627" s="1">
        <v>1327</v>
      </c>
      <c r="AA627">
        <v>0</v>
      </c>
      <c r="AB627" t="str">
        <f t="shared" si="9"/>
        <v>Not Defaulter</v>
      </c>
      <c r="AC627" s="1">
        <f>Table2[[#This Row],[BILL_AMT1]]-Table2[[#This Row],[PAY_AMT1]]</f>
        <v>11931</v>
      </c>
      <c r="AD627" s="1" t="str" cm="1">
        <f t="array" ref="AD627">_xlfn.IFS(Table2[[#This Row],[PAYMENT GAP]]&lt;=0,"No Gap / Overpaid",Table2[[#This Row],[PAYMENT GAP]]&lt;=25000,"Low Gap",Table2[[#This Row],[PAYMENT GAP]]&lt;=100000,"Medium Gap",
TRUE,"High Gap"
)</f>
        <v>Low Gap</v>
      </c>
    </row>
    <row r="628" spans="1:30" x14ac:dyDescent="0.3">
      <c r="A628">
        <v>627</v>
      </c>
      <c r="B628" s="1">
        <v>70000</v>
      </c>
      <c r="C628" s="1" t="str" cm="1">
        <f t="array" ref="C628">_xlfn.IFS(Table2[[#This Row],[LIMIT_BAL]]&lt;=100000,"Low",Table2[[#This Row],[LIMIT_BAL]]&lt;=300000,"Medium",
TRUE,"High"
)</f>
        <v>Low</v>
      </c>
      <c r="D628" t="s">
        <v>2042</v>
      </c>
      <c r="E628" t="s">
        <v>2026</v>
      </c>
      <c r="F628" t="s">
        <v>2028</v>
      </c>
      <c r="G628">
        <v>46</v>
      </c>
      <c r="H628" t="str" cm="1">
        <f t="array" ref="H628">_xlfn.IFS(
Table2[[#This Row],[AGE]]&lt;30,"Young",
Table2[[#This Row],[AGE]]&lt;40,"Middle Age",
Table2[[#This Row],[AGE]]&lt;50,"Senior",
TRUE,"Super Senior"
)</f>
        <v>Senior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s="1">
        <v>60040</v>
      </c>
      <c r="P628" s="1">
        <v>55274</v>
      </c>
      <c r="Q628" s="1">
        <v>51766</v>
      </c>
      <c r="R628" s="1">
        <v>51757</v>
      </c>
      <c r="S628" s="1">
        <v>50013</v>
      </c>
      <c r="T628" s="1">
        <v>49946</v>
      </c>
      <c r="U628" s="1">
        <v>2600</v>
      </c>
      <c r="V628" s="1">
        <v>1800</v>
      </c>
      <c r="W628" s="1">
        <v>2000</v>
      </c>
      <c r="X628" s="1">
        <v>3140</v>
      </c>
      <c r="Y628" s="1">
        <v>2000</v>
      </c>
      <c r="Z628" s="1">
        <v>1800</v>
      </c>
      <c r="AA628">
        <v>0</v>
      </c>
      <c r="AB628" t="str">
        <f t="shared" si="9"/>
        <v>Not Defaulter</v>
      </c>
      <c r="AC628" s="1">
        <f>Table2[[#This Row],[BILL_AMT1]]-Table2[[#This Row],[PAY_AMT1]]</f>
        <v>57440</v>
      </c>
      <c r="AD628" s="1" t="str" cm="1">
        <f t="array" ref="AD628">_xlfn.IFS(Table2[[#This Row],[PAYMENT GAP]]&lt;=0,"No Gap / Overpaid",Table2[[#This Row],[PAYMENT GAP]]&lt;=25000,"Low Gap",Table2[[#This Row],[PAYMENT GAP]]&lt;=100000,"Medium Gap",
TRUE,"High Gap"
)</f>
        <v>Medium Gap</v>
      </c>
    </row>
    <row r="629" spans="1:30" x14ac:dyDescent="0.3">
      <c r="A629">
        <v>628</v>
      </c>
      <c r="B629" s="1">
        <v>230000</v>
      </c>
      <c r="C629" s="1" t="str" cm="1">
        <f t="array" ref="C629">_xlfn.IFS(Table2[[#This Row],[LIMIT_BAL]]&lt;=100000,"Low",Table2[[#This Row],[LIMIT_BAL]]&lt;=300000,"Medium",
TRUE,"High"
)</f>
        <v>Medium</v>
      </c>
      <c r="D629" t="s">
        <v>2042</v>
      </c>
      <c r="E629" t="s">
        <v>2026</v>
      </c>
      <c r="F629" t="s">
        <v>2028</v>
      </c>
      <c r="G629">
        <v>39</v>
      </c>
      <c r="H629" t="str" cm="1">
        <f t="array" ref="H629">_xlfn.IFS(
Table2[[#This Row],[AGE]]&lt;30,"Young",
Table2[[#This Row],[AGE]]&lt;40,"Middle Age",
Table2[[#This Row],[AGE]]&lt;50,"Senior",
TRUE,"Super Senior"
)</f>
        <v>Middle Age</v>
      </c>
      <c r="I629">
        <v>-1</v>
      </c>
      <c r="J629">
        <v>-1</v>
      </c>
      <c r="K629">
        <v>-1</v>
      </c>
      <c r="L629">
        <v>-1</v>
      </c>
      <c r="M629">
        <v>-1</v>
      </c>
      <c r="N629">
        <v>-1</v>
      </c>
      <c r="O629" s="1">
        <v>660</v>
      </c>
      <c r="P629" s="1">
        <v>660</v>
      </c>
      <c r="Q629" s="1">
        <v>660</v>
      </c>
      <c r="R629" s="1">
        <v>660</v>
      </c>
      <c r="S629" s="1">
        <v>660</v>
      </c>
      <c r="T629" s="1">
        <v>660</v>
      </c>
      <c r="U629" s="1">
        <v>660</v>
      </c>
      <c r="V629" s="1">
        <v>660</v>
      </c>
      <c r="W629" s="1">
        <v>660</v>
      </c>
      <c r="X629" s="1">
        <v>660</v>
      </c>
      <c r="Y629" s="1">
        <v>660</v>
      </c>
      <c r="Z629" s="1">
        <v>660</v>
      </c>
      <c r="AA629">
        <v>0</v>
      </c>
      <c r="AB629" t="str">
        <f t="shared" si="9"/>
        <v>Not Defaulter</v>
      </c>
      <c r="AC629" s="1">
        <f>Table2[[#This Row],[BILL_AMT1]]-Table2[[#This Row],[PAY_AMT1]]</f>
        <v>0</v>
      </c>
      <c r="AD629" s="1" t="str" cm="1">
        <f t="array" ref="AD629">_xlfn.IFS(Table2[[#This Row],[PAYMENT GAP]]&lt;=0,"No Gap / Overpaid",Table2[[#This Row],[PAYMENT GAP]]&lt;=25000,"Low Gap",Table2[[#This Row],[PAYMENT GAP]]&lt;=100000,"Medium Gap",
TRUE,"High Gap"
)</f>
        <v>No Gap / Overpaid</v>
      </c>
    </row>
    <row r="630" spans="1:30" x14ac:dyDescent="0.3">
      <c r="A630">
        <v>629</v>
      </c>
      <c r="B630" s="1">
        <v>30000</v>
      </c>
      <c r="C630" s="1" t="str" cm="1">
        <f t="array" ref="C630">_xlfn.IFS(Table2[[#This Row],[LIMIT_BAL]]&lt;=100000,"Low",Table2[[#This Row],[LIMIT_BAL]]&lt;=300000,"Medium",
TRUE,"High"
)</f>
        <v>Low</v>
      </c>
      <c r="D630" t="s">
        <v>2042</v>
      </c>
      <c r="E630" t="s">
        <v>2027</v>
      </c>
      <c r="F630" t="s">
        <v>2028</v>
      </c>
      <c r="G630">
        <v>48</v>
      </c>
      <c r="H630" t="str" cm="1">
        <f t="array" ref="H630">_xlfn.IFS(
Table2[[#This Row],[AGE]]&lt;30,"Young",
Table2[[#This Row],[AGE]]&lt;40,"Middle Age",
Table2[[#This Row],[AGE]]&lt;50,"Senior",
TRUE,"Super Senior"
)</f>
        <v>Senior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s="1">
        <v>29434</v>
      </c>
      <c r="P630" s="1">
        <v>28960</v>
      </c>
      <c r="Q630" s="1">
        <v>29022</v>
      </c>
      <c r="R630" s="1">
        <v>29201</v>
      </c>
      <c r="S630" s="1">
        <v>29553</v>
      </c>
      <c r="T630" s="1">
        <v>29693</v>
      </c>
      <c r="U630" s="1">
        <v>1465</v>
      </c>
      <c r="V630" s="1">
        <v>2000</v>
      </c>
      <c r="W630" s="1">
        <v>1033</v>
      </c>
      <c r="X630" s="1">
        <v>1200</v>
      </c>
      <c r="Y630" s="1">
        <v>1055</v>
      </c>
      <c r="Z630" s="1">
        <v>530</v>
      </c>
      <c r="AA630">
        <v>0</v>
      </c>
      <c r="AB630" t="str">
        <f t="shared" si="9"/>
        <v>Not Defaulter</v>
      </c>
      <c r="AC630" s="1">
        <f>Table2[[#This Row],[BILL_AMT1]]-Table2[[#This Row],[PAY_AMT1]]</f>
        <v>27969</v>
      </c>
      <c r="AD630" s="1" t="str" cm="1">
        <f t="array" ref="AD630">_xlfn.IFS(Table2[[#This Row],[PAYMENT GAP]]&lt;=0,"No Gap / Overpaid",Table2[[#This Row],[PAYMENT GAP]]&lt;=25000,"Low Gap",Table2[[#This Row],[PAYMENT GAP]]&lt;=100000,"Medium Gap",
TRUE,"High Gap"
)</f>
        <v>Medium Gap</v>
      </c>
    </row>
    <row r="631" spans="1:30" x14ac:dyDescent="0.3">
      <c r="A631">
        <v>630</v>
      </c>
      <c r="B631" s="1">
        <v>200000</v>
      </c>
      <c r="C631" s="1" t="str" cm="1">
        <f t="array" ref="C631">_xlfn.IFS(Table2[[#This Row],[LIMIT_BAL]]&lt;=100000,"Low",Table2[[#This Row],[LIMIT_BAL]]&lt;=300000,"Medium",
TRUE,"High"
)</f>
        <v>Medium</v>
      </c>
      <c r="D631" t="s">
        <v>2041</v>
      </c>
      <c r="E631" t="s">
        <v>2027</v>
      </c>
      <c r="F631" t="s">
        <v>2055</v>
      </c>
      <c r="G631">
        <v>45</v>
      </c>
      <c r="H631" t="str" cm="1">
        <f t="array" ref="H631">_xlfn.IFS(
Table2[[#This Row],[AGE]]&lt;30,"Young",
Table2[[#This Row],[AGE]]&lt;40,"Middle Age",
Table2[[#This Row],[AGE]]&lt;50,"Senior",
TRUE,"Super Senior"
)</f>
        <v>Senior</v>
      </c>
      <c r="I631">
        <v>-1</v>
      </c>
      <c r="J631">
        <v>-1</v>
      </c>
      <c r="K631">
        <v>-1</v>
      </c>
      <c r="L631">
        <v>-1</v>
      </c>
      <c r="M631">
        <v>-1</v>
      </c>
      <c r="N631">
        <v>-1</v>
      </c>
      <c r="O631" s="1">
        <v>4430</v>
      </c>
      <c r="P631" s="1">
        <v>7182</v>
      </c>
      <c r="Q631" s="1">
        <v>3855</v>
      </c>
      <c r="R631" s="1">
        <v>3411</v>
      </c>
      <c r="S631" s="1">
        <v>6788</v>
      </c>
      <c r="T631" s="1">
        <v>9921</v>
      </c>
      <c r="U631" s="1">
        <v>7193</v>
      </c>
      <c r="V631" s="1">
        <v>3855</v>
      </c>
      <c r="W631" s="1">
        <v>3411</v>
      </c>
      <c r="X631" s="1">
        <v>6788</v>
      </c>
      <c r="Y631" s="1">
        <v>9921</v>
      </c>
      <c r="Z631" s="1">
        <v>5016</v>
      </c>
      <c r="AA631">
        <v>0</v>
      </c>
      <c r="AB631" t="str">
        <f t="shared" si="9"/>
        <v>Not Defaulter</v>
      </c>
      <c r="AC631" s="1">
        <f>Table2[[#This Row],[BILL_AMT1]]-Table2[[#This Row],[PAY_AMT1]]</f>
        <v>-2763</v>
      </c>
      <c r="AD631" s="1" t="str" cm="1">
        <f t="array" ref="AD631">_xlfn.IFS(Table2[[#This Row],[PAYMENT GAP]]&lt;=0,"No Gap / Overpaid",Table2[[#This Row],[PAYMENT GAP]]&lt;=25000,"Low Gap",Table2[[#This Row],[PAYMENT GAP]]&lt;=100000,"Medium Gap",
TRUE,"High Gap"
)</f>
        <v>No Gap / Overpaid</v>
      </c>
    </row>
    <row r="632" spans="1:30" x14ac:dyDescent="0.3">
      <c r="A632">
        <v>631</v>
      </c>
      <c r="B632" s="1">
        <v>100000</v>
      </c>
      <c r="C632" s="1" t="str" cm="1">
        <f t="array" ref="C632">_xlfn.IFS(Table2[[#This Row],[LIMIT_BAL]]&lt;=100000,"Low",Table2[[#This Row],[LIMIT_BAL]]&lt;=300000,"Medium",
TRUE,"High"
)</f>
        <v>Low</v>
      </c>
      <c r="D632" t="s">
        <v>2042</v>
      </c>
      <c r="E632" t="s">
        <v>2027</v>
      </c>
      <c r="F632" t="s">
        <v>2029</v>
      </c>
      <c r="G632">
        <v>49</v>
      </c>
      <c r="H632" t="str" cm="1">
        <f t="array" ref="H632">_xlfn.IFS(
Table2[[#This Row],[AGE]]&lt;30,"Young",
Table2[[#This Row],[AGE]]&lt;40,"Middle Age",
Table2[[#This Row],[AGE]]&lt;50,"Senior",
TRUE,"Super Senior"
)</f>
        <v>Senior</v>
      </c>
      <c r="I632">
        <v>-1</v>
      </c>
      <c r="J632">
        <v>-1</v>
      </c>
      <c r="K632">
        <v>-2</v>
      </c>
      <c r="L632">
        <v>-2</v>
      </c>
      <c r="M632">
        <v>-2</v>
      </c>
      <c r="N632">
        <v>-2</v>
      </c>
      <c r="O632" s="1">
        <v>1440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>
        <v>0</v>
      </c>
      <c r="AB632" t="str">
        <f t="shared" si="9"/>
        <v>Not Defaulter</v>
      </c>
      <c r="AC632" s="1">
        <f>Table2[[#This Row],[BILL_AMT1]]-Table2[[#This Row],[PAY_AMT1]]</f>
        <v>1440</v>
      </c>
      <c r="AD632" s="1" t="str" cm="1">
        <f t="array" ref="AD632">_xlfn.IFS(Table2[[#This Row],[PAYMENT GAP]]&lt;=0,"No Gap / Overpaid",Table2[[#This Row],[PAYMENT GAP]]&lt;=25000,"Low Gap",Table2[[#This Row],[PAYMENT GAP]]&lt;=100000,"Medium Gap",
TRUE,"High Gap"
)</f>
        <v>Low Gap</v>
      </c>
    </row>
    <row r="633" spans="1:30" x14ac:dyDescent="0.3">
      <c r="A633">
        <v>632</v>
      </c>
      <c r="B633" s="1">
        <v>50000</v>
      </c>
      <c r="C633" s="1" t="str" cm="1">
        <f t="array" ref="C633">_xlfn.IFS(Table2[[#This Row],[LIMIT_BAL]]&lt;=100000,"Low",Table2[[#This Row],[LIMIT_BAL]]&lt;=300000,"Medium",
TRUE,"High"
)</f>
        <v>Low</v>
      </c>
      <c r="D633" t="s">
        <v>2041</v>
      </c>
      <c r="E633" t="s">
        <v>2043</v>
      </c>
      <c r="F633" t="s">
        <v>2029</v>
      </c>
      <c r="G633">
        <v>23</v>
      </c>
      <c r="H633" t="str" cm="1">
        <f t="array" ref="H633">_xlfn.IFS(
Table2[[#This Row],[AGE]]&lt;30,"Young",
Table2[[#This Row],[AGE]]&lt;40,"Middle Age",
Table2[[#This Row],[AGE]]&lt;50,"Senior",
TRUE,"Super Senior"
)</f>
        <v>Young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</v>
      </c>
      <c r="O633" s="1">
        <v>26795</v>
      </c>
      <c r="P633" s="1">
        <v>28056</v>
      </c>
      <c r="Q633" s="1">
        <v>29284</v>
      </c>
      <c r="R633" s="1">
        <v>30487</v>
      </c>
      <c r="S633" s="1">
        <v>33831</v>
      </c>
      <c r="T633" s="1">
        <v>33138</v>
      </c>
      <c r="U633" s="1">
        <v>2000</v>
      </c>
      <c r="V633" s="1">
        <v>2000</v>
      </c>
      <c r="W633" s="1">
        <v>2000</v>
      </c>
      <c r="X633" s="1">
        <v>4000</v>
      </c>
      <c r="Y633" s="1">
        <v>0</v>
      </c>
      <c r="Z633" s="1">
        <v>2000</v>
      </c>
      <c r="AA633">
        <v>0</v>
      </c>
      <c r="AB633" t="str">
        <f t="shared" si="9"/>
        <v>Not Defaulter</v>
      </c>
      <c r="AC633" s="1">
        <f>Table2[[#This Row],[BILL_AMT1]]-Table2[[#This Row],[PAY_AMT1]]</f>
        <v>24795</v>
      </c>
      <c r="AD633" s="1" t="str" cm="1">
        <f t="array" ref="AD633">_xlfn.IFS(Table2[[#This Row],[PAYMENT GAP]]&lt;=0,"No Gap / Overpaid",Table2[[#This Row],[PAYMENT GAP]]&lt;=25000,"Low Gap",Table2[[#This Row],[PAYMENT GAP]]&lt;=100000,"Medium Gap",
TRUE,"High Gap"
)</f>
        <v>Low Gap</v>
      </c>
    </row>
    <row r="634" spans="1:30" x14ac:dyDescent="0.3">
      <c r="A634">
        <v>633</v>
      </c>
      <c r="B634" s="1">
        <v>20000</v>
      </c>
      <c r="C634" s="1" t="str" cm="1">
        <f t="array" ref="C634">_xlfn.IFS(Table2[[#This Row],[LIMIT_BAL]]&lt;=100000,"Low",Table2[[#This Row],[LIMIT_BAL]]&lt;=300000,"Medium",
TRUE,"High"
)</f>
        <v>Low</v>
      </c>
      <c r="D634" t="s">
        <v>2041</v>
      </c>
      <c r="E634" t="s">
        <v>2027</v>
      </c>
      <c r="F634" t="s">
        <v>2028</v>
      </c>
      <c r="G634">
        <v>25</v>
      </c>
      <c r="H634" t="str" cm="1">
        <f t="array" ref="H634">_xlfn.IFS(
Table2[[#This Row],[AGE]]&lt;30,"Young",
Table2[[#This Row],[AGE]]&lt;40,"Middle Age",
Table2[[#This Row],[AGE]]&lt;50,"Senior",
TRUE,"Super Senior"
)</f>
        <v>Young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-2</v>
      </c>
      <c r="O634" s="1">
        <v>16591</v>
      </c>
      <c r="P634" s="1">
        <v>16442</v>
      </c>
      <c r="Q634" s="1">
        <v>6401</v>
      </c>
      <c r="R634" s="1">
        <v>4300</v>
      </c>
      <c r="S634" s="1">
        <v>1304</v>
      </c>
      <c r="T634" s="1">
        <v>0</v>
      </c>
      <c r="U634" s="1">
        <v>1155</v>
      </c>
      <c r="V634" s="1">
        <v>1000</v>
      </c>
      <c r="W634" s="1">
        <v>0</v>
      </c>
      <c r="X634" s="1">
        <v>1304</v>
      </c>
      <c r="Y634" s="1">
        <v>0</v>
      </c>
      <c r="Z634" s="1">
        <v>0</v>
      </c>
      <c r="AA634">
        <v>0</v>
      </c>
      <c r="AB634" t="str">
        <f t="shared" si="9"/>
        <v>Not Defaulter</v>
      </c>
      <c r="AC634" s="1">
        <f>Table2[[#This Row],[BILL_AMT1]]-Table2[[#This Row],[PAY_AMT1]]</f>
        <v>15436</v>
      </c>
      <c r="AD634" s="1" t="str" cm="1">
        <f t="array" ref="AD634">_xlfn.IFS(Table2[[#This Row],[PAYMENT GAP]]&lt;=0,"No Gap / Overpaid",Table2[[#This Row],[PAYMENT GAP]]&lt;=25000,"Low Gap",Table2[[#This Row],[PAYMENT GAP]]&lt;=100000,"Medium Gap",
TRUE,"High Gap"
)</f>
        <v>Low Gap</v>
      </c>
    </row>
    <row r="635" spans="1:30" x14ac:dyDescent="0.3">
      <c r="A635">
        <v>634</v>
      </c>
      <c r="B635" s="1">
        <v>210000</v>
      </c>
      <c r="C635" s="1" t="str" cm="1">
        <f t="array" ref="C635">_xlfn.IFS(Table2[[#This Row],[LIMIT_BAL]]&lt;=100000,"Low",Table2[[#This Row],[LIMIT_BAL]]&lt;=300000,"Medium",
TRUE,"High"
)</f>
        <v>Medium</v>
      </c>
      <c r="D635" t="s">
        <v>2041</v>
      </c>
      <c r="E635" t="s">
        <v>2043</v>
      </c>
      <c r="F635" t="s">
        <v>2028</v>
      </c>
      <c r="G635">
        <v>47</v>
      </c>
      <c r="H635" t="str" cm="1">
        <f t="array" ref="H635">_xlfn.IFS(
Table2[[#This Row],[AGE]]&lt;30,"Young",
Table2[[#This Row],[AGE]]&lt;40,"Middle Age",
Table2[[#This Row],[AGE]]&lt;50,"Senior",
TRUE,"Super Senior"
)</f>
        <v>Senior</v>
      </c>
      <c r="I635">
        <v>-2</v>
      </c>
      <c r="J635">
        <v>-2</v>
      </c>
      <c r="K635">
        <v>-2</v>
      </c>
      <c r="L635">
        <v>-2</v>
      </c>
      <c r="M635">
        <v>-2</v>
      </c>
      <c r="N635">
        <v>-2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>
        <v>0</v>
      </c>
      <c r="AB635" t="str">
        <f t="shared" si="9"/>
        <v>Not Defaulter</v>
      </c>
      <c r="AC635" s="1">
        <f>Table2[[#This Row],[BILL_AMT1]]-Table2[[#This Row],[PAY_AMT1]]</f>
        <v>0</v>
      </c>
      <c r="AD635" s="1" t="str" cm="1">
        <f t="array" ref="AD635">_xlfn.IFS(Table2[[#This Row],[PAYMENT GAP]]&lt;=0,"No Gap / Overpaid",Table2[[#This Row],[PAYMENT GAP]]&lt;=25000,"Low Gap",Table2[[#This Row],[PAYMENT GAP]]&lt;=100000,"Medium Gap",
TRUE,"High Gap"
)</f>
        <v>No Gap / Overpaid</v>
      </c>
    </row>
    <row r="636" spans="1:30" x14ac:dyDescent="0.3">
      <c r="A636">
        <v>635</v>
      </c>
      <c r="B636" s="1">
        <v>110000</v>
      </c>
      <c r="C636" s="1" t="str" cm="1">
        <f t="array" ref="C636">_xlfn.IFS(Table2[[#This Row],[LIMIT_BAL]]&lt;=100000,"Low",Table2[[#This Row],[LIMIT_BAL]]&lt;=300000,"Medium",
TRUE,"High"
)</f>
        <v>Medium</v>
      </c>
      <c r="D636" t="s">
        <v>2042</v>
      </c>
      <c r="E636" t="s">
        <v>2027</v>
      </c>
      <c r="F636" t="s">
        <v>2028</v>
      </c>
      <c r="G636">
        <v>56</v>
      </c>
      <c r="H636" t="str" cm="1">
        <f t="array" ref="H636">_xlfn.IFS(
Table2[[#This Row],[AGE]]&lt;30,"Young",
Table2[[#This Row],[AGE]]&lt;40,"Middle Age",
Table2[[#This Row],[AGE]]&lt;50,"Senior",
TRUE,"Super Senior"
)</f>
        <v>Super Senior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 s="1">
        <v>46486</v>
      </c>
      <c r="P636" s="1">
        <v>35758</v>
      </c>
      <c r="Q636" s="1">
        <v>34323</v>
      </c>
      <c r="R636" s="1">
        <v>30452</v>
      </c>
      <c r="S636" s="1">
        <v>22628</v>
      </c>
      <c r="T636" s="1">
        <v>23468</v>
      </c>
      <c r="U636" s="1">
        <v>4086</v>
      </c>
      <c r="V636" s="1">
        <v>1428</v>
      </c>
      <c r="W636" s="1">
        <v>1318</v>
      </c>
      <c r="X636" s="1">
        <v>2171</v>
      </c>
      <c r="Y636" s="1">
        <v>3198</v>
      </c>
      <c r="Z636" s="1">
        <v>4976</v>
      </c>
      <c r="AA636">
        <v>0</v>
      </c>
      <c r="AB636" t="str">
        <f t="shared" si="9"/>
        <v>Not Defaulter</v>
      </c>
      <c r="AC636" s="1">
        <f>Table2[[#This Row],[BILL_AMT1]]-Table2[[#This Row],[PAY_AMT1]]</f>
        <v>42400</v>
      </c>
      <c r="AD636" s="1" t="str" cm="1">
        <f t="array" ref="AD636">_xlfn.IFS(Table2[[#This Row],[PAYMENT GAP]]&lt;=0,"No Gap / Overpaid",Table2[[#This Row],[PAYMENT GAP]]&lt;=25000,"Low Gap",Table2[[#This Row],[PAYMENT GAP]]&lt;=100000,"Medium Gap",
TRUE,"High Gap"
)</f>
        <v>Medium Gap</v>
      </c>
    </row>
    <row r="637" spans="1:30" x14ac:dyDescent="0.3">
      <c r="A637">
        <v>636</v>
      </c>
      <c r="B637" s="1">
        <v>20000</v>
      </c>
      <c r="C637" s="1" t="str" cm="1">
        <f t="array" ref="C637">_xlfn.IFS(Table2[[#This Row],[LIMIT_BAL]]&lt;=100000,"Low",Table2[[#This Row],[LIMIT_BAL]]&lt;=300000,"Medium",
TRUE,"High"
)</f>
        <v>Low</v>
      </c>
      <c r="D637" t="s">
        <v>2041</v>
      </c>
      <c r="E637" t="s">
        <v>2027</v>
      </c>
      <c r="F637" t="s">
        <v>2028</v>
      </c>
      <c r="G637">
        <v>44</v>
      </c>
      <c r="H637" t="str" cm="1">
        <f t="array" ref="H637">_xlfn.IFS(
Table2[[#This Row],[AGE]]&lt;30,"Young",
Table2[[#This Row],[AGE]]&lt;40,"Middle Age",
Table2[[#This Row],[AGE]]&lt;50,"Senior",
TRUE,"Super Senior"
)</f>
        <v>Senior</v>
      </c>
      <c r="I637">
        <v>-1</v>
      </c>
      <c r="J637">
        <v>-1</v>
      </c>
      <c r="K637">
        <v>-1</v>
      </c>
      <c r="L637">
        <v>-1</v>
      </c>
      <c r="M637">
        <v>-1</v>
      </c>
      <c r="N637">
        <v>-2</v>
      </c>
      <c r="O637" s="1">
        <v>550</v>
      </c>
      <c r="P637" s="1">
        <v>228</v>
      </c>
      <c r="Q637" s="1">
        <v>0</v>
      </c>
      <c r="R637" s="1">
        <v>228</v>
      </c>
      <c r="S637" s="1">
        <v>0</v>
      </c>
      <c r="T637" s="1">
        <v>0</v>
      </c>
      <c r="U637" s="1">
        <v>228</v>
      </c>
      <c r="V637" s="1">
        <v>0</v>
      </c>
      <c r="W637" s="1">
        <v>228</v>
      </c>
      <c r="X637" s="1">
        <v>0</v>
      </c>
      <c r="Y637" s="1">
        <v>0</v>
      </c>
      <c r="Z637" s="1">
        <v>0</v>
      </c>
      <c r="AA637">
        <v>0</v>
      </c>
      <c r="AB637" t="str">
        <f t="shared" si="9"/>
        <v>Not Defaulter</v>
      </c>
      <c r="AC637" s="1">
        <f>Table2[[#This Row],[BILL_AMT1]]-Table2[[#This Row],[PAY_AMT1]]</f>
        <v>322</v>
      </c>
      <c r="AD637" s="1" t="str" cm="1">
        <f t="array" ref="AD637">_xlfn.IFS(Table2[[#This Row],[PAYMENT GAP]]&lt;=0,"No Gap / Overpaid",Table2[[#This Row],[PAYMENT GAP]]&lt;=25000,"Low Gap",Table2[[#This Row],[PAYMENT GAP]]&lt;=100000,"Medium Gap",
TRUE,"High Gap"
)</f>
        <v>Low Gap</v>
      </c>
    </row>
    <row r="638" spans="1:30" x14ac:dyDescent="0.3">
      <c r="A638">
        <v>637</v>
      </c>
      <c r="B638" s="1">
        <v>50000</v>
      </c>
      <c r="C638" s="1" t="str" cm="1">
        <f t="array" ref="C638">_xlfn.IFS(Table2[[#This Row],[LIMIT_BAL]]&lt;=100000,"Low",Table2[[#This Row],[LIMIT_BAL]]&lt;=300000,"Medium",
TRUE,"High"
)</f>
        <v>Low</v>
      </c>
      <c r="D638" t="s">
        <v>2041</v>
      </c>
      <c r="E638" t="s">
        <v>2027</v>
      </c>
      <c r="F638" t="s">
        <v>2028</v>
      </c>
      <c r="G638">
        <v>49</v>
      </c>
      <c r="H638" t="str" cm="1">
        <f t="array" ref="H638">_xlfn.IFS(
Table2[[#This Row],[AGE]]&lt;30,"Young",
Table2[[#This Row],[AGE]]&lt;40,"Middle Age",
Table2[[#This Row],[AGE]]&lt;50,"Senior",
TRUE,"Super Senior"
)</f>
        <v>Senior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 s="1">
        <v>5630</v>
      </c>
      <c r="P638" s="1">
        <v>6629</v>
      </c>
      <c r="Q638" s="1">
        <v>5918</v>
      </c>
      <c r="R638" s="1">
        <v>6918</v>
      </c>
      <c r="S638" s="1">
        <v>6941</v>
      </c>
      <c r="T638" s="1">
        <v>4756</v>
      </c>
      <c r="U638" s="1">
        <v>1107</v>
      </c>
      <c r="V638" s="1">
        <v>1000</v>
      </c>
      <c r="W638" s="1">
        <v>1000</v>
      </c>
      <c r="X638" s="1">
        <v>1500</v>
      </c>
      <c r="Y638" s="1">
        <v>2150</v>
      </c>
      <c r="Z638" s="1">
        <v>0</v>
      </c>
      <c r="AA638">
        <v>0</v>
      </c>
      <c r="AB638" t="str">
        <f t="shared" si="9"/>
        <v>Not Defaulter</v>
      </c>
      <c r="AC638" s="1">
        <f>Table2[[#This Row],[BILL_AMT1]]-Table2[[#This Row],[PAY_AMT1]]</f>
        <v>4523</v>
      </c>
      <c r="AD638" s="1" t="str" cm="1">
        <f t="array" ref="AD638">_xlfn.IFS(Table2[[#This Row],[PAYMENT GAP]]&lt;=0,"No Gap / Overpaid",Table2[[#This Row],[PAYMENT GAP]]&lt;=25000,"Low Gap",Table2[[#This Row],[PAYMENT GAP]]&lt;=100000,"Medium Gap",
TRUE,"High Gap"
)</f>
        <v>Low Gap</v>
      </c>
    </row>
    <row r="639" spans="1:30" x14ac:dyDescent="0.3">
      <c r="A639">
        <v>638</v>
      </c>
      <c r="B639" s="1">
        <v>50000</v>
      </c>
      <c r="C639" s="1" t="str" cm="1">
        <f t="array" ref="C639">_xlfn.IFS(Table2[[#This Row],[LIMIT_BAL]]&lt;=100000,"Low",Table2[[#This Row],[LIMIT_BAL]]&lt;=300000,"Medium",
TRUE,"High"
)</f>
        <v>Low</v>
      </c>
      <c r="D639" t="s">
        <v>2042</v>
      </c>
      <c r="E639" t="s">
        <v>2043</v>
      </c>
      <c r="F639" t="s">
        <v>2028</v>
      </c>
      <c r="G639">
        <v>41</v>
      </c>
      <c r="H639" t="str" cm="1">
        <f t="array" ref="H639">_xlfn.IFS(
Table2[[#This Row],[AGE]]&lt;30,"Young",
Table2[[#This Row],[AGE]]&lt;40,"Middle Age",
Table2[[#This Row],[AGE]]&lt;50,"Senior",
TRUE,"Super Senior"
)</f>
        <v>Senior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 s="1">
        <v>21986</v>
      </c>
      <c r="P639" s="1">
        <v>21520</v>
      </c>
      <c r="Q639" s="1">
        <v>20979</v>
      </c>
      <c r="R639" s="1">
        <v>19894</v>
      </c>
      <c r="S639" s="1">
        <v>18811</v>
      </c>
      <c r="T639" s="1">
        <v>18805</v>
      </c>
      <c r="U639" s="1">
        <v>1362</v>
      </c>
      <c r="V639" s="1">
        <v>1294</v>
      </c>
      <c r="W639" s="1">
        <v>682</v>
      </c>
      <c r="X639" s="1">
        <v>680</v>
      </c>
      <c r="Y639" s="1">
        <v>694</v>
      </c>
      <c r="Z639" s="1">
        <v>618</v>
      </c>
      <c r="AA639">
        <v>0</v>
      </c>
      <c r="AB639" t="str">
        <f t="shared" si="9"/>
        <v>Not Defaulter</v>
      </c>
      <c r="AC639" s="1">
        <f>Table2[[#This Row],[BILL_AMT1]]-Table2[[#This Row],[PAY_AMT1]]</f>
        <v>20624</v>
      </c>
      <c r="AD639" s="1" t="str" cm="1">
        <f t="array" ref="AD639">_xlfn.IFS(Table2[[#This Row],[PAYMENT GAP]]&lt;=0,"No Gap / Overpaid",Table2[[#This Row],[PAYMENT GAP]]&lt;=25000,"Low Gap",Table2[[#This Row],[PAYMENT GAP]]&lt;=100000,"Medium Gap",
TRUE,"High Gap"
)</f>
        <v>Low Gap</v>
      </c>
    </row>
    <row r="640" spans="1:30" x14ac:dyDescent="0.3">
      <c r="A640">
        <v>639</v>
      </c>
      <c r="B640" s="1">
        <v>400000</v>
      </c>
      <c r="C640" s="1" t="str" cm="1">
        <f t="array" ref="C640">_xlfn.IFS(Table2[[#This Row],[LIMIT_BAL]]&lt;=100000,"Low",Table2[[#This Row],[LIMIT_BAL]]&lt;=300000,"Medium",
TRUE,"High"
)</f>
        <v>High</v>
      </c>
      <c r="D640" t="s">
        <v>2041</v>
      </c>
      <c r="E640" t="s">
        <v>2026</v>
      </c>
      <c r="F640" t="s">
        <v>2029</v>
      </c>
      <c r="G640">
        <v>40</v>
      </c>
      <c r="H640" t="str" cm="1">
        <f t="array" ref="H640">_xlfn.IFS(
Table2[[#This Row],[AGE]]&lt;30,"Young",
Table2[[#This Row],[AGE]]&lt;40,"Middle Age",
Table2[[#This Row],[AGE]]&lt;50,"Senior",
TRUE,"Super Senior"
)</f>
        <v>Senior</v>
      </c>
      <c r="I640">
        <v>-1</v>
      </c>
      <c r="J640">
        <v>-1</v>
      </c>
      <c r="K640">
        <v>-1</v>
      </c>
      <c r="L640">
        <v>-1</v>
      </c>
      <c r="M640">
        <v>-1</v>
      </c>
      <c r="N640">
        <v>0</v>
      </c>
      <c r="O640" s="1">
        <v>60125</v>
      </c>
      <c r="P640" s="1">
        <v>1981</v>
      </c>
      <c r="Q640" s="1">
        <v>4521</v>
      </c>
      <c r="R640" s="1">
        <v>20472</v>
      </c>
      <c r="S640" s="1">
        <v>76933</v>
      </c>
      <c r="T640" s="1">
        <v>173599</v>
      </c>
      <c r="U640" s="1">
        <v>1981</v>
      </c>
      <c r="V640" s="1">
        <v>4521</v>
      </c>
      <c r="W640" s="1">
        <v>20500</v>
      </c>
      <c r="X640" s="1">
        <v>77000</v>
      </c>
      <c r="Y640" s="1">
        <v>100000</v>
      </c>
      <c r="Z640" s="1">
        <v>7700</v>
      </c>
      <c r="AA640">
        <v>0</v>
      </c>
      <c r="AB640" t="str">
        <f t="shared" si="9"/>
        <v>Not Defaulter</v>
      </c>
      <c r="AC640" s="1">
        <f>Table2[[#This Row],[BILL_AMT1]]-Table2[[#This Row],[PAY_AMT1]]</f>
        <v>58144</v>
      </c>
      <c r="AD640" s="1" t="str" cm="1">
        <f t="array" ref="AD640">_xlfn.IFS(Table2[[#This Row],[PAYMENT GAP]]&lt;=0,"No Gap / Overpaid",Table2[[#This Row],[PAYMENT GAP]]&lt;=25000,"Low Gap",Table2[[#This Row],[PAYMENT GAP]]&lt;=100000,"Medium Gap",
TRUE,"High Gap"
)</f>
        <v>Medium Gap</v>
      </c>
    </row>
    <row r="641" spans="1:30" x14ac:dyDescent="0.3">
      <c r="A641">
        <v>640</v>
      </c>
      <c r="B641" s="1">
        <v>170000</v>
      </c>
      <c r="C641" s="1" t="str" cm="1">
        <f t="array" ref="C641">_xlfn.IFS(Table2[[#This Row],[LIMIT_BAL]]&lt;=100000,"Low",Table2[[#This Row],[LIMIT_BAL]]&lt;=300000,"Medium",
TRUE,"High"
)</f>
        <v>Medium</v>
      </c>
      <c r="D641" t="s">
        <v>2042</v>
      </c>
      <c r="E641" t="s">
        <v>2043</v>
      </c>
      <c r="F641" t="s">
        <v>2029</v>
      </c>
      <c r="G641">
        <v>31</v>
      </c>
      <c r="H641" t="str" cm="1">
        <f t="array" ref="H641">_xlfn.IFS(
Table2[[#This Row],[AGE]]&lt;30,"Young",
Table2[[#This Row],[AGE]]&lt;40,"Middle Age",
Table2[[#This Row],[AGE]]&lt;50,"Senior",
TRUE,"Super Senior"
)</f>
        <v>Middle Age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 s="1">
        <v>56364</v>
      </c>
      <c r="P641" s="1">
        <v>58132</v>
      </c>
      <c r="Q641" s="1">
        <v>59171</v>
      </c>
      <c r="R641" s="1">
        <v>55888</v>
      </c>
      <c r="S641" s="1">
        <v>53672</v>
      </c>
      <c r="T641" s="1">
        <v>51461</v>
      </c>
      <c r="U641" s="1">
        <v>3000</v>
      </c>
      <c r="V641" s="1">
        <v>3000</v>
      </c>
      <c r="W641" s="1">
        <v>2000</v>
      </c>
      <c r="X641" s="1">
        <v>3000</v>
      </c>
      <c r="Y641" s="1">
        <v>3000</v>
      </c>
      <c r="Z641" s="1">
        <v>3000</v>
      </c>
      <c r="AA641">
        <v>0</v>
      </c>
      <c r="AB641" t="str">
        <f t="shared" si="9"/>
        <v>Not Defaulter</v>
      </c>
      <c r="AC641" s="1">
        <f>Table2[[#This Row],[BILL_AMT1]]-Table2[[#This Row],[PAY_AMT1]]</f>
        <v>53364</v>
      </c>
      <c r="AD641" s="1" t="str" cm="1">
        <f t="array" ref="AD641">_xlfn.IFS(Table2[[#This Row],[PAYMENT GAP]]&lt;=0,"No Gap / Overpaid",Table2[[#This Row],[PAYMENT GAP]]&lt;=25000,"Low Gap",Table2[[#This Row],[PAYMENT GAP]]&lt;=100000,"Medium Gap",
TRUE,"High Gap"
)</f>
        <v>Medium Gap</v>
      </c>
    </row>
    <row r="642" spans="1:30" x14ac:dyDescent="0.3">
      <c r="A642">
        <v>641</v>
      </c>
      <c r="B642" s="1">
        <v>280000</v>
      </c>
      <c r="C642" s="1" t="str" cm="1">
        <f t="array" ref="C642">_xlfn.IFS(Table2[[#This Row],[LIMIT_BAL]]&lt;=100000,"Low",Table2[[#This Row],[LIMIT_BAL]]&lt;=300000,"Medium",
TRUE,"High"
)</f>
        <v>Medium</v>
      </c>
      <c r="D642" t="s">
        <v>2042</v>
      </c>
      <c r="E642" t="s">
        <v>2043</v>
      </c>
      <c r="F642" t="s">
        <v>2028</v>
      </c>
      <c r="G642">
        <v>42</v>
      </c>
      <c r="H642" t="str" cm="1">
        <f t="array" ref="H642">_xlfn.IFS(
Table2[[#This Row],[AGE]]&lt;30,"Young",
Table2[[#This Row],[AGE]]&lt;40,"Middle Age",
Table2[[#This Row],[AGE]]&lt;50,"Senior",
TRUE,"Super Senior"
)</f>
        <v>Senior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 s="1">
        <v>148363</v>
      </c>
      <c r="P642" s="1">
        <v>148432</v>
      </c>
      <c r="Q642" s="1">
        <v>151310</v>
      </c>
      <c r="R642" s="1">
        <v>141937</v>
      </c>
      <c r="S642" s="1">
        <v>144990</v>
      </c>
      <c r="T642" s="1">
        <v>147911</v>
      </c>
      <c r="U642" s="1">
        <v>6900</v>
      </c>
      <c r="V642" s="1">
        <v>6867</v>
      </c>
      <c r="W642" s="1">
        <v>5500</v>
      </c>
      <c r="X642" s="1">
        <v>5500</v>
      </c>
      <c r="Y642" s="1">
        <v>5500</v>
      </c>
      <c r="Z642" s="1">
        <v>5600</v>
      </c>
      <c r="AA642">
        <v>0</v>
      </c>
      <c r="AB642" t="str">
        <f t="shared" si="9"/>
        <v>Not Defaulter</v>
      </c>
      <c r="AC642" s="1">
        <f>Table2[[#This Row],[BILL_AMT1]]-Table2[[#This Row],[PAY_AMT1]]</f>
        <v>141463</v>
      </c>
      <c r="AD642" s="1" t="str" cm="1">
        <f t="array" ref="AD642">_xlfn.IFS(Table2[[#This Row],[PAYMENT GAP]]&lt;=0,"No Gap / Overpaid",Table2[[#This Row],[PAYMENT GAP]]&lt;=25000,"Low Gap",Table2[[#This Row],[PAYMENT GAP]]&lt;=100000,"Medium Gap",
TRUE,"High Gap"
)</f>
        <v>High Gap</v>
      </c>
    </row>
    <row r="643" spans="1:30" x14ac:dyDescent="0.3">
      <c r="A643">
        <v>642</v>
      </c>
      <c r="B643" s="1">
        <v>130000</v>
      </c>
      <c r="C643" s="1" t="str" cm="1">
        <f t="array" ref="C643">_xlfn.IFS(Table2[[#This Row],[LIMIT_BAL]]&lt;=100000,"Low",Table2[[#This Row],[LIMIT_BAL]]&lt;=300000,"Medium",
TRUE,"High"
)</f>
        <v>Medium</v>
      </c>
      <c r="D643" t="s">
        <v>2041</v>
      </c>
      <c r="E643" t="s">
        <v>2027</v>
      </c>
      <c r="F643" t="s">
        <v>2028</v>
      </c>
      <c r="G643">
        <v>28</v>
      </c>
      <c r="H643" t="str" cm="1">
        <f t="array" ref="H643">_xlfn.IFS(
Table2[[#This Row],[AGE]]&lt;30,"Young",
Table2[[#This Row],[AGE]]&lt;40,"Middle Age",
Table2[[#This Row],[AGE]]&lt;50,"Senior",
TRUE,"Super Senior"
)</f>
        <v>Young</v>
      </c>
      <c r="I643">
        <v>0</v>
      </c>
      <c r="J643">
        <v>0</v>
      </c>
      <c r="K643">
        <v>0</v>
      </c>
      <c r="L643">
        <v>0</v>
      </c>
      <c r="M643">
        <v>-2</v>
      </c>
      <c r="N643">
        <v>-2</v>
      </c>
      <c r="O643" s="1">
        <v>100143</v>
      </c>
      <c r="P643" s="1">
        <v>50456</v>
      </c>
      <c r="Q643" s="1">
        <v>50000</v>
      </c>
      <c r="R643" s="1">
        <v>0</v>
      </c>
      <c r="S643" s="1">
        <v>0</v>
      </c>
      <c r="T643" s="1">
        <v>0</v>
      </c>
      <c r="U643" s="1">
        <v>2500</v>
      </c>
      <c r="V643" s="1">
        <v>1000</v>
      </c>
      <c r="W643" s="1">
        <v>0</v>
      </c>
      <c r="X643" s="1">
        <v>0</v>
      </c>
      <c r="Y643" s="1">
        <v>0</v>
      </c>
      <c r="Z643" s="1">
        <v>0</v>
      </c>
      <c r="AA643">
        <v>0</v>
      </c>
      <c r="AB643" t="str">
        <f t="shared" ref="AB643:AB706" si="10">IF(AA643=1,"Defaulter","Not Defaulter")</f>
        <v>Not Defaulter</v>
      </c>
      <c r="AC643" s="1">
        <f>Table2[[#This Row],[BILL_AMT1]]-Table2[[#This Row],[PAY_AMT1]]</f>
        <v>97643</v>
      </c>
      <c r="AD643" s="1" t="str" cm="1">
        <f t="array" ref="AD643">_xlfn.IFS(Table2[[#This Row],[PAYMENT GAP]]&lt;=0,"No Gap / Overpaid",Table2[[#This Row],[PAYMENT GAP]]&lt;=25000,"Low Gap",Table2[[#This Row],[PAYMENT GAP]]&lt;=100000,"Medium Gap",
TRUE,"High Gap"
)</f>
        <v>Medium Gap</v>
      </c>
    </row>
    <row r="644" spans="1:30" x14ac:dyDescent="0.3">
      <c r="A644">
        <v>643</v>
      </c>
      <c r="B644" s="1">
        <v>210000</v>
      </c>
      <c r="C644" s="1" t="str" cm="1">
        <f t="array" ref="C644">_xlfn.IFS(Table2[[#This Row],[LIMIT_BAL]]&lt;=100000,"Low",Table2[[#This Row],[LIMIT_BAL]]&lt;=300000,"Medium",
TRUE,"High"
)</f>
        <v>Medium</v>
      </c>
      <c r="D644" t="s">
        <v>2041</v>
      </c>
      <c r="E644" t="s">
        <v>2043</v>
      </c>
      <c r="F644" t="s">
        <v>2029</v>
      </c>
      <c r="G644">
        <v>32</v>
      </c>
      <c r="H644" t="str" cm="1">
        <f t="array" ref="H644">_xlfn.IFS(
Table2[[#This Row],[AGE]]&lt;30,"Young",
Table2[[#This Row],[AGE]]&lt;40,"Middle Age",
Table2[[#This Row],[AGE]]&lt;50,"Senior",
TRUE,"Super Senior"
)</f>
        <v>Middle Age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s="1">
        <v>46255</v>
      </c>
      <c r="P644" s="1">
        <v>50486</v>
      </c>
      <c r="Q644" s="1">
        <v>54019</v>
      </c>
      <c r="R644" s="1">
        <v>58091</v>
      </c>
      <c r="S644" s="1">
        <v>61630</v>
      </c>
      <c r="T644" s="1">
        <v>65576</v>
      </c>
      <c r="U644" s="1">
        <v>5000</v>
      </c>
      <c r="V644" s="1">
        <v>5000</v>
      </c>
      <c r="W644" s="1">
        <v>5000</v>
      </c>
      <c r="X644" s="1">
        <v>4500</v>
      </c>
      <c r="Y644" s="1">
        <v>5000</v>
      </c>
      <c r="Z644" s="1">
        <v>5000</v>
      </c>
      <c r="AA644">
        <v>0</v>
      </c>
      <c r="AB644" t="str">
        <f t="shared" si="10"/>
        <v>Not Defaulter</v>
      </c>
      <c r="AC644" s="1">
        <f>Table2[[#This Row],[BILL_AMT1]]-Table2[[#This Row],[PAY_AMT1]]</f>
        <v>41255</v>
      </c>
      <c r="AD644" s="1" t="str" cm="1">
        <f t="array" ref="AD644">_xlfn.IFS(Table2[[#This Row],[PAYMENT GAP]]&lt;=0,"No Gap / Overpaid",Table2[[#This Row],[PAYMENT GAP]]&lt;=25000,"Low Gap",Table2[[#This Row],[PAYMENT GAP]]&lt;=100000,"Medium Gap",
TRUE,"High Gap"
)</f>
        <v>Medium Gap</v>
      </c>
    </row>
    <row r="645" spans="1:30" x14ac:dyDescent="0.3">
      <c r="A645">
        <v>644</v>
      </c>
      <c r="B645" s="1">
        <v>370000</v>
      </c>
      <c r="C645" s="1" t="str" cm="1">
        <f t="array" ref="C645">_xlfn.IFS(Table2[[#This Row],[LIMIT_BAL]]&lt;=100000,"Low",Table2[[#This Row],[LIMIT_BAL]]&lt;=300000,"Medium",
TRUE,"High"
)</f>
        <v>High</v>
      </c>
      <c r="D645" t="s">
        <v>2042</v>
      </c>
      <c r="E645" t="s">
        <v>2043</v>
      </c>
      <c r="F645" t="s">
        <v>2029</v>
      </c>
      <c r="G645">
        <v>28</v>
      </c>
      <c r="H645" t="str" cm="1">
        <f t="array" ref="H645">_xlfn.IFS(
Table2[[#This Row],[AGE]]&lt;30,"Young",
Table2[[#This Row],[AGE]]&lt;40,"Middle Age",
Table2[[#This Row],[AGE]]&lt;50,"Senior",
TRUE,"Super Senior"
)</f>
        <v>Young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 s="1">
        <v>276436</v>
      </c>
      <c r="P645" s="1">
        <v>239025</v>
      </c>
      <c r="Q645" s="1">
        <v>149128</v>
      </c>
      <c r="R645" s="1">
        <v>48907</v>
      </c>
      <c r="S645" s="1">
        <v>53025</v>
      </c>
      <c r="T645" s="1">
        <v>51434</v>
      </c>
      <c r="U645" s="1">
        <v>20000</v>
      </c>
      <c r="V645" s="1">
        <v>13000</v>
      </c>
      <c r="W645" s="1">
        <v>5000</v>
      </c>
      <c r="X645" s="1">
        <v>10000</v>
      </c>
      <c r="Y645" s="1">
        <v>4000</v>
      </c>
      <c r="Z645" s="1">
        <v>6000</v>
      </c>
      <c r="AA645">
        <v>0</v>
      </c>
      <c r="AB645" t="str">
        <f t="shared" si="10"/>
        <v>Not Defaulter</v>
      </c>
      <c r="AC645" s="1">
        <f>Table2[[#This Row],[BILL_AMT1]]-Table2[[#This Row],[PAY_AMT1]]</f>
        <v>256436</v>
      </c>
      <c r="AD645" s="1" t="str" cm="1">
        <f t="array" ref="AD645">_xlfn.IFS(Table2[[#This Row],[PAYMENT GAP]]&lt;=0,"No Gap / Overpaid",Table2[[#This Row],[PAYMENT GAP]]&lt;=25000,"Low Gap",Table2[[#This Row],[PAYMENT GAP]]&lt;=100000,"Medium Gap",
TRUE,"High Gap"
)</f>
        <v>High Gap</v>
      </c>
    </row>
    <row r="646" spans="1:30" x14ac:dyDescent="0.3">
      <c r="A646">
        <v>645</v>
      </c>
      <c r="B646" s="1">
        <v>30000</v>
      </c>
      <c r="C646" s="1" t="str" cm="1">
        <f t="array" ref="C646">_xlfn.IFS(Table2[[#This Row],[LIMIT_BAL]]&lt;=100000,"Low",Table2[[#This Row],[LIMIT_BAL]]&lt;=300000,"Medium",
TRUE,"High"
)</f>
        <v>Low</v>
      </c>
      <c r="D646" t="s">
        <v>2041</v>
      </c>
      <c r="E646" t="s">
        <v>2043</v>
      </c>
      <c r="F646" t="s">
        <v>2028</v>
      </c>
      <c r="G646">
        <v>31</v>
      </c>
      <c r="H646" t="str" cm="1">
        <f t="array" ref="H646">_xlfn.IFS(
Table2[[#This Row],[AGE]]&lt;30,"Young",
Table2[[#This Row],[AGE]]&lt;40,"Middle Age",
Table2[[#This Row],[AGE]]&lt;50,"Senior",
TRUE,"Super Senior"
)</f>
        <v>Middle Age</v>
      </c>
      <c r="I646">
        <v>0</v>
      </c>
      <c r="J646">
        <v>0</v>
      </c>
      <c r="K646">
        <v>2</v>
      </c>
      <c r="L646">
        <v>0</v>
      </c>
      <c r="M646">
        <v>0</v>
      </c>
      <c r="N646">
        <v>0</v>
      </c>
      <c r="O646" s="1">
        <v>29493</v>
      </c>
      <c r="P646" s="1">
        <v>19433</v>
      </c>
      <c r="Q646" s="1">
        <v>18782</v>
      </c>
      <c r="R646" s="1">
        <v>19006</v>
      </c>
      <c r="S646" s="1">
        <v>19637</v>
      </c>
      <c r="T646" s="1">
        <v>21251</v>
      </c>
      <c r="U646" s="1">
        <v>3200</v>
      </c>
      <c r="V646" s="1">
        <v>0</v>
      </c>
      <c r="W646" s="1">
        <v>742</v>
      </c>
      <c r="X646" s="1">
        <v>1000</v>
      </c>
      <c r="Y646" s="1">
        <v>2000</v>
      </c>
      <c r="Z646" s="1">
        <v>0</v>
      </c>
      <c r="AA646">
        <v>0</v>
      </c>
      <c r="AB646" t="str">
        <f t="shared" si="10"/>
        <v>Not Defaulter</v>
      </c>
      <c r="AC646" s="1">
        <f>Table2[[#This Row],[BILL_AMT1]]-Table2[[#This Row],[PAY_AMT1]]</f>
        <v>26293</v>
      </c>
      <c r="AD646" s="1" t="str" cm="1">
        <f t="array" ref="AD646">_xlfn.IFS(Table2[[#This Row],[PAYMENT GAP]]&lt;=0,"No Gap / Overpaid",Table2[[#This Row],[PAYMENT GAP]]&lt;=25000,"Low Gap",Table2[[#This Row],[PAYMENT GAP]]&lt;=100000,"Medium Gap",
TRUE,"High Gap"
)</f>
        <v>Medium Gap</v>
      </c>
    </row>
    <row r="647" spans="1:30" x14ac:dyDescent="0.3">
      <c r="A647">
        <v>646</v>
      </c>
      <c r="B647" s="1">
        <v>150000</v>
      </c>
      <c r="C647" s="1" t="str" cm="1">
        <f t="array" ref="C647">_xlfn.IFS(Table2[[#This Row],[LIMIT_BAL]]&lt;=100000,"Low",Table2[[#This Row],[LIMIT_BAL]]&lt;=300000,"Medium",
TRUE,"High"
)</f>
        <v>Medium</v>
      </c>
      <c r="D647" t="s">
        <v>2042</v>
      </c>
      <c r="E647" t="s">
        <v>2027</v>
      </c>
      <c r="F647" t="s">
        <v>2029</v>
      </c>
      <c r="G647">
        <v>39</v>
      </c>
      <c r="H647" t="str" cm="1">
        <f t="array" ref="H647">_xlfn.IFS(
Table2[[#This Row],[AGE]]&lt;30,"Young",
Table2[[#This Row],[AGE]]&lt;40,"Middle Age",
Table2[[#This Row],[AGE]]&lt;50,"Senior",
TRUE,"Super Senior"
)</f>
        <v>Middle Age</v>
      </c>
      <c r="I647">
        <v>1</v>
      </c>
      <c r="J647">
        <v>-1</v>
      </c>
      <c r="K647">
        <v>-1</v>
      </c>
      <c r="L647">
        <v>-2</v>
      </c>
      <c r="M647">
        <v>-2</v>
      </c>
      <c r="N647">
        <v>-2</v>
      </c>
      <c r="O647" s="1">
        <v>214450</v>
      </c>
      <c r="P647" s="1">
        <v>147280</v>
      </c>
      <c r="Q647" s="1">
        <v>150000</v>
      </c>
      <c r="R647" s="1">
        <v>0</v>
      </c>
      <c r="S647" s="1">
        <v>-5000</v>
      </c>
      <c r="T647" s="1">
        <v>0</v>
      </c>
      <c r="U647" s="1">
        <v>5180</v>
      </c>
      <c r="V647" s="1">
        <v>5000</v>
      </c>
      <c r="W647" s="1">
        <v>0</v>
      </c>
      <c r="X647" s="1">
        <v>0</v>
      </c>
      <c r="Y647" s="1">
        <v>5000</v>
      </c>
      <c r="Z647" s="1">
        <v>0</v>
      </c>
      <c r="AA647">
        <v>0</v>
      </c>
      <c r="AB647" t="str">
        <f t="shared" si="10"/>
        <v>Not Defaulter</v>
      </c>
      <c r="AC647" s="1">
        <f>Table2[[#This Row],[BILL_AMT1]]-Table2[[#This Row],[PAY_AMT1]]</f>
        <v>209270</v>
      </c>
      <c r="AD647" s="1" t="str" cm="1">
        <f t="array" ref="AD647">_xlfn.IFS(Table2[[#This Row],[PAYMENT GAP]]&lt;=0,"No Gap / Overpaid",Table2[[#This Row],[PAYMENT GAP]]&lt;=25000,"Low Gap",Table2[[#This Row],[PAYMENT GAP]]&lt;=100000,"Medium Gap",
TRUE,"High Gap"
)</f>
        <v>High Gap</v>
      </c>
    </row>
    <row r="648" spans="1:30" x14ac:dyDescent="0.3">
      <c r="A648">
        <v>647</v>
      </c>
      <c r="B648" s="1">
        <v>60000</v>
      </c>
      <c r="C648" s="1" t="str" cm="1">
        <f t="array" ref="C648">_xlfn.IFS(Table2[[#This Row],[LIMIT_BAL]]&lt;=100000,"Low",Table2[[#This Row],[LIMIT_BAL]]&lt;=300000,"Medium",
TRUE,"High"
)</f>
        <v>Low</v>
      </c>
      <c r="D648" t="s">
        <v>2042</v>
      </c>
      <c r="E648" t="s">
        <v>2027</v>
      </c>
      <c r="F648" t="s">
        <v>2028</v>
      </c>
      <c r="G648">
        <v>31</v>
      </c>
      <c r="H648" t="str" cm="1">
        <f t="array" ref="H648">_xlfn.IFS(
Table2[[#This Row],[AGE]]&lt;30,"Young",
Table2[[#This Row],[AGE]]&lt;40,"Middle Age",
Table2[[#This Row],[AGE]]&lt;50,"Senior",
TRUE,"Super Senior"
)</f>
        <v>Middle Age</v>
      </c>
      <c r="I648">
        <v>2</v>
      </c>
      <c r="J648">
        <v>0</v>
      </c>
      <c r="K648">
        <v>0</v>
      </c>
      <c r="L648">
        <v>-2</v>
      </c>
      <c r="M648">
        <v>-2</v>
      </c>
      <c r="N648">
        <v>-2</v>
      </c>
      <c r="O648" s="1">
        <v>35369</v>
      </c>
      <c r="P648" s="1">
        <v>35320</v>
      </c>
      <c r="Q648" s="1">
        <v>0</v>
      </c>
      <c r="R648" s="1">
        <v>0</v>
      </c>
      <c r="S648" s="1">
        <v>0</v>
      </c>
      <c r="T648" s="1">
        <v>0</v>
      </c>
      <c r="U648" s="1">
        <v>1027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>
        <v>1</v>
      </c>
      <c r="AB648" t="str">
        <f t="shared" si="10"/>
        <v>Defaulter</v>
      </c>
      <c r="AC648" s="1">
        <f>Table2[[#This Row],[BILL_AMT1]]-Table2[[#This Row],[PAY_AMT1]]</f>
        <v>34342</v>
      </c>
      <c r="AD648" s="1" t="str" cm="1">
        <f t="array" ref="AD648">_xlfn.IFS(Table2[[#This Row],[PAYMENT GAP]]&lt;=0,"No Gap / Overpaid",Table2[[#This Row],[PAYMENT GAP]]&lt;=25000,"Low Gap",Table2[[#This Row],[PAYMENT GAP]]&lt;=100000,"Medium Gap",
TRUE,"High Gap"
)</f>
        <v>Medium Gap</v>
      </c>
    </row>
    <row r="649" spans="1:30" x14ac:dyDescent="0.3">
      <c r="A649">
        <v>648</v>
      </c>
      <c r="B649" s="1">
        <v>80000</v>
      </c>
      <c r="C649" s="1" t="str" cm="1">
        <f t="array" ref="C649">_xlfn.IFS(Table2[[#This Row],[LIMIT_BAL]]&lt;=100000,"Low",Table2[[#This Row],[LIMIT_BAL]]&lt;=300000,"Medium",
TRUE,"High"
)</f>
        <v>Low</v>
      </c>
      <c r="D649" t="s">
        <v>2041</v>
      </c>
      <c r="E649" t="s">
        <v>2043</v>
      </c>
      <c r="F649" t="s">
        <v>2029</v>
      </c>
      <c r="G649">
        <v>24</v>
      </c>
      <c r="H649" t="str" cm="1">
        <f t="array" ref="H649">_xlfn.IFS(
Table2[[#This Row],[AGE]]&lt;30,"Young",
Table2[[#This Row],[AGE]]&lt;40,"Middle Age",
Table2[[#This Row],[AGE]]&lt;50,"Senior",
TRUE,"Super Senior"
)</f>
        <v>Young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 s="1">
        <v>77615</v>
      </c>
      <c r="P649" s="1">
        <v>77303</v>
      </c>
      <c r="Q649" s="1">
        <v>66396</v>
      </c>
      <c r="R649" s="1">
        <v>55639</v>
      </c>
      <c r="S649" s="1">
        <v>56873</v>
      </c>
      <c r="T649" s="1">
        <v>58390</v>
      </c>
      <c r="U649" s="1">
        <v>3100</v>
      </c>
      <c r="V649" s="1">
        <v>2586</v>
      </c>
      <c r="W649" s="1">
        <v>2000</v>
      </c>
      <c r="X649" s="1">
        <v>2500</v>
      </c>
      <c r="Y649" s="1">
        <v>3000</v>
      </c>
      <c r="Z649" s="1">
        <v>2500</v>
      </c>
      <c r="AA649">
        <v>0</v>
      </c>
      <c r="AB649" t="str">
        <f t="shared" si="10"/>
        <v>Not Defaulter</v>
      </c>
      <c r="AC649" s="1">
        <f>Table2[[#This Row],[BILL_AMT1]]-Table2[[#This Row],[PAY_AMT1]]</f>
        <v>74515</v>
      </c>
      <c r="AD649" s="1" t="str" cm="1">
        <f t="array" ref="AD649">_xlfn.IFS(Table2[[#This Row],[PAYMENT GAP]]&lt;=0,"No Gap / Overpaid",Table2[[#This Row],[PAYMENT GAP]]&lt;=25000,"Low Gap",Table2[[#This Row],[PAYMENT GAP]]&lt;=100000,"Medium Gap",
TRUE,"High Gap"
)</f>
        <v>Medium Gap</v>
      </c>
    </row>
    <row r="650" spans="1:30" x14ac:dyDescent="0.3">
      <c r="A650">
        <v>649</v>
      </c>
      <c r="B650" s="1">
        <v>280000</v>
      </c>
      <c r="C650" s="1" t="str" cm="1">
        <f t="array" ref="C650">_xlfn.IFS(Table2[[#This Row],[LIMIT_BAL]]&lt;=100000,"Low",Table2[[#This Row],[LIMIT_BAL]]&lt;=300000,"Medium",
TRUE,"High"
)</f>
        <v>Medium</v>
      </c>
      <c r="D650" t="s">
        <v>2041</v>
      </c>
      <c r="E650" t="s">
        <v>2043</v>
      </c>
      <c r="F650" t="s">
        <v>2028</v>
      </c>
      <c r="G650">
        <v>44</v>
      </c>
      <c r="H650" t="str" cm="1">
        <f t="array" ref="H650">_xlfn.IFS(
Table2[[#This Row],[AGE]]&lt;30,"Young",
Table2[[#This Row],[AGE]]&lt;40,"Middle Age",
Table2[[#This Row],[AGE]]&lt;50,"Senior",
TRUE,"Super Senior"
)</f>
        <v>Senior</v>
      </c>
      <c r="I650">
        <v>2</v>
      </c>
      <c r="J650">
        <v>2</v>
      </c>
      <c r="K650">
        <v>2</v>
      </c>
      <c r="L650">
        <v>2</v>
      </c>
      <c r="M650">
        <v>2</v>
      </c>
      <c r="N650">
        <v>2</v>
      </c>
      <c r="O650" s="1">
        <v>186149</v>
      </c>
      <c r="P650" s="1">
        <v>181779</v>
      </c>
      <c r="Q650" s="1">
        <v>192189</v>
      </c>
      <c r="R650" s="1">
        <v>195517</v>
      </c>
      <c r="S650" s="1">
        <v>199250</v>
      </c>
      <c r="T650" s="1">
        <v>195874</v>
      </c>
      <c r="U650" s="1">
        <v>0</v>
      </c>
      <c r="V650" s="1">
        <v>15000</v>
      </c>
      <c r="W650" s="1">
        <v>8000</v>
      </c>
      <c r="X650" s="1">
        <v>7000</v>
      </c>
      <c r="Y650" s="1">
        <v>0</v>
      </c>
      <c r="Z650" s="1">
        <v>15000</v>
      </c>
      <c r="AA650">
        <v>1</v>
      </c>
      <c r="AB650" t="str">
        <f t="shared" si="10"/>
        <v>Defaulter</v>
      </c>
      <c r="AC650" s="1">
        <f>Table2[[#This Row],[BILL_AMT1]]-Table2[[#This Row],[PAY_AMT1]]</f>
        <v>186149</v>
      </c>
      <c r="AD650" s="1" t="str" cm="1">
        <f t="array" ref="AD650">_xlfn.IFS(Table2[[#This Row],[PAYMENT GAP]]&lt;=0,"No Gap / Overpaid",Table2[[#This Row],[PAYMENT GAP]]&lt;=25000,"Low Gap",Table2[[#This Row],[PAYMENT GAP]]&lt;=100000,"Medium Gap",
TRUE,"High Gap"
)</f>
        <v>High Gap</v>
      </c>
    </row>
    <row r="651" spans="1:30" x14ac:dyDescent="0.3">
      <c r="A651">
        <v>650</v>
      </c>
      <c r="B651" s="1">
        <v>20000</v>
      </c>
      <c r="C651" s="1" t="str" cm="1">
        <f t="array" ref="C651">_xlfn.IFS(Table2[[#This Row],[LIMIT_BAL]]&lt;=100000,"Low",Table2[[#This Row],[LIMIT_BAL]]&lt;=300000,"Medium",
TRUE,"High"
)</f>
        <v>Low</v>
      </c>
      <c r="D651" t="s">
        <v>2041</v>
      </c>
      <c r="E651" t="s">
        <v>2043</v>
      </c>
      <c r="F651" t="s">
        <v>2029</v>
      </c>
      <c r="G651">
        <v>46</v>
      </c>
      <c r="H651" t="str" cm="1">
        <f t="array" ref="H651">_xlfn.IFS(
Table2[[#This Row],[AGE]]&lt;30,"Young",
Table2[[#This Row],[AGE]]&lt;40,"Middle Age",
Table2[[#This Row],[AGE]]&lt;50,"Senior",
TRUE,"Super Senior"
)</f>
        <v>Senior</v>
      </c>
      <c r="I651">
        <v>8</v>
      </c>
      <c r="J651">
        <v>7</v>
      </c>
      <c r="K651">
        <v>6</v>
      </c>
      <c r="L651">
        <v>5</v>
      </c>
      <c r="M651">
        <v>4</v>
      </c>
      <c r="N651">
        <v>3</v>
      </c>
      <c r="O651" s="1">
        <v>21075</v>
      </c>
      <c r="P651" s="1">
        <v>20795</v>
      </c>
      <c r="Q651" s="1">
        <v>20206</v>
      </c>
      <c r="R651" s="1">
        <v>19617</v>
      </c>
      <c r="S651" s="1">
        <v>18737</v>
      </c>
      <c r="T651" s="1">
        <v>18148</v>
      </c>
      <c r="U651" s="1">
        <v>0</v>
      </c>
      <c r="V651" s="1">
        <v>0</v>
      </c>
      <c r="W651" s="1">
        <v>0</v>
      </c>
      <c r="X651" s="1">
        <v>0</v>
      </c>
      <c r="Y651" s="1">
        <v>0</v>
      </c>
      <c r="Z651" s="1">
        <v>0</v>
      </c>
      <c r="AA651">
        <v>0</v>
      </c>
      <c r="AB651" t="str">
        <f t="shared" si="10"/>
        <v>Not Defaulter</v>
      </c>
      <c r="AC651" s="1">
        <f>Table2[[#This Row],[BILL_AMT1]]-Table2[[#This Row],[PAY_AMT1]]</f>
        <v>21075</v>
      </c>
      <c r="AD651" s="1" t="str" cm="1">
        <f t="array" ref="AD651">_xlfn.IFS(Table2[[#This Row],[PAYMENT GAP]]&lt;=0,"No Gap / Overpaid",Table2[[#This Row],[PAYMENT GAP]]&lt;=25000,"Low Gap",Table2[[#This Row],[PAYMENT GAP]]&lt;=100000,"Medium Gap",
TRUE,"High Gap"
)</f>
        <v>Low Gap</v>
      </c>
    </row>
    <row r="652" spans="1:30" x14ac:dyDescent="0.3">
      <c r="A652">
        <v>651</v>
      </c>
      <c r="B652" s="1">
        <v>270000</v>
      </c>
      <c r="C652" s="1" t="str" cm="1">
        <f t="array" ref="C652">_xlfn.IFS(Table2[[#This Row],[LIMIT_BAL]]&lt;=100000,"Low",Table2[[#This Row],[LIMIT_BAL]]&lt;=300000,"Medium",
TRUE,"High"
)</f>
        <v>Medium</v>
      </c>
      <c r="D652" t="s">
        <v>2042</v>
      </c>
      <c r="E652" t="s">
        <v>2026</v>
      </c>
      <c r="F652" t="s">
        <v>2029</v>
      </c>
      <c r="G652">
        <v>32</v>
      </c>
      <c r="H652" t="str" cm="1">
        <f t="array" ref="H652">_xlfn.IFS(
Table2[[#This Row],[AGE]]&lt;30,"Young",
Table2[[#This Row],[AGE]]&lt;40,"Middle Age",
Table2[[#This Row],[AGE]]&lt;50,"Senior",
TRUE,"Super Senior"
)</f>
        <v>Middle Age</v>
      </c>
      <c r="I652">
        <v>-2</v>
      </c>
      <c r="J652">
        <v>-2</v>
      </c>
      <c r="K652">
        <v>-2</v>
      </c>
      <c r="L652">
        <v>-2</v>
      </c>
      <c r="M652">
        <v>-2</v>
      </c>
      <c r="N652">
        <v>-2</v>
      </c>
      <c r="O652" s="1">
        <v>0</v>
      </c>
      <c r="P652" s="1">
        <v>0</v>
      </c>
      <c r="Q652" s="1">
        <v>1100</v>
      </c>
      <c r="R652" s="1">
        <v>300</v>
      </c>
      <c r="S652" s="1">
        <v>-200</v>
      </c>
      <c r="T652" s="1">
        <v>-200</v>
      </c>
      <c r="U652" s="1">
        <v>0</v>
      </c>
      <c r="V652" s="1">
        <v>1100</v>
      </c>
      <c r="W652" s="1">
        <v>300</v>
      </c>
      <c r="X652" s="1">
        <v>0</v>
      </c>
      <c r="Y652" s="1">
        <v>0</v>
      </c>
      <c r="Z652" s="1">
        <v>0</v>
      </c>
      <c r="AA652">
        <v>0</v>
      </c>
      <c r="AB652" t="str">
        <f t="shared" si="10"/>
        <v>Not Defaulter</v>
      </c>
      <c r="AC652" s="1">
        <f>Table2[[#This Row],[BILL_AMT1]]-Table2[[#This Row],[PAY_AMT1]]</f>
        <v>0</v>
      </c>
      <c r="AD652" s="1" t="str" cm="1">
        <f t="array" ref="AD652">_xlfn.IFS(Table2[[#This Row],[PAYMENT GAP]]&lt;=0,"No Gap / Overpaid",Table2[[#This Row],[PAYMENT GAP]]&lt;=25000,"Low Gap",Table2[[#This Row],[PAYMENT GAP]]&lt;=100000,"Medium Gap",
TRUE,"High Gap"
)</f>
        <v>No Gap / Overpaid</v>
      </c>
    </row>
    <row r="653" spans="1:30" x14ac:dyDescent="0.3">
      <c r="A653">
        <v>652</v>
      </c>
      <c r="B653" s="1">
        <v>240000</v>
      </c>
      <c r="C653" s="1" t="str" cm="1">
        <f t="array" ref="C653">_xlfn.IFS(Table2[[#This Row],[LIMIT_BAL]]&lt;=100000,"Low",Table2[[#This Row],[LIMIT_BAL]]&lt;=300000,"Medium",
TRUE,"High"
)</f>
        <v>Medium</v>
      </c>
      <c r="D653" t="s">
        <v>2041</v>
      </c>
      <c r="E653" t="s">
        <v>2043</v>
      </c>
      <c r="F653" t="s">
        <v>2029</v>
      </c>
      <c r="G653">
        <v>26</v>
      </c>
      <c r="H653" t="str" cm="1">
        <f t="array" ref="H653">_xlfn.IFS(
Table2[[#This Row],[AGE]]&lt;30,"Young",
Table2[[#This Row],[AGE]]&lt;40,"Middle Age",
Table2[[#This Row],[AGE]]&lt;50,"Senior",
TRUE,"Super Senior"
)</f>
        <v>Young</v>
      </c>
      <c r="I653">
        <v>0</v>
      </c>
      <c r="J653">
        <v>0</v>
      </c>
      <c r="K653">
        <v>-1</v>
      </c>
      <c r="L653">
        <v>-1</v>
      </c>
      <c r="M653">
        <v>-1</v>
      </c>
      <c r="N653">
        <v>-1</v>
      </c>
      <c r="O653" s="1">
        <v>14348</v>
      </c>
      <c r="P653" s="1">
        <v>7500</v>
      </c>
      <c r="Q653" s="1">
        <v>7816</v>
      </c>
      <c r="R653" s="1">
        <v>7500</v>
      </c>
      <c r="S653" s="1">
        <v>7500</v>
      </c>
      <c r="T653" s="1">
        <v>14497</v>
      </c>
      <c r="U653" s="1">
        <v>1000</v>
      </c>
      <c r="V653" s="1">
        <v>7816</v>
      </c>
      <c r="W653" s="1">
        <v>7500</v>
      </c>
      <c r="X653" s="1">
        <v>7500</v>
      </c>
      <c r="Y653" s="1">
        <v>14497</v>
      </c>
      <c r="Z653" s="1">
        <v>500</v>
      </c>
      <c r="AA653">
        <v>0</v>
      </c>
      <c r="AB653" t="str">
        <f t="shared" si="10"/>
        <v>Not Defaulter</v>
      </c>
      <c r="AC653" s="1">
        <f>Table2[[#This Row],[BILL_AMT1]]-Table2[[#This Row],[PAY_AMT1]]</f>
        <v>13348</v>
      </c>
      <c r="AD653" s="1" t="str" cm="1">
        <f t="array" ref="AD653">_xlfn.IFS(Table2[[#This Row],[PAYMENT GAP]]&lt;=0,"No Gap / Overpaid",Table2[[#This Row],[PAYMENT GAP]]&lt;=25000,"Low Gap",Table2[[#This Row],[PAYMENT GAP]]&lt;=100000,"Medium Gap",
TRUE,"High Gap"
)</f>
        <v>Low Gap</v>
      </c>
    </row>
    <row r="654" spans="1:30" x14ac:dyDescent="0.3">
      <c r="A654">
        <v>653</v>
      </c>
      <c r="B654" s="1">
        <v>20000</v>
      </c>
      <c r="C654" s="1" t="str" cm="1">
        <f t="array" ref="C654">_xlfn.IFS(Table2[[#This Row],[LIMIT_BAL]]&lt;=100000,"Low",Table2[[#This Row],[LIMIT_BAL]]&lt;=300000,"Medium",
TRUE,"High"
)</f>
        <v>Low</v>
      </c>
      <c r="D654" t="s">
        <v>2041</v>
      </c>
      <c r="E654" t="s">
        <v>2026</v>
      </c>
      <c r="F654" t="s">
        <v>2029</v>
      </c>
      <c r="G654">
        <v>22</v>
      </c>
      <c r="H654" t="str" cm="1">
        <f t="array" ref="H654">_xlfn.IFS(
Table2[[#This Row],[AGE]]&lt;30,"Young",
Table2[[#This Row],[AGE]]&lt;40,"Middle Age",
Table2[[#This Row],[AGE]]&lt;50,"Senior",
TRUE,"Super Senior"
)</f>
        <v>Young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 s="1">
        <v>20137</v>
      </c>
      <c r="P654" s="1">
        <v>20179</v>
      </c>
      <c r="Q654" s="1">
        <v>18067</v>
      </c>
      <c r="R654" s="1">
        <v>18666</v>
      </c>
      <c r="S654" s="1">
        <v>19115</v>
      </c>
      <c r="T654" s="1">
        <v>19547</v>
      </c>
      <c r="U654" s="1">
        <v>1300</v>
      </c>
      <c r="V654" s="1">
        <v>1301</v>
      </c>
      <c r="W654" s="1">
        <v>900</v>
      </c>
      <c r="X654" s="1">
        <v>900</v>
      </c>
      <c r="Y654" s="1">
        <v>900</v>
      </c>
      <c r="Z654" s="1">
        <v>1600</v>
      </c>
      <c r="AA654">
        <v>0</v>
      </c>
      <c r="AB654" t="str">
        <f t="shared" si="10"/>
        <v>Not Defaulter</v>
      </c>
      <c r="AC654" s="1">
        <f>Table2[[#This Row],[BILL_AMT1]]-Table2[[#This Row],[PAY_AMT1]]</f>
        <v>18837</v>
      </c>
      <c r="AD654" s="1" t="str" cm="1">
        <f t="array" ref="AD654">_xlfn.IFS(Table2[[#This Row],[PAYMENT GAP]]&lt;=0,"No Gap / Overpaid",Table2[[#This Row],[PAYMENT GAP]]&lt;=25000,"Low Gap",Table2[[#This Row],[PAYMENT GAP]]&lt;=100000,"Medium Gap",
TRUE,"High Gap"
)</f>
        <v>Low Gap</v>
      </c>
    </row>
    <row r="655" spans="1:30" x14ac:dyDescent="0.3">
      <c r="A655">
        <v>654</v>
      </c>
      <c r="B655" s="1">
        <v>450000</v>
      </c>
      <c r="C655" s="1" t="str" cm="1">
        <f t="array" ref="C655">_xlfn.IFS(Table2[[#This Row],[LIMIT_BAL]]&lt;=100000,"Low",Table2[[#This Row],[LIMIT_BAL]]&lt;=300000,"Medium",
TRUE,"High"
)</f>
        <v>High</v>
      </c>
      <c r="D655" t="s">
        <v>2041</v>
      </c>
      <c r="E655" t="s">
        <v>2026</v>
      </c>
      <c r="F655" t="s">
        <v>2028</v>
      </c>
      <c r="G655">
        <v>42</v>
      </c>
      <c r="H655" t="str" cm="1">
        <f t="array" ref="H655">_xlfn.IFS(
Table2[[#This Row],[AGE]]&lt;30,"Young",
Table2[[#This Row],[AGE]]&lt;40,"Middle Age",
Table2[[#This Row],[AGE]]&lt;50,"Senior",
TRUE,"Super Senior"
)</f>
        <v>Senior</v>
      </c>
      <c r="I655">
        <v>1</v>
      </c>
      <c r="J655">
        <v>-2</v>
      </c>
      <c r="K655">
        <v>-2</v>
      </c>
      <c r="L655">
        <v>-1</v>
      </c>
      <c r="M655">
        <v>-1</v>
      </c>
      <c r="N655">
        <v>-2</v>
      </c>
      <c r="O655" s="1">
        <v>-200</v>
      </c>
      <c r="P655" s="1">
        <v>-200</v>
      </c>
      <c r="Q655" s="1">
        <v>0</v>
      </c>
      <c r="R655" s="1">
        <v>42000</v>
      </c>
      <c r="S655" s="1">
        <v>0</v>
      </c>
      <c r="T655" s="1">
        <v>0</v>
      </c>
      <c r="U655" s="1">
        <v>0</v>
      </c>
      <c r="V655" s="1">
        <v>200</v>
      </c>
      <c r="W655" s="1">
        <v>42000</v>
      </c>
      <c r="X655" s="1">
        <v>0</v>
      </c>
      <c r="Y655" s="1">
        <v>0</v>
      </c>
      <c r="Z655" s="1">
        <v>0</v>
      </c>
      <c r="AA655">
        <v>1</v>
      </c>
      <c r="AB655" t="str">
        <f t="shared" si="10"/>
        <v>Defaulter</v>
      </c>
      <c r="AC655" s="1">
        <f>Table2[[#This Row],[BILL_AMT1]]-Table2[[#This Row],[PAY_AMT1]]</f>
        <v>-200</v>
      </c>
      <c r="AD655" s="1" t="str" cm="1">
        <f t="array" ref="AD655">_xlfn.IFS(Table2[[#This Row],[PAYMENT GAP]]&lt;=0,"No Gap / Overpaid",Table2[[#This Row],[PAYMENT GAP]]&lt;=25000,"Low Gap",Table2[[#This Row],[PAYMENT GAP]]&lt;=100000,"Medium Gap",
TRUE,"High Gap"
)</f>
        <v>No Gap / Overpaid</v>
      </c>
    </row>
    <row r="656" spans="1:30" x14ac:dyDescent="0.3">
      <c r="A656">
        <v>655</v>
      </c>
      <c r="B656" s="1">
        <v>10000</v>
      </c>
      <c r="C656" s="1" t="str" cm="1">
        <f t="array" ref="C656">_xlfn.IFS(Table2[[#This Row],[LIMIT_BAL]]&lt;=100000,"Low",Table2[[#This Row],[LIMIT_BAL]]&lt;=300000,"Medium",
TRUE,"High"
)</f>
        <v>Low</v>
      </c>
      <c r="D656" t="s">
        <v>2042</v>
      </c>
      <c r="E656" t="s">
        <v>2043</v>
      </c>
      <c r="F656" t="s">
        <v>2029</v>
      </c>
      <c r="G656">
        <v>33</v>
      </c>
      <c r="H656" t="str" cm="1">
        <f t="array" ref="H656">_xlfn.IFS(
Table2[[#This Row],[AGE]]&lt;30,"Young",
Table2[[#This Row],[AGE]]&lt;40,"Middle Age",
Table2[[#This Row],[AGE]]&lt;50,"Senior",
TRUE,"Super Senior"
)</f>
        <v>Middle Age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 s="1">
        <v>8177</v>
      </c>
      <c r="P656" s="1">
        <v>9131</v>
      </c>
      <c r="Q656" s="1">
        <v>9669</v>
      </c>
      <c r="R656" s="1">
        <v>7624</v>
      </c>
      <c r="S656" s="1">
        <v>8049</v>
      </c>
      <c r="T656" s="1">
        <v>6857</v>
      </c>
      <c r="U656" s="1">
        <v>2500</v>
      </c>
      <c r="V656" s="1">
        <v>1145</v>
      </c>
      <c r="W656" s="1">
        <v>1000</v>
      </c>
      <c r="X656" s="1">
        <v>1000</v>
      </c>
      <c r="Y656" s="1">
        <v>1000</v>
      </c>
      <c r="Z656" s="1">
        <v>1500</v>
      </c>
      <c r="AA656">
        <v>0</v>
      </c>
      <c r="AB656" t="str">
        <f t="shared" si="10"/>
        <v>Not Defaulter</v>
      </c>
      <c r="AC656" s="1">
        <f>Table2[[#This Row],[BILL_AMT1]]-Table2[[#This Row],[PAY_AMT1]]</f>
        <v>5677</v>
      </c>
      <c r="AD656" s="1" t="str" cm="1">
        <f t="array" ref="AD656">_xlfn.IFS(Table2[[#This Row],[PAYMENT GAP]]&lt;=0,"No Gap / Overpaid",Table2[[#This Row],[PAYMENT GAP]]&lt;=25000,"Low Gap",Table2[[#This Row],[PAYMENT GAP]]&lt;=100000,"Medium Gap",
TRUE,"High Gap"
)</f>
        <v>Low Gap</v>
      </c>
    </row>
    <row r="657" spans="1:30" x14ac:dyDescent="0.3">
      <c r="A657">
        <v>656</v>
      </c>
      <c r="B657" s="1">
        <v>280000</v>
      </c>
      <c r="C657" s="1" t="str" cm="1">
        <f t="array" ref="C657">_xlfn.IFS(Table2[[#This Row],[LIMIT_BAL]]&lt;=100000,"Low",Table2[[#This Row],[LIMIT_BAL]]&lt;=300000,"Medium",
TRUE,"High"
)</f>
        <v>Medium</v>
      </c>
      <c r="D657" t="s">
        <v>2042</v>
      </c>
      <c r="E657" t="s">
        <v>2043</v>
      </c>
      <c r="F657" t="s">
        <v>2028</v>
      </c>
      <c r="G657">
        <v>39</v>
      </c>
      <c r="H657" t="str" cm="1">
        <f t="array" ref="H657">_xlfn.IFS(
Table2[[#This Row],[AGE]]&lt;30,"Young",
Table2[[#This Row],[AGE]]&lt;40,"Middle Age",
Table2[[#This Row],[AGE]]&lt;50,"Senior",
TRUE,"Super Senior"
)</f>
        <v>Middle Age</v>
      </c>
      <c r="I657">
        <v>-2</v>
      </c>
      <c r="J657">
        <v>-2</v>
      </c>
      <c r="K657">
        <v>-2</v>
      </c>
      <c r="L657">
        <v>-2</v>
      </c>
      <c r="M657">
        <v>-2</v>
      </c>
      <c r="N657">
        <v>-2</v>
      </c>
      <c r="O657" s="1">
        <v>2082</v>
      </c>
      <c r="P657" s="1">
        <v>3557</v>
      </c>
      <c r="Q657" s="1">
        <v>5623</v>
      </c>
      <c r="R657" s="1">
        <v>5400</v>
      </c>
      <c r="S657" s="1">
        <v>3866</v>
      </c>
      <c r="T657" s="1">
        <v>3526</v>
      </c>
      <c r="U657" s="1">
        <v>3597</v>
      </c>
      <c r="V657" s="1">
        <v>5672</v>
      </c>
      <c r="W657" s="1">
        <v>5427</v>
      </c>
      <c r="X657" s="1">
        <v>3885</v>
      </c>
      <c r="Y657" s="1">
        <v>3543</v>
      </c>
      <c r="Z657" s="1">
        <v>3519</v>
      </c>
      <c r="AA657">
        <v>1</v>
      </c>
      <c r="AB657" t="str">
        <f t="shared" si="10"/>
        <v>Defaulter</v>
      </c>
      <c r="AC657" s="1">
        <f>Table2[[#This Row],[BILL_AMT1]]-Table2[[#This Row],[PAY_AMT1]]</f>
        <v>-1515</v>
      </c>
      <c r="AD657" s="1" t="str" cm="1">
        <f t="array" ref="AD657">_xlfn.IFS(Table2[[#This Row],[PAYMENT GAP]]&lt;=0,"No Gap / Overpaid",Table2[[#This Row],[PAYMENT GAP]]&lt;=25000,"Low Gap",Table2[[#This Row],[PAYMENT GAP]]&lt;=100000,"Medium Gap",
TRUE,"High Gap"
)</f>
        <v>No Gap / Overpaid</v>
      </c>
    </row>
    <row r="658" spans="1:30" x14ac:dyDescent="0.3">
      <c r="A658">
        <v>657</v>
      </c>
      <c r="B658" s="1">
        <v>290000</v>
      </c>
      <c r="C658" s="1" t="str" cm="1">
        <f t="array" ref="C658">_xlfn.IFS(Table2[[#This Row],[LIMIT_BAL]]&lt;=100000,"Low",Table2[[#This Row],[LIMIT_BAL]]&lt;=300000,"Medium",
TRUE,"High"
)</f>
        <v>Medium</v>
      </c>
      <c r="D658" t="s">
        <v>2041</v>
      </c>
      <c r="E658" t="s">
        <v>2027</v>
      </c>
      <c r="F658" t="s">
        <v>2029</v>
      </c>
      <c r="G658">
        <v>27</v>
      </c>
      <c r="H658" t="str" cm="1">
        <f t="array" ref="H658">_xlfn.IFS(
Table2[[#This Row],[AGE]]&lt;30,"Young",
Table2[[#This Row],[AGE]]&lt;40,"Middle Age",
Table2[[#This Row],[AGE]]&lt;50,"Senior",
TRUE,"Super Senior"
)</f>
        <v>Young</v>
      </c>
      <c r="I658">
        <v>0</v>
      </c>
      <c r="J658">
        <v>0</v>
      </c>
      <c r="K658">
        <v>0</v>
      </c>
      <c r="L658">
        <v>0</v>
      </c>
      <c r="M658">
        <v>-1</v>
      </c>
      <c r="N658">
        <v>-1</v>
      </c>
      <c r="O658" s="1">
        <v>13820</v>
      </c>
      <c r="P658" s="1">
        <v>15614</v>
      </c>
      <c r="Q658" s="1">
        <v>16293</v>
      </c>
      <c r="R658" s="1">
        <v>7760</v>
      </c>
      <c r="S658" s="1">
        <v>2000</v>
      </c>
      <c r="T658" s="1">
        <v>0</v>
      </c>
      <c r="U658" s="1">
        <v>2000</v>
      </c>
      <c r="V658" s="1">
        <v>1300</v>
      </c>
      <c r="W658" s="1">
        <v>0</v>
      </c>
      <c r="X658" s="1">
        <v>2000</v>
      </c>
      <c r="Y658" s="1">
        <v>1000</v>
      </c>
      <c r="Z658" s="1">
        <v>0</v>
      </c>
      <c r="AA658">
        <v>0</v>
      </c>
      <c r="AB658" t="str">
        <f t="shared" si="10"/>
        <v>Not Defaulter</v>
      </c>
      <c r="AC658" s="1">
        <f>Table2[[#This Row],[BILL_AMT1]]-Table2[[#This Row],[PAY_AMT1]]</f>
        <v>11820</v>
      </c>
      <c r="AD658" s="1" t="str" cm="1">
        <f t="array" ref="AD658">_xlfn.IFS(Table2[[#This Row],[PAYMENT GAP]]&lt;=0,"No Gap / Overpaid",Table2[[#This Row],[PAYMENT GAP]]&lt;=25000,"Low Gap",Table2[[#This Row],[PAYMENT GAP]]&lt;=100000,"Medium Gap",
TRUE,"High Gap"
)</f>
        <v>Low Gap</v>
      </c>
    </row>
    <row r="659" spans="1:30" x14ac:dyDescent="0.3">
      <c r="A659">
        <v>658</v>
      </c>
      <c r="B659" s="1">
        <v>190000</v>
      </c>
      <c r="C659" s="1" t="str" cm="1">
        <f t="array" ref="C659">_xlfn.IFS(Table2[[#This Row],[LIMIT_BAL]]&lt;=100000,"Low",Table2[[#This Row],[LIMIT_BAL]]&lt;=300000,"Medium",
TRUE,"High"
)</f>
        <v>Medium</v>
      </c>
      <c r="D659" t="s">
        <v>2041</v>
      </c>
      <c r="E659" t="s">
        <v>2026</v>
      </c>
      <c r="F659" t="s">
        <v>2029</v>
      </c>
      <c r="G659">
        <v>28</v>
      </c>
      <c r="H659" t="str" cm="1">
        <f t="array" ref="H659">_xlfn.IFS(
Table2[[#This Row],[AGE]]&lt;30,"Young",
Table2[[#This Row],[AGE]]&lt;40,"Middle Age",
Table2[[#This Row],[AGE]]&lt;50,"Senior",
TRUE,"Super Senior"
)</f>
        <v>Young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 s="1">
        <v>46923</v>
      </c>
      <c r="P659" s="1">
        <v>48666</v>
      </c>
      <c r="Q659" s="1">
        <v>49347</v>
      </c>
      <c r="R659" s="1">
        <v>50386</v>
      </c>
      <c r="S659" s="1">
        <v>43883</v>
      </c>
      <c r="T659" s="1">
        <v>34412</v>
      </c>
      <c r="U659" s="1">
        <v>2500</v>
      </c>
      <c r="V659" s="1">
        <v>2000</v>
      </c>
      <c r="W659" s="1">
        <v>3000</v>
      </c>
      <c r="X659" s="1">
        <v>2000</v>
      </c>
      <c r="Y659" s="1">
        <v>2000</v>
      </c>
      <c r="Z659" s="1">
        <v>2000</v>
      </c>
      <c r="AA659">
        <v>1</v>
      </c>
      <c r="AB659" t="str">
        <f t="shared" si="10"/>
        <v>Defaulter</v>
      </c>
      <c r="AC659" s="1">
        <f>Table2[[#This Row],[BILL_AMT1]]-Table2[[#This Row],[PAY_AMT1]]</f>
        <v>44423</v>
      </c>
      <c r="AD659" s="1" t="str" cm="1">
        <f t="array" ref="AD659">_xlfn.IFS(Table2[[#This Row],[PAYMENT GAP]]&lt;=0,"No Gap / Overpaid",Table2[[#This Row],[PAYMENT GAP]]&lt;=25000,"Low Gap",Table2[[#This Row],[PAYMENT GAP]]&lt;=100000,"Medium Gap",
TRUE,"High Gap"
)</f>
        <v>Medium Gap</v>
      </c>
    </row>
    <row r="660" spans="1:30" x14ac:dyDescent="0.3">
      <c r="A660">
        <v>659</v>
      </c>
      <c r="B660" s="1">
        <v>80000</v>
      </c>
      <c r="C660" s="1" t="str" cm="1">
        <f t="array" ref="C660">_xlfn.IFS(Table2[[#This Row],[LIMIT_BAL]]&lt;=100000,"Low",Table2[[#This Row],[LIMIT_BAL]]&lt;=300000,"Medium",
TRUE,"High"
)</f>
        <v>Low</v>
      </c>
      <c r="D660" t="s">
        <v>2041</v>
      </c>
      <c r="E660" t="s">
        <v>2026</v>
      </c>
      <c r="F660" t="s">
        <v>2029</v>
      </c>
      <c r="G660">
        <v>23</v>
      </c>
      <c r="H660" t="str" cm="1">
        <f t="array" ref="H660">_xlfn.IFS(
Table2[[#This Row],[AGE]]&lt;30,"Young",
Table2[[#This Row],[AGE]]&lt;40,"Middle Age",
Table2[[#This Row],[AGE]]&lt;50,"Senior",
TRUE,"Super Senior"
)</f>
        <v>Young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-1</v>
      </c>
      <c r="O660" s="1">
        <v>53261</v>
      </c>
      <c r="P660" s="1">
        <v>38091</v>
      </c>
      <c r="Q660" s="1">
        <v>19744</v>
      </c>
      <c r="R660" s="1">
        <v>14556</v>
      </c>
      <c r="S660" s="1">
        <v>0</v>
      </c>
      <c r="T660" s="1">
        <v>1460</v>
      </c>
      <c r="U660" s="1">
        <v>4500</v>
      </c>
      <c r="V660" s="1">
        <v>2011</v>
      </c>
      <c r="W660" s="1">
        <v>3105</v>
      </c>
      <c r="X660" s="1">
        <v>0</v>
      </c>
      <c r="Y660" s="1">
        <v>1460</v>
      </c>
      <c r="Z660" s="1">
        <v>0</v>
      </c>
      <c r="AA660">
        <v>0</v>
      </c>
      <c r="AB660" t="str">
        <f t="shared" si="10"/>
        <v>Not Defaulter</v>
      </c>
      <c r="AC660" s="1">
        <f>Table2[[#This Row],[BILL_AMT1]]-Table2[[#This Row],[PAY_AMT1]]</f>
        <v>48761</v>
      </c>
      <c r="AD660" s="1" t="str" cm="1">
        <f t="array" ref="AD660">_xlfn.IFS(Table2[[#This Row],[PAYMENT GAP]]&lt;=0,"No Gap / Overpaid",Table2[[#This Row],[PAYMENT GAP]]&lt;=25000,"Low Gap",Table2[[#This Row],[PAYMENT GAP]]&lt;=100000,"Medium Gap",
TRUE,"High Gap"
)</f>
        <v>Medium Gap</v>
      </c>
    </row>
    <row r="661" spans="1:30" x14ac:dyDescent="0.3">
      <c r="A661">
        <v>660</v>
      </c>
      <c r="B661" s="1">
        <v>280000</v>
      </c>
      <c r="C661" s="1" t="str" cm="1">
        <f t="array" ref="C661">_xlfn.IFS(Table2[[#This Row],[LIMIT_BAL]]&lt;=100000,"Low",Table2[[#This Row],[LIMIT_BAL]]&lt;=300000,"Medium",
TRUE,"High"
)</f>
        <v>Medium</v>
      </c>
      <c r="D661" t="s">
        <v>2041</v>
      </c>
      <c r="E661" t="s">
        <v>2043</v>
      </c>
      <c r="F661" t="s">
        <v>2029</v>
      </c>
      <c r="G661">
        <v>28</v>
      </c>
      <c r="H661" t="str" cm="1">
        <f t="array" ref="H661">_xlfn.IFS(
Table2[[#This Row],[AGE]]&lt;30,"Young",
Table2[[#This Row],[AGE]]&lt;40,"Middle Age",
Table2[[#This Row],[AGE]]&lt;50,"Senior",
TRUE,"Super Senior"
)</f>
        <v>Young</v>
      </c>
      <c r="I661">
        <v>-1</v>
      </c>
      <c r="J661">
        <v>2</v>
      </c>
      <c r="K661">
        <v>-1</v>
      </c>
      <c r="L661">
        <v>-1</v>
      </c>
      <c r="M661">
        <v>0</v>
      </c>
      <c r="N661">
        <v>-1</v>
      </c>
      <c r="O661" s="1">
        <v>427</v>
      </c>
      <c r="P661" s="1">
        <v>298</v>
      </c>
      <c r="Q661" s="1">
        <v>1179</v>
      </c>
      <c r="R661" s="1">
        <v>1714</v>
      </c>
      <c r="S661" s="1">
        <v>2875</v>
      </c>
      <c r="T661" s="1">
        <v>1047</v>
      </c>
      <c r="U661" s="1">
        <v>0</v>
      </c>
      <c r="V661" s="1">
        <v>1179</v>
      </c>
      <c r="W661" s="1">
        <v>1714</v>
      </c>
      <c r="X661" s="1">
        <v>1290</v>
      </c>
      <c r="Y661" s="1">
        <v>1047</v>
      </c>
      <c r="Z661" s="1">
        <v>1000</v>
      </c>
      <c r="AA661">
        <v>0</v>
      </c>
      <c r="AB661" t="str">
        <f t="shared" si="10"/>
        <v>Not Defaulter</v>
      </c>
      <c r="AC661" s="1">
        <f>Table2[[#This Row],[BILL_AMT1]]-Table2[[#This Row],[PAY_AMT1]]</f>
        <v>427</v>
      </c>
      <c r="AD661" s="1" t="str" cm="1">
        <f t="array" ref="AD661">_xlfn.IFS(Table2[[#This Row],[PAYMENT GAP]]&lt;=0,"No Gap / Overpaid",Table2[[#This Row],[PAYMENT GAP]]&lt;=25000,"Low Gap",Table2[[#This Row],[PAYMENT GAP]]&lt;=100000,"Medium Gap",
TRUE,"High Gap"
)</f>
        <v>Low Gap</v>
      </c>
    </row>
    <row r="662" spans="1:30" x14ac:dyDescent="0.3">
      <c r="A662">
        <v>661</v>
      </c>
      <c r="B662" s="1">
        <v>160000</v>
      </c>
      <c r="C662" s="1" t="str" cm="1">
        <f t="array" ref="C662">_xlfn.IFS(Table2[[#This Row],[LIMIT_BAL]]&lt;=100000,"Low",Table2[[#This Row],[LIMIT_BAL]]&lt;=300000,"Medium",
TRUE,"High"
)</f>
        <v>Medium</v>
      </c>
      <c r="D662" t="s">
        <v>2041</v>
      </c>
      <c r="E662" t="s">
        <v>2026</v>
      </c>
      <c r="F662" t="s">
        <v>2028</v>
      </c>
      <c r="G662">
        <v>33</v>
      </c>
      <c r="H662" t="str" cm="1">
        <f t="array" ref="H662">_xlfn.IFS(
Table2[[#This Row],[AGE]]&lt;30,"Young",
Table2[[#This Row],[AGE]]&lt;40,"Middle Age",
Table2[[#This Row],[AGE]]&lt;50,"Senior",
TRUE,"Super Senior"
)</f>
        <v>Middle Age</v>
      </c>
      <c r="I662">
        <v>-2</v>
      </c>
      <c r="J662">
        <v>-2</v>
      </c>
      <c r="K662">
        <v>-2</v>
      </c>
      <c r="L662">
        <v>-2</v>
      </c>
      <c r="M662">
        <v>-2</v>
      </c>
      <c r="N662">
        <v>-2</v>
      </c>
      <c r="O662" s="1">
        <v>14150</v>
      </c>
      <c r="P662" s="1">
        <v>8106</v>
      </c>
      <c r="Q662" s="1">
        <v>12431</v>
      </c>
      <c r="R662" s="1">
        <v>12145</v>
      </c>
      <c r="S662" s="1">
        <v>13391</v>
      </c>
      <c r="T662" s="1">
        <v>7957</v>
      </c>
      <c r="U662" s="1">
        <v>8106</v>
      </c>
      <c r="V662" s="1">
        <v>12431</v>
      </c>
      <c r="W662" s="1">
        <v>12145</v>
      </c>
      <c r="X662" s="1">
        <v>13391</v>
      </c>
      <c r="Y662" s="1">
        <v>7957</v>
      </c>
      <c r="Z662" s="1">
        <v>1905</v>
      </c>
      <c r="AA662">
        <v>0</v>
      </c>
      <c r="AB662" t="str">
        <f t="shared" si="10"/>
        <v>Not Defaulter</v>
      </c>
      <c r="AC662" s="1">
        <f>Table2[[#This Row],[BILL_AMT1]]-Table2[[#This Row],[PAY_AMT1]]</f>
        <v>6044</v>
      </c>
      <c r="AD662" s="1" t="str" cm="1">
        <f t="array" ref="AD662">_xlfn.IFS(Table2[[#This Row],[PAYMENT GAP]]&lt;=0,"No Gap / Overpaid",Table2[[#This Row],[PAYMENT GAP]]&lt;=25000,"Low Gap",Table2[[#This Row],[PAYMENT GAP]]&lt;=100000,"Medium Gap",
TRUE,"High Gap"
)</f>
        <v>Low Gap</v>
      </c>
    </row>
    <row r="663" spans="1:30" x14ac:dyDescent="0.3">
      <c r="A663">
        <v>662</v>
      </c>
      <c r="B663" s="1">
        <v>90000</v>
      </c>
      <c r="C663" s="1" t="str" cm="1">
        <f t="array" ref="C663">_xlfn.IFS(Table2[[#This Row],[LIMIT_BAL]]&lt;=100000,"Low",Table2[[#This Row],[LIMIT_BAL]]&lt;=300000,"Medium",
TRUE,"High"
)</f>
        <v>Low</v>
      </c>
      <c r="D663" t="s">
        <v>2042</v>
      </c>
      <c r="E663" t="s">
        <v>2043</v>
      </c>
      <c r="F663" t="s">
        <v>2028</v>
      </c>
      <c r="G663">
        <v>40</v>
      </c>
      <c r="H663" t="str" cm="1">
        <f t="array" ref="H663">_xlfn.IFS(
Table2[[#This Row],[AGE]]&lt;30,"Young",
Table2[[#This Row],[AGE]]&lt;40,"Middle Age",
Table2[[#This Row],[AGE]]&lt;50,"Senior",
TRUE,"Super Senior"
)</f>
        <v>Senior</v>
      </c>
      <c r="I663">
        <v>0</v>
      </c>
      <c r="J663">
        <v>0</v>
      </c>
      <c r="K663">
        <v>0</v>
      </c>
      <c r="L663">
        <v>-1</v>
      </c>
      <c r="M663">
        <v>-1</v>
      </c>
      <c r="N663">
        <v>-1</v>
      </c>
      <c r="O663" s="1">
        <v>42856</v>
      </c>
      <c r="P663" s="1">
        <v>44925</v>
      </c>
      <c r="Q663" s="1">
        <v>0</v>
      </c>
      <c r="R663" s="1">
        <v>787</v>
      </c>
      <c r="S663" s="1">
        <v>1457</v>
      </c>
      <c r="T663" s="1">
        <v>0</v>
      </c>
      <c r="U663" s="1">
        <v>3114</v>
      </c>
      <c r="V663" s="1">
        <v>0</v>
      </c>
      <c r="W663" s="1">
        <v>787</v>
      </c>
      <c r="X663" s="1">
        <v>1457</v>
      </c>
      <c r="Y663" s="1">
        <v>0</v>
      </c>
      <c r="Z663" s="1">
        <v>0</v>
      </c>
      <c r="AA663">
        <v>1</v>
      </c>
      <c r="AB663" t="str">
        <f t="shared" si="10"/>
        <v>Defaulter</v>
      </c>
      <c r="AC663" s="1">
        <f>Table2[[#This Row],[BILL_AMT1]]-Table2[[#This Row],[PAY_AMT1]]</f>
        <v>39742</v>
      </c>
      <c r="AD663" s="1" t="str" cm="1">
        <f t="array" ref="AD663">_xlfn.IFS(Table2[[#This Row],[PAYMENT GAP]]&lt;=0,"No Gap / Overpaid",Table2[[#This Row],[PAYMENT GAP]]&lt;=25000,"Low Gap",Table2[[#This Row],[PAYMENT GAP]]&lt;=100000,"Medium Gap",
TRUE,"High Gap"
)</f>
        <v>Medium Gap</v>
      </c>
    </row>
    <row r="664" spans="1:30" x14ac:dyDescent="0.3">
      <c r="A664">
        <v>663</v>
      </c>
      <c r="B664" s="1">
        <v>140000</v>
      </c>
      <c r="C664" s="1" t="str" cm="1">
        <f t="array" ref="C664">_xlfn.IFS(Table2[[#This Row],[LIMIT_BAL]]&lt;=100000,"Low",Table2[[#This Row],[LIMIT_BAL]]&lt;=300000,"Medium",
TRUE,"High"
)</f>
        <v>Medium</v>
      </c>
      <c r="D664" t="s">
        <v>2041</v>
      </c>
      <c r="E664" t="s">
        <v>2026</v>
      </c>
      <c r="F664" t="s">
        <v>2029</v>
      </c>
      <c r="G664">
        <v>37</v>
      </c>
      <c r="H664" t="str" cm="1">
        <f t="array" ref="H664">_xlfn.IFS(
Table2[[#This Row],[AGE]]&lt;30,"Young",
Table2[[#This Row],[AGE]]&lt;40,"Middle Age",
Table2[[#This Row],[AGE]]&lt;50,"Senior",
TRUE,"Super Senior"
)</f>
        <v>Middle Age</v>
      </c>
      <c r="I664">
        <v>-1</v>
      </c>
      <c r="J664">
        <v>-1</v>
      </c>
      <c r="K664">
        <v>-1</v>
      </c>
      <c r="L664">
        <v>-2</v>
      </c>
      <c r="M664">
        <v>-2</v>
      </c>
      <c r="N664">
        <v>-1</v>
      </c>
      <c r="O664" s="1">
        <v>1034</v>
      </c>
      <c r="P664" s="1">
        <v>40000</v>
      </c>
      <c r="Q664" s="1">
        <v>0</v>
      </c>
      <c r="R664" s="1">
        <v>0</v>
      </c>
      <c r="S664" s="1">
        <v>0</v>
      </c>
      <c r="T664" s="1">
        <v>510</v>
      </c>
      <c r="U664" s="1">
        <v>40000</v>
      </c>
      <c r="V664" s="1">
        <v>0</v>
      </c>
      <c r="W664" s="1">
        <v>0</v>
      </c>
      <c r="X664" s="1">
        <v>0</v>
      </c>
      <c r="Y664" s="1">
        <v>510</v>
      </c>
      <c r="Z664" s="1">
        <v>0</v>
      </c>
      <c r="AA664">
        <v>0</v>
      </c>
      <c r="AB664" t="str">
        <f t="shared" si="10"/>
        <v>Not Defaulter</v>
      </c>
      <c r="AC664" s="1">
        <f>Table2[[#This Row],[BILL_AMT1]]-Table2[[#This Row],[PAY_AMT1]]</f>
        <v>-38966</v>
      </c>
      <c r="AD664" s="1" t="str" cm="1">
        <f t="array" ref="AD664">_xlfn.IFS(Table2[[#This Row],[PAYMENT GAP]]&lt;=0,"No Gap / Overpaid",Table2[[#This Row],[PAYMENT GAP]]&lt;=25000,"Low Gap",Table2[[#This Row],[PAYMENT GAP]]&lt;=100000,"Medium Gap",
TRUE,"High Gap"
)</f>
        <v>No Gap / Overpaid</v>
      </c>
    </row>
    <row r="665" spans="1:30" x14ac:dyDescent="0.3">
      <c r="A665">
        <v>664</v>
      </c>
      <c r="B665" s="1">
        <v>50000</v>
      </c>
      <c r="C665" s="1" t="str" cm="1">
        <f t="array" ref="C665">_xlfn.IFS(Table2[[#This Row],[LIMIT_BAL]]&lt;=100000,"Low",Table2[[#This Row],[LIMIT_BAL]]&lt;=300000,"Medium",
TRUE,"High"
)</f>
        <v>Low</v>
      </c>
      <c r="D665" t="s">
        <v>2042</v>
      </c>
      <c r="E665" t="s">
        <v>2026</v>
      </c>
      <c r="F665" t="s">
        <v>2029</v>
      </c>
      <c r="G665">
        <v>22</v>
      </c>
      <c r="H665" t="str" cm="1">
        <f t="array" ref="H665">_xlfn.IFS(
Table2[[#This Row],[AGE]]&lt;30,"Young",
Table2[[#This Row],[AGE]]&lt;40,"Middle Age",
Table2[[#This Row],[AGE]]&lt;50,"Senior",
TRUE,"Super Senior"
)</f>
        <v>Young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-1</v>
      </c>
      <c r="O665" s="1">
        <v>5137</v>
      </c>
      <c r="P665" s="1">
        <v>5960</v>
      </c>
      <c r="Q665" s="1">
        <v>6270</v>
      </c>
      <c r="R665" s="1">
        <v>6000</v>
      </c>
      <c r="S665" s="1">
        <v>5810</v>
      </c>
      <c r="T665" s="1">
        <v>390</v>
      </c>
      <c r="U665" s="1">
        <v>1300</v>
      </c>
      <c r="V665" s="1">
        <v>1000</v>
      </c>
      <c r="W665" s="1">
        <v>120</v>
      </c>
      <c r="X665" s="1">
        <v>200</v>
      </c>
      <c r="Y665" s="1">
        <v>390</v>
      </c>
      <c r="Z665" s="1">
        <v>1170</v>
      </c>
      <c r="AA665">
        <v>0</v>
      </c>
      <c r="AB665" t="str">
        <f t="shared" si="10"/>
        <v>Not Defaulter</v>
      </c>
      <c r="AC665" s="1">
        <f>Table2[[#This Row],[BILL_AMT1]]-Table2[[#This Row],[PAY_AMT1]]</f>
        <v>3837</v>
      </c>
      <c r="AD665" s="1" t="str" cm="1">
        <f t="array" ref="AD665">_xlfn.IFS(Table2[[#This Row],[PAYMENT GAP]]&lt;=0,"No Gap / Overpaid",Table2[[#This Row],[PAYMENT GAP]]&lt;=25000,"Low Gap",Table2[[#This Row],[PAYMENT GAP]]&lt;=100000,"Medium Gap",
TRUE,"High Gap"
)</f>
        <v>Low Gap</v>
      </c>
    </row>
    <row r="666" spans="1:30" x14ac:dyDescent="0.3">
      <c r="A666">
        <v>665</v>
      </c>
      <c r="B666" s="1">
        <v>40000</v>
      </c>
      <c r="C666" s="1" t="str" cm="1">
        <f t="array" ref="C666">_xlfn.IFS(Table2[[#This Row],[LIMIT_BAL]]&lt;=100000,"Low",Table2[[#This Row],[LIMIT_BAL]]&lt;=300000,"Medium",
TRUE,"High"
)</f>
        <v>Low</v>
      </c>
      <c r="D666" t="s">
        <v>2041</v>
      </c>
      <c r="E666" t="s">
        <v>2043</v>
      </c>
      <c r="F666" t="s">
        <v>2028</v>
      </c>
      <c r="G666">
        <v>32</v>
      </c>
      <c r="H666" t="str" cm="1">
        <f t="array" ref="H666">_xlfn.IFS(
Table2[[#This Row],[AGE]]&lt;30,"Young",
Table2[[#This Row],[AGE]]&lt;40,"Middle Age",
Table2[[#This Row],[AGE]]&lt;50,"Senior",
TRUE,"Super Senior"
)</f>
        <v>Middle Age</v>
      </c>
      <c r="I666">
        <v>0</v>
      </c>
      <c r="J666">
        <v>0</v>
      </c>
      <c r="K666">
        <v>0</v>
      </c>
      <c r="L666">
        <v>2</v>
      </c>
      <c r="M666">
        <v>2</v>
      </c>
      <c r="N666">
        <v>2</v>
      </c>
      <c r="O666" s="1">
        <v>24114</v>
      </c>
      <c r="P666" s="1">
        <v>25417</v>
      </c>
      <c r="Q666" s="1">
        <v>28777</v>
      </c>
      <c r="R666" s="1">
        <v>29107</v>
      </c>
      <c r="S666" s="1">
        <v>29693</v>
      </c>
      <c r="T666" s="1">
        <v>30456</v>
      </c>
      <c r="U666" s="1">
        <v>2000</v>
      </c>
      <c r="V666" s="1">
        <v>4110</v>
      </c>
      <c r="W666" s="1">
        <v>1100</v>
      </c>
      <c r="X666" s="1">
        <v>1200</v>
      </c>
      <c r="Y666" s="1">
        <v>1400</v>
      </c>
      <c r="Z666" s="1">
        <v>0</v>
      </c>
      <c r="AA666">
        <v>0</v>
      </c>
      <c r="AB666" t="str">
        <f t="shared" si="10"/>
        <v>Not Defaulter</v>
      </c>
      <c r="AC666" s="1">
        <f>Table2[[#This Row],[BILL_AMT1]]-Table2[[#This Row],[PAY_AMT1]]</f>
        <v>22114</v>
      </c>
      <c r="AD666" s="1" t="str" cm="1">
        <f t="array" ref="AD666">_xlfn.IFS(Table2[[#This Row],[PAYMENT GAP]]&lt;=0,"No Gap / Overpaid",Table2[[#This Row],[PAYMENT GAP]]&lt;=25000,"Low Gap",Table2[[#This Row],[PAYMENT GAP]]&lt;=100000,"Medium Gap",
TRUE,"High Gap"
)</f>
        <v>Low Gap</v>
      </c>
    </row>
    <row r="667" spans="1:30" x14ac:dyDescent="0.3">
      <c r="A667">
        <v>666</v>
      </c>
      <c r="B667" s="1">
        <v>130000</v>
      </c>
      <c r="C667" s="1" t="str" cm="1">
        <f t="array" ref="C667">_xlfn.IFS(Table2[[#This Row],[LIMIT_BAL]]&lt;=100000,"Low",Table2[[#This Row],[LIMIT_BAL]]&lt;=300000,"Medium",
TRUE,"High"
)</f>
        <v>Medium</v>
      </c>
      <c r="D667" t="s">
        <v>2041</v>
      </c>
      <c r="E667" t="s">
        <v>2027</v>
      </c>
      <c r="F667" t="s">
        <v>2028</v>
      </c>
      <c r="G667">
        <v>43</v>
      </c>
      <c r="H667" t="str" cm="1">
        <f t="array" ref="H667">_xlfn.IFS(
Table2[[#This Row],[AGE]]&lt;30,"Young",
Table2[[#This Row],[AGE]]&lt;40,"Middle Age",
Table2[[#This Row],[AGE]]&lt;50,"Senior",
TRUE,"Super Senior"
)</f>
        <v>Senior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 s="1">
        <v>130067</v>
      </c>
      <c r="P667" s="1">
        <v>129385</v>
      </c>
      <c r="Q667" s="1">
        <v>96775</v>
      </c>
      <c r="R667" s="1">
        <v>98071</v>
      </c>
      <c r="S667" s="1">
        <v>97743</v>
      </c>
      <c r="T667" s="1">
        <v>100124</v>
      </c>
      <c r="U667" s="1">
        <v>5540</v>
      </c>
      <c r="V667" s="1">
        <v>4403</v>
      </c>
      <c r="W667" s="1">
        <v>3814</v>
      </c>
      <c r="X667" s="1">
        <v>3562</v>
      </c>
      <c r="Y667" s="1">
        <v>4021</v>
      </c>
      <c r="Z667" s="1">
        <v>3681</v>
      </c>
      <c r="AA667">
        <v>0</v>
      </c>
      <c r="AB667" t="str">
        <f t="shared" si="10"/>
        <v>Not Defaulter</v>
      </c>
      <c r="AC667" s="1">
        <f>Table2[[#This Row],[BILL_AMT1]]-Table2[[#This Row],[PAY_AMT1]]</f>
        <v>124527</v>
      </c>
      <c r="AD667" s="1" t="str" cm="1">
        <f t="array" ref="AD667">_xlfn.IFS(Table2[[#This Row],[PAYMENT GAP]]&lt;=0,"No Gap / Overpaid",Table2[[#This Row],[PAYMENT GAP]]&lt;=25000,"Low Gap",Table2[[#This Row],[PAYMENT GAP]]&lt;=100000,"Medium Gap",
TRUE,"High Gap"
)</f>
        <v>High Gap</v>
      </c>
    </row>
    <row r="668" spans="1:30" x14ac:dyDescent="0.3">
      <c r="A668">
        <v>667</v>
      </c>
      <c r="B668" s="1">
        <v>70000</v>
      </c>
      <c r="C668" s="1" t="str" cm="1">
        <f t="array" ref="C668">_xlfn.IFS(Table2[[#This Row],[LIMIT_BAL]]&lt;=100000,"Low",Table2[[#This Row],[LIMIT_BAL]]&lt;=300000,"Medium",
TRUE,"High"
)</f>
        <v>Low</v>
      </c>
      <c r="D668" t="s">
        <v>2041</v>
      </c>
      <c r="E668" t="s">
        <v>2027</v>
      </c>
      <c r="F668" t="s">
        <v>2028</v>
      </c>
      <c r="G668">
        <v>27</v>
      </c>
      <c r="H668" t="str" cm="1">
        <f t="array" ref="H668">_xlfn.IFS(
Table2[[#This Row],[AGE]]&lt;30,"Young",
Table2[[#This Row],[AGE]]&lt;40,"Middle Age",
Table2[[#This Row],[AGE]]&lt;50,"Senior",
TRUE,"Super Senior"
)</f>
        <v>Young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2</v>
      </c>
      <c r="O668" s="1">
        <v>61611</v>
      </c>
      <c r="P668" s="1">
        <v>62711</v>
      </c>
      <c r="Q668" s="1">
        <v>63695</v>
      </c>
      <c r="R668" s="1">
        <v>63926</v>
      </c>
      <c r="S668" s="1">
        <v>67361</v>
      </c>
      <c r="T668" s="1">
        <v>59480</v>
      </c>
      <c r="U668" s="1">
        <v>3011</v>
      </c>
      <c r="V668" s="1">
        <v>3095</v>
      </c>
      <c r="W668" s="1">
        <v>2000</v>
      </c>
      <c r="X668" s="1">
        <v>4600</v>
      </c>
      <c r="Y668" s="1">
        <v>0</v>
      </c>
      <c r="Z668" s="1">
        <v>2258</v>
      </c>
      <c r="AA668">
        <v>0</v>
      </c>
      <c r="AB668" t="str">
        <f t="shared" si="10"/>
        <v>Not Defaulter</v>
      </c>
      <c r="AC668" s="1">
        <f>Table2[[#This Row],[BILL_AMT1]]-Table2[[#This Row],[PAY_AMT1]]</f>
        <v>58600</v>
      </c>
      <c r="AD668" s="1" t="str" cm="1">
        <f t="array" ref="AD668">_xlfn.IFS(Table2[[#This Row],[PAYMENT GAP]]&lt;=0,"No Gap / Overpaid",Table2[[#This Row],[PAYMENT GAP]]&lt;=25000,"Low Gap",Table2[[#This Row],[PAYMENT GAP]]&lt;=100000,"Medium Gap",
TRUE,"High Gap"
)</f>
        <v>Medium Gap</v>
      </c>
    </row>
    <row r="669" spans="1:30" x14ac:dyDescent="0.3">
      <c r="A669">
        <v>668</v>
      </c>
      <c r="B669" s="1">
        <v>30000</v>
      </c>
      <c r="C669" s="1" t="str" cm="1">
        <f t="array" ref="C669">_xlfn.IFS(Table2[[#This Row],[LIMIT_BAL]]&lt;=100000,"Low",Table2[[#This Row],[LIMIT_BAL]]&lt;=300000,"Medium",
TRUE,"High"
)</f>
        <v>Low</v>
      </c>
      <c r="D669" t="s">
        <v>2041</v>
      </c>
      <c r="E669" t="s">
        <v>2043</v>
      </c>
      <c r="F669" t="s">
        <v>2028</v>
      </c>
      <c r="G669">
        <v>35</v>
      </c>
      <c r="H669" t="str" cm="1">
        <f t="array" ref="H669">_xlfn.IFS(
Table2[[#This Row],[AGE]]&lt;30,"Young",
Table2[[#This Row],[AGE]]&lt;40,"Middle Age",
Table2[[#This Row],[AGE]]&lt;50,"Senior",
TRUE,"Super Senior"
)</f>
        <v>Middle Age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 s="1">
        <v>25078</v>
      </c>
      <c r="P669" s="1">
        <v>25538</v>
      </c>
      <c r="Q669" s="1">
        <v>25880</v>
      </c>
      <c r="R669" s="1">
        <v>25873</v>
      </c>
      <c r="S669" s="1">
        <v>26157</v>
      </c>
      <c r="T669" s="1">
        <v>26918</v>
      </c>
      <c r="U669" s="1">
        <v>1500</v>
      </c>
      <c r="V669" s="1">
        <v>1387</v>
      </c>
      <c r="W669" s="1">
        <v>893</v>
      </c>
      <c r="X669" s="1">
        <v>1000</v>
      </c>
      <c r="Y669" s="1">
        <v>1501</v>
      </c>
      <c r="Z669" s="1">
        <v>2000</v>
      </c>
      <c r="AA669">
        <v>0</v>
      </c>
      <c r="AB669" t="str">
        <f t="shared" si="10"/>
        <v>Not Defaulter</v>
      </c>
      <c r="AC669" s="1">
        <f>Table2[[#This Row],[BILL_AMT1]]-Table2[[#This Row],[PAY_AMT1]]</f>
        <v>23578</v>
      </c>
      <c r="AD669" s="1" t="str" cm="1">
        <f t="array" ref="AD669">_xlfn.IFS(Table2[[#This Row],[PAYMENT GAP]]&lt;=0,"No Gap / Overpaid",Table2[[#This Row],[PAYMENT GAP]]&lt;=25000,"Low Gap",Table2[[#This Row],[PAYMENT GAP]]&lt;=100000,"Medium Gap",
TRUE,"High Gap"
)</f>
        <v>Low Gap</v>
      </c>
    </row>
    <row r="670" spans="1:30" x14ac:dyDescent="0.3">
      <c r="A670">
        <v>669</v>
      </c>
      <c r="B670" s="1">
        <v>100000</v>
      </c>
      <c r="C670" s="1" t="str" cm="1">
        <f t="array" ref="C670">_xlfn.IFS(Table2[[#This Row],[LIMIT_BAL]]&lt;=100000,"Low",Table2[[#This Row],[LIMIT_BAL]]&lt;=300000,"Medium",
TRUE,"High"
)</f>
        <v>Low</v>
      </c>
      <c r="D670" t="s">
        <v>2041</v>
      </c>
      <c r="E670" t="s">
        <v>2027</v>
      </c>
      <c r="F670" t="s">
        <v>2028</v>
      </c>
      <c r="G670">
        <v>35</v>
      </c>
      <c r="H670" t="str" cm="1">
        <f t="array" ref="H670">_xlfn.IFS(
Table2[[#This Row],[AGE]]&lt;30,"Young",
Table2[[#This Row],[AGE]]&lt;40,"Middle Age",
Table2[[#This Row],[AGE]]&lt;50,"Senior",
TRUE,"Super Senior"
)</f>
        <v>Middle Age</v>
      </c>
      <c r="I670">
        <v>1</v>
      </c>
      <c r="J670">
        <v>2</v>
      </c>
      <c r="K670">
        <v>2</v>
      </c>
      <c r="L670">
        <v>2</v>
      </c>
      <c r="M670">
        <v>2</v>
      </c>
      <c r="N670">
        <v>2</v>
      </c>
      <c r="O670" s="1">
        <v>97002</v>
      </c>
      <c r="P670" s="1">
        <v>102698</v>
      </c>
      <c r="Q670" s="1">
        <v>97997</v>
      </c>
      <c r="R670" s="1">
        <v>103384</v>
      </c>
      <c r="S670" s="1">
        <v>97266</v>
      </c>
      <c r="T670" s="1">
        <v>101492</v>
      </c>
      <c r="U670" s="1">
        <v>8200</v>
      </c>
      <c r="V670" s="1">
        <v>0</v>
      </c>
      <c r="W670" s="1">
        <v>8000</v>
      </c>
      <c r="X670" s="1">
        <v>0</v>
      </c>
      <c r="Y670" s="1">
        <v>8600</v>
      </c>
      <c r="Z670" s="1">
        <v>0</v>
      </c>
      <c r="AA670">
        <v>0</v>
      </c>
      <c r="AB670" t="str">
        <f t="shared" si="10"/>
        <v>Not Defaulter</v>
      </c>
      <c r="AC670" s="1">
        <f>Table2[[#This Row],[BILL_AMT1]]-Table2[[#This Row],[PAY_AMT1]]</f>
        <v>88802</v>
      </c>
      <c r="AD670" s="1" t="str" cm="1">
        <f t="array" ref="AD670">_xlfn.IFS(Table2[[#This Row],[PAYMENT GAP]]&lt;=0,"No Gap / Overpaid",Table2[[#This Row],[PAYMENT GAP]]&lt;=25000,"Low Gap",Table2[[#This Row],[PAYMENT GAP]]&lt;=100000,"Medium Gap",
TRUE,"High Gap"
)</f>
        <v>Medium Gap</v>
      </c>
    </row>
    <row r="671" spans="1:30" x14ac:dyDescent="0.3">
      <c r="A671">
        <v>670</v>
      </c>
      <c r="B671" s="1">
        <v>20000</v>
      </c>
      <c r="C671" s="1" t="str" cm="1">
        <f t="array" ref="C671">_xlfn.IFS(Table2[[#This Row],[LIMIT_BAL]]&lt;=100000,"Low",Table2[[#This Row],[LIMIT_BAL]]&lt;=300000,"Medium",
TRUE,"High"
)</f>
        <v>Low</v>
      </c>
      <c r="D671" t="s">
        <v>2041</v>
      </c>
      <c r="E671" t="s">
        <v>2026</v>
      </c>
      <c r="F671" t="s">
        <v>2028</v>
      </c>
      <c r="G671">
        <v>30</v>
      </c>
      <c r="H671" t="str" cm="1">
        <f t="array" ref="H671">_xlfn.IFS(
Table2[[#This Row],[AGE]]&lt;30,"Young",
Table2[[#This Row],[AGE]]&lt;40,"Middle Age",
Table2[[#This Row],[AGE]]&lt;50,"Senior",
TRUE,"Super Senior"
)</f>
        <v>Middle Age</v>
      </c>
      <c r="I671">
        <v>2</v>
      </c>
      <c r="J671">
        <v>2</v>
      </c>
      <c r="K671">
        <v>2</v>
      </c>
      <c r="L671">
        <v>0</v>
      </c>
      <c r="M671">
        <v>0</v>
      </c>
      <c r="N671">
        <v>0</v>
      </c>
      <c r="O671" s="1">
        <v>5766</v>
      </c>
      <c r="P671" s="1">
        <v>7511</v>
      </c>
      <c r="Q671" s="1">
        <v>7678</v>
      </c>
      <c r="R671" s="1">
        <v>7318</v>
      </c>
      <c r="S671" s="1">
        <v>7458</v>
      </c>
      <c r="T671" s="1">
        <v>7598</v>
      </c>
      <c r="U671" s="1">
        <v>2000</v>
      </c>
      <c r="V671" s="1">
        <v>500</v>
      </c>
      <c r="W671" s="1">
        <v>0</v>
      </c>
      <c r="X671" s="1">
        <v>500</v>
      </c>
      <c r="Y671" s="1">
        <v>500</v>
      </c>
      <c r="Z671" s="1">
        <v>0</v>
      </c>
      <c r="AA671">
        <v>1</v>
      </c>
      <c r="AB671" t="str">
        <f t="shared" si="10"/>
        <v>Defaulter</v>
      </c>
      <c r="AC671" s="1">
        <f>Table2[[#This Row],[BILL_AMT1]]-Table2[[#This Row],[PAY_AMT1]]</f>
        <v>3766</v>
      </c>
      <c r="AD671" s="1" t="str" cm="1">
        <f t="array" ref="AD671">_xlfn.IFS(Table2[[#This Row],[PAYMENT GAP]]&lt;=0,"No Gap / Overpaid",Table2[[#This Row],[PAYMENT GAP]]&lt;=25000,"Low Gap",Table2[[#This Row],[PAYMENT GAP]]&lt;=100000,"Medium Gap",
TRUE,"High Gap"
)</f>
        <v>Low Gap</v>
      </c>
    </row>
    <row r="672" spans="1:30" x14ac:dyDescent="0.3">
      <c r="A672">
        <v>671</v>
      </c>
      <c r="B672" s="1">
        <v>30000</v>
      </c>
      <c r="C672" s="1" t="str" cm="1">
        <f t="array" ref="C672">_xlfn.IFS(Table2[[#This Row],[LIMIT_BAL]]&lt;=100000,"Low",Table2[[#This Row],[LIMIT_BAL]]&lt;=300000,"Medium",
TRUE,"High"
)</f>
        <v>Low</v>
      </c>
      <c r="D672" t="s">
        <v>2041</v>
      </c>
      <c r="E672" t="s">
        <v>2043</v>
      </c>
      <c r="F672" t="s">
        <v>2029</v>
      </c>
      <c r="G672">
        <v>34</v>
      </c>
      <c r="H672" t="str" cm="1">
        <f t="array" ref="H672">_xlfn.IFS(
Table2[[#This Row],[AGE]]&lt;30,"Young",
Table2[[#This Row],[AGE]]&lt;40,"Middle Age",
Table2[[#This Row],[AGE]]&lt;50,"Senior",
TRUE,"Super Senior"
)</f>
        <v>Middle Age</v>
      </c>
      <c r="I672">
        <v>2</v>
      </c>
      <c r="J672">
        <v>-1</v>
      </c>
      <c r="K672">
        <v>2</v>
      </c>
      <c r="L672">
        <v>2</v>
      </c>
      <c r="M672">
        <v>2</v>
      </c>
      <c r="N672">
        <v>2</v>
      </c>
      <c r="O672" s="1">
        <v>99568</v>
      </c>
      <c r="P672" s="1">
        <v>32326</v>
      </c>
      <c r="Q672" s="1">
        <v>31840</v>
      </c>
      <c r="R672" s="1">
        <v>37075</v>
      </c>
      <c r="S672" s="1">
        <v>37662</v>
      </c>
      <c r="T672" s="1">
        <v>36904</v>
      </c>
      <c r="U672" s="1">
        <v>33000</v>
      </c>
      <c r="V672" s="1">
        <v>33000</v>
      </c>
      <c r="W672" s="1">
        <v>5810</v>
      </c>
      <c r="X672" s="1">
        <v>1325</v>
      </c>
      <c r="Y672" s="1">
        <v>0</v>
      </c>
      <c r="Z672" s="1">
        <v>3095</v>
      </c>
      <c r="AA672">
        <v>0</v>
      </c>
      <c r="AB672" t="str">
        <f t="shared" si="10"/>
        <v>Not Defaulter</v>
      </c>
      <c r="AC672" s="1">
        <f>Table2[[#This Row],[BILL_AMT1]]-Table2[[#This Row],[PAY_AMT1]]</f>
        <v>66568</v>
      </c>
      <c r="AD672" s="1" t="str" cm="1">
        <f t="array" ref="AD672">_xlfn.IFS(Table2[[#This Row],[PAYMENT GAP]]&lt;=0,"No Gap / Overpaid",Table2[[#This Row],[PAYMENT GAP]]&lt;=25000,"Low Gap",Table2[[#This Row],[PAYMENT GAP]]&lt;=100000,"Medium Gap",
TRUE,"High Gap"
)</f>
        <v>Medium Gap</v>
      </c>
    </row>
    <row r="673" spans="1:30" x14ac:dyDescent="0.3">
      <c r="A673">
        <v>672</v>
      </c>
      <c r="B673" s="1">
        <v>20000</v>
      </c>
      <c r="C673" s="1" t="str" cm="1">
        <f t="array" ref="C673">_xlfn.IFS(Table2[[#This Row],[LIMIT_BAL]]&lt;=100000,"Low",Table2[[#This Row],[LIMIT_BAL]]&lt;=300000,"Medium",
TRUE,"High"
)</f>
        <v>Low</v>
      </c>
      <c r="D673" t="s">
        <v>2042</v>
      </c>
      <c r="E673" t="s">
        <v>2043</v>
      </c>
      <c r="F673" t="s">
        <v>2028</v>
      </c>
      <c r="G673">
        <v>34</v>
      </c>
      <c r="H673" t="str" cm="1">
        <f t="array" ref="H673">_xlfn.IFS(
Table2[[#This Row],[AGE]]&lt;30,"Young",
Table2[[#This Row],[AGE]]&lt;40,"Middle Age",
Table2[[#This Row],[AGE]]&lt;50,"Senior",
TRUE,"Super Senior"
)</f>
        <v>Middle Age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 s="1">
        <v>12857</v>
      </c>
      <c r="P673" s="1">
        <v>14183</v>
      </c>
      <c r="Q673" s="1">
        <v>14890</v>
      </c>
      <c r="R673" s="1">
        <v>15642</v>
      </c>
      <c r="S673" s="1">
        <v>16387</v>
      </c>
      <c r="T673" s="1">
        <v>17113</v>
      </c>
      <c r="U673" s="1">
        <v>1541</v>
      </c>
      <c r="V673" s="1">
        <v>1248</v>
      </c>
      <c r="W673" s="1">
        <v>1000</v>
      </c>
      <c r="X673" s="1">
        <v>1000</v>
      </c>
      <c r="Y673" s="1">
        <v>1000</v>
      </c>
      <c r="Z673" s="1">
        <v>1000</v>
      </c>
      <c r="AA673">
        <v>1</v>
      </c>
      <c r="AB673" t="str">
        <f t="shared" si="10"/>
        <v>Defaulter</v>
      </c>
      <c r="AC673" s="1">
        <f>Table2[[#This Row],[BILL_AMT1]]-Table2[[#This Row],[PAY_AMT1]]</f>
        <v>11316</v>
      </c>
      <c r="AD673" s="1" t="str" cm="1">
        <f t="array" ref="AD673">_xlfn.IFS(Table2[[#This Row],[PAYMENT GAP]]&lt;=0,"No Gap / Overpaid",Table2[[#This Row],[PAYMENT GAP]]&lt;=25000,"Low Gap",Table2[[#This Row],[PAYMENT GAP]]&lt;=100000,"Medium Gap",
TRUE,"High Gap"
)</f>
        <v>Low Gap</v>
      </c>
    </row>
    <row r="674" spans="1:30" x14ac:dyDescent="0.3">
      <c r="A674">
        <v>673</v>
      </c>
      <c r="B674" s="1">
        <v>100000</v>
      </c>
      <c r="C674" s="1" t="str" cm="1">
        <f t="array" ref="C674">_xlfn.IFS(Table2[[#This Row],[LIMIT_BAL]]&lt;=100000,"Low",Table2[[#This Row],[LIMIT_BAL]]&lt;=300000,"Medium",
TRUE,"High"
)</f>
        <v>Low</v>
      </c>
      <c r="D674" t="s">
        <v>2041</v>
      </c>
      <c r="E674" t="s">
        <v>2026</v>
      </c>
      <c r="F674" t="s">
        <v>2029</v>
      </c>
      <c r="G674">
        <v>28</v>
      </c>
      <c r="H674" t="str" cm="1">
        <f t="array" ref="H674">_xlfn.IFS(
Table2[[#This Row],[AGE]]&lt;30,"Young",
Table2[[#This Row],[AGE]]&lt;40,"Middle Age",
Table2[[#This Row],[AGE]]&lt;50,"Senior",
TRUE,"Super Senior"
)</f>
        <v>Young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 s="1">
        <v>96193</v>
      </c>
      <c r="P674" s="1">
        <v>82342</v>
      </c>
      <c r="Q674" s="1">
        <v>81967</v>
      </c>
      <c r="R674" s="1">
        <v>82177</v>
      </c>
      <c r="S674" s="1">
        <v>78840</v>
      </c>
      <c r="T674" s="1">
        <v>79261</v>
      </c>
      <c r="U674" s="1">
        <v>3600</v>
      </c>
      <c r="V674" s="1">
        <v>3800</v>
      </c>
      <c r="W674" s="1">
        <v>3000</v>
      </c>
      <c r="X674" s="1">
        <v>3000</v>
      </c>
      <c r="Y674" s="1">
        <v>3023</v>
      </c>
      <c r="Z674" s="1">
        <v>3000</v>
      </c>
      <c r="AA674">
        <v>1</v>
      </c>
      <c r="AB674" t="str">
        <f t="shared" si="10"/>
        <v>Defaulter</v>
      </c>
      <c r="AC674" s="1">
        <f>Table2[[#This Row],[BILL_AMT1]]-Table2[[#This Row],[PAY_AMT1]]</f>
        <v>92593</v>
      </c>
      <c r="AD674" s="1" t="str" cm="1">
        <f t="array" ref="AD674">_xlfn.IFS(Table2[[#This Row],[PAYMENT GAP]]&lt;=0,"No Gap / Overpaid",Table2[[#This Row],[PAYMENT GAP]]&lt;=25000,"Low Gap",Table2[[#This Row],[PAYMENT GAP]]&lt;=100000,"Medium Gap",
TRUE,"High Gap"
)</f>
        <v>Medium Gap</v>
      </c>
    </row>
    <row r="675" spans="1:30" x14ac:dyDescent="0.3">
      <c r="A675">
        <v>674</v>
      </c>
      <c r="B675" s="1">
        <v>30000</v>
      </c>
      <c r="C675" s="1" t="str" cm="1">
        <f t="array" ref="C675">_xlfn.IFS(Table2[[#This Row],[LIMIT_BAL]]&lt;=100000,"Low",Table2[[#This Row],[LIMIT_BAL]]&lt;=300000,"Medium",
TRUE,"High"
)</f>
        <v>Low</v>
      </c>
      <c r="D675" t="s">
        <v>2042</v>
      </c>
      <c r="E675" t="s">
        <v>2043</v>
      </c>
      <c r="F675" t="s">
        <v>2029</v>
      </c>
      <c r="G675">
        <v>25</v>
      </c>
      <c r="H675" t="str" cm="1">
        <f t="array" ref="H675">_xlfn.IFS(
Table2[[#This Row],[AGE]]&lt;30,"Young",
Table2[[#This Row],[AGE]]&lt;40,"Middle Age",
Table2[[#This Row],[AGE]]&lt;50,"Senior",
TRUE,"Super Senior"
)</f>
        <v>Young</v>
      </c>
      <c r="I675">
        <v>2</v>
      </c>
      <c r="J675">
        <v>2</v>
      </c>
      <c r="K675">
        <v>7</v>
      </c>
      <c r="L675">
        <v>7</v>
      </c>
      <c r="M675">
        <v>7</v>
      </c>
      <c r="N675">
        <v>6</v>
      </c>
      <c r="O675" s="1">
        <v>2400</v>
      </c>
      <c r="P675" s="1">
        <v>2400</v>
      </c>
      <c r="Q675" s="1">
        <v>2400</v>
      </c>
      <c r="R675" s="1">
        <v>2400</v>
      </c>
      <c r="S675" s="1">
        <v>2400</v>
      </c>
      <c r="T675" s="1">
        <v>1800</v>
      </c>
      <c r="U675" s="1">
        <v>0</v>
      </c>
      <c r="V675" s="1">
        <v>0</v>
      </c>
      <c r="W675" s="1">
        <v>0</v>
      </c>
      <c r="X675" s="1">
        <v>0</v>
      </c>
      <c r="Y675" s="1">
        <v>0</v>
      </c>
      <c r="Z675" s="1">
        <v>0</v>
      </c>
      <c r="AA675">
        <v>1</v>
      </c>
      <c r="AB675" t="str">
        <f t="shared" si="10"/>
        <v>Defaulter</v>
      </c>
      <c r="AC675" s="1">
        <f>Table2[[#This Row],[BILL_AMT1]]-Table2[[#This Row],[PAY_AMT1]]</f>
        <v>2400</v>
      </c>
      <c r="AD675" s="1" t="str" cm="1">
        <f t="array" ref="AD675">_xlfn.IFS(Table2[[#This Row],[PAYMENT GAP]]&lt;=0,"No Gap / Overpaid",Table2[[#This Row],[PAYMENT GAP]]&lt;=25000,"Low Gap",Table2[[#This Row],[PAYMENT GAP]]&lt;=100000,"Medium Gap",
TRUE,"High Gap"
)</f>
        <v>Low Gap</v>
      </c>
    </row>
    <row r="676" spans="1:30" x14ac:dyDescent="0.3">
      <c r="A676">
        <v>675</v>
      </c>
      <c r="B676" s="1">
        <v>320000</v>
      </c>
      <c r="C676" s="1" t="str" cm="1">
        <f t="array" ref="C676">_xlfn.IFS(Table2[[#This Row],[LIMIT_BAL]]&lt;=100000,"Low",Table2[[#This Row],[LIMIT_BAL]]&lt;=300000,"Medium",
TRUE,"High"
)</f>
        <v>High</v>
      </c>
      <c r="D676" t="s">
        <v>2041</v>
      </c>
      <c r="E676" t="s">
        <v>2026</v>
      </c>
      <c r="F676" t="s">
        <v>2028</v>
      </c>
      <c r="G676">
        <v>41</v>
      </c>
      <c r="H676" t="str" cm="1">
        <f t="array" ref="H676">_xlfn.IFS(
Table2[[#This Row],[AGE]]&lt;30,"Young",
Table2[[#This Row],[AGE]]&lt;40,"Middle Age",
Table2[[#This Row],[AGE]]&lt;50,"Senior",
TRUE,"Super Senior"
)</f>
        <v>Senior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s="1">
        <v>97797</v>
      </c>
      <c r="P676" s="1">
        <v>99672</v>
      </c>
      <c r="Q676" s="1">
        <v>101953</v>
      </c>
      <c r="R676" s="1">
        <v>102284</v>
      </c>
      <c r="S676" s="1">
        <v>104090</v>
      </c>
      <c r="T676" s="1">
        <v>105859</v>
      </c>
      <c r="U676" s="1">
        <v>4520</v>
      </c>
      <c r="V676" s="1">
        <v>5050</v>
      </c>
      <c r="W676" s="1">
        <v>3590</v>
      </c>
      <c r="X676" s="1">
        <v>3700</v>
      </c>
      <c r="Y676" s="1">
        <v>3750</v>
      </c>
      <c r="Z676" s="1">
        <v>3510</v>
      </c>
      <c r="AA676">
        <v>0</v>
      </c>
      <c r="AB676" t="str">
        <f t="shared" si="10"/>
        <v>Not Defaulter</v>
      </c>
      <c r="AC676" s="1">
        <f>Table2[[#This Row],[BILL_AMT1]]-Table2[[#This Row],[PAY_AMT1]]</f>
        <v>93277</v>
      </c>
      <c r="AD676" s="1" t="str" cm="1">
        <f t="array" ref="AD676">_xlfn.IFS(Table2[[#This Row],[PAYMENT GAP]]&lt;=0,"No Gap / Overpaid",Table2[[#This Row],[PAYMENT GAP]]&lt;=25000,"Low Gap",Table2[[#This Row],[PAYMENT GAP]]&lt;=100000,"Medium Gap",
TRUE,"High Gap"
)</f>
        <v>Medium Gap</v>
      </c>
    </row>
    <row r="677" spans="1:30" x14ac:dyDescent="0.3">
      <c r="A677">
        <v>676</v>
      </c>
      <c r="B677" s="1">
        <v>90000</v>
      </c>
      <c r="C677" s="1" t="str" cm="1">
        <f t="array" ref="C677">_xlfn.IFS(Table2[[#This Row],[LIMIT_BAL]]&lt;=100000,"Low",Table2[[#This Row],[LIMIT_BAL]]&lt;=300000,"Medium",
TRUE,"High"
)</f>
        <v>Low</v>
      </c>
      <c r="D677" t="s">
        <v>2042</v>
      </c>
      <c r="E677" t="s">
        <v>2027</v>
      </c>
      <c r="F677" t="s">
        <v>2029</v>
      </c>
      <c r="G677">
        <v>42</v>
      </c>
      <c r="H677" t="str" cm="1">
        <f t="array" ref="H677">_xlfn.IFS(
Table2[[#This Row],[AGE]]&lt;30,"Young",
Table2[[#This Row],[AGE]]&lt;40,"Middle Age",
Table2[[#This Row],[AGE]]&lt;50,"Senior",
TRUE,"Super Senior"
)</f>
        <v>Senior</v>
      </c>
      <c r="I677">
        <v>2</v>
      </c>
      <c r="J677">
        <v>2</v>
      </c>
      <c r="K677">
        <v>2</v>
      </c>
      <c r="L677">
        <v>2</v>
      </c>
      <c r="M677">
        <v>2</v>
      </c>
      <c r="N677">
        <v>2</v>
      </c>
      <c r="O677" s="1">
        <v>64762</v>
      </c>
      <c r="P677" s="1">
        <v>63164</v>
      </c>
      <c r="Q677" s="1">
        <v>32789</v>
      </c>
      <c r="R677" s="1">
        <v>31641</v>
      </c>
      <c r="S677" s="1">
        <v>29240</v>
      </c>
      <c r="T677" s="1">
        <v>28306</v>
      </c>
      <c r="U677" s="1">
        <v>0</v>
      </c>
      <c r="V677" s="1">
        <v>2900</v>
      </c>
      <c r="W677" s="1">
        <v>0</v>
      </c>
      <c r="X677" s="1">
        <v>2500</v>
      </c>
      <c r="Y677" s="1">
        <v>0</v>
      </c>
      <c r="Z677" s="1">
        <v>1300</v>
      </c>
      <c r="AA677">
        <v>1</v>
      </c>
      <c r="AB677" t="str">
        <f t="shared" si="10"/>
        <v>Defaulter</v>
      </c>
      <c r="AC677" s="1">
        <f>Table2[[#This Row],[BILL_AMT1]]-Table2[[#This Row],[PAY_AMT1]]</f>
        <v>64762</v>
      </c>
      <c r="AD677" s="1" t="str" cm="1">
        <f t="array" ref="AD677">_xlfn.IFS(Table2[[#This Row],[PAYMENT GAP]]&lt;=0,"No Gap / Overpaid",Table2[[#This Row],[PAYMENT GAP]]&lt;=25000,"Low Gap",Table2[[#This Row],[PAYMENT GAP]]&lt;=100000,"Medium Gap",
TRUE,"High Gap"
)</f>
        <v>Medium Gap</v>
      </c>
    </row>
    <row r="678" spans="1:30" x14ac:dyDescent="0.3">
      <c r="A678">
        <v>677</v>
      </c>
      <c r="B678" s="1">
        <v>190000</v>
      </c>
      <c r="C678" s="1" t="str" cm="1">
        <f t="array" ref="C678">_xlfn.IFS(Table2[[#This Row],[LIMIT_BAL]]&lt;=100000,"Low",Table2[[#This Row],[LIMIT_BAL]]&lt;=300000,"Medium",
TRUE,"High"
)</f>
        <v>Medium</v>
      </c>
      <c r="D678" t="s">
        <v>2042</v>
      </c>
      <c r="E678" t="s">
        <v>2043</v>
      </c>
      <c r="F678" t="s">
        <v>2029</v>
      </c>
      <c r="G678">
        <v>40</v>
      </c>
      <c r="H678" t="str" cm="1">
        <f t="array" ref="H678">_xlfn.IFS(
Table2[[#This Row],[AGE]]&lt;30,"Young",
Table2[[#This Row],[AGE]]&lt;40,"Middle Age",
Table2[[#This Row],[AGE]]&lt;50,"Senior",
TRUE,"Super Senior"
)</f>
        <v>Senior</v>
      </c>
      <c r="I678">
        <v>2</v>
      </c>
      <c r="J678">
        <v>2</v>
      </c>
      <c r="K678">
        <v>2</v>
      </c>
      <c r="L678">
        <v>2</v>
      </c>
      <c r="M678">
        <v>2</v>
      </c>
      <c r="N678">
        <v>2</v>
      </c>
      <c r="O678" s="1">
        <v>145613</v>
      </c>
      <c r="P678" s="1">
        <v>156765</v>
      </c>
      <c r="Q678" s="1">
        <v>159386</v>
      </c>
      <c r="R678" s="1">
        <v>161870</v>
      </c>
      <c r="S678" s="1">
        <v>165725</v>
      </c>
      <c r="T678" s="1">
        <v>169928</v>
      </c>
      <c r="U678" s="1">
        <v>15000</v>
      </c>
      <c r="V678" s="1">
        <v>6600</v>
      </c>
      <c r="W678" s="1">
        <v>6500</v>
      </c>
      <c r="X678" s="1">
        <v>6500</v>
      </c>
      <c r="Y678" s="1">
        <v>7000</v>
      </c>
      <c r="Z678" s="1">
        <v>7000</v>
      </c>
      <c r="AA678">
        <v>1</v>
      </c>
      <c r="AB678" t="str">
        <f t="shared" si="10"/>
        <v>Defaulter</v>
      </c>
      <c r="AC678" s="1">
        <f>Table2[[#This Row],[BILL_AMT1]]-Table2[[#This Row],[PAY_AMT1]]</f>
        <v>130613</v>
      </c>
      <c r="AD678" s="1" t="str" cm="1">
        <f t="array" ref="AD678">_xlfn.IFS(Table2[[#This Row],[PAYMENT GAP]]&lt;=0,"No Gap / Overpaid",Table2[[#This Row],[PAYMENT GAP]]&lt;=25000,"Low Gap",Table2[[#This Row],[PAYMENT GAP]]&lt;=100000,"Medium Gap",
TRUE,"High Gap"
)</f>
        <v>High Gap</v>
      </c>
    </row>
    <row r="679" spans="1:30" x14ac:dyDescent="0.3">
      <c r="A679">
        <v>678</v>
      </c>
      <c r="B679" s="1">
        <v>200000</v>
      </c>
      <c r="C679" s="1" t="str" cm="1">
        <f t="array" ref="C679">_xlfn.IFS(Table2[[#This Row],[LIMIT_BAL]]&lt;=100000,"Low",Table2[[#This Row],[LIMIT_BAL]]&lt;=300000,"Medium",
TRUE,"High"
)</f>
        <v>Medium</v>
      </c>
      <c r="D679" t="s">
        <v>2042</v>
      </c>
      <c r="E679" t="s">
        <v>2026</v>
      </c>
      <c r="F679" t="s">
        <v>2029</v>
      </c>
      <c r="G679">
        <v>28</v>
      </c>
      <c r="H679" t="str" cm="1">
        <f t="array" ref="H679">_xlfn.IFS(
Table2[[#This Row],[AGE]]&lt;30,"Young",
Table2[[#This Row],[AGE]]&lt;40,"Middle Age",
Table2[[#This Row],[AGE]]&lt;50,"Senior",
TRUE,"Super Senior"
)</f>
        <v>Young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 s="1">
        <v>71989</v>
      </c>
      <c r="P679" s="1">
        <v>122129</v>
      </c>
      <c r="Q679" s="1">
        <v>147936</v>
      </c>
      <c r="R679" s="1">
        <v>149573</v>
      </c>
      <c r="S679" s="1">
        <v>152574</v>
      </c>
      <c r="T679" s="1">
        <v>156323</v>
      </c>
      <c r="U679" s="1">
        <v>52129</v>
      </c>
      <c r="V679" s="1">
        <v>30000</v>
      </c>
      <c r="W679" s="1">
        <v>6000</v>
      </c>
      <c r="X679" s="1">
        <v>6000</v>
      </c>
      <c r="Y679" s="1">
        <v>7000</v>
      </c>
      <c r="Z679" s="1">
        <v>10000</v>
      </c>
      <c r="AA679">
        <v>0</v>
      </c>
      <c r="AB679" t="str">
        <f t="shared" si="10"/>
        <v>Not Defaulter</v>
      </c>
      <c r="AC679" s="1">
        <f>Table2[[#This Row],[BILL_AMT1]]-Table2[[#This Row],[PAY_AMT1]]</f>
        <v>19860</v>
      </c>
      <c r="AD679" s="1" t="str" cm="1">
        <f t="array" ref="AD679">_xlfn.IFS(Table2[[#This Row],[PAYMENT GAP]]&lt;=0,"No Gap / Overpaid",Table2[[#This Row],[PAYMENT GAP]]&lt;=25000,"Low Gap",Table2[[#This Row],[PAYMENT GAP]]&lt;=100000,"Medium Gap",
TRUE,"High Gap"
)</f>
        <v>Low Gap</v>
      </c>
    </row>
    <row r="680" spans="1:30" x14ac:dyDescent="0.3">
      <c r="A680">
        <v>679</v>
      </c>
      <c r="B680" s="1">
        <v>300000</v>
      </c>
      <c r="C680" s="1" t="str" cm="1">
        <f t="array" ref="C680">_xlfn.IFS(Table2[[#This Row],[LIMIT_BAL]]&lt;=100000,"Low",Table2[[#This Row],[LIMIT_BAL]]&lt;=300000,"Medium",
TRUE,"High"
)</f>
        <v>Medium</v>
      </c>
      <c r="D680" t="s">
        <v>2041</v>
      </c>
      <c r="E680" t="s">
        <v>2043</v>
      </c>
      <c r="F680" t="s">
        <v>2029</v>
      </c>
      <c r="G680">
        <v>31</v>
      </c>
      <c r="H680" t="str" cm="1">
        <f t="array" ref="H680">_xlfn.IFS(
Table2[[#This Row],[AGE]]&lt;30,"Young",
Table2[[#This Row],[AGE]]&lt;40,"Middle Age",
Table2[[#This Row],[AGE]]&lt;50,"Senior",
TRUE,"Super Senior"
)</f>
        <v>Middle Age</v>
      </c>
      <c r="I680">
        <v>-1</v>
      </c>
      <c r="J680">
        <v>-1</v>
      </c>
      <c r="K680">
        <v>-1</v>
      </c>
      <c r="L680">
        <v>-1</v>
      </c>
      <c r="M680">
        <v>0</v>
      </c>
      <c r="N680">
        <v>-1</v>
      </c>
      <c r="O680" s="1">
        <v>3345</v>
      </c>
      <c r="P680" s="1">
        <v>1083</v>
      </c>
      <c r="Q680" s="1">
        <v>4339</v>
      </c>
      <c r="R680" s="1">
        <v>7423</v>
      </c>
      <c r="S680" s="1">
        <v>4059</v>
      </c>
      <c r="T680" s="1">
        <v>2508</v>
      </c>
      <c r="U680" s="1">
        <v>1087</v>
      </c>
      <c r="V680" s="1">
        <v>4355</v>
      </c>
      <c r="W680" s="1">
        <v>7423</v>
      </c>
      <c r="X680" s="1">
        <v>0</v>
      </c>
      <c r="Y680" s="1">
        <v>2508</v>
      </c>
      <c r="Z680" s="1">
        <v>4141</v>
      </c>
      <c r="AA680">
        <v>0</v>
      </c>
      <c r="AB680" t="str">
        <f t="shared" si="10"/>
        <v>Not Defaulter</v>
      </c>
      <c r="AC680" s="1">
        <f>Table2[[#This Row],[BILL_AMT1]]-Table2[[#This Row],[PAY_AMT1]]</f>
        <v>2258</v>
      </c>
      <c r="AD680" s="1" t="str" cm="1">
        <f t="array" ref="AD680">_xlfn.IFS(Table2[[#This Row],[PAYMENT GAP]]&lt;=0,"No Gap / Overpaid",Table2[[#This Row],[PAYMENT GAP]]&lt;=25000,"Low Gap",Table2[[#This Row],[PAYMENT GAP]]&lt;=100000,"Medium Gap",
TRUE,"High Gap"
)</f>
        <v>Low Gap</v>
      </c>
    </row>
    <row r="681" spans="1:30" x14ac:dyDescent="0.3">
      <c r="A681">
        <v>680</v>
      </c>
      <c r="B681" s="1">
        <v>30000</v>
      </c>
      <c r="C681" s="1" t="str" cm="1">
        <f t="array" ref="C681">_xlfn.IFS(Table2[[#This Row],[LIMIT_BAL]]&lt;=100000,"Low",Table2[[#This Row],[LIMIT_BAL]]&lt;=300000,"Medium",
TRUE,"High"
)</f>
        <v>Low</v>
      </c>
      <c r="D681" t="s">
        <v>2041</v>
      </c>
      <c r="E681" t="s">
        <v>2026</v>
      </c>
      <c r="F681" t="s">
        <v>2029</v>
      </c>
      <c r="G681">
        <v>56</v>
      </c>
      <c r="H681" t="str" cm="1">
        <f t="array" ref="H681">_xlfn.IFS(
Table2[[#This Row],[AGE]]&lt;30,"Young",
Table2[[#This Row],[AGE]]&lt;40,"Middle Age",
Table2[[#This Row],[AGE]]&lt;50,"Senior",
TRUE,"Super Senior"
)</f>
        <v>Super Senior</v>
      </c>
      <c r="I681">
        <v>-1</v>
      </c>
      <c r="J681">
        <v>0</v>
      </c>
      <c r="K681">
        <v>0</v>
      </c>
      <c r="L681">
        <v>-2</v>
      </c>
      <c r="M681">
        <v>-2</v>
      </c>
      <c r="N681">
        <v>-2</v>
      </c>
      <c r="O681" s="1">
        <v>29033</v>
      </c>
      <c r="P681" s="1">
        <v>17013</v>
      </c>
      <c r="Q681" s="1">
        <v>7024</v>
      </c>
      <c r="R681" s="1">
        <v>7024</v>
      </c>
      <c r="S681" s="1">
        <v>7024</v>
      </c>
      <c r="T681" s="1">
        <v>7024</v>
      </c>
      <c r="U681" s="1">
        <v>1283</v>
      </c>
      <c r="V681" s="1">
        <v>7024</v>
      </c>
      <c r="W681" s="1">
        <v>7024</v>
      </c>
      <c r="X681" s="1">
        <v>7024</v>
      </c>
      <c r="Y681" s="1">
        <v>7024</v>
      </c>
      <c r="Z681" s="1">
        <v>7024</v>
      </c>
      <c r="AA681">
        <v>0</v>
      </c>
      <c r="AB681" t="str">
        <f t="shared" si="10"/>
        <v>Not Defaulter</v>
      </c>
      <c r="AC681" s="1">
        <f>Table2[[#This Row],[BILL_AMT1]]-Table2[[#This Row],[PAY_AMT1]]</f>
        <v>27750</v>
      </c>
      <c r="AD681" s="1" t="str" cm="1">
        <f t="array" ref="AD681">_xlfn.IFS(Table2[[#This Row],[PAYMENT GAP]]&lt;=0,"No Gap / Overpaid",Table2[[#This Row],[PAYMENT GAP]]&lt;=25000,"Low Gap",Table2[[#This Row],[PAYMENT GAP]]&lt;=100000,"Medium Gap",
TRUE,"High Gap"
)</f>
        <v>Medium Gap</v>
      </c>
    </row>
    <row r="682" spans="1:30" x14ac:dyDescent="0.3">
      <c r="A682">
        <v>681</v>
      </c>
      <c r="B682" s="1">
        <v>110000</v>
      </c>
      <c r="C682" s="1" t="str" cm="1">
        <f t="array" ref="C682">_xlfn.IFS(Table2[[#This Row],[LIMIT_BAL]]&lt;=100000,"Low",Table2[[#This Row],[LIMIT_BAL]]&lt;=300000,"Medium",
TRUE,"High"
)</f>
        <v>Medium</v>
      </c>
      <c r="D682" t="s">
        <v>2041</v>
      </c>
      <c r="E682" t="s">
        <v>2043</v>
      </c>
      <c r="F682" t="s">
        <v>2055</v>
      </c>
      <c r="G682">
        <v>45</v>
      </c>
      <c r="H682" t="str" cm="1">
        <f t="array" ref="H682">_xlfn.IFS(
Table2[[#This Row],[AGE]]&lt;30,"Young",
Table2[[#This Row],[AGE]]&lt;40,"Middle Age",
Table2[[#This Row],[AGE]]&lt;50,"Senior",
TRUE,"Super Senior"
)</f>
        <v>Senior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 s="1">
        <v>26650</v>
      </c>
      <c r="P682" s="1">
        <v>20787</v>
      </c>
      <c r="Q682" s="1">
        <v>20566</v>
      </c>
      <c r="R682" s="1">
        <v>21158</v>
      </c>
      <c r="S682" s="1">
        <v>22141</v>
      </c>
      <c r="T682" s="1">
        <v>22158</v>
      </c>
      <c r="U682" s="1">
        <v>1532</v>
      </c>
      <c r="V682" s="1">
        <v>2000</v>
      </c>
      <c r="W682" s="1">
        <v>783</v>
      </c>
      <c r="X682" s="1">
        <v>3000</v>
      </c>
      <c r="Y682" s="1">
        <v>2000</v>
      </c>
      <c r="Z682" s="1">
        <v>2000</v>
      </c>
      <c r="AA682">
        <v>0</v>
      </c>
      <c r="AB682" t="str">
        <f t="shared" si="10"/>
        <v>Not Defaulter</v>
      </c>
      <c r="AC682" s="1">
        <f>Table2[[#This Row],[BILL_AMT1]]-Table2[[#This Row],[PAY_AMT1]]</f>
        <v>25118</v>
      </c>
      <c r="AD682" s="1" t="str" cm="1">
        <f t="array" ref="AD682">_xlfn.IFS(Table2[[#This Row],[PAYMENT GAP]]&lt;=0,"No Gap / Overpaid",Table2[[#This Row],[PAYMENT GAP]]&lt;=25000,"Low Gap",Table2[[#This Row],[PAYMENT GAP]]&lt;=100000,"Medium Gap",
TRUE,"High Gap"
)</f>
        <v>Medium Gap</v>
      </c>
    </row>
    <row r="683" spans="1:30" x14ac:dyDescent="0.3">
      <c r="A683">
        <v>682</v>
      </c>
      <c r="B683" s="1">
        <v>230000</v>
      </c>
      <c r="C683" s="1" t="str" cm="1">
        <f t="array" ref="C683">_xlfn.IFS(Table2[[#This Row],[LIMIT_BAL]]&lt;=100000,"Low",Table2[[#This Row],[LIMIT_BAL]]&lt;=300000,"Medium",
TRUE,"High"
)</f>
        <v>Medium</v>
      </c>
      <c r="D683" t="s">
        <v>2041</v>
      </c>
      <c r="E683" t="s">
        <v>2026</v>
      </c>
      <c r="F683" t="s">
        <v>2029</v>
      </c>
      <c r="G683">
        <v>29</v>
      </c>
      <c r="H683" t="str" cm="1">
        <f t="array" ref="H683">_xlfn.IFS(
Table2[[#This Row],[AGE]]&lt;30,"Young",
Table2[[#This Row],[AGE]]&lt;40,"Middle Age",
Table2[[#This Row],[AGE]]&lt;50,"Senior",
TRUE,"Super Senior"
)</f>
        <v>Young</v>
      </c>
      <c r="I683">
        <v>-2</v>
      </c>
      <c r="J683">
        <v>-2</v>
      </c>
      <c r="K683">
        <v>-2</v>
      </c>
      <c r="L683">
        <v>-2</v>
      </c>
      <c r="M683">
        <v>-2</v>
      </c>
      <c r="N683">
        <v>-2</v>
      </c>
      <c r="O683" s="1">
        <v>0</v>
      </c>
      <c r="P683" s="1">
        <v>0</v>
      </c>
      <c r="Q683" s="1">
        <v>1024</v>
      </c>
      <c r="R683" s="1">
        <v>0</v>
      </c>
      <c r="S683" s="1">
        <v>0</v>
      </c>
      <c r="T683" s="1">
        <v>0</v>
      </c>
      <c r="U683" s="1">
        <v>0</v>
      </c>
      <c r="V683" s="1">
        <v>1024</v>
      </c>
      <c r="W683" s="1">
        <v>0</v>
      </c>
      <c r="X683" s="1">
        <v>0</v>
      </c>
      <c r="Y683" s="1">
        <v>0</v>
      </c>
      <c r="Z683" s="1">
        <v>0</v>
      </c>
      <c r="AA683">
        <v>0</v>
      </c>
      <c r="AB683" t="str">
        <f t="shared" si="10"/>
        <v>Not Defaulter</v>
      </c>
      <c r="AC683" s="1">
        <f>Table2[[#This Row],[BILL_AMT1]]-Table2[[#This Row],[PAY_AMT1]]</f>
        <v>0</v>
      </c>
      <c r="AD683" s="1" t="str" cm="1">
        <f t="array" ref="AD683">_xlfn.IFS(Table2[[#This Row],[PAYMENT GAP]]&lt;=0,"No Gap / Overpaid",Table2[[#This Row],[PAYMENT GAP]]&lt;=25000,"Low Gap",Table2[[#This Row],[PAYMENT GAP]]&lt;=100000,"Medium Gap",
TRUE,"High Gap"
)</f>
        <v>No Gap / Overpaid</v>
      </c>
    </row>
    <row r="684" spans="1:30" x14ac:dyDescent="0.3">
      <c r="A684">
        <v>683</v>
      </c>
      <c r="B684" s="1">
        <v>230000</v>
      </c>
      <c r="C684" s="1" t="str" cm="1">
        <f t="array" ref="C684">_xlfn.IFS(Table2[[#This Row],[LIMIT_BAL]]&lt;=100000,"Low",Table2[[#This Row],[LIMIT_BAL]]&lt;=300000,"Medium",
TRUE,"High"
)</f>
        <v>Medium</v>
      </c>
      <c r="D684" t="s">
        <v>2041</v>
      </c>
      <c r="E684" t="s">
        <v>2026</v>
      </c>
      <c r="F684" t="s">
        <v>2028</v>
      </c>
      <c r="G684">
        <v>35</v>
      </c>
      <c r="H684" t="str" cm="1">
        <f t="array" ref="H684">_xlfn.IFS(
Table2[[#This Row],[AGE]]&lt;30,"Young",
Table2[[#This Row],[AGE]]&lt;40,"Middle Age",
Table2[[#This Row],[AGE]]&lt;50,"Senior",
TRUE,"Super Senior"
)</f>
        <v>Middle Age</v>
      </c>
      <c r="I684">
        <v>0</v>
      </c>
      <c r="J684">
        <v>0</v>
      </c>
      <c r="K684">
        <v>0</v>
      </c>
      <c r="L684">
        <v>0</v>
      </c>
      <c r="M684">
        <v>-2</v>
      </c>
      <c r="N684">
        <v>-2</v>
      </c>
      <c r="O684" s="1">
        <v>4259</v>
      </c>
      <c r="P684" s="1">
        <v>5432</v>
      </c>
      <c r="Q684" s="1">
        <v>6182</v>
      </c>
      <c r="R684" s="1">
        <v>0</v>
      </c>
      <c r="S684" s="1">
        <v>0</v>
      </c>
      <c r="T684" s="1">
        <v>0</v>
      </c>
      <c r="U684" s="1">
        <v>1250</v>
      </c>
      <c r="V684" s="1">
        <v>1000</v>
      </c>
      <c r="W684" s="1">
        <v>0</v>
      </c>
      <c r="X684" s="1">
        <v>0</v>
      </c>
      <c r="Y684" s="1">
        <v>0</v>
      </c>
      <c r="Z684" s="1">
        <v>0</v>
      </c>
      <c r="AA684">
        <v>0</v>
      </c>
      <c r="AB684" t="str">
        <f t="shared" si="10"/>
        <v>Not Defaulter</v>
      </c>
      <c r="AC684" s="1">
        <f>Table2[[#This Row],[BILL_AMT1]]-Table2[[#This Row],[PAY_AMT1]]</f>
        <v>3009</v>
      </c>
      <c r="AD684" s="1" t="str" cm="1">
        <f t="array" ref="AD684">_xlfn.IFS(Table2[[#This Row],[PAYMENT GAP]]&lt;=0,"No Gap / Overpaid",Table2[[#This Row],[PAYMENT GAP]]&lt;=25000,"Low Gap",Table2[[#This Row],[PAYMENT GAP]]&lt;=100000,"Medium Gap",
TRUE,"High Gap"
)</f>
        <v>Low Gap</v>
      </c>
    </row>
    <row r="685" spans="1:30" x14ac:dyDescent="0.3">
      <c r="A685">
        <v>684</v>
      </c>
      <c r="B685" s="1">
        <v>310000</v>
      </c>
      <c r="C685" s="1" t="str" cm="1">
        <f t="array" ref="C685">_xlfn.IFS(Table2[[#This Row],[LIMIT_BAL]]&lt;=100000,"Low",Table2[[#This Row],[LIMIT_BAL]]&lt;=300000,"Medium",
TRUE,"High"
)</f>
        <v>High</v>
      </c>
      <c r="D685" t="s">
        <v>2041</v>
      </c>
      <c r="E685" t="s">
        <v>2043</v>
      </c>
      <c r="F685" t="s">
        <v>2029</v>
      </c>
      <c r="G685">
        <v>28</v>
      </c>
      <c r="H685" t="str" cm="1">
        <f t="array" ref="H685">_xlfn.IFS(
Table2[[#This Row],[AGE]]&lt;30,"Young",
Table2[[#This Row],[AGE]]&lt;40,"Middle Age",
Table2[[#This Row],[AGE]]&lt;50,"Senior",
TRUE,"Super Senior"
)</f>
        <v>Young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 s="1">
        <v>106468</v>
      </c>
      <c r="P685" s="1">
        <v>108955</v>
      </c>
      <c r="Q685" s="1">
        <v>112374</v>
      </c>
      <c r="R685" s="1">
        <v>54762</v>
      </c>
      <c r="S685" s="1">
        <v>58189</v>
      </c>
      <c r="T685" s="1">
        <v>57170</v>
      </c>
      <c r="U685" s="1">
        <v>8000</v>
      </c>
      <c r="V685" s="1">
        <v>6000</v>
      </c>
      <c r="W685" s="1">
        <v>5000</v>
      </c>
      <c r="X685" s="1">
        <v>5000</v>
      </c>
      <c r="Y685" s="1">
        <v>4000</v>
      </c>
      <c r="Z685" s="1">
        <v>5000</v>
      </c>
      <c r="AA685">
        <v>0</v>
      </c>
      <c r="AB685" t="str">
        <f t="shared" si="10"/>
        <v>Not Defaulter</v>
      </c>
      <c r="AC685" s="1">
        <f>Table2[[#This Row],[BILL_AMT1]]-Table2[[#This Row],[PAY_AMT1]]</f>
        <v>98468</v>
      </c>
      <c r="AD685" s="1" t="str" cm="1">
        <f t="array" ref="AD685">_xlfn.IFS(Table2[[#This Row],[PAYMENT GAP]]&lt;=0,"No Gap / Overpaid",Table2[[#This Row],[PAYMENT GAP]]&lt;=25000,"Low Gap",Table2[[#This Row],[PAYMENT GAP]]&lt;=100000,"Medium Gap",
TRUE,"High Gap"
)</f>
        <v>Medium Gap</v>
      </c>
    </row>
    <row r="686" spans="1:30" x14ac:dyDescent="0.3">
      <c r="A686">
        <v>685</v>
      </c>
      <c r="B686" s="1">
        <v>320000</v>
      </c>
      <c r="C686" s="1" t="str" cm="1">
        <f t="array" ref="C686">_xlfn.IFS(Table2[[#This Row],[LIMIT_BAL]]&lt;=100000,"Low",Table2[[#This Row],[LIMIT_BAL]]&lt;=300000,"Medium",
TRUE,"High"
)</f>
        <v>High</v>
      </c>
      <c r="D686" t="s">
        <v>2042</v>
      </c>
      <c r="E686" t="s">
        <v>2026</v>
      </c>
      <c r="F686" t="s">
        <v>2028</v>
      </c>
      <c r="G686">
        <v>40</v>
      </c>
      <c r="H686" t="str" cm="1">
        <f t="array" ref="H686">_xlfn.IFS(
Table2[[#This Row],[AGE]]&lt;30,"Young",
Table2[[#This Row],[AGE]]&lt;40,"Middle Age",
Table2[[#This Row],[AGE]]&lt;50,"Senior",
TRUE,"Super Senior"
)</f>
        <v>Senior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 s="1">
        <v>247276</v>
      </c>
      <c r="P686" s="1">
        <v>241167</v>
      </c>
      <c r="Q686" s="1">
        <v>238196</v>
      </c>
      <c r="R686" s="1">
        <v>231580</v>
      </c>
      <c r="S686" s="1">
        <v>229683</v>
      </c>
      <c r="T686" s="1">
        <v>235837</v>
      </c>
      <c r="U686" s="1">
        <v>10000</v>
      </c>
      <c r="V686" s="1">
        <v>10000</v>
      </c>
      <c r="W686" s="1">
        <v>10000</v>
      </c>
      <c r="X686" s="1">
        <v>19000</v>
      </c>
      <c r="Y686" s="1">
        <v>13000</v>
      </c>
      <c r="Z686" s="1">
        <v>8000</v>
      </c>
      <c r="AA686">
        <v>0</v>
      </c>
      <c r="AB686" t="str">
        <f t="shared" si="10"/>
        <v>Not Defaulter</v>
      </c>
      <c r="AC686" s="1">
        <f>Table2[[#This Row],[BILL_AMT1]]-Table2[[#This Row],[PAY_AMT1]]</f>
        <v>237276</v>
      </c>
      <c r="AD686" s="1" t="str" cm="1">
        <f t="array" ref="AD686">_xlfn.IFS(Table2[[#This Row],[PAYMENT GAP]]&lt;=0,"No Gap / Overpaid",Table2[[#This Row],[PAYMENT GAP]]&lt;=25000,"Low Gap",Table2[[#This Row],[PAYMENT GAP]]&lt;=100000,"Medium Gap",
TRUE,"High Gap"
)</f>
        <v>High Gap</v>
      </c>
    </row>
    <row r="687" spans="1:30" x14ac:dyDescent="0.3">
      <c r="A687">
        <v>686</v>
      </c>
      <c r="B687" s="1">
        <v>360000</v>
      </c>
      <c r="C687" s="1" t="str" cm="1">
        <f t="array" ref="C687">_xlfn.IFS(Table2[[#This Row],[LIMIT_BAL]]&lt;=100000,"Low",Table2[[#This Row],[LIMIT_BAL]]&lt;=300000,"Medium",
TRUE,"High"
)</f>
        <v>High</v>
      </c>
      <c r="D687" t="s">
        <v>2042</v>
      </c>
      <c r="E687" t="s">
        <v>2026</v>
      </c>
      <c r="F687" t="s">
        <v>2028</v>
      </c>
      <c r="G687">
        <v>47</v>
      </c>
      <c r="H687" t="str" cm="1">
        <f t="array" ref="H687">_xlfn.IFS(
Table2[[#This Row],[AGE]]&lt;30,"Young",
Table2[[#This Row],[AGE]]&lt;40,"Middle Age",
Table2[[#This Row],[AGE]]&lt;50,"Senior",
TRUE,"Super Senior"
)</f>
        <v>Senior</v>
      </c>
      <c r="I687">
        <v>-1</v>
      </c>
      <c r="J687">
        <v>-1</v>
      </c>
      <c r="K687">
        <v>-1</v>
      </c>
      <c r="L687">
        <v>0</v>
      </c>
      <c r="M687">
        <v>-1</v>
      </c>
      <c r="N687">
        <v>-1</v>
      </c>
      <c r="O687" s="1">
        <v>1548</v>
      </c>
      <c r="P687" s="1">
        <v>-32</v>
      </c>
      <c r="Q687" s="1">
        <v>177639</v>
      </c>
      <c r="R687" s="1">
        <v>174397</v>
      </c>
      <c r="S687" s="1">
        <v>4852</v>
      </c>
      <c r="T687" s="1">
        <v>4125</v>
      </c>
      <c r="U687" s="1">
        <v>0</v>
      </c>
      <c r="V687" s="1">
        <v>177671</v>
      </c>
      <c r="W687" s="1">
        <v>3508</v>
      </c>
      <c r="X687" s="1">
        <v>4876</v>
      </c>
      <c r="Y687" s="1">
        <v>4188</v>
      </c>
      <c r="Z687" s="1">
        <v>10007</v>
      </c>
      <c r="AA687">
        <v>0</v>
      </c>
      <c r="AB687" t="str">
        <f t="shared" si="10"/>
        <v>Not Defaulter</v>
      </c>
      <c r="AC687" s="1">
        <f>Table2[[#This Row],[BILL_AMT1]]-Table2[[#This Row],[PAY_AMT1]]</f>
        <v>1548</v>
      </c>
      <c r="AD687" s="1" t="str" cm="1">
        <f t="array" ref="AD687">_xlfn.IFS(Table2[[#This Row],[PAYMENT GAP]]&lt;=0,"No Gap / Overpaid",Table2[[#This Row],[PAYMENT GAP]]&lt;=25000,"Low Gap",Table2[[#This Row],[PAYMENT GAP]]&lt;=100000,"Medium Gap",
TRUE,"High Gap"
)</f>
        <v>Low Gap</v>
      </c>
    </row>
    <row r="688" spans="1:30" x14ac:dyDescent="0.3">
      <c r="A688">
        <v>687</v>
      </c>
      <c r="B688" s="1">
        <v>20000</v>
      </c>
      <c r="C688" s="1" t="str" cm="1">
        <f t="array" ref="C688">_xlfn.IFS(Table2[[#This Row],[LIMIT_BAL]]&lt;=100000,"Low",Table2[[#This Row],[LIMIT_BAL]]&lt;=300000,"Medium",
TRUE,"High"
)</f>
        <v>Low</v>
      </c>
      <c r="D688" t="s">
        <v>2041</v>
      </c>
      <c r="E688" t="s">
        <v>2027</v>
      </c>
      <c r="F688" t="s">
        <v>2028</v>
      </c>
      <c r="G688">
        <v>41</v>
      </c>
      <c r="H688" t="str" cm="1">
        <f t="array" ref="H688">_xlfn.IFS(
Table2[[#This Row],[AGE]]&lt;30,"Young",
Table2[[#This Row],[AGE]]&lt;40,"Middle Age",
Table2[[#This Row],[AGE]]&lt;50,"Senior",
TRUE,"Super Senior"
)</f>
        <v>Senior</v>
      </c>
      <c r="I688">
        <v>-1</v>
      </c>
      <c r="J688">
        <v>-1</v>
      </c>
      <c r="K688">
        <v>-1</v>
      </c>
      <c r="L688">
        <v>0</v>
      </c>
      <c r="M688">
        <v>0</v>
      </c>
      <c r="N688">
        <v>0</v>
      </c>
      <c r="O688" s="1">
        <v>780</v>
      </c>
      <c r="P688" s="1">
        <v>0</v>
      </c>
      <c r="Q688" s="1">
        <v>732</v>
      </c>
      <c r="R688" s="1">
        <v>642</v>
      </c>
      <c r="S688" s="1">
        <v>1252</v>
      </c>
      <c r="T688" s="1">
        <v>643</v>
      </c>
      <c r="U688" s="1">
        <v>0</v>
      </c>
      <c r="V688" s="1">
        <v>732</v>
      </c>
      <c r="W688" s="1">
        <v>300</v>
      </c>
      <c r="X688" s="1">
        <v>1000</v>
      </c>
      <c r="Y688" s="1">
        <v>500</v>
      </c>
      <c r="Z688" s="1">
        <v>1000</v>
      </c>
      <c r="AA688">
        <v>1</v>
      </c>
      <c r="AB688" t="str">
        <f t="shared" si="10"/>
        <v>Defaulter</v>
      </c>
      <c r="AC688" s="1">
        <f>Table2[[#This Row],[BILL_AMT1]]-Table2[[#This Row],[PAY_AMT1]]</f>
        <v>780</v>
      </c>
      <c r="AD688" s="1" t="str" cm="1">
        <f t="array" ref="AD688">_xlfn.IFS(Table2[[#This Row],[PAYMENT GAP]]&lt;=0,"No Gap / Overpaid",Table2[[#This Row],[PAYMENT GAP]]&lt;=25000,"Low Gap",Table2[[#This Row],[PAYMENT GAP]]&lt;=100000,"Medium Gap",
TRUE,"High Gap"
)</f>
        <v>Low Gap</v>
      </c>
    </row>
    <row r="689" spans="1:30" x14ac:dyDescent="0.3">
      <c r="A689">
        <v>688</v>
      </c>
      <c r="B689" s="1">
        <v>170000</v>
      </c>
      <c r="C689" s="1" t="str" cm="1">
        <f t="array" ref="C689">_xlfn.IFS(Table2[[#This Row],[LIMIT_BAL]]&lt;=100000,"Low",Table2[[#This Row],[LIMIT_BAL]]&lt;=300000,"Medium",
TRUE,"High"
)</f>
        <v>Medium</v>
      </c>
      <c r="D689" t="s">
        <v>2041</v>
      </c>
      <c r="E689" t="s">
        <v>2043</v>
      </c>
      <c r="F689" t="s">
        <v>2029</v>
      </c>
      <c r="G689">
        <v>27</v>
      </c>
      <c r="H689" t="str" cm="1">
        <f t="array" ref="H689">_xlfn.IFS(
Table2[[#This Row],[AGE]]&lt;30,"Young",
Table2[[#This Row],[AGE]]&lt;40,"Middle Age",
Table2[[#This Row],[AGE]]&lt;50,"Senior",
TRUE,"Super Senior"
)</f>
        <v>Young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 s="1">
        <v>162671</v>
      </c>
      <c r="P689" s="1">
        <v>166202</v>
      </c>
      <c r="Q689" s="1">
        <v>161973</v>
      </c>
      <c r="R689" s="1">
        <v>167201</v>
      </c>
      <c r="S689" s="1">
        <v>161327</v>
      </c>
      <c r="T689" s="1">
        <v>171863</v>
      </c>
      <c r="U689" s="1">
        <v>7500</v>
      </c>
      <c r="V689" s="1">
        <v>6000</v>
      </c>
      <c r="W689" s="1">
        <v>10000</v>
      </c>
      <c r="X689" s="1">
        <v>7000</v>
      </c>
      <c r="Y689" s="1">
        <v>16000</v>
      </c>
      <c r="Z689" s="1">
        <v>6200</v>
      </c>
      <c r="AA689">
        <v>0</v>
      </c>
      <c r="AB689" t="str">
        <f t="shared" si="10"/>
        <v>Not Defaulter</v>
      </c>
      <c r="AC689" s="1">
        <f>Table2[[#This Row],[BILL_AMT1]]-Table2[[#This Row],[PAY_AMT1]]</f>
        <v>155171</v>
      </c>
      <c r="AD689" s="1" t="str" cm="1">
        <f t="array" ref="AD689">_xlfn.IFS(Table2[[#This Row],[PAYMENT GAP]]&lt;=0,"No Gap / Overpaid",Table2[[#This Row],[PAYMENT GAP]]&lt;=25000,"Low Gap",Table2[[#This Row],[PAYMENT GAP]]&lt;=100000,"Medium Gap",
TRUE,"High Gap"
)</f>
        <v>High Gap</v>
      </c>
    </row>
    <row r="690" spans="1:30" x14ac:dyDescent="0.3">
      <c r="A690">
        <v>689</v>
      </c>
      <c r="B690" s="1">
        <v>140000</v>
      </c>
      <c r="C690" s="1" t="str" cm="1">
        <f t="array" ref="C690">_xlfn.IFS(Table2[[#This Row],[LIMIT_BAL]]&lt;=100000,"Low",Table2[[#This Row],[LIMIT_BAL]]&lt;=300000,"Medium",
TRUE,"High"
)</f>
        <v>Medium</v>
      </c>
      <c r="D690" t="s">
        <v>2042</v>
      </c>
      <c r="E690" t="s">
        <v>2026</v>
      </c>
      <c r="F690" t="s">
        <v>2028</v>
      </c>
      <c r="G690">
        <v>40</v>
      </c>
      <c r="H690" t="str" cm="1">
        <f t="array" ref="H690">_xlfn.IFS(
Table2[[#This Row],[AGE]]&lt;30,"Young",
Table2[[#This Row],[AGE]]&lt;40,"Middle Age",
Table2[[#This Row],[AGE]]&lt;50,"Senior",
TRUE,"Super Senior"
)</f>
        <v>Senior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 s="1">
        <v>123049</v>
      </c>
      <c r="P690" s="1">
        <v>125616</v>
      </c>
      <c r="Q690" s="1">
        <v>129695</v>
      </c>
      <c r="R690" s="1">
        <v>130735</v>
      </c>
      <c r="S690" s="1">
        <v>133467</v>
      </c>
      <c r="T690" s="1">
        <v>136287</v>
      </c>
      <c r="U690" s="1">
        <v>4310</v>
      </c>
      <c r="V690" s="1">
        <v>5913</v>
      </c>
      <c r="W690" s="1">
        <v>4426</v>
      </c>
      <c r="X690" s="1">
        <v>4580</v>
      </c>
      <c r="Y690" s="1">
        <v>4770</v>
      </c>
      <c r="Z690" s="1">
        <v>4767</v>
      </c>
      <c r="AA690">
        <v>0</v>
      </c>
      <c r="AB690" t="str">
        <f t="shared" si="10"/>
        <v>Not Defaulter</v>
      </c>
      <c r="AC690" s="1">
        <f>Table2[[#This Row],[BILL_AMT1]]-Table2[[#This Row],[PAY_AMT1]]</f>
        <v>118739</v>
      </c>
      <c r="AD690" s="1" t="str" cm="1">
        <f t="array" ref="AD690">_xlfn.IFS(Table2[[#This Row],[PAYMENT GAP]]&lt;=0,"No Gap / Overpaid",Table2[[#This Row],[PAYMENT GAP]]&lt;=25000,"Low Gap",Table2[[#This Row],[PAYMENT GAP]]&lt;=100000,"Medium Gap",
TRUE,"High Gap"
)</f>
        <v>High Gap</v>
      </c>
    </row>
    <row r="691" spans="1:30" x14ac:dyDescent="0.3">
      <c r="A691">
        <v>690</v>
      </c>
      <c r="B691" s="1">
        <v>80000</v>
      </c>
      <c r="C691" s="1" t="str" cm="1">
        <f t="array" ref="C691">_xlfn.IFS(Table2[[#This Row],[LIMIT_BAL]]&lt;=100000,"Low",Table2[[#This Row],[LIMIT_BAL]]&lt;=300000,"Medium",
TRUE,"High"
)</f>
        <v>Low</v>
      </c>
      <c r="D691" t="s">
        <v>2042</v>
      </c>
      <c r="E691" t="s">
        <v>2043</v>
      </c>
      <c r="F691" t="s">
        <v>2029</v>
      </c>
      <c r="G691">
        <v>32</v>
      </c>
      <c r="H691" t="str" cm="1">
        <f t="array" ref="H691">_xlfn.IFS(
Table2[[#This Row],[AGE]]&lt;30,"Young",
Table2[[#This Row],[AGE]]&lt;40,"Middle Age",
Table2[[#This Row],[AGE]]&lt;50,"Senior",
TRUE,"Super Senior"
)</f>
        <v>Middle Age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 s="1">
        <v>51372</v>
      </c>
      <c r="P691" s="1">
        <v>51872</v>
      </c>
      <c r="Q691" s="1">
        <v>47593</v>
      </c>
      <c r="R691" s="1">
        <v>43882</v>
      </c>
      <c r="S691" s="1">
        <v>42256</v>
      </c>
      <c r="T691" s="1">
        <v>42527</v>
      </c>
      <c r="U691" s="1">
        <v>1853</v>
      </c>
      <c r="V691" s="1">
        <v>1700</v>
      </c>
      <c r="W691" s="1">
        <v>1522</v>
      </c>
      <c r="X691" s="1">
        <v>1548</v>
      </c>
      <c r="Y691" s="1">
        <v>1488</v>
      </c>
      <c r="Z691" s="1">
        <v>1500</v>
      </c>
      <c r="AA691">
        <v>0</v>
      </c>
      <c r="AB691" t="str">
        <f t="shared" si="10"/>
        <v>Not Defaulter</v>
      </c>
      <c r="AC691" s="1">
        <f>Table2[[#This Row],[BILL_AMT1]]-Table2[[#This Row],[PAY_AMT1]]</f>
        <v>49519</v>
      </c>
      <c r="AD691" s="1" t="str" cm="1">
        <f t="array" ref="AD691">_xlfn.IFS(Table2[[#This Row],[PAYMENT GAP]]&lt;=0,"No Gap / Overpaid",Table2[[#This Row],[PAYMENT GAP]]&lt;=25000,"Low Gap",Table2[[#This Row],[PAYMENT GAP]]&lt;=100000,"Medium Gap",
TRUE,"High Gap"
)</f>
        <v>Medium Gap</v>
      </c>
    </row>
    <row r="692" spans="1:30" x14ac:dyDescent="0.3">
      <c r="A692">
        <v>691</v>
      </c>
      <c r="B692" s="1">
        <v>150000</v>
      </c>
      <c r="C692" s="1" t="str" cm="1">
        <f t="array" ref="C692">_xlfn.IFS(Table2[[#This Row],[LIMIT_BAL]]&lt;=100000,"Low",Table2[[#This Row],[LIMIT_BAL]]&lt;=300000,"Medium",
TRUE,"High"
)</f>
        <v>Medium</v>
      </c>
      <c r="D692" t="s">
        <v>2042</v>
      </c>
      <c r="E692" t="s">
        <v>2043</v>
      </c>
      <c r="F692" t="s">
        <v>2029</v>
      </c>
      <c r="G692">
        <v>35</v>
      </c>
      <c r="H692" t="str" cm="1">
        <f t="array" ref="H692">_xlfn.IFS(
Table2[[#This Row],[AGE]]&lt;30,"Young",
Table2[[#This Row],[AGE]]&lt;40,"Middle Age",
Table2[[#This Row],[AGE]]&lt;50,"Senior",
TRUE,"Super Senior"
)</f>
        <v>Middle Age</v>
      </c>
      <c r="I692">
        <v>0</v>
      </c>
      <c r="J692">
        <v>0</v>
      </c>
      <c r="K692">
        <v>0</v>
      </c>
      <c r="L692">
        <v>-1</v>
      </c>
      <c r="M692">
        <v>-1</v>
      </c>
      <c r="N692">
        <v>-1</v>
      </c>
      <c r="O692" s="1">
        <v>60015</v>
      </c>
      <c r="P692" s="1">
        <v>72227</v>
      </c>
      <c r="Q692" s="1">
        <v>51364</v>
      </c>
      <c r="R692" s="1">
        <v>54340</v>
      </c>
      <c r="S692" s="1">
        <v>0</v>
      </c>
      <c r="T692" s="1">
        <v>2129</v>
      </c>
      <c r="U692" s="1">
        <v>20000</v>
      </c>
      <c r="V692" s="1">
        <v>30000</v>
      </c>
      <c r="W692" s="1">
        <v>54340</v>
      </c>
      <c r="X692" s="1">
        <v>0</v>
      </c>
      <c r="Y692" s="1">
        <v>2129</v>
      </c>
      <c r="Z692" s="1">
        <v>0</v>
      </c>
      <c r="AA692">
        <v>0</v>
      </c>
      <c r="AB692" t="str">
        <f t="shared" si="10"/>
        <v>Not Defaulter</v>
      </c>
      <c r="AC692" s="1">
        <f>Table2[[#This Row],[BILL_AMT1]]-Table2[[#This Row],[PAY_AMT1]]</f>
        <v>40015</v>
      </c>
      <c r="AD692" s="1" t="str" cm="1">
        <f t="array" ref="AD692">_xlfn.IFS(Table2[[#This Row],[PAYMENT GAP]]&lt;=0,"No Gap / Overpaid",Table2[[#This Row],[PAYMENT GAP]]&lt;=25000,"Low Gap",Table2[[#This Row],[PAYMENT GAP]]&lt;=100000,"Medium Gap",
TRUE,"High Gap"
)</f>
        <v>Medium Gap</v>
      </c>
    </row>
    <row r="693" spans="1:30" x14ac:dyDescent="0.3">
      <c r="A693">
        <v>692</v>
      </c>
      <c r="B693" s="1">
        <v>170000</v>
      </c>
      <c r="C693" s="1" t="str" cm="1">
        <f t="array" ref="C693">_xlfn.IFS(Table2[[#This Row],[LIMIT_BAL]]&lt;=100000,"Low",Table2[[#This Row],[LIMIT_BAL]]&lt;=300000,"Medium",
TRUE,"High"
)</f>
        <v>Medium</v>
      </c>
      <c r="D693" t="s">
        <v>2042</v>
      </c>
      <c r="E693" t="s">
        <v>2043</v>
      </c>
      <c r="F693" t="s">
        <v>2029</v>
      </c>
      <c r="G693">
        <v>27</v>
      </c>
      <c r="H693" t="str" cm="1">
        <f t="array" ref="H693">_xlfn.IFS(
Table2[[#This Row],[AGE]]&lt;30,"Young",
Table2[[#This Row],[AGE]]&lt;40,"Middle Age",
Table2[[#This Row],[AGE]]&lt;50,"Senior",
TRUE,"Super Senior"
)</f>
        <v>Young</v>
      </c>
      <c r="I693">
        <v>-1</v>
      </c>
      <c r="J693">
        <v>2</v>
      </c>
      <c r="K693">
        <v>2</v>
      </c>
      <c r="L693">
        <v>-2</v>
      </c>
      <c r="M693">
        <v>-2</v>
      </c>
      <c r="N693">
        <v>-2</v>
      </c>
      <c r="O693" s="1">
        <v>1170</v>
      </c>
      <c r="P693" s="1">
        <v>780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>
        <v>0</v>
      </c>
      <c r="AB693" t="str">
        <f t="shared" si="10"/>
        <v>Not Defaulter</v>
      </c>
      <c r="AC693" s="1">
        <f>Table2[[#This Row],[BILL_AMT1]]-Table2[[#This Row],[PAY_AMT1]]</f>
        <v>1170</v>
      </c>
      <c r="AD693" s="1" t="str" cm="1">
        <f t="array" ref="AD693">_xlfn.IFS(Table2[[#This Row],[PAYMENT GAP]]&lt;=0,"No Gap / Overpaid",Table2[[#This Row],[PAYMENT GAP]]&lt;=25000,"Low Gap",Table2[[#This Row],[PAYMENT GAP]]&lt;=100000,"Medium Gap",
TRUE,"High Gap"
)</f>
        <v>Low Gap</v>
      </c>
    </row>
    <row r="694" spans="1:30" x14ac:dyDescent="0.3">
      <c r="A694">
        <v>693</v>
      </c>
      <c r="B694" s="1">
        <v>200000</v>
      </c>
      <c r="C694" s="1" t="str" cm="1">
        <f t="array" ref="C694">_xlfn.IFS(Table2[[#This Row],[LIMIT_BAL]]&lt;=100000,"Low",Table2[[#This Row],[LIMIT_BAL]]&lt;=300000,"Medium",
TRUE,"High"
)</f>
        <v>Medium</v>
      </c>
      <c r="D694" t="s">
        <v>2041</v>
      </c>
      <c r="E694" t="s">
        <v>2043</v>
      </c>
      <c r="F694" t="s">
        <v>2028</v>
      </c>
      <c r="G694">
        <v>29</v>
      </c>
      <c r="H694" t="str" cm="1">
        <f t="array" ref="H694">_xlfn.IFS(
Table2[[#This Row],[AGE]]&lt;30,"Young",
Table2[[#This Row],[AGE]]&lt;40,"Middle Age",
Table2[[#This Row],[AGE]]&lt;50,"Senior",
TRUE,"Super Senior"
)</f>
        <v>Young</v>
      </c>
      <c r="I694">
        <v>2</v>
      </c>
      <c r="J694">
        <v>0</v>
      </c>
      <c r="K694">
        <v>0</v>
      </c>
      <c r="L694">
        <v>0</v>
      </c>
      <c r="M694">
        <v>0</v>
      </c>
      <c r="N694">
        <v>0</v>
      </c>
      <c r="O694" s="1">
        <v>159398</v>
      </c>
      <c r="P694" s="1">
        <v>156955</v>
      </c>
      <c r="Q694" s="1">
        <v>132144</v>
      </c>
      <c r="R694" s="1">
        <v>119136</v>
      </c>
      <c r="S694" s="1">
        <v>122211</v>
      </c>
      <c r="T694" s="1">
        <v>125021</v>
      </c>
      <c r="U694" s="1">
        <v>6163</v>
      </c>
      <c r="V694" s="1">
        <v>4530</v>
      </c>
      <c r="W694" s="1">
        <v>4500</v>
      </c>
      <c r="X694" s="1">
        <v>5000</v>
      </c>
      <c r="Y694" s="1">
        <v>5000</v>
      </c>
      <c r="Z694" s="1">
        <v>5000</v>
      </c>
      <c r="AA694">
        <v>1</v>
      </c>
      <c r="AB694" t="str">
        <f t="shared" si="10"/>
        <v>Defaulter</v>
      </c>
      <c r="AC694" s="1">
        <f>Table2[[#This Row],[BILL_AMT1]]-Table2[[#This Row],[PAY_AMT1]]</f>
        <v>153235</v>
      </c>
      <c r="AD694" s="1" t="str" cm="1">
        <f t="array" ref="AD694">_xlfn.IFS(Table2[[#This Row],[PAYMENT GAP]]&lt;=0,"No Gap / Overpaid",Table2[[#This Row],[PAYMENT GAP]]&lt;=25000,"Low Gap",Table2[[#This Row],[PAYMENT GAP]]&lt;=100000,"Medium Gap",
TRUE,"High Gap"
)</f>
        <v>High Gap</v>
      </c>
    </row>
    <row r="695" spans="1:30" x14ac:dyDescent="0.3">
      <c r="A695">
        <v>694</v>
      </c>
      <c r="B695" s="1">
        <v>70000</v>
      </c>
      <c r="C695" s="1" t="str" cm="1">
        <f t="array" ref="C695">_xlfn.IFS(Table2[[#This Row],[LIMIT_BAL]]&lt;=100000,"Low",Table2[[#This Row],[LIMIT_BAL]]&lt;=300000,"Medium",
TRUE,"High"
)</f>
        <v>Low</v>
      </c>
      <c r="D695" t="s">
        <v>2042</v>
      </c>
      <c r="E695" t="s">
        <v>2026</v>
      </c>
      <c r="F695" t="s">
        <v>2029</v>
      </c>
      <c r="G695">
        <v>30</v>
      </c>
      <c r="H695" t="str" cm="1">
        <f t="array" ref="H695">_xlfn.IFS(
Table2[[#This Row],[AGE]]&lt;30,"Young",
Table2[[#This Row],[AGE]]&lt;40,"Middle Age",
Table2[[#This Row],[AGE]]&lt;50,"Senior",
TRUE,"Super Senior"
)</f>
        <v>Middle Age</v>
      </c>
      <c r="I695">
        <v>0</v>
      </c>
      <c r="J695">
        <v>0</v>
      </c>
      <c r="K695">
        <v>2</v>
      </c>
      <c r="L695">
        <v>0</v>
      </c>
      <c r="M695">
        <v>0</v>
      </c>
      <c r="N695">
        <v>2</v>
      </c>
      <c r="O695" s="1">
        <v>55664</v>
      </c>
      <c r="P695" s="1">
        <v>59529</v>
      </c>
      <c r="Q695" s="1">
        <v>57571</v>
      </c>
      <c r="R695" s="1">
        <v>57871</v>
      </c>
      <c r="S695" s="1">
        <v>60872</v>
      </c>
      <c r="T695" s="1">
        <v>59329</v>
      </c>
      <c r="U695" s="1">
        <v>5800</v>
      </c>
      <c r="V695" s="1">
        <v>0</v>
      </c>
      <c r="W695" s="1">
        <v>2250</v>
      </c>
      <c r="X695" s="1">
        <v>4500</v>
      </c>
      <c r="Y695" s="1">
        <v>0</v>
      </c>
      <c r="Z695" s="1">
        <v>2500</v>
      </c>
      <c r="AA695">
        <v>0</v>
      </c>
      <c r="AB695" t="str">
        <f t="shared" si="10"/>
        <v>Not Defaulter</v>
      </c>
      <c r="AC695" s="1">
        <f>Table2[[#This Row],[BILL_AMT1]]-Table2[[#This Row],[PAY_AMT1]]</f>
        <v>49864</v>
      </c>
      <c r="AD695" s="1" t="str" cm="1">
        <f t="array" ref="AD695">_xlfn.IFS(Table2[[#This Row],[PAYMENT GAP]]&lt;=0,"No Gap / Overpaid",Table2[[#This Row],[PAYMENT GAP]]&lt;=25000,"Low Gap",Table2[[#This Row],[PAYMENT GAP]]&lt;=100000,"Medium Gap",
TRUE,"High Gap"
)</f>
        <v>Medium Gap</v>
      </c>
    </row>
    <row r="696" spans="1:30" x14ac:dyDescent="0.3">
      <c r="A696">
        <v>695</v>
      </c>
      <c r="B696" s="1">
        <v>320000</v>
      </c>
      <c r="C696" s="1" t="str" cm="1">
        <f t="array" ref="C696">_xlfn.IFS(Table2[[#This Row],[LIMIT_BAL]]&lt;=100000,"Low",Table2[[#This Row],[LIMIT_BAL]]&lt;=300000,"Medium",
TRUE,"High"
)</f>
        <v>High</v>
      </c>
      <c r="D696" t="s">
        <v>2042</v>
      </c>
      <c r="E696" t="s">
        <v>2043</v>
      </c>
      <c r="F696" t="s">
        <v>2028</v>
      </c>
      <c r="G696">
        <v>37</v>
      </c>
      <c r="H696" t="str" cm="1">
        <f t="array" ref="H696">_xlfn.IFS(
Table2[[#This Row],[AGE]]&lt;30,"Young",
Table2[[#This Row],[AGE]]&lt;40,"Middle Age",
Table2[[#This Row],[AGE]]&lt;50,"Senior",
TRUE,"Super Senior"
)</f>
        <v>Middle Age</v>
      </c>
      <c r="I696">
        <v>-2</v>
      </c>
      <c r="J696">
        <v>-2</v>
      </c>
      <c r="K696">
        <v>-2</v>
      </c>
      <c r="L696">
        <v>-2</v>
      </c>
      <c r="M696">
        <v>-2</v>
      </c>
      <c r="N696">
        <v>-2</v>
      </c>
      <c r="O696" s="1">
        <v>43528</v>
      </c>
      <c r="P696" s="1">
        <v>498</v>
      </c>
      <c r="Q696" s="1">
        <v>429</v>
      </c>
      <c r="R696" s="1">
        <v>14257</v>
      </c>
      <c r="S696" s="1">
        <v>5417</v>
      </c>
      <c r="T696" s="1">
        <v>2967</v>
      </c>
      <c r="U696" s="1">
        <v>500</v>
      </c>
      <c r="V696" s="1">
        <v>431</v>
      </c>
      <c r="W696" s="1">
        <v>14328</v>
      </c>
      <c r="X696" s="1">
        <v>5439</v>
      </c>
      <c r="Y696" s="1">
        <v>2980</v>
      </c>
      <c r="Z696" s="1">
        <v>5028</v>
      </c>
      <c r="AA696">
        <v>0</v>
      </c>
      <c r="AB696" t="str">
        <f t="shared" si="10"/>
        <v>Not Defaulter</v>
      </c>
      <c r="AC696" s="1">
        <f>Table2[[#This Row],[BILL_AMT1]]-Table2[[#This Row],[PAY_AMT1]]</f>
        <v>43028</v>
      </c>
      <c r="AD696" s="1" t="str" cm="1">
        <f t="array" ref="AD696">_xlfn.IFS(Table2[[#This Row],[PAYMENT GAP]]&lt;=0,"No Gap / Overpaid",Table2[[#This Row],[PAYMENT GAP]]&lt;=25000,"Low Gap",Table2[[#This Row],[PAYMENT GAP]]&lt;=100000,"Medium Gap",
TRUE,"High Gap"
)</f>
        <v>Medium Gap</v>
      </c>
    </row>
    <row r="697" spans="1:30" x14ac:dyDescent="0.3">
      <c r="A697">
        <v>696</v>
      </c>
      <c r="B697" s="1">
        <v>150000</v>
      </c>
      <c r="C697" s="1" t="str" cm="1">
        <f t="array" ref="C697">_xlfn.IFS(Table2[[#This Row],[LIMIT_BAL]]&lt;=100000,"Low",Table2[[#This Row],[LIMIT_BAL]]&lt;=300000,"Medium",
TRUE,"High"
)</f>
        <v>Medium</v>
      </c>
      <c r="D697" t="s">
        <v>2041</v>
      </c>
      <c r="E697" t="s">
        <v>2026</v>
      </c>
      <c r="F697" t="s">
        <v>2029</v>
      </c>
      <c r="G697">
        <v>29</v>
      </c>
      <c r="H697" t="str" cm="1">
        <f t="array" ref="H697">_xlfn.IFS(
Table2[[#This Row],[AGE]]&lt;30,"Young",
Table2[[#This Row],[AGE]]&lt;40,"Middle Age",
Table2[[#This Row],[AGE]]&lt;50,"Senior",
TRUE,"Super Senior"
)</f>
        <v>Young</v>
      </c>
      <c r="I697">
        <v>-2</v>
      </c>
      <c r="J697">
        <v>-2</v>
      </c>
      <c r="K697">
        <v>-2</v>
      </c>
      <c r="L697">
        <v>-2</v>
      </c>
      <c r="M697">
        <v>-2</v>
      </c>
      <c r="N697">
        <v>-2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>
        <v>0</v>
      </c>
      <c r="AB697" t="str">
        <f t="shared" si="10"/>
        <v>Not Defaulter</v>
      </c>
      <c r="AC697" s="1">
        <f>Table2[[#This Row],[BILL_AMT1]]-Table2[[#This Row],[PAY_AMT1]]</f>
        <v>0</v>
      </c>
      <c r="AD697" s="1" t="str" cm="1">
        <f t="array" ref="AD697">_xlfn.IFS(Table2[[#This Row],[PAYMENT GAP]]&lt;=0,"No Gap / Overpaid",Table2[[#This Row],[PAYMENT GAP]]&lt;=25000,"Low Gap",Table2[[#This Row],[PAYMENT GAP]]&lt;=100000,"Medium Gap",
TRUE,"High Gap"
)</f>
        <v>No Gap / Overpaid</v>
      </c>
    </row>
    <row r="698" spans="1:30" x14ac:dyDescent="0.3">
      <c r="A698">
        <v>697</v>
      </c>
      <c r="B698" s="1">
        <v>50000</v>
      </c>
      <c r="C698" s="1" t="str" cm="1">
        <f t="array" ref="C698">_xlfn.IFS(Table2[[#This Row],[LIMIT_BAL]]&lt;=100000,"Low",Table2[[#This Row],[LIMIT_BAL]]&lt;=300000,"Medium",
TRUE,"High"
)</f>
        <v>Low</v>
      </c>
      <c r="D698" t="s">
        <v>2041</v>
      </c>
      <c r="E698" t="s">
        <v>2026</v>
      </c>
      <c r="F698" t="s">
        <v>2028</v>
      </c>
      <c r="G698">
        <v>34</v>
      </c>
      <c r="H698" t="str" cm="1">
        <f t="array" ref="H698">_xlfn.IFS(
Table2[[#This Row],[AGE]]&lt;30,"Young",
Table2[[#This Row],[AGE]]&lt;40,"Middle Age",
Table2[[#This Row],[AGE]]&lt;50,"Senior",
TRUE,"Super Senior"
)</f>
        <v>Middle Age</v>
      </c>
      <c r="I698">
        <v>0</v>
      </c>
      <c r="J698">
        <v>0</v>
      </c>
      <c r="K698">
        <v>0</v>
      </c>
      <c r="L698">
        <v>-1</v>
      </c>
      <c r="M698">
        <v>0</v>
      </c>
      <c r="N698">
        <v>0</v>
      </c>
      <c r="O698" s="1">
        <v>27966</v>
      </c>
      <c r="P698" s="1">
        <v>28539</v>
      </c>
      <c r="Q698" s="1">
        <v>11597</v>
      </c>
      <c r="R698" s="1">
        <v>6611</v>
      </c>
      <c r="S698" s="1">
        <v>7349</v>
      </c>
      <c r="T698" s="1">
        <v>7570</v>
      </c>
      <c r="U698" s="1">
        <v>1267</v>
      </c>
      <c r="V698" s="1">
        <v>1553</v>
      </c>
      <c r="W698" s="1">
        <v>7511</v>
      </c>
      <c r="X698" s="1">
        <v>1000</v>
      </c>
      <c r="Y698" s="1">
        <v>343</v>
      </c>
      <c r="Z698" s="1">
        <v>1000</v>
      </c>
      <c r="AA698">
        <v>0</v>
      </c>
      <c r="AB698" t="str">
        <f t="shared" si="10"/>
        <v>Not Defaulter</v>
      </c>
      <c r="AC698" s="1">
        <f>Table2[[#This Row],[BILL_AMT1]]-Table2[[#This Row],[PAY_AMT1]]</f>
        <v>26699</v>
      </c>
      <c r="AD698" s="1" t="str" cm="1">
        <f t="array" ref="AD698">_xlfn.IFS(Table2[[#This Row],[PAYMENT GAP]]&lt;=0,"No Gap / Overpaid",Table2[[#This Row],[PAYMENT GAP]]&lt;=25000,"Low Gap",Table2[[#This Row],[PAYMENT GAP]]&lt;=100000,"Medium Gap",
TRUE,"High Gap"
)</f>
        <v>Medium Gap</v>
      </c>
    </row>
    <row r="699" spans="1:30" x14ac:dyDescent="0.3">
      <c r="A699">
        <v>698</v>
      </c>
      <c r="B699" s="1">
        <v>90000</v>
      </c>
      <c r="C699" s="1" t="str" cm="1">
        <f t="array" ref="C699">_xlfn.IFS(Table2[[#This Row],[LIMIT_BAL]]&lt;=100000,"Low",Table2[[#This Row],[LIMIT_BAL]]&lt;=300000,"Medium",
TRUE,"High"
)</f>
        <v>Low</v>
      </c>
      <c r="D699" t="s">
        <v>2041</v>
      </c>
      <c r="E699" t="s">
        <v>2043</v>
      </c>
      <c r="F699" t="s">
        <v>2029</v>
      </c>
      <c r="G699">
        <v>34</v>
      </c>
      <c r="H699" t="str" cm="1">
        <f t="array" ref="H699">_xlfn.IFS(
Table2[[#This Row],[AGE]]&lt;30,"Young",
Table2[[#This Row],[AGE]]&lt;40,"Middle Age",
Table2[[#This Row],[AGE]]&lt;50,"Senior",
TRUE,"Super Senior"
)</f>
        <v>Middle Age</v>
      </c>
      <c r="I699">
        <v>-1</v>
      </c>
      <c r="J699">
        <v>2</v>
      </c>
      <c r="K699">
        <v>2</v>
      </c>
      <c r="L699">
        <v>-2</v>
      </c>
      <c r="M699">
        <v>-2</v>
      </c>
      <c r="N699">
        <v>-2</v>
      </c>
      <c r="O699" s="1">
        <v>8792</v>
      </c>
      <c r="P699" s="1">
        <v>7500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>
        <v>0</v>
      </c>
      <c r="AB699" t="str">
        <f t="shared" si="10"/>
        <v>Not Defaulter</v>
      </c>
      <c r="AC699" s="1">
        <f>Table2[[#This Row],[BILL_AMT1]]-Table2[[#This Row],[PAY_AMT1]]</f>
        <v>8792</v>
      </c>
      <c r="AD699" s="1" t="str" cm="1">
        <f t="array" ref="AD699">_xlfn.IFS(Table2[[#This Row],[PAYMENT GAP]]&lt;=0,"No Gap / Overpaid",Table2[[#This Row],[PAYMENT GAP]]&lt;=25000,"Low Gap",Table2[[#This Row],[PAYMENT GAP]]&lt;=100000,"Medium Gap",
TRUE,"High Gap"
)</f>
        <v>Low Gap</v>
      </c>
    </row>
    <row r="700" spans="1:30" x14ac:dyDescent="0.3">
      <c r="A700">
        <v>699</v>
      </c>
      <c r="B700" s="1">
        <v>280000</v>
      </c>
      <c r="C700" s="1" t="str" cm="1">
        <f t="array" ref="C700">_xlfn.IFS(Table2[[#This Row],[LIMIT_BAL]]&lt;=100000,"Low",Table2[[#This Row],[LIMIT_BAL]]&lt;=300000,"Medium",
TRUE,"High"
)</f>
        <v>Medium</v>
      </c>
      <c r="D700" t="s">
        <v>2042</v>
      </c>
      <c r="E700" t="s">
        <v>2026</v>
      </c>
      <c r="F700" t="s">
        <v>2028</v>
      </c>
      <c r="G700">
        <v>41</v>
      </c>
      <c r="H700" t="str" cm="1">
        <f t="array" ref="H700">_xlfn.IFS(
Table2[[#This Row],[AGE]]&lt;30,"Young",
Table2[[#This Row],[AGE]]&lt;40,"Middle Age",
Table2[[#This Row],[AGE]]&lt;50,"Senior",
TRUE,"Super Senior"
)</f>
        <v>Senior</v>
      </c>
      <c r="I700">
        <v>-2</v>
      </c>
      <c r="J700">
        <v>-2</v>
      </c>
      <c r="K700">
        <v>-2</v>
      </c>
      <c r="L700">
        <v>-2</v>
      </c>
      <c r="M700">
        <v>-1</v>
      </c>
      <c r="N700">
        <v>0</v>
      </c>
      <c r="O700" s="1">
        <v>28026</v>
      </c>
      <c r="P700" s="1">
        <v>41302</v>
      </c>
      <c r="Q700" s="1">
        <v>51500</v>
      </c>
      <c r="R700" s="1">
        <v>35752</v>
      </c>
      <c r="S700" s="1">
        <v>3955</v>
      </c>
      <c r="T700" s="1">
        <v>13969</v>
      </c>
      <c r="U700" s="1">
        <v>41346</v>
      </c>
      <c r="V700" s="1">
        <v>52110</v>
      </c>
      <c r="W700" s="1">
        <v>35752</v>
      </c>
      <c r="X700" s="1">
        <v>3955</v>
      </c>
      <c r="Y700" s="1">
        <v>13939</v>
      </c>
      <c r="Z700" s="1">
        <v>4437</v>
      </c>
      <c r="AA700">
        <v>0</v>
      </c>
      <c r="AB700" t="str">
        <f t="shared" si="10"/>
        <v>Not Defaulter</v>
      </c>
      <c r="AC700" s="1">
        <f>Table2[[#This Row],[BILL_AMT1]]-Table2[[#This Row],[PAY_AMT1]]</f>
        <v>-13320</v>
      </c>
      <c r="AD700" s="1" t="str" cm="1">
        <f t="array" ref="AD700">_xlfn.IFS(Table2[[#This Row],[PAYMENT GAP]]&lt;=0,"No Gap / Overpaid",Table2[[#This Row],[PAYMENT GAP]]&lt;=25000,"Low Gap",Table2[[#This Row],[PAYMENT GAP]]&lt;=100000,"Medium Gap",
TRUE,"High Gap"
)</f>
        <v>No Gap / Overpaid</v>
      </c>
    </row>
    <row r="701" spans="1:30" x14ac:dyDescent="0.3">
      <c r="A701">
        <v>700</v>
      </c>
      <c r="B701" s="1">
        <v>300000</v>
      </c>
      <c r="C701" s="1" t="str" cm="1">
        <f t="array" ref="C701">_xlfn.IFS(Table2[[#This Row],[LIMIT_BAL]]&lt;=100000,"Low",Table2[[#This Row],[LIMIT_BAL]]&lt;=300000,"Medium",
TRUE,"High"
)</f>
        <v>Medium</v>
      </c>
      <c r="D701" t="s">
        <v>2041</v>
      </c>
      <c r="E701" t="s">
        <v>2026</v>
      </c>
      <c r="F701" t="s">
        <v>2029</v>
      </c>
      <c r="G701">
        <v>31</v>
      </c>
      <c r="H701" t="str" cm="1">
        <f t="array" ref="H701">_xlfn.IFS(
Table2[[#This Row],[AGE]]&lt;30,"Young",
Table2[[#This Row],[AGE]]&lt;40,"Middle Age",
Table2[[#This Row],[AGE]]&lt;50,"Senior",
TRUE,"Super Senior"
)</f>
        <v>Middle Age</v>
      </c>
      <c r="I701">
        <v>0</v>
      </c>
      <c r="J701">
        <v>0</v>
      </c>
      <c r="K701">
        <v>0</v>
      </c>
      <c r="L701">
        <v>0</v>
      </c>
      <c r="M701">
        <v>2</v>
      </c>
      <c r="N701">
        <v>-1</v>
      </c>
      <c r="O701" s="1">
        <v>43610</v>
      </c>
      <c r="P701" s="1">
        <v>43280</v>
      </c>
      <c r="Q701" s="1">
        <v>36156</v>
      </c>
      <c r="R701" s="1">
        <v>30305</v>
      </c>
      <c r="S701" s="1">
        <v>30155</v>
      </c>
      <c r="T701" s="1">
        <v>561</v>
      </c>
      <c r="U701" s="1">
        <v>1655</v>
      </c>
      <c r="V701" s="1">
        <v>1797</v>
      </c>
      <c r="W701" s="1">
        <v>750</v>
      </c>
      <c r="X701" s="1">
        <v>0</v>
      </c>
      <c r="Y701" s="1">
        <v>561</v>
      </c>
      <c r="Z701" s="1">
        <v>500</v>
      </c>
      <c r="AA701">
        <v>0</v>
      </c>
      <c r="AB701" t="str">
        <f t="shared" si="10"/>
        <v>Not Defaulter</v>
      </c>
      <c r="AC701" s="1">
        <f>Table2[[#This Row],[BILL_AMT1]]-Table2[[#This Row],[PAY_AMT1]]</f>
        <v>41955</v>
      </c>
      <c r="AD701" s="1" t="str" cm="1">
        <f t="array" ref="AD701">_xlfn.IFS(Table2[[#This Row],[PAYMENT GAP]]&lt;=0,"No Gap / Overpaid",Table2[[#This Row],[PAYMENT GAP]]&lt;=25000,"Low Gap",Table2[[#This Row],[PAYMENT GAP]]&lt;=100000,"Medium Gap",
TRUE,"High Gap"
)</f>
        <v>Medium Gap</v>
      </c>
    </row>
    <row r="702" spans="1:30" x14ac:dyDescent="0.3">
      <c r="A702">
        <v>701</v>
      </c>
      <c r="B702" s="1">
        <v>400000</v>
      </c>
      <c r="C702" s="1" t="str" cm="1">
        <f t="array" ref="C702">_xlfn.IFS(Table2[[#This Row],[LIMIT_BAL]]&lt;=100000,"Low",Table2[[#This Row],[LIMIT_BAL]]&lt;=300000,"Medium",
TRUE,"High"
)</f>
        <v>High</v>
      </c>
      <c r="D702" t="s">
        <v>2041</v>
      </c>
      <c r="E702" t="s">
        <v>2043</v>
      </c>
      <c r="F702" t="s">
        <v>2029</v>
      </c>
      <c r="G702">
        <v>40</v>
      </c>
      <c r="H702" t="str" cm="1">
        <f t="array" ref="H702">_xlfn.IFS(
Table2[[#This Row],[AGE]]&lt;30,"Young",
Table2[[#This Row],[AGE]]&lt;40,"Middle Age",
Table2[[#This Row],[AGE]]&lt;50,"Senior",
TRUE,"Super Senior"
)</f>
        <v>Senior</v>
      </c>
      <c r="I702">
        <v>-2</v>
      </c>
      <c r="J702">
        <v>-2</v>
      </c>
      <c r="K702">
        <v>-2</v>
      </c>
      <c r="L702">
        <v>-2</v>
      </c>
      <c r="M702">
        <v>-1</v>
      </c>
      <c r="N702">
        <v>-1</v>
      </c>
      <c r="O702" s="1">
        <v>0</v>
      </c>
      <c r="P702" s="1">
        <v>8235</v>
      </c>
      <c r="Q702" s="1">
        <v>0</v>
      </c>
      <c r="R702" s="1">
        <v>0</v>
      </c>
      <c r="S702" s="1">
        <v>1524</v>
      </c>
      <c r="T702" s="1">
        <v>0</v>
      </c>
      <c r="U702" s="1">
        <v>8235</v>
      </c>
      <c r="V702" s="1">
        <v>0</v>
      </c>
      <c r="W702" s="1">
        <v>0</v>
      </c>
      <c r="X702" s="1">
        <v>1524</v>
      </c>
      <c r="Y702" s="1">
        <v>0</v>
      </c>
      <c r="Z702" s="1">
        <v>385</v>
      </c>
      <c r="AA702">
        <v>0</v>
      </c>
      <c r="AB702" t="str">
        <f t="shared" si="10"/>
        <v>Not Defaulter</v>
      </c>
      <c r="AC702" s="1">
        <f>Table2[[#This Row],[BILL_AMT1]]-Table2[[#This Row],[PAY_AMT1]]</f>
        <v>-8235</v>
      </c>
      <c r="AD702" s="1" t="str" cm="1">
        <f t="array" ref="AD702">_xlfn.IFS(Table2[[#This Row],[PAYMENT GAP]]&lt;=0,"No Gap / Overpaid",Table2[[#This Row],[PAYMENT GAP]]&lt;=25000,"Low Gap",Table2[[#This Row],[PAYMENT GAP]]&lt;=100000,"Medium Gap",
TRUE,"High Gap"
)</f>
        <v>No Gap / Overpaid</v>
      </c>
    </row>
    <row r="703" spans="1:30" x14ac:dyDescent="0.3">
      <c r="A703">
        <v>702</v>
      </c>
      <c r="B703" s="1">
        <v>200000</v>
      </c>
      <c r="C703" s="1" t="str" cm="1">
        <f t="array" ref="C703">_xlfn.IFS(Table2[[#This Row],[LIMIT_BAL]]&lt;=100000,"Low",Table2[[#This Row],[LIMIT_BAL]]&lt;=300000,"Medium",
TRUE,"High"
)</f>
        <v>Medium</v>
      </c>
      <c r="D703" t="s">
        <v>2041</v>
      </c>
      <c r="E703" t="s">
        <v>2026</v>
      </c>
      <c r="F703" t="s">
        <v>2028</v>
      </c>
      <c r="G703">
        <v>27</v>
      </c>
      <c r="H703" t="str" cm="1">
        <f t="array" ref="H703">_xlfn.IFS(
Table2[[#This Row],[AGE]]&lt;30,"Young",
Table2[[#This Row],[AGE]]&lt;40,"Middle Age",
Table2[[#This Row],[AGE]]&lt;50,"Senior",
TRUE,"Super Senior"
)</f>
        <v>Young</v>
      </c>
      <c r="I703">
        <v>-1</v>
      </c>
      <c r="J703">
        <v>-1</v>
      </c>
      <c r="K703">
        <v>-1</v>
      </c>
      <c r="L703">
        <v>-1</v>
      </c>
      <c r="M703">
        <v>-1</v>
      </c>
      <c r="N703">
        <v>-1</v>
      </c>
      <c r="O703" s="1">
        <v>5780</v>
      </c>
      <c r="P703" s="1">
        <v>105</v>
      </c>
      <c r="Q703" s="1">
        <v>105</v>
      </c>
      <c r="R703" s="1">
        <v>0</v>
      </c>
      <c r="S703" s="1">
        <v>7384</v>
      </c>
      <c r="T703" s="1">
        <v>8588</v>
      </c>
      <c r="U703" s="1">
        <v>105</v>
      </c>
      <c r="V703" s="1">
        <v>105</v>
      </c>
      <c r="W703" s="1">
        <v>0</v>
      </c>
      <c r="X703" s="1">
        <v>7384</v>
      </c>
      <c r="Y703" s="1">
        <v>8588</v>
      </c>
      <c r="Z703" s="1">
        <v>1304</v>
      </c>
      <c r="AA703">
        <v>0</v>
      </c>
      <c r="AB703" t="str">
        <f t="shared" si="10"/>
        <v>Not Defaulter</v>
      </c>
      <c r="AC703" s="1">
        <f>Table2[[#This Row],[BILL_AMT1]]-Table2[[#This Row],[PAY_AMT1]]</f>
        <v>5675</v>
      </c>
      <c r="AD703" s="1" t="str" cm="1">
        <f t="array" ref="AD703">_xlfn.IFS(Table2[[#This Row],[PAYMENT GAP]]&lt;=0,"No Gap / Overpaid",Table2[[#This Row],[PAYMENT GAP]]&lt;=25000,"Low Gap",Table2[[#This Row],[PAYMENT GAP]]&lt;=100000,"Medium Gap",
TRUE,"High Gap"
)</f>
        <v>Low Gap</v>
      </c>
    </row>
    <row r="704" spans="1:30" x14ac:dyDescent="0.3">
      <c r="A704">
        <v>703</v>
      </c>
      <c r="B704" s="1">
        <v>10000</v>
      </c>
      <c r="C704" s="1" t="str" cm="1">
        <f t="array" ref="C704">_xlfn.IFS(Table2[[#This Row],[LIMIT_BAL]]&lt;=100000,"Low",Table2[[#This Row],[LIMIT_BAL]]&lt;=300000,"Medium",
TRUE,"High"
)</f>
        <v>Low</v>
      </c>
      <c r="D704" t="s">
        <v>2041</v>
      </c>
      <c r="E704" t="s">
        <v>2027</v>
      </c>
      <c r="F704" t="s">
        <v>2029</v>
      </c>
      <c r="G704">
        <v>22</v>
      </c>
      <c r="H704" t="str" cm="1">
        <f t="array" ref="H704">_xlfn.IFS(
Table2[[#This Row],[AGE]]&lt;30,"Young",
Table2[[#This Row],[AGE]]&lt;40,"Middle Age",
Table2[[#This Row],[AGE]]&lt;50,"Senior",
TRUE,"Super Senior"
)</f>
        <v>Young</v>
      </c>
      <c r="I704">
        <v>0</v>
      </c>
      <c r="J704">
        <v>0</v>
      </c>
      <c r="K704">
        <v>0</v>
      </c>
      <c r="L704">
        <v>0</v>
      </c>
      <c r="M704">
        <v>-2</v>
      </c>
      <c r="N704">
        <v>-2</v>
      </c>
      <c r="O704" s="1">
        <v>8109</v>
      </c>
      <c r="P704" s="1">
        <v>9778</v>
      </c>
      <c r="Q704" s="1">
        <v>8259</v>
      </c>
      <c r="R704" s="1">
        <v>0</v>
      </c>
      <c r="S704" s="1">
        <v>0</v>
      </c>
      <c r="T704" s="1">
        <v>0</v>
      </c>
      <c r="U704" s="1">
        <v>2000</v>
      </c>
      <c r="V704" s="1">
        <v>1036</v>
      </c>
      <c r="W704" s="1">
        <v>0</v>
      </c>
      <c r="X704" s="1">
        <v>0</v>
      </c>
      <c r="Y704" s="1">
        <v>0</v>
      </c>
      <c r="Z704" s="1">
        <v>0</v>
      </c>
      <c r="AA704">
        <v>1</v>
      </c>
      <c r="AB704" t="str">
        <f t="shared" si="10"/>
        <v>Defaulter</v>
      </c>
      <c r="AC704" s="1">
        <f>Table2[[#This Row],[BILL_AMT1]]-Table2[[#This Row],[PAY_AMT1]]</f>
        <v>6109</v>
      </c>
      <c r="AD704" s="1" t="str" cm="1">
        <f t="array" ref="AD704">_xlfn.IFS(Table2[[#This Row],[PAYMENT GAP]]&lt;=0,"No Gap / Overpaid",Table2[[#This Row],[PAYMENT GAP]]&lt;=25000,"Low Gap",Table2[[#This Row],[PAYMENT GAP]]&lt;=100000,"Medium Gap",
TRUE,"High Gap"
)</f>
        <v>Low Gap</v>
      </c>
    </row>
    <row r="705" spans="1:30" x14ac:dyDescent="0.3">
      <c r="A705">
        <v>704</v>
      </c>
      <c r="B705" s="1">
        <v>50000</v>
      </c>
      <c r="C705" s="1" t="str" cm="1">
        <f t="array" ref="C705">_xlfn.IFS(Table2[[#This Row],[LIMIT_BAL]]&lt;=100000,"Low",Table2[[#This Row],[LIMIT_BAL]]&lt;=300000,"Medium",
TRUE,"High"
)</f>
        <v>Low</v>
      </c>
      <c r="D705" t="s">
        <v>2041</v>
      </c>
      <c r="E705" t="s">
        <v>2043</v>
      </c>
      <c r="F705" t="s">
        <v>2055</v>
      </c>
      <c r="G705">
        <v>30</v>
      </c>
      <c r="H705" t="str" cm="1">
        <f t="array" ref="H705">_xlfn.IFS(
Table2[[#This Row],[AGE]]&lt;30,"Young",
Table2[[#This Row],[AGE]]&lt;40,"Middle Age",
Table2[[#This Row],[AGE]]&lt;50,"Senior",
TRUE,"Super Senior"
)</f>
        <v>Middle Age</v>
      </c>
      <c r="I705">
        <v>1</v>
      </c>
      <c r="J705">
        <v>3</v>
      </c>
      <c r="K705">
        <v>2</v>
      </c>
      <c r="L705">
        <v>0</v>
      </c>
      <c r="M705">
        <v>0</v>
      </c>
      <c r="N705">
        <v>0</v>
      </c>
      <c r="O705" s="1">
        <v>52515</v>
      </c>
      <c r="P705" s="1">
        <v>51424</v>
      </c>
      <c r="Q705" s="1">
        <v>49967</v>
      </c>
      <c r="R705" s="1">
        <v>20036</v>
      </c>
      <c r="S705" s="1">
        <v>20076</v>
      </c>
      <c r="T705" s="1">
        <v>37615</v>
      </c>
      <c r="U705" s="1">
        <v>0</v>
      </c>
      <c r="V705" s="1">
        <v>0</v>
      </c>
      <c r="W705" s="1">
        <v>2000</v>
      </c>
      <c r="X705" s="1">
        <v>1000</v>
      </c>
      <c r="Y705" s="1">
        <v>1000</v>
      </c>
      <c r="Z705" s="1">
        <v>1600</v>
      </c>
      <c r="AA705">
        <v>1</v>
      </c>
      <c r="AB705" t="str">
        <f t="shared" si="10"/>
        <v>Defaulter</v>
      </c>
      <c r="AC705" s="1">
        <f>Table2[[#This Row],[BILL_AMT1]]-Table2[[#This Row],[PAY_AMT1]]</f>
        <v>52515</v>
      </c>
      <c r="AD705" s="1" t="str" cm="1">
        <f t="array" ref="AD705">_xlfn.IFS(Table2[[#This Row],[PAYMENT GAP]]&lt;=0,"No Gap / Overpaid",Table2[[#This Row],[PAYMENT GAP]]&lt;=25000,"Low Gap",Table2[[#This Row],[PAYMENT GAP]]&lt;=100000,"Medium Gap",
TRUE,"High Gap"
)</f>
        <v>Medium Gap</v>
      </c>
    </row>
    <row r="706" spans="1:30" x14ac:dyDescent="0.3">
      <c r="A706">
        <v>705</v>
      </c>
      <c r="B706" s="1">
        <v>30000</v>
      </c>
      <c r="C706" s="1" t="str" cm="1">
        <f t="array" ref="C706">_xlfn.IFS(Table2[[#This Row],[LIMIT_BAL]]&lt;=100000,"Low",Table2[[#This Row],[LIMIT_BAL]]&lt;=300000,"Medium",
TRUE,"High"
)</f>
        <v>Low</v>
      </c>
      <c r="D706" t="s">
        <v>2041</v>
      </c>
      <c r="E706" t="s">
        <v>2043</v>
      </c>
      <c r="F706" t="s">
        <v>2055</v>
      </c>
      <c r="G706">
        <v>22</v>
      </c>
      <c r="H706" t="str" cm="1">
        <f t="array" ref="H706">_xlfn.IFS(
Table2[[#This Row],[AGE]]&lt;30,"Young",
Table2[[#This Row],[AGE]]&lt;40,"Middle Age",
Table2[[#This Row],[AGE]]&lt;50,"Senior",
TRUE,"Super Senior"
)</f>
        <v>Young</v>
      </c>
      <c r="I706">
        <v>1</v>
      </c>
      <c r="J706">
        <v>2</v>
      </c>
      <c r="K706">
        <v>4</v>
      </c>
      <c r="L706">
        <v>3</v>
      </c>
      <c r="M706">
        <v>2</v>
      </c>
      <c r="N706">
        <v>2</v>
      </c>
      <c r="O706" s="1">
        <v>22582</v>
      </c>
      <c r="P706" s="1">
        <v>26518</v>
      </c>
      <c r="Q706" s="1">
        <v>25814</v>
      </c>
      <c r="R706" s="1">
        <v>25110</v>
      </c>
      <c r="S706" s="1">
        <v>24569</v>
      </c>
      <c r="T706" s="1">
        <v>26357</v>
      </c>
      <c r="U706" s="1">
        <v>4600</v>
      </c>
      <c r="V706" s="1">
        <v>0</v>
      </c>
      <c r="W706" s="1">
        <v>0</v>
      </c>
      <c r="X706" s="1">
        <v>0</v>
      </c>
      <c r="Y706" s="1">
        <v>2200</v>
      </c>
      <c r="Z706" s="1">
        <v>2500</v>
      </c>
      <c r="AA706">
        <v>0</v>
      </c>
      <c r="AB706" t="str">
        <f t="shared" si="10"/>
        <v>Not Defaulter</v>
      </c>
      <c r="AC706" s="1">
        <f>Table2[[#This Row],[BILL_AMT1]]-Table2[[#This Row],[PAY_AMT1]]</f>
        <v>17982</v>
      </c>
      <c r="AD706" s="1" t="str" cm="1">
        <f t="array" ref="AD706">_xlfn.IFS(Table2[[#This Row],[PAYMENT GAP]]&lt;=0,"No Gap / Overpaid",Table2[[#This Row],[PAYMENT GAP]]&lt;=25000,"Low Gap",Table2[[#This Row],[PAYMENT GAP]]&lt;=100000,"Medium Gap",
TRUE,"High Gap"
)</f>
        <v>Low Gap</v>
      </c>
    </row>
    <row r="707" spans="1:30" x14ac:dyDescent="0.3">
      <c r="A707">
        <v>706</v>
      </c>
      <c r="B707" s="1">
        <v>50000</v>
      </c>
      <c r="C707" s="1" t="str" cm="1">
        <f t="array" ref="C707">_xlfn.IFS(Table2[[#This Row],[LIMIT_BAL]]&lt;=100000,"Low",Table2[[#This Row],[LIMIT_BAL]]&lt;=300000,"Medium",
TRUE,"High"
)</f>
        <v>Low</v>
      </c>
      <c r="D707" t="s">
        <v>2042</v>
      </c>
      <c r="E707" t="s">
        <v>2026</v>
      </c>
      <c r="F707" t="s">
        <v>2029</v>
      </c>
      <c r="G707">
        <v>26</v>
      </c>
      <c r="H707" t="str" cm="1">
        <f t="array" ref="H707">_xlfn.IFS(
Table2[[#This Row],[AGE]]&lt;30,"Young",
Table2[[#This Row],[AGE]]&lt;40,"Middle Age",
Table2[[#This Row],[AGE]]&lt;50,"Senior",
TRUE,"Super Senior"
)</f>
        <v>Young</v>
      </c>
      <c r="I707">
        <v>-1</v>
      </c>
      <c r="J707">
        <v>0</v>
      </c>
      <c r="K707">
        <v>0</v>
      </c>
      <c r="L707">
        <v>0</v>
      </c>
      <c r="M707">
        <v>0</v>
      </c>
      <c r="N707">
        <v>0</v>
      </c>
      <c r="O707" s="1">
        <v>15448</v>
      </c>
      <c r="P707" s="1">
        <v>16392</v>
      </c>
      <c r="Q707" s="1">
        <v>18096</v>
      </c>
      <c r="R707" s="1">
        <v>18425</v>
      </c>
      <c r="S707" s="1">
        <v>18619</v>
      </c>
      <c r="T707" s="1">
        <v>19060</v>
      </c>
      <c r="U707" s="1">
        <v>1500</v>
      </c>
      <c r="V707" s="1">
        <v>2000</v>
      </c>
      <c r="W707" s="1">
        <v>1500</v>
      </c>
      <c r="X707" s="1">
        <v>1200</v>
      </c>
      <c r="Y707" s="1">
        <v>900</v>
      </c>
      <c r="Z707" s="1">
        <v>1000</v>
      </c>
      <c r="AA707">
        <v>1</v>
      </c>
      <c r="AB707" t="str">
        <f t="shared" ref="AB707:AB770" si="11">IF(AA707=1,"Defaulter","Not Defaulter")</f>
        <v>Defaulter</v>
      </c>
      <c r="AC707" s="1">
        <f>Table2[[#This Row],[BILL_AMT1]]-Table2[[#This Row],[PAY_AMT1]]</f>
        <v>13948</v>
      </c>
      <c r="AD707" s="1" t="str" cm="1">
        <f t="array" ref="AD707">_xlfn.IFS(Table2[[#This Row],[PAYMENT GAP]]&lt;=0,"No Gap / Overpaid",Table2[[#This Row],[PAYMENT GAP]]&lt;=25000,"Low Gap",Table2[[#This Row],[PAYMENT GAP]]&lt;=100000,"Medium Gap",
TRUE,"High Gap"
)</f>
        <v>Low Gap</v>
      </c>
    </row>
    <row r="708" spans="1:30" x14ac:dyDescent="0.3">
      <c r="A708">
        <v>707</v>
      </c>
      <c r="B708" s="1">
        <v>50000</v>
      </c>
      <c r="C708" s="1" t="str" cm="1">
        <f t="array" ref="C708">_xlfn.IFS(Table2[[#This Row],[LIMIT_BAL]]&lt;=100000,"Low",Table2[[#This Row],[LIMIT_BAL]]&lt;=300000,"Medium",
TRUE,"High"
)</f>
        <v>Low</v>
      </c>
      <c r="D708" t="s">
        <v>2042</v>
      </c>
      <c r="E708" t="s">
        <v>2043</v>
      </c>
      <c r="F708" t="s">
        <v>2028</v>
      </c>
      <c r="G708">
        <v>38</v>
      </c>
      <c r="H708" t="str" cm="1">
        <f t="array" ref="H708">_xlfn.IFS(
Table2[[#This Row],[AGE]]&lt;30,"Young",
Table2[[#This Row],[AGE]]&lt;40,"Middle Age",
Table2[[#This Row],[AGE]]&lt;50,"Senior",
TRUE,"Super Senior"
)</f>
        <v>Middle Age</v>
      </c>
      <c r="I708">
        <v>1</v>
      </c>
      <c r="J708">
        <v>2</v>
      </c>
      <c r="K708">
        <v>0</v>
      </c>
      <c r="L708">
        <v>0</v>
      </c>
      <c r="M708">
        <v>0</v>
      </c>
      <c r="N708">
        <v>0</v>
      </c>
      <c r="O708" s="1">
        <v>58102</v>
      </c>
      <c r="P708" s="1">
        <v>59011</v>
      </c>
      <c r="Q708" s="1">
        <v>56272</v>
      </c>
      <c r="R708" s="1">
        <v>53663</v>
      </c>
      <c r="S708" s="1">
        <v>51507</v>
      </c>
      <c r="T708" s="1">
        <v>50616</v>
      </c>
      <c r="U708" s="1">
        <v>2500</v>
      </c>
      <c r="V708" s="1">
        <v>2500</v>
      </c>
      <c r="W708" s="1">
        <v>2000</v>
      </c>
      <c r="X708" s="1">
        <v>2000</v>
      </c>
      <c r="Y708" s="1">
        <v>3200</v>
      </c>
      <c r="Z708" s="1">
        <v>2000</v>
      </c>
      <c r="AA708">
        <v>0</v>
      </c>
      <c r="AB708" t="str">
        <f t="shared" si="11"/>
        <v>Not Defaulter</v>
      </c>
      <c r="AC708" s="1">
        <f>Table2[[#This Row],[BILL_AMT1]]-Table2[[#This Row],[PAY_AMT1]]</f>
        <v>55602</v>
      </c>
      <c r="AD708" s="1" t="str" cm="1">
        <f t="array" ref="AD708">_xlfn.IFS(Table2[[#This Row],[PAYMENT GAP]]&lt;=0,"No Gap / Overpaid",Table2[[#This Row],[PAYMENT GAP]]&lt;=25000,"Low Gap",Table2[[#This Row],[PAYMENT GAP]]&lt;=100000,"Medium Gap",
TRUE,"High Gap"
)</f>
        <v>Medium Gap</v>
      </c>
    </row>
    <row r="709" spans="1:30" x14ac:dyDescent="0.3">
      <c r="A709">
        <v>708</v>
      </c>
      <c r="B709" s="1">
        <v>30000</v>
      </c>
      <c r="C709" s="1" t="str" cm="1">
        <f t="array" ref="C709">_xlfn.IFS(Table2[[#This Row],[LIMIT_BAL]]&lt;=100000,"Low",Table2[[#This Row],[LIMIT_BAL]]&lt;=300000,"Medium",
TRUE,"High"
)</f>
        <v>Low</v>
      </c>
      <c r="D709" t="s">
        <v>2041</v>
      </c>
      <c r="E709" t="s">
        <v>2027</v>
      </c>
      <c r="F709" t="s">
        <v>2028</v>
      </c>
      <c r="G709">
        <v>46</v>
      </c>
      <c r="H709" t="str" cm="1">
        <f t="array" ref="H709">_xlfn.IFS(
Table2[[#This Row],[AGE]]&lt;30,"Young",
Table2[[#This Row],[AGE]]&lt;40,"Middle Age",
Table2[[#This Row],[AGE]]&lt;50,"Senior",
TRUE,"Super Senior"
)</f>
        <v>Senior</v>
      </c>
      <c r="I709">
        <v>1</v>
      </c>
      <c r="J709">
        <v>2</v>
      </c>
      <c r="K709">
        <v>2</v>
      </c>
      <c r="L709">
        <v>2</v>
      </c>
      <c r="M709">
        <v>2</v>
      </c>
      <c r="N709">
        <v>2</v>
      </c>
      <c r="O709" s="1">
        <v>12289</v>
      </c>
      <c r="P709" s="1">
        <v>11806</v>
      </c>
      <c r="Q709" s="1">
        <v>13268</v>
      </c>
      <c r="R709" s="1">
        <v>12758</v>
      </c>
      <c r="S709" s="1">
        <v>13549</v>
      </c>
      <c r="T709" s="1">
        <v>14673</v>
      </c>
      <c r="U709" s="1">
        <v>0</v>
      </c>
      <c r="V709" s="1">
        <v>1970</v>
      </c>
      <c r="W709" s="1">
        <v>0</v>
      </c>
      <c r="X709" s="1">
        <v>1000</v>
      </c>
      <c r="Y709" s="1">
        <v>1500</v>
      </c>
      <c r="Z709" s="1">
        <v>0</v>
      </c>
      <c r="AA709">
        <v>0</v>
      </c>
      <c r="AB709" t="str">
        <f t="shared" si="11"/>
        <v>Not Defaulter</v>
      </c>
      <c r="AC709" s="1">
        <f>Table2[[#This Row],[BILL_AMT1]]-Table2[[#This Row],[PAY_AMT1]]</f>
        <v>12289</v>
      </c>
      <c r="AD709" s="1" t="str" cm="1">
        <f t="array" ref="AD709">_xlfn.IFS(Table2[[#This Row],[PAYMENT GAP]]&lt;=0,"No Gap / Overpaid",Table2[[#This Row],[PAYMENT GAP]]&lt;=25000,"Low Gap",Table2[[#This Row],[PAYMENT GAP]]&lt;=100000,"Medium Gap",
TRUE,"High Gap"
)</f>
        <v>Low Gap</v>
      </c>
    </row>
    <row r="710" spans="1:30" x14ac:dyDescent="0.3">
      <c r="A710">
        <v>709</v>
      </c>
      <c r="B710" s="1">
        <v>20000</v>
      </c>
      <c r="C710" s="1" t="str" cm="1">
        <f t="array" ref="C710">_xlfn.IFS(Table2[[#This Row],[LIMIT_BAL]]&lt;=100000,"Low",Table2[[#This Row],[LIMIT_BAL]]&lt;=300000,"Medium",
TRUE,"High"
)</f>
        <v>Low</v>
      </c>
      <c r="D710" t="s">
        <v>2042</v>
      </c>
      <c r="E710" t="s">
        <v>2043</v>
      </c>
      <c r="F710" t="s">
        <v>2029</v>
      </c>
      <c r="G710">
        <v>24</v>
      </c>
      <c r="H710" t="str" cm="1">
        <f t="array" ref="H710">_xlfn.IFS(
Table2[[#This Row],[AGE]]&lt;30,"Young",
Table2[[#This Row],[AGE]]&lt;40,"Middle Age",
Table2[[#This Row],[AGE]]&lt;50,"Senior",
TRUE,"Super Senior"
)</f>
        <v>Young</v>
      </c>
      <c r="I710">
        <v>0</v>
      </c>
      <c r="J710">
        <v>0</v>
      </c>
      <c r="K710">
        <v>-1</v>
      </c>
      <c r="L710">
        <v>2</v>
      </c>
      <c r="M710">
        <v>0</v>
      </c>
      <c r="N710">
        <v>0</v>
      </c>
      <c r="O710" s="1">
        <v>10476</v>
      </c>
      <c r="P710" s="1">
        <v>7279</v>
      </c>
      <c r="Q710" s="1">
        <v>688</v>
      </c>
      <c r="R710" s="1">
        <v>688</v>
      </c>
      <c r="S710" s="1">
        <v>688</v>
      </c>
      <c r="T710" s="1">
        <v>1320</v>
      </c>
      <c r="U710" s="1">
        <v>1000</v>
      </c>
      <c r="V710" s="1">
        <v>688</v>
      </c>
      <c r="W710" s="1">
        <v>0</v>
      </c>
      <c r="X710" s="1">
        <v>0</v>
      </c>
      <c r="Y710" s="1">
        <v>650</v>
      </c>
      <c r="Z710" s="1">
        <v>0</v>
      </c>
      <c r="AA710">
        <v>0</v>
      </c>
      <c r="AB710" t="str">
        <f t="shared" si="11"/>
        <v>Not Defaulter</v>
      </c>
      <c r="AC710" s="1">
        <f>Table2[[#This Row],[BILL_AMT1]]-Table2[[#This Row],[PAY_AMT1]]</f>
        <v>9476</v>
      </c>
      <c r="AD710" s="1" t="str" cm="1">
        <f t="array" ref="AD710">_xlfn.IFS(Table2[[#This Row],[PAYMENT GAP]]&lt;=0,"No Gap / Overpaid",Table2[[#This Row],[PAYMENT GAP]]&lt;=25000,"Low Gap",Table2[[#This Row],[PAYMENT GAP]]&lt;=100000,"Medium Gap",
TRUE,"High Gap"
)</f>
        <v>Low Gap</v>
      </c>
    </row>
    <row r="711" spans="1:30" x14ac:dyDescent="0.3">
      <c r="A711">
        <v>710</v>
      </c>
      <c r="B711" s="1">
        <v>20000</v>
      </c>
      <c r="C711" s="1" t="str" cm="1">
        <f t="array" ref="C711">_xlfn.IFS(Table2[[#This Row],[LIMIT_BAL]]&lt;=100000,"Low",Table2[[#This Row],[LIMIT_BAL]]&lt;=300000,"Medium",
TRUE,"High"
)</f>
        <v>Low</v>
      </c>
      <c r="D711" t="s">
        <v>2042</v>
      </c>
      <c r="E711" t="s">
        <v>2043</v>
      </c>
      <c r="F711" t="s">
        <v>2029</v>
      </c>
      <c r="G711">
        <v>49</v>
      </c>
      <c r="H711" t="str" cm="1">
        <f t="array" ref="H711">_xlfn.IFS(
Table2[[#This Row],[AGE]]&lt;30,"Young",
Table2[[#This Row],[AGE]]&lt;40,"Middle Age",
Table2[[#This Row],[AGE]]&lt;50,"Senior",
TRUE,"Super Senior"
)</f>
        <v>Senior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 s="1">
        <v>16326</v>
      </c>
      <c r="P711" s="1">
        <v>17497</v>
      </c>
      <c r="Q711" s="1">
        <v>18456</v>
      </c>
      <c r="R711" s="1">
        <v>18424</v>
      </c>
      <c r="S711" s="1">
        <v>18800</v>
      </c>
      <c r="T711" s="1">
        <v>10000</v>
      </c>
      <c r="U711" s="1">
        <v>1441</v>
      </c>
      <c r="V711" s="1">
        <v>1400</v>
      </c>
      <c r="W711" s="1">
        <v>368</v>
      </c>
      <c r="X711" s="1">
        <v>376</v>
      </c>
      <c r="Y711" s="1">
        <v>200</v>
      </c>
      <c r="Z711" s="1">
        <v>0</v>
      </c>
      <c r="AA711">
        <v>0</v>
      </c>
      <c r="AB711" t="str">
        <f t="shared" si="11"/>
        <v>Not Defaulter</v>
      </c>
      <c r="AC711" s="1">
        <f>Table2[[#This Row],[BILL_AMT1]]-Table2[[#This Row],[PAY_AMT1]]</f>
        <v>14885</v>
      </c>
      <c r="AD711" s="1" t="str" cm="1">
        <f t="array" ref="AD711">_xlfn.IFS(Table2[[#This Row],[PAYMENT GAP]]&lt;=0,"No Gap / Overpaid",Table2[[#This Row],[PAYMENT GAP]]&lt;=25000,"Low Gap",Table2[[#This Row],[PAYMENT GAP]]&lt;=100000,"Medium Gap",
TRUE,"High Gap"
)</f>
        <v>Low Gap</v>
      </c>
    </row>
    <row r="712" spans="1:30" x14ac:dyDescent="0.3">
      <c r="A712">
        <v>711</v>
      </c>
      <c r="B712" s="1">
        <v>50000</v>
      </c>
      <c r="C712" s="1" t="str" cm="1">
        <f t="array" ref="C712">_xlfn.IFS(Table2[[#This Row],[LIMIT_BAL]]&lt;=100000,"Low",Table2[[#This Row],[LIMIT_BAL]]&lt;=300000,"Medium",
TRUE,"High"
)</f>
        <v>Low</v>
      </c>
      <c r="D712" t="s">
        <v>2042</v>
      </c>
      <c r="E712" t="s">
        <v>2026</v>
      </c>
      <c r="F712" t="s">
        <v>2055</v>
      </c>
      <c r="G712">
        <v>49</v>
      </c>
      <c r="H712" t="str" cm="1">
        <f t="array" ref="H712">_xlfn.IFS(
Table2[[#This Row],[AGE]]&lt;30,"Young",
Table2[[#This Row],[AGE]]&lt;40,"Middle Age",
Table2[[#This Row],[AGE]]&lt;50,"Senior",
TRUE,"Super Senior"
)</f>
        <v>Senior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 s="1">
        <v>17681</v>
      </c>
      <c r="P712" s="1">
        <v>18249</v>
      </c>
      <c r="Q712" s="1">
        <v>18054</v>
      </c>
      <c r="R712" s="1">
        <v>18569</v>
      </c>
      <c r="S712" s="1">
        <v>19152</v>
      </c>
      <c r="T712" s="1">
        <v>18088</v>
      </c>
      <c r="U712" s="1">
        <v>1611</v>
      </c>
      <c r="V712" s="1">
        <v>2000</v>
      </c>
      <c r="W712" s="1">
        <v>780</v>
      </c>
      <c r="X712" s="1">
        <v>1000</v>
      </c>
      <c r="Y712" s="1">
        <v>1000</v>
      </c>
      <c r="Z712" s="1">
        <v>2000</v>
      </c>
      <c r="AA712">
        <v>0</v>
      </c>
      <c r="AB712" t="str">
        <f t="shared" si="11"/>
        <v>Not Defaulter</v>
      </c>
      <c r="AC712" s="1">
        <f>Table2[[#This Row],[BILL_AMT1]]-Table2[[#This Row],[PAY_AMT1]]</f>
        <v>16070</v>
      </c>
      <c r="AD712" s="1" t="str" cm="1">
        <f t="array" ref="AD712">_xlfn.IFS(Table2[[#This Row],[PAYMENT GAP]]&lt;=0,"No Gap / Overpaid",Table2[[#This Row],[PAYMENT GAP]]&lt;=25000,"Low Gap",Table2[[#This Row],[PAYMENT GAP]]&lt;=100000,"Medium Gap",
TRUE,"High Gap"
)</f>
        <v>Low Gap</v>
      </c>
    </row>
    <row r="713" spans="1:30" x14ac:dyDescent="0.3">
      <c r="A713">
        <v>712</v>
      </c>
      <c r="B713" s="1">
        <v>30000</v>
      </c>
      <c r="C713" s="1" t="str" cm="1">
        <f t="array" ref="C713">_xlfn.IFS(Table2[[#This Row],[LIMIT_BAL]]&lt;=100000,"Low",Table2[[#This Row],[LIMIT_BAL]]&lt;=300000,"Medium",
TRUE,"High"
)</f>
        <v>Low</v>
      </c>
      <c r="D713" t="s">
        <v>2041</v>
      </c>
      <c r="E713" t="s">
        <v>2043</v>
      </c>
      <c r="F713" t="s">
        <v>2028</v>
      </c>
      <c r="G713">
        <v>42</v>
      </c>
      <c r="H713" t="str" cm="1">
        <f t="array" ref="H713">_xlfn.IFS(
Table2[[#This Row],[AGE]]&lt;30,"Young",
Table2[[#This Row],[AGE]]&lt;40,"Middle Age",
Table2[[#This Row],[AGE]]&lt;50,"Senior",
TRUE,"Super Senior"
)</f>
        <v>Senior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 s="1">
        <v>47912</v>
      </c>
      <c r="P713" s="1">
        <v>25023</v>
      </c>
      <c r="Q713" s="1">
        <v>25768</v>
      </c>
      <c r="R713" s="1">
        <v>26410</v>
      </c>
      <c r="S713" s="1">
        <v>27960</v>
      </c>
      <c r="T713" s="1">
        <v>46254</v>
      </c>
      <c r="U713" s="1">
        <v>1755</v>
      </c>
      <c r="V713" s="1">
        <v>1500</v>
      </c>
      <c r="W713" s="1">
        <v>1000</v>
      </c>
      <c r="X713" s="1">
        <v>1909</v>
      </c>
      <c r="Y713" s="1">
        <v>1000</v>
      </c>
      <c r="Z713" s="1">
        <v>2000</v>
      </c>
      <c r="AA713">
        <v>0</v>
      </c>
      <c r="AB713" t="str">
        <f t="shared" si="11"/>
        <v>Not Defaulter</v>
      </c>
      <c r="AC713" s="1">
        <f>Table2[[#This Row],[BILL_AMT1]]-Table2[[#This Row],[PAY_AMT1]]</f>
        <v>46157</v>
      </c>
      <c r="AD713" s="1" t="str" cm="1">
        <f t="array" ref="AD713">_xlfn.IFS(Table2[[#This Row],[PAYMENT GAP]]&lt;=0,"No Gap / Overpaid",Table2[[#This Row],[PAYMENT GAP]]&lt;=25000,"Low Gap",Table2[[#This Row],[PAYMENT GAP]]&lt;=100000,"Medium Gap",
TRUE,"High Gap"
)</f>
        <v>Medium Gap</v>
      </c>
    </row>
    <row r="714" spans="1:30" x14ac:dyDescent="0.3">
      <c r="A714">
        <v>713</v>
      </c>
      <c r="B714" s="1">
        <v>360000</v>
      </c>
      <c r="C714" s="1" t="str" cm="1">
        <f t="array" ref="C714">_xlfn.IFS(Table2[[#This Row],[LIMIT_BAL]]&lt;=100000,"Low",Table2[[#This Row],[LIMIT_BAL]]&lt;=300000,"Medium",
TRUE,"High"
)</f>
        <v>High</v>
      </c>
      <c r="D714" t="s">
        <v>2041</v>
      </c>
      <c r="E714" t="s">
        <v>2026</v>
      </c>
      <c r="F714" t="s">
        <v>2028</v>
      </c>
      <c r="G714">
        <v>30</v>
      </c>
      <c r="H714" t="str" cm="1">
        <f t="array" ref="H714">_xlfn.IFS(
Table2[[#This Row],[AGE]]&lt;30,"Young",
Table2[[#This Row],[AGE]]&lt;40,"Middle Age",
Table2[[#This Row],[AGE]]&lt;50,"Senior",
TRUE,"Super Senior"
)</f>
        <v>Middle Age</v>
      </c>
      <c r="I714">
        <v>1</v>
      </c>
      <c r="J714">
        <v>2</v>
      </c>
      <c r="K714">
        <v>-1</v>
      </c>
      <c r="L714">
        <v>0</v>
      </c>
      <c r="M714">
        <v>-1</v>
      </c>
      <c r="N714">
        <v>-1</v>
      </c>
      <c r="O714" s="1">
        <v>18886</v>
      </c>
      <c r="P714" s="1">
        <v>14249</v>
      </c>
      <c r="Q714" s="1">
        <v>3821</v>
      </c>
      <c r="R714" s="1">
        <v>2404</v>
      </c>
      <c r="S714" s="1">
        <v>319</v>
      </c>
      <c r="T714" s="1">
        <v>0</v>
      </c>
      <c r="U714" s="1">
        <v>0</v>
      </c>
      <c r="V714" s="1">
        <v>3828</v>
      </c>
      <c r="W714" s="1">
        <v>2000</v>
      </c>
      <c r="X714" s="1">
        <v>319</v>
      </c>
      <c r="Y714" s="1">
        <v>0</v>
      </c>
      <c r="Z714" s="1">
        <v>0</v>
      </c>
      <c r="AA714">
        <v>0</v>
      </c>
      <c r="AB714" t="str">
        <f t="shared" si="11"/>
        <v>Not Defaulter</v>
      </c>
      <c r="AC714" s="1">
        <f>Table2[[#This Row],[BILL_AMT1]]-Table2[[#This Row],[PAY_AMT1]]</f>
        <v>18886</v>
      </c>
      <c r="AD714" s="1" t="str" cm="1">
        <f t="array" ref="AD714">_xlfn.IFS(Table2[[#This Row],[PAYMENT GAP]]&lt;=0,"No Gap / Overpaid",Table2[[#This Row],[PAYMENT GAP]]&lt;=25000,"Low Gap",Table2[[#This Row],[PAYMENT GAP]]&lt;=100000,"Medium Gap",
TRUE,"High Gap"
)</f>
        <v>Low Gap</v>
      </c>
    </row>
    <row r="715" spans="1:30" x14ac:dyDescent="0.3">
      <c r="A715">
        <v>714</v>
      </c>
      <c r="B715" s="1">
        <v>170000</v>
      </c>
      <c r="C715" s="1" t="str" cm="1">
        <f t="array" ref="C715">_xlfn.IFS(Table2[[#This Row],[LIMIT_BAL]]&lt;=100000,"Low",Table2[[#This Row],[LIMIT_BAL]]&lt;=300000,"Medium",
TRUE,"High"
)</f>
        <v>Medium</v>
      </c>
      <c r="D715" t="s">
        <v>2042</v>
      </c>
      <c r="E715" t="s">
        <v>2043</v>
      </c>
      <c r="F715" t="s">
        <v>2028</v>
      </c>
      <c r="G715">
        <v>42</v>
      </c>
      <c r="H715" t="str" cm="1">
        <f t="array" ref="H715">_xlfn.IFS(
Table2[[#This Row],[AGE]]&lt;30,"Young",
Table2[[#This Row],[AGE]]&lt;40,"Middle Age",
Table2[[#This Row],[AGE]]&lt;50,"Senior",
TRUE,"Super Senior"
)</f>
        <v>Senior</v>
      </c>
      <c r="I715">
        <v>1</v>
      </c>
      <c r="J715">
        <v>-1</v>
      </c>
      <c r="K715">
        <v>-1</v>
      </c>
      <c r="L715">
        <v>-2</v>
      </c>
      <c r="M715">
        <v>-2</v>
      </c>
      <c r="N715">
        <v>-1</v>
      </c>
      <c r="O715" s="1">
        <v>0</v>
      </c>
      <c r="P715" s="1">
        <v>1690</v>
      </c>
      <c r="Q715" s="1">
        <v>0</v>
      </c>
      <c r="R715" s="1">
        <v>0</v>
      </c>
      <c r="S715" s="1">
        <v>0</v>
      </c>
      <c r="T715" s="1">
        <v>4750</v>
      </c>
      <c r="U715" s="1">
        <v>1690</v>
      </c>
      <c r="V715" s="1">
        <v>0</v>
      </c>
      <c r="W715" s="1">
        <v>0</v>
      </c>
      <c r="X715" s="1">
        <v>0</v>
      </c>
      <c r="Y715" s="1">
        <v>4750</v>
      </c>
      <c r="Z715" s="1">
        <v>0</v>
      </c>
      <c r="AA715">
        <v>0</v>
      </c>
      <c r="AB715" t="str">
        <f t="shared" si="11"/>
        <v>Not Defaulter</v>
      </c>
      <c r="AC715" s="1">
        <f>Table2[[#This Row],[BILL_AMT1]]-Table2[[#This Row],[PAY_AMT1]]</f>
        <v>-1690</v>
      </c>
      <c r="AD715" s="1" t="str" cm="1">
        <f t="array" ref="AD715">_xlfn.IFS(Table2[[#This Row],[PAYMENT GAP]]&lt;=0,"No Gap / Overpaid",Table2[[#This Row],[PAYMENT GAP]]&lt;=25000,"Low Gap",Table2[[#This Row],[PAYMENT GAP]]&lt;=100000,"Medium Gap",
TRUE,"High Gap"
)</f>
        <v>No Gap / Overpaid</v>
      </c>
    </row>
    <row r="716" spans="1:30" x14ac:dyDescent="0.3">
      <c r="A716">
        <v>715</v>
      </c>
      <c r="B716" s="1">
        <v>400000</v>
      </c>
      <c r="C716" s="1" t="str" cm="1">
        <f t="array" ref="C716">_xlfn.IFS(Table2[[#This Row],[LIMIT_BAL]]&lt;=100000,"Low",Table2[[#This Row],[LIMIT_BAL]]&lt;=300000,"Medium",
TRUE,"High"
)</f>
        <v>High</v>
      </c>
      <c r="D716" t="s">
        <v>2041</v>
      </c>
      <c r="E716" t="s">
        <v>2026</v>
      </c>
      <c r="F716" t="s">
        <v>2029</v>
      </c>
      <c r="G716">
        <v>31</v>
      </c>
      <c r="H716" t="str" cm="1">
        <f t="array" ref="H716">_xlfn.IFS(
Table2[[#This Row],[AGE]]&lt;30,"Young",
Table2[[#This Row],[AGE]]&lt;40,"Middle Age",
Table2[[#This Row],[AGE]]&lt;50,"Senior",
TRUE,"Super Senior"
)</f>
        <v>Middle Age</v>
      </c>
      <c r="I716">
        <v>-2</v>
      </c>
      <c r="J716">
        <v>-2</v>
      </c>
      <c r="K716">
        <v>-2</v>
      </c>
      <c r="L716">
        <v>-2</v>
      </c>
      <c r="M716">
        <v>-2</v>
      </c>
      <c r="N716">
        <v>-2</v>
      </c>
      <c r="O716" s="1">
        <v>203</v>
      </c>
      <c r="P716" s="1">
        <v>767</v>
      </c>
      <c r="Q716" s="1">
        <v>664</v>
      </c>
      <c r="R716" s="1">
        <v>1250</v>
      </c>
      <c r="S716" s="1">
        <v>-10</v>
      </c>
      <c r="T716" s="1">
        <v>2174</v>
      </c>
      <c r="U716" s="1">
        <v>770</v>
      </c>
      <c r="V716" s="1">
        <v>667</v>
      </c>
      <c r="W716" s="1">
        <v>1256</v>
      </c>
      <c r="X716" s="1">
        <v>0</v>
      </c>
      <c r="Y716" s="1">
        <v>2184</v>
      </c>
      <c r="Z716" s="1">
        <v>0</v>
      </c>
      <c r="AA716">
        <v>0</v>
      </c>
      <c r="AB716" t="str">
        <f t="shared" si="11"/>
        <v>Not Defaulter</v>
      </c>
      <c r="AC716" s="1">
        <f>Table2[[#This Row],[BILL_AMT1]]-Table2[[#This Row],[PAY_AMT1]]</f>
        <v>-567</v>
      </c>
      <c r="AD716" s="1" t="str" cm="1">
        <f t="array" ref="AD716">_xlfn.IFS(Table2[[#This Row],[PAYMENT GAP]]&lt;=0,"No Gap / Overpaid",Table2[[#This Row],[PAYMENT GAP]]&lt;=25000,"Low Gap",Table2[[#This Row],[PAYMENT GAP]]&lt;=100000,"Medium Gap",
TRUE,"High Gap"
)</f>
        <v>No Gap / Overpaid</v>
      </c>
    </row>
    <row r="717" spans="1:30" x14ac:dyDescent="0.3">
      <c r="A717">
        <v>716</v>
      </c>
      <c r="B717" s="1">
        <v>50000</v>
      </c>
      <c r="C717" s="1" t="str" cm="1">
        <f t="array" ref="C717">_xlfn.IFS(Table2[[#This Row],[LIMIT_BAL]]&lt;=100000,"Low",Table2[[#This Row],[LIMIT_BAL]]&lt;=300000,"Medium",
TRUE,"High"
)</f>
        <v>Low</v>
      </c>
      <c r="D717" t="s">
        <v>2041</v>
      </c>
      <c r="E717" t="s">
        <v>2043</v>
      </c>
      <c r="F717" t="s">
        <v>2028</v>
      </c>
      <c r="G717">
        <v>49</v>
      </c>
      <c r="H717" t="str" cm="1">
        <f t="array" ref="H717">_xlfn.IFS(
Table2[[#This Row],[AGE]]&lt;30,"Young",
Table2[[#This Row],[AGE]]&lt;40,"Middle Age",
Table2[[#This Row],[AGE]]&lt;50,"Senior",
TRUE,"Super Senior"
)</f>
        <v>Senior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 s="1">
        <v>34962</v>
      </c>
      <c r="P717" s="1">
        <v>32275</v>
      </c>
      <c r="Q717" s="1">
        <v>31253</v>
      </c>
      <c r="R717" s="1">
        <v>32014</v>
      </c>
      <c r="S717" s="1">
        <v>33573</v>
      </c>
      <c r="T717" s="1">
        <v>29645</v>
      </c>
      <c r="U717" s="1">
        <v>1613</v>
      </c>
      <c r="V717" s="1">
        <v>2000</v>
      </c>
      <c r="W717" s="1">
        <v>1500</v>
      </c>
      <c r="X717" s="1">
        <v>2000</v>
      </c>
      <c r="Y717" s="1">
        <v>1645</v>
      </c>
      <c r="Z717" s="1">
        <v>1064</v>
      </c>
      <c r="AA717">
        <v>0</v>
      </c>
      <c r="AB717" t="str">
        <f t="shared" si="11"/>
        <v>Not Defaulter</v>
      </c>
      <c r="AC717" s="1">
        <f>Table2[[#This Row],[BILL_AMT1]]-Table2[[#This Row],[PAY_AMT1]]</f>
        <v>33349</v>
      </c>
      <c r="AD717" s="1" t="str" cm="1">
        <f t="array" ref="AD717">_xlfn.IFS(Table2[[#This Row],[PAYMENT GAP]]&lt;=0,"No Gap / Overpaid",Table2[[#This Row],[PAYMENT GAP]]&lt;=25000,"Low Gap",Table2[[#This Row],[PAYMENT GAP]]&lt;=100000,"Medium Gap",
TRUE,"High Gap"
)</f>
        <v>Medium Gap</v>
      </c>
    </row>
    <row r="718" spans="1:30" x14ac:dyDescent="0.3">
      <c r="A718">
        <v>717</v>
      </c>
      <c r="B718" s="1">
        <v>160000</v>
      </c>
      <c r="C718" s="1" t="str" cm="1">
        <f t="array" ref="C718">_xlfn.IFS(Table2[[#This Row],[LIMIT_BAL]]&lt;=100000,"Low",Table2[[#This Row],[LIMIT_BAL]]&lt;=300000,"Medium",
TRUE,"High"
)</f>
        <v>Medium</v>
      </c>
      <c r="D718" t="s">
        <v>2041</v>
      </c>
      <c r="E718" t="s">
        <v>2043</v>
      </c>
      <c r="F718" t="s">
        <v>2029</v>
      </c>
      <c r="G718">
        <v>27</v>
      </c>
      <c r="H718" t="str" cm="1">
        <f t="array" ref="H718">_xlfn.IFS(
Table2[[#This Row],[AGE]]&lt;30,"Young",
Table2[[#This Row],[AGE]]&lt;40,"Middle Age",
Table2[[#This Row],[AGE]]&lt;50,"Senior",
TRUE,"Super Senior"
)</f>
        <v>Young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 s="1">
        <v>80964</v>
      </c>
      <c r="P718" s="1">
        <v>80337</v>
      </c>
      <c r="Q718" s="1">
        <v>82182</v>
      </c>
      <c r="R718" s="1">
        <v>82586</v>
      </c>
      <c r="S718" s="1">
        <v>85145</v>
      </c>
      <c r="T718" s="1">
        <v>87049</v>
      </c>
      <c r="U718" s="1">
        <v>4000</v>
      </c>
      <c r="V718" s="1">
        <v>4000</v>
      </c>
      <c r="W718" s="1">
        <v>3500</v>
      </c>
      <c r="X718" s="1">
        <v>4000</v>
      </c>
      <c r="Y718" s="1">
        <v>4000</v>
      </c>
      <c r="Z718" s="1">
        <v>2500</v>
      </c>
      <c r="AA718">
        <v>0</v>
      </c>
      <c r="AB718" t="str">
        <f t="shared" si="11"/>
        <v>Not Defaulter</v>
      </c>
      <c r="AC718" s="1">
        <f>Table2[[#This Row],[BILL_AMT1]]-Table2[[#This Row],[PAY_AMT1]]</f>
        <v>76964</v>
      </c>
      <c r="AD718" s="1" t="str" cm="1">
        <f t="array" ref="AD718">_xlfn.IFS(Table2[[#This Row],[PAYMENT GAP]]&lt;=0,"No Gap / Overpaid",Table2[[#This Row],[PAYMENT GAP]]&lt;=25000,"Low Gap",Table2[[#This Row],[PAYMENT GAP]]&lt;=100000,"Medium Gap",
TRUE,"High Gap"
)</f>
        <v>Medium Gap</v>
      </c>
    </row>
    <row r="719" spans="1:30" x14ac:dyDescent="0.3">
      <c r="A719">
        <v>718</v>
      </c>
      <c r="B719" s="1">
        <v>70000</v>
      </c>
      <c r="C719" s="1" t="str" cm="1">
        <f t="array" ref="C719">_xlfn.IFS(Table2[[#This Row],[LIMIT_BAL]]&lt;=100000,"Low",Table2[[#This Row],[LIMIT_BAL]]&lt;=300000,"Medium",
TRUE,"High"
)</f>
        <v>Low</v>
      </c>
      <c r="D719" t="s">
        <v>2041</v>
      </c>
      <c r="E719" t="s">
        <v>2043</v>
      </c>
      <c r="F719" t="s">
        <v>2028</v>
      </c>
      <c r="G719">
        <v>33</v>
      </c>
      <c r="H719" t="str" cm="1">
        <f t="array" ref="H719">_xlfn.IFS(
Table2[[#This Row],[AGE]]&lt;30,"Young",
Table2[[#This Row],[AGE]]&lt;40,"Middle Age",
Table2[[#This Row],[AGE]]&lt;50,"Senior",
TRUE,"Super Senior"
)</f>
        <v>Middle Age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 s="1">
        <v>69418</v>
      </c>
      <c r="P719" s="1">
        <v>68943</v>
      </c>
      <c r="Q719" s="1">
        <v>38783</v>
      </c>
      <c r="R719" s="1">
        <v>3758</v>
      </c>
      <c r="S719" s="1">
        <v>1261</v>
      </c>
      <c r="T719" s="1">
        <v>0</v>
      </c>
      <c r="U719" s="1">
        <v>2382</v>
      </c>
      <c r="V719" s="1">
        <v>2025</v>
      </c>
      <c r="W719" s="1">
        <v>1000</v>
      </c>
      <c r="X719" s="1">
        <v>25</v>
      </c>
      <c r="Y719" s="1">
        <v>0</v>
      </c>
      <c r="Z719" s="1">
        <v>1651</v>
      </c>
      <c r="AA719">
        <v>1</v>
      </c>
      <c r="AB719" t="str">
        <f t="shared" si="11"/>
        <v>Defaulter</v>
      </c>
      <c r="AC719" s="1">
        <f>Table2[[#This Row],[BILL_AMT1]]-Table2[[#This Row],[PAY_AMT1]]</f>
        <v>67036</v>
      </c>
      <c r="AD719" s="1" t="str" cm="1">
        <f t="array" ref="AD719">_xlfn.IFS(Table2[[#This Row],[PAYMENT GAP]]&lt;=0,"No Gap / Overpaid",Table2[[#This Row],[PAYMENT GAP]]&lt;=25000,"Low Gap",Table2[[#This Row],[PAYMENT GAP]]&lt;=100000,"Medium Gap",
TRUE,"High Gap"
)</f>
        <v>Medium Gap</v>
      </c>
    </row>
    <row r="720" spans="1:30" x14ac:dyDescent="0.3">
      <c r="A720">
        <v>719</v>
      </c>
      <c r="B720" s="1">
        <v>150000</v>
      </c>
      <c r="C720" s="1" t="str" cm="1">
        <f t="array" ref="C720">_xlfn.IFS(Table2[[#This Row],[LIMIT_BAL]]&lt;=100000,"Low",Table2[[#This Row],[LIMIT_BAL]]&lt;=300000,"Medium",
TRUE,"High"
)</f>
        <v>Medium</v>
      </c>
      <c r="D720" t="s">
        <v>2041</v>
      </c>
      <c r="E720" t="s">
        <v>2026</v>
      </c>
      <c r="F720" t="s">
        <v>2028</v>
      </c>
      <c r="G720">
        <v>35</v>
      </c>
      <c r="H720" t="str" cm="1">
        <f t="array" ref="H720">_xlfn.IFS(
Table2[[#This Row],[AGE]]&lt;30,"Young",
Table2[[#This Row],[AGE]]&lt;40,"Middle Age",
Table2[[#This Row],[AGE]]&lt;50,"Senior",
TRUE,"Super Senior"
)</f>
        <v>Middle Age</v>
      </c>
      <c r="I720">
        <v>1</v>
      </c>
      <c r="J720">
        <v>-2</v>
      </c>
      <c r="K720">
        <v>-2</v>
      </c>
      <c r="L720">
        <v>-2</v>
      </c>
      <c r="M720">
        <v>-2</v>
      </c>
      <c r="N720">
        <v>-2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>
        <v>0</v>
      </c>
      <c r="AB720" t="str">
        <f t="shared" si="11"/>
        <v>Not Defaulter</v>
      </c>
      <c r="AC720" s="1">
        <f>Table2[[#This Row],[BILL_AMT1]]-Table2[[#This Row],[PAY_AMT1]]</f>
        <v>0</v>
      </c>
      <c r="AD720" s="1" t="str" cm="1">
        <f t="array" ref="AD720">_xlfn.IFS(Table2[[#This Row],[PAYMENT GAP]]&lt;=0,"No Gap / Overpaid",Table2[[#This Row],[PAYMENT GAP]]&lt;=25000,"Low Gap",Table2[[#This Row],[PAYMENT GAP]]&lt;=100000,"Medium Gap",
TRUE,"High Gap"
)</f>
        <v>No Gap / Overpaid</v>
      </c>
    </row>
    <row r="721" spans="1:30" x14ac:dyDescent="0.3">
      <c r="A721">
        <v>720</v>
      </c>
      <c r="B721" s="1">
        <v>80000</v>
      </c>
      <c r="C721" s="1" t="str" cm="1">
        <f t="array" ref="C721">_xlfn.IFS(Table2[[#This Row],[LIMIT_BAL]]&lt;=100000,"Low",Table2[[#This Row],[LIMIT_BAL]]&lt;=300000,"Medium",
TRUE,"High"
)</f>
        <v>Low</v>
      </c>
      <c r="D721" t="s">
        <v>2041</v>
      </c>
      <c r="E721" t="s">
        <v>2043</v>
      </c>
      <c r="F721" t="s">
        <v>2029</v>
      </c>
      <c r="G721">
        <v>48</v>
      </c>
      <c r="H721" t="str" cm="1">
        <f t="array" ref="H721">_xlfn.IFS(
Table2[[#This Row],[AGE]]&lt;30,"Young",
Table2[[#This Row],[AGE]]&lt;40,"Middle Age",
Table2[[#This Row],[AGE]]&lt;50,"Senior",
TRUE,"Super Senior"
)</f>
        <v>Senior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 s="1">
        <v>45174</v>
      </c>
      <c r="P721" s="1">
        <v>41885</v>
      </c>
      <c r="Q721" s="1">
        <v>42832</v>
      </c>
      <c r="R721" s="1">
        <v>23799</v>
      </c>
      <c r="S721" s="1">
        <v>11723</v>
      </c>
      <c r="T721" s="1">
        <v>27236</v>
      </c>
      <c r="U721" s="1">
        <v>3000</v>
      </c>
      <c r="V721" s="1">
        <v>3413</v>
      </c>
      <c r="W721" s="1">
        <v>2000</v>
      </c>
      <c r="X721" s="1">
        <v>5000</v>
      </c>
      <c r="Y721" s="1">
        <v>17236</v>
      </c>
      <c r="Z721" s="1">
        <v>2000</v>
      </c>
      <c r="AA721">
        <v>0</v>
      </c>
      <c r="AB721" t="str">
        <f t="shared" si="11"/>
        <v>Not Defaulter</v>
      </c>
      <c r="AC721" s="1">
        <f>Table2[[#This Row],[BILL_AMT1]]-Table2[[#This Row],[PAY_AMT1]]</f>
        <v>42174</v>
      </c>
      <c r="AD721" s="1" t="str" cm="1">
        <f t="array" ref="AD721">_xlfn.IFS(Table2[[#This Row],[PAYMENT GAP]]&lt;=0,"No Gap / Overpaid",Table2[[#This Row],[PAYMENT GAP]]&lt;=25000,"Low Gap",Table2[[#This Row],[PAYMENT GAP]]&lt;=100000,"Medium Gap",
TRUE,"High Gap"
)</f>
        <v>Medium Gap</v>
      </c>
    </row>
    <row r="722" spans="1:30" x14ac:dyDescent="0.3">
      <c r="A722">
        <v>721</v>
      </c>
      <c r="B722" s="1">
        <v>30000</v>
      </c>
      <c r="C722" s="1" t="str" cm="1">
        <f t="array" ref="C722">_xlfn.IFS(Table2[[#This Row],[LIMIT_BAL]]&lt;=100000,"Low",Table2[[#This Row],[LIMIT_BAL]]&lt;=300000,"Medium",
TRUE,"High"
)</f>
        <v>Low</v>
      </c>
      <c r="D722" t="s">
        <v>2041</v>
      </c>
      <c r="E722" t="s">
        <v>2043</v>
      </c>
      <c r="F722" t="s">
        <v>2029</v>
      </c>
      <c r="G722">
        <v>22</v>
      </c>
      <c r="H722" t="str" cm="1">
        <f t="array" ref="H722">_xlfn.IFS(
Table2[[#This Row],[AGE]]&lt;30,"Young",
Table2[[#This Row],[AGE]]&lt;40,"Middle Age",
Table2[[#This Row],[AGE]]&lt;50,"Senior",
TRUE,"Super Senior"
)</f>
        <v>Young</v>
      </c>
      <c r="I722">
        <v>0</v>
      </c>
      <c r="J722">
        <v>0</v>
      </c>
      <c r="K722">
        <v>2</v>
      </c>
      <c r="L722">
        <v>0</v>
      </c>
      <c r="M722">
        <v>0</v>
      </c>
      <c r="N722">
        <v>0</v>
      </c>
      <c r="O722" s="1">
        <v>23892</v>
      </c>
      <c r="P722" s="1">
        <v>28459</v>
      </c>
      <c r="Q722" s="1">
        <v>25499</v>
      </c>
      <c r="R722" s="1">
        <v>25778</v>
      </c>
      <c r="S722" s="1">
        <v>28708</v>
      </c>
      <c r="T722" s="1">
        <v>30520</v>
      </c>
      <c r="U722" s="1">
        <v>5300</v>
      </c>
      <c r="V722" s="1">
        <v>0</v>
      </c>
      <c r="W722" s="1">
        <v>1000</v>
      </c>
      <c r="X722" s="1">
        <v>3352</v>
      </c>
      <c r="Y722" s="1">
        <v>2300</v>
      </c>
      <c r="Z722" s="1">
        <v>0</v>
      </c>
      <c r="AA722">
        <v>0</v>
      </c>
      <c r="AB722" t="str">
        <f t="shared" si="11"/>
        <v>Not Defaulter</v>
      </c>
      <c r="AC722" s="1">
        <f>Table2[[#This Row],[BILL_AMT1]]-Table2[[#This Row],[PAY_AMT1]]</f>
        <v>18592</v>
      </c>
      <c r="AD722" s="1" t="str" cm="1">
        <f t="array" ref="AD722">_xlfn.IFS(Table2[[#This Row],[PAYMENT GAP]]&lt;=0,"No Gap / Overpaid",Table2[[#This Row],[PAYMENT GAP]]&lt;=25000,"Low Gap",Table2[[#This Row],[PAYMENT GAP]]&lt;=100000,"Medium Gap",
TRUE,"High Gap"
)</f>
        <v>Low Gap</v>
      </c>
    </row>
    <row r="723" spans="1:30" x14ac:dyDescent="0.3">
      <c r="A723">
        <v>722</v>
      </c>
      <c r="B723" s="1">
        <v>10000</v>
      </c>
      <c r="C723" s="1" t="str" cm="1">
        <f t="array" ref="C723">_xlfn.IFS(Table2[[#This Row],[LIMIT_BAL]]&lt;=100000,"Low",Table2[[#This Row],[LIMIT_BAL]]&lt;=300000,"Medium",
TRUE,"High"
)</f>
        <v>Low</v>
      </c>
      <c r="D723" t="s">
        <v>2042</v>
      </c>
      <c r="E723" t="s">
        <v>2043</v>
      </c>
      <c r="F723" t="s">
        <v>2029</v>
      </c>
      <c r="G723">
        <v>22</v>
      </c>
      <c r="H723" t="str" cm="1">
        <f t="array" ref="H723">_xlfn.IFS(
Table2[[#This Row],[AGE]]&lt;30,"Young",
Table2[[#This Row],[AGE]]&lt;40,"Middle Age",
Table2[[#This Row],[AGE]]&lt;50,"Senior",
TRUE,"Super Senior"
)</f>
        <v>Young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 s="1">
        <v>7960</v>
      </c>
      <c r="P723" s="1">
        <v>9649</v>
      </c>
      <c r="Q723" s="1">
        <v>8518</v>
      </c>
      <c r="R723" s="1">
        <v>8628</v>
      </c>
      <c r="S723" s="1">
        <v>9293</v>
      </c>
      <c r="T723" s="1">
        <v>5033</v>
      </c>
      <c r="U723" s="1">
        <v>2000</v>
      </c>
      <c r="V723" s="1">
        <v>1000</v>
      </c>
      <c r="W723" s="1">
        <v>500</v>
      </c>
      <c r="X723" s="1">
        <v>1500</v>
      </c>
      <c r="Y723" s="1">
        <v>0</v>
      </c>
      <c r="Z723" s="1">
        <v>2500</v>
      </c>
      <c r="AA723">
        <v>1</v>
      </c>
      <c r="AB723" t="str">
        <f t="shared" si="11"/>
        <v>Defaulter</v>
      </c>
      <c r="AC723" s="1">
        <f>Table2[[#This Row],[BILL_AMT1]]-Table2[[#This Row],[PAY_AMT1]]</f>
        <v>5960</v>
      </c>
      <c r="AD723" s="1" t="str" cm="1">
        <f t="array" ref="AD723">_xlfn.IFS(Table2[[#This Row],[PAYMENT GAP]]&lt;=0,"No Gap / Overpaid",Table2[[#This Row],[PAYMENT GAP]]&lt;=25000,"Low Gap",Table2[[#This Row],[PAYMENT GAP]]&lt;=100000,"Medium Gap",
TRUE,"High Gap"
)</f>
        <v>Low Gap</v>
      </c>
    </row>
    <row r="724" spans="1:30" x14ac:dyDescent="0.3">
      <c r="A724">
        <v>723</v>
      </c>
      <c r="B724" s="1">
        <v>180000</v>
      </c>
      <c r="C724" s="1" t="str" cm="1">
        <f t="array" ref="C724">_xlfn.IFS(Table2[[#This Row],[LIMIT_BAL]]&lt;=100000,"Low",Table2[[#This Row],[LIMIT_BAL]]&lt;=300000,"Medium",
TRUE,"High"
)</f>
        <v>Medium</v>
      </c>
      <c r="D724" t="s">
        <v>2041</v>
      </c>
      <c r="E724" t="s">
        <v>2026</v>
      </c>
      <c r="F724" t="s">
        <v>2029</v>
      </c>
      <c r="G724">
        <v>27</v>
      </c>
      <c r="H724" t="str" cm="1">
        <f t="array" ref="H724">_xlfn.IFS(
Table2[[#This Row],[AGE]]&lt;30,"Young",
Table2[[#This Row],[AGE]]&lt;40,"Middle Age",
Table2[[#This Row],[AGE]]&lt;50,"Senior",
TRUE,"Super Senior"
)</f>
        <v>Young</v>
      </c>
      <c r="I724">
        <v>1</v>
      </c>
      <c r="J724">
        <v>-1</v>
      </c>
      <c r="K724">
        <v>-1</v>
      </c>
      <c r="L724">
        <v>-1</v>
      </c>
      <c r="M724">
        <v>-1</v>
      </c>
      <c r="N724">
        <v>-1</v>
      </c>
      <c r="O724" s="1">
        <v>0</v>
      </c>
      <c r="P724" s="1">
        <v>3338</v>
      </c>
      <c r="Q724" s="1">
        <v>3333</v>
      </c>
      <c r="R724" s="1">
        <v>3333</v>
      </c>
      <c r="S724" s="1">
        <v>3333</v>
      </c>
      <c r="T724" s="1">
        <v>3333</v>
      </c>
      <c r="U724" s="1">
        <v>3338</v>
      </c>
      <c r="V724" s="1">
        <v>3333</v>
      </c>
      <c r="W724" s="1">
        <v>3333</v>
      </c>
      <c r="X724" s="1">
        <v>3333</v>
      </c>
      <c r="Y724" s="1">
        <v>3333</v>
      </c>
      <c r="Z724" s="1">
        <v>3333</v>
      </c>
      <c r="AA724">
        <v>0</v>
      </c>
      <c r="AB724" t="str">
        <f t="shared" si="11"/>
        <v>Not Defaulter</v>
      </c>
      <c r="AC724" s="1">
        <f>Table2[[#This Row],[BILL_AMT1]]-Table2[[#This Row],[PAY_AMT1]]</f>
        <v>-3338</v>
      </c>
      <c r="AD724" s="1" t="str" cm="1">
        <f t="array" ref="AD724">_xlfn.IFS(Table2[[#This Row],[PAYMENT GAP]]&lt;=0,"No Gap / Overpaid",Table2[[#This Row],[PAYMENT GAP]]&lt;=25000,"Low Gap",Table2[[#This Row],[PAYMENT GAP]]&lt;=100000,"Medium Gap",
TRUE,"High Gap"
)</f>
        <v>No Gap / Overpaid</v>
      </c>
    </row>
    <row r="725" spans="1:30" x14ac:dyDescent="0.3">
      <c r="A725">
        <v>724</v>
      </c>
      <c r="B725" s="1">
        <v>320000</v>
      </c>
      <c r="C725" s="1" t="str" cm="1">
        <f t="array" ref="C725">_xlfn.IFS(Table2[[#This Row],[LIMIT_BAL]]&lt;=100000,"Low",Table2[[#This Row],[LIMIT_BAL]]&lt;=300000,"Medium",
TRUE,"High"
)</f>
        <v>High</v>
      </c>
      <c r="D725" t="s">
        <v>2042</v>
      </c>
      <c r="E725" t="s">
        <v>2026</v>
      </c>
      <c r="F725" t="s">
        <v>2028</v>
      </c>
      <c r="G725">
        <v>47</v>
      </c>
      <c r="H725" t="str" cm="1">
        <f t="array" ref="H725">_xlfn.IFS(
Table2[[#This Row],[AGE]]&lt;30,"Young",
Table2[[#This Row],[AGE]]&lt;40,"Middle Age",
Table2[[#This Row],[AGE]]&lt;50,"Senior",
TRUE,"Super Senior"
)</f>
        <v>Senior</v>
      </c>
      <c r="I725">
        <v>-1</v>
      </c>
      <c r="J725">
        <v>-1</v>
      </c>
      <c r="K725">
        <v>-1</v>
      </c>
      <c r="L725">
        <v>-1</v>
      </c>
      <c r="M725">
        <v>-1</v>
      </c>
      <c r="N725">
        <v>-1</v>
      </c>
      <c r="O725" s="1">
        <v>9192</v>
      </c>
      <c r="P725" s="1">
        <v>13920</v>
      </c>
      <c r="Q725" s="1">
        <v>4022</v>
      </c>
      <c r="R725" s="1">
        <v>316</v>
      </c>
      <c r="S725" s="1">
        <v>8420</v>
      </c>
      <c r="T725" s="1">
        <v>316</v>
      </c>
      <c r="U725" s="1">
        <v>13942</v>
      </c>
      <c r="V725" s="1">
        <v>4022</v>
      </c>
      <c r="W725" s="1">
        <v>316</v>
      </c>
      <c r="X725" s="1">
        <v>8420</v>
      </c>
      <c r="Y725" s="1">
        <v>316</v>
      </c>
      <c r="Z725" s="1">
        <v>516</v>
      </c>
      <c r="AA725">
        <v>0</v>
      </c>
      <c r="AB725" t="str">
        <f t="shared" si="11"/>
        <v>Not Defaulter</v>
      </c>
      <c r="AC725" s="1">
        <f>Table2[[#This Row],[BILL_AMT1]]-Table2[[#This Row],[PAY_AMT1]]</f>
        <v>-4750</v>
      </c>
      <c r="AD725" s="1" t="str" cm="1">
        <f t="array" ref="AD725">_xlfn.IFS(Table2[[#This Row],[PAYMENT GAP]]&lt;=0,"No Gap / Overpaid",Table2[[#This Row],[PAYMENT GAP]]&lt;=25000,"Low Gap",Table2[[#This Row],[PAYMENT GAP]]&lt;=100000,"Medium Gap",
TRUE,"High Gap"
)</f>
        <v>No Gap / Overpaid</v>
      </c>
    </row>
    <row r="726" spans="1:30" x14ac:dyDescent="0.3">
      <c r="A726">
        <v>725</v>
      </c>
      <c r="B726" s="1">
        <v>80000</v>
      </c>
      <c r="C726" s="1" t="str" cm="1">
        <f t="array" ref="C726">_xlfn.IFS(Table2[[#This Row],[LIMIT_BAL]]&lt;=100000,"Low",Table2[[#This Row],[LIMIT_BAL]]&lt;=300000,"Medium",
TRUE,"High"
)</f>
        <v>Low</v>
      </c>
      <c r="D726" t="s">
        <v>2041</v>
      </c>
      <c r="E726" t="s">
        <v>2043</v>
      </c>
      <c r="F726" t="s">
        <v>2029</v>
      </c>
      <c r="G726">
        <v>34</v>
      </c>
      <c r="H726" t="str" cm="1">
        <f t="array" ref="H726">_xlfn.IFS(
Table2[[#This Row],[AGE]]&lt;30,"Young",
Table2[[#This Row],[AGE]]&lt;40,"Middle Age",
Table2[[#This Row],[AGE]]&lt;50,"Senior",
TRUE,"Super Senior"
)</f>
        <v>Middle Age</v>
      </c>
      <c r="I726">
        <v>0</v>
      </c>
      <c r="J726">
        <v>0</v>
      </c>
      <c r="K726">
        <v>0</v>
      </c>
      <c r="L726">
        <v>2</v>
      </c>
      <c r="M726">
        <v>2</v>
      </c>
      <c r="N726">
        <v>2</v>
      </c>
      <c r="O726" s="1">
        <v>25935</v>
      </c>
      <c r="P726" s="1">
        <v>27210</v>
      </c>
      <c r="Q726" s="1">
        <v>28783</v>
      </c>
      <c r="R726" s="1">
        <v>30003</v>
      </c>
      <c r="S726" s="1">
        <v>29385</v>
      </c>
      <c r="T726" s="1">
        <v>31401</v>
      </c>
      <c r="U726" s="1">
        <v>2000</v>
      </c>
      <c r="V726" s="1">
        <v>2338</v>
      </c>
      <c r="W726" s="1">
        <v>2000</v>
      </c>
      <c r="X726" s="1">
        <v>0</v>
      </c>
      <c r="Y726" s="1">
        <v>2500</v>
      </c>
      <c r="Z726" s="1">
        <v>0</v>
      </c>
      <c r="AA726">
        <v>0</v>
      </c>
      <c r="AB726" t="str">
        <f t="shared" si="11"/>
        <v>Not Defaulter</v>
      </c>
      <c r="AC726" s="1">
        <f>Table2[[#This Row],[BILL_AMT1]]-Table2[[#This Row],[PAY_AMT1]]</f>
        <v>23935</v>
      </c>
      <c r="AD726" s="1" t="str" cm="1">
        <f t="array" ref="AD726">_xlfn.IFS(Table2[[#This Row],[PAYMENT GAP]]&lt;=0,"No Gap / Overpaid",Table2[[#This Row],[PAYMENT GAP]]&lt;=25000,"Low Gap",Table2[[#This Row],[PAYMENT GAP]]&lt;=100000,"Medium Gap",
TRUE,"High Gap"
)</f>
        <v>Low Gap</v>
      </c>
    </row>
    <row r="727" spans="1:30" x14ac:dyDescent="0.3">
      <c r="A727">
        <v>726</v>
      </c>
      <c r="B727" s="1">
        <v>10000</v>
      </c>
      <c r="C727" s="1" t="str" cm="1">
        <f t="array" ref="C727">_xlfn.IFS(Table2[[#This Row],[LIMIT_BAL]]&lt;=100000,"Low",Table2[[#This Row],[LIMIT_BAL]]&lt;=300000,"Medium",
TRUE,"High"
)</f>
        <v>Low</v>
      </c>
      <c r="D727" t="s">
        <v>2042</v>
      </c>
      <c r="E727" t="s">
        <v>2043</v>
      </c>
      <c r="F727" t="s">
        <v>2028</v>
      </c>
      <c r="G727">
        <v>45</v>
      </c>
      <c r="H727" t="str" cm="1">
        <f t="array" ref="H727">_xlfn.IFS(
Table2[[#This Row],[AGE]]&lt;30,"Young",
Table2[[#This Row],[AGE]]&lt;40,"Middle Age",
Table2[[#This Row],[AGE]]&lt;50,"Senior",
TRUE,"Super Senior"
)</f>
        <v>Senior</v>
      </c>
      <c r="I727">
        <v>0</v>
      </c>
      <c r="J727">
        <v>0</v>
      </c>
      <c r="K727">
        <v>0</v>
      </c>
      <c r="L727">
        <v>2</v>
      </c>
      <c r="M727">
        <v>0</v>
      </c>
      <c r="N727">
        <v>0</v>
      </c>
      <c r="O727" s="1">
        <v>7139</v>
      </c>
      <c r="P727" s="1">
        <v>8416</v>
      </c>
      <c r="Q727" s="1">
        <v>9815</v>
      </c>
      <c r="R727" s="1">
        <v>9508</v>
      </c>
      <c r="S727" s="1">
        <v>9754</v>
      </c>
      <c r="T727" s="1">
        <v>10192</v>
      </c>
      <c r="U727" s="1">
        <v>1400</v>
      </c>
      <c r="V727" s="1">
        <v>1700</v>
      </c>
      <c r="W727" s="1">
        <v>0</v>
      </c>
      <c r="X727" s="1">
        <v>400</v>
      </c>
      <c r="Y727" s="1">
        <v>600</v>
      </c>
      <c r="Z727" s="1">
        <v>200</v>
      </c>
      <c r="AA727">
        <v>1</v>
      </c>
      <c r="AB727" t="str">
        <f t="shared" si="11"/>
        <v>Defaulter</v>
      </c>
      <c r="AC727" s="1">
        <f>Table2[[#This Row],[BILL_AMT1]]-Table2[[#This Row],[PAY_AMT1]]</f>
        <v>5739</v>
      </c>
      <c r="AD727" s="1" t="str" cm="1">
        <f t="array" ref="AD727">_xlfn.IFS(Table2[[#This Row],[PAYMENT GAP]]&lt;=0,"No Gap / Overpaid",Table2[[#This Row],[PAYMENT GAP]]&lt;=25000,"Low Gap",Table2[[#This Row],[PAYMENT GAP]]&lt;=100000,"Medium Gap",
TRUE,"High Gap"
)</f>
        <v>Low Gap</v>
      </c>
    </row>
    <row r="728" spans="1:30" x14ac:dyDescent="0.3">
      <c r="A728">
        <v>727</v>
      </c>
      <c r="B728" s="1">
        <v>360000</v>
      </c>
      <c r="C728" s="1" t="str" cm="1">
        <f t="array" ref="C728">_xlfn.IFS(Table2[[#This Row],[LIMIT_BAL]]&lt;=100000,"Low",Table2[[#This Row],[LIMIT_BAL]]&lt;=300000,"Medium",
TRUE,"High"
)</f>
        <v>High</v>
      </c>
      <c r="D728" t="s">
        <v>2041</v>
      </c>
      <c r="E728" t="s">
        <v>2043</v>
      </c>
      <c r="F728" t="s">
        <v>2029</v>
      </c>
      <c r="G728">
        <v>39</v>
      </c>
      <c r="H728" t="str" cm="1">
        <f t="array" ref="H728">_xlfn.IFS(
Table2[[#This Row],[AGE]]&lt;30,"Young",
Table2[[#This Row],[AGE]]&lt;40,"Middle Age",
Table2[[#This Row],[AGE]]&lt;50,"Senior",
TRUE,"Super Senior"
)</f>
        <v>Middle Age</v>
      </c>
      <c r="I728">
        <v>-1</v>
      </c>
      <c r="J728">
        <v>-1</v>
      </c>
      <c r="K728">
        <v>-1</v>
      </c>
      <c r="L728">
        <v>0</v>
      </c>
      <c r="M728">
        <v>-1</v>
      </c>
      <c r="N728">
        <v>-1</v>
      </c>
      <c r="O728" s="1">
        <v>12865</v>
      </c>
      <c r="P728" s="1">
        <v>4462</v>
      </c>
      <c r="Q728" s="1">
        <v>19560</v>
      </c>
      <c r="R728" s="1">
        <v>8894</v>
      </c>
      <c r="S728" s="1">
        <v>5329</v>
      </c>
      <c r="T728" s="1">
        <v>998</v>
      </c>
      <c r="U728" s="1">
        <v>4484</v>
      </c>
      <c r="V728" s="1">
        <v>19623</v>
      </c>
      <c r="W728" s="1">
        <v>222</v>
      </c>
      <c r="X728" s="1">
        <v>5355</v>
      </c>
      <c r="Y728" s="1">
        <v>998</v>
      </c>
      <c r="Z728" s="1">
        <v>9004</v>
      </c>
      <c r="AA728">
        <v>0</v>
      </c>
      <c r="AB728" t="str">
        <f t="shared" si="11"/>
        <v>Not Defaulter</v>
      </c>
      <c r="AC728" s="1">
        <f>Table2[[#This Row],[BILL_AMT1]]-Table2[[#This Row],[PAY_AMT1]]</f>
        <v>8381</v>
      </c>
      <c r="AD728" s="1" t="str" cm="1">
        <f t="array" ref="AD728">_xlfn.IFS(Table2[[#This Row],[PAYMENT GAP]]&lt;=0,"No Gap / Overpaid",Table2[[#This Row],[PAYMENT GAP]]&lt;=25000,"Low Gap",Table2[[#This Row],[PAYMENT GAP]]&lt;=100000,"Medium Gap",
TRUE,"High Gap"
)</f>
        <v>Low Gap</v>
      </c>
    </row>
    <row r="729" spans="1:30" x14ac:dyDescent="0.3">
      <c r="A729">
        <v>728</v>
      </c>
      <c r="B729" s="1">
        <v>450000</v>
      </c>
      <c r="C729" s="1" t="str" cm="1">
        <f t="array" ref="C729">_xlfn.IFS(Table2[[#This Row],[LIMIT_BAL]]&lt;=100000,"Low",Table2[[#This Row],[LIMIT_BAL]]&lt;=300000,"Medium",
TRUE,"High"
)</f>
        <v>High</v>
      </c>
      <c r="D729" t="s">
        <v>2042</v>
      </c>
      <c r="E729" t="s">
        <v>2043</v>
      </c>
      <c r="F729" t="s">
        <v>2029</v>
      </c>
      <c r="G729">
        <v>33</v>
      </c>
      <c r="H729" t="str" cm="1">
        <f t="array" ref="H729">_xlfn.IFS(
Table2[[#This Row],[AGE]]&lt;30,"Young",
Table2[[#This Row],[AGE]]&lt;40,"Middle Age",
Table2[[#This Row],[AGE]]&lt;50,"Senior",
TRUE,"Super Senior"
)</f>
        <v>Middle Age</v>
      </c>
      <c r="I729">
        <v>-2</v>
      </c>
      <c r="J729">
        <v>-2</v>
      </c>
      <c r="K729">
        <v>-2</v>
      </c>
      <c r="L729">
        <v>-2</v>
      </c>
      <c r="M729">
        <v>-2</v>
      </c>
      <c r="N729">
        <v>-2</v>
      </c>
      <c r="O729" s="1">
        <v>-14</v>
      </c>
      <c r="P729" s="1">
        <v>2568</v>
      </c>
      <c r="Q729" s="1">
        <v>-387</v>
      </c>
      <c r="R729" s="1">
        <v>-387</v>
      </c>
      <c r="S729" s="1">
        <v>-387</v>
      </c>
      <c r="T729" s="1">
        <v>113</v>
      </c>
      <c r="U729" s="1">
        <v>2582</v>
      </c>
      <c r="V729" s="1">
        <v>0</v>
      </c>
      <c r="W729" s="1">
        <v>0</v>
      </c>
      <c r="X729" s="1">
        <v>0</v>
      </c>
      <c r="Y729" s="1">
        <v>500</v>
      </c>
      <c r="Z729" s="1">
        <v>2515</v>
      </c>
      <c r="AA729">
        <v>0</v>
      </c>
      <c r="AB729" t="str">
        <f t="shared" si="11"/>
        <v>Not Defaulter</v>
      </c>
      <c r="AC729" s="1">
        <f>Table2[[#This Row],[BILL_AMT1]]-Table2[[#This Row],[PAY_AMT1]]</f>
        <v>-2596</v>
      </c>
      <c r="AD729" s="1" t="str" cm="1">
        <f t="array" ref="AD729">_xlfn.IFS(Table2[[#This Row],[PAYMENT GAP]]&lt;=0,"No Gap / Overpaid",Table2[[#This Row],[PAYMENT GAP]]&lt;=25000,"Low Gap",Table2[[#This Row],[PAYMENT GAP]]&lt;=100000,"Medium Gap",
TRUE,"High Gap"
)</f>
        <v>No Gap / Overpaid</v>
      </c>
    </row>
    <row r="730" spans="1:30" x14ac:dyDescent="0.3">
      <c r="A730">
        <v>729</v>
      </c>
      <c r="B730" s="1">
        <v>330000</v>
      </c>
      <c r="C730" s="1" t="str" cm="1">
        <f t="array" ref="C730">_xlfn.IFS(Table2[[#This Row],[LIMIT_BAL]]&lt;=100000,"Low",Table2[[#This Row],[LIMIT_BAL]]&lt;=300000,"Medium",
TRUE,"High"
)</f>
        <v>High</v>
      </c>
      <c r="D730" t="s">
        <v>2041</v>
      </c>
      <c r="E730" t="s">
        <v>2043</v>
      </c>
      <c r="F730" t="s">
        <v>2029</v>
      </c>
      <c r="G730">
        <v>29</v>
      </c>
      <c r="H730" t="str" cm="1">
        <f t="array" ref="H730">_xlfn.IFS(
Table2[[#This Row],[AGE]]&lt;30,"Young",
Table2[[#This Row],[AGE]]&lt;40,"Middle Age",
Table2[[#This Row],[AGE]]&lt;50,"Senior",
TRUE,"Super Senior"
)</f>
        <v>Young</v>
      </c>
      <c r="I730">
        <v>0</v>
      </c>
      <c r="J730">
        <v>0</v>
      </c>
      <c r="K730">
        <v>0</v>
      </c>
      <c r="L730">
        <v>0</v>
      </c>
      <c r="M730">
        <v>-1</v>
      </c>
      <c r="N730">
        <v>-1</v>
      </c>
      <c r="O730" s="1">
        <v>49549</v>
      </c>
      <c r="P730" s="1">
        <v>133957</v>
      </c>
      <c r="Q730" s="1">
        <v>128212</v>
      </c>
      <c r="R730" s="1">
        <v>79407</v>
      </c>
      <c r="S730" s="1">
        <v>8875</v>
      </c>
      <c r="T730" s="1">
        <v>49880</v>
      </c>
      <c r="U730" s="1">
        <v>90000</v>
      </c>
      <c r="V730" s="1">
        <v>3000</v>
      </c>
      <c r="W730" s="1">
        <v>5000</v>
      </c>
      <c r="X730" s="1">
        <v>8875</v>
      </c>
      <c r="Y730" s="1">
        <v>49880</v>
      </c>
      <c r="Z730" s="1">
        <v>519</v>
      </c>
      <c r="AA730">
        <v>0</v>
      </c>
      <c r="AB730" t="str">
        <f t="shared" si="11"/>
        <v>Not Defaulter</v>
      </c>
      <c r="AC730" s="1">
        <f>Table2[[#This Row],[BILL_AMT1]]-Table2[[#This Row],[PAY_AMT1]]</f>
        <v>-40451</v>
      </c>
      <c r="AD730" s="1" t="str" cm="1">
        <f t="array" ref="AD730">_xlfn.IFS(Table2[[#This Row],[PAYMENT GAP]]&lt;=0,"No Gap / Overpaid",Table2[[#This Row],[PAYMENT GAP]]&lt;=25000,"Low Gap",Table2[[#This Row],[PAYMENT GAP]]&lt;=100000,"Medium Gap",
TRUE,"High Gap"
)</f>
        <v>No Gap / Overpaid</v>
      </c>
    </row>
    <row r="731" spans="1:30" x14ac:dyDescent="0.3">
      <c r="A731">
        <v>730</v>
      </c>
      <c r="B731" s="1">
        <v>60000</v>
      </c>
      <c r="C731" s="1" t="str" cm="1">
        <f t="array" ref="C731">_xlfn.IFS(Table2[[#This Row],[LIMIT_BAL]]&lt;=100000,"Low",Table2[[#This Row],[LIMIT_BAL]]&lt;=300000,"Medium",
TRUE,"High"
)</f>
        <v>Low</v>
      </c>
      <c r="D731" t="s">
        <v>2042</v>
      </c>
      <c r="E731" t="s">
        <v>2026</v>
      </c>
      <c r="F731" t="s">
        <v>2029</v>
      </c>
      <c r="G731">
        <v>29</v>
      </c>
      <c r="H731" t="str" cm="1">
        <f t="array" ref="H731">_xlfn.IFS(
Table2[[#This Row],[AGE]]&lt;30,"Young",
Table2[[#This Row],[AGE]]&lt;40,"Middle Age",
Table2[[#This Row],[AGE]]&lt;50,"Senior",
TRUE,"Super Senior"
)</f>
        <v>Young</v>
      </c>
      <c r="I731">
        <v>-1</v>
      </c>
      <c r="J731">
        <v>2</v>
      </c>
      <c r="K731">
        <v>-1</v>
      </c>
      <c r="L731">
        <v>-1</v>
      </c>
      <c r="M731">
        <v>2</v>
      </c>
      <c r="N731">
        <v>2</v>
      </c>
      <c r="O731" s="1">
        <v>546</v>
      </c>
      <c r="P731" s="1">
        <v>255</v>
      </c>
      <c r="Q731" s="1">
        <v>464</v>
      </c>
      <c r="R731" s="1">
        <v>1173</v>
      </c>
      <c r="S731" s="1">
        <v>732</v>
      </c>
      <c r="T731" s="1">
        <v>1023</v>
      </c>
      <c r="U731" s="1">
        <v>0</v>
      </c>
      <c r="V731" s="1">
        <v>500</v>
      </c>
      <c r="W731" s="1">
        <v>1000</v>
      </c>
      <c r="X731" s="1">
        <v>0</v>
      </c>
      <c r="Y731" s="1">
        <v>582</v>
      </c>
      <c r="Z731" s="1">
        <v>0</v>
      </c>
      <c r="AA731">
        <v>1</v>
      </c>
      <c r="AB731" t="str">
        <f t="shared" si="11"/>
        <v>Defaulter</v>
      </c>
      <c r="AC731" s="1">
        <f>Table2[[#This Row],[BILL_AMT1]]-Table2[[#This Row],[PAY_AMT1]]</f>
        <v>546</v>
      </c>
      <c r="AD731" s="1" t="str" cm="1">
        <f t="array" ref="AD731">_xlfn.IFS(Table2[[#This Row],[PAYMENT GAP]]&lt;=0,"No Gap / Overpaid",Table2[[#This Row],[PAYMENT GAP]]&lt;=25000,"Low Gap",Table2[[#This Row],[PAYMENT GAP]]&lt;=100000,"Medium Gap",
TRUE,"High Gap"
)</f>
        <v>Low Gap</v>
      </c>
    </row>
    <row r="732" spans="1:30" x14ac:dyDescent="0.3">
      <c r="A732">
        <v>731</v>
      </c>
      <c r="B732" s="1">
        <v>50000</v>
      </c>
      <c r="C732" s="1" t="str" cm="1">
        <f t="array" ref="C732">_xlfn.IFS(Table2[[#This Row],[LIMIT_BAL]]&lt;=100000,"Low",Table2[[#This Row],[LIMIT_BAL]]&lt;=300000,"Medium",
TRUE,"High"
)</f>
        <v>Low</v>
      </c>
      <c r="D732" t="s">
        <v>2041</v>
      </c>
      <c r="E732" t="s">
        <v>2027</v>
      </c>
      <c r="F732" t="s">
        <v>2029</v>
      </c>
      <c r="G732">
        <v>26</v>
      </c>
      <c r="H732" t="str" cm="1">
        <f t="array" ref="H732">_xlfn.IFS(
Table2[[#This Row],[AGE]]&lt;30,"Young",
Table2[[#This Row],[AGE]]&lt;40,"Middle Age",
Table2[[#This Row],[AGE]]&lt;50,"Senior",
TRUE,"Super Senior"
)</f>
        <v>Young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 s="1">
        <v>9935</v>
      </c>
      <c r="P732" s="1">
        <v>11029</v>
      </c>
      <c r="Q732" s="1">
        <v>12795</v>
      </c>
      <c r="R732" s="1">
        <v>9983</v>
      </c>
      <c r="S732" s="1">
        <v>10884</v>
      </c>
      <c r="T732" s="1">
        <v>7666</v>
      </c>
      <c r="U732" s="1">
        <v>1234</v>
      </c>
      <c r="V732" s="1">
        <v>2000</v>
      </c>
      <c r="W732" s="1">
        <v>297</v>
      </c>
      <c r="X732" s="1">
        <v>1000</v>
      </c>
      <c r="Y732" s="1">
        <v>307</v>
      </c>
      <c r="Z732" s="1">
        <v>361</v>
      </c>
      <c r="AA732">
        <v>0</v>
      </c>
      <c r="AB732" t="str">
        <f t="shared" si="11"/>
        <v>Not Defaulter</v>
      </c>
      <c r="AC732" s="1">
        <f>Table2[[#This Row],[BILL_AMT1]]-Table2[[#This Row],[PAY_AMT1]]</f>
        <v>8701</v>
      </c>
      <c r="AD732" s="1" t="str" cm="1">
        <f t="array" ref="AD732">_xlfn.IFS(Table2[[#This Row],[PAYMENT GAP]]&lt;=0,"No Gap / Overpaid",Table2[[#This Row],[PAYMENT GAP]]&lt;=25000,"Low Gap",Table2[[#This Row],[PAYMENT GAP]]&lt;=100000,"Medium Gap",
TRUE,"High Gap"
)</f>
        <v>Low Gap</v>
      </c>
    </row>
    <row r="733" spans="1:30" x14ac:dyDescent="0.3">
      <c r="A733">
        <v>732</v>
      </c>
      <c r="B733" s="1">
        <v>200000</v>
      </c>
      <c r="C733" s="1" t="str" cm="1">
        <f t="array" ref="C733">_xlfn.IFS(Table2[[#This Row],[LIMIT_BAL]]&lt;=100000,"Low",Table2[[#This Row],[LIMIT_BAL]]&lt;=300000,"Medium",
TRUE,"High"
)</f>
        <v>Medium</v>
      </c>
      <c r="D733" t="s">
        <v>2042</v>
      </c>
      <c r="E733" t="s">
        <v>2043</v>
      </c>
      <c r="F733" t="s">
        <v>2028</v>
      </c>
      <c r="G733">
        <v>38</v>
      </c>
      <c r="H733" t="str" cm="1">
        <f t="array" ref="H733">_xlfn.IFS(
Table2[[#This Row],[AGE]]&lt;30,"Young",
Table2[[#This Row],[AGE]]&lt;40,"Middle Age",
Table2[[#This Row],[AGE]]&lt;50,"Senior",
TRUE,"Super Senior"
)</f>
        <v>Middle Age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s="1">
        <v>152856</v>
      </c>
      <c r="P733" s="1">
        <v>156104</v>
      </c>
      <c r="Q733" s="1">
        <v>158279</v>
      </c>
      <c r="R733" s="1">
        <v>161934</v>
      </c>
      <c r="S733" s="1">
        <v>165447</v>
      </c>
      <c r="T733" s="1">
        <v>168802</v>
      </c>
      <c r="U733" s="1">
        <v>6000</v>
      </c>
      <c r="V733" s="1">
        <v>5000</v>
      </c>
      <c r="W733" s="1">
        <v>5000</v>
      </c>
      <c r="X733" s="1">
        <v>5000</v>
      </c>
      <c r="Y733" s="1">
        <v>4917</v>
      </c>
      <c r="Z733" s="1">
        <v>10000</v>
      </c>
      <c r="AA733">
        <v>0</v>
      </c>
      <c r="AB733" t="str">
        <f t="shared" si="11"/>
        <v>Not Defaulter</v>
      </c>
      <c r="AC733" s="1">
        <f>Table2[[#This Row],[BILL_AMT1]]-Table2[[#This Row],[PAY_AMT1]]</f>
        <v>146856</v>
      </c>
      <c r="AD733" s="1" t="str" cm="1">
        <f t="array" ref="AD733">_xlfn.IFS(Table2[[#This Row],[PAYMENT GAP]]&lt;=0,"No Gap / Overpaid",Table2[[#This Row],[PAYMENT GAP]]&lt;=25000,"Low Gap",Table2[[#This Row],[PAYMENT GAP]]&lt;=100000,"Medium Gap",
TRUE,"High Gap"
)</f>
        <v>High Gap</v>
      </c>
    </row>
    <row r="734" spans="1:30" x14ac:dyDescent="0.3">
      <c r="A734">
        <v>733</v>
      </c>
      <c r="B734" s="1">
        <v>120000</v>
      </c>
      <c r="C734" s="1" t="str" cm="1">
        <f t="array" ref="C734">_xlfn.IFS(Table2[[#This Row],[LIMIT_BAL]]&lt;=100000,"Low",Table2[[#This Row],[LIMIT_BAL]]&lt;=300000,"Medium",
TRUE,"High"
)</f>
        <v>Medium</v>
      </c>
      <c r="D734" t="s">
        <v>2042</v>
      </c>
      <c r="E734" t="s">
        <v>2026</v>
      </c>
      <c r="F734" t="s">
        <v>2029</v>
      </c>
      <c r="G734">
        <v>34</v>
      </c>
      <c r="H734" t="str" cm="1">
        <f t="array" ref="H734">_xlfn.IFS(
Table2[[#This Row],[AGE]]&lt;30,"Young",
Table2[[#This Row],[AGE]]&lt;40,"Middle Age",
Table2[[#This Row],[AGE]]&lt;50,"Senior",
TRUE,"Super Senior"
)</f>
        <v>Middle Age</v>
      </c>
      <c r="I734">
        <v>1</v>
      </c>
      <c r="J734">
        <v>2</v>
      </c>
      <c r="K734">
        <v>-1</v>
      </c>
      <c r="L734">
        <v>-1</v>
      </c>
      <c r="M734">
        <v>-2</v>
      </c>
      <c r="N734">
        <v>-2</v>
      </c>
      <c r="O734" s="1">
        <v>1278</v>
      </c>
      <c r="P734" s="1">
        <v>639</v>
      </c>
      <c r="Q734" s="1">
        <v>621</v>
      </c>
      <c r="R734" s="1">
        <v>-18</v>
      </c>
      <c r="S734" s="1">
        <v>-18</v>
      </c>
      <c r="T734" s="1">
        <v>-18</v>
      </c>
      <c r="U734" s="1">
        <v>0</v>
      </c>
      <c r="V734" s="1">
        <v>621</v>
      </c>
      <c r="W734" s="1">
        <v>0</v>
      </c>
      <c r="X734" s="1">
        <v>0</v>
      </c>
      <c r="Y734" s="1">
        <v>0</v>
      </c>
      <c r="Z734" s="1">
        <v>0</v>
      </c>
      <c r="AA734">
        <v>0</v>
      </c>
      <c r="AB734" t="str">
        <f t="shared" si="11"/>
        <v>Not Defaulter</v>
      </c>
      <c r="AC734" s="1">
        <f>Table2[[#This Row],[BILL_AMT1]]-Table2[[#This Row],[PAY_AMT1]]</f>
        <v>1278</v>
      </c>
      <c r="AD734" s="1" t="str" cm="1">
        <f t="array" ref="AD734">_xlfn.IFS(Table2[[#This Row],[PAYMENT GAP]]&lt;=0,"No Gap / Overpaid",Table2[[#This Row],[PAYMENT GAP]]&lt;=25000,"Low Gap",Table2[[#This Row],[PAYMENT GAP]]&lt;=100000,"Medium Gap",
TRUE,"High Gap"
)</f>
        <v>Low Gap</v>
      </c>
    </row>
    <row r="735" spans="1:30" x14ac:dyDescent="0.3">
      <c r="A735">
        <v>734</v>
      </c>
      <c r="B735" s="1">
        <v>160000</v>
      </c>
      <c r="C735" s="1" t="str" cm="1">
        <f t="array" ref="C735">_xlfn.IFS(Table2[[#This Row],[LIMIT_BAL]]&lt;=100000,"Low",Table2[[#This Row],[LIMIT_BAL]]&lt;=300000,"Medium",
TRUE,"High"
)</f>
        <v>Medium</v>
      </c>
      <c r="D735" t="s">
        <v>2041</v>
      </c>
      <c r="E735" t="s">
        <v>2026</v>
      </c>
      <c r="F735" t="s">
        <v>2028</v>
      </c>
      <c r="G735">
        <v>37</v>
      </c>
      <c r="H735" t="str" cm="1">
        <f t="array" ref="H735">_xlfn.IFS(
Table2[[#This Row],[AGE]]&lt;30,"Young",
Table2[[#This Row],[AGE]]&lt;40,"Middle Age",
Table2[[#This Row],[AGE]]&lt;50,"Senior",
TRUE,"Super Senior"
)</f>
        <v>Middle Age</v>
      </c>
      <c r="I735">
        <v>-1</v>
      </c>
      <c r="J735">
        <v>-1</v>
      </c>
      <c r="K735">
        <v>-1</v>
      </c>
      <c r="L735">
        <v>-1</v>
      </c>
      <c r="M735">
        <v>-1</v>
      </c>
      <c r="N735">
        <v>-1</v>
      </c>
      <c r="O735" s="1">
        <v>316</v>
      </c>
      <c r="P735" s="1">
        <v>316</v>
      </c>
      <c r="Q735" s="1">
        <v>0</v>
      </c>
      <c r="R735" s="1">
        <v>316</v>
      </c>
      <c r="S735" s="1">
        <v>632</v>
      </c>
      <c r="T735" s="1">
        <v>0</v>
      </c>
      <c r="U735" s="1">
        <v>316</v>
      </c>
      <c r="V735" s="1">
        <v>0</v>
      </c>
      <c r="W735" s="1">
        <v>316</v>
      </c>
      <c r="X735" s="1">
        <v>632</v>
      </c>
      <c r="Y735" s="1">
        <v>0</v>
      </c>
      <c r="Z735" s="1">
        <v>316</v>
      </c>
      <c r="AA735">
        <v>0</v>
      </c>
      <c r="AB735" t="str">
        <f t="shared" si="11"/>
        <v>Not Defaulter</v>
      </c>
      <c r="AC735" s="1">
        <f>Table2[[#This Row],[BILL_AMT1]]-Table2[[#This Row],[PAY_AMT1]]</f>
        <v>0</v>
      </c>
      <c r="AD735" s="1" t="str" cm="1">
        <f t="array" ref="AD735">_xlfn.IFS(Table2[[#This Row],[PAYMENT GAP]]&lt;=0,"No Gap / Overpaid",Table2[[#This Row],[PAYMENT GAP]]&lt;=25000,"Low Gap",Table2[[#This Row],[PAYMENT GAP]]&lt;=100000,"Medium Gap",
TRUE,"High Gap"
)</f>
        <v>No Gap / Overpaid</v>
      </c>
    </row>
    <row r="736" spans="1:30" x14ac:dyDescent="0.3">
      <c r="A736">
        <v>735</v>
      </c>
      <c r="B736" s="1">
        <v>110000</v>
      </c>
      <c r="C736" s="1" t="str" cm="1">
        <f t="array" ref="C736">_xlfn.IFS(Table2[[#This Row],[LIMIT_BAL]]&lt;=100000,"Low",Table2[[#This Row],[LIMIT_BAL]]&lt;=300000,"Medium",
TRUE,"High"
)</f>
        <v>Medium</v>
      </c>
      <c r="D736" t="s">
        <v>2042</v>
      </c>
      <c r="E736" t="s">
        <v>2043</v>
      </c>
      <c r="F736" t="s">
        <v>2028</v>
      </c>
      <c r="G736">
        <v>57</v>
      </c>
      <c r="H736" t="str" cm="1">
        <f t="array" ref="H736">_xlfn.IFS(
Table2[[#This Row],[AGE]]&lt;30,"Young",
Table2[[#This Row],[AGE]]&lt;40,"Middle Age",
Table2[[#This Row],[AGE]]&lt;50,"Senior",
TRUE,"Super Senior"
)</f>
        <v>Super Senior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 s="1">
        <v>46132</v>
      </c>
      <c r="P736" s="1">
        <v>41050</v>
      </c>
      <c r="Q736" s="1">
        <v>40091</v>
      </c>
      <c r="R736" s="1">
        <v>40659</v>
      </c>
      <c r="S736" s="1">
        <v>38529</v>
      </c>
      <c r="T736" s="1">
        <v>30900</v>
      </c>
      <c r="U736" s="1">
        <v>2306</v>
      </c>
      <c r="V736" s="1">
        <v>2111</v>
      </c>
      <c r="W736" s="1">
        <v>3009</v>
      </c>
      <c r="X736" s="1">
        <v>1725</v>
      </c>
      <c r="Y736" s="1">
        <v>1500</v>
      </c>
      <c r="Z736" s="1">
        <v>0</v>
      </c>
      <c r="AA736">
        <v>0</v>
      </c>
      <c r="AB736" t="str">
        <f t="shared" si="11"/>
        <v>Not Defaulter</v>
      </c>
      <c r="AC736" s="1">
        <f>Table2[[#This Row],[BILL_AMT1]]-Table2[[#This Row],[PAY_AMT1]]</f>
        <v>43826</v>
      </c>
      <c r="AD736" s="1" t="str" cm="1">
        <f t="array" ref="AD736">_xlfn.IFS(Table2[[#This Row],[PAYMENT GAP]]&lt;=0,"No Gap / Overpaid",Table2[[#This Row],[PAYMENT GAP]]&lt;=25000,"Low Gap",Table2[[#This Row],[PAYMENT GAP]]&lt;=100000,"Medium Gap",
TRUE,"High Gap"
)</f>
        <v>Medium Gap</v>
      </c>
    </row>
    <row r="737" spans="1:30" x14ac:dyDescent="0.3">
      <c r="A737">
        <v>736</v>
      </c>
      <c r="B737" s="1">
        <v>70000</v>
      </c>
      <c r="C737" s="1" t="str" cm="1">
        <f t="array" ref="C737">_xlfn.IFS(Table2[[#This Row],[LIMIT_BAL]]&lt;=100000,"Low",Table2[[#This Row],[LIMIT_BAL]]&lt;=300000,"Medium",
TRUE,"High"
)</f>
        <v>Low</v>
      </c>
      <c r="D737" t="s">
        <v>2041</v>
      </c>
      <c r="E737" t="s">
        <v>2027</v>
      </c>
      <c r="F737" t="s">
        <v>2028</v>
      </c>
      <c r="G737">
        <v>50</v>
      </c>
      <c r="H737" t="str" cm="1">
        <f t="array" ref="H737">_xlfn.IFS(
Table2[[#This Row],[AGE]]&lt;30,"Young",
Table2[[#This Row],[AGE]]&lt;40,"Middle Age",
Table2[[#This Row],[AGE]]&lt;50,"Senior",
TRUE,"Super Senior"
)</f>
        <v>Super Senior</v>
      </c>
      <c r="I737">
        <v>-2</v>
      </c>
      <c r="J737">
        <v>-2</v>
      </c>
      <c r="K737">
        <v>-1</v>
      </c>
      <c r="L737">
        <v>0</v>
      </c>
      <c r="M737">
        <v>0</v>
      </c>
      <c r="N737">
        <v>0</v>
      </c>
      <c r="O737" s="1">
        <v>27345</v>
      </c>
      <c r="P737" s="1">
        <v>-1041</v>
      </c>
      <c r="Q737" s="1">
        <v>17571</v>
      </c>
      <c r="R737" s="1">
        <v>17920</v>
      </c>
      <c r="S737" s="1">
        <v>18296</v>
      </c>
      <c r="T737" s="1">
        <v>18659</v>
      </c>
      <c r="U737" s="1">
        <v>1041</v>
      </c>
      <c r="V737" s="1">
        <v>18862</v>
      </c>
      <c r="W737" s="1">
        <v>640</v>
      </c>
      <c r="X737" s="1">
        <v>663</v>
      </c>
      <c r="Y737" s="1">
        <v>666</v>
      </c>
      <c r="Z737" s="1">
        <v>690</v>
      </c>
      <c r="AA737">
        <v>0</v>
      </c>
      <c r="AB737" t="str">
        <f t="shared" si="11"/>
        <v>Not Defaulter</v>
      </c>
      <c r="AC737" s="1">
        <f>Table2[[#This Row],[BILL_AMT1]]-Table2[[#This Row],[PAY_AMT1]]</f>
        <v>26304</v>
      </c>
      <c r="AD737" s="1" t="str" cm="1">
        <f t="array" ref="AD737">_xlfn.IFS(Table2[[#This Row],[PAYMENT GAP]]&lt;=0,"No Gap / Overpaid",Table2[[#This Row],[PAYMENT GAP]]&lt;=25000,"Low Gap",Table2[[#This Row],[PAYMENT GAP]]&lt;=100000,"Medium Gap",
TRUE,"High Gap"
)</f>
        <v>Medium Gap</v>
      </c>
    </row>
    <row r="738" spans="1:30" x14ac:dyDescent="0.3">
      <c r="A738">
        <v>737</v>
      </c>
      <c r="B738" s="1">
        <v>150000</v>
      </c>
      <c r="C738" s="1" t="str" cm="1">
        <f t="array" ref="C738">_xlfn.IFS(Table2[[#This Row],[LIMIT_BAL]]&lt;=100000,"Low",Table2[[#This Row],[LIMIT_BAL]]&lt;=300000,"Medium",
TRUE,"High"
)</f>
        <v>Medium</v>
      </c>
      <c r="D738" t="s">
        <v>2041</v>
      </c>
      <c r="E738" t="s">
        <v>2027</v>
      </c>
      <c r="F738" t="s">
        <v>2029</v>
      </c>
      <c r="G738">
        <v>28</v>
      </c>
      <c r="H738" t="str" cm="1">
        <f t="array" ref="H738">_xlfn.IFS(
Table2[[#This Row],[AGE]]&lt;30,"Young",
Table2[[#This Row],[AGE]]&lt;40,"Middle Age",
Table2[[#This Row],[AGE]]&lt;50,"Senior",
TRUE,"Super Senior"
)</f>
        <v>Young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 s="1">
        <v>101593</v>
      </c>
      <c r="P738" s="1">
        <v>101886</v>
      </c>
      <c r="Q738" s="1">
        <v>101441</v>
      </c>
      <c r="R738" s="1">
        <v>100829</v>
      </c>
      <c r="S738" s="1">
        <v>101913</v>
      </c>
      <c r="T738" s="1">
        <v>96704</v>
      </c>
      <c r="U738" s="1">
        <v>4000</v>
      </c>
      <c r="V738" s="1">
        <v>4032</v>
      </c>
      <c r="W738" s="1">
        <v>3410</v>
      </c>
      <c r="X738" s="1">
        <v>4000</v>
      </c>
      <c r="Y738" s="1">
        <v>3665</v>
      </c>
      <c r="Z738" s="1">
        <v>3050</v>
      </c>
      <c r="AA738">
        <v>0</v>
      </c>
      <c r="AB738" t="str">
        <f t="shared" si="11"/>
        <v>Not Defaulter</v>
      </c>
      <c r="AC738" s="1">
        <f>Table2[[#This Row],[BILL_AMT1]]-Table2[[#This Row],[PAY_AMT1]]</f>
        <v>97593</v>
      </c>
      <c r="AD738" s="1" t="str" cm="1">
        <f t="array" ref="AD738">_xlfn.IFS(Table2[[#This Row],[PAYMENT GAP]]&lt;=0,"No Gap / Overpaid",Table2[[#This Row],[PAYMENT GAP]]&lt;=25000,"Low Gap",Table2[[#This Row],[PAYMENT GAP]]&lt;=100000,"Medium Gap",
TRUE,"High Gap"
)</f>
        <v>Medium Gap</v>
      </c>
    </row>
    <row r="739" spans="1:30" x14ac:dyDescent="0.3">
      <c r="A739">
        <v>738</v>
      </c>
      <c r="B739" s="1">
        <v>610000</v>
      </c>
      <c r="C739" s="1" t="str" cm="1">
        <f t="array" ref="C739">_xlfn.IFS(Table2[[#This Row],[LIMIT_BAL]]&lt;=100000,"Low",Table2[[#This Row],[LIMIT_BAL]]&lt;=300000,"Medium",
TRUE,"High"
)</f>
        <v>High</v>
      </c>
      <c r="D739" t="s">
        <v>2041</v>
      </c>
      <c r="E739" t="s">
        <v>2026</v>
      </c>
      <c r="F739" t="s">
        <v>2029</v>
      </c>
      <c r="G739">
        <v>31</v>
      </c>
      <c r="H739" t="str" cm="1">
        <f t="array" ref="H739">_xlfn.IFS(
Table2[[#This Row],[AGE]]&lt;30,"Young",
Table2[[#This Row],[AGE]]&lt;40,"Middle Age",
Table2[[#This Row],[AGE]]&lt;50,"Senior",
TRUE,"Super Senior"
)</f>
        <v>Middle Age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 s="1">
        <v>142764</v>
      </c>
      <c r="P739" s="1">
        <v>126606</v>
      </c>
      <c r="Q739" s="1">
        <v>67887</v>
      </c>
      <c r="R739" s="1">
        <v>58397</v>
      </c>
      <c r="S739" s="1">
        <v>105301</v>
      </c>
      <c r="T739" s="1">
        <v>105965</v>
      </c>
      <c r="U739" s="1">
        <v>6540</v>
      </c>
      <c r="V739" s="1">
        <v>2100</v>
      </c>
      <c r="W739" s="1">
        <v>2150</v>
      </c>
      <c r="X739" s="1">
        <v>50000</v>
      </c>
      <c r="Y739" s="1">
        <v>4700</v>
      </c>
      <c r="Z739" s="1">
        <v>2000</v>
      </c>
      <c r="AA739">
        <v>0</v>
      </c>
      <c r="AB739" t="str">
        <f t="shared" si="11"/>
        <v>Not Defaulter</v>
      </c>
      <c r="AC739" s="1">
        <f>Table2[[#This Row],[BILL_AMT1]]-Table2[[#This Row],[PAY_AMT1]]</f>
        <v>136224</v>
      </c>
      <c r="AD739" s="1" t="str" cm="1">
        <f t="array" ref="AD739">_xlfn.IFS(Table2[[#This Row],[PAYMENT GAP]]&lt;=0,"No Gap / Overpaid",Table2[[#This Row],[PAYMENT GAP]]&lt;=25000,"Low Gap",Table2[[#This Row],[PAYMENT GAP]]&lt;=100000,"Medium Gap",
TRUE,"High Gap"
)</f>
        <v>High Gap</v>
      </c>
    </row>
    <row r="740" spans="1:30" x14ac:dyDescent="0.3">
      <c r="A740">
        <v>739</v>
      </c>
      <c r="B740" s="1">
        <v>110000</v>
      </c>
      <c r="C740" s="1" t="str" cm="1">
        <f t="array" ref="C740">_xlfn.IFS(Table2[[#This Row],[LIMIT_BAL]]&lt;=100000,"Low",Table2[[#This Row],[LIMIT_BAL]]&lt;=300000,"Medium",
TRUE,"High"
)</f>
        <v>Medium</v>
      </c>
      <c r="D740" t="s">
        <v>2041</v>
      </c>
      <c r="E740" t="s">
        <v>2026</v>
      </c>
      <c r="F740" t="s">
        <v>2029</v>
      </c>
      <c r="G740">
        <v>25</v>
      </c>
      <c r="H740" t="str" cm="1">
        <f t="array" ref="H740">_xlfn.IFS(
Table2[[#This Row],[AGE]]&lt;30,"Young",
Table2[[#This Row],[AGE]]&lt;40,"Middle Age",
Table2[[#This Row],[AGE]]&lt;50,"Senior",
TRUE,"Super Senior"
)</f>
        <v>Young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 s="1">
        <v>92849</v>
      </c>
      <c r="P740" s="1">
        <v>94766</v>
      </c>
      <c r="Q740" s="1">
        <v>93894</v>
      </c>
      <c r="R740" s="1">
        <v>85723</v>
      </c>
      <c r="S740" s="1">
        <v>86443</v>
      </c>
      <c r="T740" s="1">
        <v>84011</v>
      </c>
      <c r="U740" s="1">
        <v>4346</v>
      </c>
      <c r="V740" s="1">
        <v>4075</v>
      </c>
      <c r="W740" s="1">
        <v>3144</v>
      </c>
      <c r="X740" s="1">
        <v>3238</v>
      </c>
      <c r="Y740" s="1">
        <v>3167</v>
      </c>
      <c r="Z740" s="1">
        <v>3202</v>
      </c>
      <c r="AA740">
        <v>0</v>
      </c>
      <c r="AB740" t="str">
        <f t="shared" si="11"/>
        <v>Not Defaulter</v>
      </c>
      <c r="AC740" s="1">
        <f>Table2[[#This Row],[BILL_AMT1]]-Table2[[#This Row],[PAY_AMT1]]</f>
        <v>88503</v>
      </c>
      <c r="AD740" s="1" t="str" cm="1">
        <f t="array" ref="AD740">_xlfn.IFS(Table2[[#This Row],[PAYMENT GAP]]&lt;=0,"No Gap / Overpaid",Table2[[#This Row],[PAYMENT GAP]]&lt;=25000,"Low Gap",Table2[[#This Row],[PAYMENT GAP]]&lt;=100000,"Medium Gap",
TRUE,"High Gap"
)</f>
        <v>Medium Gap</v>
      </c>
    </row>
    <row r="741" spans="1:30" x14ac:dyDescent="0.3">
      <c r="A741">
        <v>740</v>
      </c>
      <c r="B741" s="1">
        <v>80000</v>
      </c>
      <c r="C741" s="1" t="str" cm="1">
        <f t="array" ref="C741">_xlfn.IFS(Table2[[#This Row],[LIMIT_BAL]]&lt;=100000,"Low",Table2[[#This Row],[LIMIT_BAL]]&lt;=300000,"Medium",
TRUE,"High"
)</f>
        <v>Low</v>
      </c>
      <c r="D741" t="s">
        <v>2041</v>
      </c>
      <c r="E741" t="s">
        <v>2043</v>
      </c>
      <c r="F741" t="s">
        <v>2029</v>
      </c>
      <c r="G741">
        <v>25</v>
      </c>
      <c r="H741" t="str" cm="1">
        <f t="array" ref="H741">_xlfn.IFS(
Table2[[#This Row],[AGE]]&lt;30,"Young",
Table2[[#This Row],[AGE]]&lt;40,"Middle Age",
Table2[[#This Row],[AGE]]&lt;50,"Senior",
TRUE,"Super Senior"
)</f>
        <v>Young</v>
      </c>
      <c r="I741">
        <v>2</v>
      </c>
      <c r="J741">
        <v>0</v>
      </c>
      <c r="K741">
        <v>0</v>
      </c>
      <c r="L741">
        <v>2</v>
      </c>
      <c r="M741">
        <v>0</v>
      </c>
      <c r="N741">
        <v>0</v>
      </c>
      <c r="O741" s="1">
        <v>17330</v>
      </c>
      <c r="P741" s="1">
        <v>19258</v>
      </c>
      <c r="Q741" s="1">
        <v>23416</v>
      </c>
      <c r="R741" s="1">
        <v>22768</v>
      </c>
      <c r="S741" s="1">
        <v>23243</v>
      </c>
      <c r="T741" s="1">
        <v>23718</v>
      </c>
      <c r="U741" s="1">
        <v>3000</v>
      </c>
      <c r="V741" s="1">
        <v>4790</v>
      </c>
      <c r="W741" s="1">
        <v>0</v>
      </c>
      <c r="X741" s="1">
        <v>816</v>
      </c>
      <c r="Y741" s="1">
        <v>833</v>
      </c>
      <c r="Z741" s="1">
        <v>2000</v>
      </c>
      <c r="AA741">
        <v>1</v>
      </c>
      <c r="AB741" t="str">
        <f t="shared" si="11"/>
        <v>Defaulter</v>
      </c>
      <c r="AC741" s="1">
        <f>Table2[[#This Row],[BILL_AMT1]]-Table2[[#This Row],[PAY_AMT1]]</f>
        <v>14330</v>
      </c>
      <c r="AD741" s="1" t="str" cm="1">
        <f t="array" ref="AD741">_xlfn.IFS(Table2[[#This Row],[PAYMENT GAP]]&lt;=0,"No Gap / Overpaid",Table2[[#This Row],[PAYMENT GAP]]&lt;=25000,"Low Gap",Table2[[#This Row],[PAYMENT GAP]]&lt;=100000,"Medium Gap",
TRUE,"High Gap"
)</f>
        <v>Low Gap</v>
      </c>
    </row>
    <row r="742" spans="1:30" x14ac:dyDescent="0.3">
      <c r="A742">
        <v>741</v>
      </c>
      <c r="B742" s="1">
        <v>170000</v>
      </c>
      <c r="C742" s="1" t="str" cm="1">
        <f t="array" ref="C742">_xlfn.IFS(Table2[[#This Row],[LIMIT_BAL]]&lt;=100000,"Low",Table2[[#This Row],[LIMIT_BAL]]&lt;=300000,"Medium",
TRUE,"High"
)</f>
        <v>Medium</v>
      </c>
      <c r="D742" t="s">
        <v>2041</v>
      </c>
      <c r="E742" t="s">
        <v>2043</v>
      </c>
      <c r="F742" t="s">
        <v>2028</v>
      </c>
      <c r="G742">
        <v>33</v>
      </c>
      <c r="H742" t="str" cm="1">
        <f t="array" ref="H742">_xlfn.IFS(
Table2[[#This Row],[AGE]]&lt;30,"Young",
Table2[[#This Row],[AGE]]&lt;40,"Middle Age",
Table2[[#This Row],[AGE]]&lt;50,"Senior",
TRUE,"Super Senior"
)</f>
        <v>Middle Age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 s="1">
        <v>109863</v>
      </c>
      <c r="P742" s="1">
        <v>79574</v>
      </c>
      <c r="Q742" s="1">
        <v>78440</v>
      </c>
      <c r="R742" s="1">
        <v>80141</v>
      </c>
      <c r="S742" s="1">
        <v>81862</v>
      </c>
      <c r="T742" s="1">
        <v>84237</v>
      </c>
      <c r="U742" s="1">
        <v>4380</v>
      </c>
      <c r="V742" s="1">
        <v>3000</v>
      </c>
      <c r="W742" s="1">
        <v>3000</v>
      </c>
      <c r="X742" s="1">
        <v>3000</v>
      </c>
      <c r="Y742" s="1">
        <v>4000</v>
      </c>
      <c r="Z742" s="1">
        <v>4500</v>
      </c>
      <c r="AA742">
        <v>0</v>
      </c>
      <c r="AB742" t="str">
        <f t="shared" si="11"/>
        <v>Not Defaulter</v>
      </c>
      <c r="AC742" s="1">
        <f>Table2[[#This Row],[BILL_AMT1]]-Table2[[#This Row],[PAY_AMT1]]</f>
        <v>105483</v>
      </c>
      <c r="AD742" s="1" t="str" cm="1">
        <f t="array" ref="AD742">_xlfn.IFS(Table2[[#This Row],[PAYMENT GAP]]&lt;=0,"No Gap / Overpaid",Table2[[#This Row],[PAYMENT GAP]]&lt;=25000,"Low Gap",Table2[[#This Row],[PAYMENT GAP]]&lt;=100000,"Medium Gap",
TRUE,"High Gap"
)</f>
        <v>High Gap</v>
      </c>
    </row>
    <row r="743" spans="1:30" x14ac:dyDescent="0.3">
      <c r="A743">
        <v>742</v>
      </c>
      <c r="B743" s="1">
        <v>110000</v>
      </c>
      <c r="C743" s="1" t="str" cm="1">
        <f t="array" ref="C743">_xlfn.IFS(Table2[[#This Row],[LIMIT_BAL]]&lt;=100000,"Low",Table2[[#This Row],[LIMIT_BAL]]&lt;=300000,"Medium",
TRUE,"High"
)</f>
        <v>Medium</v>
      </c>
      <c r="D743" t="s">
        <v>2041</v>
      </c>
      <c r="E743" t="s">
        <v>2026</v>
      </c>
      <c r="F743" t="s">
        <v>2029</v>
      </c>
      <c r="G743">
        <v>30</v>
      </c>
      <c r="H743" t="str" cm="1">
        <f t="array" ref="H743">_xlfn.IFS(
Table2[[#This Row],[AGE]]&lt;30,"Young",
Table2[[#This Row],[AGE]]&lt;40,"Middle Age",
Table2[[#This Row],[AGE]]&lt;50,"Senior",
TRUE,"Super Senior"
)</f>
        <v>Middle Age</v>
      </c>
      <c r="I743">
        <v>-1</v>
      </c>
      <c r="J743">
        <v>-1</v>
      </c>
      <c r="K743">
        <v>-1</v>
      </c>
      <c r="L743">
        <v>-1</v>
      </c>
      <c r="M743">
        <v>-2</v>
      </c>
      <c r="N743">
        <v>-2</v>
      </c>
      <c r="O743" s="1">
        <v>1064</v>
      </c>
      <c r="P743" s="1">
        <v>2001</v>
      </c>
      <c r="Q743" s="1">
        <v>3796</v>
      </c>
      <c r="R743" s="1">
        <v>0</v>
      </c>
      <c r="S743" s="1">
        <v>0</v>
      </c>
      <c r="T743" s="1">
        <v>0</v>
      </c>
      <c r="U743" s="1">
        <v>2007</v>
      </c>
      <c r="V743" s="1">
        <v>3796</v>
      </c>
      <c r="W743" s="1">
        <v>0</v>
      </c>
      <c r="X743" s="1">
        <v>0</v>
      </c>
      <c r="Y743" s="1">
        <v>0</v>
      </c>
      <c r="Z743" s="1">
        <v>0</v>
      </c>
      <c r="AA743">
        <v>0</v>
      </c>
      <c r="AB743" t="str">
        <f t="shared" si="11"/>
        <v>Not Defaulter</v>
      </c>
      <c r="AC743" s="1">
        <f>Table2[[#This Row],[BILL_AMT1]]-Table2[[#This Row],[PAY_AMT1]]</f>
        <v>-943</v>
      </c>
      <c r="AD743" s="1" t="str" cm="1">
        <f t="array" ref="AD743">_xlfn.IFS(Table2[[#This Row],[PAYMENT GAP]]&lt;=0,"No Gap / Overpaid",Table2[[#This Row],[PAYMENT GAP]]&lt;=25000,"Low Gap",Table2[[#This Row],[PAYMENT GAP]]&lt;=100000,"Medium Gap",
TRUE,"High Gap"
)</f>
        <v>No Gap / Overpaid</v>
      </c>
    </row>
    <row r="744" spans="1:30" x14ac:dyDescent="0.3">
      <c r="A744">
        <v>743</v>
      </c>
      <c r="B744" s="1">
        <v>140000</v>
      </c>
      <c r="C744" s="1" t="str" cm="1">
        <f t="array" ref="C744">_xlfn.IFS(Table2[[#This Row],[LIMIT_BAL]]&lt;=100000,"Low",Table2[[#This Row],[LIMIT_BAL]]&lt;=300000,"Medium",
TRUE,"High"
)</f>
        <v>Medium</v>
      </c>
      <c r="D744" t="s">
        <v>2041</v>
      </c>
      <c r="E744" t="s">
        <v>2026</v>
      </c>
      <c r="F744" t="s">
        <v>2028</v>
      </c>
      <c r="G744">
        <v>51</v>
      </c>
      <c r="H744" t="str" cm="1">
        <f t="array" ref="H744">_xlfn.IFS(
Table2[[#This Row],[AGE]]&lt;30,"Young",
Table2[[#This Row],[AGE]]&lt;40,"Middle Age",
Table2[[#This Row],[AGE]]&lt;50,"Senior",
TRUE,"Super Senior"
)</f>
        <v>Super Senior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 s="1">
        <v>56764</v>
      </c>
      <c r="P744" s="1">
        <v>57950</v>
      </c>
      <c r="Q744" s="1">
        <v>57668</v>
      </c>
      <c r="R744" s="1">
        <v>55024</v>
      </c>
      <c r="S744" s="1">
        <v>55883</v>
      </c>
      <c r="T744" s="1">
        <v>55744</v>
      </c>
      <c r="U744" s="1">
        <v>2115</v>
      </c>
      <c r="V744" s="1">
        <v>2004</v>
      </c>
      <c r="W744" s="1">
        <v>1941</v>
      </c>
      <c r="X744" s="1">
        <v>2073</v>
      </c>
      <c r="Y744" s="1">
        <v>1909</v>
      </c>
      <c r="Z744" s="1">
        <v>2132</v>
      </c>
      <c r="AA744">
        <v>0</v>
      </c>
      <c r="AB744" t="str">
        <f t="shared" si="11"/>
        <v>Not Defaulter</v>
      </c>
      <c r="AC744" s="1">
        <f>Table2[[#This Row],[BILL_AMT1]]-Table2[[#This Row],[PAY_AMT1]]</f>
        <v>54649</v>
      </c>
      <c r="AD744" s="1" t="str" cm="1">
        <f t="array" ref="AD744">_xlfn.IFS(Table2[[#This Row],[PAYMENT GAP]]&lt;=0,"No Gap / Overpaid",Table2[[#This Row],[PAYMENT GAP]]&lt;=25000,"Low Gap",Table2[[#This Row],[PAYMENT GAP]]&lt;=100000,"Medium Gap",
TRUE,"High Gap"
)</f>
        <v>Medium Gap</v>
      </c>
    </row>
    <row r="745" spans="1:30" x14ac:dyDescent="0.3">
      <c r="A745">
        <v>744</v>
      </c>
      <c r="B745" s="1">
        <v>70000</v>
      </c>
      <c r="C745" s="1" t="str" cm="1">
        <f t="array" ref="C745">_xlfn.IFS(Table2[[#This Row],[LIMIT_BAL]]&lt;=100000,"Low",Table2[[#This Row],[LIMIT_BAL]]&lt;=300000,"Medium",
TRUE,"High"
)</f>
        <v>Low</v>
      </c>
      <c r="D745" t="s">
        <v>2042</v>
      </c>
      <c r="E745" t="s">
        <v>2026</v>
      </c>
      <c r="F745" t="s">
        <v>2029</v>
      </c>
      <c r="G745">
        <v>51</v>
      </c>
      <c r="H745" t="str" cm="1">
        <f t="array" ref="H745">_xlfn.IFS(
Table2[[#This Row],[AGE]]&lt;30,"Young",
Table2[[#This Row],[AGE]]&lt;40,"Middle Age",
Table2[[#This Row],[AGE]]&lt;50,"Senior",
TRUE,"Super Senior"
)</f>
        <v>Super Senior</v>
      </c>
      <c r="I745">
        <v>0</v>
      </c>
      <c r="J745">
        <v>0</v>
      </c>
      <c r="K745">
        <v>0</v>
      </c>
      <c r="L745">
        <v>2</v>
      </c>
      <c r="M745">
        <v>0</v>
      </c>
      <c r="N745">
        <v>0</v>
      </c>
      <c r="O745" s="1">
        <v>43048</v>
      </c>
      <c r="P745" s="1">
        <v>43257</v>
      </c>
      <c r="Q745" s="1">
        <v>44115</v>
      </c>
      <c r="R745" s="1">
        <v>41112</v>
      </c>
      <c r="S745" s="1">
        <v>39922</v>
      </c>
      <c r="T745" s="1">
        <v>40150</v>
      </c>
      <c r="U745" s="1">
        <v>3000</v>
      </c>
      <c r="V745" s="1">
        <v>4000</v>
      </c>
      <c r="W745" s="1">
        <v>0</v>
      </c>
      <c r="X745" s="1">
        <v>1500</v>
      </c>
      <c r="Y745" s="1">
        <v>3000</v>
      </c>
      <c r="Z745" s="1">
        <v>5000</v>
      </c>
      <c r="AA745">
        <v>0</v>
      </c>
      <c r="AB745" t="str">
        <f t="shared" si="11"/>
        <v>Not Defaulter</v>
      </c>
      <c r="AC745" s="1">
        <f>Table2[[#This Row],[BILL_AMT1]]-Table2[[#This Row],[PAY_AMT1]]</f>
        <v>40048</v>
      </c>
      <c r="AD745" s="1" t="str" cm="1">
        <f t="array" ref="AD745">_xlfn.IFS(Table2[[#This Row],[PAYMENT GAP]]&lt;=0,"No Gap / Overpaid",Table2[[#This Row],[PAYMENT GAP]]&lt;=25000,"Low Gap",Table2[[#This Row],[PAYMENT GAP]]&lt;=100000,"Medium Gap",
TRUE,"High Gap"
)</f>
        <v>Medium Gap</v>
      </c>
    </row>
    <row r="746" spans="1:30" x14ac:dyDescent="0.3">
      <c r="A746">
        <v>745</v>
      </c>
      <c r="B746" s="1">
        <v>260000</v>
      </c>
      <c r="C746" s="1" t="str" cm="1">
        <f t="array" ref="C746">_xlfn.IFS(Table2[[#This Row],[LIMIT_BAL]]&lt;=100000,"Low",Table2[[#This Row],[LIMIT_BAL]]&lt;=300000,"Medium",
TRUE,"High"
)</f>
        <v>Medium</v>
      </c>
      <c r="D746" t="s">
        <v>2041</v>
      </c>
      <c r="E746" t="s">
        <v>2043</v>
      </c>
      <c r="F746" t="s">
        <v>2028</v>
      </c>
      <c r="G746">
        <v>46</v>
      </c>
      <c r="H746" t="str" cm="1">
        <f t="array" ref="H746">_xlfn.IFS(
Table2[[#This Row],[AGE]]&lt;30,"Young",
Table2[[#This Row],[AGE]]&lt;40,"Middle Age",
Table2[[#This Row],[AGE]]&lt;50,"Senior",
TRUE,"Super Senior"
)</f>
        <v>Senior</v>
      </c>
      <c r="I746">
        <v>-2</v>
      </c>
      <c r="J746">
        <v>-2</v>
      </c>
      <c r="K746">
        <v>-2</v>
      </c>
      <c r="L746">
        <v>-2</v>
      </c>
      <c r="M746">
        <v>-2</v>
      </c>
      <c r="N746">
        <v>-2</v>
      </c>
      <c r="O746" s="1">
        <v>29484</v>
      </c>
      <c r="P746" s="1">
        <v>28592</v>
      </c>
      <c r="Q746" s="1">
        <v>16869</v>
      </c>
      <c r="R746" s="1">
        <v>12713</v>
      </c>
      <c r="S746" s="1">
        <v>10420</v>
      </c>
      <c r="T746" s="1">
        <v>12532</v>
      </c>
      <c r="U746" s="1">
        <v>10000</v>
      </c>
      <c r="V746" s="1">
        <v>3000</v>
      </c>
      <c r="W746" s="1">
        <v>12713</v>
      </c>
      <c r="X746" s="1">
        <v>10420</v>
      </c>
      <c r="Y746" s="1">
        <v>12532</v>
      </c>
      <c r="Z746" s="1">
        <v>12151</v>
      </c>
      <c r="AA746">
        <v>0</v>
      </c>
      <c r="AB746" t="str">
        <f t="shared" si="11"/>
        <v>Not Defaulter</v>
      </c>
      <c r="AC746" s="1">
        <f>Table2[[#This Row],[BILL_AMT1]]-Table2[[#This Row],[PAY_AMT1]]</f>
        <v>19484</v>
      </c>
      <c r="AD746" s="1" t="str" cm="1">
        <f t="array" ref="AD746">_xlfn.IFS(Table2[[#This Row],[PAYMENT GAP]]&lt;=0,"No Gap / Overpaid",Table2[[#This Row],[PAYMENT GAP]]&lt;=25000,"Low Gap",Table2[[#This Row],[PAYMENT GAP]]&lt;=100000,"Medium Gap",
TRUE,"High Gap"
)</f>
        <v>Low Gap</v>
      </c>
    </row>
    <row r="747" spans="1:30" x14ac:dyDescent="0.3">
      <c r="A747">
        <v>746</v>
      </c>
      <c r="B747" s="1">
        <v>170000</v>
      </c>
      <c r="C747" s="1" t="str" cm="1">
        <f t="array" ref="C747">_xlfn.IFS(Table2[[#This Row],[LIMIT_BAL]]&lt;=100000,"Low",Table2[[#This Row],[LIMIT_BAL]]&lt;=300000,"Medium",
TRUE,"High"
)</f>
        <v>Medium</v>
      </c>
      <c r="D747" t="s">
        <v>2042</v>
      </c>
      <c r="E747" t="s">
        <v>2027</v>
      </c>
      <c r="F747" t="s">
        <v>2029</v>
      </c>
      <c r="G747">
        <v>38</v>
      </c>
      <c r="H747" t="str" cm="1">
        <f t="array" ref="H747">_xlfn.IFS(
Table2[[#This Row],[AGE]]&lt;30,"Young",
Table2[[#This Row],[AGE]]&lt;40,"Middle Age",
Table2[[#This Row],[AGE]]&lt;50,"Senior",
TRUE,"Super Senior"
)</f>
        <v>Middle Age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 s="1">
        <v>21310</v>
      </c>
      <c r="P747" s="1">
        <v>22957</v>
      </c>
      <c r="Q747" s="1">
        <v>24266</v>
      </c>
      <c r="R747" s="1">
        <v>25556</v>
      </c>
      <c r="S747" s="1">
        <v>29949</v>
      </c>
      <c r="T747" s="1">
        <v>34434</v>
      </c>
      <c r="U747" s="1">
        <v>2000</v>
      </c>
      <c r="V747" s="1">
        <v>2000</v>
      </c>
      <c r="W747" s="1">
        <v>2000</v>
      </c>
      <c r="X747" s="1">
        <v>5000</v>
      </c>
      <c r="Y747" s="1">
        <v>5000</v>
      </c>
      <c r="Z747" s="1">
        <v>5000</v>
      </c>
      <c r="AA747">
        <v>0</v>
      </c>
      <c r="AB747" t="str">
        <f t="shared" si="11"/>
        <v>Not Defaulter</v>
      </c>
      <c r="AC747" s="1">
        <f>Table2[[#This Row],[BILL_AMT1]]-Table2[[#This Row],[PAY_AMT1]]</f>
        <v>19310</v>
      </c>
      <c r="AD747" s="1" t="str" cm="1">
        <f t="array" ref="AD747">_xlfn.IFS(Table2[[#This Row],[PAYMENT GAP]]&lt;=0,"No Gap / Overpaid",Table2[[#This Row],[PAYMENT GAP]]&lt;=25000,"Low Gap",Table2[[#This Row],[PAYMENT GAP]]&lt;=100000,"Medium Gap",
TRUE,"High Gap"
)</f>
        <v>Low Gap</v>
      </c>
    </row>
    <row r="748" spans="1:30" x14ac:dyDescent="0.3">
      <c r="A748">
        <v>747</v>
      </c>
      <c r="B748" s="1">
        <v>50000</v>
      </c>
      <c r="C748" s="1" t="str" cm="1">
        <f t="array" ref="C748">_xlfn.IFS(Table2[[#This Row],[LIMIT_BAL]]&lt;=100000,"Low",Table2[[#This Row],[LIMIT_BAL]]&lt;=300000,"Medium",
TRUE,"High"
)</f>
        <v>Low</v>
      </c>
      <c r="D748" t="s">
        <v>2041</v>
      </c>
      <c r="E748" t="s">
        <v>2043</v>
      </c>
      <c r="F748" t="s">
        <v>2028</v>
      </c>
      <c r="G748">
        <v>34</v>
      </c>
      <c r="H748" t="str" cm="1">
        <f t="array" ref="H748">_xlfn.IFS(
Table2[[#This Row],[AGE]]&lt;30,"Young",
Table2[[#This Row],[AGE]]&lt;40,"Middle Age",
Table2[[#This Row],[AGE]]&lt;50,"Senior",
TRUE,"Super Senior"
)</f>
        <v>Middle Age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 s="1">
        <v>10821</v>
      </c>
      <c r="P748" s="1">
        <v>11877</v>
      </c>
      <c r="Q748" s="1">
        <v>13656</v>
      </c>
      <c r="R748" s="1">
        <v>14949</v>
      </c>
      <c r="S748" s="1">
        <v>16567</v>
      </c>
      <c r="T748" s="1">
        <v>16826</v>
      </c>
      <c r="U748" s="1">
        <v>1221</v>
      </c>
      <c r="V748" s="1">
        <v>2000</v>
      </c>
      <c r="W748" s="1">
        <v>1500</v>
      </c>
      <c r="X748" s="1">
        <v>2000</v>
      </c>
      <c r="Y748" s="1">
        <v>2000</v>
      </c>
      <c r="Z748" s="1">
        <v>4000</v>
      </c>
      <c r="AA748">
        <v>0</v>
      </c>
      <c r="AB748" t="str">
        <f t="shared" si="11"/>
        <v>Not Defaulter</v>
      </c>
      <c r="AC748" s="1">
        <f>Table2[[#This Row],[BILL_AMT1]]-Table2[[#This Row],[PAY_AMT1]]</f>
        <v>9600</v>
      </c>
      <c r="AD748" s="1" t="str" cm="1">
        <f t="array" ref="AD748">_xlfn.IFS(Table2[[#This Row],[PAYMENT GAP]]&lt;=0,"No Gap / Overpaid",Table2[[#This Row],[PAYMENT GAP]]&lt;=25000,"Low Gap",Table2[[#This Row],[PAYMENT GAP]]&lt;=100000,"Medium Gap",
TRUE,"High Gap"
)</f>
        <v>Low Gap</v>
      </c>
    </row>
    <row r="749" spans="1:30" x14ac:dyDescent="0.3">
      <c r="A749">
        <v>748</v>
      </c>
      <c r="B749" s="1">
        <v>300000</v>
      </c>
      <c r="C749" s="1" t="str" cm="1">
        <f t="array" ref="C749">_xlfn.IFS(Table2[[#This Row],[LIMIT_BAL]]&lt;=100000,"Low",Table2[[#This Row],[LIMIT_BAL]]&lt;=300000,"Medium",
TRUE,"High"
)</f>
        <v>Medium</v>
      </c>
      <c r="D749" t="s">
        <v>2041</v>
      </c>
      <c r="E749" t="s">
        <v>2027</v>
      </c>
      <c r="F749" t="s">
        <v>2028</v>
      </c>
      <c r="G749">
        <v>34</v>
      </c>
      <c r="H749" t="str" cm="1">
        <f t="array" ref="H749">_xlfn.IFS(
Table2[[#This Row],[AGE]]&lt;30,"Young",
Table2[[#This Row],[AGE]]&lt;40,"Middle Age",
Table2[[#This Row],[AGE]]&lt;50,"Senior",
TRUE,"Super Senior"
)</f>
        <v>Middle Age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 s="1">
        <v>280823</v>
      </c>
      <c r="P749" s="1">
        <v>275303</v>
      </c>
      <c r="Q749" s="1">
        <v>271952</v>
      </c>
      <c r="R749" s="1">
        <v>193403</v>
      </c>
      <c r="S749" s="1">
        <v>187562</v>
      </c>
      <c r="T749" s="1">
        <v>191069</v>
      </c>
      <c r="U749" s="1">
        <v>11000</v>
      </c>
      <c r="V749" s="1">
        <v>12000</v>
      </c>
      <c r="W749" s="1">
        <v>7200</v>
      </c>
      <c r="X749" s="1">
        <v>6500</v>
      </c>
      <c r="Y749" s="1">
        <v>6173</v>
      </c>
      <c r="Z749" s="1">
        <v>5500</v>
      </c>
      <c r="AA749">
        <v>1</v>
      </c>
      <c r="AB749" t="str">
        <f t="shared" si="11"/>
        <v>Defaulter</v>
      </c>
      <c r="AC749" s="1">
        <f>Table2[[#This Row],[BILL_AMT1]]-Table2[[#This Row],[PAY_AMT1]]</f>
        <v>269823</v>
      </c>
      <c r="AD749" s="1" t="str" cm="1">
        <f t="array" ref="AD749">_xlfn.IFS(Table2[[#This Row],[PAYMENT GAP]]&lt;=0,"No Gap / Overpaid",Table2[[#This Row],[PAYMENT GAP]]&lt;=25000,"Low Gap",Table2[[#This Row],[PAYMENT GAP]]&lt;=100000,"Medium Gap",
TRUE,"High Gap"
)</f>
        <v>High Gap</v>
      </c>
    </row>
    <row r="750" spans="1:30" x14ac:dyDescent="0.3">
      <c r="A750">
        <v>749</v>
      </c>
      <c r="B750" s="1">
        <v>150000</v>
      </c>
      <c r="C750" s="1" t="str" cm="1">
        <f t="array" ref="C750">_xlfn.IFS(Table2[[#This Row],[LIMIT_BAL]]&lt;=100000,"Low",Table2[[#This Row],[LIMIT_BAL]]&lt;=300000,"Medium",
TRUE,"High"
)</f>
        <v>Medium</v>
      </c>
      <c r="D750" t="s">
        <v>2041</v>
      </c>
      <c r="E750" t="s">
        <v>2026</v>
      </c>
      <c r="F750" t="s">
        <v>2029</v>
      </c>
      <c r="G750">
        <v>31</v>
      </c>
      <c r="H750" t="str" cm="1">
        <f t="array" ref="H750">_xlfn.IFS(
Table2[[#This Row],[AGE]]&lt;30,"Young",
Table2[[#This Row],[AGE]]&lt;40,"Middle Age",
Table2[[#This Row],[AGE]]&lt;50,"Senior",
TRUE,"Super Senior"
)</f>
        <v>Middle Age</v>
      </c>
      <c r="I750">
        <v>2</v>
      </c>
      <c r="J750">
        <v>-1</v>
      </c>
      <c r="K750">
        <v>-1</v>
      </c>
      <c r="L750">
        <v>-1</v>
      </c>
      <c r="M750">
        <v>-1</v>
      </c>
      <c r="N750">
        <v>-1</v>
      </c>
      <c r="O750" s="1">
        <v>390</v>
      </c>
      <c r="P750" s="1">
        <v>390</v>
      </c>
      <c r="Q750" s="1">
        <v>390</v>
      </c>
      <c r="R750" s="1">
        <v>4825</v>
      </c>
      <c r="S750" s="1">
        <v>5202</v>
      </c>
      <c r="T750" s="1">
        <v>780</v>
      </c>
      <c r="U750" s="1">
        <v>390</v>
      </c>
      <c r="V750" s="1">
        <v>390</v>
      </c>
      <c r="W750" s="1">
        <v>4825</v>
      </c>
      <c r="X750" s="1">
        <v>5202</v>
      </c>
      <c r="Y750" s="1">
        <v>780</v>
      </c>
      <c r="Z750" s="1">
        <v>0</v>
      </c>
      <c r="AA750">
        <v>1</v>
      </c>
      <c r="AB750" t="str">
        <f t="shared" si="11"/>
        <v>Defaulter</v>
      </c>
      <c r="AC750" s="1">
        <f>Table2[[#This Row],[BILL_AMT1]]-Table2[[#This Row],[PAY_AMT1]]</f>
        <v>0</v>
      </c>
      <c r="AD750" s="1" t="str" cm="1">
        <f t="array" ref="AD750">_xlfn.IFS(Table2[[#This Row],[PAYMENT GAP]]&lt;=0,"No Gap / Overpaid",Table2[[#This Row],[PAYMENT GAP]]&lt;=25000,"Low Gap",Table2[[#This Row],[PAYMENT GAP]]&lt;=100000,"Medium Gap",
TRUE,"High Gap"
)</f>
        <v>No Gap / Overpaid</v>
      </c>
    </row>
    <row r="751" spans="1:30" x14ac:dyDescent="0.3">
      <c r="A751">
        <v>750</v>
      </c>
      <c r="B751" s="1">
        <v>50000</v>
      </c>
      <c r="C751" s="1" t="str" cm="1">
        <f t="array" ref="C751">_xlfn.IFS(Table2[[#This Row],[LIMIT_BAL]]&lt;=100000,"Low",Table2[[#This Row],[LIMIT_BAL]]&lt;=300000,"Medium",
TRUE,"High"
)</f>
        <v>Low</v>
      </c>
      <c r="D751" t="s">
        <v>2041</v>
      </c>
      <c r="E751" t="s">
        <v>2043</v>
      </c>
      <c r="F751" t="s">
        <v>2029</v>
      </c>
      <c r="G751">
        <v>25</v>
      </c>
      <c r="H751" t="str" cm="1">
        <f t="array" ref="H751">_xlfn.IFS(
Table2[[#This Row],[AGE]]&lt;30,"Young",
Table2[[#This Row],[AGE]]&lt;40,"Middle Age",
Table2[[#This Row],[AGE]]&lt;50,"Senior",
TRUE,"Super Senior"
)</f>
        <v>Young</v>
      </c>
      <c r="I751">
        <v>8</v>
      </c>
      <c r="J751">
        <v>7</v>
      </c>
      <c r="K751">
        <v>6</v>
      </c>
      <c r="L751">
        <v>5</v>
      </c>
      <c r="M751">
        <v>4</v>
      </c>
      <c r="N751">
        <v>3</v>
      </c>
      <c r="O751" s="1">
        <v>37647</v>
      </c>
      <c r="P751" s="1">
        <v>37102</v>
      </c>
      <c r="Q751" s="1">
        <v>36238</v>
      </c>
      <c r="R751" s="1">
        <v>36374</v>
      </c>
      <c r="S751" s="1">
        <v>35229</v>
      </c>
      <c r="T751" s="1">
        <v>34365</v>
      </c>
      <c r="U751" s="1">
        <v>0</v>
      </c>
      <c r="V751" s="1">
        <v>0</v>
      </c>
      <c r="W751" s="1">
        <v>1000</v>
      </c>
      <c r="X751" s="1">
        <v>0</v>
      </c>
      <c r="Y751" s="1">
        <v>0</v>
      </c>
      <c r="Z751" s="1">
        <v>3000</v>
      </c>
      <c r="AA751">
        <v>1</v>
      </c>
      <c r="AB751" t="str">
        <f t="shared" si="11"/>
        <v>Defaulter</v>
      </c>
      <c r="AC751" s="1">
        <f>Table2[[#This Row],[BILL_AMT1]]-Table2[[#This Row],[PAY_AMT1]]</f>
        <v>37647</v>
      </c>
      <c r="AD751" s="1" t="str" cm="1">
        <f t="array" ref="AD751">_xlfn.IFS(Table2[[#This Row],[PAYMENT GAP]]&lt;=0,"No Gap / Overpaid",Table2[[#This Row],[PAYMENT GAP]]&lt;=25000,"Low Gap",Table2[[#This Row],[PAYMENT GAP]]&lt;=100000,"Medium Gap",
TRUE,"High Gap"
)</f>
        <v>Medium Gap</v>
      </c>
    </row>
    <row r="752" spans="1:30" x14ac:dyDescent="0.3">
      <c r="A752">
        <v>751</v>
      </c>
      <c r="B752" s="1">
        <v>50000</v>
      </c>
      <c r="C752" s="1" t="str" cm="1">
        <f t="array" ref="C752">_xlfn.IFS(Table2[[#This Row],[LIMIT_BAL]]&lt;=100000,"Low",Table2[[#This Row],[LIMIT_BAL]]&lt;=300000,"Medium",
TRUE,"High"
)</f>
        <v>Low</v>
      </c>
      <c r="D752" t="s">
        <v>2041</v>
      </c>
      <c r="E752" t="s">
        <v>2043</v>
      </c>
      <c r="F752" t="s">
        <v>2028</v>
      </c>
      <c r="G752">
        <v>26</v>
      </c>
      <c r="H752" t="str" cm="1">
        <f t="array" ref="H752">_xlfn.IFS(
Table2[[#This Row],[AGE]]&lt;30,"Young",
Table2[[#This Row],[AGE]]&lt;40,"Middle Age",
Table2[[#This Row],[AGE]]&lt;50,"Senior",
TRUE,"Super Senior"
)</f>
        <v>Young</v>
      </c>
      <c r="I752">
        <v>1</v>
      </c>
      <c r="J752">
        <v>-2</v>
      </c>
      <c r="K752">
        <v>-1</v>
      </c>
      <c r="L752">
        <v>0</v>
      </c>
      <c r="M752">
        <v>0</v>
      </c>
      <c r="N752">
        <v>0</v>
      </c>
      <c r="O752" s="1">
        <v>0</v>
      </c>
      <c r="P752" s="1">
        <v>0</v>
      </c>
      <c r="Q752" s="1">
        <v>1756</v>
      </c>
      <c r="R752" s="1">
        <v>2719</v>
      </c>
      <c r="S752" s="1">
        <v>4049</v>
      </c>
      <c r="T752" s="1">
        <v>5176</v>
      </c>
      <c r="U752" s="1">
        <v>0</v>
      </c>
      <c r="V752" s="1">
        <v>1756</v>
      </c>
      <c r="W752" s="1">
        <v>1000</v>
      </c>
      <c r="X752" s="1">
        <v>1537</v>
      </c>
      <c r="Y752" s="1">
        <v>1200</v>
      </c>
      <c r="Z752" s="1">
        <v>2000</v>
      </c>
      <c r="AA752">
        <v>0</v>
      </c>
      <c r="AB752" t="str">
        <f t="shared" si="11"/>
        <v>Not Defaulter</v>
      </c>
      <c r="AC752" s="1">
        <f>Table2[[#This Row],[BILL_AMT1]]-Table2[[#This Row],[PAY_AMT1]]</f>
        <v>0</v>
      </c>
      <c r="AD752" s="1" t="str" cm="1">
        <f t="array" ref="AD752">_xlfn.IFS(Table2[[#This Row],[PAYMENT GAP]]&lt;=0,"No Gap / Overpaid",Table2[[#This Row],[PAYMENT GAP]]&lt;=25000,"Low Gap",Table2[[#This Row],[PAYMENT GAP]]&lt;=100000,"Medium Gap",
TRUE,"High Gap"
)</f>
        <v>No Gap / Overpaid</v>
      </c>
    </row>
    <row r="753" spans="1:30" x14ac:dyDescent="0.3">
      <c r="A753">
        <v>752</v>
      </c>
      <c r="B753" s="1">
        <v>90000</v>
      </c>
      <c r="C753" s="1" t="str" cm="1">
        <f t="array" ref="C753">_xlfn.IFS(Table2[[#This Row],[LIMIT_BAL]]&lt;=100000,"Low",Table2[[#This Row],[LIMIT_BAL]]&lt;=300000,"Medium",
TRUE,"High"
)</f>
        <v>Low</v>
      </c>
      <c r="D753" t="s">
        <v>2041</v>
      </c>
      <c r="E753" t="s">
        <v>2026</v>
      </c>
      <c r="F753" t="s">
        <v>2029</v>
      </c>
      <c r="G753">
        <v>25</v>
      </c>
      <c r="H753" t="str" cm="1">
        <f t="array" ref="H753">_xlfn.IFS(
Table2[[#This Row],[AGE]]&lt;30,"Young",
Table2[[#This Row],[AGE]]&lt;40,"Middle Age",
Table2[[#This Row],[AGE]]&lt;50,"Senior",
TRUE,"Super Senior"
)</f>
        <v>Young</v>
      </c>
      <c r="I753">
        <v>2</v>
      </c>
      <c r="J753">
        <v>0</v>
      </c>
      <c r="K753">
        <v>0</v>
      </c>
      <c r="L753">
        <v>0</v>
      </c>
      <c r="M753">
        <v>0</v>
      </c>
      <c r="N753">
        <v>-1</v>
      </c>
      <c r="O753" s="1">
        <v>84710</v>
      </c>
      <c r="P753" s="1">
        <v>87334</v>
      </c>
      <c r="Q753" s="1">
        <v>87862</v>
      </c>
      <c r="R753" s="1">
        <v>18889</v>
      </c>
      <c r="S753" s="1">
        <v>-783</v>
      </c>
      <c r="T753" s="1">
        <v>73568</v>
      </c>
      <c r="U753" s="1">
        <v>4000</v>
      </c>
      <c r="V753" s="1">
        <v>3258</v>
      </c>
      <c r="W753" s="1">
        <v>1000</v>
      </c>
      <c r="X753" s="1">
        <v>0</v>
      </c>
      <c r="Y753" s="1">
        <v>77500</v>
      </c>
      <c r="Z753" s="1">
        <v>0</v>
      </c>
      <c r="AA753">
        <v>0</v>
      </c>
      <c r="AB753" t="str">
        <f t="shared" si="11"/>
        <v>Not Defaulter</v>
      </c>
      <c r="AC753" s="1">
        <f>Table2[[#This Row],[BILL_AMT1]]-Table2[[#This Row],[PAY_AMT1]]</f>
        <v>80710</v>
      </c>
      <c r="AD753" s="1" t="str" cm="1">
        <f t="array" ref="AD753">_xlfn.IFS(Table2[[#This Row],[PAYMENT GAP]]&lt;=0,"No Gap / Overpaid",Table2[[#This Row],[PAYMENT GAP]]&lt;=25000,"Low Gap",Table2[[#This Row],[PAYMENT GAP]]&lt;=100000,"Medium Gap",
TRUE,"High Gap"
)</f>
        <v>Medium Gap</v>
      </c>
    </row>
    <row r="754" spans="1:30" x14ac:dyDescent="0.3">
      <c r="A754">
        <v>753</v>
      </c>
      <c r="B754" s="1">
        <v>50000</v>
      </c>
      <c r="C754" s="1" t="str" cm="1">
        <f t="array" ref="C754">_xlfn.IFS(Table2[[#This Row],[LIMIT_BAL]]&lt;=100000,"Low",Table2[[#This Row],[LIMIT_BAL]]&lt;=300000,"Medium",
TRUE,"High"
)</f>
        <v>Low</v>
      </c>
      <c r="D754" t="s">
        <v>2042</v>
      </c>
      <c r="E754" t="s">
        <v>2043</v>
      </c>
      <c r="F754" t="s">
        <v>2029</v>
      </c>
      <c r="G754">
        <v>26</v>
      </c>
      <c r="H754" t="str" cm="1">
        <f t="array" ref="H754">_xlfn.IFS(
Table2[[#This Row],[AGE]]&lt;30,"Young",
Table2[[#This Row],[AGE]]&lt;40,"Middle Age",
Table2[[#This Row],[AGE]]&lt;50,"Senior",
TRUE,"Super Senior"
)</f>
        <v>Young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 s="1">
        <v>48036</v>
      </c>
      <c r="P754" s="1">
        <v>46787</v>
      </c>
      <c r="Q754" s="1">
        <v>42011</v>
      </c>
      <c r="R754" s="1">
        <v>19147</v>
      </c>
      <c r="S754" s="1">
        <v>2845</v>
      </c>
      <c r="T754" s="1">
        <v>20041</v>
      </c>
      <c r="U754" s="1">
        <v>2100</v>
      </c>
      <c r="V754" s="1">
        <v>1227</v>
      </c>
      <c r="W754" s="1">
        <v>383</v>
      </c>
      <c r="X754" s="1">
        <v>2000</v>
      </c>
      <c r="Y754" s="1">
        <v>20000</v>
      </c>
      <c r="Z754" s="1">
        <v>649</v>
      </c>
      <c r="AA754">
        <v>1</v>
      </c>
      <c r="AB754" t="str">
        <f t="shared" si="11"/>
        <v>Defaulter</v>
      </c>
      <c r="AC754" s="1">
        <f>Table2[[#This Row],[BILL_AMT1]]-Table2[[#This Row],[PAY_AMT1]]</f>
        <v>45936</v>
      </c>
      <c r="AD754" s="1" t="str" cm="1">
        <f t="array" ref="AD754">_xlfn.IFS(Table2[[#This Row],[PAYMENT GAP]]&lt;=0,"No Gap / Overpaid",Table2[[#This Row],[PAYMENT GAP]]&lt;=25000,"Low Gap",Table2[[#This Row],[PAYMENT GAP]]&lt;=100000,"Medium Gap",
TRUE,"High Gap"
)</f>
        <v>Medium Gap</v>
      </c>
    </row>
    <row r="755" spans="1:30" x14ac:dyDescent="0.3">
      <c r="A755">
        <v>754</v>
      </c>
      <c r="B755" s="1">
        <v>500000</v>
      </c>
      <c r="C755" s="1" t="str" cm="1">
        <f t="array" ref="C755">_xlfn.IFS(Table2[[#This Row],[LIMIT_BAL]]&lt;=100000,"Low",Table2[[#This Row],[LIMIT_BAL]]&lt;=300000,"Medium",
TRUE,"High"
)</f>
        <v>High</v>
      </c>
      <c r="D755" t="s">
        <v>2041</v>
      </c>
      <c r="E755" t="s">
        <v>2043</v>
      </c>
      <c r="F755" t="s">
        <v>2029</v>
      </c>
      <c r="G755">
        <v>43</v>
      </c>
      <c r="H755" t="str" cm="1">
        <f t="array" ref="H755">_xlfn.IFS(
Table2[[#This Row],[AGE]]&lt;30,"Young",
Table2[[#This Row],[AGE]]&lt;40,"Middle Age",
Table2[[#This Row],[AGE]]&lt;50,"Senior",
TRUE,"Super Senior"
)</f>
        <v>Senior</v>
      </c>
      <c r="I755">
        <v>-1</v>
      </c>
      <c r="J755">
        <v>0</v>
      </c>
      <c r="K755">
        <v>0</v>
      </c>
      <c r="L755">
        <v>0</v>
      </c>
      <c r="M755">
        <v>0</v>
      </c>
      <c r="N755">
        <v>0</v>
      </c>
      <c r="O755" s="1">
        <v>43346</v>
      </c>
      <c r="P755" s="1">
        <v>43976</v>
      </c>
      <c r="Q755" s="1">
        <v>39032</v>
      </c>
      <c r="R755" s="1">
        <v>29092</v>
      </c>
      <c r="S755" s="1">
        <v>22725</v>
      </c>
      <c r="T755" s="1">
        <v>11590</v>
      </c>
      <c r="U755" s="1">
        <v>4006</v>
      </c>
      <c r="V755" s="1">
        <v>2383</v>
      </c>
      <c r="W755" s="1">
        <v>1126</v>
      </c>
      <c r="X755" s="1">
        <v>782</v>
      </c>
      <c r="Y755" s="1">
        <v>596</v>
      </c>
      <c r="Z755" s="1">
        <v>1572</v>
      </c>
      <c r="AA755">
        <v>0</v>
      </c>
      <c r="AB755" t="str">
        <f t="shared" si="11"/>
        <v>Not Defaulter</v>
      </c>
      <c r="AC755" s="1">
        <f>Table2[[#This Row],[BILL_AMT1]]-Table2[[#This Row],[PAY_AMT1]]</f>
        <v>39340</v>
      </c>
      <c r="AD755" s="1" t="str" cm="1">
        <f t="array" ref="AD755">_xlfn.IFS(Table2[[#This Row],[PAYMENT GAP]]&lt;=0,"No Gap / Overpaid",Table2[[#This Row],[PAYMENT GAP]]&lt;=25000,"Low Gap",Table2[[#This Row],[PAYMENT GAP]]&lt;=100000,"Medium Gap",
TRUE,"High Gap"
)</f>
        <v>Medium Gap</v>
      </c>
    </row>
    <row r="756" spans="1:30" x14ac:dyDescent="0.3">
      <c r="A756">
        <v>755</v>
      </c>
      <c r="B756" s="1">
        <v>470000</v>
      </c>
      <c r="C756" s="1" t="str" cm="1">
        <f t="array" ref="C756">_xlfn.IFS(Table2[[#This Row],[LIMIT_BAL]]&lt;=100000,"Low",Table2[[#This Row],[LIMIT_BAL]]&lt;=300000,"Medium",
TRUE,"High"
)</f>
        <v>High</v>
      </c>
      <c r="D756" t="s">
        <v>2041</v>
      </c>
      <c r="E756" t="s">
        <v>2043</v>
      </c>
      <c r="F756" t="s">
        <v>2028</v>
      </c>
      <c r="G756">
        <v>36</v>
      </c>
      <c r="H756" t="str" cm="1">
        <f t="array" ref="H756">_xlfn.IFS(
Table2[[#This Row],[AGE]]&lt;30,"Young",
Table2[[#This Row],[AGE]]&lt;40,"Middle Age",
Table2[[#This Row],[AGE]]&lt;50,"Senior",
TRUE,"Super Senior"
)</f>
        <v>Middle Age</v>
      </c>
      <c r="I756">
        <v>-1</v>
      </c>
      <c r="J756">
        <v>0</v>
      </c>
      <c r="K756">
        <v>0</v>
      </c>
      <c r="L756">
        <v>-1</v>
      </c>
      <c r="M756">
        <v>-1</v>
      </c>
      <c r="N756">
        <v>-1</v>
      </c>
      <c r="O756" s="1">
        <v>873</v>
      </c>
      <c r="P756" s="1">
        <v>1593</v>
      </c>
      <c r="Q756" s="1">
        <v>1518</v>
      </c>
      <c r="R756" s="1">
        <v>285</v>
      </c>
      <c r="S756" s="1">
        <v>688</v>
      </c>
      <c r="T756" s="1">
        <v>2100</v>
      </c>
      <c r="U756" s="1">
        <v>1005</v>
      </c>
      <c r="V756" s="1">
        <v>1000</v>
      </c>
      <c r="W756" s="1">
        <v>285</v>
      </c>
      <c r="X756" s="1">
        <v>688</v>
      </c>
      <c r="Y756" s="1">
        <v>2100</v>
      </c>
      <c r="Z756" s="1">
        <v>1014</v>
      </c>
      <c r="AA756">
        <v>0</v>
      </c>
      <c r="AB756" t="str">
        <f t="shared" si="11"/>
        <v>Not Defaulter</v>
      </c>
      <c r="AC756" s="1">
        <f>Table2[[#This Row],[BILL_AMT1]]-Table2[[#This Row],[PAY_AMT1]]</f>
        <v>-132</v>
      </c>
      <c r="AD756" s="1" t="str" cm="1">
        <f t="array" ref="AD756">_xlfn.IFS(Table2[[#This Row],[PAYMENT GAP]]&lt;=0,"No Gap / Overpaid",Table2[[#This Row],[PAYMENT GAP]]&lt;=25000,"Low Gap",Table2[[#This Row],[PAYMENT GAP]]&lt;=100000,"Medium Gap",
TRUE,"High Gap"
)</f>
        <v>No Gap / Overpaid</v>
      </c>
    </row>
    <row r="757" spans="1:30" x14ac:dyDescent="0.3">
      <c r="A757">
        <v>756</v>
      </c>
      <c r="B757" s="1">
        <v>230000</v>
      </c>
      <c r="C757" s="1" t="str" cm="1">
        <f t="array" ref="C757">_xlfn.IFS(Table2[[#This Row],[LIMIT_BAL]]&lt;=100000,"Low",Table2[[#This Row],[LIMIT_BAL]]&lt;=300000,"Medium",
TRUE,"High"
)</f>
        <v>Medium</v>
      </c>
      <c r="D757" t="s">
        <v>2042</v>
      </c>
      <c r="E757" t="s">
        <v>2043</v>
      </c>
      <c r="F757" t="s">
        <v>2029</v>
      </c>
      <c r="G757">
        <v>58</v>
      </c>
      <c r="H757" t="str" cm="1">
        <f t="array" ref="H757">_xlfn.IFS(
Table2[[#This Row],[AGE]]&lt;30,"Young",
Table2[[#This Row],[AGE]]&lt;40,"Middle Age",
Table2[[#This Row],[AGE]]&lt;50,"Senior",
TRUE,"Super Senior"
)</f>
        <v>Super Senior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 s="1">
        <v>110163</v>
      </c>
      <c r="P757" s="1">
        <v>112499</v>
      </c>
      <c r="Q757" s="1">
        <v>114837</v>
      </c>
      <c r="R757" s="1">
        <v>116400</v>
      </c>
      <c r="S757" s="1">
        <v>45643</v>
      </c>
      <c r="T757" s="1">
        <v>51083</v>
      </c>
      <c r="U757" s="1">
        <v>5600</v>
      </c>
      <c r="V757" s="1">
        <v>5700</v>
      </c>
      <c r="W757" s="1">
        <v>5000</v>
      </c>
      <c r="X757" s="1">
        <v>1855</v>
      </c>
      <c r="Y757" s="1">
        <v>6400</v>
      </c>
      <c r="Z757" s="1">
        <v>0</v>
      </c>
      <c r="AA757">
        <v>0</v>
      </c>
      <c r="AB757" t="str">
        <f t="shared" si="11"/>
        <v>Not Defaulter</v>
      </c>
      <c r="AC757" s="1">
        <f>Table2[[#This Row],[BILL_AMT1]]-Table2[[#This Row],[PAY_AMT1]]</f>
        <v>104563</v>
      </c>
      <c r="AD757" s="1" t="str" cm="1">
        <f t="array" ref="AD757">_xlfn.IFS(Table2[[#This Row],[PAYMENT GAP]]&lt;=0,"No Gap / Overpaid",Table2[[#This Row],[PAYMENT GAP]]&lt;=25000,"Low Gap",Table2[[#This Row],[PAYMENT GAP]]&lt;=100000,"Medium Gap",
TRUE,"High Gap"
)</f>
        <v>High Gap</v>
      </c>
    </row>
    <row r="758" spans="1:30" x14ac:dyDescent="0.3">
      <c r="A758">
        <v>757</v>
      </c>
      <c r="B758" s="1">
        <v>140000</v>
      </c>
      <c r="C758" s="1" t="str" cm="1">
        <f t="array" ref="C758">_xlfn.IFS(Table2[[#This Row],[LIMIT_BAL]]&lt;=100000,"Low",Table2[[#This Row],[LIMIT_BAL]]&lt;=300000,"Medium",
TRUE,"High"
)</f>
        <v>Medium</v>
      </c>
      <c r="D758" t="s">
        <v>2041</v>
      </c>
      <c r="E758" t="s">
        <v>2043</v>
      </c>
      <c r="F758" t="s">
        <v>2029</v>
      </c>
      <c r="G758">
        <v>26</v>
      </c>
      <c r="H758" t="str" cm="1">
        <f t="array" ref="H758">_xlfn.IFS(
Table2[[#This Row],[AGE]]&lt;30,"Young",
Table2[[#This Row],[AGE]]&lt;40,"Middle Age",
Table2[[#This Row],[AGE]]&lt;50,"Senior",
TRUE,"Super Senior"
)</f>
        <v>Young</v>
      </c>
      <c r="I758">
        <v>0</v>
      </c>
      <c r="J758">
        <v>0</v>
      </c>
      <c r="K758">
        <v>-1</v>
      </c>
      <c r="L758">
        <v>-1</v>
      </c>
      <c r="M758">
        <v>0</v>
      </c>
      <c r="N758">
        <v>0</v>
      </c>
      <c r="O758" s="1">
        <v>4113</v>
      </c>
      <c r="P758" s="1">
        <v>6030</v>
      </c>
      <c r="Q758" s="1">
        <v>16025</v>
      </c>
      <c r="R758" s="1">
        <v>24616</v>
      </c>
      <c r="S758" s="1">
        <v>19458</v>
      </c>
      <c r="T758" s="1">
        <v>20047</v>
      </c>
      <c r="U758" s="1">
        <v>2000</v>
      </c>
      <c r="V758" s="1">
        <v>16025</v>
      </c>
      <c r="W758" s="1">
        <v>24616</v>
      </c>
      <c r="X758" s="1">
        <v>1000</v>
      </c>
      <c r="Y758" s="1">
        <v>1000</v>
      </c>
      <c r="Z758" s="1">
        <v>1000</v>
      </c>
      <c r="AA758">
        <v>0</v>
      </c>
      <c r="AB758" t="str">
        <f t="shared" si="11"/>
        <v>Not Defaulter</v>
      </c>
      <c r="AC758" s="1">
        <f>Table2[[#This Row],[BILL_AMT1]]-Table2[[#This Row],[PAY_AMT1]]</f>
        <v>2113</v>
      </c>
      <c r="AD758" s="1" t="str" cm="1">
        <f t="array" ref="AD758">_xlfn.IFS(Table2[[#This Row],[PAYMENT GAP]]&lt;=0,"No Gap / Overpaid",Table2[[#This Row],[PAYMENT GAP]]&lt;=25000,"Low Gap",Table2[[#This Row],[PAYMENT GAP]]&lt;=100000,"Medium Gap",
TRUE,"High Gap"
)</f>
        <v>Low Gap</v>
      </c>
    </row>
    <row r="759" spans="1:30" x14ac:dyDescent="0.3">
      <c r="A759">
        <v>758</v>
      </c>
      <c r="B759" s="1">
        <v>230000</v>
      </c>
      <c r="C759" s="1" t="str" cm="1">
        <f t="array" ref="C759">_xlfn.IFS(Table2[[#This Row],[LIMIT_BAL]]&lt;=100000,"Low",Table2[[#This Row],[LIMIT_BAL]]&lt;=300000,"Medium",
TRUE,"High"
)</f>
        <v>Medium</v>
      </c>
      <c r="D759" t="s">
        <v>2041</v>
      </c>
      <c r="E759" t="s">
        <v>2043</v>
      </c>
      <c r="F759" t="s">
        <v>2028</v>
      </c>
      <c r="G759">
        <v>30</v>
      </c>
      <c r="H759" t="str" cm="1">
        <f t="array" ref="H759">_xlfn.IFS(
Table2[[#This Row],[AGE]]&lt;30,"Young",
Table2[[#This Row],[AGE]]&lt;40,"Middle Age",
Table2[[#This Row],[AGE]]&lt;50,"Senior",
TRUE,"Super Senior"
)</f>
        <v>Middle Age</v>
      </c>
      <c r="I759">
        <v>2</v>
      </c>
      <c r="J759">
        <v>0</v>
      </c>
      <c r="K759">
        <v>-1</v>
      </c>
      <c r="L759">
        <v>-1</v>
      </c>
      <c r="M759">
        <v>-1</v>
      </c>
      <c r="N759">
        <v>-1</v>
      </c>
      <c r="O759" s="1">
        <v>9636</v>
      </c>
      <c r="P759" s="1">
        <v>10152</v>
      </c>
      <c r="Q759" s="1">
        <v>1817</v>
      </c>
      <c r="R759" s="1">
        <v>-828</v>
      </c>
      <c r="S759" s="1">
        <v>6153</v>
      </c>
      <c r="T759" s="1">
        <v>12663</v>
      </c>
      <c r="U759" s="1">
        <v>1222</v>
      </c>
      <c r="V759" s="1">
        <v>1837</v>
      </c>
      <c r="W759" s="1">
        <v>0</v>
      </c>
      <c r="X759" s="1">
        <v>7863</v>
      </c>
      <c r="Y759" s="1">
        <v>12675</v>
      </c>
      <c r="Z759" s="1">
        <v>2959</v>
      </c>
      <c r="AA759">
        <v>1</v>
      </c>
      <c r="AB759" t="str">
        <f t="shared" si="11"/>
        <v>Defaulter</v>
      </c>
      <c r="AC759" s="1">
        <f>Table2[[#This Row],[BILL_AMT1]]-Table2[[#This Row],[PAY_AMT1]]</f>
        <v>8414</v>
      </c>
      <c r="AD759" s="1" t="str" cm="1">
        <f t="array" ref="AD759">_xlfn.IFS(Table2[[#This Row],[PAYMENT GAP]]&lt;=0,"No Gap / Overpaid",Table2[[#This Row],[PAYMENT GAP]]&lt;=25000,"Low Gap",Table2[[#This Row],[PAYMENT GAP]]&lt;=100000,"Medium Gap",
TRUE,"High Gap"
)</f>
        <v>Low Gap</v>
      </c>
    </row>
    <row r="760" spans="1:30" x14ac:dyDescent="0.3">
      <c r="A760">
        <v>759</v>
      </c>
      <c r="B760" s="1">
        <v>420000</v>
      </c>
      <c r="C760" s="1" t="str" cm="1">
        <f t="array" ref="C760">_xlfn.IFS(Table2[[#This Row],[LIMIT_BAL]]&lt;=100000,"Low",Table2[[#This Row],[LIMIT_BAL]]&lt;=300000,"Medium",
TRUE,"High"
)</f>
        <v>High</v>
      </c>
      <c r="D760" t="s">
        <v>2041</v>
      </c>
      <c r="E760" t="s">
        <v>2043</v>
      </c>
      <c r="F760" t="s">
        <v>2029</v>
      </c>
      <c r="G760">
        <v>31</v>
      </c>
      <c r="H760" t="str" cm="1">
        <f t="array" ref="H760">_xlfn.IFS(
Table2[[#This Row],[AGE]]&lt;30,"Young",
Table2[[#This Row],[AGE]]&lt;40,"Middle Age",
Table2[[#This Row],[AGE]]&lt;50,"Senior",
TRUE,"Super Senior"
)</f>
        <v>Middle Age</v>
      </c>
      <c r="I760">
        <v>0</v>
      </c>
      <c r="J760">
        <v>0</v>
      </c>
      <c r="K760">
        <v>0</v>
      </c>
      <c r="L760">
        <v>0</v>
      </c>
      <c r="M760">
        <v>-1</v>
      </c>
      <c r="N760">
        <v>-1</v>
      </c>
      <c r="O760" s="1">
        <v>25103</v>
      </c>
      <c r="P760" s="1">
        <v>21330</v>
      </c>
      <c r="Q760" s="1">
        <v>16024</v>
      </c>
      <c r="R760" s="1">
        <v>9603</v>
      </c>
      <c r="S760" s="1">
        <v>2131</v>
      </c>
      <c r="T760" s="1">
        <v>64507</v>
      </c>
      <c r="U760" s="1">
        <v>1509</v>
      </c>
      <c r="V760" s="1">
        <v>1067</v>
      </c>
      <c r="W760" s="1">
        <v>3061</v>
      </c>
      <c r="X760" s="1">
        <v>2210</v>
      </c>
      <c r="Y760" s="1">
        <v>64524</v>
      </c>
      <c r="Z760" s="1">
        <v>2324</v>
      </c>
      <c r="AA760">
        <v>0</v>
      </c>
      <c r="AB760" t="str">
        <f t="shared" si="11"/>
        <v>Not Defaulter</v>
      </c>
      <c r="AC760" s="1">
        <f>Table2[[#This Row],[BILL_AMT1]]-Table2[[#This Row],[PAY_AMT1]]</f>
        <v>23594</v>
      </c>
      <c r="AD760" s="1" t="str" cm="1">
        <f t="array" ref="AD760">_xlfn.IFS(Table2[[#This Row],[PAYMENT GAP]]&lt;=0,"No Gap / Overpaid",Table2[[#This Row],[PAYMENT GAP]]&lt;=25000,"Low Gap",Table2[[#This Row],[PAYMENT GAP]]&lt;=100000,"Medium Gap",
TRUE,"High Gap"
)</f>
        <v>Low Gap</v>
      </c>
    </row>
    <row r="761" spans="1:30" x14ac:dyDescent="0.3">
      <c r="A761">
        <v>760</v>
      </c>
      <c r="B761" s="1">
        <v>30000</v>
      </c>
      <c r="C761" s="1" t="str" cm="1">
        <f t="array" ref="C761">_xlfn.IFS(Table2[[#This Row],[LIMIT_BAL]]&lt;=100000,"Low",Table2[[#This Row],[LIMIT_BAL]]&lt;=300000,"Medium",
TRUE,"High"
)</f>
        <v>Low</v>
      </c>
      <c r="D761" t="s">
        <v>2041</v>
      </c>
      <c r="E761" t="s">
        <v>2043</v>
      </c>
      <c r="F761" t="s">
        <v>2029</v>
      </c>
      <c r="G761">
        <v>24</v>
      </c>
      <c r="H761" t="str" cm="1">
        <f t="array" ref="H761">_xlfn.IFS(
Table2[[#This Row],[AGE]]&lt;30,"Young",
Table2[[#This Row],[AGE]]&lt;40,"Middle Age",
Table2[[#This Row],[AGE]]&lt;50,"Senior",
TRUE,"Super Senior"
)</f>
        <v>Young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 s="1">
        <v>31319</v>
      </c>
      <c r="P761" s="1">
        <v>31181</v>
      </c>
      <c r="Q761" s="1">
        <v>31540</v>
      </c>
      <c r="R761" s="1">
        <v>31016</v>
      </c>
      <c r="S761" s="1">
        <v>30531</v>
      </c>
      <c r="T761" s="1">
        <v>30528</v>
      </c>
      <c r="U761" s="1">
        <v>1564</v>
      </c>
      <c r="V761" s="1">
        <v>1800</v>
      </c>
      <c r="W761" s="1">
        <v>1100</v>
      </c>
      <c r="X761" s="1">
        <v>1500</v>
      </c>
      <c r="Y761" s="1">
        <v>1500</v>
      </c>
      <c r="Z761" s="1">
        <v>3000</v>
      </c>
      <c r="AA761">
        <v>0</v>
      </c>
      <c r="AB761" t="str">
        <f t="shared" si="11"/>
        <v>Not Defaulter</v>
      </c>
      <c r="AC761" s="1">
        <f>Table2[[#This Row],[BILL_AMT1]]-Table2[[#This Row],[PAY_AMT1]]</f>
        <v>29755</v>
      </c>
      <c r="AD761" s="1" t="str" cm="1">
        <f t="array" ref="AD761">_xlfn.IFS(Table2[[#This Row],[PAYMENT GAP]]&lt;=0,"No Gap / Overpaid",Table2[[#This Row],[PAYMENT GAP]]&lt;=25000,"Low Gap",Table2[[#This Row],[PAYMENT GAP]]&lt;=100000,"Medium Gap",
TRUE,"High Gap"
)</f>
        <v>Medium Gap</v>
      </c>
    </row>
    <row r="762" spans="1:30" x14ac:dyDescent="0.3">
      <c r="A762">
        <v>761</v>
      </c>
      <c r="B762" s="1">
        <v>50000</v>
      </c>
      <c r="C762" s="1" t="str" cm="1">
        <f t="array" ref="C762">_xlfn.IFS(Table2[[#This Row],[LIMIT_BAL]]&lt;=100000,"Low",Table2[[#This Row],[LIMIT_BAL]]&lt;=300000,"Medium",
TRUE,"High"
)</f>
        <v>Low</v>
      </c>
      <c r="D762" t="s">
        <v>2041</v>
      </c>
      <c r="E762" t="s">
        <v>2043</v>
      </c>
      <c r="F762" t="s">
        <v>2029</v>
      </c>
      <c r="G762">
        <v>52</v>
      </c>
      <c r="H762" t="str" cm="1">
        <f t="array" ref="H762">_xlfn.IFS(
Table2[[#This Row],[AGE]]&lt;30,"Young",
Table2[[#This Row],[AGE]]&lt;40,"Middle Age",
Table2[[#This Row],[AGE]]&lt;50,"Senior",
TRUE,"Super Senior"
)</f>
        <v>Super Senior</v>
      </c>
      <c r="I762">
        <v>1</v>
      </c>
      <c r="J762">
        <v>2</v>
      </c>
      <c r="K762">
        <v>0</v>
      </c>
      <c r="L762">
        <v>0</v>
      </c>
      <c r="M762">
        <v>0</v>
      </c>
      <c r="N762">
        <v>2</v>
      </c>
      <c r="O762" s="1">
        <v>43343</v>
      </c>
      <c r="P762" s="1">
        <v>43360</v>
      </c>
      <c r="Q762" s="1">
        <v>23417</v>
      </c>
      <c r="R762" s="1">
        <v>21969</v>
      </c>
      <c r="S762" s="1">
        <v>21179</v>
      </c>
      <c r="T762" s="1">
        <v>18711</v>
      </c>
      <c r="U762" s="1">
        <v>1300</v>
      </c>
      <c r="V762" s="1">
        <v>1400</v>
      </c>
      <c r="W762" s="1">
        <v>920</v>
      </c>
      <c r="X762" s="1">
        <v>1700</v>
      </c>
      <c r="Y762" s="1">
        <v>0</v>
      </c>
      <c r="Z762" s="1">
        <v>900</v>
      </c>
      <c r="AA762">
        <v>1</v>
      </c>
      <c r="AB762" t="str">
        <f t="shared" si="11"/>
        <v>Defaulter</v>
      </c>
      <c r="AC762" s="1">
        <f>Table2[[#This Row],[BILL_AMT1]]-Table2[[#This Row],[PAY_AMT1]]</f>
        <v>42043</v>
      </c>
      <c r="AD762" s="1" t="str" cm="1">
        <f t="array" ref="AD762">_xlfn.IFS(Table2[[#This Row],[PAYMENT GAP]]&lt;=0,"No Gap / Overpaid",Table2[[#This Row],[PAYMENT GAP]]&lt;=25000,"Low Gap",Table2[[#This Row],[PAYMENT GAP]]&lt;=100000,"Medium Gap",
TRUE,"High Gap"
)</f>
        <v>Medium Gap</v>
      </c>
    </row>
    <row r="763" spans="1:30" x14ac:dyDescent="0.3">
      <c r="A763">
        <v>762</v>
      </c>
      <c r="B763" s="1">
        <v>140000</v>
      </c>
      <c r="C763" s="1" t="str" cm="1">
        <f t="array" ref="C763">_xlfn.IFS(Table2[[#This Row],[LIMIT_BAL]]&lt;=100000,"Low",Table2[[#This Row],[LIMIT_BAL]]&lt;=300000,"Medium",
TRUE,"High"
)</f>
        <v>Medium</v>
      </c>
      <c r="D763" t="s">
        <v>2041</v>
      </c>
      <c r="E763" t="s">
        <v>2043</v>
      </c>
      <c r="F763" t="s">
        <v>2029</v>
      </c>
      <c r="G763">
        <v>24</v>
      </c>
      <c r="H763" t="str" cm="1">
        <f t="array" ref="H763">_xlfn.IFS(
Table2[[#This Row],[AGE]]&lt;30,"Young",
Table2[[#This Row],[AGE]]&lt;40,"Middle Age",
Table2[[#This Row],[AGE]]&lt;50,"Senior",
TRUE,"Super Senior"
)</f>
        <v>Young</v>
      </c>
      <c r="I763">
        <v>-1</v>
      </c>
      <c r="J763">
        <v>-1</v>
      </c>
      <c r="K763">
        <v>-2</v>
      </c>
      <c r="L763">
        <v>-1</v>
      </c>
      <c r="M763">
        <v>-1</v>
      </c>
      <c r="N763">
        <v>-2</v>
      </c>
      <c r="O763" s="1">
        <v>197</v>
      </c>
      <c r="P763" s="1">
        <v>0</v>
      </c>
      <c r="Q763" s="1">
        <v>0</v>
      </c>
      <c r="R763" s="1">
        <v>233</v>
      </c>
      <c r="S763" s="1">
        <v>0</v>
      </c>
      <c r="T763" s="1">
        <v>0</v>
      </c>
      <c r="U763" s="1">
        <v>0</v>
      </c>
      <c r="V763" s="1">
        <v>0</v>
      </c>
      <c r="W763" s="1">
        <v>233</v>
      </c>
      <c r="X763" s="1">
        <v>0</v>
      </c>
      <c r="Y763" s="1">
        <v>0</v>
      </c>
      <c r="Z763" s="1">
        <v>0</v>
      </c>
      <c r="AA763">
        <v>0</v>
      </c>
      <c r="AB763" t="str">
        <f t="shared" si="11"/>
        <v>Not Defaulter</v>
      </c>
      <c r="AC763" s="1">
        <f>Table2[[#This Row],[BILL_AMT1]]-Table2[[#This Row],[PAY_AMT1]]</f>
        <v>197</v>
      </c>
      <c r="AD763" s="1" t="str" cm="1">
        <f t="array" ref="AD763">_xlfn.IFS(Table2[[#This Row],[PAYMENT GAP]]&lt;=0,"No Gap / Overpaid",Table2[[#This Row],[PAYMENT GAP]]&lt;=25000,"Low Gap",Table2[[#This Row],[PAYMENT GAP]]&lt;=100000,"Medium Gap",
TRUE,"High Gap"
)</f>
        <v>Low Gap</v>
      </c>
    </row>
    <row r="764" spans="1:30" x14ac:dyDescent="0.3">
      <c r="A764">
        <v>763</v>
      </c>
      <c r="B764" s="1">
        <v>260000</v>
      </c>
      <c r="C764" s="1" t="str" cm="1">
        <f t="array" ref="C764">_xlfn.IFS(Table2[[#This Row],[LIMIT_BAL]]&lt;=100000,"Low",Table2[[#This Row],[LIMIT_BAL]]&lt;=300000,"Medium",
TRUE,"High"
)</f>
        <v>Medium</v>
      </c>
      <c r="D764" t="s">
        <v>2041</v>
      </c>
      <c r="E764" t="s">
        <v>2043</v>
      </c>
      <c r="F764" t="s">
        <v>2028</v>
      </c>
      <c r="G764">
        <v>35</v>
      </c>
      <c r="H764" t="str" cm="1">
        <f t="array" ref="H764">_xlfn.IFS(
Table2[[#This Row],[AGE]]&lt;30,"Young",
Table2[[#This Row],[AGE]]&lt;40,"Middle Age",
Table2[[#This Row],[AGE]]&lt;50,"Senior",
TRUE,"Super Senior"
)</f>
        <v>Middle Age</v>
      </c>
      <c r="I764">
        <v>-1</v>
      </c>
      <c r="J764">
        <v>-1</v>
      </c>
      <c r="K764">
        <v>-1</v>
      </c>
      <c r="L764">
        <v>-1</v>
      </c>
      <c r="M764">
        <v>-1</v>
      </c>
      <c r="N764">
        <v>0</v>
      </c>
      <c r="O764" s="1">
        <v>7967</v>
      </c>
      <c r="P764" s="1">
        <v>67650</v>
      </c>
      <c r="Q764" s="1">
        <v>6000</v>
      </c>
      <c r="R764" s="1">
        <v>0</v>
      </c>
      <c r="S764" s="1">
        <v>88348</v>
      </c>
      <c r="T764" s="1">
        <v>85962</v>
      </c>
      <c r="U764" s="1">
        <v>67650</v>
      </c>
      <c r="V764" s="1">
        <v>6000</v>
      </c>
      <c r="W764" s="1">
        <v>0</v>
      </c>
      <c r="X764" s="1">
        <v>88348</v>
      </c>
      <c r="Y764" s="1">
        <v>5000</v>
      </c>
      <c r="Z764" s="1">
        <v>25000</v>
      </c>
      <c r="AA764">
        <v>0</v>
      </c>
      <c r="AB764" t="str">
        <f t="shared" si="11"/>
        <v>Not Defaulter</v>
      </c>
      <c r="AC764" s="1">
        <f>Table2[[#This Row],[BILL_AMT1]]-Table2[[#This Row],[PAY_AMT1]]</f>
        <v>-59683</v>
      </c>
      <c r="AD764" s="1" t="str" cm="1">
        <f t="array" ref="AD764">_xlfn.IFS(Table2[[#This Row],[PAYMENT GAP]]&lt;=0,"No Gap / Overpaid",Table2[[#This Row],[PAYMENT GAP]]&lt;=25000,"Low Gap",Table2[[#This Row],[PAYMENT GAP]]&lt;=100000,"Medium Gap",
TRUE,"High Gap"
)</f>
        <v>No Gap / Overpaid</v>
      </c>
    </row>
    <row r="765" spans="1:30" x14ac:dyDescent="0.3">
      <c r="A765">
        <v>764</v>
      </c>
      <c r="B765" s="1">
        <v>90000</v>
      </c>
      <c r="C765" s="1" t="str" cm="1">
        <f t="array" ref="C765">_xlfn.IFS(Table2[[#This Row],[LIMIT_BAL]]&lt;=100000,"Low",Table2[[#This Row],[LIMIT_BAL]]&lt;=300000,"Medium",
TRUE,"High"
)</f>
        <v>Low</v>
      </c>
      <c r="D765" t="s">
        <v>2041</v>
      </c>
      <c r="E765" t="s">
        <v>2027</v>
      </c>
      <c r="F765" t="s">
        <v>2029</v>
      </c>
      <c r="G765">
        <v>29</v>
      </c>
      <c r="H765" t="str" cm="1">
        <f t="array" ref="H765">_xlfn.IFS(
Table2[[#This Row],[AGE]]&lt;30,"Young",
Table2[[#This Row],[AGE]]&lt;40,"Middle Age",
Table2[[#This Row],[AGE]]&lt;50,"Senior",
TRUE,"Super Senior"
)</f>
        <v>Young</v>
      </c>
      <c r="I765">
        <v>-1</v>
      </c>
      <c r="J765">
        <v>2</v>
      </c>
      <c r="K765">
        <v>-1</v>
      </c>
      <c r="L765">
        <v>-1</v>
      </c>
      <c r="M765">
        <v>-1</v>
      </c>
      <c r="N765">
        <v>-2</v>
      </c>
      <c r="O765" s="1">
        <v>19450</v>
      </c>
      <c r="P765" s="1">
        <v>3123</v>
      </c>
      <c r="Q765" s="1">
        <v>2121</v>
      </c>
      <c r="R765" s="1">
        <v>3113</v>
      </c>
      <c r="S765" s="1">
        <v>0</v>
      </c>
      <c r="T765" s="1">
        <v>0</v>
      </c>
      <c r="U765" s="1">
        <v>0</v>
      </c>
      <c r="V765" s="1">
        <v>3509</v>
      </c>
      <c r="W765" s="1">
        <v>3113</v>
      </c>
      <c r="X765" s="1">
        <v>0</v>
      </c>
      <c r="Y765" s="1">
        <v>0</v>
      </c>
      <c r="Z765" s="1">
        <v>0</v>
      </c>
      <c r="AA765">
        <v>0</v>
      </c>
      <c r="AB765" t="str">
        <f t="shared" si="11"/>
        <v>Not Defaulter</v>
      </c>
      <c r="AC765" s="1">
        <f>Table2[[#This Row],[BILL_AMT1]]-Table2[[#This Row],[PAY_AMT1]]</f>
        <v>19450</v>
      </c>
      <c r="AD765" s="1" t="str" cm="1">
        <f t="array" ref="AD765">_xlfn.IFS(Table2[[#This Row],[PAYMENT GAP]]&lt;=0,"No Gap / Overpaid",Table2[[#This Row],[PAYMENT GAP]]&lt;=25000,"Low Gap",Table2[[#This Row],[PAYMENT GAP]]&lt;=100000,"Medium Gap",
TRUE,"High Gap"
)</f>
        <v>Low Gap</v>
      </c>
    </row>
    <row r="766" spans="1:30" x14ac:dyDescent="0.3">
      <c r="A766">
        <v>765</v>
      </c>
      <c r="B766" s="1">
        <v>240000</v>
      </c>
      <c r="C766" s="1" t="str" cm="1">
        <f t="array" ref="C766">_xlfn.IFS(Table2[[#This Row],[LIMIT_BAL]]&lt;=100000,"Low",Table2[[#This Row],[LIMIT_BAL]]&lt;=300000,"Medium",
TRUE,"High"
)</f>
        <v>Medium</v>
      </c>
      <c r="D766" t="s">
        <v>2041</v>
      </c>
      <c r="E766" t="s">
        <v>2043</v>
      </c>
      <c r="F766" t="s">
        <v>2028</v>
      </c>
      <c r="G766">
        <v>33</v>
      </c>
      <c r="H766" t="str" cm="1">
        <f t="array" ref="H766">_xlfn.IFS(
Table2[[#This Row],[AGE]]&lt;30,"Young",
Table2[[#This Row],[AGE]]&lt;40,"Middle Age",
Table2[[#This Row],[AGE]]&lt;50,"Senior",
TRUE,"Super Senior"
)</f>
        <v>Middle Age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 s="1">
        <v>240878</v>
      </c>
      <c r="P766" s="1">
        <v>233838</v>
      </c>
      <c r="Q766" s="1">
        <v>238067</v>
      </c>
      <c r="R766" s="1">
        <v>242579</v>
      </c>
      <c r="S766" s="1">
        <v>238245</v>
      </c>
      <c r="T766" s="1">
        <v>233710</v>
      </c>
      <c r="U766" s="1">
        <v>10000</v>
      </c>
      <c r="V766" s="1">
        <v>11000</v>
      </c>
      <c r="W766" s="1">
        <v>10000</v>
      </c>
      <c r="X766" s="1">
        <v>10000</v>
      </c>
      <c r="Y766" s="1">
        <v>10000</v>
      </c>
      <c r="Z766" s="1">
        <v>8000</v>
      </c>
      <c r="AA766">
        <v>0</v>
      </c>
      <c r="AB766" t="str">
        <f t="shared" si="11"/>
        <v>Not Defaulter</v>
      </c>
      <c r="AC766" s="1">
        <f>Table2[[#This Row],[BILL_AMT1]]-Table2[[#This Row],[PAY_AMT1]]</f>
        <v>230878</v>
      </c>
      <c r="AD766" s="1" t="str" cm="1">
        <f t="array" ref="AD766">_xlfn.IFS(Table2[[#This Row],[PAYMENT GAP]]&lt;=0,"No Gap / Overpaid",Table2[[#This Row],[PAYMENT GAP]]&lt;=25000,"Low Gap",Table2[[#This Row],[PAYMENT GAP]]&lt;=100000,"Medium Gap",
TRUE,"High Gap"
)</f>
        <v>High Gap</v>
      </c>
    </row>
    <row r="767" spans="1:30" x14ac:dyDescent="0.3">
      <c r="A767">
        <v>766</v>
      </c>
      <c r="B767" s="1">
        <v>510000</v>
      </c>
      <c r="C767" s="1" t="str" cm="1">
        <f t="array" ref="C767">_xlfn.IFS(Table2[[#This Row],[LIMIT_BAL]]&lt;=100000,"Low",Table2[[#This Row],[LIMIT_BAL]]&lt;=300000,"Medium",
TRUE,"High"
)</f>
        <v>High</v>
      </c>
      <c r="D767" t="s">
        <v>2041</v>
      </c>
      <c r="E767" t="s">
        <v>2026</v>
      </c>
      <c r="F767" t="s">
        <v>2029</v>
      </c>
      <c r="G767">
        <v>35</v>
      </c>
      <c r="H767" t="str" cm="1">
        <f t="array" ref="H767">_xlfn.IFS(
Table2[[#This Row],[AGE]]&lt;30,"Young",
Table2[[#This Row],[AGE]]&lt;40,"Middle Age",
Table2[[#This Row],[AGE]]&lt;50,"Senior",
TRUE,"Super Senior"
)</f>
        <v>Middle Age</v>
      </c>
      <c r="I767">
        <v>-1</v>
      </c>
      <c r="J767">
        <v>0</v>
      </c>
      <c r="K767">
        <v>0</v>
      </c>
      <c r="L767">
        <v>0</v>
      </c>
      <c r="M767">
        <v>0</v>
      </c>
      <c r="N767">
        <v>-1</v>
      </c>
      <c r="O767" s="1">
        <v>2115</v>
      </c>
      <c r="P767" s="1">
        <v>2116</v>
      </c>
      <c r="Q767" s="1">
        <v>5560</v>
      </c>
      <c r="R767" s="1">
        <v>4535</v>
      </c>
      <c r="S767" s="1">
        <v>3488</v>
      </c>
      <c r="T767" s="1">
        <v>1116</v>
      </c>
      <c r="U767" s="1">
        <v>1117</v>
      </c>
      <c r="V767" s="1">
        <v>4560</v>
      </c>
      <c r="W767" s="1">
        <v>91</v>
      </c>
      <c r="X767" s="1">
        <v>69</v>
      </c>
      <c r="Y767" s="1">
        <v>1116</v>
      </c>
      <c r="Z767" s="1">
        <v>2115</v>
      </c>
      <c r="AA767">
        <v>0</v>
      </c>
      <c r="AB767" t="str">
        <f t="shared" si="11"/>
        <v>Not Defaulter</v>
      </c>
      <c r="AC767" s="1">
        <f>Table2[[#This Row],[BILL_AMT1]]-Table2[[#This Row],[PAY_AMT1]]</f>
        <v>998</v>
      </c>
      <c r="AD767" s="1" t="str" cm="1">
        <f t="array" ref="AD767">_xlfn.IFS(Table2[[#This Row],[PAYMENT GAP]]&lt;=0,"No Gap / Overpaid",Table2[[#This Row],[PAYMENT GAP]]&lt;=25000,"Low Gap",Table2[[#This Row],[PAYMENT GAP]]&lt;=100000,"Medium Gap",
TRUE,"High Gap"
)</f>
        <v>Low Gap</v>
      </c>
    </row>
    <row r="768" spans="1:30" x14ac:dyDescent="0.3">
      <c r="A768">
        <v>767</v>
      </c>
      <c r="B768" s="1">
        <v>110000</v>
      </c>
      <c r="C768" s="1" t="str" cm="1">
        <f t="array" ref="C768">_xlfn.IFS(Table2[[#This Row],[LIMIT_BAL]]&lt;=100000,"Low",Table2[[#This Row],[LIMIT_BAL]]&lt;=300000,"Medium",
TRUE,"High"
)</f>
        <v>Medium</v>
      </c>
      <c r="D768" t="s">
        <v>2041</v>
      </c>
      <c r="E768" t="s">
        <v>2043</v>
      </c>
      <c r="F768" t="s">
        <v>2028</v>
      </c>
      <c r="G768">
        <v>35</v>
      </c>
      <c r="H768" t="str" cm="1">
        <f t="array" ref="H768">_xlfn.IFS(
Table2[[#This Row],[AGE]]&lt;30,"Young",
Table2[[#This Row],[AGE]]&lt;40,"Middle Age",
Table2[[#This Row],[AGE]]&lt;50,"Senior",
TRUE,"Super Senior"
)</f>
        <v>Middle Age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 s="1">
        <v>81665</v>
      </c>
      <c r="P768" s="1">
        <v>46070</v>
      </c>
      <c r="Q768" s="1">
        <v>34419</v>
      </c>
      <c r="R768" s="1">
        <v>36829</v>
      </c>
      <c r="S768" s="1">
        <v>38080</v>
      </c>
      <c r="T768" s="1">
        <v>40434</v>
      </c>
      <c r="U768" s="1">
        <v>2460</v>
      </c>
      <c r="V768" s="1">
        <v>2000</v>
      </c>
      <c r="W768" s="1">
        <v>3000</v>
      </c>
      <c r="X768" s="1">
        <v>2000</v>
      </c>
      <c r="Y768" s="1">
        <v>3000</v>
      </c>
      <c r="Z768" s="1">
        <v>5000</v>
      </c>
      <c r="AA768">
        <v>0</v>
      </c>
      <c r="AB768" t="str">
        <f t="shared" si="11"/>
        <v>Not Defaulter</v>
      </c>
      <c r="AC768" s="1">
        <f>Table2[[#This Row],[BILL_AMT1]]-Table2[[#This Row],[PAY_AMT1]]</f>
        <v>79205</v>
      </c>
      <c r="AD768" s="1" t="str" cm="1">
        <f t="array" ref="AD768">_xlfn.IFS(Table2[[#This Row],[PAYMENT GAP]]&lt;=0,"No Gap / Overpaid",Table2[[#This Row],[PAYMENT GAP]]&lt;=25000,"Low Gap",Table2[[#This Row],[PAYMENT GAP]]&lt;=100000,"Medium Gap",
TRUE,"High Gap"
)</f>
        <v>Medium Gap</v>
      </c>
    </row>
    <row r="769" spans="1:30" x14ac:dyDescent="0.3">
      <c r="A769">
        <v>768</v>
      </c>
      <c r="B769" s="1">
        <v>210000</v>
      </c>
      <c r="C769" s="1" t="str" cm="1">
        <f t="array" ref="C769">_xlfn.IFS(Table2[[#This Row],[LIMIT_BAL]]&lt;=100000,"Low",Table2[[#This Row],[LIMIT_BAL]]&lt;=300000,"Medium",
TRUE,"High"
)</f>
        <v>Medium</v>
      </c>
      <c r="D769" t="s">
        <v>2041</v>
      </c>
      <c r="E769" t="s">
        <v>2026</v>
      </c>
      <c r="F769" t="s">
        <v>2029</v>
      </c>
      <c r="G769">
        <v>28</v>
      </c>
      <c r="H769" t="str" cm="1">
        <f t="array" ref="H769">_xlfn.IFS(
Table2[[#This Row],[AGE]]&lt;30,"Young",
Table2[[#This Row],[AGE]]&lt;40,"Middle Age",
Table2[[#This Row],[AGE]]&lt;50,"Senior",
TRUE,"Super Senior"
)</f>
        <v>Young</v>
      </c>
      <c r="I769">
        <v>-1</v>
      </c>
      <c r="J769">
        <v>-1</v>
      </c>
      <c r="K769">
        <v>-1</v>
      </c>
      <c r="L769">
        <v>0</v>
      </c>
      <c r="M769">
        <v>0</v>
      </c>
      <c r="N769">
        <v>0</v>
      </c>
      <c r="O769" s="1">
        <v>11442</v>
      </c>
      <c r="P769" s="1">
        <v>3738</v>
      </c>
      <c r="Q769" s="1">
        <v>7526</v>
      </c>
      <c r="R769" s="1">
        <v>10217</v>
      </c>
      <c r="S769" s="1">
        <v>11737</v>
      </c>
      <c r="T769" s="1">
        <v>8114</v>
      </c>
      <c r="U769" s="1">
        <v>3738</v>
      </c>
      <c r="V769" s="1">
        <v>7526</v>
      </c>
      <c r="W769" s="1">
        <v>5000</v>
      </c>
      <c r="X769" s="1">
        <v>5000</v>
      </c>
      <c r="Y769" s="1">
        <v>162</v>
      </c>
      <c r="Z769" s="1">
        <v>27760</v>
      </c>
      <c r="AA769">
        <v>0</v>
      </c>
      <c r="AB769" t="str">
        <f t="shared" si="11"/>
        <v>Not Defaulter</v>
      </c>
      <c r="AC769" s="1">
        <f>Table2[[#This Row],[BILL_AMT1]]-Table2[[#This Row],[PAY_AMT1]]</f>
        <v>7704</v>
      </c>
      <c r="AD769" s="1" t="str" cm="1">
        <f t="array" ref="AD769">_xlfn.IFS(Table2[[#This Row],[PAYMENT GAP]]&lt;=0,"No Gap / Overpaid",Table2[[#This Row],[PAYMENT GAP]]&lt;=25000,"Low Gap",Table2[[#This Row],[PAYMENT GAP]]&lt;=100000,"Medium Gap",
TRUE,"High Gap"
)</f>
        <v>Low Gap</v>
      </c>
    </row>
    <row r="770" spans="1:30" x14ac:dyDescent="0.3">
      <c r="A770">
        <v>769</v>
      </c>
      <c r="B770" s="1">
        <v>220000</v>
      </c>
      <c r="C770" s="1" t="str" cm="1">
        <f t="array" ref="C770">_xlfn.IFS(Table2[[#This Row],[LIMIT_BAL]]&lt;=100000,"Low",Table2[[#This Row],[LIMIT_BAL]]&lt;=300000,"Medium",
TRUE,"High"
)</f>
        <v>Medium</v>
      </c>
      <c r="D770" t="s">
        <v>2042</v>
      </c>
      <c r="E770" t="s">
        <v>2043</v>
      </c>
      <c r="F770" t="s">
        <v>2028</v>
      </c>
      <c r="G770">
        <v>40</v>
      </c>
      <c r="H770" t="str" cm="1">
        <f t="array" ref="H770">_xlfn.IFS(
Table2[[#This Row],[AGE]]&lt;30,"Young",
Table2[[#This Row],[AGE]]&lt;40,"Middle Age",
Table2[[#This Row],[AGE]]&lt;50,"Senior",
TRUE,"Super Senior"
)</f>
        <v>Senior</v>
      </c>
      <c r="I770">
        <v>-1</v>
      </c>
      <c r="J770">
        <v>-1</v>
      </c>
      <c r="K770">
        <v>-2</v>
      </c>
      <c r="L770">
        <v>-2</v>
      </c>
      <c r="M770">
        <v>-2</v>
      </c>
      <c r="N770">
        <v>-2</v>
      </c>
      <c r="O770" s="1">
        <v>158</v>
      </c>
      <c r="P770" s="1">
        <v>0</v>
      </c>
      <c r="Q770" s="1">
        <v>0</v>
      </c>
      <c r="R770" s="1">
        <v>0</v>
      </c>
      <c r="S770" s="1">
        <v>0</v>
      </c>
      <c r="T770" s="1">
        <v>612</v>
      </c>
      <c r="U770" s="1">
        <v>0</v>
      </c>
      <c r="V770" s="1">
        <v>0</v>
      </c>
      <c r="W770" s="1">
        <v>0</v>
      </c>
      <c r="X770" s="1">
        <v>0</v>
      </c>
      <c r="Y770" s="1">
        <v>612</v>
      </c>
      <c r="Z770" s="1">
        <v>1863</v>
      </c>
      <c r="AA770">
        <v>0</v>
      </c>
      <c r="AB770" t="str">
        <f t="shared" si="11"/>
        <v>Not Defaulter</v>
      </c>
      <c r="AC770" s="1">
        <f>Table2[[#This Row],[BILL_AMT1]]-Table2[[#This Row],[PAY_AMT1]]</f>
        <v>158</v>
      </c>
      <c r="AD770" s="1" t="str" cm="1">
        <f t="array" ref="AD770">_xlfn.IFS(Table2[[#This Row],[PAYMENT GAP]]&lt;=0,"No Gap / Overpaid",Table2[[#This Row],[PAYMENT GAP]]&lt;=25000,"Low Gap",Table2[[#This Row],[PAYMENT GAP]]&lt;=100000,"Medium Gap",
TRUE,"High Gap"
)</f>
        <v>Low Gap</v>
      </c>
    </row>
    <row r="771" spans="1:30" x14ac:dyDescent="0.3">
      <c r="A771">
        <v>770</v>
      </c>
      <c r="B771" s="1">
        <v>200000</v>
      </c>
      <c r="C771" s="1" t="str" cm="1">
        <f t="array" ref="C771">_xlfn.IFS(Table2[[#This Row],[LIMIT_BAL]]&lt;=100000,"Low",Table2[[#This Row],[LIMIT_BAL]]&lt;=300000,"Medium",
TRUE,"High"
)</f>
        <v>Medium</v>
      </c>
      <c r="D771" t="s">
        <v>2041</v>
      </c>
      <c r="E771" t="s">
        <v>2026</v>
      </c>
      <c r="F771" t="s">
        <v>2028</v>
      </c>
      <c r="G771">
        <v>35</v>
      </c>
      <c r="H771" t="str" cm="1">
        <f t="array" ref="H771">_xlfn.IFS(
Table2[[#This Row],[AGE]]&lt;30,"Young",
Table2[[#This Row],[AGE]]&lt;40,"Middle Age",
Table2[[#This Row],[AGE]]&lt;50,"Senior",
TRUE,"Super Senior"
)</f>
        <v>Middle Age</v>
      </c>
      <c r="I771">
        <v>-2</v>
      </c>
      <c r="J771">
        <v>-2</v>
      </c>
      <c r="K771">
        <v>-2</v>
      </c>
      <c r="L771">
        <v>-2</v>
      </c>
      <c r="M771">
        <v>-2</v>
      </c>
      <c r="N771">
        <v>-2</v>
      </c>
      <c r="O771" s="1">
        <v>2257</v>
      </c>
      <c r="P771" s="1">
        <v>4261</v>
      </c>
      <c r="Q771" s="1">
        <v>1265</v>
      </c>
      <c r="R771" s="1">
        <v>2473</v>
      </c>
      <c r="S771" s="1">
        <v>0</v>
      </c>
      <c r="T771" s="1">
        <v>0</v>
      </c>
      <c r="U771" s="1">
        <v>4266</v>
      </c>
      <c r="V771" s="1">
        <v>1667</v>
      </c>
      <c r="W771" s="1">
        <v>2473</v>
      </c>
      <c r="X771" s="1">
        <v>0</v>
      </c>
      <c r="Y771" s="1">
        <v>0</v>
      </c>
      <c r="Z771" s="1">
        <v>0</v>
      </c>
      <c r="AA771">
        <v>0</v>
      </c>
      <c r="AB771" t="str">
        <f t="shared" ref="AB771:AB834" si="12">IF(AA771=1,"Defaulter","Not Defaulter")</f>
        <v>Not Defaulter</v>
      </c>
      <c r="AC771" s="1">
        <f>Table2[[#This Row],[BILL_AMT1]]-Table2[[#This Row],[PAY_AMT1]]</f>
        <v>-2009</v>
      </c>
      <c r="AD771" s="1" t="str" cm="1">
        <f t="array" ref="AD771">_xlfn.IFS(Table2[[#This Row],[PAYMENT GAP]]&lt;=0,"No Gap / Overpaid",Table2[[#This Row],[PAYMENT GAP]]&lt;=25000,"Low Gap",Table2[[#This Row],[PAYMENT GAP]]&lt;=100000,"Medium Gap",
TRUE,"High Gap"
)</f>
        <v>No Gap / Overpaid</v>
      </c>
    </row>
    <row r="772" spans="1:30" x14ac:dyDescent="0.3">
      <c r="A772">
        <v>771</v>
      </c>
      <c r="B772" s="1">
        <v>360000</v>
      </c>
      <c r="C772" s="1" t="str" cm="1">
        <f t="array" ref="C772">_xlfn.IFS(Table2[[#This Row],[LIMIT_BAL]]&lt;=100000,"Low",Table2[[#This Row],[LIMIT_BAL]]&lt;=300000,"Medium",
TRUE,"High"
)</f>
        <v>High</v>
      </c>
      <c r="D772" t="s">
        <v>2041</v>
      </c>
      <c r="E772" t="s">
        <v>2043</v>
      </c>
      <c r="F772" t="s">
        <v>2029</v>
      </c>
      <c r="G772">
        <v>53</v>
      </c>
      <c r="H772" t="str" cm="1">
        <f t="array" ref="H772">_xlfn.IFS(
Table2[[#This Row],[AGE]]&lt;30,"Young",
Table2[[#This Row],[AGE]]&lt;40,"Middle Age",
Table2[[#This Row],[AGE]]&lt;50,"Senior",
TRUE,"Super Senior"
)</f>
        <v>Super Senior</v>
      </c>
      <c r="I772">
        <v>-1</v>
      </c>
      <c r="J772">
        <v>-1</v>
      </c>
      <c r="K772">
        <v>-1</v>
      </c>
      <c r="L772">
        <v>-1</v>
      </c>
      <c r="M772">
        <v>-1</v>
      </c>
      <c r="N772">
        <v>-1</v>
      </c>
      <c r="O772" s="1">
        <v>10733</v>
      </c>
      <c r="P772" s="1">
        <v>15206</v>
      </c>
      <c r="Q772" s="1">
        <v>15000</v>
      </c>
      <c r="R772" s="1">
        <v>9744</v>
      </c>
      <c r="S772" s="1">
        <v>11114</v>
      </c>
      <c r="T772" s="1">
        <v>8123</v>
      </c>
      <c r="U772" s="1">
        <v>15206</v>
      </c>
      <c r="V772" s="1">
        <v>15032</v>
      </c>
      <c r="W772" s="1">
        <v>9769</v>
      </c>
      <c r="X772" s="1">
        <v>11114</v>
      </c>
      <c r="Y772" s="1">
        <v>8123</v>
      </c>
      <c r="Z772" s="1">
        <v>8736</v>
      </c>
      <c r="AA772">
        <v>0</v>
      </c>
      <c r="AB772" t="str">
        <f t="shared" si="12"/>
        <v>Not Defaulter</v>
      </c>
      <c r="AC772" s="1">
        <f>Table2[[#This Row],[BILL_AMT1]]-Table2[[#This Row],[PAY_AMT1]]</f>
        <v>-4473</v>
      </c>
      <c r="AD772" s="1" t="str" cm="1">
        <f t="array" ref="AD772">_xlfn.IFS(Table2[[#This Row],[PAYMENT GAP]]&lt;=0,"No Gap / Overpaid",Table2[[#This Row],[PAYMENT GAP]]&lt;=25000,"Low Gap",Table2[[#This Row],[PAYMENT GAP]]&lt;=100000,"Medium Gap",
TRUE,"High Gap"
)</f>
        <v>No Gap / Overpaid</v>
      </c>
    </row>
    <row r="773" spans="1:30" x14ac:dyDescent="0.3">
      <c r="A773">
        <v>772</v>
      </c>
      <c r="B773" s="1">
        <v>260000</v>
      </c>
      <c r="C773" s="1" t="str" cm="1">
        <f t="array" ref="C773">_xlfn.IFS(Table2[[#This Row],[LIMIT_BAL]]&lt;=100000,"Low",Table2[[#This Row],[LIMIT_BAL]]&lt;=300000,"Medium",
TRUE,"High"
)</f>
        <v>Medium</v>
      </c>
      <c r="D773" t="s">
        <v>2042</v>
      </c>
      <c r="E773" t="s">
        <v>2026</v>
      </c>
      <c r="F773" t="s">
        <v>2029</v>
      </c>
      <c r="G773">
        <v>44</v>
      </c>
      <c r="H773" t="str" cm="1">
        <f t="array" ref="H773">_xlfn.IFS(
Table2[[#This Row],[AGE]]&lt;30,"Young",
Table2[[#This Row],[AGE]]&lt;40,"Middle Age",
Table2[[#This Row],[AGE]]&lt;50,"Senior",
TRUE,"Super Senior"
)</f>
        <v>Senior</v>
      </c>
      <c r="I773">
        <v>-1</v>
      </c>
      <c r="J773">
        <v>-1</v>
      </c>
      <c r="K773">
        <v>-1</v>
      </c>
      <c r="L773">
        <v>-1</v>
      </c>
      <c r="M773">
        <v>-1</v>
      </c>
      <c r="N773">
        <v>-1</v>
      </c>
      <c r="O773" s="1">
        <v>316</v>
      </c>
      <c r="P773" s="1">
        <v>316</v>
      </c>
      <c r="Q773" s="1">
        <v>316</v>
      </c>
      <c r="R773" s="1">
        <v>316</v>
      </c>
      <c r="S773" s="1">
        <v>316</v>
      </c>
      <c r="T773" s="1">
        <v>466</v>
      </c>
      <c r="U773" s="1">
        <v>316</v>
      </c>
      <c r="V773" s="1">
        <v>316</v>
      </c>
      <c r="W773" s="1">
        <v>316</v>
      </c>
      <c r="X773" s="1">
        <v>316</v>
      </c>
      <c r="Y773" s="1">
        <v>466</v>
      </c>
      <c r="Z773" s="1">
        <v>316</v>
      </c>
      <c r="AA773">
        <v>0</v>
      </c>
      <c r="AB773" t="str">
        <f t="shared" si="12"/>
        <v>Not Defaulter</v>
      </c>
      <c r="AC773" s="1">
        <f>Table2[[#This Row],[BILL_AMT1]]-Table2[[#This Row],[PAY_AMT1]]</f>
        <v>0</v>
      </c>
      <c r="AD773" s="1" t="str" cm="1">
        <f t="array" ref="AD773">_xlfn.IFS(Table2[[#This Row],[PAYMENT GAP]]&lt;=0,"No Gap / Overpaid",Table2[[#This Row],[PAYMENT GAP]]&lt;=25000,"Low Gap",Table2[[#This Row],[PAYMENT GAP]]&lt;=100000,"Medium Gap",
TRUE,"High Gap"
)</f>
        <v>No Gap / Overpaid</v>
      </c>
    </row>
    <row r="774" spans="1:30" x14ac:dyDescent="0.3">
      <c r="A774">
        <v>773</v>
      </c>
      <c r="B774" s="1">
        <v>20000</v>
      </c>
      <c r="C774" s="1" t="str" cm="1">
        <f t="array" ref="C774">_xlfn.IFS(Table2[[#This Row],[LIMIT_BAL]]&lt;=100000,"Low",Table2[[#This Row],[LIMIT_BAL]]&lt;=300000,"Medium",
TRUE,"High"
)</f>
        <v>Low</v>
      </c>
      <c r="D774" t="s">
        <v>2042</v>
      </c>
      <c r="E774" t="s">
        <v>2043</v>
      </c>
      <c r="F774" t="s">
        <v>2028</v>
      </c>
      <c r="G774">
        <v>33</v>
      </c>
      <c r="H774" t="str" cm="1">
        <f t="array" ref="H774">_xlfn.IFS(
Table2[[#This Row],[AGE]]&lt;30,"Young",
Table2[[#This Row],[AGE]]&lt;40,"Middle Age",
Table2[[#This Row],[AGE]]&lt;50,"Senior",
TRUE,"Super Senior"
)</f>
        <v>Middle Age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 s="1">
        <v>11026</v>
      </c>
      <c r="P774" s="1">
        <v>9535</v>
      </c>
      <c r="Q774" s="1">
        <v>10510</v>
      </c>
      <c r="R774" s="1">
        <v>10472</v>
      </c>
      <c r="S774" s="1">
        <v>10140</v>
      </c>
      <c r="T774" s="1">
        <v>10101</v>
      </c>
      <c r="U774" s="1">
        <v>1174</v>
      </c>
      <c r="V774" s="1">
        <v>1149</v>
      </c>
      <c r="W774" s="1">
        <v>501</v>
      </c>
      <c r="X774" s="1">
        <v>356</v>
      </c>
      <c r="Y774" s="1">
        <v>507</v>
      </c>
      <c r="Z774" s="1">
        <v>458</v>
      </c>
      <c r="AA774">
        <v>0</v>
      </c>
      <c r="AB774" t="str">
        <f t="shared" si="12"/>
        <v>Not Defaulter</v>
      </c>
      <c r="AC774" s="1">
        <f>Table2[[#This Row],[BILL_AMT1]]-Table2[[#This Row],[PAY_AMT1]]</f>
        <v>9852</v>
      </c>
      <c r="AD774" s="1" t="str" cm="1">
        <f t="array" ref="AD774">_xlfn.IFS(Table2[[#This Row],[PAYMENT GAP]]&lt;=0,"No Gap / Overpaid",Table2[[#This Row],[PAYMENT GAP]]&lt;=25000,"Low Gap",Table2[[#This Row],[PAYMENT GAP]]&lt;=100000,"Medium Gap",
TRUE,"High Gap"
)</f>
        <v>Low Gap</v>
      </c>
    </row>
    <row r="775" spans="1:30" x14ac:dyDescent="0.3">
      <c r="A775">
        <v>774</v>
      </c>
      <c r="B775" s="1">
        <v>120000</v>
      </c>
      <c r="C775" s="1" t="str" cm="1">
        <f t="array" ref="C775">_xlfn.IFS(Table2[[#This Row],[LIMIT_BAL]]&lt;=100000,"Low",Table2[[#This Row],[LIMIT_BAL]]&lt;=300000,"Medium",
TRUE,"High"
)</f>
        <v>Medium</v>
      </c>
      <c r="D775" t="s">
        <v>2041</v>
      </c>
      <c r="E775" t="s">
        <v>2043</v>
      </c>
      <c r="F775" t="s">
        <v>2028</v>
      </c>
      <c r="G775">
        <v>32</v>
      </c>
      <c r="H775" t="str" cm="1">
        <f t="array" ref="H775">_xlfn.IFS(
Table2[[#This Row],[AGE]]&lt;30,"Young",
Table2[[#This Row],[AGE]]&lt;40,"Middle Age",
Table2[[#This Row],[AGE]]&lt;50,"Senior",
TRUE,"Super Senior"
)</f>
        <v>Middle Age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 s="1">
        <v>113869</v>
      </c>
      <c r="P775" s="1">
        <v>116110</v>
      </c>
      <c r="Q775" s="1">
        <v>111978</v>
      </c>
      <c r="R775" s="1">
        <v>112822</v>
      </c>
      <c r="S775" s="1">
        <v>114969</v>
      </c>
      <c r="T775" s="1">
        <v>117949</v>
      </c>
      <c r="U775" s="1">
        <v>5498</v>
      </c>
      <c r="V775" s="1">
        <v>5500</v>
      </c>
      <c r="W775" s="1">
        <v>4000</v>
      </c>
      <c r="X775" s="1">
        <v>4300</v>
      </c>
      <c r="Y775" s="1">
        <v>5012</v>
      </c>
      <c r="Z775" s="1">
        <v>4003</v>
      </c>
      <c r="AA775">
        <v>0</v>
      </c>
      <c r="AB775" t="str">
        <f t="shared" si="12"/>
        <v>Not Defaulter</v>
      </c>
      <c r="AC775" s="1">
        <f>Table2[[#This Row],[BILL_AMT1]]-Table2[[#This Row],[PAY_AMT1]]</f>
        <v>108371</v>
      </c>
      <c r="AD775" s="1" t="str" cm="1">
        <f t="array" ref="AD775">_xlfn.IFS(Table2[[#This Row],[PAYMENT GAP]]&lt;=0,"No Gap / Overpaid",Table2[[#This Row],[PAYMENT GAP]]&lt;=25000,"Low Gap",Table2[[#This Row],[PAYMENT GAP]]&lt;=100000,"Medium Gap",
TRUE,"High Gap"
)</f>
        <v>High Gap</v>
      </c>
    </row>
    <row r="776" spans="1:30" x14ac:dyDescent="0.3">
      <c r="A776">
        <v>775</v>
      </c>
      <c r="B776" s="1">
        <v>50000</v>
      </c>
      <c r="C776" s="1" t="str" cm="1">
        <f t="array" ref="C776">_xlfn.IFS(Table2[[#This Row],[LIMIT_BAL]]&lt;=100000,"Low",Table2[[#This Row],[LIMIT_BAL]]&lt;=300000,"Medium",
TRUE,"High"
)</f>
        <v>Low</v>
      </c>
      <c r="D776" t="s">
        <v>2041</v>
      </c>
      <c r="E776" t="s">
        <v>2026</v>
      </c>
      <c r="F776" t="s">
        <v>2029</v>
      </c>
      <c r="G776">
        <v>33</v>
      </c>
      <c r="H776" t="str" cm="1">
        <f t="array" ref="H776">_xlfn.IFS(
Table2[[#This Row],[AGE]]&lt;30,"Young",
Table2[[#This Row],[AGE]]&lt;40,"Middle Age",
Table2[[#This Row],[AGE]]&lt;50,"Senior",
TRUE,"Super Senior"
)</f>
        <v>Middle Age</v>
      </c>
      <c r="I776">
        <v>-1</v>
      </c>
      <c r="J776">
        <v>2</v>
      </c>
      <c r="K776">
        <v>-1</v>
      </c>
      <c r="L776">
        <v>-1</v>
      </c>
      <c r="M776">
        <v>-1</v>
      </c>
      <c r="N776">
        <v>-2</v>
      </c>
      <c r="O776" s="1">
        <v>7363</v>
      </c>
      <c r="P776" s="1">
        <v>5180</v>
      </c>
      <c r="Q776" s="1">
        <v>31902</v>
      </c>
      <c r="R776" s="1">
        <v>11044</v>
      </c>
      <c r="S776" s="1">
        <v>0</v>
      </c>
      <c r="T776" s="1">
        <v>0</v>
      </c>
      <c r="U776" s="1">
        <v>39</v>
      </c>
      <c r="V776" s="1">
        <v>32013</v>
      </c>
      <c r="W776" s="1">
        <v>11079</v>
      </c>
      <c r="X776" s="1">
        <v>0</v>
      </c>
      <c r="Y776" s="1">
        <v>0</v>
      </c>
      <c r="Z776" s="1">
        <v>0</v>
      </c>
      <c r="AA776">
        <v>0</v>
      </c>
      <c r="AB776" t="str">
        <f t="shared" si="12"/>
        <v>Not Defaulter</v>
      </c>
      <c r="AC776" s="1">
        <f>Table2[[#This Row],[BILL_AMT1]]-Table2[[#This Row],[PAY_AMT1]]</f>
        <v>7324</v>
      </c>
      <c r="AD776" s="1" t="str" cm="1">
        <f t="array" ref="AD776">_xlfn.IFS(Table2[[#This Row],[PAYMENT GAP]]&lt;=0,"No Gap / Overpaid",Table2[[#This Row],[PAYMENT GAP]]&lt;=25000,"Low Gap",Table2[[#This Row],[PAYMENT GAP]]&lt;=100000,"Medium Gap",
TRUE,"High Gap"
)</f>
        <v>Low Gap</v>
      </c>
    </row>
    <row r="777" spans="1:30" x14ac:dyDescent="0.3">
      <c r="A777">
        <v>776</v>
      </c>
      <c r="B777" s="1">
        <v>60000</v>
      </c>
      <c r="C777" s="1" t="str" cm="1">
        <f t="array" ref="C777">_xlfn.IFS(Table2[[#This Row],[LIMIT_BAL]]&lt;=100000,"Low",Table2[[#This Row],[LIMIT_BAL]]&lt;=300000,"Medium",
TRUE,"High"
)</f>
        <v>Low</v>
      </c>
      <c r="D777" t="s">
        <v>2041</v>
      </c>
      <c r="E777" t="s">
        <v>2026</v>
      </c>
      <c r="F777" t="s">
        <v>2029</v>
      </c>
      <c r="G777">
        <v>26</v>
      </c>
      <c r="H777" t="str" cm="1">
        <f t="array" ref="H777">_xlfn.IFS(
Table2[[#This Row],[AGE]]&lt;30,"Young",
Table2[[#This Row],[AGE]]&lt;40,"Middle Age",
Table2[[#This Row],[AGE]]&lt;50,"Senior",
TRUE,"Super Senior"
)</f>
        <v>Young</v>
      </c>
      <c r="I777">
        <v>1</v>
      </c>
      <c r="J777">
        <v>2</v>
      </c>
      <c r="K777">
        <v>0</v>
      </c>
      <c r="L777">
        <v>0</v>
      </c>
      <c r="M777">
        <v>0</v>
      </c>
      <c r="N777">
        <v>0</v>
      </c>
      <c r="O777" s="1">
        <v>29649</v>
      </c>
      <c r="P777" s="1">
        <v>21657</v>
      </c>
      <c r="Q777" s="1">
        <v>28736</v>
      </c>
      <c r="R777" s="1">
        <v>42733</v>
      </c>
      <c r="S777" s="1">
        <v>46404</v>
      </c>
      <c r="T777" s="1">
        <v>37993</v>
      </c>
      <c r="U777" s="1">
        <v>0</v>
      </c>
      <c r="V777" s="1">
        <v>8000</v>
      </c>
      <c r="W777" s="1">
        <v>15000</v>
      </c>
      <c r="X777" s="1">
        <v>9000</v>
      </c>
      <c r="Y777" s="1">
        <v>10000</v>
      </c>
      <c r="Z777" s="1">
        <v>0</v>
      </c>
      <c r="AA777">
        <v>0</v>
      </c>
      <c r="AB777" t="str">
        <f t="shared" si="12"/>
        <v>Not Defaulter</v>
      </c>
      <c r="AC777" s="1">
        <f>Table2[[#This Row],[BILL_AMT1]]-Table2[[#This Row],[PAY_AMT1]]</f>
        <v>29649</v>
      </c>
      <c r="AD777" s="1" t="str" cm="1">
        <f t="array" ref="AD777">_xlfn.IFS(Table2[[#This Row],[PAYMENT GAP]]&lt;=0,"No Gap / Overpaid",Table2[[#This Row],[PAYMENT GAP]]&lt;=25000,"Low Gap",Table2[[#This Row],[PAYMENT GAP]]&lt;=100000,"Medium Gap",
TRUE,"High Gap"
)</f>
        <v>Medium Gap</v>
      </c>
    </row>
    <row r="778" spans="1:30" x14ac:dyDescent="0.3">
      <c r="A778">
        <v>777</v>
      </c>
      <c r="B778" s="1">
        <v>200000</v>
      </c>
      <c r="C778" s="1" t="str" cm="1">
        <f t="array" ref="C778">_xlfn.IFS(Table2[[#This Row],[LIMIT_BAL]]&lt;=100000,"Low",Table2[[#This Row],[LIMIT_BAL]]&lt;=300000,"Medium",
TRUE,"High"
)</f>
        <v>Medium</v>
      </c>
      <c r="D778" t="s">
        <v>2042</v>
      </c>
      <c r="E778" t="s">
        <v>2026</v>
      </c>
      <c r="F778" t="s">
        <v>2029</v>
      </c>
      <c r="G778">
        <v>26</v>
      </c>
      <c r="H778" t="str" cm="1">
        <f t="array" ref="H778">_xlfn.IFS(
Table2[[#This Row],[AGE]]&lt;30,"Young",
Table2[[#This Row],[AGE]]&lt;40,"Middle Age",
Table2[[#This Row],[AGE]]&lt;50,"Senior",
TRUE,"Super Senior"
)</f>
        <v>Young</v>
      </c>
      <c r="I778">
        <v>-2</v>
      </c>
      <c r="J778">
        <v>-2</v>
      </c>
      <c r="K778">
        <v>-2</v>
      </c>
      <c r="L778">
        <v>-2</v>
      </c>
      <c r="M778">
        <v>-1</v>
      </c>
      <c r="N778">
        <v>-1</v>
      </c>
      <c r="O778" s="1">
        <v>12716</v>
      </c>
      <c r="P778" s="1">
        <v>16164</v>
      </c>
      <c r="Q778" s="1">
        <v>1954</v>
      </c>
      <c r="R778" s="1">
        <v>5297</v>
      </c>
      <c r="S778" s="1">
        <v>1483</v>
      </c>
      <c r="T778" s="1">
        <v>3393</v>
      </c>
      <c r="U778" s="1">
        <v>16244</v>
      </c>
      <c r="V778" s="1">
        <v>1963</v>
      </c>
      <c r="W778" s="1">
        <v>3359</v>
      </c>
      <c r="X778" s="1">
        <v>4849</v>
      </c>
      <c r="Y778" s="1">
        <v>3410</v>
      </c>
      <c r="Z778" s="1">
        <v>2994</v>
      </c>
      <c r="AA778">
        <v>0</v>
      </c>
      <c r="AB778" t="str">
        <f t="shared" si="12"/>
        <v>Not Defaulter</v>
      </c>
      <c r="AC778" s="1">
        <f>Table2[[#This Row],[BILL_AMT1]]-Table2[[#This Row],[PAY_AMT1]]</f>
        <v>-3528</v>
      </c>
      <c r="AD778" s="1" t="str" cm="1">
        <f t="array" ref="AD778">_xlfn.IFS(Table2[[#This Row],[PAYMENT GAP]]&lt;=0,"No Gap / Overpaid",Table2[[#This Row],[PAYMENT GAP]]&lt;=25000,"Low Gap",Table2[[#This Row],[PAYMENT GAP]]&lt;=100000,"Medium Gap",
TRUE,"High Gap"
)</f>
        <v>No Gap / Overpaid</v>
      </c>
    </row>
    <row r="779" spans="1:30" x14ac:dyDescent="0.3">
      <c r="A779">
        <v>778</v>
      </c>
      <c r="B779" s="1">
        <v>20000</v>
      </c>
      <c r="C779" s="1" t="str" cm="1">
        <f t="array" ref="C779">_xlfn.IFS(Table2[[#This Row],[LIMIT_BAL]]&lt;=100000,"Low",Table2[[#This Row],[LIMIT_BAL]]&lt;=300000,"Medium",
TRUE,"High"
)</f>
        <v>Low</v>
      </c>
      <c r="D779" t="s">
        <v>2042</v>
      </c>
      <c r="E779" t="s">
        <v>2043</v>
      </c>
      <c r="F779" t="s">
        <v>2029</v>
      </c>
      <c r="G779">
        <v>26</v>
      </c>
      <c r="H779" t="str" cm="1">
        <f t="array" ref="H779">_xlfn.IFS(
Table2[[#This Row],[AGE]]&lt;30,"Young",
Table2[[#This Row],[AGE]]&lt;40,"Middle Age",
Table2[[#This Row],[AGE]]&lt;50,"Senior",
TRUE,"Super Senior"
)</f>
        <v>Young</v>
      </c>
      <c r="I779">
        <v>-1</v>
      </c>
      <c r="J779">
        <v>-1</v>
      </c>
      <c r="K779">
        <v>-1</v>
      </c>
      <c r="L779">
        <v>-1</v>
      </c>
      <c r="M779">
        <v>-2</v>
      </c>
      <c r="N779">
        <v>-1</v>
      </c>
      <c r="O779" s="1">
        <v>1438</v>
      </c>
      <c r="P779" s="1">
        <v>1261</v>
      </c>
      <c r="Q779" s="1">
        <v>451</v>
      </c>
      <c r="R779" s="1">
        <v>-810</v>
      </c>
      <c r="S779" s="1">
        <v>-420</v>
      </c>
      <c r="T779" s="1">
        <v>1320</v>
      </c>
      <c r="U779" s="1">
        <v>1261</v>
      </c>
      <c r="V779" s="1">
        <v>451</v>
      </c>
      <c r="W779" s="1">
        <v>0</v>
      </c>
      <c r="X779" s="1">
        <v>780</v>
      </c>
      <c r="Y779" s="1">
        <v>2130</v>
      </c>
      <c r="Z779" s="1">
        <v>0</v>
      </c>
      <c r="AA779">
        <v>0</v>
      </c>
      <c r="AB779" t="str">
        <f t="shared" si="12"/>
        <v>Not Defaulter</v>
      </c>
      <c r="AC779" s="1">
        <f>Table2[[#This Row],[BILL_AMT1]]-Table2[[#This Row],[PAY_AMT1]]</f>
        <v>177</v>
      </c>
      <c r="AD779" s="1" t="str" cm="1">
        <f t="array" ref="AD779">_xlfn.IFS(Table2[[#This Row],[PAYMENT GAP]]&lt;=0,"No Gap / Overpaid",Table2[[#This Row],[PAYMENT GAP]]&lt;=25000,"Low Gap",Table2[[#This Row],[PAYMENT GAP]]&lt;=100000,"Medium Gap",
TRUE,"High Gap"
)</f>
        <v>Low Gap</v>
      </c>
    </row>
    <row r="780" spans="1:30" x14ac:dyDescent="0.3">
      <c r="A780">
        <v>779</v>
      </c>
      <c r="B780" s="1">
        <v>50000</v>
      </c>
      <c r="C780" s="1" t="str" cm="1">
        <f t="array" ref="C780">_xlfn.IFS(Table2[[#This Row],[LIMIT_BAL]]&lt;=100000,"Low",Table2[[#This Row],[LIMIT_BAL]]&lt;=300000,"Medium",
TRUE,"High"
)</f>
        <v>Low</v>
      </c>
      <c r="D780" t="s">
        <v>2041</v>
      </c>
      <c r="E780" t="s">
        <v>2026</v>
      </c>
      <c r="F780" t="s">
        <v>2028</v>
      </c>
      <c r="G780">
        <v>32</v>
      </c>
      <c r="H780" t="str" cm="1">
        <f t="array" ref="H780">_xlfn.IFS(
Table2[[#This Row],[AGE]]&lt;30,"Young",
Table2[[#This Row],[AGE]]&lt;40,"Middle Age",
Table2[[#This Row],[AGE]]&lt;50,"Senior",
TRUE,"Super Senior"
)</f>
        <v>Middle Age</v>
      </c>
      <c r="I780">
        <v>2</v>
      </c>
      <c r="J780">
        <v>0</v>
      </c>
      <c r="K780">
        <v>0</v>
      </c>
      <c r="L780">
        <v>-1</v>
      </c>
      <c r="M780">
        <v>0</v>
      </c>
      <c r="N780">
        <v>-1</v>
      </c>
      <c r="O780" s="1">
        <v>47858</v>
      </c>
      <c r="P780" s="1">
        <v>49223</v>
      </c>
      <c r="Q780" s="1">
        <v>42589</v>
      </c>
      <c r="R780" s="1">
        <v>639</v>
      </c>
      <c r="S780" s="1">
        <v>4639</v>
      </c>
      <c r="T780" s="1">
        <v>2312</v>
      </c>
      <c r="U780" s="1">
        <v>2500</v>
      </c>
      <c r="V780" s="1">
        <v>3000</v>
      </c>
      <c r="W780" s="1">
        <v>7000</v>
      </c>
      <c r="X780" s="1">
        <v>4000</v>
      </c>
      <c r="Y780" s="1">
        <v>2413</v>
      </c>
      <c r="Z780" s="1">
        <v>2000</v>
      </c>
      <c r="AA780">
        <v>1</v>
      </c>
      <c r="AB780" t="str">
        <f t="shared" si="12"/>
        <v>Defaulter</v>
      </c>
      <c r="AC780" s="1">
        <f>Table2[[#This Row],[BILL_AMT1]]-Table2[[#This Row],[PAY_AMT1]]</f>
        <v>45358</v>
      </c>
      <c r="AD780" s="1" t="str" cm="1">
        <f t="array" ref="AD780">_xlfn.IFS(Table2[[#This Row],[PAYMENT GAP]]&lt;=0,"No Gap / Overpaid",Table2[[#This Row],[PAYMENT GAP]]&lt;=25000,"Low Gap",Table2[[#This Row],[PAYMENT GAP]]&lt;=100000,"Medium Gap",
TRUE,"High Gap"
)</f>
        <v>Medium Gap</v>
      </c>
    </row>
    <row r="781" spans="1:30" x14ac:dyDescent="0.3">
      <c r="A781">
        <v>780</v>
      </c>
      <c r="B781" s="1">
        <v>50000</v>
      </c>
      <c r="C781" s="1" t="str" cm="1">
        <f t="array" ref="C781">_xlfn.IFS(Table2[[#This Row],[LIMIT_BAL]]&lt;=100000,"Low",Table2[[#This Row],[LIMIT_BAL]]&lt;=300000,"Medium",
TRUE,"High"
)</f>
        <v>Low</v>
      </c>
      <c r="D781" t="s">
        <v>2041</v>
      </c>
      <c r="E781" t="s">
        <v>2043</v>
      </c>
      <c r="F781" t="s">
        <v>2029</v>
      </c>
      <c r="G781">
        <v>31</v>
      </c>
      <c r="H781" t="str" cm="1">
        <f t="array" ref="H781">_xlfn.IFS(
Table2[[#This Row],[AGE]]&lt;30,"Young",
Table2[[#This Row],[AGE]]&lt;40,"Middle Age",
Table2[[#This Row],[AGE]]&lt;50,"Senior",
TRUE,"Super Senior"
)</f>
        <v>Middle Age</v>
      </c>
      <c r="I781">
        <v>1</v>
      </c>
      <c r="J781">
        <v>-2</v>
      </c>
      <c r="K781">
        <v>-1</v>
      </c>
      <c r="L781">
        <v>-1</v>
      </c>
      <c r="M781">
        <v>-1</v>
      </c>
      <c r="N781">
        <v>2</v>
      </c>
      <c r="O781" s="1">
        <v>0</v>
      </c>
      <c r="P781" s="1">
        <v>0</v>
      </c>
      <c r="Q781" s="1">
        <v>190</v>
      </c>
      <c r="R781" s="1">
        <v>0</v>
      </c>
      <c r="S781" s="1">
        <v>36059</v>
      </c>
      <c r="T781" s="1">
        <v>32851</v>
      </c>
      <c r="U781" s="1">
        <v>0</v>
      </c>
      <c r="V781" s="1">
        <v>190</v>
      </c>
      <c r="W781" s="1">
        <v>0</v>
      </c>
      <c r="X781" s="1">
        <v>36059</v>
      </c>
      <c r="Y781" s="1">
        <v>0</v>
      </c>
      <c r="Z781" s="1">
        <v>2420</v>
      </c>
      <c r="AA781">
        <v>0</v>
      </c>
      <c r="AB781" t="str">
        <f t="shared" si="12"/>
        <v>Not Defaulter</v>
      </c>
      <c r="AC781" s="1">
        <f>Table2[[#This Row],[BILL_AMT1]]-Table2[[#This Row],[PAY_AMT1]]</f>
        <v>0</v>
      </c>
      <c r="AD781" s="1" t="str" cm="1">
        <f t="array" ref="AD781">_xlfn.IFS(Table2[[#This Row],[PAYMENT GAP]]&lt;=0,"No Gap / Overpaid",Table2[[#This Row],[PAYMENT GAP]]&lt;=25000,"Low Gap",Table2[[#This Row],[PAYMENT GAP]]&lt;=100000,"Medium Gap",
TRUE,"High Gap"
)</f>
        <v>No Gap / Overpaid</v>
      </c>
    </row>
    <row r="782" spans="1:30" x14ac:dyDescent="0.3">
      <c r="A782">
        <v>781</v>
      </c>
      <c r="B782" s="1">
        <v>230000</v>
      </c>
      <c r="C782" s="1" t="str" cm="1">
        <f t="array" ref="C782">_xlfn.IFS(Table2[[#This Row],[LIMIT_BAL]]&lt;=100000,"Low",Table2[[#This Row],[LIMIT_BAL]]&lt;=300000,"Medium",
TRUE,"High"
)</f>
        <v>Medium</v>
      </c>
      <c r="D782" t="s">
        <v>2042</v>
      </c>
      <c r="E782" t="s">
        <v>2026</v>
      </c>
      <c r="F782" t="s">
        <v>2029</v>
      </c>
      <c r="G782">
        <v>29</v>
      </c>
      <c r="H782" t="str" cm="1">
        <f t="array" ref="H782">_xlfn.IFS(
Table2[[#This Row],[AGE]]&lt;30,"Young",
Table2[[#This Row],[AGE]]&lt;40,"Middle Age",
Table2[[#This Row],[AGE]]&lt;50,"Senior",
TRUE,"Super Senior"
)</f>
        <v>Young</v>
      </c>
      <c r="I782">
        <v>0</v>
      </c>
      <c r="J782">
        <v>0</v>
      </c>
      <c r="K782">
        <v>2</v>
      </c>
      <c r="L782">
        <v>2</v>
      </c>
      <c r="M782">
        <v>2</v>
      </c>
      <c r="N782">
        <v>0</v>
      </c>
      <c r="O782" s="1">
        <v>40732</v>
      </c>
      <c r="P782" s="1">
        <v>44563</v>
      </c>
      <c r="Q782" s="1">
        <v>42804</v>
      </c>
      <c r="R782" s="1">
        <v>44020</v>
      </c>
      <c r="S782" s="1">
        <v>41278</v>
      </c>
      <c r="T782" s="1">
        <v>34672</v>
      </c>
      <c r="U782" s="1">
        <v>5000</v>
      </c>
      <c r="V782" s="1">
        <v>0</v>
      </c>
      <c r="W782" s="1">
        <v>3000</v>
      </c>
      <c r="X782" s="1">
        <v>0</v>
      </c>
      <c r="Y782" s="1">
        <v>3000</v>
      </c>
      <c r="Z782" s="1">
        <v>3000</v>
      </c>
      <c r="AA782">
        <v>0</v>
      </c>
      <c r="AB782" t="str">
        <f t="shared" si="12"/>
        <v>Not Defaulter</v>
      </c>
      <c r="AC782" s="1">
        <f>Table2[[#This Row],[BILL_AMT1]]-Table2[[#This Row],[PAY_AMT1]]</f>
        <v>35732</v>
      </c>
      <c r="AD782" s="1" t="str" cm="1">
        <f t="array" ref="AD782">_xlfn.IFS(Table2[[#This Row],[PAYMENT GAP]]&lt;=0,"No Gap / Overpaid",Table2[[#This Row],[PAYMENT GAP]]&lt;=25000,"Low Gap",Table2[[#This Row],[PAYMENT GAP]]&lt;=100000,"Medium Gap",
TRUE,"High Gap"
)</f>
        <v>Medium Gap</v>
      </c>
    </row>
    <row r="783" spans="1:30" x14ac:dyDescent="0.3">
      <c r="A783">
        <v>782</v>
      </c>
      <c r="B783" s="1">
        <v>50000</v>
      </c>
      <c r="C783" s="1" t="str" cm="1">
        <f t="array" ref="C783">_xlfn.IFS(Table2[[#This Row],[LIMIT_BAL]]&lt;=100000,"Low",Table2[[#This Row],[LIMIT_BAL]]&lt;=300000,"Medium",
TRUE,"High"
)</f>
        <v>Low</v>
      </c>
      <c r="D783" t="s">
        <v>2042</v>
      </c>
      <c r="E783" t="s">
        <v>2043</v>
      </c>
      <c r="F783" t="s">
        <v>2028</v>
      </c>
      <c r="G783">
        <v>27</v>
      </c>
      <c r="H783" t="str" cm="1">
        <f t="array" ref="H783">_xlfn.IFS(
Table2[[#This Row],[AGE]]&lt;30,"Young",
Table2[[#This Row],[AGE]]&lt;40,"Middle Age",
Table2[[#This Row],[AGE]]&lt;50,"Senior",
TRUE,"Super Senior"
)</f>
        <v>Young</v>
      </c>
      <c r="I783">
        <v>-1</v>
      </c>
      <c r="J783">
        <v>-1</v>
      </c>
      <c r="K783">
        <v>2</v>
      </c>
      <c r="L783">
        <v>-1</v>
      </c>
      <c r="M783">
        <v>-1</v>
      </c>
      <c r="N783">
        <v>-1</v>
      </c>
      <c r="O783" s="1">
        <v>819</v>
      </c>
      <c r="P783" s="1">
        <v>3003</v>
      </c>
      <c r="Q783" s="1">
        <v>1677</v>
      </c>
      <c r="R783" s="1">
        <v>1177</v>
      </c>
      <c r="S783" s="1">
        <v>1313</v>
      </c>
      <c r="T783" s="1">
        <v>1085</v>
      </c>
      <c r="U783" s="1">
        <v>2184</v>
      </c>
      <c r="V783" s="1">
        <v>5</v>
      </c>
      <c r="W783" s="1">
        <v>1180</v>
      </c>
      <c r="X783" s="1">
        <v>1316</v>
      </c>
      <c r="Y783" s="1">
        <v>1088</v>
      </c>
      <c r="Z783" s="1">
        <v>0</v>
      </c>
      <c r="AA783">
        <v>0</v>
      </c>
      <c r="AB783" t="str">
        <f t="shared" si="12"/>
        <v>Not Defaulter</v>
      </c>
      <c r="AC783" s="1">
        <f>Table2[[#This Row],[BILL_AMT1]]-Table2[[#This Row],[PAY_AMT1]]</f>
        <v>-1365</v>
      </c>
      <c r="AD783" s="1" t="str" cm="1">
        <f t="array" ref="AD783">_xlfn.IFS(Table2[[#This Row],[PAYMENT GAP]]&lt;=0,"No Gap / Overpaid",Table2[[#This Row],[PAYMENT GAP]]&lt;=25000,"Low Gap",Table2[[#This Row],[PAYMENT GAP]]&lt;=100000,"Medium Gap",
TRUE,"High Gap"
)</f>
        <v>No Gap / Overpaid</v>
      </c>
    </row>
    <row r="784" spans="1:30" x14ac:dyDescent="0.3">
      <c r="A784">
        <v>783</v>
      </c>
      <c r="B784" s="1">
        <v>100000</v>
      </c>
      <c r="C784" s="1" t="str" cm="1">
        <f t="array" ref="C784">_xlfn.IFS(Table2[[#This Row],[LIMIT_BAL]]&lt;=100000,"Low",Table2[[#This Row],[LIMIT_BAL]]&lt;=300000,"Medium",
TRUE,"High"
)</f>
        <v>Low</v>
      </c>
      <c r="D784" t="s">
        <v>2041</v>
      </c>
      <c r="E784" t="s">
        <v>2026</v>
      </c>
      <c r="F784" t="s">
        <v>2029</v>
      </c>
      <c r="G784">
        <v>28</v>
      </c>
      <c r="H784" t="str" cm="1">
        <f t="array" ref="H784">_xlfn.IFS(
Table2[[#This Row],[AGE]]&lt;30,"Young",
Table2[[#This Row],[AGE]]&lt;40,"Middle Age",
Table2[[#This Row],[AGE]]&lt;50,"Senior",
TRUE,"Super Senior"
)</f>
        <v>Young</v>
      </c>
      <c r="I784">
        <v>2</v>
      </c>
      <c r="J784">
        <v>2</v>
      </c>
      <c r="K784">
        <v>2</v>
      </c>
      <c r="L784">
        <v>2</v>
      </c>
      <c r="M784">
        <v>2</v>
      </c>
      <c r="N784">
        <v>2</v>
      </c>
      <c r="O784" s="1">
        <v>79580</v>
      </c>
      <c r="P784" s="1">
        <v>81493</v>
      </c>
      <c r="Q784" s="1">
        <v>82759</v>
      </c>
      <c r="R784" s="1">
        <v>83609</v>
      </c>
      <c r="S784" s="1">
        <v>85325</v>
      </c>
      <c r="T784" s="1">
        <v>87096</v>
      </c>
      <c r="U784" s="1">
        <v>3790</v>
      </c>
      <c r="V784" s="1">
        <v>3200</v>
      </c>
      <c r="W784" s="1">
        <v>3100</v>
      </c>
      <c r="X784" s="1">
        <v>3200</v>
      </c>
      <c r="Y784" s="1">
        <v>3332</v>
      </c>
      <c r="Z784" s="1">
        <v>3280</v>
      </c>
      <c r="AA784">
        <v>1</v>
      </c>
      <c r="AB784" t="str">
        <f t="shared" si="12"/>
        <v>Defaulter</v>
      </c>
      <c r="AC784" s="1">
        <f>Table2[[#This Row],[BILL_AMT1]]-Table2[[#This Row],[PAY_AMT1]]</f>
        <v>75790</v>
      </c>
      <c r="AD784" s="1" t="str" cm="1">
        <f t="array" ref="AD784">_xlfn.IFS(Table2[[#This Row],[PAYMENT GAP]]&lt;=0,"No Gap / Overpaid",Table2[[#This Row],[PAYMENT GAP]]&lt;=25000,"Low Gap",Table2[[#This Row],[PAYMENT GAP]]&lt;=100000,"Medium Gap",
TRUE,"High Gap"
)</f>
        <v>Medium Gap</v>
      </c>
    </row>
    <row r="785" spans="1:30" x14ac:dyDescent="0.3">
      <c r="A785">
        <v>784</v>
      </c>
      <c r="B785" s="1">
        <v>210000</v>
      </c>
      <c r="C785" s="1" t="str" cm="1">
        <f t="array" ref="C785">_xlfn.IFS(Table2[[#This Row],[LIMIT_BAL]]&lt;=100000,"Low",Table2[[#This Row],[LIMIT_BAL]]&lt;=300000,"Medium",
TRUE,"High"
)</f>
        <v>Medium</v>
      </c>
      <c r="D785" t="s">
        <v>2041</v>
      </c>
      <c r="E785" t="s">
        <v>2026</v>
      </c>
      <c r="F785" t="s">
        <v>2028</v>
      </c>
      <c r="G785">
        <v>42</v>
      </c>
      <c r="H785" t="str" cm="1">
        <f t="array" ref="H785">_xlfn.IFS(
Table2[[#This Row],[AGE]]&lt;30,"Young",
Table2[[#This Row],[AGE]]&lt;40,"Middle Age",
Table2[[#This Row],[AGE]]&lt;50,"Senior",
TRUE,"Super Senior"
)</f>
        <v>Senior</v>
      </c>
      <c r="I785">
        <v>1</v>
      </c>
      <c r="J785">
        <v>-2</v>
      </c>
      <c r="K785">
        <v>-1</v>
      </c>
      <c r="L785">
        <v>-1</v>
      </c>
      <c r="M785">
        <v>-2</v>
      </c>
      <c r="N785">
        <v>-2</v>
      </c>
      <c r="O785" s="1">
        <v>0</v>
      </c>
      <c r="P785" s="1">
        <v>0</v>
      </c>
      <c r="Q785" s="1">
        <v>2490</v>
      </c>
      <c r="R785" s="1">
        <v>0</v>
      </c>
      <c r="S785" s="1">
        <v>0</v>
      </c>
      <c r="T785" s="1">
        <v>0</v>
      </c>
      <c r="U785" s="1">
        <v>0</v>
      </c>
      <c r="V785" s="1">
        <v>2490</v>
      </c>
      <c r="W785" s="1">
        <v>0</v>
      </c>
      <c r="X785" s="1">
        <v>0</v>
      </c>
      <c r="Y785" s="1">
        <v>0</v>
      </c>
      <c r="Z785" s="1">
        <v>0</v>
      </c>
      <c r="AA785">
        <v>1</v>
      </c>
      <c r="AB785" t="str">
        <f t="shared" si="12"/>
        <v>Defaulter</v>
      </c>
      <c r="AC785" s="1">
        <f>Table2[[#This Row],[BILL_AMT1]]-Table2[[#This Row],[PAY_AMT1]]</f>
        <v>0</v>
      </c>
      <c r="AD785" s="1" t="str" cm="1">
        <f t="array" ref="AD785">_xlfn.IFS(Table2[[#This Row],[PAYMENT GAP]]&lt;=0,"No Gap / Overpaid",Table2[[#This Row],[PAYMENT GAP]]&lt;=25000,"Low Gap",Table2[[#This Row],[PAYMENT GAP]]&lt;=100000,"Medium Gap",
TRUE,"High Gap"
)</f>
        <v>No Gap / Overpaid</v>
      </c>
    </row>
    <row r="786" spans="1:30" x14ac:dyDescent="0.3">
      <c r="A786">
        <v>785</v>
      </c>
      <c r="B786" s="1">
        <v>230000</v>
      </c>
      <c r="C786" s="1" t="str" cm="1">
        <f t="array" ref="C786">_xlfn.IFS(Table2[[#This Row],[LIMIT_BAL]]&lt;=100000,"Low",Table2[[#This Row],[LIMIT_BAL]]&lt;=300000,"Medium",
TRUE,"High"
)</f>
        <v>Medium</v>
      </c>
      <c r="D786" t="s">
        <v>2041</v>
      </c>
      <c r="E786" t="s">
        <v>2043</v>
      </c>
      <c r="F786" t="s">
        <v>2028</v>
      </c>
      <c r="G786">
        <v>32</v>
      </c>
      <c r="H786" t="str" cm="1">
        <f t="array" ref="H786">_xlfn.IFS(
Table2[[#This Row],[AGE]]&lt;30,"Young",
Table2[[#This Row],[AGE]]&lt;40,"Middle Age",
Table2[[#This Row],[AGE]]&lt;50,"Senior",
TRUE,"Super Senior"
)</f>
        <v>Middle Age</v>
      </c>
      <c r="I786">
        <v>0</v>
      </c>
      <c r="J786">
        <v>0</v>
      </c>
      <c r="K786">
        <v>0</v>
      </c>
      <c r="L786">
        <v>0</v>
      </c>
      <c r="M786">
        <v>2</v>
      </c>
      <c r="N786">
        <v>0</v>
      </c>
      <c r="O786" s="1">
        <v>87764</v>
      </c>
      <c r="P786" s="1">
        <v>73526</v>
      </c>
      <c r="Q786" s="1">
        <v>72376</v>
      </c>
      <c r="R786" s="1">
        <v>76870</v>
      </c>
      <c r="S786" s="1">
        <v>75211</v>
      </c>
      <c r="T786" s="1">
        <v>76645</v>
      </c>
      <c r="U786" s="1">
        <v>2630</v>
      </c>
      <c r="V786" s="1">
        <v>2614</v>
      </c>
      <c r="W786" s="1">
        <v>6000</v>
      </c>
      <c r="X786" s="1">
        <v>0</v>
      </c>
      <c r="Y786" s="1">
        <v>3000</v>
      </c>
      <c r="Z786" s="1">
        <v>2800</v>
      </c>
      <c r="AA786">
        <v>1</v>
      </c>
      <c r="AB786" t="str">
        <f t="shared" si="12"/>
        <v>Defaulter</v>
      </c>
      <c r="AC786" s="1">
        <f>Table2[[#This Row],[BILL_AMT1]]-Table2[[#This Row],[PAY_AMT1]]</f>
        <v>85134</v>
      </c>
      <c r="AD786" s="1" t="str" cm="1">
        <f t="array" ref="AD786">_xlfn.IFS(Table2[[#This Row],[PAYMENT GAP]]&lt;=0,"No Gap / Overpaid",Table2[[#This Row],[PAYMENT GAP]]&lt;=25000,"Low Gap",Table2[[#This Row],[PAYMENT GAP]]&lt;=100000,"Medium Gap",
TRUE,"High Gap"
)</f>
        <v>Medium Gap</v>
      </c>
    </row>
    <row r="787" spans="1:30" x14ac:dyDescent="0.3">
      <c r="A787">
        <v>786</v>
      </c>
      <c r="B787" s="1">
        <v>500000</v>
      </c>
      <c r="C787" s="1" t="str" cm="1">
        <f t="array" ref="C787">_xlfn.IFS(Table2[[#This Row],[LIMIT_BAL]]&lt;=100000,"Low",Table2[[#This Row],[LIMIT_BAL]]&lt;=300000,"Medium",
TRUE,"High"
)</f>
        <v>High</v>
      </c>
      <c r="D787" t="s">
        <v>2041</v>
      </c>
      <c r="E787" t="s">
        <v>2026</v>
      </c>
      <c r="F787" t="s">
        <v>2029</v>
      </c>
      <c r="G787">
        <v>26</v>
      </c>
      <c r="H787" t="str" cm="1">
        <f t="array" ref="H787">_xlfn.IFS(
Table2[[#This Row],[AGE]]&lt;30,"Young",
Table2[[#This Row],[AGE]]&lt;40,"Middle Age",
Table2[[#This Row],[AGE]]&lt;50,"Senior",
TRUE,"Super Senior"
)</f>
        <v>Young</v>
      </c>
      <c r="I787">
        <v>1</v>
      </c>
      <c r="J787">
        <v>-2</v>
      </c>
      <c r="K787">
        <v>-2</v>
      </c>
      <c r="L787">
        <v>-2</v>
      </c>
      <c r="M787">
        <v>-2</v>
      </c>
      <c r="N787">
        <v>-2</v>
      </c>
      <c r="O787" s="1">
        <v>31421</v>
      </c>
      <c r="P787" s="1">
        <v>22150</v>
      </c>
      <c r="Q787" s="1">
        <v>0</v>
      </c>
      <c r="R787" s="1">
        <v>0</v>
      </c>
      <c r="S787" s="1">
        <v>0</v>
      </c>
      <c r="T787" s="1">
        <v>0</v>
      </c>
      <c r="U787" s="1">
        <v>22157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>
        <v>0</v>
      </c>
      <c r="AB787" t="str">
        <f t="shared" si="12"/>
        <v>Not Defaulter</v>
      </c>
      <c r="AC787" s="1">
        <f>Table2[[#This Row],[BILL_AMT1]]-Table2[[#This Row],[PAY_AMT1]]</f>
        <v>9264</v>
      </c>
      <c r="AD787" s="1" t="str" cm="1">
        <f t="array" ref="AD787">_xlfn.IFS(Table2[[#This Row],[PAYMENT GAP]]&lt;=0,"No Gap / Overpaid",Table2[[#This Row],[PAYMENT GAP]]&lt;=25000,"Low Gap",Table2[[#This Row],[PAYMENT GAP]]&lt;=100000,"Medium Gap",
TRUE,"High Gap"
)</f>
        <v>Low Gap</v>
      </c>
    </row>
    <row r="788" spans="1:30" x14ac:dyDescent="0.3">
      <c r="A788">
        <v>787</v>
      </c>
      <c r="B788" s="1">
        <v>370000</v>
      </c>
      <c r="C788" s="1" t="str" cm="1">
        <f t="array" ref="C788">_xlfn.IFS(Table2[[#This Row],[LIMIT_BAL]]&lt;=100000,"Low",Table2[[#This Row],[LIMIT_BAL]]&lt;=300000,"Medium",
TRUE,"High"
)</f>
        <v>High</v>
      </c>
      <c r="D788" t="s">
        <v>2041</v>
      </c>
      <c r="E788" t="s">
        <v>2026</v>
      </c>
      <c r="F788" t="s">
        <v>2029</v>
      </c>
      <c r="G788">
        <v>38</v>
      </c>
      <c r="H788" t="str" cm="1">
        <f t="array" ref="H788">_xlfn.IFS(
Table2[[#This Row],[AGE]]&lt;30,"Young",
Table2[[#This Row],[AGE]]&lt;40,"Middle Age",
Table2[[#This Row],[AGE]]&lt;50,"Senior",
TRUE,"Super Senior"
)</f>
        <v>Middle Age</v>
      </c>
      <c r="I788">
        <v>-1</v>
      </c>
      <c r="J788">
        <v>-1</v>
      </c>
      <c r="K788">
        <v>-1</v>
      </c>
      <c r="L788">
        <v>-1</v>
      </c>
      <c r="M788">
        <v>-1</v>
      </c>
      <c r="N788">
        <v>-1</v>
      </c>
      <c r="O788" s="1">
        <v>929</v>
      </c>
      <c r="P788" s="1">
        <v>328</v>
      </c>
      <c r="Q788" s="1">
        <v>0</v>
      </c>
      <c r="R788" s="1">
        <v>1539</v>
      </c>
      <c r="S788" s="1">
        <v>1815</v>
      </c>
      <c r="T788" s="1">
        <v>0</v>
      </c>
      <c r="U788" s="1">
        <v>328</v>
      </c>
      <c r="V788" s="1">
        <v>0</v>
      </c>
      <c r="W788" s="1">
        <v>1539</v>
      </c>
      <c r="X788" s="1">
        <v>1815</v>
      </c>
      <c r="Y788" s="1">
        <v>0</v>
      </c>
      <c r="Z788" s="1">
        <v>0</v>
      </c>
      <c r="AA788">
        <v>0</v>
      </c>
      <c r="AB788" t="str">
        <f t="shared" si="12"/>
        <v>Not Defaulter</v>
      </c>
      <c r="AC788" s="1">
        <f>Table2[[#This Row],[BILL_AMT1]]-Table2[[#This Row],[PAY_AMT1]]</f>
        <v>601</v>
      </c>
      <c r="AD788" s="1" t="str" cm="1">
        <f t="array" ref="AD788">_xlfn.IFS(Table2[[#This Row],[PAYMENT GAP]]&lt;=0,"No Gap / Overpaid",Table2[[#This Row],[PAYMENT GAP]]&lt;=25000,"Low Gap",Table2[[#This Row],[PAYMENT GAP]]&lt;=100000,"Medium Gap",
TRUE,"High Gap"
)</f>
        <v>Low Gap</v>
      </c>
    </row>
    <row r="789" spans="1:30" x14ac:dyDescent="0.3">
      <c r="A789">
        <v>788</v>
      </c>
      <c r="B789" s="1">
        <v>230000</v>
      </c>
      <c r="C789" s="1" t="str" cm="1">
        <f t="array" ref="C789">_xlfn.IFS(Table2[[#This Row],[LIMIT_BAL]]&lt;=100000,"Low",Table2[[#This Row],[LIMIT_BAL]]&lt;=300000,"Medium",
TRUE,"High"
)</f>
        <v>Medium</v>
      </c>
      <c r="D789" t="s">
        <v>2041</v>
      </c>
      <c r="E789" t="s">
        <v>2026</v>
      </c>
      <c r="F789" t="s">
        <v>2028</v>
      </c>
      <c r="G789">
        <v>35</v>
      </c>
      <c r="H789" t="str" cm="1">
        <f t="array" ref="H789">_xlfn.IFS(
Table2[[#This Row],[AGE]]&lt;30,"Young",
Table2[[#This Row],[AGE]]&lt;40,"Middle Age",
Table2[[#This Row],[AGE]]&lt;50,"Senior",
TRUE,"Super Senior"
)</f>
        <v>Middle Age</v>
      </c>
      <c r="I789">
        <v>-1</v>
      </c>
      <c r="J789">
        <v>-1</v>
      </c>
      <c r="K789">
        <v>-1</v>
      </c>
      <c r="L789">
        <v>-1</v>
      </c>
      <c r="M789">
        <v>0</v>
      </c>
      <c r="N789">
        <v>0</v>
      </c>
      <c r="O789" s="1">
        <v>2648</v>
      </c>
      <c r="P789" s="1">
        <v>191</v>
      </c>
      <c r="Q789" s="1">
        <v>1947</v>
      </c>
      <c r="R789" s="1">
        <v>11674</v>
      </c>
      <c r="S789" s="1">
        <v>16160</v>
      </c>
      <c r="T789" s="1">
        <v>32519</v>
      </c>
      <c r="U789" s="1">
        <v>200</v>
      </c>
      <c r="V789" s="1">
        <v>1950</v>
      </c>
      <c r="W789" s="1">
        <v>11692</v>
      </c>
      <c r="X789" s="1">
        <v>10000</v>
      </c>
      <c r="Y789" s="1">
        <v>20000</v>
      </c>
      <c r="Z789" s="1">
        <v>6000</v>
      </c>
      <c r="AA789">
        <v>0</v>
      </c>
      <c r="AB789" t="str">
        <f t="shared" si="12"/>
        <v>Not Defaulter</v>
      </c>
      <c r="AC789" s="1">
        <f>Table2[[#This Row],[BILL_AMT1]]-Table2[[#This Row],[PAY_AMT1]]</f>
        <v>2448</v>
      </c>
      <c r="AD789" s="1" t="str" cm="1">
        <f t="array" ref="AD789">_xlfn.IFS(Table2[[#This Row],[PAYMENT GAP]]&lt;=0,"No Gap / Overpaid",Table2[[#This Row],[PAYMENT GAP]]&lt;=25000,"Low Gap",Table2[[#This Row],[PAYMENT GAP]]&lt;=100000,"Medium Gap",
TRUE,"High Gap"
)</f>
        <v>Low Gap</v>
      </c>
    </row>
    <row r="790" spans="1:30" x14ac:dyDescent="0.3">
      <c r="A790">
        <v>789</v>
      </c>
      <c r="B790" s="1">
        <v>80000</v>
      </c>
      <c r="C790" s="1" t="str" cm="1">
        <f t="array" ref="C790">_xlfn.IFS(Table2[[#This Row],[LIMIT_BAL]]&lt;=100000,"Low",Table2[[#This Row],[LIMIT_BAL]]&lt;=300000,"Medium",
TRUE,"High"
)</f>
        <v>Low</v>
      </c>
      <c r="D790" t="s">
        <v>2042</v>
      </c>
      <c r="E790" t="s">
        <v>2043</v>
      </c>
      <c r="F790" t="s">
        <v>2029</v>
      </c>
      <c r="G790">
        <v>29</v>
      </c>
      <c r="H790" t="str" cm="1">
        <f t="array" ref="H790">_xlfn.IFS(
Table2[[#This Row],[AGE]]&lt;30,"Young",
Table2[[#This Row],[AGE]]&lt;40,"Middle Age",
Table2[[#This Row],[AGE]]&lt;50,"Senior",
TRUE,"Super Senior"
)</f>
        <v>Young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 s="1">
        <v>11894</v>
      </c>
      <c r="P790" s="1">
        <v>12287</v>
      </c>
      <c r="Q790" s="1">
        <v>12407</v>
      </c>
      <c r="R790" s="1">
        <v>14360</v>
      </c>
      <c r="S790" s="1">
        <v>14657</v>
      </c>
      <c r="T790" s="1">
        <v>4129</v>
      </c>
      <c r="U790" s="1">
        <v>1284</v>
      </c>
      <c r="V790" s="1">
        <v>1047</v>
      </c>
      <c r="W790" s="1">
        <v>2000</v>
      </c>
      <c r="X790" s="1">
        <v>359</v>
      </c>
      <c r="Y790" s="1">
        <v>175</v>
      </c>
      <c r="Z790" s="1">
        <v>1000</v>
      </c>
      <c r="AA790">
        <v>0</v>
      </c>
      <c r="AB790" t="str">
        <f t="shared" si="12"/>
        <v>Not Defaulter</v>
      </c>
      <c r="AC790" s="1">
        <f>Table2[[#This Row],[BILL_AMT1]]-Table2[[#This Row],[PAY_AMT1]]</f>
        <v>10610</v>
      </c>
      <c r="AD790" s="1" t="str" cm="1">
        <f t="array" ref="AD790">_xlfn.IFS(Table2[[#This Row],[PAYMENT GAP]]&lt;=0,"No Gap / Overpaid",Table2[[#This Row],[PAYMENT GAP]]&lt;=25000,"Low Gap",Table2[[#This Row],[PAYMENT GAP]]&lt;=100000,"Medium Gap",
TRUE,"High Gap"
)</f>
        <v>Low Gap</v>
      </c>
    </row>
    <row r="791" spans="1:30" x14ac:dyDescent="0.3">
      <c r="A791">
        <v>790</v>
      </c>
      <c r="B791" s="1">
        <v>60000</v>
      </c>
      <c r="C791" s="1" t="str" cm="1">
        <f t="array" ref="C791">_xlfn.IFS(Table2[[#This Row],[LIMIT_BAL]]&lt;=100000,"Low",Table2[[#This Row],[LIMIT_BAL]]&lt;=300000,"Medium",
TRUE,"High"
)</f>
        <v>Low</v>
      </c>
      <c r="D791" t="s">
        <v>2041</v>
      </c>
      <c r="E791" t="s">
        <v>2043</v>
      </c>
      <c r="F791" t="s">
        <v>2029</v>
      </c>
      <c r="G791">
        <v>29</v>
      </c>
      <c r="H791" t="str" cm="1">
        <f t="array" ref="H791">_xlfn.IFS(
Table2[[#This Row],[AGE]]&lt;30,"Young",
Table2[[#This Row],[AGE]]&lt;40,"Middle Age",
Table2[[#This Row],[AGE]]&lt;50,"Senior",
TRUE,"Super Senior"
)</f>
        <v>Young</v>
      </c>
      <c r="I791">
        <v>-1</v>
      </c>
      <c r="J791">
        <v>0</v>
      </c>
      <c r="K791">
        <v>0</v>
      </c>
      <c r="L791">
        <v>0</v>
      </c>
      <c r="M791">
        <v>-2</v>
      </c>
      <c r="N791">
        <v>-2</v>
      </c>
      <c r="O791" s="1">
        <v>55064</v>
      </c>
      <c r="P791" s="1">
        <v>57833</v>
      </c>
      <c r="Q791" s="1">
        <v>9479</v>
      </c>
      <c r="R791" s="1">
        <v>0</v>
      </c>
      <c r="S791" s="1">
        <v>0</v>
      </c>
      <c r="T791" s="1">
        <v>0</v>
      </c>
      <c r="U791" s="1">
        <v>5000</v>
      </c>
      <c r="V791" s="1">
        <v>1033</v>
      </c>
      <c r="W791" s="1">
        <v>0</v>
      </c>
      <c r="X791" s="1">
        <v>0</v>
      </c>
      <c r="Y791" s="1">
        <v>0</v>
      </c>
      <c r="Z791" s="1">
        <v>0</v>
      </c>
      <c r="AA791">
        <v>0</v>
      </c>
      <c r="AB791" t="str">
        <f t="shared" si="12"/>
        <v>Not Defaulter</v>
      </c>
      <c r="AC791" s="1">
        <f>Table2[[#This Row],[BILL_AMT1]]-Table2[[#This Row],[PAY_AMT1]]</f>
        <v>50064</v>
      </c>
      <c r="AD791" s="1" t="str" cm="1">
        <f t="array" ref="AD791">_xlfn.IFS(Table2[[#This Row],[PAYMENT GAP]]&lt;=0,"No Gap / Overpaid",Table2[[#This Row],[PAYMENT GAP]]&lt;=25000,"Low Gap",Table2[[#This Row],[PAYMENT GAP]]&lt;=100000,"Medium Gap",
TRUE,"High Gap"
)</f>
        <v>Medium Gap</v>
      </c>
    </row>
    <row r="792" spans="1:30" x14ac:dyDescent="0.3">
      <c r="A792">
        <v>791</v>
      </c>
      <c r="B792" s="1">
        <v>30000</v>
      </c>
      <c r="C792" s="1" t="str" cm="1">
        <f t="array" ref="C792">_xlfn.IFS(Table2[[#This Row],[LIMIT_BAL]]&lt;=100000,"Low",Table2[[#This Row],[LIMIT_BAL]]&lt;=300000,"Medium",
TRUE,"High"
)</f>
        <v>Low</v>
      </c>
      <c r="D792" t="s">
        <v>2041</v>
      </c>
      <c r="E792" t="s">
        <v>2043</v>
      </c>
      <c r="F792" t="s">
        <v>2029</v>
      </c>
      <c r="G792">
        <v>51</v>
      </c>
      <c r="H792" t="str" cm="1">
        <f t="array" ref="H792">_xlfn.IFS(
Table2[[#This Row],[AGE]]&lt;30,"Young",
Table2[[#This Row],[AGE]]&lt;40,"Middle Age",
Table2[[#This Row],[AGE]]&lt;50,"Senior",
TRUE,"Super Senior"
)</f>
        <v>Super Senior</v>
      </c>
      <c r="I792">
        <v>1</v>
      </c>
      <c r="J792">
        <v>2</v>
      </c>
      <c r="K792">
        <v>2</v>
      </c>
      <c r="L792">
        <v>0</v>
      </c>
      <c r="M792">
        <v>0</v>
      </c>
      <c r="N792">
        <v>0</v>
      </c>
      <c r="O792" s="1">
        <v>25382</v>
      </c>
      <c r="P792" s="1">
        <v>26480</v>
      </c>
      <c r="Q792" s="1">
        <v>25761</v>
      </c>
      <c r="R792" s="1">
        <v>25964</v>
      </c>
      <c r="S792" s="1">
        <v>26507</v>
      </c>
      <c r="T792" s="1">
        <v>27249</v>
      </c>
      <c r="U792" s="1">
        <v>1800</v>
      </c>
      <c r="V792" s="1">
        <v>0</v>
      </c>
      <c r="W792" s="1">
        <v>928</v>
      </c>
      <c r="X792" s="1">
        <v>960</v>
      </c>
      <c r="Y792" s="1">
        <v>1181</v>
      </c>
      <c r="Z792" s="1">
        <v>967</v>
      </c>
      <c r="AA792">
        <v>0</v>
      </c>
      <c r="AB792" t="str">
        <f t="shared" si="12"/>
        <v>Not Defaulter</v>
      </c>
      <c r="AC792" s="1">
        <f>Table2[[#This Row],[BILL_AMT1]]-Table2[[#This Row],[PAY_AMT1]]</f>
        <v>23582</v>
      </c>
      <c r="AD792" s="1" t="str" cm="1">
        <f t="array" ref="AD792">_xlfn.IFS(Table2[[#This Row],[PAYMENT GAP]]&lt;=0,"No Gap / Overpaid",Table2[[#This Row],[PAYMENT GAP]]&lt;=25000,"Low Gap",Table2[[#This Row],[PAYMENT GAP]]&lt;=100000,"Medium Gap",
TRUE,"High Gap"
)</f>
        <v>Low Gap</v>
      </c>
    </row>
    <row r="793" spans="1:30" x14ac:dyDescent="0.3">
      <c r="A793">
        <v>792</v>
      </c>
      <c r="B793" s="1">
        <v>70000</v>
      </c>
      <c r="C793" s="1" t="str" cm="1">
        <f t="array" ref="C793">_xlfn.IFS(Table2[[#This Row],[LIMIT_BAL]]&lt;=100000,"Low",Table2[[#This Row],[LIMIT_BAL]]&lt;=300000,"Medium",
TRUE,"High"
)</f>
        <v>Low</v>
      </c>
      <c r="D793" t="s">
        <v>2042</v>
      </c>
      <c r="E793" t="s">
        <v>2026</v>
      </c>
      <c r="F793" t="s">
        <v>2029</v>
      </c>
      <c r="G793">
        <v>27</v>
      </c>
      <c r="H793" t="str" cm="1">
        <f t="array" ref="H793">_xlfn.IFS(
Table2[[#This Row],[AGE]]&lt;30,"Young",
Table2[[#This Row],[AGE]]&lt;40,"Middle Age",
Table2[[#This Row],[AGE]]&lt;50,"Senior",
TRUE,"Super Senior"
)</f>
        <v>Young</v>
      </c>
      <c r="I793">
        <v>1</v>
      </c>
      <c r="J793">
        <v>-1</v>
      </c>
      <c r="K793">
        <v>-1</v>
      </c>
      <c r="L793">
        <v>-1</v>
      </c>
      <c r="M793">
        <v>-2</v>
      </c>
      <c r="N793">
        <v>-1</v>
      </c>
      <c r="O793" s="1">
        <v>-54</v>
      </c>
      <c r="P793" s="1">
        <v>273</v>
      </c>
      <c r="Q793" s="1">
        <v>19</v>
      </c>
      <c r="R793" s="1">
        <v>-254</v>
      </c>
      <c r="S793" s="1">
        <v>-527</v>
      </c>
      <c r="T793" s="1">
        <v>1096</v>
      </c>
      <c r="U793" s="1">
        <v>600</v>
      </c>
      <c r="V793" s="1">
        <v>19</v>
      </c>
      <c r="W793" s="1">
        <v>0</v>
      </c>
      <c r="X793" s="1">
        <v>0</v>
      </c>
      <c r="Y793" s="1">
        <v>1896</v>
      </c>
      <c r="Z793" s="1">
        <v>0</v>
      </c>
      <c r="AA793">
        <v>0</v>
      </c>
      <c r="AB793" t="str">
        <f t="shared" si="12"/>
        <v>Not Defaulter</v>
      </c>
      <c r="AC793" s="1">
        <f>Table2[[#This Row],[BILL_AMT1]]-Table2[[#This Row],[PAY_AMT1]]</f>
        <v>-654</v>
      </c>
      <c r="AD793" s="1" t="str" cm="1">
        <f t="array" ref="AD793">_xlfn.IFS(Table2[[#This Row],[PAYMENT GAP]]&lt;=0,"No Gap / Overpaid",Table2[[#This Row],[PAYMENT GAP]]&lt;=25000,"Low Gap",Table2[[#This Row],[PAYMENT GAP]]&lt;=100000,"Medium Gap",
TRUE,"High Gap"
)</f>
        <v>No Gap / Overpaid</v>
      </c>
    </row>
    <row r="794" spans="1:30" x14ac:dyDescent="0.3">
      <c r="A794">
        <v>793</v>
      </c>
      <c r="B794" s="1">
        <v>410000</v>
      </c>
      <c r="C794" s="1" t="str" cm="1">
        <f t="array" ref="C794">_xlfn.IFS(Table2[[#This Row],[LIMIT_BAL]]&lt;=100000,"Low",Table2[[#This Row],[LIMIT_BAL]]&lt;=300000,"Medium",
TRUE,"High"
)</f>
        <v>High</v>
      </c>
      <c r="D794" t="s">
        <v>2042</v>
      </c>
      <c r="E794" t="s">
        <v>2026</v>
      </c>
      <c r="F794" t="s">
        <v>2029</v>
      </c>
      <c r="G794">
        <v>32</v>
      </c>
      <c r="H794" t="str" cm="1">
        <f t="array" ref="H794">_xlfn.IFS(
Table2[[#This Row],[AGE]]&lt;30,"Young",
Table2[[#This Row],[AGE]]&lt;40,"Middle Age",
Table2[[#This Row],[AGE]]&lt;50,"Senior",
TRUE,"Super Senior"
)</f>
        <v>Middle Age</v>
      </c>
      <c r="I794">
        <v>-1</v>
      </c>
      <c r="J794">
        <v>-1</v>
      </c>
      <c r="K794">
        <v>-1</v>
      </c>
      <c r="L794">
        <v>-2</v>
      </c>
      <c r="M794">
        <v>-2</v>
      </c>
      <c r="N794">
        <v>-2</v>
      </c>
      <c r="O794" s="1">
        <v>5335</v>
      </c>
      <c r="P794" s="1">
        <v>5369</v>
      </c>
      <c r="Q794" s="1">
        <v>-281</v>
      </c>
      <c r="R794" s="1">
        <v>-281</v>
      </c>
      <c r="S794" s="1">
        <v>-281</v>
      </c>
      <c r="T794" s="1">
        <v>-281</v>
      </c>
      <c r="U794" s="1">
        <v>5400</v>
      </c>
      <c r="V794" s="1">
        <v>0</v>
      </c>
      <c r="W794" s="1">
        <v>0</v>
      </c>
      <c r="X794" s="1">
        <v>0</v>
      </c>
      <c r="Y794" s="1">
        <v>0</v>
      </c>
      <c r="Z794" s="1">
        <v>0</v>
      </c>
      <c r="AA794">
        <v>0</v>
      </c>
      <c r="AB794" t="str">
        <f t="shared" si="12"/>
        <v>Not Defaulter</v>
      </c>
      <c r="AC794" s="1">
        <f>Table2[[#This Row],[BILL_AMT1]]-Table2[[#This Row],[PAY_AMT1]]</f>
        <v>-65</v>
      </c>
      <c r="AD794" s="1" t="str" cm="1">
        <f t="array" ref="AD794">_xlfn.IFS(Table2[[#This Row],[PAYMENT GAP]]&lt;=0,"No Gap / Overpaid",Table2[[#This Row],[PAYMENT GAP]]&lt;=25000,"Low Gap",Table2[[#This Row],[PAYMENT GAP]]&lt;=100000,"Medium Gap",
TRUE,"High Gap"
)</f>
        <v>No Gap / Overpaid</v>
      </c>
    </row>
    <row r="795" spans="1:30" x14ac:dyDescent="0.3">
      <c r="A795">
        <v>794</v>
      </c>
      <c r="B795" s="1">
        <v>280000</v>
      </c>
      <c r="C795" s="1" t="str" cm="1">
        <f t="array" ref="C795">_xlfn.IFS(Table2[[#This Row],[LIMIT_BAL]]&lt;=100000,"Low",Table2[[#This Row],[LIMIT_BAL]]&lt;=300000,"Medium",
TRUE,"High"
)</f>
        <v>Medium</v>
      </c>
      <c r="D795" t="s">
        <v>2041</v>
      </c>
      <c r="E795" t="s">
        <v>2027</v>
      </c>
      <c r="F795" t="s">
        <v>2028</v>
      </c>
      <c r="G795">
        <v>40</v>
      </c>
      <c r="H795" t="str" cm="1">
        <f t="array" ref="H795">_xlfn.IFS(
Table2[[#This Row],[AGE]]&lt;30,"Young",
Table2[[#This Row],[AGE]]&lt;40,"Middle Age",
Table2[[#This Row],[AGE]]&lt;50,"Senior",
TRUE,"Super Senior"
)</f>
        <v>Senior</v>
      </c>
      <c r="I795">
        <v>1</v>
      </c>
      <c r="J795">
        <v>-2</v>
      </c>
      <c r="K795">
        <v>-2</v>
      </c>
      <c r="L795">
        <v>-2</v>
      </c>
      <c r="M795">
        <v>-2</v>
      </c>
      <c r="N795">
        <v>-2</v>
      </c>
      <c r="O795" s="1">
        <v>-288</v>
      </c>
      <c r="P795" s="1">
        <v>-288</v>
      </c>
      <c r="Q795" s="1">
        <v>-288</v>
      </c>
      <c r="R795" s="1">
        <v>-288</v>
      </c>
      <c r="S795" s="1">
        <v>-288</v>
      </c>
      <c r="T795" s="1">
        <v>2124</v>
      </c>
      <c r="U795" s="1">
        <v>0</v>
      </c>
      <c r="V795" s="1">
        <v>0</v>
      </c>
      <c r="W795" s="1">
        <v>0</v>
      </c>
      <c r="X795" s="1">
        <v>0</v>
      </c>
      <c r="Y795" s="1">
        <v>2412</v>
      </c>
      <c r="Z795" s="1">
        <v>0</v>
      </c>
      <c r="AA795">
        <v>0</v>
      </c>
      <c r="AB795" t="str">
        <f t="shared" si="12"/>
        <v>Not Defaulter</v>
      </c>
      <c r="AC795" s="1">
        <f>Table2[[#This Row],[BILL_AMT1]]-Table2[[#This Row],[PAY_AMT1]]</f>
        <v>-288</v>
      </c>
      <c r="AD795" s="1" t="str" cm="1">
        <f t="array" ref="AD795">_xlfn.IFS(Table2[[#This Row],[PAYMENT GAP]]&lt;=0,"No Gap / Overpaid",Table2[[#This Row],[PAYMENT GAP]]&lt;=25000,"Low Gap",Table2[[#This Row],[PAYMENT GAP]]&lt;=100000,"Medium Gap",
TRUE,"High Gap"
)</f>
        <v>No Gap / Overpaid</v>
      </c>
    </row>
    <row r="796" spans="1:30" x14ac:dyDescent="0.3">
      <c r="A796">
        <v>795</v>
      </c>
      <c r="B796" s="1">
        <v>50000</v>
      </c>
      <c r="C796" s="1" t="str" cm="1">
        <f t="array" ref="C796">_xlfn.IFS(Table2[[#This Row],[LIMIT_BAL]]&lt;=100000,"Low",Table2[[#This Row],[LIMIT_BAL]]&lt;=300000,"Medium",
TRUE,"High"
)</f>
        <v>Low</v>
      </c>
      <c r="D796" t="s">
        <v>2041</v>
      </c>
      <c r="E796" t="s">
        <v>2026</v>
      </c>
      <c r="F796" t="s">
        <v>2028</v>
      </c>
      <c r="G796">
        <v>34</v>
      </c>
      <c r="H796" t="str" cm="1">
        <f t="array" ref="H796">_xlfn.IFS(
Table2[[#This Row],[AGE]]&lt;30,"Young",
Table2[[#This Row],[AGE]]&lt;40,"Middle Age",
Table2[[#This Row],[AGE]]&lt;50,"Senior",
TRUE,"Super Senior"
)</f>
        <v>Middle Age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 s="1">
        <v>46750</v>
      </c>
      <c r="P796" s="1">
        <v>48317</v>
      </c>
      <c r="Q796" s="1">
        <v>48282</v>
      </c>
      <c r="R796" s="1">
        <v>18299</v>
      </c>
      <c r="S796" s="1">
        <v>19323</v>
      </c>
      <c r="T796" s="1">
        <v>20329</v>
      </c>
      <c r="U796" s="1">
        <v>2320</v>
      </c>
      <c r="V796" s="1">
        <v>1282</v>
      </c>
      <c r="W796" s="1">
        <v>3299</v>
      </c>
      <c r="X796" s="1">
        <v>1323</v>
      </c>
      <c r="Y796" s="1">
        <v>1329</v>
      </c>
      <c r="Z796" s="1">
        <v>1114</v>
      </c>
      <c r="AA796">
        <v>0</v>
      </c>
      <c r="AB796" t="str">
        <f t="shared" si="12"/>
        <v>Not Defaulter</v>
      </c>
      <c r="AC796" s="1">
        <f>Table2[[#This Row],[BILL_AMT1]]-Table2[[#This Row],[PAY_AMT1]]</f>
        <v>44430</v>
      </c>
      <c r="AD796" s="1" t="str" cm="1">
        <f t="array" ref="AD796">_xlfn.IFS(Table2[[#This Row],[PAYMENT GAP]]&lt;=0,"No Gap / Overpaid",Table2[[#This Row],[PAYMENT GAP]]&lt;=25000,"Low Gap",Table2[[#This Row],[PAYMENT GAP]]&lt;=100000,"Medium Gap",
TRUE,"High Gap"
)</f>
        <v>Medium Gap</v>
      </c>
    </row>
    <row r="797" spans="1:30" x14ac:dyDescent="0.3">
      <c r="A797">
        <v>796</v>
      </c>
      <c r="B797" s="1">
        <v>100000</v>
      </c>
      <c r="C797" s="1" t="str" cm="1">
        <f t="array" ref="C797">_xlfn.IFS(Table2[[#This Row],[LIMIT_BAL]]&lt;=100000,"Low",Table2[[#This Row],[LIMIT_BAL]]&lt;=300000,"Medium",
TRUE,"High"
)</f>
        <v>Low</v>
      </c>
      <c r="D797" t="s">
        <v>2041</v>
      </c>
      <c r="E797" t="s">
        <v>2043</v>
      </c>
      <c r="F797" t="s">
        <v>2028</v>
      </c>
      <c r="G797">
        <v>30</v>
      </c>
      <c r="H797" t="str" cm="1">
        <f t="array" ref="H797">_xlfn.IFS(
Table2[[#This Row],[AGE]]&lt;30,"Young",
Table2[[#This Row],[AGE]]&lt;40,"Middle Age",
Table2[[#This Row],[AGE]]&lt;50,"Senior",
TRUE,"Super Senior"
)</f>
        <v>Middle Age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 s="1">
        <v>97062</v>
      </c>
      <c r="P797" s="1">
        <v>74352</v>
      </c>
      <c r="Q797" s="1">
        <v>75004</v>
      </c>
      <c r="R797" s="1">
        <v>76705</v>
      </c>
      <c r="S797" s="1">
        <v>78168</v>
      </c>
      <c r="T797" s="1">
        <v>80347</v>
      </c>
      <c r="U797" s="1">
        <v>2800</v>
      </c>
      <c r="V797" s="1">
        <v>2700</v>
      </c>
      <c r="W797" s="1">
        <v>5400</v>
      </c>
      <c r="X797" s="1">
        <v>3500</v>
      </c>
      <c r="Y797" s="1">
        <v>3500</v>
      </c>
      <c r="Z797" s="1">
        <v>3200</v>
      </c>
      <c r="AA797">
        <v>0</v>
      </c>
      <c r="AB797" t="str">
        <f t="shared" si="12"/>
        <v>Not Defaulter</v>
      </c>
      <c r="AC797" s="1">
        <f>Table2[[#This Row],[BILL_AMT1]]-Table2[[#This Row],[PAY_AMT1]]</f>
        <v>94262</v>
      </c>
      <c r="AD797" s="1" t="str" cm="1">
        <f t="array" ref="AD797">_xlfn.IFS(Table2[[#This Row],[PAYMENT GAP]]&lt;=0,"No Gap / Overpaid",Table2[[#This Row],[PAYMENT GAP]]&lt;=25000,"Low Gap",Table2[[#This Row],[PAYMENT GAP]]&lt;=100000,"Medium Gap",
TRUE,"High Gap"
)</f>
        <v>Medium Gap</v>
      </c>
    </row>
    <row r="798" spans="1:30" x14ac:dyDescent="0.3">
      <c r="A798">
        <v>797</v>
      </c>
      <c r="B798" s="1">
        <v>230000</v>
      </c>
      <c r="C798" s="1" t="str" cm="1">
        <f t="array" ref="C798">_xlfn.IFS(Table2[[#This Row],[LIMIT_BAL]]&lt;=100000,"Low",Table2[[#This Row],[LIMIT_BAL]]&lt;=300000,"Medium",
TRUE,"High"
)</f>
        <v>Medium</v>
      </c>
      <c r="D798" t="s">
        <v>2041</v>
      </c>
      <c r="E798" t="s">
        <v>2026</v>
      </c>
      <c r="F798" t="s">
        <v>2029</v>
      </c>
      <c r="G798">
        <v>29</v>
      </c>
      <c r="H798" t="str" cm="1">
        <f t="array" ref="H798">_xlfn.IFS(
Table2[[#This Row],[AGE]]&lt;30,"Young",
Table2[[#This Row],[AGE]]&lt;40,"Middle Age",
Table2[[#This Row],[AGE]]&lt;50,"Senior",
TRUE,"Super Senior"
)</f>
        <v>Young</v>
      </c>
      <c r="I798">
        <v>-2</v>
      </c>
      <c r="J798">
        <v>-2</v>
      </c>
      <c r="K798">
        <v>-2</v>
      </c>
      <c r="L798">
        <v>-2</v>
      </c>
      <c r="M798">
        <v>-2</v>
      </c>
      <c r="N798">
        <v>-2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0</v>
      </c>
      <c r="Z798" s="1">
        <v>0</v>
      </c>
      <c r="AA798">
        <v>0</v>
      </c>
      <c r="AB798" t="str">
        <f t="shared" si="12"/>
        <v>Not Defaulter</v>
      </c>
      <c r="AC798" s="1">
        <f>Table2[[#This Row],[BILL_AMT1]]-Table2[[#This Row],[PAY_AMT1]]</f>
        <v>0</v>
      </c>
      <c r="AD798" s="1" t="str" cm="1">
        <f t="array" ref="AD798">_xlfn.IFS(Table2[[#This Row],[PAYMENT GAP]]&lt;=0,"No Gap / Overpaid",Table2[[#This Row],[PAYMENT GAP]]&lt;=25000,"Low Gap",Table2[[#This Row],[PAYMENT GAP]]&lt;=100000,"Medium Gap",
TRUE,"High Gap"
)</f>
        <v>No Gap / Overpaid</v>
      </c>
    </row>
    <row r="799" spans="1:30" x14ac:dyDescent="0.3">
      <c r="A799">
        <v>798</v>
      </c>
      <c r="B799" s="1">
        <v>50000</v>
      </c>
      <c r="C799" s="1" t="str" cm="1">
        <f t="array" ref="C799">_xlfn.IFS(Table2[[#This Row],[LIMIT_BAL]]&lt;=100000,"Low",Table2[[#This Row],[LIMIT_BAL]]&lt;=300000,"Medium",
TRUE,"High"
)</f>
        <v>Low</v>
      </c>
      <c r="D799" t="s">
        <v>2041</v>
      </c>
      <c r="E799" t="s">
        <v>2026</v>
      </c>
      <c r="F799" t="s">
        <v>2029</v>
      </c>
      <c r="G799">
        <v>22</v>
      </c>
      <c r="H799" t="str" cm="1">
        <f t="array" ref="H799">_xlfn.IFS(
Table2[[#This Row],[AGE]]&lt;30,"Young",
Table2[[#This Row],[AGE]]&lt;40,"Middle Age",
Table2[[#This Row],[AGE]]&lt;50,"Senior",
TRUE,"Super Senior"
)</f>
        <v>Young</v>
      </c>
      <c r="I799">
        <v>0</v>
      </c>
      <c r="J799">
        <v>0</v>
      </c>
      <c r="K799">
        <v>0</v>
      </c>
      <c r="L799">
        <v>-1</v>
      </c>
      <c r="M799">
        <v>-1</v>
      </c>
      <c r="N799">
        <v>-2</v>
      </c>
      <c r="O799" s="1">
        <v>13801</v>
      </c>
      <c r="P799" s="1">
        <v>9549</v>
      </c>
      <c r="Q799" s="1">
        <v>5385</v>
      </c>
      <c r="R799" s="1">
        <v>7781</v>
      </c>
      <c r="S799" s="1">
        <v>0</v>
      </c>
      <c r="T799" s="1">
        <v>0</v>
      </c>
      <c r="U799" s="1">
        <v>1372</v>
      </c>
      <c r="V799" s="1">
        <v>1275</v>
      </c>
      <c r="W799" s="1">
        <v>7900</v>
      </c>
      <c r="X799" s="1">
        <v>0</v>
      </c>
      <c r="Y799" s="1">
        <v>0</v>
      </c>
      <c r="Z799" s="1">
        <v>0</v>
      </c>
      <c r="AA799">
        <v>0</v>
      </c>
      <c r="AB799" t="str">
        <f t="shared" si="12"/>
        <v>Not Defaulter</v>
      </c>
      <c r="AC799" s="1">
        <f>Table2[[#This Row],[BILL_AMT1]]-Table2[[#This Row],[PAY_AMT1]]</f>
        <v>12429</v>
      </c>
      <c r="AD799" s="1" t="str" cm="1">
        <f t="array" ref="AD799">_xlfn.IFS(Table2[[#This Row],[PAYMENT GAP]]&lt;=0,"No Gap / Overpaid",Table2[[#This Row],[PAYMENT GAP]]&lt;=25000,"Low Gap",Table2[[#This Row],[PAYMENT GAP]]&lt;=100000,"Medium Gap",
TRUE,"High Gap"
)</f>
        <v>Low Gap</v>
      </c>
    </row>
    <row r="800" spans="1:30" x14ac:dyDescent="0.3">
      <c r="A800">
        <v>799</v>
      </c>
      <c r="B800" s="1">
        <v>100000</v>
      </c>
      <c r="C800" s="1" t="str" cm="1">
        <f t="array" ref="C800">_xlfn.IFS(Table2[[#This Row],[LIMIT_BAL]]&lt;=100000,"Low",Table2[[#This Row],[LIMIT_BAL]]&lt;=300000,"Medium",
TRUE,"High"
)</f>
        <v>Low</v>
      </c>
      <c r="D800" t="s">
        <v>2041</v>
      </c>
      <c r="E800" t="s">
        <v>2026</v>
      </c>
      <c r="F800" t="s">
        <v>2029</v>
      </c>
      <c r="G800">
        <v>48</v>
      </c>
      <c r="H800" t="str" cm="1">
        <f t="array" ref="H800">_xlfn.IFS(
Table2[[#This Row],[AGE]]&lt;30,"Young",
Table2[[#This Row],[AGE]]&lt;40,"Middle Age",
Table2[[#This Row],[AGE]]&lt;50,"Senior",
TRUE,"Super Senior"
)</f>
        <v>Senior</v>
      </c>
      <c r="I800">
        <v>2</v>
      </c>
      <c r="J800">
        <v>2</v>
      </c>
      <c r="K800">
        <v>2</v>
      </c>
      <c r="L800">
        <v>2</v>
      </c>
      <c r="M800">
        <v>2</v>
      </c>
      <c r="N800">
        <v>0</v>
      </c>
      <c r="O800" s="1">
        <v>15355</v>
      </c>
      <c r="P800" s="1">
        <v>17949</v>
      </c>
      <c r="Q800" s="1">
        <v>18158</v>
      </c>
      <c r="R800" s="1">
        <v>18365</v>
      </c>
      <c r="S800" s="1">
        <v>17932</v>
      </c>
      <c r="T800" s="1">
        <v>18147</v>
      </c>
      <c r="U800" s="1">
        <v>3164</v>
      </c>
      <c r="V800" s="1">
        <v>800</v>
      </c>
      <c r="W800" s="1">
        <v>800</v>
      </c>
      <c r="X800" s="1">
        <v>0</v>
      </c>
      <c r="Y800" s="1">
        <v>662</v>
      </c>
      <c r="Z800" s="1">
        <v>3000</v>
      </c>
      <c r="AA800">
        <v>0</v>
      </c>
      <c r="AB800" t="str">
        <f t="shared" si="12"/>
        <v>Not Defaulter</v>
      </c>
      <c r="AC800" s="1">
        <f>Table2[[#This Row],[BILL_AMT1]]-Table2[[#This Row],[PAY_AMT1]]</f>
        <v>12191</v>
      </c>
      <c r="AD800" s="1" t="str" cm="1">
        <f t="array" ref="AD800">_xlfn.IFS(Table2[[#This Row],[PAYMENT GAP]]&lt;=0,"No Gap / Overpaid",Table2[[#This Row],[PAYMENT GAP]]&lt;=25000,"Low Gap",Table2[[#This Row],[PAYMENT GAP]]&lt;=100000,"Medium Gap",
TRUE,"High Gap"
)</f>
        <v>Low Gap</v>
      </c>
    </row>
    <row r="801" spans="1:30" x14ac:dyDescent="0.3">
      <c r="A801">
        <v>800</v>
      </c>
      <c r="B801" s="1">
        <v>210000</v>
      </c>
      <c r="C801" s="1" t="str" cm="1">
        <f t="array" ref="C801">_xlfn.IFS(Table2[[#This Row],[LIMIT_BAL]]&lt;=100000,"Low",Table2[[#This Row],[LIMIT_BAL]]&lt;=300000,"Medium",
TRUE,"High"
)</f>
        <v>Medium</v>
      </c>
      <c r="D801" t="s">
        <v>2041</v>
      </c>
      <c r="E801" t="s">
        <v>2043</v>
      </c>
      <c r="F801" t="s">
        <v>2028</v>
      </c>
      <c r="G801">
        <v>35</v>
      </c>
      <c r="H801" t="str" cm="1">
        <f t="array" ref="H801">_xlfn.IFS(
Table2[[#This Row],[AGE]]&lt;30,"Young",
Table2[[#This Row],[AGE]]&lt;40,"Middle Age",
Table2[[#This Row],[AGE]]&lt;50,"Senior",
TRUE,"Super Senior"
)</f>
        <v>Middle Age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 s="1">
        <v>37148</v>
      </c>
      <c r="P801" s="1">
        <v>35754</v>
      </c>
      <c r="Q801" s="1">
        <v>34232</v>
      </c>
      <c r="R801" s="1">
        <v>32331</v>
      </c>
      <c r="S801" s="1">
        <v>30337</v>
      </c>
      <c r="T801" s="1">
        <v>28012</v>
      </c>
      <c r="U801" s="1">
        <v>2000</v>
      </c>
      <c r="V801" s="1">
        <v>2000</v>
      </c>
      <c r="W801" s="1">
        <v>2444</v>
      </c>
      <c r="X801" s="1">
        <v>1342</v>
      </c>
      <c r="Y801" s="1">
        <v>1038</v>
      </c>
      <c r="Z801" s="1">
        <v>2000</v>
      </c>
      <c r="AA801">
        <v>0</v>
      </c>
      <c r="AB801" t="str">
        <f t="shared" si="12"/>
        <v>Not Defaulter</v>
      </c>
      <c r="AC801" s="1">
        <f>Table2[[#This Row],[BILL_AMT1]]-Table2[[#This Row],[PAY_AMT1]]</f>
        <v>35148</v>
      </c>
      <c r="AD801" s="1" t="str" cm="1">
        <f t="array" ref="AD801">_xlfn.IFS(Table2[[#This Row],[PAYMENT GAP]]&lt;=0,"No Gap / Overpaid",Table2[[#This Row],[PAYMENT GAP]]&lt;=25000,"Low Gap",Table2[[#This Row],[PAYMENT GAP]]&lt;=100000,"Medium Gap",
TRUE,"High Gap"
)</f>
        <v>Medium Gap</v>
      </c>
    </row>
    <row r="802" spans="1:30" x14ac:dyDescent="0.3">
      <c r="A802">
        <v>801</v>
      </c>
      <c r="B802" s="1">
        <v>400000</v>
      </c>
      <c r="C802" s="1" t="str" cm="1">
        <f t="array" ref="C802">_xlfn.IFS(Table2[[#This Row],[LIMIT_BAL]]&lt;=100000,"Low",Table2[[#This Row],[LIMIT_BAL]]&lt;=300000,"Medium",
TRUE,"High"
)</f>
        <v>High</v>
      </c>
      <c r="D802" t="s">
        <v>2042</v>
      </c>
      <c r="E802" t="s">
        <v>2026</v>
      </c>
      <c r="F802" t="s">
        <v>2029</v>
      </c>
      <c r="G802">
        <v>37</v>
      </c>
      <c r="H802" t="str" cm="1">
        <f t="array" ref="H802">_xlfn.IFS(
Table2[[#This Row],[AGE]]&lt;30,"Young",
Table2[[#This Row],[AGE]]&lt;40,"Middle Age",
Table2[[#This Row],[AGE]]&lt;50,"Senior",
TRUE,"Super Senior"
)</f>
        <v>Middle Age</v>
      </c>
      <c r="I802">
        <v>-1</v>
      </c>
      <c r="J802">
        <v>-1</v>
      </c>
      <c r="K802">
        <v>-1</v>
      </c>
      <c r="L802">
        <v>-1</v>
      </c>
      <c r="M802">
        <v>-2</v>
      </c>
      <c r="N802">
        <v>-1</v>
      </c>
      <c r="O802" s="1">
        <v>385</v>
      </c>
      <c r="P802" s="1">
        <v>12695</v>
      </c>
      <c r="Q802" s="1">
        <v>1290</v>
      </c>
      <c r="R802" s="1">
        <v>0</v>
      </c>
      <c r="S802" s="1">
        <v>0</v>
      </c>
      <c r="T802" s="1">
        <v>3058</v>
      </c>
      <c r="U802" s="1">
        <v>13032</v>
      </c>
      <c r="V802" s="1">
        <v>1290</v>
      </c>
      <c r="W802" s="1">
        <v>0</v>
      </c>
      <c r="X802" s="1">
        <v>0</v>
      </c>
      <c r="Y802" s="1">
        <v>3058</v>
      </c>
      <c r="Z802" s="1">
        <v>3768</v>
      </c>
      <c r="AA802">
        <v>0</v>
      </c>
      <c r="AB802" t="str">
        <f t="shared" si="12"/>
        <v>Not Defaulter</v>
      </c>
      <c r="AC802" s="1">
        <f>Table2[[#This Row],[BILL_AMT1]]-Table2[[#This Row],[PAY_AMT1]]</f>
        <v>-12647</v>
      </c>
      <c r="AD802" s="1" t="str" cm="1">
        <f t="array" ref="AD802">_xlfn.IFS(Table2[[#This Row],[PAYMENT GAP]]&lt;=0,"No Gap / Overpaid",Table2[[#This Row],[PAYMENT GAP]]&lt;=25000,"Low Gap",Table2[[#This Row],[PAYMENT GAP]]&lt;=100000,"Medium Gap",
TRUE,"High Gap"
)</f>
        <v>No Gap / Overpaid</v>
      </c>
    </row>
    <row r="803" spans="1:30" x14ac:dyDescent="0.3">
      <c r="A803">
        <v>802</v>
      </c>
      <c r="B803" s="1">
        <v>20000</v>
      </c>
      <c r="C803" s="1" t="str" cm="1">
        <f t="array" ref="C803">_xlfn.IFS(Table2[[#This Row],[LIMIT_BAL]]&lt;=100000,"Low",Table2[[#This Row],[LIMIT_BAL]]&lt;=300000,"Medium",
TRUE,"High"
)</f>
        <v>Low</v>
      </c>
      <c r="D803" t="s">
        <v>2042</v>
      </c>
      <c r="E803" t="s">
        <v>2043</v>
      </c>
      <c r="F803" t="s">
        <v>2029</v>
      </c>
      <c r="G803">
        <v>25</v>
      </c>
      <c r="H803" t="str" cm="1">
        <f t="array" ref="H803">_xlfn.IFS(
Table2[[#This Row],[AGE]]&lt;30,"Young",
Table2[[#This Row],[AGE]]&lt;40,"Middle Age",
Table2[[#This Row],[AGE]]&lt;50,"Senior",
TRUE,"Super Senior"
)</f>
        <v>Young</v>
      </c>
      <c r="I803">
        <v>4</v>
      </c>
      <c r="J803">
        <v>3</v>
      </c>
      <c r="K803">
        <v>2</v>
      </c>
      <c r="L803">
        <v>0</v>
      </c>
      <c r="M803">
        <v>0</v>
      </c>
      <c r="N803">
        <v>0</v>
      </c>
      <c r="O803" s="1">
        <v>20610</v>
      </c>
      <c r="P803" s="1">
        <v>20005</v>
      </c>
      <c r="Q803" s="1">
        <v>19331</v>
      </c>
      <c r="R803" s="1">
        <v>19333</v>
      </c>
      <c r="S803" s="1">
        <v>17363</v>
      </c>
      <c r="T803" s="1">
        <v>16314</v>
      </c>
      <c r="U803" s="1">
        <v>0</v>
      </c>
      <c r="V803" s="1">
        <v>0</v>
      </c>
      <c r="W803" s="1">
        <v>500</v>
      </c>
      <c r="X803" s="1">
        <v>715</v>
      </c>
      <c r="Y803" s="1">
        <v>326</v>
      </c>
      <c r="Z803" s="1">
        <v>0</v>
      </c>
      <c r="AA803">
        <v>1</v>
      </c>
      <c r="AB803" t="str">
        <f t="shared" si="12"/>
        <v>Defaulter</v>
      </c>
      <c r="AC803" s="1">
        <f>Table2[[#This Row],[BILL_AMT1]]-Table2[[#This Row],[PAY_AMT1]]</f>
        <v>20610</v>
      </c>
      <c r="AD803" s="1" t="str" cm="1">
        <f t="array" ref="AD803">_xlfn.IFS(Table2[[#This Row],[PAYMENT GAP]]&lt;=0,"No Gap / Overpaid",Table2[[#This Row],[PAYMENT GAP]]&lt;=25000,"Low Gap",Table2[[#This Row],[PAYMENT GAP]]&lt;=100000,"Medium Gap",
TRUE,"High Gap"
)</f>
        <v>Low Gap</v>
      </c>
    </row>
    <row r="804" spans="1:30" x14ac:dyDescent="0.3">
      <c r="A804">
        <v>803</v>
      </c>
      <c r="B804" s="1">
        <v>50000</v>
      </c>
      <c r="C804" s="1" t="str" cm="1">
        <f t="array" ref="C804">_xlfn.IFS(Table2[[#This Row],[LIMIT_BAL]]&lt;=100000,"Low",Table2[[#This Row],[LIMIT_BAL]]&lt;=300000,"Medium",
TRUE,"High"
)</f>
        <v>Low</v>
      </c>
      <c r="D804" t="s">
        <v>2041</v>
      </c>
      <c r="E804" t="s">
        <v>2027</v>
      </c>
      <c r="F804" t="s">
        <v>2028</v>
      </c>
      <c r="G804">
        <v>44</v>
      </c>
      <c r="H804" t="str" cm="1">
        <f t="array" ref="H804">_xlfn.IFS(
Table2[[#This Row],[AGE]]&lt;30,"Young",
Table2[[#This Row],[AGE]]&lt;40,"Middle Age",
Table2[[#This Row],[AGE]]&lt;50,"Senior",
TRUE,"Super Senior"
)</f>
        <v>Senior</v>
      </c>
      <c r="I804">
        <v>-1</v>
      </c>
      <c r="J804">
        <v>-1</v>
      </c>
      <c r="K804">
        <v>-1</v>
      </c>
      <c r="L804">
        <v>-1</v>
      </c>
      <c r="M804">
        <v>0</v>
      </c>
      <c r="N804">
        <v>0</v>
      </c>
      <c r="O804" s="1">
        <v>2000</v>
      </c>
      <c r="P804" s="1">
        <v>780</v>
      </c>
      <c r="Q804" s="1">
        <v>0</v>
      </c>
      <c r="R804" s="1">
        <v>7472</v>
      </c>
      <c r="S804" s="1">
        <v>10174</v>
      </c>
      <c r="T804" s="1">
        <v>11104</v>
      </c>
      <c r="U804" s="1">
        <v>780</v>
      </c>
      <c r="V804" s="1">
        <v>0</v>
      </c>
      <c r="W804" s="1">
        <v>7472</v>
      </c>
      <c r="X804" s="1">
        <v>3000</v>
      </c>
      <c r="Y804" s="1">
        <v>1104</v>
      </c>
      <c r="Z804" s="1">
        <v>1000</v>
      </c>
      <c r="AA804">
        <v>0</v>
      </c>
      <c r="AB804" t="str">
        <f t="shared" si="12"/>
        <v>Not Defaulter</v>
      </c>
      <c r="AC804" s="1">
        <f>Table2[[#This Row],[BILL_AMT1]]-Table2[[#This Row],[PAY_AMT1]]</f>
        <v>1220</v>
      </c>
      <c r="AD804" s="1" t="str" cm="1">
        <f t="array" ref="AD804">_xlfn.IFS(Table2[[#This Row],[PAYMENT GAP]]&lt;=0,"No Gap / Overpaid",Table2[[#This Row],[PAYMENT GAP]]&lt;=25000,"Low Gap",Table2[[#This Row],[PAYMENT GAP]]&lt;=100000,"Medium Gap",
TRUE,"High Gap"
)</f>
        <v>Low Gap</v>
      </c>
    </row>
    <row r="805" spans="1:30" x14ac:dyDescent="0.3">
      <c r="A805">
        <v>804</v>
      </c>
      <c r="B805" s="1">
        <v>230000</v>
      </c>
      <c r="C805" s="1" t="str" cm="1">
        <f t="array" ref="C805">_xlfn.IFS(Table2[[#This Row],[LIMIT_BAL]]&lt;=100000,"Low",Table2[[#This Row],[LIMIT_BAL]]&lt;=300000,"Medium",
TRUE,"High"
)</f>
        <v>Medium</v>
      </c>
      <c r="D805" t="s">
        <v>2041</v>
      </c>
      <c r="E805" t="s">
        <v>2026</v>
      </c>
      <c r="F805" t="s">
        <v>2029</v>
      </c>
      <c r="G805">
        <v>28</v>
      </c>
      <c r="H805" t="str" cm="1">
        <f t="array" ref="H805">_xlfn.IFS(
Table2[[#This Row],[AGE]]&lt;30,"Young",
Table2[[#This Row],[AGE]]&lt;40,"Middle Age",
Table2[[#This Row],[AGE]]&lt;50,"Senior",
TRUE,"Super Senior"
)</f>
        <v>Young</v>
      </c>
      <c r="I805">
        <v>-1</v>
      </c>
      <c r="J805">
        <v>-1</v>
      </c>
      <c r="K805">
        <v>-1</v>
      </c>
      <c r="L805">
        <v>-2</v>
      </c>
      <c r="M805">
        <v>-2</v>
      </c>
      <c r="N805">
        <v>-2</v>
      </c>
      <c r="O805" s="1">
        <v>6666</v>
      </c>
      <c r="P805" s="1">
        <v>6666</v>
      </c>
      <c r="Q805" s="1">
        <v>0</v>
      </c>
      <c r="R805" s="1">
        <v>0</v>
      </c>
      <c r="S805" s="1">
        <v>0</v>
      </c>
      <c r="T805" s="1">
        <v>0</v>
      </c>
      <c r="U805" s="1">
        <v>6666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>
        <v>0</v>
      </c>
      <c r="AB805" t="str">
        <f t="shared" si="12"/>
        <v>Not Defaulter</v>
      </c>
      <c r="AC805" s="1">
        <f>Table2[[#This Row],[BILL_AMT1]]-Table2[[#This Row],[PAY_AMT1]]</f>
        <v>0</v>
      </c>
      <c r="AD805" s="1" t="str" cm="1">
        <f t="array" ref="AD805">_xlfn.IFS(Table2[[#This Row],[PAYMENT GAP]]&lt;=0,"No Gap / Overpaid",Table2[[#This Row],[PAYMENT GAP]]&lt;=25000,"Low Gap",Table2[[#This Row],[PAYMENT GAP]]&lt;=100000,"Medium Gap",
TRUE,"High Gap"
)</f>
        <v>No Gap / Overpaid</v>
      </c>
    </row>
    <row r="806" spans="1:30" x14ac:dyDescent="0.3">
      <c r="A806">
        <v>805</v>
      </c>
      <c r="B806" s="1">
        <v>220000</v>
      </c>
      <c r="C806" s="1" t="str" cm="1">
        <f t="array" ref="C806">_xlfn.IFS(Table2[[#This Row],[LIMIT_BAL]]&lt;=100000,"Low",Table2[[#This Row],[LIMIT_BAL]]&lt;=300000,"Medium",
TRUE,"High"
)</f>
        <v>Medium</v>
      </c>
      <c r="D806" t="s">
        <v>2042</v>
      </c>
      <c r="E806" t="s">
        <v>2043</v>
      </c>
      <c r="F806" t="s">
        <v>2029</v>
      </c>
      <c r="G806">
        <v>29</v>
      </c>
      <c r="H806" t="str" cm="1">
        <f t="array" ref="H806">_xlfn.IFS(
Table2[[#This Row],[AGE]]&lt;30,"Young",
Table2[[#This Row],[AGE]]&lt;40,"Middle Age",
Table2[[#This Row],[AGE]]&lt;50,"Senior",
TRUE,"Super Senior"
)</f>
        <v>Young</v>
      </c>
      <c r="I806">
        <v>0</v>
      </c>
      <c r="J806">
        <v>0</v>
      </c>
      <c r="K806">
        <v>0</v>
      </c>
      <c r="L806">
        <v>-2</v>
      </c>
      <c r="M806">
        <v>-2</v>
      </c>
      <c r="N806">
        <v>-2</v>
      </c>
      <c r="O806" s="1">
        <v>31037</v>
      </c>
      <c r="P806" s="1">
        <v>6244</v>
      </c>
      <c r="Q806" s="1">
        <v>0</v>
      </c>
      <c r="R806" s="1">
        <v>0</v>
      </c>
      <c r="S806" s="1">
        <v>0</v>
      </c>
      <c r="T806" s="1">
        <v>0</v>
      </c>
      <c r="U806" s="1">
        <v>3050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>
        <v>0</v>
      </c>
      <c r="AB806" t="str">
        <f t="shared" si="12"/>
        <v>Not Defaulter</v>
      </c>
      <c r="AC806" s="1">
        <f>Table2[[#This Row],[BILL_AMT1]]-Table2[[#This Row],[PAY_AMT1]]</f>
        <v>27987</v>
      </c>
      <c r="AD806" s="1" t="str" cm="1">
        <f t="array" ref="AD806">_xlfn.IFS(Table2[[#This Row],[PAYMENT GAP]]&lt;=0,"No Gap / Overpaid",Table2[[#This Row],[PAYMENT GAP]]&lt;=25000,"Low Gap",Table2[[#This Row],[PAYMENT GAP]]&lt;=100000,"Medium Gap",
TRUE,"High Gap"
)</f>
        <v>Medium Gap</v>
      </c>
    </row>
    <row r="807" spans="1:30" x14ac:dyDescent="0.3">
      <c r="A807">
        <v>806</v>
      </c>
      <c r="B807" s="1">
        <v>300000</v>
      </c>
      <c r="C807" s="1" t="str" cm="1">
        <f t="array" ref="C807">_xlfn.IFS(Table2[[#This Row],[LIMIT_BAL]]&lt;=100000,"Low",Table2[[#This Row],[LIMIT_BAL]]&lt;=300000,"Medium",
TRUE,"High"
)</f>
        <v>Medium</v>
      </c>
      <c r="D807" t="s">
        <v>2041</v>
      </c>
      <c r="E807" t="s">
        <v>2026</v>
      </c>
      <c r="F807" t="s">
        <v>2028</v>
      </c>
      <c r="G807">
        <v>36</v>
      </c>
      <c r="H807" t="str" cm="1">
        <f t="array" ref="H807">_xlfn.IFS(
Table2[[#This Row],[AGE]]&lt;30,"Young",
Table2[[#This Row],[AGE]]&lt;40,"Middle Age",
Table2[[#This Row],[AGE]]&lt;50,"Senior",
TRUE,"Super Senior"
)</f>
        <v>Middle Age</v>
      </c>
      <c r="I807">
        <v>0</v>
      </c>
      <c r="J807">
        <v>0</v>
      </c>
      <c r="K807">
        <v>0</v>
      </c>
      <c r="L807">
        <v>0</v>
      </c>
      <c r="M807">
        <v>-2</v>
      </c>
      <c r="N807">
        <v>-1</v>
      </c>
      <c r="O807" s="1">
        <v>25239</v>
      </c>
      <c r="P807" s="1">
        <v>25001</v>
      </c>
      <c r="Q807" s="1">
        <v>20800</v>
      </c>
      <c r="R807" s="1">
        <v>0</v>
      </c>
      <c r="S807" s="1">
        <v>0</v>
      </c>
      <c r="T807" s="1">
        <v>65755</v>
      </c>
      <c r="U807" s="1">
        <v>1713</v>
      </c>
      <c r="V807" s="1">
        <v>1000</v>
      </c>
      <c r="W807" s="1">
        <v>0</v>
      </c>
      <c r="X807" s="1">
        <v>0</v>
      </c>
      <c r="Y807" s="1">
        <v>65755</v>
      </c>
      <c r="Z807" s="1">
        <v>3000</v>
      </c>
      <c r="AA807">
        <v>0</v>
      </c>
      <c r="AB807" t="str">
        <f t="shared" si="12"/>
        <v>Not Defaulter</v>
      </c>
      <c r="AC807" s="1">
        <f>Table2[[#This Row],[BILL_AMT1]]-Table2[[#This Row],[PAY_AMT1]]</f>
        <v>23526</v>
      </c>
      <c r="AD807" s="1" t="str" cm="1">
        <f t="array" ref="AD807">_xlfn.IFS(Table2[[#This Row],[PAYMENT GAP]]&lt;=0,"No Gap / Overpaid",Table2[[#This Row],[PAYMENT GAP]]&lt;=25000,"Low Gap",Table2[[#This Row],[PAYMENT GAP]]&lt;=100000,"Medium Gap",
TRUE,"High Gap"
)</f>
        <v>Low Gap</v>
      </c>
    </row>
    <row r="808" spans="1:30" x14ac:dyDescent="0.3">
      <c r="A808">
        <v>807</v>
      </c>
      <c r="B808" s="1">
        <v>80000</v>
      </c>
      <c r="C808" s="1" t="str" cm="1">
        <f t="array" ref="C808">_xlfn.IFS(Table2[[#This Row],[LIMIT_BAL]]&lt;=100000,"Low",Table2[[#This Row],[LIMIT_BAL]]&lt;=300000,"Medium",
TRUE,"High"
)</f>
        <v>Low</v>
      </c>
      <c r="D808" t="s">
        <v>2041</v>
      </c>
      <c r="E808" t="s">
        <v>2043</v>
      </c>
      <c r="F808" t="s">
        <v>2029</v>
      </c>
      <c r="G808">
        <v>23</v>
      </c>
      <c r="H808" t="str" cm="1">
        <f t="array" ref="H808">_xlfn.IFS(
Table2[[#This Row],[AGE]]&lt;30,"Young",
Table2[[#This Row],[AGE]]&lt;40,"Middle Age",
Table2[[#This Row],[AGE]]&lt;50,"Senior",
TRUE,"Super Senior"
)</f>
        <v>Young</v>
      </c>
      <c r="I808">
        <v>1</v>
      </c>
      <c r="J808">
        <v>-1</v>
      </c>
      <c r="K808">
        <v>2</v>
      </c>
      <c r="L808">
        <v>-1</v>
      </c>
      <c r="M808">
        <v>-1</v>
      </c>
      <c r="N808">
        <v>-1</v>
      </c>
      <c r="O808" s="1">
        <v>998</v>
      </c>
      <c r="P808" s="1">
        <v>6858</v>
      </c>
      <c r="Q808" s="1">
        <v>1879</v>
      </c>
      <c r="R808" s="1">
        <v>1145</v>
      </c>
      <c r="S808" s="1">
        <v>7328</v>
      </c>
      <c r="T808" s="1">
        <v>3703</v>
      </c>
      <c r="U808" s="1">
        <v>6861</v>
      </c>
      <c r="V808" s="1">
        <v>11</v>
      </c>
      <c r="W808" s="1">
        <v>1146</v>
      </c>
      <c r="X808" s="1">
        <v>7329</v>
      </c>
      <c r="Y808" s="1">
        <v>3704</v>
      </c>
      <c r="Z808" s="1">
        <v>426</v>
      </c>
      <c r="AA808">
        <v>0</v>
      </c>
      <c r="AB808" t="str">
        <f t="shared" si="12"/>
        <v>Not Defaulter</v>
      </c>
      <c r="AC808" s="1">
        <f>Table2[[#This Row],[BILL_AMT1]]-Table2[[#This Row],[PAY_AMT1]]</f>
        <v>-5863</v>
      </c>
      <c r="AD808" s="1" t="str" cm="1">
        <f t="array" ref="AD808">_xlfn.IFS(Table2[[#This Row],[PAYMENT GAP]]&lt;=0,"No Gap / Overpaid",Table2[[#This Row],[PAYMENT GAP]]&lt;=25000,"Low Gap",Table2[[#This Row],[PAYMENT GAP]]&lt;=100000,"Medium Gap",
TRUE,"High Gap"
)</f>
        <v>No Gap / Overpaid</v>
      </c>
    </row>
    <row r="809" spans="1:30" x14ac:dyDescent="0.3">
      <c r="A809">
        <v>808</v>
      </c>
      <c r="B809" s="1">
        <v>20000</v>
      </c>
      <c r="C809" s="1" t="str" cm="1">
        <f t="array" ref="C809">_xlfn.IFS(Table2[[#This Row],[LIMIT_BAL]]&lt;=100000,"Low",Table2[[#This Row],[LIMIT_BAL]]&lt;=300000,"Medium",
TRUE,"High"
)</f>
        <v>Low</v>
      </c>
      <c r="D809" t="s">
        <v>2041</v>
      </c>
      <c r="E809" t="s">
        <v>2027</v>
      </c>
      <c r="F809" t="s">
        <v>2029</v>
      </c>
      <c r="G809">
        <v>36</v>
      </c>
      <c r="H809" t="str" cm="1">
        <f t="array" ref="H809">_xlfn.IFS(
Table2[[#This Row],[AGE]]&lt;30,"Young",
Table2[[#This Row],[AGE]]&lt;40,"Middle Age",
Table2[[#This Row],[AGE]]&lt;50,"Senior",
TRUE,"Super Senior"
)</f>
        <v>Middle Age</v>
      </c>
      <c r="I809">
        <v>0</v>
      </c>
      <c r="J809">
        <v>0</v>
      </c>
      <c r="K809">
        <v>2</v>
      </c>
      <c r="L809">
        <v>2</v>
      </c>
      <c r="M809">
        <v>2</v>
      </c>
      <c r="N809">
        <v>2</v>
      </c>
      <c r="O809" s="1">
        <v>16754</v>
      </c>
      <c r="P809" s="1">
        <v>18873</v>
      </c>
      <c r="Q809" s="1">
        <v>19862</v>
      </c>
      <c r="R809" s="1">
        <v>19245</v>
      </c>
      <c r="S809" s="1">
        <v>20532</v>
      </c>
      <c r="T809" s="1">
        <v>19953</v>
      </c>
      <c r="U809" s="1">
        <v>2400</v>
      </c>
      <c r="V809" s="1">
        <v>1600</v>
      </c>
      <c r="W809" s="1">
        <v>0</v>
      </c>
      <c r="X809" s="1">
        <v>1600</v>
      </c>
      <c r="Y809" s="1">
        <v>209</v>
      </c>
      <c r="Z809" s="1">
        <v>0</v>
      </c>
      <c r="AA809">
        <v>1</v>
      </c>
      <c r="AB809" t="str">
        <f t="shared" si="12"/>
        <v>Defaulter</v>
      </c>
      <c r="AC809" s="1">
        <f>Table2[[#This Row],[BILL_AMT1]]-Table2[[#This Row],[PAY_AMT1]]</f>
        <v>14354</v>
      </c>
      <c r="AD809" s="1" t="str" cm="1">
        <f t="array" ref="AD809">_xlfn.IFS(Table2[[#This Row],[PAYMENT GAP]]&lt;=0,"No Gap / Overpaid",Table2[[#This Row],[PAYMENT GAP]]&lt;=25000,"Low Gap",Table2[[#This Row],[PAYMENT GAP]]&lt;=100000,"Medium Gap",
TRUE,"High Gap"
)</f>
        <v>Low Gap</v>
      </c>
    </row>
    <row r="810" spans="1:30" x14ac:dyDescent="0.3">
      <c r="A810">
        <v>809</v>
      </c>
      <c r="B810" s="1">
        <v>190000</v>
      </c>
      <c r="C810" s="1" t="str" cm="1">
        <f t="array" ref="C810">_xlfn.IFS(Table2[[#This Row],[LIMIT_BAL]]&lt;=100000,"Low",Table2[[#This Row],[LIMIT_BAL]]&lt;=300000,"Medium",
TRUE,"High"
)</f>
        <v>Medium</v>
      </c>
      <c r="D810" t="s">
        <v>2041</v>
      </c>
      <c r="E810" t="s">
        <v>2026</v>
      </c>
      <c r="F810" t="s">
        <v>2029</v>
      </c>
      <c r="G810">
        <v>26</v>
      </c>
      <c r="H810" t="str" cm="1">
        <f t="array" ref="H810">_xlfn.IFS(
Table2[[#This Row],[AGE]]&lt;30,"Young",
Table2[[#This Row],[AGE]]&lt;40,"Middle Age",
Table2[[#This Row],[AGE]]&lt;50,"Senior",
TRUE,"Super Senior"
)</f>
        <v>Young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2</v>
      </c>
      <c r="O810" s="1">
        <v>31061</v>
      </c>
      <c r="P810" s="1">
        <v>32129</v>
      </c>
      <c r="Q810" s="1">
        <v>33142</v>
      </c>
      <c r="R810" s="1">
        <v>33726</v>
      </c>
      <c r="S810" s="1">
        <v>35758</v>
      </c>
      <c r="T810" s="1">
        <v>35171</v>
      </c>
      <c r="U810" s="1">
        <v>1750</v>
      </c>
      <c r="V810" s="1">
        <v>1720</v>
      </c>
      <c r="W810" s="1">
        <v>1300</v>
      </c>
      <c r="X810" s="1">
        <v>2600</v>
      </c>
      <c r="Y810" s="1">
        <v>0</v>
      </c>
      <c r="Z810" s="1">
        <v>1400</v>
      </c>
      <c r="AA810">
        <v>0</v>
      </c>
      <c r="AB810" t="str">
        <f t="shared" si="12"/>
        <v>Not Defaulter</v>
      </c>
      <c r="AC810" s="1">
        <f>Table2[[#This Row],[BILL_AMT1]]-Table2[[#This Row],[PAY_AMT1]]</f>
        <v>29311</v>
      </c>
      <c r="AD810" s="1" t="str" cm="1">
        <f t="array" ref="AD810">_xlfn.IFS(Table2[[#This Row],[PAYMENT GAP]]&lt;=0,"No Gap / Overpaid",Table2[[#This Row],[PAYMENT GAP]]&lt;=25000,"Low Gap",Table2[[#This Row],[PAYMENT GAP]]&lt;=100000,"Medium Gap",
TRUE,"High Gap"
)</f>
        <v>Medium Gap</v>
      </c>
    </row>
    <row r="811" spans="1:30" x14ac:dyDescent="0.3">
      <c r="A811">
        <v>810</v>
      </c>
      <c r="B811" s="1">
        <v>160000</v>
      </c>
      <c r="C811" s="1" t="str" cm="1">
        <f t="array" ref="C811">_xlfn.IFS(Table2[[#This Row],[LIMIT_BAL]]&lt;=100000,"Low",Table2[[#This Row],[LIMIT_BAL]]&lt;=300000,"Medium",
TRUE,"High"
)</f>
        <v>Medium</v>
      </c>
      <c r="D811" t="s">
        <v>2041</v>
      </c>
      <c r="E811" t="s">
        <v>2043</v>
      </c>
      <c r="F811" t="s">
        <v>2044</v>
      </c>
      <c r="G811">
        <v>37</v>
      </c>
      <c r="H811" t="str" cm="1">
        <f t="array" ref="H811">_xlfn.IFS(
Table2[[#This Row],[AGE]]&lt;30,"Young",
Table2[[#This Row],[AGE]]&lt;40,"Middle Age",
Table2[[#This Row],[AGE]]&lt;50,"Senior",
TRUE,"Super Senior"
)</f>
        <v>Middle Age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 s="1">
        <v>2694</v>
      </c>
      <c r="P811" s="1">
        <v>38433</v>
      </c>
      <c r="Q811" s="1">
        <v>38870</v>
      </c>
      <c r="R811" s="1">
        <v>28574</v>
      </c>
      <c r="S811" s="1">
        <v>27268</v>
      </c>
      <c r="T811" s="1">
        <v>28021</v>
      </c>
      <c r="U811" s="1">
        <v>35888</v>
      </c>
      <c r="V811" s="1">
        <v>1325</v>
      </c>
      <c r="W811" s="1">
        <v>891</v>
      </c>
      <c r="X811" s="1">
        <v>1000</v>
      </c>
      <c r="Y811" s="1">
        <v>1098</v>
      </c>
      <c r="Z811" s="1">
        <v>426</v>
      </c>
      <c r="AA811">
        <v>0</v>
      </c>
      <c r="AB811" t="str">
        <f t="shared" si="12"/>
        <v>Not Defaulter</v>
      </c>
      <c r="AC811" s="1">
        <f>Table2[[#This Row],[BILL_AMT1]]-Table2[[#This Row],[PAY_AMT1]]</f>
        <v>-33194</v>
      </c>
      <c r="AD811" s="1" t="str" cm="1">
        <f t="array" ref="AD811">_xlfn.IFS(Table2[[#This Row],[PAYMENT GAP]]&lt;=0,"No Gap / Overpaid",Table2[[#This Row],[PAYMENT GAP]]&lt;=25000,"Low Gap",Table2[[#This Row],[PAYMENT GAP]]&lt;=100000,"Medium Gap",
TRUE,"High Gap"
)</f>
        <v>No Gap / Overpaid</v>
      </c>
    </row>
    <row r="812" spans="1:30" x14ac:dyDescent="0.3">
      <c r="A812">
        <v>811</v>
      </c>
      <c r="B812" s="1">
        <v>120000</v>
      </c>
      <c r="C812" s="1" t="str" cm="1">
        <f t="array" ref="C812">_xlfn.IFS(Table2[[#This Row],[LIMIT_BAL]]&lt;=100000,"Low",Table2[[#This Row],[LIMIT_BAL]]&lt;=300000,"Medium",
TRUE,"High"
)</f>
        <v>Medium</v>
      </c>
      <c r="D812" t="s">
        <v>2041</v>
      </c>
      <c r="E812" t="s">
        <v>2026</v>
      </c>
      <c r="F812" t="s">
        <v>2055</v>
      </c>
      <c r="G812">
        <v>44</v>
      </c>
      <c r="H812" t="str" cm="1">
        <f t="array" ref="H812">_xlfn.IFS(
Table2[[#This Row],[AGE]]&lt;30,"Young",
Table2[[#This Row],[AGE]]&lt;40,"Middle Age",
Table2[[#This Row],[AGE]]&lt;50,"Senior",
TRUE,"Super Senior"
)</f>
        <v>Senior</v>
      </c>
      <c r="I812">
        <v>0</v>
      </c>
      <c r="J812">
        <v>0</v>
      </c>
      <c r="K812">
        <v>2</v>
      </c>
      <c r="L812">
        <v>0</v>
      </c>
      <c r="M812">
        <v>0</v>
      </c>
      <c r="N812">
        <v>0</v>
      </c>
      <c r="O812" s="1">
        <v>70096</v>
      </c>
      <c r="P812" s="1">
        <v>76446</v>
      </c>
      <c r="Q812" s="1">
        <v>73732</v>
      </c>
      <c r="R812" s="1">
        <v>12329</v>
      </c>
      <c r="S812" s="1">
        <v>12329</v>
      </c>
      <c r="T812" s="1">
        <v>0</v>
      </c>
      <c r="U812" s="1">
        <v>8100</v>
      </c>
      <c r="V812" s="1">
        <v>0</v>
      </c>
      <c r="W812" s="1">
        <v>247</v>
      </c>
      <c r="X812" s="1">
        <v>0</v>
      </c>
      <c r="Y812" s="1">
        <v>0</v>
      </c>
      <c r="Z812" s="1">
        <v>0</v>
      </c>
      <c r="AA812">
        <v>0</v>
      </c>
      <c r="AB812" t="str">
        <f t="shared" si="12"/>
        <v>Not Defaulter</v>
      </c>
      <c r="AC812" s="1">
        <f>Table2[[#This Row],[BILL_AMT1]]-Table2[[#This Row],[PAY_AMT1]]</f>
        <v>61996</v>
      </c>
      <c r="AD812" s="1" t="str" cm="1">
        <f t="array" ref="AD812">_xlfn.IFS(Table2[[#This Row],[PAYMENT GAP]]&lt;=0,"No Gap / Overpaid",Table2[[#This Row],[PAYMENT GAP]]&lt;=25000,"Low Gap",Table2[[#This Row],[PAYMENT GAP]]&lt;=100000,"Medium Gap",
TRUE,"High Gap"
)</f>
        <v>Medium Gap</v>
      </c>
    </row>
    <row r="813" spans="1:30" x14ac:dyDescent="0.3">
      <c r="A813">
        <v>812</v>
      </c>
      <c r="B813" s="1">
        <v>700000</v>
      </c>
      <c r="C813" s="1" t="str" cm="1">
        <f t="array" ref="C813">_xlfn.IFS(Table2[[#This Row],[LIMIT_BAL]]&lt;=100000,"Low",Table2[[#This Row],[LIMIT_BAL]]&lt;=300000,"Medium",
TRUE,"High"
)</f>
        <v>High</v>
      </c>
      <c r="D813" t="s">
        <v>2041</v>
      </c>
      <c r="E813" t="s">
        <v>2026</v>
      </c>
      <c r="F813" t="s">
        <v>2028</v>
      </c>
      <c r="G813">
        <v>39</v>
      </c>
      <c r="H813" t="str" cm="1">
        <f t="array" ref="H813">_xlfn.IFS(
Table2[[#This Row],[AGE]]&lt;30,"Young",
Table2[[#This Row],[AGE]]&lt;40,"Middle Age",
Table2[[#This Row],[AGE]]&lt;50,"Senior",
TRUE,"Super Senior"
)</f>
        <v>Middle Age</v>
      </c>
      <c r="I813">
        <v>0</v>
      </c>
      <c r="J813">
        <v>0</v>
      </c>
      <c r="K813">
        <v>0</v>
      </c>
      <c r="L813">
        <v>0</v>
      </c>
      <c r="M813">
        <v>-2</v>
      </c>
      <c r="N813">
        <v>-1</v>
      </c>
      <c r="O813" s="1">
        <v>99259</v>
      </c>
      <c r="P813" s="1">
        <v>102345</v>
      </c>
      <c r="Q813" s="1">
        <v>109636</v>
      </c>
      <c r="R813" s="1">
        <v>326</v>
      </c>
      <c r="S813" s="1">
        <v>2016</v>
      </c>
      <c r="T813" s="1">
        <v>61707</v>
      </c>
      <c r="U813" s="1">
        <v>5000</v>
      </c>
      <c r="V813" s="1">
        <v>10000</v>
      </c>
      <c r="W813" s="1">
        <v>326</v>
      </c>
      <c r="X813" s="1">
        <v>2016</v>
      </c>
      <c r="Y813" s="1">
        <v>61707</v>
      </c>
      <c r="Z813" s="1">
        <v>17785</v>
      </c>
      <c r="AA813">
        <v>0</v>
      </c>
      <c r="AB813" t="str">
        <f t="shared" si="12"/>
        <v>Not Defaulter</v>
      </c>
      <c r="AC813" s="1">
        <f>Table2[[#This Row],[BILL_AMT1]]-Table2[[#This Row],[PAY_AMT1]]</f>
        <v>94259</v>
      </c>
      <c r="AD813" s="1" t="str" cm="1">
        <f t="array" ref="AD813">_xlfn.IFS(Table2[[#This Row],[PAYMENT GAP]]&lt;=0,"No Gap / Overpaid",Table2[[#This Row],[PAYMENT GAP]]&lt;=25000,"Low Gap",Table2[[#This Row],[PAYMENT GAP]]&lt;=100000,"Medium Gap",
TRUE,"High Gap"
)</f>
        <v>Medium Gap</v>
      </c>
    </row>
    <row r="814" spans="1:30" x14ac:dyDescent="0.3">
      <c r="A814">
        <v>813</v>
      </c>
      <c r="B814" s="1">
        <v>140000</v>
      </c>
      <c r="C814" s="1" t="str" cm="1">
        <f t="array" ref="C814">_xlfn.IFS(Table2[[#This Row],[LIMIT_BAL]]&lt;=100000,"Low",Table2[[#This Row],[LIMIT_BAL]]&lt;=300000,"Medium",
TRUE,"High"
)</f>
        <v>Medium</v>
      </c>
      <c r="D814" t="s">
        <v>2041</v>
      </c>
      <c r="E814" t="s">
        <v>2026</v>
      </c>
      <c r="F814" t="s">
        <v>2029</v>
      </c>
      <c r="G814">
        <v>24</v>
      </c>
      <c r="H814" t="str" cm="1">
        <f t="array" ref="H814">_xlfn.IFS(
Table2[[#This Row],[AGE]]&lt;30,"Young",
Table2[[#This Row],[AGE]]&lt;40,"Middle Age",
Table2[[#This Row],[AGE]]&lt;50,"Senior",
TRUE,"Super Senior"
)</f>
        <v>Young</v>
      </c>
      <c r="I814">
        <v>1</v>
      </c>
      <c r="J814">
        <v>-2</v>
      </c>
      <c r="K814">
        <v>-2</v>
      </c>
      <c r="L814">
        <v>-2</v>
      </c>
      <c r="M814">
        <v>-1</v>
      </c>
      <c r="N814">
        <v>-1</v>
      </c>
      <c r="O814" s="1">
        <v>0</v>
      </c>
      <c r="P814" s="1">
        <v>0</v>
      </c>
      <c r="Q814" s="1">
        <v>0</v>
      </c>
      <c r="R814" s="1">
        <v>0</v>
      </c>
      <c r="S814" s="1">
        <v>1086</v>
      </c>
      <c r="T814" s="1">
        <v>0</v>
      </c>
      <c r="U814" s="1">
        <v>0</v>
      </c>
      <c r="V814" s="1">
        <v>0</v>
      </c>
      <c r="W814" s="1">
        <v>0</v>
      </c>
      <c r="X814" s="1">
        <v>1086</v>
      </c>
      <c r="Y814" s="1">
        <v>0</v>
      </c>
      <c r="Z814" s="1">
        <v>0</v>
      </c>
      <c r="AA814">
        <v>0</v>
      </c>
      <c r="AB814" t="str">
        <f t="shared" si="12"/>
        <v>Not Defaulter</v>
      </c>
      <c r="AC814" s="1">
        <f>Table2[[#This Row],[BILL_AMT1]]-Table2[[#This Row],[PAY_AMT1]]</f>
        <v>0</v>
      </c>
      <c r="AD814" s="1" t="str" cm="1">
        <f t="array" ref="AD814">_xlfn.IFS(Table2[[#This Row],[PAYMENT GAP]]&lt;=0,"No Gap / Overpaid",Table2[[#This Row],[PAYMENT GAP]]&lt;=25000,"Low Gap",Table2[[#This Row],[PAYMENT GAP]]&lt;=100000,"Medium Gap",
TRUE,"High Gap"
)</f>
        <v>No Gap / Overpaid</v>
      </c>
    </row>
    <row r="815" spans="1:30" x14ac:dyDescent="0.3">
      <c r="A815">
        <v>814</v>
      </c>
      <c r="B815" s="1">
        <v>300000</v>
      </c>
      <c r="C815" s="1" t="str" cm="1">
        <f t="array" ref="C815">_xlfn.IFS(Table2[[#This Row],[LIMIT_BAL]]&lt;=100000,"Low",Table2[[#This Row],[LIMIT_BAL]]&lt;=300000,"Medium",
TRUE,"High"
)</f>
        <v>Medium</v>
      </c>
      <c r="D815" t="s">
        <v>2041</v>
      </c>
      <c r="E815" t="s">
        <v>2027</v>
      </c>
      <c r="F815" t="s">
        <v>2028</v>
      </c>
      <c r="G815">
        <v>29</v>
      </c>
      <c r="H815" t="str" cm="1">
        <f t="array" ref="H815">_xlfn.IFS(
Table2[[#This Row],[AGE]]&lt;30,"Young",
Table2[[#This Row],[AGE]]&lt;40,"Middle Age",
Table2[[#This Row],[AGE]]&lt;50,"Senior",
TRUE,"Super Senior"
)</f>
        <v>Young</v>
      </c>
      <c r="I815">
        <v>-1</v>
      </c>
      <c r="J815">
        <v>0</v>
      </c>
      <c r="K815">
        <v>0</v>
      </c>
      <c r="L815">
        <v>0</v>
      </c>
      <c r="M815">
        <v>0</v>
      </c>
      <c r="N815">
        <v>-1</v>
      </c>
      <c r="O815" s="1">
        <v>24921</v>
      </c>
      <c r="P815" s="1">
        <v>21333</v>
      </c>
      <c r="Q815" s="1">
        <v>16212</v>
      </c>
      <c r="R815" s="1">
        <v>11304</v>
      </c>
      <c r="S815" s="1">
        <v>11396</v>
      </c>
      <c r="T815" s="1">
        <v>6138</v>
      </c>
      <c r="U815" s="1">
        <v>2000</v>
      </c>
      <c r="V815" s="1">
        <v>3000</v>
      </c>
      <c r="W815" s="1">
        <v>0</v>
      </c>
      <c r="X815" s="1">
        <v>5000</v>
      </c>
      <c r="Y815" s="1">
        <v>6202</v>
      </c>
      <c r="Z815" s="1">
        <v>0</v>
      </c>
      <c r="AA815">
        <v>0</v>
      </c>
      <c r="AB815" t="str">
        <f t="shared" si="12"/>
        <v>Not Defaulter</v>
      </c>
      <c r="AC815" s="1">
        <f>Table2[[#This Row],[BILL_AMT1]]-Table2[[#This Row],[PAY_AMT1]]</f>
        <v>22921</v>
      </c>
      <c r="AD815" s="1" t="str" cm="1">
        <f t="array" ref="AD815">_xlfn.IFS(Table2[[#This Row],[PAYMENT GAP]]&lt;=0,"No Gap / Overpaid",Table2[[#This Row],[PAYMENT GAP]]&lt;=25000,"Low Gap",Table2[[#This Row],[PAYMENT GAP]]&lt;=100000,"Medium Gap",
TRUE,"High Gap"
)</f>
        <v>Low Gap</v>
      </c>
    </row>
    <row r="816" spans="1:30" x14ac:dyDescent="0.3">
      <c r="A816">
        <v>815</v>
      </c>
      <c r="B816" s="1">
        <v>120000</v>
      </c>
      <c r="C816" s="1" t="str" cm="1">
        <f t="array" ref="C816">_xlfn.IFS(Table2[[#This Row],[LIMIT_BAL]]&lt;=100000,"Low",Table2[[#This Row],[LIMIT_BAL]]&lt;=300000,"Medium",
TRUE,"High"
)</f>
        <v>Medium</v>
      </c>
      <c r="D816" t="s">
        <v>2042</v>
      </c>
      <c r="E816" t="s">
        <v>2027</v>
      </c>
      <c r="F816" t="s">
        <v>2028</v>
      </c>
      <c r="G816">
        <v>33</v>
      </c>
      <c r="H816" t="str" cm="1">
        <f t="array" ref="H816">_xlfn.IFS(
Table2[[#This Row],[AGE]]&lt;30,"Young",
Table2[[#This Row],[AGE]]&lt;40,"Middle Age",
Table2[[#This Row],[AGE]]&lt;50,"Senior",
TRUE,"Super Senior"
)</f>
        <v>Middle Age</v>
      </c>
      <c r="I816">
        <v>1</v>
      </c>
      <c r="J816">
        <v>2</v>
      </c>
      <c r="K816">
        <v>2</v>
      </c>
      <c r="L816">
        <v>2</v>
      </c>
      <c r="M816">
        <v>2</v>
      </c>
      <c r="N816">
        <v>2</v>
      </c>
      <c r="O816" s="1">
        <v>66055</v>
      </c>
      <c r="P816" s="1">
        <v>67405</v>
      </c>
      <c r="Q816" s="1">
        <v>68405</v>
      </c>
      <c r="R816" s="1">
        <v>69387</v>
      </c>
      <c r="S816" s="1">
        <v>70727</v>
      </c>
      <c r="T816" s="1">
        <v>72215</v>
      </c>
      <c r="U816" s="1">
        <v>3000</v>
      </c>
      <c r="V816" s="1">
        <v>2700</v>
      </c>
      <c r="W816" s="1">
        <v>2700</v>
      </c>
      <c r="X816" s="1">
        <v>2600</v>
      </c>
      <c r="Y816" s="1">
        <v>2800</v>
      </c>
      <c r="Z816" s="1">
        <v>0</v>
      </c>
      <c r="AA816">
        <v>1</v>
      </c>
      <c r="AB816" t="str">
        <f t="shared" si="12"/>
        <v>Defaulter</v>
      </c>
      <c r="AC816" s="1">
        <f>Table2[[#This Row],[BILL_AMT1]]-Table2[[#This Row],[PAY_AMT1]]</f>
        <v>63055</v>
      </c>
      <c r="AD816" s="1" t="str" cm="1">
        <f t="array" ref="AD816">_xlfn.IFS(Table2[[#This Row],[PAYMENT GAP]]&lt;=0,"No Gap / Overpaid",Table2[[#This Row],[PAYMENT GAP]]&lt;=25000,"Low Gap",Table2[[#This Row],[PAYMENT GAP]]&lt;=100000,"Medium Gap",
TRUE,"High Gap"
)</f>
        <v>Medium Gap</v>
      </c>
    </row>
    <row r="817" spans="1:30" x14ac:dyDescent="0.3">
      <c r="A817">
        <v>816</v>
      </c>
      <c r="B817" s="1">
        <v>280000</v>
      </c>
      <c r="C817" s="1" t="str" cm="1">
        <f t="array" ref="C817">_xlfn.IFS(Table2[[#This Row],[LIMIT_BAL]]&lt;=100000,"Low",Table2[[#This Row],[LIMIT_BAL]]&lt;=300000,"Medium",
TRUE,"High"
)</f>
        <v>Medium</v>
      </c>
      <c r="D817" t="s">
        <v>2041</v>
      </c>
      <c r="E817" t="s">
        <v>2043</v>
      </c>
      <c r="F817" t="s">
        <v>2028</v>
      </c>
      <c r="G817">
        <v>39</v>
      </c>
      <c r="H817" t="str" cm="1">
        <f t="array" ref="H817">_xlfn.IFS(
Table2[[#This Row],[AGE]]&lt;30,"Young",
Table2[[#This Row],[AGE]]&lt;40,"Middle Age",
Table2[[#This Row],[AGE]]&lt;50,"Senior",
TRUE,"Super Senior"
)</f>
        <v>Middle Age</v>
      </c>
      <c r="I817">
        <v>0</v>
      </c>
      <c r="J817">
        <v>0</v>
      </c>
      <c r="K817">
        <v>2</v>
      </c>
      <c r="L817">
        <v>0</v>
      </c>
      <c r="M817">
        <v>0</v>
      </c>
      <c r="N817">
        <v>0</v>
      </c>
      <c r="O817" s="1">
        <v>213738</v>
      </c>
      <c r="P817" s="1">
        <v>228963</v>
      </c>
      <c r="Q817" s="1">
        <v>223810</v>
      </c>
      <c r="R817" s="1">
        <v>158542</v>
      </c>
      <c r="S817" s="1">
        <v>162244</v>
      </c>
      <c r="T817" s="1">
        <v>108143</v>
      </c>
      <c r="U817" s="1">
        <v>20300</v>
      </c>
      <c r="V817" s="1">
        <v>0</v>
      </c>
      <c r="W817" s="1">
        <v>5600</v>
      </c>
      <c r="X817" s="1">
        <v>6300</v>
      </c>
      <c r="Y817" s="1">
        <v>4000</v>
      </c>
      <c r="Z817" s="1">
        <v>4000</v>
      </c>
      <c r="AA817">
        <v>0</v>
      </c>
      <c r="AB817" t="str">
        <f t="shared" si="12"/>
        <v>Not Defaulter</v>
      </c>
      <c r="AC817" s="1">
        <f>Table2[[#This Row],[BILL_AMT1]]-Table2[[#This Row],[PAY_AMT1]]</f>
        <v>193438</v>
      </c>
      <c r="AD817" s="1" t="str" cm="1">
        <f t="array" ref="AD817">_xlfn.IFS(Table2[[#This Row],[PAYMENT GAP]]&lt;=0,"No Gap / Overpaid",Table2[[#This Row],[PAYMENT GAP]]&lt;=25000,"Low Gap",Table2[[#This Row],[PAYMENT GAP]]&lt;=100000,"Medium Gap",
TRUE,"High Gap"
)</f>
        <v>High Gap</v>
      </c>
    </row>
    <row r="818" spans="1:30" x14ac:dyDescent="0.3">
      <c r="A818">
        <v>817</v>
      </c>
      <c r="B818" s="1">
        <v>70000</v>
      </c>
      <c r="C818" s="1" t="str" cm="1">
        <f t="array" ref="C818">_xlfn.IFS(Table2[[#This Row],[LIMIT_BAL]]&lt;=100000,"Low",Table2[[#This Row],[LIMIT_BAL]]&lt;=300000,"Medium",
TRUE,"High"
)</f>
        <v>Low</v>
      </c>
      <c r="D818" t="s">
        <v>2042</v>
      </c>
      <c r="E818" t="s">
        <v>2027</v>
      </c>
      <c r="F818" t="s">
        <v>2028</v>
      </c>
      <c r="G818">
        <v>51</v>
      </c>
      <c r="H818" t="str" cm="1">
        <f t="array" ref="H818">_xlfn.IFS(
Table2[[#This Row],[AGE]]&lt;30,"Young",
Table2[[#This Row],[AGE]]&lt;40,"Middle Age",
Table2[[#This Row],[AGE]]&lt;50,"Senior",
TRUE,"Super Senior"
)</f>
        <v>Super Senior</v>
      </c>
      <c r="I818">
        <v>2</v>
      </c>
      <c r="J818">
        <v>2</v>
      </c>
      <c r="K818">
        <v>0</v>
      </c>
      <c r="L818">
        <v>0</v>
      </c>
      <c r="M818">
        <v>0</v>
      </c>
      <c r="N818">
        <v>0</v>
      </c>
      <c r="O818" s="1">
        <v>54968</v>
      </c>
      <c r="P818" s="1">
        <v>51384</v>
      </c>
      <c r="Q818" s="1">
        <v>49734</v>
      </c>
      <c r="R818" s="1">
        <v>50361</v>
      </c>
      <c r="S818" s="1">
        <v>49185</v>
      </c>
      <c r="T818" s="1">
        <v>47245</v>
      </c>
      <c r="U818" s="1">
        <v>0</v>
      </c>
      <c r="V818" s="1">
        <v>2100</v>
      </c>
      <c r="W818" s="1">
        <v>1950</v>
      </c>
      <c r="X818" s="1">
        <v>1900</v>
      </c>
      <c r="Y818" s="1">
        <v>2219</v>
      </c>
      <c r="Z818" s="1">
        <v>2100</v>
      </c>
      <c r="AA818">
        <v>1</v>
      </c>
      <c r="AB818" t="str">
        <f t="shared" si="12"/>
        <v>Defaulter</v>
      </c>
      <c r="AC818" s="1">
        <f>Table2[[#This Row],[BILL_AMT1]]-Table2[[#This Row],[PAY_AMT1]]</f>
        <v>54968</v>
      </c>
      <c r="AD818" s="1" t="str" cm="1">
        <f t="array" ref="AD818">_xlfn.IFS(Table2[[#This Row],[PAYMENT GAP]]&lt;=0,"No Gap / Overpaid",Table2[[#This Row],[PAYMENT GAP]]&lt;=25000,"Low Gap",Table2[[#This Row],[PAYMENT GAP]]&lt;=100000,"Medium Gap",
TRUE,"High Gap"
)</f>
        <v>Medium Gap</v>
      </c>
    </row>
    <row r="819" spans="1:30" x14ac:dyDescent="0.3">
      <c r="A819">
        <v>818</v>
      </c>
      <c r="B819" s="1">
        <v>20000</v>
      </c>
      <c r="C819" s="1" t="str" cm="1">
        <f t="array" ref="C819">_xlfn.IFS(Table2[[#This Row],[LIMIT_BAL]]&lt;=100000,"Low",Table2[[#This Row],[LIMIT_BAL]]&lt;=300000,"Medium",
TRUE,"High"
)</f>
        <v>Low</v>
      </c>
      <c r="D819" t="s">
        <v>2041</v>
      </c>
      <c r="E819" t="s">
        <v>2027</v>
      </c>
      <c r="F819" t="s">
        <v>2029</v>
      </c>
      <c r="G819">
        <v>24</v>
      </c>
      <c r="H819" t="str" cm="1">
        <f t="array" ref="H819">_xlfn.IFS(
Table2[[#This Row],[AGE]]&lt;30,"Young",
Table2[[#This Row],[AGE]]&lt;40,"Middle Age",
Table2[[#This Row],[AGE]]&lt;50,"Senior",
TRUE,"Super Senior"
)</f>
        <v>Young</v>
      </c>
      <c r="I819">
        <v>-1</v>
      </c>
      <c r="J819">
        <v>-1</v>
      </c>
      <c r="K819">
        <v>-1</v>
      </c>
      <c r="L819">
        <v>-1</v>
      </c>
      <c r="M819">
        <v>-1</v>
      </c>
      <c r="N819">
        <v>2</v>
      </c>
      <c r="O819" s="1">
        <v>4101</v>
      </c>
      <c r="P819" s="1">
        <v>507</v>
      </c>
      <c r="Q819" s="1">
        <v>3042</v>
      </c>
      <c r="R819" s="1">
        <v>0</v>
      </c>
      <c r="S819" s="1">
        <v>8402</v>
      </c>
      <c r="T819" s="1">
        <v>6204</v>
      </c>
      <c r="U819" s="1">
        <v>507</v>
      </c>
      <c r="V819" s="1">
        <v>3042</v>
      </c>
      <c r="W819" s="1">
        <v>0</v>
      </c>
      <c r="X819" s="1">
        <v>8402</v>
      </c>
      <c r="Y819" s="1">
        <v>0</v>
      </c>
      <c r="Z819" s="1">
        <v>4739</v>
      </c>
      <c r="AA819">
        <v>0</v>
      </c>
      <c r="AB819" t="str">
        <f t="shared" si="12"/>
        <v>Not Defaulter</v>
      </c>
      <c r="AC819" s="1">
        <f>Table2[[#This Row],[BILL_AMT1]]-Table2[[#This Row],[PAY_AMT1]]</f>
        <v>3594</v>
      </c>
      <c r="AD819" s="1" t="str" cm="1">
        <f t="array" ref="AD819">_xlfn.IFS(Table2[[#This Row],[PAYMENT GAP]]&lt;=0,"No Gap / Overpaid",Table2[[#This Row],[PAYMENT GAP]]&lt;=25000,"Low Gap",Table2[[#This Row],[PAYMENT GAP]]&lt;=100000,"Medium Gap",
TRUE,"High Gap"
)</f>
        <v>Low Gap</v>
      </c>
    </row>
    <row r="820" spans="1:30" x14ac:dyDescent="0.3">
      <c r="A820">
        <v>819</v>
      </c>
      <c r="B820" s="1">
        <v>150000</v>
      </c>
      <c r="C820" s="1" t="str" cm="1">
        <f t="array" ref="C820">_xlfn.IFS(Table2[[#This Row],[LIMIT_BAL]]&lt;=100000,"Low",Table2[[#This Row],[LIMIT_BAL]]&lt;=300000,"Medium",
TRUE,"High"
)</f>
        <v>Medium</v>
      </c>
      <c r="D820" t="s">
        <v>2041</v>
      </c>
      <c r="E820" t="s">
        <v>2043</v>
      </c>
      <c r="F820" t="s">
        <v>2028</v>
      </c>
      <c r="G820">
        <v>45</v>
      </c>
      <c r="H820" t="str" cm="1">
        <f t="array" ref="H820">_xlfn.IFS(
Table2[[#This Row],[AGE]]&lt;30,"Young",
Table2[[#This Row],[AGE]]&lt;40,"Middle Age",
Table2[[#This Row],[AGE]]&lt;50,"Senior",
TRUE,"Super Senior"
)</f>
        <v>Senior</v>
      </c>
      <c r="I820">
        <v>-1</v>
      </c>
      <c r="J820">
        <v>-1</v>
      </c>
      <c r="K820">
        <v>-1</v>
      </c>
      <c r="L820">
        <v>-1</v>
      </c>
      <c r="M820">
        <v>-1</v>
      </c>
      <c r="N820">
        <v>-1</v>
      </c>
      <c r="O820" s="1">
        <v>2605</v>
      </c>
      <c r="P820" s="1">
        <v>2605</v>
      </c>
      <c r="Q820" s="1">
        <v>4590</v>
      </c>
      <c r="R820" s="1">
        <v>2605</v>
      </c>
      <c r="S820" s="1">
        <v>2605</v>
      </c>
      <c r="T820" s="1">
        <v>3795</v>
      </c>
      <c r="U820" s="1">
        <v>2605</v>
      </c>
      <c r="V820" s="1">
        <v>4590</v>
      </c>
      <c r="W820" s="1">
        <v>2605</v>
      </c>
      <c r="X820" s="1">
        <v>2605</v>
      </c>
      <c r="Y820" s="1">
        <v>3795</v>
      </c>
      <c r="Z820" s="1">
        <v>10675</v>
      </c>
      <c r="AA820">
        <v>0</v>
      </c>
      <c r="AB820" t="str">
        <f t="shared" si="12"/>
        <v>Not Defaulter</v>
      </c>
      <c r="AC820" s="1">
        <f>Table2[[#This Row],[BILL_AMT1]]-Table2[[#This Row],[PAY_AMT1]]</f>
        <v>0</v>
      </c>
      <c r="AD820" s="1" t="str" cm="1">
        <f t="array" ref="AD820">_xlfn.IFS(Table2[[#This Row],[PAYMENT GAP]]&lt;=0,"No Gap / Overpaid",Table2[[#This Row],[PAYMENT GAP]]&lt;=25000,"Low Gap",Table2[[#This Row],[PAYMENT GAP]]&lt;=100000,"Medium Gap",
TRUE,"High Gap"
)</f>
        <v>No Gap / Overpaid</v>
      </c>
    </row>
    <row r="821" spans="1:30" x14ac:dyDescent="0.3">
      <c r="A821">
        <v>820</v>
      </c>
      <c r="B821" s="1">
        <v>60000</v>
      </c>
      <c r="C821" s="1" t="str" cm="1">
        <f t="array" ref="C821">_xlfn.IFS(Table2[[#This Row],[LIMIT_BAL]]&lt;=100000,"Low",Table2[[#This Row],[LIMIT_BAL]]&lt;=300000,"Medium",
TRUE,"High"
)</f>
        <v>Low</v>
      </c>
      <c r="D821" t="s">
        <v>2042</v>
      </c>
      <c r="E821" t="s">
        <v>2026</v>
      </c>
      <c r="F821" t="s">
        <v>2029</v>
      </c>
      <c r="G821">
        <v>30</v>
      </c>
      <c r="H821" t="str" cm="1">
        <f t="array" ref="H821">_xlfn.IFS(
Table2[[#This Row],[AGE]]&lt;30,"Young",
Table2[[#This Row],[AGE]]&lt;40,"Middle Age",
Table2[[#This Row],[AGE]]&lt;50,"Senior",
TRUE,"Super Senior"
)</f>
        <v>Middle Age</v>
      </c>
      <c r="I821">
        <v>0</v>
      </c>
      <c r="J821">
        <v>-1</v>
      </c>
      <c r="K821">
        <v>0</v>
      </c>
      <c r="L821">
        <v>0</v>
      </c>
      <c r="M821">
        <v>0</v>
      </c>
      <c r="N821">
        <v>0</v>
      </c>
      <c r="O821" s="1">
        <v>15380</v>
      </c>
      <c r="P821" s="1">
        <v>4116</v>
      </c>
      <c r="Q821" s="1">
        <v>19453</v>
      </c>
      <c r="R821" s="1">
        <v>17912</v>
      </c>
      <c r="S821" s="1">
        <v>18480</v>
      </c>
      <c r="T821" s="1">
        <v>18848</v>
      </c>
      <c r="U821" s="1">
        <v>4147</v>
      </c>
      <c r="V821" s="1">
        <v>19435</v>
      </c>
      <c r="W821" s="1">
        <v>1000</v>
      </c>
      <c r="X821" s="1">
        <v>1000</v>
      </c>
      <c r="Y821" s="1">
        <v>1000</v>
      </c>
      <c r="Z821" s="1">
        <v>1000</v>
      </c>
      <c r="AA821">
        <v>0</v>
      </c>
      <c r="AB821" t="str">
        <f t="shared" si="12"/>
        <v>Not Defaulter</v>
      </c>
      <c r="AC821" s="1">
        <f>Table2[[#This Row],[BILL_AMT1]]-Table2[[#This Row],[PAY_AMT1]]</f>
        <v>11233</v>
      </c>
      <c r="AD821" s="1" t="str" cm="1">
        <f t="array" ref="AD821">_xlfn.IFS(Table2[[#This Row],[PAYMENT GAP]]&lt;=0,"No Gap / Overpaid",Table2[[#This Row],[PAYMENT GAP]]&lt;=25000,"Low Gap",Table2[[#This Row],[PAYMENT GAP]]&lt;=100000,"Medium Gap",
TRUE,"High Gap"
)</f>
        <v>Low Gap</v>
      </c>
    </row>
    <row r="822" spans="1:30" x14ac:dyDescent="0.3">
      <c r="A822">
        <v>821</v>
      </c>
      <c r="B822" s="1">
        <v>200000</v>
      </c>
      <c r="C822" s="1" t="str" cm="1">
        <f t="array" ref="C822">_xlfn.IFS(Table2[[#This Row],[LIMIT_BAL]]&lt;=100000,"Low",Table2[[#This Row],[LIMIT_BAL]]&lt;=300000,"Medium",
TRUE,"High"
)</f>
        <v>Medium</v>
      </c>
      <c r="D822" t="s">
        <v>2041</v>
      </c>
      <c r="E822" t="s">
        <v>2027</v>
      </c>
      <c r="F822" t="s">
        <v>2044</v>
      </c>
      <c r="G822">
        <v>51</v>
      </c>
      <c r="H822" t="str" cm="1">
        <f t="array" ref="H822">_xlfn.IFS(
Table2[[#This Row],[AGE]]&lt;30,"Young",
Table2[[#This Row],[AGE]]&lt;40,"Middle Age",
Table2[[#This Row],[AGE]]&lt;50,"Senior",
TRUE,"Super Senior"
)</f>
        <v>Super Senior</v>
      </c>
      <c r="I822">
        <v>-1</v>
      </c>
      <c r="J822">
        <v>-1</v>
      </c>
      <c r="K822">
        <v>-1</v>
      </c>
      <c r="L822">
        <v>-1</v>
      </c>
      <c r="M822">
        <v>0</v>
      </c>
      <c r="N822">
        <v>-1</v>
      </c>
      <c r="O822" s="1">
        <v>780</v>
      </c>
      <c r="P822" s="1">
        <v>0</v>
      </c>
      <c r="Q822" s="1">
        <v>390</v>
      </c>
      <c r="R822" s="1">
        <v>780</v>
      </c>
      <c r="S822" s="1">
        <v>390</v>
      </c>
      <c r="T822" s="1">
        <v>390</v>
      </c>
      <c r="U822" s="1">
        <v>0</v>
      </c>
      <c r="V822" s="1">
        <v>390</v>
      </c>
      <c r="W822" s="1">
        <v>780</v>
      </c>
      <c r="X822" s="1">
        <v>0</v>
      </c>
      <c r="Y822" s="1">
        <v>390</v>
      </c>
      <c r="Z822" s="1">
        <v>390</v>
      </c>
      <c r="AA822">
        <v>0</v>
      </c>
      <c r="AB822" t="str">
        <f t="shared" si="12"/>
        <v>Not Defaulter</v>
      </c>
      <c r="AC822" s="1">
        <f>Table2[[#This Row],[BILL_AMT1]]-Table2[[#This Row],[PAY_AMT1]]</f>
        <v>780</v>
      </c>
      <c r="AD822" s="1" t="str" cm="1">
        <f t="array" ref="AD822">_xlfn.IFS(Table2[[#This Row],[PAYMENT GAP]]&lt;=0,"No Gap / Overpaid",Table2[[#This Row],[PAYMENT GAP]]&lt;=25000,"Low Gap",Table2[[#This Row],[PAYMENT GAP]]&lt;=100000,"Medium Gap",
TRUE,"High Gap"
)</f>
        <v>Low Gap</v>
      </c>
    </row>
    <row r="823" spans="1:30" x14ac:dyDescent="0.3">
      <c r="A823">
        <v>822</v>
      </c>
      <c r="B823" s="1">
        <v>50000</v>
      </c>
      <c r="C823" s="1" t="str" cm="1">
        <f t="array" ref="C823">_xlfn.IFS(Table2[[#This Row],[LIMIT_BAL]]&lt;=100000,"Low",Table2[[#This Row],[LIMIT_BAL]]&lt;=300000,"Medium",
TRUE,"High"
)</f>
        <v>Low</v>
      </c>
      <c r="D823" t="s">
        <v>2041</v>
      </c>
      <c r="E823" t="s">
        <v>2043</v>
      </c>
      <c r="F823" t="s">
        <v>2029</v>
      </c>
      <c r="G823">
        <v>24</v>
      </c>
      <c r="H823" t="str" cm="1">
        <f t="array" ref="H823">_xlfn.IFS(
Table2[[#This Row],[AGE]]&lt;30,"Young",
Table2[[#This Row],[AGE]]&lt;40,"Middle Age",
Table2[[#This Row],[AGE]]&lt;50,"Senior",
TRUE,"Super Senior"
)</f>
        <v>Young</v>
      </c>
      <c r="I823">
        <v>1</v>
      </c>
      <c r="J823">
        <v>2</v>
      </c>
      <c r="K823">
        <v>0</v>
      </c>
      <c r="L823">
        <v>0</v>
      </c>
      <c r="M823">
        <v>0</v>
      </c>
      <c r="N823">
        <v>0</v>
      </c>
      <c r="O823" s="1">
        <v>48861</v>
      </c>
      <c r="P823" s="1">
        <v>48082</v>
      </c>
      <c r="Q823" s="1">
        <v>48614</v>
      </c>
      <c r="R823" s="1">
        <v>26667</v>
      </c>
      <c r="S823" s="1">
        <v>26036</v>
      </c>
      <c r="T823" s="1">
        <v>26850</v>
      </c>
      <c r="U823" s="1">
        <v>2000</v>
      </c>
      <c r="V823" s="1">
        <v>2233</v>
      </c>
      <c r="W823" s="1">
        <v>1083</v>
      </c>
      <c r="X823" s="1">
        <v>1100</v>
      </c>
      <c r="Y823" s="1">
        <v>1400</v>
      </c>
      <c r="Z823" s="1">
        <v>3000</v>
      </c>
      <c r="AA823">
        <v>1</v>
      </c>
      <c r="AB823" t="str">
        <f t="shared" si="12"/>
        <v>Defaulter</v>
      </c>
      <c r="AC823" s="1">
        <f>Table2[[#This Row],[BILL_AMT1]]-Table2[[#This Row],[PAY_AMT1]]</f>
        <v>46861</v>
      </c>
      <c r="AD823" s="1" t="str" cm="1">
        <f t="array" ref="AD823">_xlfn.IFS(Table2[[#This Row],[PAYMENT GAP]]&lt;=0,"No Gap / Overpaid",Table2[[#This Row],[PAYMENT GAP]]&lt;=25000,"Low Gap",Table2[[#This Row],[PAYMENT GAP]]&lt;=100000,"Medium Gap",
TRUE,"High Gap"
)</f>
        <v>Medium Gap</v>
      </c>
    </row>
    <row r="824" spans="1:30" x14ac:dyDescent="0.3">
      <c r="A824">
        <v>823</v>
      </c>
      <c r="B824" s="1">
        <v>150000</v>
      </c>
      <c r="C824" s="1" t="str" cm="1">
        <f t="array" ref="C824">_xlfn.IFS(Table2[[#This Row],[LIMIT_BAL]]&lt;=100000,"Low",Table2[[#This Row],[LIMIT_BAL]]&lt;=300000,"Medium",
TRUE,"High"
)</f>
        <v>Medium</v>
      </c>
      <c r="D824" t="s">
        <v>2042</v>
      </c>
      <c r="E824" t="s">
        <v>2043</v>
      </c>
      <c r="F824" t="s">
        <v>2028</v>
      </c>
      <c r="G824">
        <v>50</v>
      </c>
      <c r="H824" t="str" cm="1">
        <f t="array" ref="H824">_xlfn.IFS(
Table2[[#This Row],[AGE]]&lt;30,"Young",
Table2[[#This Row],[AGE]]&lt;40,"Middle Age",
Table2[[#This Row],[AGE]]&lt;50,"Senior",
TRUE,"Super Senior"
)</f>
        <v>Super Senior</v>
      </c>
      <c r="I824">
        <v>-1</v>
      </c>
      <c r="J824">
        <v>0</v>
      </c>
      <c r="K824">
        <v>0</v>
      </c>
      <c r="L824">
        <v>2</v>
      </c>
      <c r="M824">
        <v>0</v>
      </c>
      <c r="N824">
        <v>0</v>
      </c>
      <c r="O824" s="1">
        <v>55336</v>
      </c>
      <c r="P824" s="1">
        <v>58255</v>
      </c>
      <c r="Q824" s="1">
        <v>36260</v>
      </c>
      <c r="R824" s="1">
        <v>35037</v>
      </c>
      <c r="S824" s="1">
        <v>34631</v>
      </c>
      <c r="T824" s="1">
        <v>63156</v>
      </c>
      <c r="U824" s="1">
        <v>5085</v>
      </c>
      <c r="V824" s="1">
        <v>4000</v>
      </c>
      <c r="W824" s="1">
        <v>0</v>
      </c>
      <c r="X824" s="1">
        <v>2000</v>
      </c>
      <c r="Y824" s="1">
        <v>30000</v>
      </c>
      <c r="Z824" s="1">
        <v>5000</v>
      </c>
      <c r="AA824">
        <v>0</v>
      </c>
      <c r="AB824" t="str">
        <f t="shared" si="12"/>
        <v>Not Defaulter</v>
      </c>
      <c r="AC824" s="1">
        <f>Table2[[#This Row],[BILL_AMT1]]-Table2[[#This Row],[PAY_AMT1]]</f>
        <v>50251</v>
      </c>
      <c r="AD824" s="1" t="str" cm="1">
        <f t="array" ref="AD824">_xlfn.IFS(Table2[[#This Row],[PAYMENT GAP]]&lt;=0,"No Gap / Overpaid",Table2[[#This Row],[PAYMENT GAP]]&lt;=25000,"Low Gap",Table2[[#This Row],[PAYMENT GAP]]&lt;=100000,"Medium Gap",
TRUE,"High Gap"
)</f>
        <v>Medium Gap</v>
      </c>
    </row>
    <row r="825" spans="1:30" x14ac:dyDescent="0.3">
      <c r="A825">
        <v>824</v>
      </c>
      <c r="B825" s="1">
        <v>20000</v>
      </c>
      <c r="C825" s="1" t="str" cm="1">
        <f t="array" ref="C825">_xlfn.IFS(Table2[[#This Row],[LIMIT_BAL]]&lt;=100000,"Low",Table2[[#This Row],[LIMIT_BAL]]&lt;=300000,"Medium",
TRUE,"High"
)</f>
        <v>Low</v>
      </c>
      <c r="D825" t="s">
        <v>2041</v>
      </c>
      <c r="E825" t="s">
        <v>2026</v>
      </c>
      <c r="F825" t="s">
        <v>2029</v>
      </c>
      <c r="G825">
        <v>22</v>
      </c>
      <c r="H825" t="str" cm="1">
        <f t="array" ref="H825">_xlfn.IFS(
Table2[[#This Row],[AGE]]&lt;30,"Young",
Table2[[#This Row],[AGE]]&lt;40,"Middle Age",
Table2[[#This Row],[AGE]]&lt;50,"Senior",
TRUE,"Super Senior"
)</f>
        <v>Young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 s="1">
        <v>20243</v>
      </c>
      <c r="P825" s="1">
        <v>20400</v>
      </c>
      <c r="Q825" s="1">
        <v>19583</v>
      </c>
      <c r="R825" s="1">
        <v>19983</v>
      </c>
      <c r="S825" s="1">
        <v>20196</v>
      </c>
      <c r="T825" s="1">
        <v>19705</v>
      </c>
      <c r="U825" s="1">
        <v>1410</v>
      </c>
      <c r="V825" s="1">
        <v>1200</v>
      </c>
      <c r="W825" s="1">
        <v>534</v>
      </c>
      <c r="X825" s="1">
        <v>700</v>
      </c>
      <c r="Y825" s="1">
        <v>1000</v>
      </c>
      <c r="Z825" s="1">
        <v>0</v>
      </c>
      <c r="AA825">
        <v>0</v>
      </c>
      <c r="AB825" t="str">
        <f t="shared" si="12"/>
        <v>Not Defaulter</v>
      </c>
      <c r="AC825" s="1">
        <f>Table2[[#This Row],[BILL_AMT1]]-Table2[[#This Row],[PAY_AMT1]]</f>
        <v>18833</v>
      </c>
      <c r="AD825" s="1" t="str" cm="1">
        <f t="array" ref="AD825">_xlfn.IFS(Table2[[#This Row],[PAYMENT GAP]]&lt;=0,"No Gap / Overpaid",Table2[[#This Row],[PAYMENT GAP]]&lt;=25000,"Low Gap",Table2[[#This Row],[PAYMENT GAP]]&lt;=100000,"Medium Gap",
TRUE,"High Gap"
)</f>
        <v>Low Gap</v>
      </c>
    </row>
    <row r="826" spans="1:30" x14ac:dyDescent="0.3">
      <c r="A826">
        <v>825</v>
      </c>
      <c r="B826" s="1">
        <v>40000</v>
      </c>
      <c r="C826" s="1" t="str" cm="1">
        <f t="array" ref="C826">_xlfn.IFS(Table2[[#This Row],[LIMIT_BAL]]&lt;=100000,"Low",Table2[[#This Row],[LIMIT_BAL]]&lt;=300000,"Medium",
TRUE,"High"
)</f>
        <v>Low</v>
      </c>
      <c r="D826" t="s">
        <v>2042</v>
      </c>
      <c r="E826" t="s">
        <v>2026</v>
      </c>
      <c r="F826" t="s">
        <v>2029</v>
      </c>
      <c r="G826">
        <v>27</v>
      </c>
      <c r="H826" t="str" cm="1">
        <f t="array" ref="H826">_xlfn.IFS(
Table2[[#This Row],[AGE]]&lt;30,"Young",
Table2[[#This Row],[AGE]]&lt;40,"Middle Age",
Table2[[#This Row],[AGE]]&lt;50,"Senior",
TRUE,"Super Senior"
)</f>
        <v>Young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 s="1">
        <v>11058</v>
      </c>
      <c r="P826" s="1">
        <v>11471</v>
      </c>
      <c r="Q826" s="1">
        <v>11776</v>
      </c>
      <c r="R826" s="1">
        <v>12660</v>
      </c>
      <c r="S826" s="1">
        <v>12660</v>
      </c>
      <c r="T826" s="1">
        <v>12413</v>
      </c>
      <c r="U826" s="1">
        <v>2000</v>
      </c>
      <c r="V826" s="1">
        <v>1500</v>
      </c>
      <c r="W826" s="1">
        <v>2330</v>
      </c>
      <c r="X826" s="1">
        <v>2300</v>
      </c>
      <c r="Y826" s="1">
        <v>1000</v>
      </c>
      <c r="Z826" s="1">
        <v>2078</v>
      </c>
      <c r="AA826">
        <v>1</v>
      </c>
      <c r="AB826" t="str">
        <f t="shared" si="12"/>
        <v>Defaulter</v>
      </c>
      <c r="AC826" s="1">
        <f>Table2[[#This Row],[BILL_AMT1]]-Table2[[#This Row],[PAY_AMT1]]</f>
        <v>9058</v>
      </c>
      <c r="AD826" s="1" t="str" cm="1">
        <f t="array" ref="AD826">_xlfn.IFS(Table2[[#This Row],[PAYMENT GAP]]&lt;=0,"No Gap / Overpaid",Table2[[#This Row],[PAYMENT GAP]]&lt;=25000,"Low Gap",Table2[[#This Row],[PAYMENT GAP]]&lt;=100000,"Medium Gap",
TRUE,"High Gap"
)</f>
        <v>Low Gap</v>
      </c>
    </row>
    <row r="827" spans="1:30" x14ac:dyDescent="0.3">
      <c r="A827">
        <v>826</v>
      </c>
      <c r="B827" s="1">
        <v>170000</v>
      </c>
      <c r="C827" s="1" t="str" cm="1">
        <f t="array" ref="C827">_xlfn.IFS(Table2[[#This Row],[LIMIT_BAL]]&lt;=100000,"Low",Table2[[#This Row],[LIMIT_BAL]]&lt;=300000,"Medium",
TRUE,"High"
)</f>
        <v>Medium</v>
      </c>
      <c r="D827" t="s">
        <v>2041</v>
      </c>
      <c r="E827" t="s">
        <v>2043</v>
      </c>
      <c r="F827" t="s">
        <v>2029</v>
      </c>
      <c r="G827">
        <v>33</v>
      </c>
      <c r="H827" t="str" cm="1">
        <f t="array" ref="H827">_xlfn.IFS(
Table2[[#This Row],[AGE]]&lt;30,"Young",
Table2[[#This Row],[AGE]]&lt;40,"Middle Age",
Table2[[#This Row],[AGE]]&lt;50,"Senior",
TRUE,"Super Senior"
)</f>
        <v>Middle Age</v>
      </c>
      <c r="I827">
        <v>1</v>
      </c>
      <c r="J827">
        <v>-1</v>
      </c>
      <c r="K827">
        <v>-1</v>
      </c>
      <c r="L827">
        <v>-1</v>
      </c>
      <c r="M827">
        <v>-2</v>
      </c>
      <c r="N827">
        <v>-2</v>
      </c>
      <c r="O827" s="1">
        <v>0</v>
      </c>
      <c r="P827" s="1">
        <v>7042</v>
      </c>
      <c r="Q827" s="1">
        <v>2986</v>
      </c>
      <c r="R827" s="1">
        <v>0</v>
      </c>
      <c r="S827" s="1">
        <v>0</v>
      </c>
      <c r="T827" s="1">
        <v>0</v>
      </c>
      <c r="U827" s="1">
        <v>7042</v>
      </c>
      <c r="V827" s="1">
        <v>2986</v>
      </c>
      <c r="W827" s="1">
        <v>0</v>
      </c>
      <c r="X827" s="1">
        <v>0</v>
      </c>
      <c r="Y827" s="1">
        <v>0</v>
      </c>
      <c r="Z827" s="1">
        <v>0</v>
      </c>
      <c r="AA827">
        <v>0</v>
      </c>
      <c r="AB827" t="str">
        <f t="shared" si="12"/>
        <v>Not Defaulter</v>
      </c>
      <c r="AC827" s="1">
        <f>Table2[[#This Row],[BILL_AMT1]]-Table2[[#This Row],[PAY_AMT1]]</f>
        <v>-7042</v>
      </c>
      <c r="AD827" s="1" t="str" cm="1">
        <f t="array" ref="AD827">_xlfn.IFS(Table2[[#This Row],[PAYMENT GAP]]&lt;=0,"No Gap / Overpaid",Table2[[#This Row],[PAYMENT GAP]]&lt;=25000,"Low Gap",Table2[[#This Row],[PAYMENT GAP]]&lt;=100000,"Medium Gap",
TRUE,"High Gap"
)</f>
        <v>No Gap / Overpaid</v>
      </c>
    </row>
    <row r="828" spans="1:30" x14ac:dyDescent="0.3">
      <c r="A828">
        <v>827</v>
      </c>
      <c r="B828" s="1">
        <v>50000</v>
      </c>
      <c r="C828" s="1" t="str" cm="1">
        <f t="array" ref="C828">_xlfn.IFS(Table2[[#This Row],[LIMIT_BAL]]&lt;=100000,"Low",Table2[[#This Row],[LIMIT_BAL]]&lt;=300000,"Medium",
TRUE,"High"
)</f>
        <v>Low</v>
      </c>
      <c r="D828" t="s">
        <v>2041</v>
      </c>
      <c r="E828" t="s">
        <v>2043</v>
      </c>
      <c r="F828" t="s">
        <v>2028</v>
      </c>
      <c r="G828">
        <v>24</v>
      </c>
      <c r="H828" t="str" cm="1">
        <f t="array" ref="H828">_xlfn.IFS(
Table2[[#This Row],[AGE]]&lt;30,"Young",
Table2[[#This Row],[AGE]]&lt;40,"Middle Age",
Table2[[#This Row],[AGE]]&lt;50,"Senior",
TRUE,"Super Senior"
)</f>
        <v>Young</v>
      </c>
      <c r="I828">
        <v>1</v>
      </c>
      <c r="J828">
        <v>2</v>
      </c>
      <c r="K828">
        <v>0</v>
      </c>
      <c r="L828">
        <v>0</v>
      </c>
      <c r="M828">
        <v>0</v>
      </c>
      <c r="N828">
        <v>2</v>
      </c>
      <c r="O828" s="1">
        <v>27087</v>
      </c>
      <c r="P828" s="1">
        <v>26372</v>
      </c>
      <c r="Q828" s="1">
        <v>26992</v>
      </c>
      <c r="R828" s="1">
        <v>27693</v>
      </c>
      <c r="S828" s="1">
        <v>29237</v>
      </c>
      <c r="T828" s="1">
        <v>28607</v>
      </c>
      <c r="U828" s="1">
        <v>0</v>
      </c>
      <c r="V828" s="1">
        <v>1400</v>
      </c>
      <c r="W828" s="1">
        <v>1100</v>
      </c>
      <c r="X828" s="1">
        <v>2100</v>
      </c>
      <c r="Y828" s="1">
        <v>0</v>
      </c>
      <c r="Z828" s="1">
        <v>1000</v>
      </c>
      <c r="AA828">
        <v>0</v>
      </c>
      <c r="AB828" t="str">
        <f t="shared" si="12"/>
        <v>Not Defaulter</v>
      </c>
      <c r="AC828" s="1">
        <f>Table2[[#This Row],[BILL_AMT1]]-Table2[[#This Row],[PAY_AMT1]]</f>
        <v>27087</v>
      </c>
      <c r="AD828" s="1" t="str" cm="1">
        <f t="array" ref="AD828">_xlfn.IFS(Table2[[#This Row],[PAYMENT GAP]]&lt;=0,"No Gap / Overpaid",Table2[[#This Row],[PAYMENT GAP]]&lt;=25000,"Low Gap",Table2[[#This Row],[PAYMENT GAP]]&lt;=100000,"Medium Gap",
TRUE,"High Gap"
)</f>
        <v>Medium Gap</v>
      </c>
    </row>
    <row r="829" spans="1:30" x14ac:dyDescent="0.3">
      <c r="A829">
        <v>828</v>
      </c>
      <c r="B829" s="1">
        <v>10000</v>
      </c>
      <c r="C829" s="1" t="str" cm="1">
        <f t="array" ref="C829">_xlfn.IFS(Table2[[#This Row],[LIMIT_BAL]]&lt;=100000,"Low",Table2[[#This Row],[LIMIT_BAL]]&lt;=300000,"Medium",
TRUE,"High"
)</f>
        <v>Low</v>
      </c>
      <c r="D829" t="s">
        <v>2042</v>
      </c>
      <c r="E829" t="s">
        <v>2043</v>
      </c>
      <c r="F829" t="s">
        <v>2029</v>
      </c>
      <c r="G829">
        <v>37</v>
      </c>
      <c r="H829" t="str" cm="1">
        <f t="array" ref="H829">_xlfn.IFS(
Table2[[#This Row],[AGE]]&lt;30,"Young",
Table2[[#This Row],[AGE]]&lt;40,"Middle Age",
Table2[[#This Row],[AGE]]&lt;50,"Senior",
TRUE,"Super Senior"
)</f>
        <v>Middle Age</v>
      </c>
      <c r="I829">
        <v>0</v>
      </c>
      <c r="J829">
        <v>0</v>
      </c>
      <c r="K829">
        <v>0</v>
      </c>
      <c r="L829">
        <v>0</v>
      </c>
      <c r="M829">
        <v>2</v>
      </c>
      <c r="N829">
        <v>2</v>
      </c>
      <c r="O829" s="1">
        <v>8755</v>
      </c>
      <c r="P829" s="1">
        <v>8158</v>
      </c>
      <c r="Q829" s="1">
        <v>7540</v>
      </c>
      <c r="R829" s="1">
        <v>8164</v>
      </c>
      <c r="S829" s="1">
        <v>6963</v>
      </c>
      <c r="T829" s="1">
        <v>5923</v>
      </c>
      <c r="U829" s="1">
        <v>1167</v>
      </c>
      <c r="V829" s="1">
        <v>1022</v>
      </c>
      <c r="W829" s="1">
        <v>1036</v>
      </c>
      <c r="X829" s="1">
        <v>0</v>
      </c>
      <c r="Y829" s="1">
        <v>2700</v>
      </c>
      <c r="Z829" s="1">
        <v>0</v>
      </c>
      <c r="AA829">
        <v>0</v>
      </c>
      <c r="AB829" t="str">
        <f t="shared" si="12"/>
        <v>Not Defaulter</v>
      </c>
      <c r="AC829" s="1">
        <f>Table2[[#This Row],[BILL_AMT1]]-Table2[[#This Row],[PAY_AMT1]]</f>
        <v>7588</v>
      </c>
      <c r="AD829" s="1" t="str" cm="1">
        <f t="array" ref="AD829">_xlfn.IFS(Table2[[#This Row],[PAYMENT GAP]]&lt;=0,"No Gap / Overpaid",Table2[[#This Row],[PAYMENT GAP]]&lt;=25000,"Low Gap",Table2[[#This Row],[PAYMENT GAP]]&lt;=100000,"Medium Gap",
TRUE,"High Gap"
)</f>
        <v>Low Gap</v>
      </c>
    </row>
    <row r="830" spans="1:30" x14ac:dyDescent="0.3">
      <c r="A830">
        <v>829</v>
      </c>
      <c r="B830" s="1">
        <v>200000</v>
      </c>
      <c r="C830" s="1" t="str" cm="1">
        <f t="array" ref="C830">_xlfn.IFS(Table2[[#This Row],[LIMIT_BAL]]&lt;=100000,"Low",Table2[[#This Row],[LIMIT_BAL]]&lt;=300000,"Medium",
TRUE,"High"
)</f>
        <v>Medium</v>
      </c>
      <c r="D830" t="s">
        <v>2041</v>
      </c>
      <c r="E830" t="s">
        <v>2043</v>
      </c>
      <c r="F830" t="s">
        <v>2028</v>
      </c>
      <c r="G830">
        <v>58</v>
      </c>
      <c r="H830" t="str" cm="1">
        <f t="array" ref="H830">_xlfn.IFS(
Table2[[#This Row],[AGE]]&lt;30,"Young",
Table2[[#This Row],[AGE]]&lt;40,"Middle Age",
Table2[[#This Row],[AGE]]&lt;50,"Senior",
TRUE,"Super Senior"
)</f>
        <v>Super Senior</v>
      </c>
      <c r="I830">
        <v>-1</v>
      </c>
      <c r="J830">
        <v>-1</v>
      </c>
      <c r="K830">
        <v>-1</v>
      </c>
      <c r="L830">
        <v>-1</v>
      </c>
      <c r="M830">
        <v>-2</v>
      </c>
      <c r="N830">
        <v>-1</v>
      </c>
      <c r="O830" s="1">
        <v>3035</v>
      </c>
      <c r="P830" s="1">
        <v>199602</v>
      </c>
      <c r="Q830" s="1">
        <v>720</v>
      </c>
      <c r="R830" s="1">
        <v>0</v>
      </c>
      <c r="S830" s="1">
        <v>0</v>
      </c>
      <c r="T830" s="1">
        <v>1500</v>
      </c>
      <c r="U830" s="1">
        <v>199646</v>
      </c>
      <c r="V830" s="1">
        <v>720</v>
      </c>
      <c r="W830" s="1">
        <v>0</v>
      </c>
      <c r="X830" s="1">
        <v>0</v>
      </c>
      <c r="Y830" s="1">
        <v>1500</v>
      </c>
      <c r="Z830" s="1">
        <v>185652</v>
      </c>
      <c r="AA830">
        <v>0</v>
      </c>
      <c r="AB830" t="str">
        <f t="shared" si="12"/>
        <v>Not Defaulter</v>
      </c>
      <c r="AC830" s="1">
        <f>Table2[[#This Row],[BILL_AMT1]]-Table2[[#This Row],[PAY_AMT1]]</f>
        <v>-196611</v>
      </c>
      <c r="AD830" s="1" t="str" cm="1">
        <f t="array" ref="AD830">_xlfn.IFS(Table2[[#This Row],[PAYMENT GAP]]&lt;=0,"No Gap / Overpaid",Table2[[#This Row],[PAYMENT GAP]]&lt;=25000,"Low Gap",Table2[[#This Row],[PAYMENT GAP]]&lt;=100000,"Medium Gap",
TRUE,"High Gap"
)</f>
        <v>No Gap / Overpaid</v>
      </c>
    </row>
    <row r="831" spans="1:30" x14ac:dyDescent="0.3">
      <c r="A831">
        <v>830</v>
      </c>
      <c r="B831" s="1">
        <v>50000</v>
      </c>
      <c r="C831" s="1" t="str" cm="1">
        <f t="array" ref="C831">_xlfn.IFS(Table2[[#This Row],[LIMIT_BAL]]&lt;=100000,"Low",Table2[[#This Row],[LIMIT_BAL]]&lt;=300000,"Medium",
TRUE,"High"
)</f>
        <v>Low</v>
      </c>
      <c r="D831" t="s">
        <v>2041</v>
      </c>
      <c r="E831" t="s">
        <v>2043</v>
      </c>
      <c r="F831" t="s">
        <v>2028</v>
      </c>
      <c r="G831">
        <v>48</v>
      </c>
      <c r="H831" t="str" cm="1">
        <f t="array" ref="H831">_xlfn.IFS(
Table2[[#This Row],[AGE]]&lt;30,"Young",
Table2[[#This Row],[AGE]]&lt;40,"Middle Age",
Table2[[#This Row],[AGE]]&lt;50,"Senior",
TRUE,"Super Senior"
)</f>
        <v>Senior</v>
      </c>
      <c r="I831">
        <v>0</v>
      </c>
      <c r="J831">
        <v>-1</v>
      </c>
      <c r="K831">
        <v>-1</v>
      </c>
      <c r="L831">
        <v>0</v>
      </c>
      <c r="M831">
        <v>0</v>
      </c>
      <c r="N831">
        <v>0</v>
      </c>
      <c r="O831" s="1">
        <v>20944</v>
      </c>
      <c r="P831" s="1">
        <v>4696</v>
      </c>
      <c r="Q831" s="1">
        <v>47225</v>
      </c>
      <c r="R831" s="1">
        <v>16483</v>
      </c>
      <c r="S831" s="1">
        <v>9343</v>
      </c>
      <c r="T831" s="1">
        <v>9693</v>
      </c>
      <c r="U831" s="1">
        <v>2360</v>
      </c>
      <c r="V831" s="1">
        <v>49325</v>
      </c>
      <c r="W831" s="1">
        <v>3001</v>
      </c>
      <c r="X831" s="1">
        <v>1882</v>
      </c>
      <c r="Y831" s="1">
        <v>500</v>
      </c>
      <c r="Z831" s="1">
        <v>503</v>
      </c>
      <c r="AA831">
        <v>0</v>
      </c>
      <c r="AB831" t="str">
        <f t="shared" si="12"/>
        <v>Not Defaulter</v>
      </c>
      <c r="AC831" s="1">
        <f>Table2[[#This Row],[BILL_AMT1]]-Table2[[#This Row],[PAY_AMT1]]</f>
        <v>18584</v>
      </c>
      <c r="AD831" s="1" t="str" cm="1">
        <f t="array" ref="AD831">_xlfn.IFS(Table2[[#This Row],[PAYMENT GAP]]&lt;=0,"No Gap / Overpaid",Table2[[#This Row],[PAYMENT GAP]]&lt;=25000,"Low Gap",Table2[[#This Row],[PAYMENT GAP]]&lt;=100000,"Medium Gap",
TRUE,"High Gap"
)</f>
        <v>Low Gap</v>
      </c>
    </row>
    <row r="832" spans="1:30" x14ac:dyDescent="0.3">
      <c r="A832">
        <v>831</v>
      </c>
      <c r="B832" s="1">
        <v>320000</v>
      </c>
      <c r="C832" s="1" t="str" cm="1">
        <f t="array" ref="C832">_xlfn.IFS(Table2[[#This Row],[LIMIT_BAL]]&lt;=100000,"Low",Table2[[#This Row],[LIMIT_BAL]]&lt;=300000,"Medium",
TRUE,"High"
)</f>
        <v>High</v>
      </c>
      <c r="D832" t="s">
        <v>2042</v>
      </c>
      <c r="E832" t="s">
        <v>2026</v>
      </c>
      <c r="F832" t="s">
        <v>2029</v>
      </c>
      <c r="G832">
        <v>28</v>
      </c>
      <c r="H832" t="str" cm="1">
        <f t="array" ref="H832">_xlfn.IFS(
Table2[[#This Row],[AGE]]&lt;30,"Young",
Table2[[#This Row],[AGE]]&lt;40,"Middle Age",
Table2[[#This Row],[AGE]]&lt;50,"Senior",
TRUE,"Super Senior"
)</f>
        <v>Young</v>
      </c>
      <c r="I832">
        <v>-1</v>
      </c>
      <c r="J832">
        <v>0</v>
      </c>
      <c r="K832">
        <v>0</v>
      </c>
      <c r="L832">
        <v>-1</v>
      </c>
      <c r="M832">
        <v>0</v>
      </c>
      <c r="N832">
        <v>0</v>
      </c>
      <c r="O832" s="1">
        <v>2007</v>
      </c>
      <c r="P832" s="1">
        <v>3477</v>
      </c>
      <c r="Q832" s="1">
        <v>3037</v>
      </c>
      <c r="R832" s="1">
        <v>1633</v>
      </c>
      <c r="S832" s="1">
        <v>3633</v>
      </c>
      <c r="T832" s="1">
        <v>0</v>
      </c>
      <c r="U832" s="1">
        <v>2000</v>
      </c>
      <c r="V832" s="1">
        <v>1000</v>
      </c>
      <c r="W832" s="1">
        <v>1633</v>
      </c>
      <c r="X832" s="1">
        <v>2000</v>
      </c>
      <c r="Y832" s="1">
        <v>0</v>
      </c>
      <c r="Z832" s="1">
        <v>3000</v>
      </c>
      <c r="AA832">
        <v>0</v>
      </c>
      <c r="AB832" t="str">
        <f t="shared" si="12"/>
        <v>Not Defaulter</v>
      </c>
      <c r="AC832" s="1">
        <f>Table2[[#This Row],[BILL_AMT1]]-Table2[[#This Row],[PAY_AMT1]]</f>
        <v>7</v>
      </c>
      <c r="AD832" s="1" t="str" cm="1">
        <f t="array" ref="AD832">_xlfn.IFS(Table2[[#This Row],[PAYMENT GAP]]&lt;=0,"No Gap / Overpaid",Table2[[#This Row],[PAYMENT GAP]]&lt;=25000,"Low Gap",Table2[[#This Row],[PAYMENT GAP]]&lt;=100000,"Medium Gap",
TRUE,"High Gap"
)</f>
        <v>Low Gap</v>
      </c>
    </row>
    <row r="833" spans="1:30" x14ac:dyDescent="0.3">
      <c r="A833">
        <v>832</v>
      </c>
      <c r="B833" s="1">
        <v>20000</v>
      </c>
      <c r="C833" s="1" t="str" cm="1">
        <f t="array" ref="C833">_xlfn.IFS(Table2[[#This Row],[LIMIT_BAL]]&lt;=100000,"Low",Table2[[#This Row],[LIMIT_BAL]]&lt;=300000,"Medium",
TRUE,"High"
)</f>
        <v>Low</v>
      </c>
      <c r="D833" t="s">
        <v>2041</v>
      </c>
      <c r="E833" t="s">
        <v>2027</v>
      </c>
      <c r="F833" t="s">
        <v>2028</v>
      </c>
      <c r="G833">
        <v>24</v>
      </c>
      <c r="H833" t="str" cm="1">
        <f t="array" ref="H833">_xlfn.IFS(
Table2[[#This Row],[AGE]]&lt;30,"Young",
Table2[[#This Row],[AGE]]&lt;40,"Middle Age",
Table2[[#This Row],[AGE]]&lt;50,"Senior",
TRUE,"Super Senior"
)</f>
        <v>Young</v>
      </c>
      <c r="I833">
        <v>8</v>
      </c>
      <c r="J833">
        <v>7</v>
      </c>
      <c r="K833">
        <v>6</v>
      </c>
      <c r="L833">
        <v>5</v>
      </c>
      <c r="M833">
        <v>4</v>
      </c>
      <c r="N833">
        <v>3</v>
      </c>
      <c r="O833" s="1">
        <v>24310</v>
      </c>
      <c r="P833" s="1">
        <v>23987</v>
      </c>
      <c r="Q833" s="1">
        <v>23353</v>
      </c>
      <c r="R833" s="1">
        <v>22719</v>
      </c>
      <c r="S833" s="1">
        <v>21796</v>
      </c>
      <c r="T833" s="1">
        <v>21162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>
        <v>0</v>
      </c>
      <c r="AB833" t="str">
        <f t="shared" si="12"/>
        <v>Not Defaulter</v>
      </c>
      <c r="AC833" s="1">
        <f>Table2[[#This Row],[BILL_AMT1]]-Table2[[#This Row],[PAY_AMT1]]</f>
        <v>24310</v>
      </c>
      <c r="AD833" s="1" t="str" cm="1">
        <f t="array" ref="AD833">_xlfn.IFS(Table2[[#This Row],[PAYMENT GAP]]&lt;=0,"No Gap / Overpaid",Table2[[#This Row],[PAYMENT GAP]]&lt;=25000,"Low Gap",Table2[[#This Row],[PAYMENT GAP]]&lt;=100000,"Medium Gap",
TRUE,"High Gap"
)</f>
        <v>Low Gap</v>
      </c>
    </row>
    <row r="834" spans="1:30" x14ac:dyDescent="0.3">
      <c r="A834">
        <v>833</v>
      </c>
      <c r="B834" s="1">
        <v>470000</v>
      </c>
      <c r="C834" s="1" t="str" cm="1">
        <f t="array" ref="C834">_xlfn.IFS(Table2[[#This Row],[LIMIT_BAL]]&lt;=100000,"Low",Table2[[#This Row],[LIMIT_BAL]]&lt;=300000,"Medium",
TRUE,"High"
)</f>
        <v>High</v>
      </c>
      <c r="D834" t="s">
        <v>2041</v>
      </c>
      <c r="E834" t="s">
        <v>2043</v>
      </c>
      <c r="F834" t="s">
        <v>2028</v>
      </c>
      <c r="G834">
        <v>27</v>
      </c>
      <c r="H834" t="str" cm="1">
        <f t="array" ref="H834">_xlfn.IFS(
Table2[[#This Row],[AGE]]&lt;30,"Young",
Table2[[#This Row],[AGE]]&lt;40,"Middle Age",
Table2[[#This Row],[AGE]]&lt;50,"Senior",
TRUE,"Super Senior"
)</f>
        <v>Young</v>
      </c>
      <c r="I834">
        <v>0</v>
      </c>
      <c r="J834">
        <v>0</v>
      </c>
      <c r="K834">
        <v>0</v>
      </c>
      <c r="L834">
        <v>0</v>
      </c>
      <c r="M834">
        <v>-1</v>
      </c>
      <c r="N834">
        <v>0</v>
      </c>
      <c r="O834" s="1">
        <v>152478</v>
      </c>
      <c r="P834" s="1">
        <v>62084</v>
      </c>
      <c r="Q834" s="1">
        <v>54551</v>
      </c>
      <c r="R834" s="1">
        <v>14363</v>
      </c>
      <c r="S834" s="1">
        <v>97440</v>
      </c>
      <c r="T834" s="1">
        <v>90717</v>
      </c>
      <c r="U834" s="1">
        <v>3001</v>
      </c>
      <c r="V834" s="1">
        <v>4005</v>
      </c>
      <c r="W834" s="1">
        <v>2021</v>
      </c>
      <c r="X834" s="1">
        <v>97441</v>
      </c>
      <c r="Y834" s="1">
        <v>5001</v>
      </c>
      <c r="Z834" s="1">
        <v>5001</v>
      </c>
      <c r="AA834">
        <v>1</v>
      </c>
      <c r="AB834" t="str">
        <f t="shared" si="12"/>
        <v>Defaulter</v>
      </c>
      <c r="AC834" s="1">
        <f>Table2[[#This Row],[BILL_AMT1]]-Table2[[#This Row],[PAY_AMT1]]</f>
        <v>149477</v>
      </c>
      <c r="AD834" s="1" t="str" cm="1">
        <f t="array" ref="AD834">_xlfn.IFS(Table2[[#This Row],[PAYMENT GAP]]&lt;=0,"No Gap / Overpaid",Table2[[#This Row],[PAYMENT GAP]]&lt;=25000,"Low Gap",Table2[[#This Row],[PAYMENT GAP]]&lt;=100000,"Medium Gap",
TRUE,"High Gap"
)</f>
        <v>High Gap</v>
      </c>
    </row>
    <row r="835" spans="1:30" x14ac:dyDescent="0.3">
      <c r="A835">
        <v>834</v>
      </c>
      <c r="B835" s="1">
        <v>230000</v>
      </c>
      <c r="C835" s="1" t="str" cm="1">
        <f t="array" ref="C835">_xlfn.IFS(Table2[[#This Row],[LIMIT_BAL]]&lt;=100000,"Low",Table2[[#This Row],[LIMIT_BAL]]&lt;=300000,"Medium",
TRUE,"High"
)</f>
        <v>Medium</v>
      </c>
      <c r="D835" t="s">
        <v>2041</v>
      </c>
      <c r="E835" t="s">
        <v>2027</v>
      </c>
      <c r="F835" t="s">
        <v>2029</v>
      </c>
      <c r="G835">
        <v>30</v>
      </c>
      <c r="H835" t="str" cm="1">
        <f t="array" ref="H835">_xlfn.IFS(
Table2[[#This Row],[AGE]]&lt;30,"Young",
Table2[[#This Row],[AGE]]&lt;40,"Middle Age",
Table2[[#This Row],[AGE]]&lt;50,"Senior",
TRUE,"Super Senior"
)</f>
        <v>Middle Age</v>
      </c>
      <c r="I835">
        <v>-1</v>
      </c>
      <c r="J835">
        <v>-1</v>
      </c>
      <c r="K835">
        <v>-1</v>
      </c>
      <c r="L835">
        <v>0</v>
      </c>
      <c r="M835">
        <v>0</v>
      </c>
      <c r="N835">
        <v>0</v>
      </c>
      <c r="O835" s="1">
        <v>550</v>
      </c>
      <c r="P835" s="1">
        <v>0</v>
      </c>
      <c r="Q835" s="1">
        <v>13013</v>
      </c>
      <c r="R835" s="1">
        <v>14265</v>
      </c>
      <c r="S835" s="1">
        <v>13659</v>
      </c>
      <c r="T835" s="1">
        <v>0</v>
      </c>
      <c r="U835" s="1">
        <v>0</v>
      </c>
      <c r="V835" s="1">
        <v>13013</v>
      </c>
      <c r="W835" s="1">
        <v>1252</v>
      </c>
      <c r="X835" s="1">
        <v>3659</v>
      </c>
      <c r="Y835" s="1">
        <v>0</v>
      </c>
      <c r="Z835" s="1">
        <v>0</v>
      </c>
      <c r="AA835">
        <v>0</v>
      </c>
      <c r="AB835" t="str">
        <f t="shared" ref="AB835:AB898" si="13">IF(AA835=1,"Defaulter","Not Defaulter")</f>
        <v>Not Defaulter</v>
      </c>
      <c r="AC835" s="1">
        <f>Table2[[#This Row],[BILL_AMT1]]-Table2[[#This Row],[PAY_AMT1]]</f>
        <v>550</v>
      </c>
      <c r="AD835" s="1" t="str" cm="1">
        <f t="array" ref="AD835">_xlfn.IFS(Table2[[#This Row],[PAYMENT GAP]]&lt;=0,"No Gap / Overpaid",Table2[[#This Row],[PAYMENT GAP]]&lt;=25000,"Low Gap",Table2[[#This Row],[PAYMENT GAP]]&lt;=100000,"Medium Gap",
TRUE,"High Gap"
)</f>
        <v>Low Gap</v>
      </c>
    </row>
    <row r="836" spans="1:30" x14ac:dyDescent="0.3">
      <c r="A836">
        <v>835</v>
      </c>
      <c r="B836" s="1">
        <v>20000</v>
      </c>
      <c r="C836" s="1" t="str" cm="1">
        <f t="array" ref="C836">_xlfn.IFS(Table2[[#This Row],[LIMIT_BAL]]&lt;=100000,"Low",Table2[[#This Row],[LIMIT_BAL]]&lt;=300000,"Medium",
TRUE,"High"
)</f>
        <v>Low</v>
      </c>
      <c r="D836" t="s">
        <v>2041</v>
      </c>
      <c r="E836" t="s">
        <v>2026</v>
      </c>
      <c r="F836" t="s">
        <v>2029</v>
      </c>
      <c r="G836">
        <v>23</v>
      </c>
      <c r="H836" t="str" cm="1">
        <f t="array" ref="H836">_xlfn.IFS(
Table2[[#This Row],[AGE]]&lt;30,"Young",
Table2[[#This Row],[AGE]]&lt;40,"Middle Age",
Table2[[#This Row],[AGE]]&lt;50,"Senior",
TRUE,"Super Senior"
)</f>
        <v>Young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-2</v>
      </c>
      <c r="O836" s="1">
        <v>17246</v>
      </c>
      <c r="P836" s="1">
        <v>16988</v>
      </c>
      <c r="Q836" s="1">
        <v>15973</v>
      </c>
      <c r="R836" s="1">
        <v>18773</v>
      </c>
      <c r="S836" s="1">
        <v>0</v>
      </c>
      <c r="T836" s="1">
        <v>0</v>
      </c>
      <c r="U836" s="1">
        <v>2000</v>
      </c>
      <c r="V836" s="1">
        <v>2000</v>
      </c>
      <c r="W836" s="1">
        <v>3000</v>
      </c>
      <c r="X836" s="1">
        <v>0</v>
      </c>
      <c r="Y836" s="1">
        <v>0</v>
      </c>
      <c r="Z836" s="1">
        <v>0</v>
      </c>
      <c r="AA836">
        <v>0</v>
      </c>
      <c r="AB836" t="str">
        <f t="shared" si="13"/>
        <v>Not Defaulter</v>
      </c>
      <c r="AC836" s="1">
        <f>Table2[[#This Row],[BILL_AMT1]]-Table2[[#This Row],[PAY_AMT1]]</f>
        <v>15246</v>
      </c>
      <c r="AD836" s="1" t="str" cm="1">
        <f t="array" ref="AD836">_xlfn.IFS(Table2[[#This Row],[PAYMENT GAP]]&lt;=0,"No Gap / Overpaid",Table2[[#This Row],[PAYMENT GAP]]&lt;=25000,"Low Gap",Table2[[#This Row],[PAYMENT GAP]]&lt;=100000,"Medium Gap",
TRUE,"High Gap"
)</f>
        <v>Low Gap</v>
      </c>
    </row>
    <row r="837" spans="1:30" x14ac:dyDescent="0.3">
      <c r="A837">
        <v>836</v>
      </c>
      <c r="B837" s="1">
        <v>30000</v>
      </c>
      <c r="C837" s="1" t="str" cm="1">
        <f t="array" ref="C837">_xlfn.IFS(Table2[[#This Row],[LIMIT_BAL]]&lt;=100000,"Low",Table2[[#This Row],[LIMIT_BAL]]&lt;=300000,"Medium",
TRUE,"High"
)</f>
        <v>Low</v>
      </c>
      <c r="D837" t="s">
        <v>2041</v>
      </c>
      <c r="E837" t="s">
        <v>2027</v>
      </c>
      <c r="F837" t="s">
        <v>2029</v>
      </c>
      <c r="G837">
        <v>53</v>
      </c>
      <c r="H837" t="str" cm="1">
        <f t="array" ref="H837">_xlfn.IFS(
Table2[[#This Row],[AGE]]&lt;30,"Young",
Table2[[#This Row],[AGE]]&lt;40,"Middle Age",
Table2[[#This Row],[AGE]]&lt;50,"Senior",
TRUE,"Super Senior"
)</f>
        <v>Super Senior</v>
      </c>
      <c r="I837">
        <v>-1</v>
      </c>
      <c r="J837">
        <v>-1</v>
      </c>
      <c r="K837">
        <v>-1</v>
      </c>
      <c r="L837">
        <v>-1</v>
      </c>
      <c r="M837">
        <v>-1</v>
      </c>
      <c r="N837">
        <v>-1</v>
      </c>
      <c r="O837" s="1">
        <v>1598</v>
      </c>
      <c r="P837" s="1">
        <v>2487</v>
      </c>
      <c r="Q837" s="1">
        <v>0</v>
      </c>
      <c r="R837" s="1">
        <v>4810</v>
      </c>
      <c r="S837" s="1">
        <v>2796</v>
      </c>
      <c r="T837" s="1">
        <v>3245</v>
      </c>
      <c r="U837" s="1">
        <v>2487</v>
      </c>
      <c r="V837" s="1">
        <v>0</v>
      </c>
      <c r="W837" s="1">
        <v>4810</v>
      </c>
      <c r="X837" s="1">
        <v>2796</v>
      </c>
      <c r="Y837" s="1">
        <v>3245</v>
      </c>
      <c r="Z837" s="1">
        <v>7305</v>
      </c>
      <c r="AA837">
        <v>1</v>
      </c>
      <c r="AB837" t="str">
        <f t="shared" si="13"/>
        <v>Defaulter</v>
      </c>
      <c r="AC837" s="1">
        <f>Table2[[#This Row],[BILL_AMT1]]-Table2[[#This Row],[PAY_AMT1]]</f>
        <v>-889</v>
      </c>
      <c r="AD837" s="1" t="str" cm="1">
        <f t="array" ref="AD837">_xlfn.IFS(Table2[[#This Row],[PAYMENT GAP]]&lt;=0,"No Gap / Overpaid",Table2[[#This Row],[PAYMENT GAP]]&lt;=25000,"Low Gap",Table2[[#This Row],[PAYMENT GAP]]&lt;=100000,"Medium Gap",
TRUE,"High Gap"
)</f>
        <v>No Gap / Overpaid</v>
      </c>
    </row>
    <row r="838" spans="1:30" x14ac:dyDescent="0.3">
      <c r="A838">
        <v>837</v>
      </c>
      <c r="B838" s="1">
        <v>80000</v>
      </c>
      <c r="C838" s="1" t="str" cm="1">
        <f t="array" ref="C838">_xlfn.IFS(Table2[[#This Row],[LIMIT_BAL]]&lt;=100000,"Low",Table2[[#This Row],[LIMIT_BAL]]&lt;=300000,"Medium",
TRUE,"High"
)</f>
        <v>Low</v>
      </c>
      <c r="D838" t="s">
        <v>2041</v>
      </c>
      <c r="E838" t="s">
        <v>2043</v>
      </c>
      <c r="F838" t="s">
        <v>2029</v>
      </c>
      <c r="G838">
        <v>23</v>
      </c>
      <c r="H838" t="str" cm="1">
        <f t="array" ref="H838">_xlfn.IFS(
Table2[[#This Row],[AGE]]&lt;30,"Young",
Table2[[#This Row],[AGE]]&lt;40,"Middle Age",
Table2[[#This Row],[AGE]]&lt;50,"Senior",
TRUE,"Super Senior"
)</f>
        <v>Young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 s="1">
        <v>22895</v>
      </c>
      <c r="P838" s="1">
        <v>23837</v>
      </c>
      <c r="Q838" s="1">
        <v>24253</v>
      </c>
      <c r="R838" s="1">
        <v>24562</v>
      </c>
      <c r="S838" s="1">
        <v>25126</v>
      </c>
      <c r="T838" s="1">
        <v>25476</v>
      </c>
      <c r="U838" s="1">
        <v>1600</v>
      </c>
      <c r="V838" s="1">
        <v>1100</v>
      </c>
      <c r="W838" s="1">
        <v>1000</v>
      </c>
      <c r="X838" s="1">
        <v>1100</v>
      </c>
      <c r="Y838" s="1">
        <v>906</v>
      </c>
      <c r="Z838" s="1">
        <v>0</v>
      </c>
      <c r="AA838">
        <v>0</v>
      </c>
      <c r="AB838" t="str">
        <f t="shared" si="13"/>
        <v>Not Defaulter</v>
      </c>
      <c r="AC838" s="1">
        <f>Table2[[#This Row],[BILL_AMT1]]-Table2[[#This Row],[PAY_AMT1]]</f>
        <v>21295</v>
      </c>
      <c r="AD838" s="1" t="str" cm="1">
        <f t="array" ref="AD838">_xlfn.IFS(Table2[[#This Row],[PAYMENT GAP]]&lt;=0,"No Gap / Overpaid",Table2[[#This Row],[PAYMENT GAP]]&lt;=25000,"Low Gap",Table2[[#This Row],[PAYMENT GAP]]&lt;=100000,"Medium Gap",
TRUE,"High Gap"
)</f>
        <v>Low Gap</v>
      </c>
    </row>
    <row r="839" spans="1:30" x14ac:dyDescent="0.3">
      <c r="A839">
        <v>838</v>
      </c>
      <c r="B839" s="1">
        <v>110000</v>
      </c>
      <c r="C839" s="1" t="str" cm="1">
        <f t="array" ref="C839">_xlfn.IFS(Table2[[#This Row],[LIMIT_BAL]]&lt;=100000,"Low",Table2[[#This Row],[LIMIT_BAL]]&lt;=300000,"Medium",
TRUE,"High"
)</f>
        <v>Medium</v>
      </c>
      <c r="D839" t="s">
        <v>2041</v>
      </c>
      <c r="E839" t="s">
        <v>2043</v>
      </c>
      <c r="F839" t="s">
        <v>2028</v>
      </c>
      <c r="G839">
        <v>55</v>
      </c>
      <c r="H839" t="str" cm="1">
        <f t="array" ref="H839">_xlfn.IFS(
Table2[[#This Row],[AGE]]&lt;30,"Young",
Table2[[#This Row],[AGE]]&lt;40,"Middle Age",
Table2[[#This Row],[AGE]]&lt;50,"Senior",
TRUE,"Super Senior"
)</f>
        <v>Super Senior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 s="1">
        <v>15069</v>
      </c>
      <c r="P839" s="1">
        <v>16123</v>
      </c>
      <c r="Q839" s="1">
        <v>16850</v>
      </c>
      <c r="R839" s="1">
        <v>17568</v>
      </c>
      <c r="S839" s="1">
        <v>18133</v>
      </c>
      <c r="T839" s="1">
        <v>18828</v>
      </c>
      <c r="U839" s="1">
        <v>1600</v>
      </c>
      <c r="V839" s="1">
        <v>1300</v>
      </c>
      <c r="W839" s="1">
        <v>1000</v>
      </c>
      <c r="X839" s="1">
        <v>1000</v>
      </c>
      <c r="Y839" s="1">
        <v>1000</v>
      </c>
      <c r="Z839" s="1">
        <v>1000</v>
      </c>
      <c r="AA839">
        <v>0</v>
      </c>
      <c r="AB839" t="str">
        <f t="shared" si="13"/>
        <v>Not Defaulter</v>
      </c>
      <c r="AC839" s="1">
        <f>Table2[[#This Row],[BILL_AMT1]]-Table2[[#This Row],[PAY_AMT1]]</f>
        <v>13469</v>
      </c>
      <c r="AD839" s="1" t="str" cm="1">
        <f t="array" ref="AD839">_xlfn.IFS(Table2[[#This Row],[PAYMENT GAP]]&lt;=0,"No Gap / Overpaid",Table2[[#This Row],[PAYMENT GAP]]&lt;=25000,"Low Gap",Table2[[#This Row],[PAYMENT GAP]]&lt;=100000,"Medium Gap",
TRUE,"High Gap"
)</f>
        <v>Low Gap</v>
      </c>
    </row>
    <row r="840" spans="1:30" x14ac:dyDescent="0.3">
      <c r="A840">
        <v>839</v>
      </c>
      <c r="B840" s="1">
        <v>420000</v>
      </c>
      <c r="C840" s="1" t="str" cm="1">
        <f t="array" ref="C840">_xlfn.IFS(Table2[[#This Row],[LIMIT_BAL]]&lt;=100000,"Low",Table2[[#This Row],[LIMIT_BAL]]&lt;=300000,"Medium",
TRUE,"High"
)</f>
        <v>High</v>
      </c>
      <c r="D840" t="s">
        <v>2042</v>
      </c>
      <c r="E840" t="s">
        <v>2043</v>
      </c>
      <c r="F840" t="s">
        <v>2028</v>
      </c>
      <c r="G840">
        <v>34</v>
      </c>
      <c r="H840" t="str" cm="1">
        <f t="array" ref="H840">_xlfn.IFS(
Table2[[#This Row],[AGE]]&lt;30,"Young",
Table2[[#This Row],[AGE]]&lt;40,"Middle Age",
Table2[[#This Row],[AGE]]&lt;50,"Senior",
TRUE,"Super Senior"
)</f>
        <v>Middle Age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 s="1">
        <v>88948</v>
      </c>
      <c r="P840" s="1">
        <v>79783</v>
      </c>
      <c r="Q840" s="1">
        <v>80575</v>
      </c>
      <c r="R840" s="1">
        <v>92982</v>
      </c>
      <c r="S840" s="1">
        <v>98502</v>
      </c>
      <c r="T840" s="1">
        <v>103200</v>
      </c>
      <c r="U840" s="1">
        <v>30000</v>
      </c>
      <c r="V840" s="1">
        <v>10575</v>
      </c>
      <c r="W840" s="1">
        <v>15000</v>
      </c>
      <c r="X840" s="1">
        <v>10000</v>
      </c>
      <c r="Y840" s="1">
        <v>10000</v>
      </c>
      <c r="Z840" s="1">
        <v>20000</v>
      </c>
      <c r="AA840">
        <v>0</v>
      </c>
      <c r="AB840" t="str">
        <f t="shared" si="13"/>
        <v>Not Defaulter</v>
      </c>
      <c r="AC840" s="1">
        <f>Table2[[#This Row],[BILL_AMT1]]-Table2[[#This Row],[PAY_AMT1]]</f>
        <v>58948</v>
      </c>
      <c r="AD840" s="1" t="str" cm="1">
        <f t="array" ref="AD840">_xlfn.IFS(Table2[[#This Row],[PAYMENT GAP]]&lt;=0,"No Gap / Overpaid",Table2[[#This Row],[PAYMENT GAP]]&lt;=25000,"Low Gap",Table2[[#This Row],[PAYMENT GAP]]&lt;=100000,"Medium Gap",
TRUE,"High Gap"
)</f>
        <v>Medium Gap</v>
      </c>
    </row>
    <row r="841" spans="1:30" x14ac:dyDescent="0.3">
      <c r="A841">
        <v>840</v>
      </c>
      <c r="B841" s="1">
        <v>500000</v>
      </c>
      <c r="C841" s="1" t="str" cm="1">
        <f t="array" ref="C841">_xlfn.IFS(Table2[[#This Row],[LIMIT_BAL]]&lt;=100000,"Low",Table2[[#This Row],[LIMIT_BAL]]&lt;=300000,"Medium",
TRUE,"High"
)</f>
        <v>High</v>
      </c>
      <c r="D841" t="s">
        <v>2042</v>
      </c>
      <c r="E841" t="s">
        <v>2026</v>
      </c>
      <c r="F841" t="s">
        <v>2028</v>
      </c>
      <c r="G841">
        <v>43</v>
      </c>
      <c r="H841" t="str" cm="1">
        <f t="array" ref="H841">_xlfn.IFS(
Table2[[#This Row],[AGE]]&lt;30,"Young",
Table2[[#This Row],[AGE]]&lt;40,"Middle Age",
Table2[[#This Row],[AGE]]&lt;50,"Senior",
TRUE,"Super Senior"
)</f>
        <v>Senior</v>
      </c>
      <c r="I841">
        <v>1</v>
      </c>
      <c r="J841">
        <v>-2</v>
      </c>
      <c r="K841">
        <v>-2</v>
      </c>
      <c r="L841">
        <v>-2</v>
      </c>
      <c r="M841">
        <v>-2</v>
      </c>
      <c r="N841">
        <v>-2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>
        <v>1</v>
      </c>
      <c r="AB841" t="str">
        <f t="shared" si="13"/>
        <v>Defaulter</v>
      </c>
      <c r="AC841" s="1">
        <f>Table2[[#This Row],[BILL_AMT1]]-Table2[[#This Row],[PAY_AMT1]]</f>
        <v>0</v>
      </c>
      <c r="AD841" s="1" t="str" cm="1">
        <f t="array" ref="AD841">_xlfn.IFS(Table2[[#This Row],[PAYMENT GAP]]&lt;=0,"No Gap / Overpaid",Table2[[#This Row],[PAYMENT GAP]]&lt;=25000,"Low Gap",Table2[[#This Row],[PAYMENT GAP]]&lt;=100000,"Medium Gap",
TRUE,"High Gap"
)</f>
        <v>No Gap / Overpaid</v>
      </c>
    </row>
    <row r="842" spans="1:30" x14ac:dyDescent="0.3">
      <c r="A842">
        <v>841</v>
      </c>
      <c r="B842" s="1">
        <v>80000</v>
      </c>
      <c r="C842" s="1" t="str" cm="1">
        <f t="array" ref="C842">_xlfn.IFS(Table2[[#This Row],[LIMIT_BAL]]&lt;=100000,"Low",Table2[[#This Row],[LIMIT_BAL]]&lt;=300000,"Medium",
TRUE,"High"
)</f>
        <v>Low</v>
      </c>
      <c r="D842" t="s">
        <v>2041</v>
      </c>
      <c r="E842" t="s">
        <v>2043</v>
      </c>
      <c r="F842" t="s">
        <v>2029</v>
      </c>
      <c r="G842">
        <v>22</v>
      </c>
      <c r="H842" t="str" cm="1">
        <f t="array" ref="H842">_xlfn.IFS(
Table2[[#This Row],[AGE]]&lt;30,"Young",
Table2[[#This Row],[AGE]]&lt;40,"Middle Age",
Table2[[#This Row],[AGE]]&lt;50,"Senior",
TRUE,"Super Senior"
)</f>
        <v>Young</v>
      </c>
      <c r="I842">
        <v>1</v>
      </c>
      <c r="J842">
        <v>2</v>
      </c>
      <c r="K842">
        <v>0</v>
      </c>
      <c r="L842">
        <v>0</v>
      </c>
      <c r="M842">
        <v>0</v>
      </c>
      <c r="N842">
        <v>0</v>
      </c>
      <c r="O842" s="1">
        <v>79318</v>
      </c>
      <c r="P842" s="1">
        <v>79459</v>
      </c>
      <c r="Q842" s="1">
        <v>79788</v>
      </c>
      <c r="R842" s="1">
        <v>29069</v>
      </c>
      <c r="S842" s="1">
        <v>26551</v>
      </c>
      <c r="T842" s="1">
        <v>27109</v>
      </c>
      <c r="U842" s="1">
        <v>2000</v>
      </c>
      <c r="V842" s="1">
        <v>2201</v>
      </c>
      <c r="W842" s="1">
        <v>2000</v>
      </c>
      <c r="X842" s="1">
        <v>1000</v>
      </c>
      <c r="Y842" s="1">
        <v>1000</v>
      </c>
      <c r="Z842" s="1">
        <v>2000</v>
      </c>
      <c r="AA842">
        <v>0</v>
      </c>
      <c r="AB842" t="str">
        <f t="shared" si="13"/>
        <v>Not Defaulter</v>
      </c>
      <c r="AC842" s="1">
        <f>Table2[[#This Row],[BILL_AMT1]]-Table2[[#This Row],[PAY_AMT1]]</f>
        <v>77318</v>
      </c>
      <c r="AD842" s="1" t="str" cm="1">
        <f t="array" ref="AD842">_xlfn.IFS(Table2[[#This Row],[PAYMENT GAP]]&lt;=0,"No Gap / Overpaid",Table2[[#This Row],[PAYMENT GAP]]&lt;=25000,"Low Gap",Table2[[#This Row],[PAYMENT GAP]]&lt;=100000,"Medium Gap",
TRUE,"High Gap"
)</f>
        <v>Medium Gap</v>
      </c>
    </row>
    <row r="843" spans="1:30" x14ac:dyDescent="0.3">
      <c r="A843">
        <v>842</v>
      </c>
      <c r="B843" s="1">
        <v>350000</v>
      </c>
      <c r="C843" s="1" t="str" cm="1">
        <f t="array" ref="C843">_xlfn.IFS(Table2[[#This Row],[LIMIT_BAL]]&lt;=100000,"Low",Table2[[#This Row],[LIMIT_BAL]]&lt;=300000,"Medium",
TRUE,"High"
)</f>
        <v>High</v>
      </c>
      <c r="D843" t="s">
        <v>2041</v>
      </c>
      <c r="E843" t="s">
        <v>2043</v>
      </c>
      <c r="F843" t="s">
        <v>2028</v>
      </c>
      <c r="G843">
        <v>31</v>
      </c>
      <c r="H843" t="str" cm="1">
        <f t="array" ref="H843">_xlfn.IFS(
Table2[[#This Row],[AGE]]&lt;30,"Young",
Table2[[#This Row],[AGE]]&lt;40,"Middle Age",
Table2[[#This Row],[AGE]]&lt;50,"Senior",
TRUE,"Super Senior"
)</f>
        <v>Middle Age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 s="1">
        <v>67648</v>
      </c>
      <c r="P843" s="1">
        <v>68557</v>
      </c>
      <c r="Q843" s="1">
        <v>63179</v>
      </c>
      <c r="R843" s="1">
        <v>57987</v>
      </c>
      <c r="S843" s="1">
        <v>53948</v>
      </c>
      <c r="T843" s="1">
        <v>39965</v>
      </c>
      <c r="U843" s="1">
        <v>3039</v>
      </c>
      <c r="V843" s="1">
        <v>2047</v>
      </c>
      <c r="W843" s="1">
        <v>1750</v>
      </c>
      <c r="X843" s="1">
        <v>1703</v>
      </c>
      <c r="Y843" s="1">
        <v>1721</v>
      </c>
      <c r="Z843" s="1">
        <v>784</v>
      </c>
      <c r="AA843">
        <v>0</v>
      </c>
      <c r="AB843" t="str">
        <f t="shared" si="13"/>
        <v>Not Defaulter</v>
      </c>
      <c r="AC843" s="1">
        <f>Table2[[#This Row],[BILL_AMT1]]-Table2[[#This Row],[PAY_AMT1]]</f>
        <v>64609</v>
      </c>
      <c r="AD843" s="1" t="str" cm="1">
        <f t="array" ref="AD843">_xlfn.IFS(Table2[[#This Row],[PAYMENT GAP]]&lt;=0,"No Gap / Overpaid",Table2[[#This Row],[PAYMENT GAP]]&lt;=25000,"Low Gap",Table2[[#This Row],[PAYMENT GAP]]&lt;=100000,"Medium Gap",
TRUE,"High Gap"
)</f>
        <v>Medium Gap</v>
      </c>
    </row>
    <row r="844" spans="1:30" x14ac:dyDescent="0.3">
      <c r="A844">
        <v>843</v>
      </c>
      <c r="B844" s="1">
        <v>30000</v>
      </c>
      <c r="C844" s="1" t="str" cm="1">
        <f t="array" ref="C844">_xlfn.IFS(Table2[[#This Row],[LIMIT_BAL]]&lt;=100000,"Low",Table2[[#This Row],[LIMIT_BAL]]&lt;=300000,"Medium",
TRUE,"High"
)</f>
        <v>Low</v>
      </c>
      <c r="D844" t="s">
        <v>2041</v>
      </c>
      <c r="E844" t="s">
        <v>2043</v>
      </c>
      <c r="F844" t="s">
        <v>2028</v>
      </c>
      <c r="G844">
        <v>32</v>
      </c>
      <c r="H844" t="str" cm="1">
        <f t="array" ref="H844">_xlfn.IFS(
Table2[[#This Row],[AGE]]&lt;30,"Young",
Table2[[#This Row],[AGE]]&lt;40,"Middle Age",
Table2[[#This Row],[AGE]]&lt;50,"Senior",
TRUE,"Super Senior"
)</f>
        <v>Middle Age</v>
      </c>
      <c r="I844">
        <v>-2</v>
      </c>
      <c r="J844">
        <v>-2</v>
      </c>
      <c r="K844">
        <v>-2</v>
      </c>
      <c r="L844">
        <v>-2</v>
      </c>
      <c r="M844">
        <v>-2</v>
      </c>
      <c r="N844">
        <v>-2</v>
      </c>
      <c r="O844" s="1">
        <v>0</v>
      </c>
      <c r="P844" s="1">
        <v>0</v>
      </c>
      <c r="Q844" s="1">
        <v>0</v>
      </c>
      <c r="R844" s="1">
        <v>0</v>
      </c>
      <c r="S844" s="1">
        <v>7463</v>
      </c>
      <c r="T844" s="1">
        <v>6804</v>
      </c>
      <c r="U844" s="1">
        <v>0</v>
      </c>
      <c r="V844" s="1">
        <v>0</v>
      </c>
      <c r="W844" s="1">
        <v>0</v>
      </c>
      <c r="X844" s="1">
        <v>7463</v>
      </c>
      <c r="Y844" s="1">
        <v>6804</v>
      </c>
      <c r="Z844" s="1">
        <v>4985</v>
      </c>
      <c r="AA844">
        <v>0</v>
      </c>
      <c r="AB844" t="str">
        <f t="shared" si="13"/>
        <v>Not Defaulter</v>
      </c>
      <c r="AC844" s="1">
        <f>Table2[[#This Row],[BILL_AMT1]]-Table2[[#This Row],[PAY_AMT1]]</f>
        <v>0</v>
      </c>
      <c r="AD844" s="1" t="str" cm="1">
        <f t="array" ref="AD844">_xlfn.IFS(Table2[[#This Row],[PAYMENT GAP]]&lt;=0,"No Gap / Overpaid",Table2[[#This Row],[PAYMENT GAP]]&lt;=25000,"Low Gap",Table2[[#This Row],[PAYMENT GAP]]&lt;=100000,"Medium Gap",
TRUE,"High Gap"
)</f>
        <v>No Gap / Overpaid</v>
      </c>
    </row>
    <row r="845" spans="1:30" x14ac:dyDescent="0.3">
      <c r="A845">
        <v>844</v>
      </c>
      <c r="B845" s="1">
        <v>110000</v>
      </c>
      <c r="C845" s="1" t="str" cm="1">
        <f t="array" ref="C845">_xlfn.IFS(Table2[[#This Row],[LIMIT_BAL]]&lt;=100000,"Low",Table2[[#This Row],[LIMIT_BAL]]&lt;=300000,"Medium",
TRUE,"High"
)</f>
        <v>Medium</v>
      </c>
      <c r="D845" t="s">
        <v>2041</v>
      </c>
      <c r="E845" t="s">
        <v>2043</v>
      </c>
      <c r="F845" t="s">
        <v>2029</v>
      </c>
      <c r="G845">
        <v>33</v>
      </c>
      <c r="H845" t="str" cm="1">
        <f t="array" ref="H845">_xlfn.IFS(
Table2[[#This Row],[AGE]]&lt;30,"Young",
Table2[[#This Row],[AGE]]&lt;40,"Middle Age",
Table2[[#This Row],[AGE]]&lt;50,"Senior",
TRUE,"Super Senior"
)</f>
        <v>Middle Age</v>
      </c>
      <c r="I845">
        <v>1</v>
      </c>
      <c r="J845">
        <v>-2</v>
      </c>
      <c r="K845">
        <v>-2</v>
      </c>
      <c r="L845">
        <v>-2</v>
      </c>
      <c r="M845">
        <v>-2</v>
      </c>
      <c r="N845">
        <v>-1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150</v>
      </c>
      <c r="U845" s="1">
        <v>0</v>
      </c>
      <c r="V845" s="1">
        <v>0</v>
      </c>
      <c r="W845" s="1">
        <v>0</v>
      </c>
      <c r="X845" s="1">
        <v>0</v>
      </c>
      <c r="Y845" s="1">
        <v>300</v>
      </c>
      <c r="Z845" s="1">
        <v>102</v>
      </c>
      <c r="AA845">
        <v>1</v>
      </c>
      <c r="AB845" t="str">
        <f t="shared" si="13"/>
        <v>Defaulter</v>
      </c>
      <c r="AC845" s="1">
        <f>Table2[[#This Row],[BILL_AMT1]]-Table2[[#This Row],[PAY_AMT1]]</f>
        <v>0</v>
      </c>
      <c r="AD845" s="1" t="str" cm="1">
        <f t="array" ref="AD845">_xlfn.IFS(Table2[[#This Row],[PAYMENT GAP]]&lt;=0,"No Gap / Overpaid",Table2[[#This Row],[PAYMENT GAP]]&lt;=25000,"Low Gap",Table2[[#This Row],[PAYMENT GAP]]&lt;=100000,"Medium Gap",
TRUE,"High Gap"
)</f>
        <v>No Gap / Overpaid</v>
      </c>
    </row>
    <row r="846" spans="1:30" x14ac:dyDescent="0.3">
      <c r="A846">
        <v>845</v>
      </c>
      <c r="B846" s="1">
        <v>500000</v>
      </c>
      <c r="C846" s="1" t="str" cm="1">
        <f t="array" ref="C846">_xlfn.IFS(Table2[[#This Row],[LIMIT_BAL]]&lt;=100000,"Low",Table2[[#This Row],[LIMIT_BAL]]&lt;=300000,"Medium",
TRUE,"High"
)</f>
        <v>High</v>
      </c>
      <c r="D846" t="s">
        <v>2042</v>
      </c>
      <c r="E846" t="s">
        <v>2027</v>
      </c>
      <c r="F846" t="s">
        <v>2028</v>
      </c>
      <c r="G846">
        <v>39</v>
      </c>
      <c r="H846" t="str" cm="1">
        <f t="array" ref="H846">_xlfn.IFS(
Table2[[#This Row],[AGE]]&lt;30,"Young",
Table2[[#This Row],[AGE]]&lt;40,"Middle Age",
Table2[[#This Row],[AGE]]&lt;50,"Senior",
TRUE,"Super Senior"
)</f>
        <v>Middle Age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 s="1">
        <v>315201</v>
      </c>
      <c r="P846" s="1">
        <v>332071</v>
      </c>
      <c r="Q846" s="1">
        <v>375070</v>
      </c>
      <c r="R846" s="1">
        <v>354839</v>
      </c>
      <c r="S846" s="1">
        <v>369532</v>
      </c>
      <c r="T846" s="1">
        <v>367399</v>
      </c>
      <c r="U846" s="1">
        <v>25000</v>
      </c>
      <c r="V846" s="1">
        <v>50000</v>
      </c>
      <c r="W846" s="1">
        <v>20000</v>
      </c>
      <c r="X846" s="1">
        <v>19586</v>
      </c>
      <c r="Y846" s="1">
        <v>14122</v>
      </c>
      <c r="Z846" s="1">
        <v>12022</v>
      </c>
      <c r="AA846">
        <v>0</v>
      </c>
      <c r="AB846" t="str">
        <f t="shared" si="13"/>
        <v>Not Defaulter</v>
      </c>
      <c r="AC846" s="1">
        <f>Table2[[#This Row],[BILL_AMT1]]-Table2[[#This Row],[PAY_AMT1]]</f>
        <v>290201</v>
      </c>
      <c r="AD846" s="1" t="str" cm="1">
        <f t="array" ref="AD846">_xlfn.IFS(Table2[[#This Row],[PAYMENT GAP]]&lt;=0,"No Gap / Overpaid",Table2[[#This Row],[PAYMENT GAP]]&lt;=25000,"Low Gap",Table2[[#This Row],[PAYMENT GAP]]&lt;=100000,"Medium Gap",
TRUE,"High Gap"
)</f>
        <v>High Gap</v>
      </c>
    </row>
    <row r="847" spans="1:30" x14ac:dyDescent="0.3">
      <c r="A847">
        <v>846</v>
      </c>
      <c r="B847" s="1">
        <v>490000</v>
      </c>
      <c r="C847" s="1" t="str" cm="1">
        <f t="array" ref="C847">_xlfn.IFS(Table2[[#This Row],[LIMIT_BAL]]&lt;=100000,"Low",Table2[[#This Row],[LIMIT_BAL]]&lt;=300000,"Medium",
TRUE,"High"
)</f>
        <v>High</v>
      </c>
      <c r="D847" t="s">
        <v>2041</v>
      </c>
      <c r="E847" t="s">
        <v>2026</v>
      </c>
      <c r="F847" t="s">
        <v>2028</v>
      </c>
      <c r="G847">
        <v>38</v>
      </c>
      <c r="H847" t="str" cm="1">
        <f t="array" ref="H847">_xlfn.IFS(
Table2[[#This Row],[AGE]]&lt;30,"Young",
Table2[[#This Row],[AGE]]&lt;40,"Middle Age",
Table2[[#This Row],[AGE]]&lt;50,"Senior",
TRUE,"Super Senior"
)</f>
        <v>Middle Age</v>
      </c>
      <c r="I847">
        <v>-1</v>
      </c>
      <c r="J847">
        <v>-1</v>
      </c>
      <c r="K847">
        <v>-1</v>
      </c>
      <c r="L847">
        <v>-1</v>
      </c>
      <c r="M847">
        <v>-1</v>
      </c>
      <c r="N847">
        <v>0</v>
      </c>
      <c r="O847" s="1">
        <v>4290</v>
      </c>
      <c r="P847" s="1">
        <v>4738</v>
      </c>
      <c r="Q847" s="1">
        <v>2803</v>
      </c>
      <c r="R847" s="1">
        <v>6027</v>
      </c>
      <c r="S847" s="1">
        <v>10722</v>
      </c>
      <c r="T847" s="1">
        <v>8452</v>
      </c>
      <c r="U847" s="1">
        <v>4738</v>
      </c>
      <c r="V847" s="1">
        <v>2803</v>
      </c>
      <c r="W847" s="1">
        <v>6027</v>
      </c>
      <c r="X847" s="1">
        <v>10722</v>
      </c>
      <c r="Y847" s="1">
        <v>6000</v>
      </c>
      <c r="Z847" s="1">
        <v>1139</v>
      </c>
      <c r="AA847">
        <v>0</v>
      </c>
      <c r="AB847" t="str">
        <f t="shared" si="13"/>
        <v>Not Defaulter</v>
      </c>
      <c r="AC847" s="1">
        <f>Table2[[#This Row],[BILL_AMT1]]-Table2[[#This Row],[PAY_AMT1]]</f>
        <v>-448</v>
      </c>
      <c r="AD847" s="1" t="str" cm="1">
        <f t="array" ref="AD847">_xlfn.IFS(Table2[[#This Row],[PAYMENT GAP]]&lt;=0,"No Gap / Overpaid",Table2[[#This Row],[PAYMENT GAP]]&lt;=25000,"Low Gap",Table2[[#This Row],[PAYMENT GAP]]&lt;=100000,"Medium Gap",
TRUE,"High Gap"
)</f>
        <v>No Gap / Overpaid</v>
      </c>
    </row>
    <row r="848" spans="1:30" x14ac:dyDescent="0.3">
      <c r="A848">
        <v>847</v>
      </c>
      <c r="B848" s="1">
        <v>300000</v>
      </c>
      <c r="C848" s="1" t="str" cm="1">
        <f t="array" ref="C848">_xlfn.IFS(Table2[[#This Row],[LIMIT_BAL]]&lt;=100000,"Low",Table2[[#This Row],[LIMIT_BAL]]&lt;=300000,"Medium",
TRUE,"High"
)</f>
        <v>Medium</v>
      </c>
      <c r="D848" t="s">
        <v>2041</v>
      </c>
      <c r="E848" t="s">
        <v>2043</v>
      </c>
      <c r="F848" t="s">
        <v>2028</v>
      </c>
      <c r="G848">
        <v>34</v>
      </c>
      <c r="H848" t="str" cm="1">
        <f t="array" ref="H848">_xlfn.IFS(
Table2[[#This Row],[AGE]]&lt;30,"Young",
Table2[[#This Row],[AGE]]&lt;40,"Middle Age",
Table2[[#This Row],[AGE]]&lt;50,"Senior",
TRUE,"Super Senior"
)</f>
        <v>Middle Age</v>
      </c>
      <c r="I848">
        <v>-2</v>
      </c>
      <c r="J848">
        <v>-2</v>
      </c>
      <c r="K848">
        <v>-2</v>
      </c>
      <c r="L848">
        <v>-2</v>
      </c>
      <c r="M848">
        <v>-2</v>
      </c>
      <c r="N848">
        <v>-2</v>
      </c>
      <c r="O848" s="1">
        <v>205064</v>
      </c>
      <c r="P848" s="1">
        <v>-86</v>
      </c>
      <c r="Q848" s="1">
        <v>-86</v>
      </c>
      <c r="R848" s="1">
        <v>2014</v>
      </c>
      <c r="S848" s="1">
        <v>-185</v>
      </c>
      <c r="T848" s="1">
        <v>1815</v>
      </c>
      <c r="U848" s="1">
        <v>0</v>
      </c>
      <c r="V848" s="1">
        <v>0</v>
      </c>
      <c r="W848" s="1">
        <v>2100</v>
      </c>
      <c r="X848" s="1">
        <v>0</v>
      </c>
      <c r="Y848" s="1">
        <v>2000</v>
      </c>
      <c r="Z848" s="1">
        <v>5000</v>
      </c>
      <c r="AA848">
        <v>0</v>
      </c>
      <c r="AB848" t="str">
        <f t="shared" si="13"/>
        <v>Not Defaulter</v>
      </c>
      <c r="AC848" s="1">
        <f>Table2[[#This Row],[BILL_AMT1]]-Table2[[#This Row],[PAY_AMT1]]</f>
        <v>205064</v>
      </c>
      <c r="AD848" s="1" t="str" cm="1">
        <f t="array" ref="AD848">_xlfn.IFS(Table2[[#This Row],[PAYMENT GAP]]&lt;=0,"No Gap / Overpaid",Table2[[#This Row],[PAYMENT GAP]]&lt;=25000,"Low Gap",Table2[[#This Row],[PAYMENT GAP]]&lt;=100000,"Medium Gap",
TRUE,"High Gap"
)</f>
        <v>High Gap</v>
      </c>
    </row>
    <row r="849" spans="1:30" x14ac:dyDescent="0.3">
      <c r="A849">
        <v>848</v>
      </c>
      <c r="B849" s="1">
        <v>50000</v>
      </c>
      <c r="C849" s="1" t="str" cm="1">
        <f t="array" ref="C849">_xlfn.IFS(Table2[[#This Row],[LIMIT_BAL]]&lt;=100000,"Low",Table2[[#This Row],[LIMIT_BAL]]&lt;=300000,"Medium",
TRUE,"High"
)</f>
        <v>Low</v>
      </c>
      <c r="D849" t="s">
        <v>2042</v>
      </c>
      <c r="E849" t="s">
        <v>2043</v>
      </c>
      <c r="F849" t="s">
        <v>2055</v>
      </c>
      <c r="G849">
        <v>42</v>
      </c>
      <c r="H849" t="str" cm="1">
        <f t="array" ref="H849">_xlfn.IFS(
Table2[[#This Row],[AGE]]&lt;30,"Young",
Table2[[#This Row],[AGE]]&lt;40,"Middle Age",
Table2[[#This Row],[AGE]]&lt;50,"Senior",
TRUE,"Super Senior"
)</f>
        <v>Senior</v>
      </c>
      <c r="I849">
        <v>2</v>
      </c>
      <c r="J849">
        <v>0</v>
      </c>
      <c r="K849">
        <v>0</v>
      </c>
      <c r="L849">
        <v>2</v>
      </c>
      <c r="M849">
        <v>0</v>
      </c>
      <c r="N849">
        <v>0</v>
      </c>
      <c r="O849" s="1">
        <v>47647</v>
      </c>
      <c r="P849" s="1">
        <v>50232</v>
      </c>
      <c r="Q849" s="1">
        <v>50510</v>
      </c>
      <c r="R849" s="1">
        <v>32177</v>
      </c>
      <c r="S849" s="1">
        <v>29530</v>
      </c>
      <c r="T849" s="1">
        <v>29789</v>
      </c>
      <c r="U849" s="1">
        <v>3700</v>
      </c>
      <c r="V849" s="1">
        <v>3700</v>
      </c>
      <c r="W849" s="1">
        <v>0</v>
      </c>
      <c r="X849" s="1">
        <v>1072</v>
      </c>
      <c r="Y849" s="1">
        <v>1500</v>
      </c>
      <c r="Z849" s="1">
        <v>1132</v>
      </c>
      <c r="AA849">
        <v>1</v>
      </c>
      <c r="AB849" t="str">
        <f t="shared" si="13"/>
        <v>Defaulter</v>
      </c>
      <c r="AC849" s="1">
        <f>Table2[[#This Row],[BILL_AMT1]]-Table2[[#This Row],[PAY_AMT1]]</f>
        <v>43947</v>
      </c>
      <c r="AD849" s="1" t="str" cm="1">
        <f t="array" ref="AD849">_xlfn.IFS(Table2[[#This Row],[PAYMENT GAP]]&lt;=0,"No Gap / Overpaid",Table2[[#This Row],[PAYMENT GAP]]&lt;=25000,"Low Gap",Table2[[#This Row],[PAYMENT GAP]]&lt;=100000,"Medium Gap",
TRUE,"High Gap"
)</f>
        <v>Medium Gap</v>
      </c>
    </row>
    <row r="850" spans="1:30" x14ac:dyDescent="0.3">
      <c r="A850">
        <v>849</v>
      </c>
      <c r="B850" s="1">
        <v>150000</v>
      </c>
      <c r="C850" s="1" t="str" cm="1">
        <f t="array" ref="C850">_xlfn.IFS(Table2[[#This Row],[LIMIT_BAL]]&lt;=100000,"Low",Table2[[#This Row],[LIMIT_BAL]]&lt;=300000,"Medium",
TRUE,"High"
)</f>
        <v>Medium</v>
      </c>
      <c r="D850" t="s">
        <v>2042</v>
      </c>
      <c r="E850" t="s">
        <v>2027</v>
      </c>
      <c r="F850" t="s">
        <v>2028</v>
      </c>
      <c r="G850">
        <v>37</v>
      </c>
      <c r="H850" t="str" cm="1">
        <f t="array" ref="H850">_xlfn.IFS(
Table2[[#This Row],[AGE]]&lt;30,"Young",
Table2[[#This Row],[AGE]]&lt;40,"Middle Age",
Table2[[#This Row],[AGE]]&lt;50,"Senior",
TRUE,"Super Senior"
)</f>
        <v>Middle Age</v>
      </c>
      <c r="I850">
        <v>4</v>
      </c>
      <c r="J850">
        <v>4</v>
      </c>
      <c r="K850">
        <v>4</v>
      </c>
      <c r="L850">
        <v>3</v>
      </c>
      <c r="M850">
        <v>2</v>
      </c>
      <c r="N850">
        <v>0</v>
      </c>
      <c r="O850" s="1">
        <v>151117</v>
      </c>
      <c r="P850" s="1">
        <v>153787</v>
      </c>
      <c r="Q850" s="1">
        <v>150320</v>
      </c>
      <c r="R850" s="1">
        <v>147989</v>
      </c>
      <c r="S850" s="1">
        <v>143355</v>
      </c>
      <c r="T850" s="1">
        <v>143131</v>
      </c>
      <c r="U850" s="1">
        <v>6500</v>
      </c>
      <c r="V850" s="1">
        <v>0</v>
      </c>
      <c r="W850" s="1">
        <v>512</v>
      </c>
      <c r="X850" s="1">
        <v>0</v>
      </c>
      <c r="Y850" s="1">
        <v>4388</v>
      </c>
      <c r="Z850" s="1">
        <v>4221</v>
      </c>
      <c r="AA850">
        <v>1</v>
      </c>
      <c r="AB850" t="str">
        <f t="shared" si="13"/>
        <v>Defaulter</v>
      </c>
      <c r="AC850" s="1">
        <f>Table2[[#This Row],[BILL_AMT1]]-Table2[[#This Row],[PAY_AMT1]]</f>
        <v>144617</v>
      </c>
      <c r="AD850" s="1" t="str" cm="1">
        <f t="array" ref="AD850">_xlfn.IFS(Table2[[#This Row],[PAYMENT GAP]]&lt;=0,"No Gap / Overpaid",Table2[[#This Row],[PAYMENT GAP]]&lt;=25000,"Low Gap",Table2[[#This Row],[PAYMENT GAP]]&lt;=100000,"Medium Gap",
TRUE,"High Gap"
)</f>
        <v>High Gap</v>
      </c>
    </row>
    <row r="851" spans="1:30" x14ac:dyDescent="0.3">
      <c r="A851">
        <v>850</v>
      </c>
      <c r="B851" s="1">
        <v>80000</v>
      </c>
      <c r="C851" s="1" t="str" cm="1">
        <f t="array" ref="C851">_xlfn.IFS(Table2[[#This Row],[LIMIT_BAL]]&lt;=100000,"Low",Table2[[#This Row],[LIMIT_BAL]]&lt;=300000,"Medium",
TRUE,"High"
)</f>
        <v>Low</v>
      </c>
      <c r="D851" t="s">
        <v>2041</v>
      </c>
      <c r="E851" t="s">
        <v>2027</v>
      </c>
      <c r="F851" t="s">
        <v>2028</v>
      </c>
      <c r="G851">
        <v>57</v>
      </c>
      <c r="H851" t="str" cm="1">
        <f t="array" ref="H851">_xlfn.IFS(
Table2[[#This Row],[AGE]]&lt;30,"Young",
Table2[[#This Row],[AGE]]&lt;40,"Middle Age",
Table2[[#This Row],[AGE]]&lt;50,"Senior",
TRUE,"Super Senior"
)</f>
        <v>Super Senior</v>
      </c>
      <c r="I851">
        <v>-1</v>
      </c>
      <c r="J851">
        <v>2</v>
      </c>
      <c r="K851">
        <v>-1</v>
      </c>
      <c r="L851">
        <v>0</v>
      </c>
      <c r="M851">
        <v>0</v>
      </c>
      <c r="N851">
        <v>0</v>
      </c>
      <c r="O851" s="1">
        <v>726</v>
      </c>
      <c r="P851" s="1">
        <v>726</v>
      </c>
      <c r="Q851" s="1">
        <v>15400</v>
      </c>
      <c r="R851" s="1">
        <v>15000</v>
      </c>
      <c r="S851" s="1">
        <v>15000</v>
      </c>
      <c r="T851" s="1">
        <v>15000</v>
      </c>
      <c r="U851" s="1">
        <v>0</v>
      </c>
      <c r="V851" s="1">
        <v>15400</v>
      </c>
      <c r="W851" s="1">
        <v>0</v>
      </c>
      <c r="X851" s="1">
        <v>0</v>
      </c>
      <c r="Y851" s="1">
        <v>0</v>
      </c>
      <c r="Z851" s="1">
        <v>100</v>
      </c>
      <c r="AA851">
        <v>0</v>
      </c>
      <c r="AB851" t="str">
        <f t="shared" si="13"/>
        <v>Not Defaulter</v>
      </c>
      <c r="AC851" s="1">
        <f>Table2[[#This Row],[BILL_AMT1]]-Table2[[#This Row],[PAY_AMT1]]</f>
        <v>726</v>
      </c>
      <c r="AD851" s="1" t="str" cm="1">
        <f t="array" ref="AD851">_xlfn.IFS(Table2[[#This Row],[PAYMENT GAP]]&lt;=0,"No Gap / Overpaid",Table2[[#This Row],[PAYMENT GAP]]&lt;=25000,"Low Gap",Table2[[#This Row],[PAYMENT GAP]]&lt;=100000,"Medium Gap",
TRUE,"High Gap"
)</f>
        <v>Low Gap</v>
      </c>
    </row>
    <row r="852" spans="1:30" x14ac:dyDescent="0.3">
      <c r="A852">
        <v>851</v>
      </c>
      <c r="B852" s="1">
        <v>40000</v>
      </c>
      <c r="C852" s="1" t="str" cm="1">
        <f t="array" ref="C852">_xlfn.IFS(Table2[[#This Row],[LIMIT_BAL]]&lt;=100000,"Low",Table2[[#This Row],[LIMIT_BAL]]&lt;=300000,"Medium",
TRUE,"High"
)</f>
        <v>Low</v>
      </c>
      <c r="D852" t="s">
        <v>2041</v>
      </c>
      <c r="E852" t="s">
        <v>2043</v>
      </c>
      <c r="F852" t="s">
        <v>2029</v>
      </c>
      <c r="G852">
        <v>23</v>
      </c>
      <c r="H852" t="str" cm="1">
        <f t="array" ref="H852">_xlfn.IFS(
Table2[[#This Row],[AGE]]&lt;30,"Young",
Table2[[#This Row],[AGE]]&lt;40,"Middle Age",
Table2[[#This Row],[AGE]]&lt;50,"Senior",
TRUE,"Super Senior"
)</f>
        <v>Young</v>
      </c>
      <c r="I852">
        <v>0</v>
      </c>
      <c r="J852">
        <v>0</v>
      </c>
      <c r="K852">
        <v>0</v>
      </c>
      <c r="L852">
        <v>2</v>
      </c>
      <c r="M852">
        <v>2</v>
      </c>
      <c r="N852">
        <v>6</v>
      </c>
      <c r="O852" s="1">
        <v>20035</v>
      </c>
      <c r="P852" s="1">
        <v>21406</v>
      </c>
      <c r="Q852" s="1">
        <v>24735</v>
      </c>
      <c r="R852" s="1">
        <v>24050</v>
      </c>
      <c r="S852" s="1">
        <v>43317</v>
      </c>
      <c r="T852" s="1">
        <v>44059</v>
      </c>
      <c r="U852" s="1">
        <v>2000</v>
      </c>
      <c r="V852" s="1">
        <v>4000</v>
      </c>
      <c r="W852" s="1">
        <v>0</v>
      </c>
      <c r="X852" s="1">
        <v>20000</v>
      </c>
      <c r="Y852" s="1">
        <v>2000</v>
      </c>
      <c r="Z852" s="1">
        <v>0</v>
      </c>
      <c r="AA852">
        <v>0</v>
      </c>
      <c r="AB852" t="str">
        <f t="shared" si="13"/>
        <v>Not Defaulter</v>
      </c>
      <c r="AC852" s="1">
        <f>Table2[[#This Row],[BILL_AMT1]]-Table2[[#This Row],[PAY_AMT1]]</f>
        <v>18035</v>
      </c>
      <c r="AD852" s="1" t="str" cm="1">
        <f t="array" ref="AD852">_xlfn.IFS(Table2[[#This Row],[PAYMENT GAP]]&lt;=0,"No Gap / Overpaid",Table2[[#This Row],[PAYMENT GAP]]&lt;=25000,"Low Gap",Table2[[#This Row],[PAYMENT GAP]]&lt;=100000,"Medium Gap",
TRUE,"High Gap"
)</f>
        <v>Low Gap</v>
      </c>
    </row>
    <row r="853" spans="1:30" x14ac:dyDescent="0.3">
      <c r="A853">
        <v>852</v>
      </c>
      <c r="B853" s="1">
        <v>30000</v>
      </c>
      <c r="C853" s="1" t="str" cm="1">
        <f t="array" ref="C853">_xlfn.IFS(Table2[[#This Row],[LIMIT_BAL]]&lt;=100000,"Low",Table2[[#This Row],[LIMIT_BAL]]&lt;=300000,"Medium",
TRUE,"High"
)</f>
        <v>Low</v>
      </c>
      <c r="D853" t="s">
        <v>2042</v>
      </c>
      <c r="E853" t="s">
        <v>2043</v>
      </c>
      <c r="F853" t="s">
        <v>2029</v>
      </c>
      <c r="G853">
        <v>32</v>
      </c>
      <c r="H853" t="str" cm="1">
        <f t="array" ref="H853">_xlfn.IFS(
Table2[[#This Row],[AGE]]&lt;30,"Young",
Table2[[#This Row],[AGE]]&lt;40,"Middle Age",
Table2[[#This Row],[AGE]]&lt;50,"Senior",
TRUE,"Super Senior"
)</f>
        <v>Middle Age</v>
      </c>
      <c r="I853">
        <v>1</v>
      </c>
      <c r="J853">
        <v>2</v>
      </c>
      <c r="K853">
        <v>2</v>
      </c>
      <c r="L853">
        <v>0</v>
      </c>
      <c r="M853">
        <v>0</v>
      </c>
      <c r="N853">
        <v>0</v>
      </c>
      <c r="O853" s="1">
        <v>29095</v>
      </c>
      <c r="P853" s="1">
        <v>30819</v>
      </c>
      <c r="Q853" s="1">
        <v>29214</v>
      </c>
      <c r="R853" s="1">
        <v>29478</v>
      </c>
      <c r="S853" s="1">
        <v>23384</v>
      </c>
      <c r="T853" s="1">
        <v>22428</v>
      </c>
      <c r="U853" s="1">
        <v>2500</v>
      </c>
      <c r="V853" s="1">
        <v>0</v>
      </c>
      <c r="W853" s="1">
        <v>910</v>
      </c>
      <c r="X853" s="1">
        <v>1000</v>
      </c>
      <c r="Y853" s="1">
        <v>1000</v>
      </c>
      <c r="Z853" s="1">
        <v>1000</v>
      </c>
      <c r="AA853">
        <v>0</v>
      </c>
      <c r="AB853" t="str">
        <f t="shared" si="13"/>
        <v>Not Defaulter</v>
      </c>
      <c r="AC853" s="1">
        <f>Table2[[#This Row],[BILL_AMT1]]-Table2[[#This Row],[PAY_AMT1]]</f>
        <v>26595</v>
      </c>
      <c r="AD853" s="1" t="str" cm="1">
        <f t="array" ref="AD853">_xlfn.IFS(Table2[[#This Row],[PAYMENT GAP]]&lt;=0,"No Gap / Overpaid",Table2[[#This Row],[PAYMENT GAP]]&lt;=25000,"Low Gap",Table2[[#This Row],[PAYMENT GAP]]&lt;=100000,"Medium Gap",
TRUE,"High Gap"
)</f>
        <v>Medium Gap</v>
      </c>
    </row>
    <row r="854" spans="1:30" x14ac:dyDescent="0.3">
      <c r="A854">
        <v>853</v>
      </c>
      <c r="B854" s="1">
        <v>50000</v>
      </c>
      <c r="C854" s="1" t="str" cm="1">
        <f t="array" ref="C854">_xlfn.IFS(Table2[[#This Row],[LIMIT_BAL]]&lt;=100000,"Low",Table2[[#This Row],[LIMIT_BAL]]&lt;=300000,"Medium",
TRUE,"High"
)</f>
        <v>Low</v>
      </c>
      <c r="D854" t="s">
        <v>2042</v>
      </c>
      <c r="E854" t="s">
        <v>2026</v>
      </c>
      <c r="F854" t="s">
        <v>2028</v>
      </c>
      <c r="G854">
        <v>37</v>
      </c>
      <c r="H854" t="str" cm="1">
        <f t="array" ref="H854">_xlfn.IFS(
Table2[[#This Row],[AGE]]&lt;30,"Young",
Table2[[#This Row],[AGE]]&lt;40,"Middle Age",
Table2[[#This Row],[AGE]]&lt;50,"Senior",
TRUE,"Super Senior"
)</f>
        <v>Middle Age</v>
      </c>
      <c r="I854">
        <v>0</v>
      </c>
      <c r="J854">
        <v>0</v>
      </c>
      <c r="K854">
        <v>-2</v>
      </c>
      <c r="L854">
        <v>-2</v>
      </c>
      <c r="M854">
        <v>-2</v>
      </c>
      <c r="N854">
        <v>-2</v>
      </c>
      <c r="O854" s="1">
        <v>30400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500</v>
      </c>
      <c r="V854" s="1">
        <v>0</v>
      </c>
      <c r="W854" s="1">
        <v>0</v>
      </c>
      <c r="X854" s="1">
        <v>0</v>
      </c>
      <c r="Y854" s="1">
        <v>0</v>
      </c>
      <c r="Z854" s="1">
        <v>0</v>
      </c>
      <c r="AA854">
        <v>0</v>
      </c>
      <c r="AB854" t="str">
        <f t="shared" si="13"/>
        <v>Not Defaulter</v>
      </c>
      <c r="AC854" s="1">
        <f>Table2[[#This Row],[BILL_AMT1]]-Table2[[#This Row],[PAY_AMT1]]</f>
        <v>29900</v>
      </c>
      <c r="AD854" s="1" t="str" cm="1">
        <f t="array" ref="AD854">_xlfn.IFS(Table2[[#This Row],[PAYMENT GAP]]&lt;=0,"No Gap / Overpaid",Table2[[#This Row],[PAYMENT GAP]]&lt;=25000,"Low Gap",Table2[[#This Row],[PAYMENT GAP]]&lt;=100000,"Medium Gap",
TRUE,"High Gap"
)</f>
        <v>Medium Gap</v>
      </c>
    </row>
    <row r="855" spans="1:30" x14ac:dyDescent="0.3">
      <c r="A855">
        <v>854</v>
      </c>
      <c r="B855" s="1">
        <v>140000</v>
      </c>
      <c r="C855" s="1" t="str" cm="1">
        <f t="array" ref="C855">_xlfn.IFS(Table2[[#This Row],[LIMIT_BAL]]&lt;=100000,"Low",Table2[[#This Row],[LIMIT_BAL]]&lt;=300000,"Medium",
TRUE,"High"
)</f>
        <v>Medium</v>
      </c>
      <c r="D855" t="s">
        <v>2041</v>
      </c>
      <c r="E855" t="s">
        <v>2043</v>
      </c>
      <c r="F855" t="s">
        <v>2029</v>
      </c>
      <c r="G855">
        <v>23</v>
      </c>
      <c r="H855" t="str" cm="1">
        <f t="array" ref="H855">_xlfn.IFS(
Table2[[#This Row],[AGE]]&lt;30,"Young",
Table2[[#This Row],[AGE]]&lt;40,"Middle Age",
Table2[[#This Row],[AGE]]&lt;50,"Senior",
TRUE,"Super Senior"
)</f>
        <v>Young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 s="1">
        <v>44733</v>
      </c>
      <c r="P855" s="1">
        <v>44144</v>
      </c>
      <c r="Q855" s="1">
        <v>44739</v>
      </c>
      <c r="R855" s="1">
        <v>43455</v>
      </c>
      <c r="S855" s="1">
        <v>43980</v>
      </c>
      <c r="T855" s="1">
        <v>44614</v>
      </c>
      <c r="U855" s="1">
        <v>2100</v>
      </c>
      <c r="V855" s="1">
        <v>2027</v>
      </c>
      <c r="W855" s="1">
        <v>1800</v>
      </c>
      <c r="X855" s="1">
        <v>1600</v>
      </c>
      <c r="Y855" s="1">
        <v>1750</v>
      </c>
      <c r="Z855" s="1">
        <v>1700</v>
      </c>
      <c r="AA855">
        <v>0</v>
      </c>
      <c r="AB855" t="str">
        <f t="shared" si="13"/>
        <v>Not Defaulter</v>
      </c>
      <c r="AC855" s="1">
        <f>Table2[[#This Row],[BILL_AMT1]]-Table2[[#This Row],[PAY_AMT1]]</f>
        <v>42633</v>
      </c>
      <c r="AD855" s="1" t="str" cm="1">
        <f t="array" ref="AD855">_xlfn.IFS(Table2[[#This Row],[PAYMENT GAP]]&lt;=0,"No Gap / Overpaid",Table2[[#This Row],[PAYMENT GAP]]&lt;=25000,"Low Gap",Table2[[#This Row],[PAYMENT GAP]]&lt;=100000,"Medium Gap",
TRUE,"High Gap"
)</f>
        <v>Medium Gap</v>
      </c>
    </row>
    <row r="856" spans="1:30" x14ac:dyDescent="0.3">
      <c r="A856">
        <v>855</v>
      </c>
      <c r="B856" s="1">
        <v>50000</v>
      </c>
      <c r="C856" s="1" t="str" cm="1">
        <f t="array" ref="C856">_xlfn.IFS(Table2[[#This Row],[LIMIT_BAL]]&lt;=100000,"Low",Table2[[#This Row],[LIMIT_BAL]]&lt;=300000,"Medium",
TRUE,"High"
)</f>
        <v>Low</v>
      </c>
      <c r="D856" t="s">
        <v>2041</v>
      </c>
      <c r="E856" t="s">
        <v>2027</v>
      </c>
      <c r="F856" t="s">
        <v>2029</v>
      </c>
      <c r="G856">
        <v>49</v>
      </c>
      <c r="H856" t="str" cm="1">
        <f t="array" ref="H856">_xlfn.IFS(
Table2[[#This Row],[AGE]]&lt;30,"Young",
Table2[[#This Row],[AGE]]&lt;40,"Middle Age",
Table2[[#This Row],[AGE]]&lt;50,"Senior",
TRUE,"Super Senior"
)</f>
        <v>Senior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 s="1">
        <v>4987</v>
      </c>
      <c r="P856" s="1">
        <v>6741</v>
      </c>
      <c r="Q856" s="1">
        <v>9366</v>
      </c>
      <c r="R856" s="1">
        <v>8566</v>
      </c>
      <c r="S856" s="1">
        <v>10066</v>
      </c>
      <c r="T856" s="1">
        <v>0</v>
      </c>
      <c r="U856" s="1">
        <v>2000</v>
      </c>
      <c r="V856" s="1">
        <v>3000</v>
      </c>
      <c r="W856" s="1">
        <v>1500</v>
      </c>
      <c r="X856" s="1">
        <v>1500</v>
      </c>
      <c r="Y856" s="1">
        <v>0</v>
      </c>
      <c r="Z856" s="1">
        <v>0</v>
      </c>
      <c r="AA856">
        <v>0</v>
      </c>
      <c r="AB856" t="str">
        <f t="shared" si="13"/>
        <v>Not Defaulter</v>
      </c>
      <c r="AC856" s="1">
        <f>Table2[[#This Row],[BILL_AMT1]]-Table2[[#This Row],[PAY_AMT1]]</f>
        <v>2987</v>
      </c>
      <c r="AD856" s="1" t="str" cm="1">
        <f t="array" ref="AD856">_xlfn.IFS(Table2[[#This Row],[PAYMENT GAP]]&lt;=0,"No Gap / Overpaid",Table2[[#This Row],[PAYMENT GAP]]&lt;=25000,"Low Gap",Table2[[#This Row],[PAYMENT GAP]]&lt;=100000,"Medium Gap",
TRUE,"High Gap"
)</f>
        <v>Low Gap</v>
      </c>
    </row>
    <row r="857" spans="1:30" x14ac:dyDescent="0.3">
      <c r="A857">
        <v>856</v>
      </c>
      <c r="B857" s="1">
        <v>30000</v>
      </c>
      <c r="C857" s="1" t="str" cm="1">
        <f t="array" ref="C857">_xlfn.IFS(Table2[[#This Row],[LIMIT_BAL]]&lt;=100000,"Low",Table2[[#This Row],[LIMIT_BAL]]&lt;=300000,"Medium",
TRUE,"High"
)</f>
        <v>Low</v>
      </c>
      <c r="D857" t="s">
        <v>2041</v>
      </c>
      <c r="E857" t="s">
        <v>2043</v>
      </c>
      <c r="F857" t="s">
        <v>2029</v>
      </c>
      <c r="G857">
        <v>25</v>
      </c>
      <c r="H857" t="str" cm="1">
        <f t="array" ref="H857">_xlfn.IFS(
Table2[[#This Row],[AGE]]&lt;30,"Young",
Table2[[#This Row],[AGE]]&lt;40,"Middle Age",
Table2[[#This Row],[AGE]]&lt;50,"Senior",
TRUE,"Super Senior"
)</f>
        <v>Young</v>
      </c>
      <c r="I857">
        <v>-2</v>
      </c>
      <c r="J857">
        <v>-2</v>
      </c>
      <c r="K857">
        <v>-2</v>
      </c>
      <c r="L857">
        <v>-2</v>
      </c>
      <c r="M857">
        <v>-2</v>
      </c>
      <c r="N857">
        <v>-2</v>
      </c>
      <c r="O857" s="1">
        <v>26957</v>
      </c>
      <c r="P857" s="1">
        <v>26269</v>
      </c>
      <c r="Q857" s="1">
        <v>17036</v>
      </c>
      <c r="R857" s="1">
        <v>27497</v>
      </c>
      <c r="S857" s="1">
        <v>16098</v>
      </c>
      <c r="T857" s="1">
        <v>7300</v>
      </c>
      <c r="U857" s="1">
        <v>1333</v>
      </c>
      <c r="V857" s="1">
        <v>2256</v>
      </c>
      <c r="W857" s="1">
        <v>27497</v>
      </c>
      <c r="X857" s="1">
        <v>787</v>
      </c>
      <c r="Y857" s="1">
        <v>200</v>
      </c>
      <c r="Z857" s="1">
        <v>0</v>
      </c>
      <c r="AA857">
        <v>0</v>
      </c>
      <c r="AB857" t="str">
        <f t="shared" si="13"/>
        <v>Not Defaulter</v>
      </c>
      <c r="AC857" s="1">
        <f>Table2[[#This Row],[BILL_AMT1]]-Table2[[#This Row],[PAY_AMT1]]</f>
        <v>25624</v>
      </c>
      <c r="AD857" s="1" t="str" cm="1">
        <f t="array" ref="AD857">_xlfn.IFS(Table2[[#This Row],[PAYMENT GAP]]&lt;=0,"No Gap / Overpaid",Table2[[#This Row],[PAYMENT GAP]]&lt;=25000,"Low Gap",Table2[[#This Row],[PAYMENT GAP]]&lt;=100000,"Medium Gap",
TRUE,"High Gap"
)</f>
        <v>Medium Gap</v>
      </c>
    </row>
    <row r="858" spans="1:30" x14ac:dyDescent="0.3">
      <c r="A858">
        <v>857</v>
      </c>
      <c r="B858" s="1">
        <v>40000</v>
      </c>
      <c r="C858" s="1" t="str" cm="1">
        <f t="array" ref="C858">_xlfn.IFS(Table2[[#This Row],[LIMIT_BAL]]&lt;=100000,"Low",Table2[[#This Row],[LIMIT_BAL]]&lt;=300000,"Medium",
TRUE,"High"
)</f>
        <v>Low</v>
      </c>
      <c r="D858" t="s">
        <v>2041</v>
      </c>
      <c r="E858" t="s">
        <v>2026</v>
      </c>
      <c r="F858" t="s">
        <v>2029</v>
      </c>
      <c r="G858">
        <v>29</v>
      </c>
      <c r="H858" t="str" cm="1">
        <f t="array" ref="H858">_xlfn.IFS(
Table2[[#This Row],[AGE]]&lt;30,"Young",
Table2[[#This Row],[AGE]]&lt;40,"Middle Age",
Table2[[#This Row],[AGE]]&lt;50,"Senior",
TRUE,"Super Senior"
)</f>
        <v>Young</v>
      </c>
      <c r="I858">
        <v>0</v>
      </c>
      <c r="J858">
        <v>0</v>
      </c>
      <c r="K858">
        <v>2</v>
      </c>
      <c r="L858">
        <v>2</v>
      </c>
      <c r="M858">
        <v>2</v>
      </c>
      <c r="N858">
        <v>2</v>
      </c>
      <c r="O858" s="1">
        <v>26461</v>
      </c>
      <c r="P858" s="1">
        <v>29425</v>
      </c>
      <c r="Q858" s="1">
        <v>30145</v>
      </c>
      <c r="R858" s="1">
        <v>29361</v>
      </c>
      <c r="S858" s="1">
        <v>33893</v>
      </c>
      <c r="T858" s="1">
        <v>34487</v>
      </c>
      <c r="U858" s="1">
        <v>3400</v>
      </c>
      <c r="V858" s="1">
        <v>1500</v>
      </c>
      <c r="W858" s="1">
        <v>0</v>
      </c>
      <c r="X858" s="1">
        <v>5000</v>
      </c>
      <c r="Y858" s="1">
        <v>1300</v>
      </c>
      <c r="Z858" s="1">
        <v>0</v>
      </c>
      <c r="AA858">
        <v>1</v>
      </c>
      <c r="AB858" t="str">
        <f t="shared" si="13"/>
        <v>Defaulter</v>
      </c>
      <c r="AC858" s="1">
        <f>Table2[[#This Row],[BILL_AMT1]]-Table2[[#This Row],[PAY_AMT1]]</f>
        <v>23061</v>
      </c>
      <c r="AD858" s="1" t="str" cm="1">
        <f t="array" ref="AD858">_xlfn.IFS(Table2[[#This Row],[PAYMENT GAP]]&lt;=0,"No Gap / Overpaid",Table2[[#This Row],[PAYMENT GAP]]&lt;=25000,"Low Gap",Table2[[#This Row],[PAYMENT GAP]]&lt;=100000,"Medium Gap",
TRUE,"High Gap"
)</f>
        <v>Low Gap</v>
      </c>
    </row>
    <row r="859" spans="1:30" x14ac:dyDescent="0.3">
      <c r="A859">
        <v>858</v>
      </c>
      <c r="B859" s="1">
        <v>100000</v>
      </c>
      <c r="C859" s="1" t="str" cm="1">
        <f t="array" ref="C859">_xlfn.IFS(Table2[[#This Row],[LIMIT_BAL]]&lt;=100000,"Low",Table2[[#This Row],[LIMIT_BAL]]&lt;=300000,"Medium",
TRUE,"High"
)</f>
        <v>Low</v>
      </c>
      <c r="D859" t="s">
        <v>2041</v>
      </c>
      <c r="E859" t="s">
        <v>2027</v>
      </c>
      <c r="F859" t="s">
        <v>2028</v>
      </c>
      <c r="G859">
        <v>43</v>
      </c>
      <c r="H859" t="str" cm="1">
        <f t="array" ref="H859">_xlfn.IFS(
Table2[[#This Row],[AGE]]&lt;30,"Young",
Table2[[#This Row],[AGE]]&lt;40,"Middle Age",
Table2[[#This Row],[AGE]]&lt;50,"Senior",
TRUE,"Super Senior"
)</f>
        <v>Senior</v>
      </c>
      <c r="I859">
        <v>2</v>
      </c>
      <c r="J859">
        <v>2</v>
      </c>
      <c r="K859">
        <v>2</v>
      </c>
      <c r="L859">
        <v>2</v>
      </c>
      <c r="M859">
        <v>2</v>
      </c>
      <c r="N859">
        <v>2</v>
      </c>
      <c r="O859" s="1">
        <v>50485</v>
      </c>
      <c r="P859" s="1">
        <v>51582</v>
      </c>
      <c r="Q859" s="1">
        <v>52141</v>
      </c>
      <c r="R859" s="1">
        <v>52691</v>
      </c>
      <c r="S859" s="1">
        <v>54199</v>
      </c>
      <c r="T859" s="1">
        <v>53176</v>
      </c>
      <c r="U859" s="1">
        <v>2200</v>
      </c>
      <c r="V859" s="1">
        <v>2000</v>
      </c>
      <c r="W859" s="1">
        <v>2000</v>
      </c>
      <c r="X859" s="1">
        <v>2500</v>
      </c>
      <c r="Y859" s="1">
        <v>0</v>
      </c>
      <c r="Z859" s="1">
        <v>4500</v>
      </c>
      <c r="AA859">
        <v>1</v>
      </c>
      <c r="AB859" t="str">
        <f t="shared" si="13"/>
        <v>Defaulter</v>
      </c>
      <c r="AC859" s="1">
        <f>Table2[[#This Row],[BILL_AMT1]]-Table2[[#This Row],[PAY_AMT1]]</f>
        <v>48285</v>
      </c>
      <c r="AD859" s="1" t="str" cm="1">
        <f t="array" ref="AD859">_xlfn.IFS(Table2[[#This Row],[PAYMENT GAP]]&lt;=0,"No Gap / Overpaid",Table2[[#This Row],[PAYMENT GAP]]&lt;=25000,"Low Gap",Table2[[#This Row],[PAYMENT GAP]]&lt;=100000,"Medium Gap",
TRUE,"High Gap"
)</f>
        <v>Medium Gap</v>
      </c>
    </row>
    <row r="860" spans="1:30" x14ac:dyDescent="0.3">
      <c r="A860">
        <v>859</v>
      </c>
      <c r="B860" s="1">
        <v>130000</v>
      </c>
      <c r="C860" s="1" t="str" cm="1">
        <f t="array" ref="C860">_xlfn.IFS(Table2[[#This Row],[LIMIT_BAL]]&lt;=100000,"Low",Table2[[#This Row],[LIMIT_BAL]]&lt;=300000,"Medium",
TRUE,"High"
)</f>
        <v>Medium</v>
      </c>
      <c r="D860" t="s">
        <v>2042</v>
      </c>
      <c r="E860" t="s">
        <v>2043</v>
      </c>
      <c r="F860" t="s">
        <v>2029</v>
      </c>
      <c r="G860">
        <v>29</v>
      </c>
      <c r="H860" t="str" cm="1">
        <f t="array" ref="H860">_xlfn.IFS(
Table2[[#This Row],[AGE]]&lt;30,"Young",
Table2[[#This Row],[AGE]]&lt;40,"Middle Age",
Table2[[#This Row],[AGE]]&lt;50,"Senior",
TRUE,"Super Senior"
)</f>
        <v>Young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 s="1">
        <v>131041</v>
      </c>
      <c r="P860" s="1">
        <v>133698</v>
      </c>
      <c r="Q860" s="1">
        <v>131990</v>
      </c>
      <c r="R860" s="1">
        <v>127512</v>
      </c>
      <c r="S860" s="1">
        <v>128683</v>
      </c>
      <c r="T860" s="1">
        <v>129669</v>
      </c>
      <c r="U860" s="1">
        <v>7000</v>
      </c>
      <c r="V860" s="1">
        <v>5151</v>
      </c>
      <c r="W860" s="1">
        <v>4464</v>
      </c>
      <c r="X860" s="1">
        <v>5000</v>
      </c>
      <c r="Y860" s="1">
        <v>4702</v>
      </c>
      <c r="Z860" s="1">
        <v>8000</v>
      </c>
      <c r="AA860">
        <v>0</v>
      </c>
      <c r="AB860" t="str">
        <f t="shared" si="13"/>
        <v>Not Defaulter</v>
      </c>
      <c r="AC860" s="1">
        <f>Table2[[#This Row],[BILL_AMT1]]-Table2[[#This Row],[PAY_AMT1]]</f>
        <v>124041</v>
      </c>
      <c r="AD860" s="1" t="str" cm="1">
        <f t="array" ref="AD860">_xlfn.IFS(Table2[[#This Row],[PAYMENT GAP]]&lt;=0,"No Gap / Overpaid",Table2[[#This Row],[PAYMENT GAP]]&lt;=25000,"Low Gap",Table2[[#This Row],[PAYMENT GAP]]&lt;=100000,"Medium Gap",
TRUE,"High Gap"
)</f>
        <v>High Gap</v>
      </c>
    </row>
    <row r="861" spans="1:30" x14ac:dyDescent="0.3">
      <c r="A861">
        <v>860</v>
      </c>
      <c r="B861" s="1">
        <v>20000</v>
      </c>
      <c r="C861" s="1" t="str" cm="1">
        <f t="array" ref="C861">_xlfn.IFS(Table2[[#This Row],[LIMIT_BAL]]&lt;=100000,"Low",Table2[[#This Row],[LIMIT_BAL]]&lt;=300000,"Medium",
TRUE,"High"
)</f>
        <v>Low</v>
      </c>
      <c r="D861" t="s">
        <v>2041</v>
      </c>
      <c r="E861" t="s">
        <v>2043</v>
      </c>
      <c r="F861" t="s">
        <v>2029</v>
      </c>
      <c r="G861">
        <v>27</v>
      </c>
      <c r="H861" t="str" cm="1">
        <f t="array" ref="H861">_xlfn.IFS(
Table2[[#This Row],[AGE]]&lt;30,"Young",
Table2[[#This Row],[AGE]]&lt;40,"Middle Age",
Table2[[#This Row],[AGE]]&lt;50,"Senior",
TRUE,"Super Senior"
)</f>
        <v>Young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 s="1">
        <v>20218</v>
      </c>
      <c r="P861" s="1">
        <v>19194</v>
      </c>
      <c r="Q861" s="1">
        <v>20112</v>
      </c>
      <c r="R861" s="1">
        <v>19712</v>
      </c>
      <c r="S861" s="1">
        <v>19712</v>
      </c>
      <c r="T861" s="1">
        <v>6321</v>
      </c>
      <c r="U861" s="1">
        <v>1482</v>
      </c>
      <c r="V861" s="1">
        <v>1400</v>
      </c>
      <c r="W861" s="1">
        <v>0</v>
      </c>
      <c r="X861" s="1">
        <v>0</v>
      </c>
      <c r="Y861" s="1">
        <v>0</v>
      </c>
      <c r="Z861" s="1">
        <v>0</v>
      </c>
      <c r="AA861">
        <v>0</v>
      </c>
      <c r="AB861" t="str">
        <f t="shared" si="13"/>
        <v>Not Defaulter</v>
      </c>
      <c r="AC861" s="1">
        <f>Table2[[#This Row],[BILL_AMT1]]-Table2[[#This Row],[PAY_AMT1]]</f>
        <v>18736</v>
      </c>
      <c r="AD861" s="1" t="str" cm="1">
        <f t="array" ref="AD861">_xlfn.IFS(Table2[[#This Row],[PAYMENT GAP]]&lt;=0,"No Gap / Overpaid",Table2[[#This Row],[PAYMENT GAP]]&lt;=25000,"Low Gap",Table2[[#This Row],[PAYMENT GAP]]&lt;=100000,"Medium Gap",
TRUE,"High Gap"
)</f>
        <v>Low Gap</v>
      </c>
    </row>
    <row r="862" spans="1:30" x14ac:dyDescent="0.3">
      <c r="A862">
        <v>861</v>
      </c>
      <c r="B862" s="1">
        <v>50000</v>
      </c>
      <c r="C862" s="1" t="str" cm="1">
        <f t="array" ref="C862">_xlfn.IFS(Table2[[#This Row],[LIMIT_BAL]]&lt;=100000,"Low",Table2[[#This Row],[LIMIT_BAL]]&lt;=300000,"Medium",
TRUE,"High"
)</f>
        <v>Low</v>
      </c>
      <c r="D862" t="s">
        <v>2042</v>
      </c>
      <c r="E862" t="s">
        <v>2026</v>
      </c>
      <c r="F862" t="s">
        <v>2029</v>
      </c>
      <c r="G862">
        <v>26</v>
      </c>
      <c r="H862" t="str" cm="1">
        <f t="array" ref="H862">_xlfn.IFS(
Table2[[#This Row],[AGE]]&lt;30,"Young",
Table2[[#This Row],[AGE]]&lt;40,"Middle Age",
Table2[[#This Row],[AGE]]&lt;50,"Senior",
TRUE,"Super Senior"
)</f>
        <v>Young</v>
      </c>
      <c r="I862">
        <v>-2</v>
      </c>
      <c r="J862">
        <v>-2</v>
      </c>
      <c r="K862">
        <v>-2</v>
      </c>
      <c r="L862">
        <v>-2</v>
      </c>
      <c r="M862">
        <v>-2</v>
      </c>
      <c r="N862">
        <v>-2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>
        <v>0</v>
      </c>
      <c r="AB862" t="str">
        <f t="shared" si="13"/>
        <v>Not Defaulter</v>
      </c>
      <c r="AC862" s="1">
        <f>Table2[[#This Row],[BILL_AMT1]]-Table2[[#This Row],[PAY_AMT1]]</f>
        <v>0</v>
      </c>
      <c r="AD862" s="1" t="str" cm="1">
        <f t="array" ref="AD862">_xlfn.IFS(Table2[[#This Row],[PAYMENT GAP]]&lt;=0,"No Gap / Overpaid",Table2[[#This Row],[PAYMENT GAP]]&lt;=25000,"Low Gap",Table2[[#This Row],[PAYMENT GAP]]&lt;=100000,"Medium Gap",
TRUE,"High Gap"
)</f>
        <v>No Gap / Overpaid</v>
      </c>
    </row>
    <row r="863" spans="1:30" x14ac:dyDescent="0.3">
      <c r="A863">
        <v>862</v>
      </c>
      <c r="B863" s="1">
        <v>260000</v>
      </c>
      <c r="C863" s="1" t="str" cm="1">
        <f t="array" ref="C863">_xlfn.IFS(Table2[[#This Row],[LIMIT_BAL]]&lt;=100000,"Low",Table2[[#This Row],[LIMIT_BAL]]&lt;=300000,"Medium",
TRUE,"High"
)</f>
        <v>Medium</v>
      </c>
      <c r="D863" t="s">
        <v>2042</v>
      </c>
      <c r="E863" t="s">
        <v>2026</v>
      </c>
      <c r="F863" t="s">
        <v>2028</v>
      </c>
      <c r="G863">
        <v>41</v>
      </c>
      <c r="H863" t="str" cm="1">
        <f t="array" ref="H863">_xlfn.IFS(
Table2[[#This Row],[AGE]]&lt;30,"Young",
Table2[[#This Row],[AGE]]&lt;40,"Middle Age",
Table2[[#This Row],[AGE]]&lt;50,"Senior",
TRUE,"Super Senior"
)</f>
        <v>Senior</v>
      </c>
      <c r="I863">
        <v>-2</v>
      </c>
      <c r="J863">
        <v>-2</v>
      </c>
      <c r="K863">
        <v>-1</v>
      </c>
      <c r="L863">
        <v>0</v>
      </c>
      <c r="M863">
        <v>0</v>
      </c>
      <c r="N863">
        <v>0</v>
      </c>
      <c r="O863" s="1">
        <v>1086</v>
      </c>
      <c r="P863" s="1">
        <v>2853</v>
      </c>
      <c r="Q863" s="1">
        <v>38836</v>
      </c>
      <c r="R863" s="1">
        <v>45087</v>
      </c>
      <c r="S863" s="1">
        <v>47201</v>
      </c>
      <c r="T863" s="1">
        <v>46199</v>
      </c>
      <c r="U863" s="1">
        <v>3552</v>
      </c>
      <c r="V863" s="1">
        <v>38836</v>
      </c>
      <c r="W863" s="1">
        <v>20000</v>
      </c>
      <c r="X863" s="1">
        <v>15000</v>
      </c>
      <c r="Y863" s="1">
        <v>15000</v>
      </c>
      <c r="Z863" s="1">
        <v>10000</v>
      </c>
      <c r="AA863">
        <v>0</v>
      </c>
      <c r="AB863" t="str">
        <f t="shared" si="13"/>
        <v>Not Defaulter</v>
      </c>
      <c r="AC863" s="1">
        <f>Table2[[#This Row],[BILL_AMT1]]-Table2[[#This Row],[PAY_AMT1]]</f>
        <v>-2466</v>
      </c>
      <c r="AD863" s="1" t="str" cm="1">
        <f t="array" ref="AD863">_xlfn.IFS(Table2[[#This Row],[PAYMENT GAP]]&lt;=0,"No Gap / Overpaid",Table2[[#This Row],[PAYMENT GAP]]&lt;=25000,"Low Gap",Table2[[#This Row],[PAYMENT GAP]]&lt;=100000,"Medium Gap",
TRUE,"High Gap"
)</f>
        <v>No Gap / Overpaid</v>
      </c>
    </row>
    <row r="864" spans="1:30" x14ac:dyDescent="0.3">
      <c r="A864">
        <v>863</v>
      </c>
      <c r="B864" s="1">
        <v>30000</v>
      </c>
      <c r="C864" s="1" t="str" cm="1">
        <f t="array" ref="C864">_xlfn.IFS(Table2[[#This Row],[LIMIT_BAL]]&lt;=100000,"Low",Table2[[#This Row],[LIMIT_BAL]]&lt;=300000,"Medium",
TRUE,"High"
)</f>
        <v>Low</v>
      </c>
      <c r="D864" t="s">
        <v>2041</v>
      </c>
      <c r="E864" t="s">
        <v>2027</v>
      </c>
      <c r="F864" t="s">
        <v>2029</v>
      </c>
      <c r="G864">
        <v>52</v>
      </c>
      <c r="H864" t="str" cm="1">
        <f t="array" ref="H864">_xlfn.IFS(
Table2[[#This Row],[AGE]]&lt;30,"Young",
Table2[[#This Row],[AGE]]&lt;40,"Middle Age",
Table2[[#This Row],[AGE]]&lt;50,"Senior",
TRUE,"Super Senior"
)</f>
        <v>Super Senior</v>
      </c>
      <c r="I864">
        <v>2</v>
      </c>
      <c r="J864">
        <v>2</v>
      </c>
      <c r="K864">
        <v>7</v>
      </c>
      <c r="L864">
        <v>7</v>
      </c>
      <c r="M864">
        <v>7</v>
      </c>
      <c r="N864">
        <v>7</v>
      </c>
      <c r="O864" s="1">
        <v>2450</v>
      </c>
      <c r="P864" s="1">
        <v>2450</v>
      </c>
      <c r="Q864" s="1">
        <v>2450</v>
      </c>
      <c r="R864" s="1">
        <v>2450</v>
      </c>
      <c r="S864" s="1">
        <v>2450</v>
      </c>
      <c r="T864" s="1">
        <v>2450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>
        <v>1</v>
      </c>
      <c r="AB864" t="str">
        <f t="shared" si="13"/>
        <v>Defaulter</v>
      </c>
      <c r="AC864" s="1">
        <f>Table2[[#This Row],[BILL_AMT1]]-Table2[[#This Row],[PAY_AMT1]]</f>
        <v>2450</v>
      </c>
      <c r="AD864" s="1" t="str" cm="1">
        <f t="array" ref="AD864">_xlfn.IFS(Table2[[#This Row],[PAYMENT GAP]]&lt;=0,"No Gap / Overpaid",Table2[[#This Row],[PAYMENT GAP]]&lt;=25000,"Low Gap",Table2[[#This Row],[PAYMENT GAP]]&lt;=100000,"Medium Gap",
TRUE,"High Gap"
)</f>
        <v>Low Gap</v>
      </c>
    </row>
    <row r="865" spans="1:30" x14ac:dyDescent="0.3">
      <c r="A865">
        <v>864</v>
      </c>
      <c r="B865" s="1">
        <v>10000</v>
      </c>
      <c r="C865" s="1" t="str" cm="1">
        <f t="array" ref="C865">_xlfn.IFS(Table2[[#This Row],[LIMIT_BAL]]&lt;=100000,"Low",Table2[[#This Row],[LIMIT_BAL]]&lt;=300000,"Medium",
TRUE,"High"
)</f>
        <v>Low</v>
      </c>
      <c r="D865" t="s">
        <v>2041</v>
      </c>
      <c r="E865" t="s">
        <v>2043</v>
      </c>
      <c r="F865" t="s">
        <v>2028</v>
      </c>
      <c r="G865">
        <v>31</v>
      </c>
      <c r="H865" t="str" cm="1">
        <f t="array" ref="H865">_xlfn.IFS(
Table2[[#This Row],[AGE]]&lt;30,"Young",
Table2[[#This Row],[AGE]]&lt;40,"Middle Age",
Table2[[#This Row],[AGE]]&lt;50,"Senior",
TRUE,"Super Senior"
)</f>
        <v>Middle Age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 s="1">
        <v>15915</v>
      </c>
      <c r="P865" s="1">
        <v>9050</v>
      </c>
      <c r="Q865" s="1">
        <v>9901</v>
      </c>
      <c r="R865" s="1">
        <v>9975</v>
      </c>
      <c r="S865" s="1">
        <v>9736</v>
      </c>
      <c r="T865" s="1">
        <v>8703</v>
      </c>
      <c r="U865" s="1">
        <v>2330</v>
      </c>
      <c r="V865" s="1">
        <v>2200</v>
      </c>
      <c r="W865" s="1">
        <v>1000</v>
      </c>
      <c r="X865" s="1">
        <v>333</v>
      </c>
      <c r="Y865" s="1">
        <v>311</v>
      </c>
      <c r="Z865" s="1">
        <v>322</v>
      </c>
      <c r="AA865">
        <v>0</v>
      </c>
      <c r="AB865" t="str">
        <f t="shared" si="13"/>
        <v>Not Defaulter</v>
      </c>
      <c r="AC865" s="1">
        <f>Table2[[#This Row],[BILL_AMT1]]-Table2[[#This Row],[PAY_AMT1]]</f>
        <v>13585</v>
      </c>
      <c r="AD865" s="1" t="str" cm="1">
        <f t="array" ref="AD865">_xlfn.IFS(Table2[[#This Row],[PAYMENT GAP]]&lt;=0,"No Gap / Overpaid",Table2[[#This Row],[PAYMENT GAP]]&lt;=25000,"Low Gap",Table2[[#This Row],[PAYMENT GAP]]&lt;=100000,"Medium Gap",
TRUE,"High Gap"
)</f>
        <v>Low Gap</v>
      </c>
    </row>
    <row r="866" spans="1:30" x14ac:dyDescent="0.3">
      <c r="A866">
        <v>865</v>
      </c>
      <c r="B866" s="1">
        <v>200000</v>
      </c>
      <c r="C866" s="1" t="str" cm="1">
        <f t="array" ref="C866">_xlfn.IFS(Table2[[#This Row],[LIMIT_BAL]]&lt;=100000,"Low",Table2[[#This Row],[LIMIT_BAL]]&lt;=300000,"Medium",
TRUE,"High"
)</f>
        <v>Medium</v>
      </c>
      <c r="D866" t="s">
        <v>2042</v>
      </c>
      <c r="E866" t="s">
        <v>2026</v>
      </c>
      <c r="F866" t="s">
        <v>2029</v>
      </c>
      <c r="G866">
        <v>32</v>
      </c>
      <c r="H866" t="str" cm="1">
        <f t="array" ref="H866">_xlfn.IFS(
Table2[[#This Row],[AGE]]&lt;30,"Young",
Table2[[#This Row],[AGE]]&lt;40,"Middle Age",
Table2[[#This Row],[AGE]]&lt;50,"Senior",
TRUE,"Super Senior"
)</f>
        <v>Middle Age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 s="1">
        <v>43515</v>
      </c>
      <c r="P866" s="1">
        <v>44557</v>
      </c>
      <c r="Q866" s="1">
        <v>45574</v>
      </c>
      <c r="R866" s="1">
        <v>49022</v>
      </c>
      <c r="S866" s="1">
        <v>47459</v>
      </c>
      <c r="T866" s="1">
        <v>49666</v>
      </c>
      <c r="U866" s="1">
        <v>1739</v>
      </c>
      <c r="V866" s="1">
        <v>1756</v>
      </c>
      <c r="W866" s="1">
        <v>2662</v>
      </c>
      <c r="X866" s="1">
        <v>1726</v>
      </c>
      <c r="Y866" s="1">
        <v>3000</v>
      </c>
      <c r="Z866" s="1">
        <v>2500</v>
      </c>
      <c r="AA866">
        <v>0</v>
      </c>
      <c r="AB866" t="str">
        <f t="shared" si="13"/>
        <v>Not Defaulter</v>
      </c>
      <c r="AC866" s="1">
        <f>Table2[[#This Row],[BILL_AMT1]]-Table2[[#This Row],[PAY_AMT1]]</f>
        <v>41776</v>
      </c>
      <c r="AD866" s="1" t="str" cm="1">
        <f t="array" ref="AD866">_xlfn.IFS(Table2[[#This Row],[PAYMENT GAP]]&lt;=0,"No Gap / Overpaid",Table2[[#This Row],[PAYMENT GAP]]&lt;=25000,"Low Gap",Table2[[#This Row],[PAYMENT GAP]]&lt;=100000,"Medium Gap",
TRUE,"High Gap"
)</f>
        <v>Medium Gap</v>
      </c>
    </row>
    <row r="867" spans="1:30" x14ac:dyDescent="0.3">
      <c r="A867">
        <v>866</v>
      </c>
      <c r="B867" s="1">
        <v>30000</v>
      </c>
      <c r="C867" s="1" t="str" cm="1">
        <f t="array" ref="C867">_xlfn.IFS(Table2[[#This Row],[LIMIT_BAL]]&lt;=100000,"Low",Table2[[#This Row],[LIMIT_BAL]]&lt;=300000,"Medium",
TRUE,"High"
)</f>
        <v>Low</v>
      </c>
      <c r="D867" t="s">
        <v>2041</v>
      </c>
      <c r="E867" t="s">
        <v>2043</v>
      </c>
      <c r="F867" t="s">
        <v>2028</v>
      </c>
      <c r="G867">
        <v>46</v>
      </c>
      <c r="H867" t="str" cm="1">
        <f t="array" ref="H867">_xlfn.IFS(
Table2[[#This Row],[AGE]]&lt;30,"Young",
Table2[[#This Row],[AGE]]&lt;40,"Middle Age",
Table2[[#This Row],[AGE]]&lt;50,"Senior",
TRUE,"Super Senior"
)</f>
        <v>Senior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 s="1">
        <v>28234</v>
      </c>
      <c r="P867" s="1">
        <v>28874</v>
      </c>
      <c r="Q867" s="1">
        <v>29437</v>
      </c>
      <c r="R867" s="1">
        <v>27738</v>
      </c>
      <c r="S867" s="1">
        <v>27268</v>
      </c>
      <c r="T867" s="1">
        <v>27409</v>
      </c>
      <c r="U867" s="1">
        <v>1484</v>
      </c>
      <c r="V867" s="1">
        <v>1436</v>
      </c>
      <c r="W867" s="1">
        <v>1120</v>
      </c>
      <c r="X867" s="1">
        <v>995</v>
      </c>
      <c r="Y867" s="1">
        <v>989</v>
      </c>
      <c r="Z867" s="1">
        <v>800</v>
      </c>
      <c r="AA867">
        <v>0</v>
      </c>
      <c r="AB867" t="str">
        <f t="shared" si="13"/>
        <v>Not Defaulter</v>
      </c>
      <c r="AC867" s="1">
        <f>Table2[[#This Row],[BILL_AMT1]]-Table2[[#This Row],[PAY_AMT1]]</f>
        <v>26750</v>
      </c>
      <c r="AD867" s="1" t="str" cm="1">
        <f t="array" ref="AD867">_xlfn.IFS(Table2[[#This Row],[PAYMENT GAP]]&lt;=0,"No Gap / Overpaid",Table2[[#This Row],[PAYMENT GAP]]&lt;=25000,"Low Gap",Table2[[#This Row],[PAYMENT GAP]]&lt;=100000,"Medium Gap",
TRUE,"High Gap"
)</f>
        <v>Medium Gap</v>
      </c>
    </row>
    <row r="868" spans="1:30" x14ac:dyDescent="0.3">
      <c r="A868">
        <v>867</v>
      </c>
      <c r="B868" s="1">
        <v>180000</v>
      </c>
      <c r="C868" s="1" t="str" cm="1">
        <f t="array" ref="C868">_xlfn.IFS(Table2[[#This Row],[LIMIT_BAL]]&lt;=100000,"Low",Table2[[#This Row],[LIMIT_BAL]]&lt;=300000,"Medium",
TRUE,"High"
)</f>
        <v>Medium</v>
      </c>
      <c r="D868" t="s">
        <v>2041</v>
      </c>
      <c r="E868" t="s">
        <v>2043</v>
      </c>
      <c r="F868" t="s">
        <v>2029</v>
      </c>
      <c r="G868">
        <v>35</v>
      </c>
      <c r="H868" t="str" cm="1">
        <f t="array" ref="H868">_xlfn.IFS(
Table2[[#This Row],[AGE]]&lt;30,"Young",
Table2[[#This Row],[AGE]]&lt;40,"Middle Age",
Table2[[#This Row],[AGE]]&lt;50,"Senior",
TRUE,"Super Senior"
)</f>
        <v>Middle Age</v>
      </c>
      <c r="I868">
        <v>0</v>
      </c>
      <c r="J868">
        <v>0</v>
      </c>
      <c r="K868">
        <v>0</v>
      </c>
      <c r="L868">
        <v>-2</v>
      </c>
      <c r="M868">
        <v>-2</v>
      </c>
      <c r="N868">
        <v>-2</v>
      </c>
      <c r="O868" s="1">
        <v>119333</v>
      </c>
      <c r="P868" s="1">
        <v>123150</v>
      </c>
      <c r="Q868" s="1">
        <v>0</v>
      </c>
      <c r="R868" s="1">
        <v>0</v>
      </c>
      <c r="S868" s="1">
        <v>0</v>
      </c>
      <c r="T868" s="1">
        <v>0</v>
      </c>
      <c r="U868" s="1">
        <v>6000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>
        <v>0</v>
      </c>
      <c r="AB868" t="str">
        <f t="shared" si="13"/>
        <v>Not Defaulter</v>
      </c>
      <c r="AC868" s="1">
        <f>Table2[[#This Row],[BILL_AMT1]]-Table2[[#This Row],[PAY_AMT1]]</f>
        <v>113333</v>
      </c>
      <c r="AD868" s="1" t="str" cm="1">
        <f t="array" ref="AD868">_xlfn.IFS(Table2[[#This Row],[PAYMENT GAP]]&lt;=0,"No Gap / Overpaid",Table2[[#This Row],[PAYMENT GAP]]&lt;=25000,"Low Gap",Table2[[#This Row],[PAYMENT GAP]]&lt;=100000,"Medium Gap",
TRUE,"High Gap"
)</f>
        <v>High Gap</v>
      </c>
    </row>
    <row r="869" spans="1:30" x14ac:dyDescent="0.3">
      <c r="A869">
        <v>868</v>
      </c>
      <c r="B869" s="1">
        <v>100000</v>
      </c>
      <c r="C869" s="1" t="str" cm="1">
        <f t="array" ref="C869">_xlfn.IFS(Table2[[#This Row],[LIMIT_BAL]]&lt;=100000,"Low",Table2[[#This Row],[LIMIT_BAL]]&lt;=300000,"Medium",
TRUE,"High"
)</f>
        <v>Low</v>
      </c>
      <c r="D869" t="s">
        <v>2042</v>
      </c>
      <c r="E869" t="s">
        <v>2026</v>
      </c>
      <c r="F869" t="s">
        <v>2029</v>
      </c>
      <c r="G869">
        <v>35</v>
      </c>
      <c r="H869" t="str" cm="1">
        <f t="array" ref="H869">_xlfn.IFS(
Table2[[#This Row],[AGE]]&lt;30,"Young",
Table2[[#This Row],[AGE]]&lt;40,"Middle Age",
Table2[[#This Row],[AGE]]&lt;50,"Senior",
TRUE,"Super Senior"
)</f>
        <v>Middle Age</v>
      </c>
      <c r="I869">
        <v>0</v>
      </c>
      <c r="J869">
        <v>0</v>
      </c>
      <c r="K869">
        <v>-2</v>
      </c>
      <c r="L869">
        <v>-2</v>
      </c>
      <c r="M869">
        <v>-2</v>
      </c>
      <c r="N869">
        <v>-2</v>
      </c>
      <c r="O869" s="1">
        <v>29109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47970</v>
      </c>
      <c r="AA869">
        <v>0</v>
      </c>
      <c r="AB869" t="str">
        <f t="shared" si="13"/>
        <v>Not Defaulter</v>
      </c>
      <c r="AC869" s="1">
        <f>Table2[[#This Row],[BILL_AMT1]]-Table2[[#This Row],[PAY_AMT1]]</f>
        <v>29109</v>
      </c>
      <c r="AD869" s="1" t="str" cm="1">
        <f t="array" ref="AD869">_xlfn.IFS(Table2[[#This Row],[PAYMENT GAP]]&lt;=0,"No Gap / Overpaid",Table2[[#This Row],[PAYMENT GAP]]&lt;=25000,"Low Gap",Table2[[#This Row],[PAYMENT GAP]]&lt;=100000,"Medium Gap",
TRUE,"High Gap"
)</f>
        <v>Medium Gap</v>
      </c>
    </row>
    <row r="870" spans="1:30" x14ac:dyDescent="0.3">
      <c r="A870">
        <v>869</v>
      </c>
      <c r="B870" s="1">
        <v>140000</v>
      </c>
      <c r="C870" s="1" t="str" cm="1">
        <f t="array" ref="C870">_xlfn.IFS(Table2[[#This Row],[LIMIT_BAL]]&lt;=100000,"Low",Table2[[#This Row],[LIMIT_BAL]]&lt;=300000,"Medium",
TRUE,"High"
)</f>
        <v>Medium</v>
      </c>
      <c r="D870" t="s">
        <v>2041</v>
      </c>
      <c r="E870" t="s">
        <v>2043</v>
      </c>
      <c r="F870" t="s">
        <v>2028</v>
      </c>
      <c r="G870">
        <v>39</v>
      </c>
      <c r="H870" t="str" cm="1">
        <f t="array" ref="H870">_xlfn.IFS(
Table2[[#This Row],[AGE]]&lt;30,"Young",
Table2[[#This Row],[AGE]]&lt;40,"Middle Age",
Table2[[#This Row],[AGE]]&lt;50,"Senior",
TRUE,"Super Senior"
)</f>
        <v>Middle Age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 s="1">
        <v>105192</v>
      </c>
      <c r="P870" s="1">
        <v>90337</v>
      </c>
      <c r="Q870" s="1">
        <v>74510</v>
      </c>
      <c r="R870" s="1">
        <v>73876</v>
      </c>
      <c r="S870" s="1">
        <v>76180</v>
      </c>
      <c r="T870" s="1">
        <v>78400</v>
      </c>
      <c r="U870" s="1">
        <v>3000</v>
      </c>
      <c r="V870" s="1">
        <v>6000</v>
      </c>
      <c r="W870" s="1">
        <v>4000</v>
      </c>
      <c r="X870" s="1">
        <v>4000</v>
      </c>
      <c r="Y870" s="1">
        <v>4000</v>
      </c>
      <c r="Z870" s="1">
        <v>3000</v>
      </c>
      <c r="AA870">
        <v>0</v>
      </c>
      <c r="AB870" t="str">
        <f t="shared" si="13"/>
        <v>Not Defaulter</v>
      </c>
      <c r="AC870" s="1">
        <f>Table2[[#This Row],[BILL_AMT1]]-Table2[[#This Row],[PAY_AMT1]]</f>
        <v>102192</v>
      </c>
      <c r="AD870" s="1" t="str" cm="1">
        <f t="array" ref="AD870">_xlfn.IFS(Table2[[#This Row],[PAYMENT GAP]]&lt;=0,"No Gap / Overpaid",Table2[[#This Row],[PAYMENT GAP]]&lt;=25000,"Low Gap",Table2[[#This Row],[PAYMENT GAP]]&lt;=100000,"Medium Gap",
TRUE,"High Gap"
)</f>
        <v>High Gap</v>
      </c>
    </row>
    <row r="871" spans="1:30" x14ac:dyDescent="0.3">
      <c r="A871">
        <v>870</v>
      </c>
      <c r="B871" s="1">
        <v>290000</v>
      </c>
      <c r="C871" s="1" t="str" cm="1">
        <f t="array" ref="C871">_xlfn.IFS(Table2[[#This Row],[LIMIT_BAL]]&lt;=100000,"Low",Table2[[#This Row],[LIMIT_BAL]]&lt;=300000,"Medium",
TRUE,"High"
)</f>
        <v>Medium</v>
      </c>
      <c r="D871" t="s">
        <v>2041</v>
      </c>
      <c r="E871" t="s">
        <v>2043</v>
      </c>
      <c r="F871" t="s">
        <v>2029</v>
      </c>
      <c r="G871">
        <v>34</v>
      </c>
      <c r="H871" t="str" cm="1">
        <f t="array" ref="H871">_xlfn.IFS(
Table2[[#This Row],[AGE]]&lt;30,"Young",
Table2[[#This Row],[AGE]]&lt;40,"Middle Age",
Table2[[#This Row],[AGE]]&lt;50,"Senior",
TRUE,"Super Senior"
)</f>
        <v>Middle Age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 s="1">
        <v>310403</v>
      </c>
      <c r="P871" s="1">
        <v>315048</v>
      </c>
      <c r="Q871" s="1">
        <v>314085</v>
      </c>
      <c r="R871" s="1">
        <v>317631</v>
      </c>
      <c r="S871" s="1">
        <v>315820</v>
      </c>
      <c r="T871" s="1">
        <v>305498</v>
      </c>
      <c r="U871" s="1">
        <v>12012</v>
      </c>
      <c r="V871" s="1">
        <v>12012</v>
      </c>
      <c r="W871" s="1">
        <v>11016</v>
      </c>
      <c r="X871" s="1">
        <v>11088</v>
      </c>
      <c r="Y871" s="1">
        <v>12031</v>
      </c>
      <c r="Z871" s="1">
        <v>12031</v>
      </c>
      <c r="AA871">
        <v>0</v>
      </c>
      <c r="AB871" t="str">
        <f t="shared" si="13"/>
        <v>Not Defaulter</v>
      </c>
      <c r="AC871" s="1">
        <f>Table2[[#This Row],[BILL_AMT1]]-Table2[[#This Row],[PAY_AMT1]]</f>
        <v>298391</v>
      </c>
      <c r="AD871" s="1" t="str" cm="1">
        <f t="array" ref="AD871">_xlfn.IFS(Table2[[#This Row],[PAYMENT GAP]]&lt;=0,"No Gap / Overpaid",Table2[[#This Row],[PAYMENT GAP]]&lt;=25000,"Low Gap",Table2[[#This Row],[PAYMENT GAP]]&lt;=100000,"Medium Gap",
TRUE,"High Gap"
)</f>
        <v>High Gap</v>
      </c>
    </row>
    <row r="872" spans="1:30" x14ac:dyDescent="0.3">
      <c r="A872">
        <v>871</v>
      </c>
      <c r="B872" s="1">
        <v>20000</v>
      </c>
      <c r="C872" s="1" t="str" cm="1">
        <f t="array" ref="C872">_xlfn.IFS(Table2[[#This Row],[LIMIT_BAL]]&lt;=100000,"Low",Table2[[#This Row],[LIMIT_BAL]]&lt;=300000,"Medium",
TRUE,"High"
)</f>
        <v>Low</v>
      </c>
      <c r="D872" t="s">
        <v>2041</v>
      </c>
      <c r="E872" t="s">
        <v>2043</v>
      </c>
      <c r="F872" t="s">
        <v>2055</v>
      </c>
      <c r="G872">
        <v>52</v>
      </c>
      <c r="H872" t="str" cm="1">
        <f t="array" ref="H872">_xlfn.IFS(
Table2[[#This Row],[AGE]]&lt;30,"Young",
Table2[[#This Row],[AGE]]&lt;40,"Middle Age",
Table2[[#This Row],[AGE]]&lt;50,"Senior",
TRUE,"Super Senior"
)</f>
        <v>Super Senior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 s="1">
        <v>14591</v>
      </c>
      <c r="P872" s="1">
        <v>15616</v>
      </c>
      <c r="Q872" s="1">
        <v>16628</v>
      </c>
      <c r="R872" s="1">
        <v>16958</v>
      </c>
      <c r="S872" s="1">
        <v>17314</v>
      </c>
      <c r="T872" s="1">
        <v>17664</v>
      </c>
      <c r="U872" s="1">
        <v>1265</v>
      </c>
      <c r="V872" s="1">
        <v>1277</v>
      </c>
      <c r="W872" s="1">
        <v>607</v>
      </c>
      <c r="X872" s="1">
        <v>629</v>
      </c>
      <c r="Y872" s="1">
        <v>638</v>
      </c>
      <c r="Z872" s="1">
        <v>641</v>
      </c>
      <c r="AA872">
        <v>0</v>
      </c>
      <c r="AB872" t="str">
        <f t="shared" si="13"/>
        <v>Not Defaulter</v>
      </c>
      <c r="AC872" s="1">
        <f>Table2[[#This Row],[BILL_AMT1]]-Table2[[#This Row],[PAY_AMT1]]</f>
        <v>13326</v>
      </c>
      <c r="AD872" s="1" t="str" cm="1">
        <f t="array" ref="AD872">_xlfn.IFS(Table2[[#This Row],[PAYMENT GAP]]&lt;=0,"No Gap / Overpaid",Table2[[#This Row],[PAYMENT GAP]]&lt;=25000,"Low Gap",Table2[[#This Row],[PAYMENT GAP]]&lt;=100000,"Medium Gap",
TRUE,"High Gap"
)</f>
        <v>Low Gap</v>
      </c>
    </row>
    <row r="873" spans="1:30" x14ac:dyDescent="0.3">
      <c r="A873">
        <v>872</v>
      </c>
      <c r="B873" s="1">
        <v>80000</v>
      </c>
      <c r="C873" s="1" t="str" cm="1">
        <f t="array" ref="C873">_xlfn.IFS(Table2[[#This Row],[LIMIT_BAL]]&lt;=100000,"Low",Table2[[#This Row],[LIMIT_BAL]]&lt;=300000,"Medium",
TRUE,"High"
)</f>
        <v>Low</v>
      </c>
      <c r="D873" t="s">
        <v>2041</v>
      </c>
      <c r="E873" t="s">
        <v>2027</v>
      </c>
      <c r="F873" t="s">
        <v>2028</v>
      </c>
      <c r="G873">
        <v>40</v>
      </c>
      <c r="H873" t="str" cm="1">
        <f t="array" ref="H873">_xlfn.IFS(
Table2[[#This Row],[AGE]]&lt;30,"Young",
Table2[[#This Row],[AGE]]&lt;40,"Middle Age",
Table2[[#This Row],[AGE]]&lt;50,"Senior",
TRUE,"Super Senior"
)</f>
        <v>Senior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 s="1">
        <v>35660</v>
      </c>
      <c r="P873" s="1">
        <v>37082</v>
      </c>
      <c r="Q873" s="1">
        <v>38464</v>
      </c>
      <c r="R873" s="1">
        <v>38922</v>
      </c>
      <c r="S873" s="1">
        <v>40791</v>
      </c>
      <c r="T873" s="1">
        <v>43108</v>
      </c>
      <c r="U873" s="1">
        <v>2000</v>
      </c>
      <c r="V873" s="1">
        <v>2000</v>
      </c>
      <c r="W873" s="1">
        <v>1397</v>
      </c>
      <c r="X873" s="1">
        <v>2500</v>
      </c>
      <c r="Y873" s="1">
        <v>3000</v>
      </c>
      <c r="Z873" s="1">
        <v>1600</v>
      </c>
      <c r="AA873">
        <v>0</v>
      </c>
      <c r="AB873" t="str">
        <f t="shared" si="13"/>
        <v>Not Defaulter</v>
      </c>
      <c r="AC873" s="1">
        <f>Table2[[#This Row],[BILL_AMT1]]-Table2[[#This Row],[PAY_AMT1]]</f>
        <v>33660</v>
      </c>
      <c r="AD873" s="1" t="str" cm="1">
        <f t="array" ref="AD873">_xlfn.IFS(Table2[[#This Row],[PAYMENT GAP]]&lt;=0,"No Gap / Overpaid",Table2[[#This Row],[PAYMENT GAP]]&lt;=25000,"Low Gap",Table2[[#This Row],[PAYMENT GAP]]&lt;=100000,"Medium Gap",
TRUE,"High Gap"
)</f>
        <v>Medium Gap</v>
      </c>
    </row>
    <row r="874" spans="1:30" x14ac:dyDescent="0.3">
      <c r="A874">
        <v>873</v>
      </c>
      <c r="B874" s="1">
        <v>500000</v>
      </c>
      <c r="C874" s="1" t="str" cm="1">
        <f t="array" ref="C874">_xlfn.IFS(Table2[[#This Row],[LIMIT_BAL]]&lt;=100000,"Low",Table2[[#This Row],[LIMIT_BAL]]&lt;=300000,"Medium",
TRUE,"High"
)</f>
        <v>High</v>
      </c>
      <c r="D874" t="s">
        <v>2041</v>
      </c>
      <c r="E874" t="s">
        <v>2027</v>
      </c>
      <c r="F874" t="s">
        <v>2028</v>
      </c>
      <c r="G874">
        <v>38</v>
      </c>
      <c r="H874" t="str" cm="1">
        <f t="array" ref="H874">_xlfn.IFS(
Table2[[#This Row],[AGE]]&lt;30,"Young",
Table2[[#This Row],[AGE]]&lt;40,"Middle Age",
Table2[[#This Row],[AGE]]&lt;50,"Senior",
TRUE,"Super Senior"
)</f>
        <v>Middle Age</v>
      </c>
      <c r="I874">
        <v>-2</v>
      </c>
      <c r="J874">
        <v>-2</v>
      </c>
      <c r="K874">
        <v>-2</v>
      </c>
      <c r="L874">
        <v>-2</v>
      </c>
      <c r="M874">
        <v>-2</v>
      </c>
      <c r="N874">
        <v>-2</v>
      </c>
      <c r="O874" s="1">
        <v>13655</v>
      </c>
      <c r="P874" s="1">
        <v>8351</v>
      </c>
      <c r="Q874" s="1">
        <v>2340</v>
      </c>
      <c r="R874" s="1">
        <v>2340</v>
      </c>
      <c r="S874" s="1">
        <v>11435</v>
      </c>
      <c r="T874" s="1">
        <v>189</v>
      </c>
      <c r="U874" s="1">
        <v>8351</v>
      </c>
      <c r="V874" s="1">
        <v>2340</v>
      </c>
      <c r="W874" s="1">
        <v>2340</v>
      </c>
      <c r="X874" s="1">
        <v>11435</v>
      </c>
      <c r="Y874" s="1">
        <v>189</v>
      </c>
      <c r="Z874" s="1">
        <v>5391</v>
      </c>
      <c r="AA874">
        <v>0</v>
      </c>
      <c r="AB874" t="str">
        <f t="shared" si="13"/>
        <v>Not Defaulter</v>
      </c>
      <c r="AC874" s="1">
        <f>Table2[[#This Row],[BILL_AMT1]]-Table2[[#This Row],[PAY_AMT1]]</f>
        <v>5304</v>
      </c>
      <c r="AD874" s="1" t="str" cm="1">
        <f t="array" ref="AD874">_xlfn.IFS(Table2[[#This Row],[PAYMENT GAP]]&lt;=0,"No Gap / Overpaid",Table2[[#This Row],[PAYMENT GAP]]&lt;=25000,"Low Gap",Table2[[#This Row],[PAYMENT GAP]]&lt;=100000,"Medium Gap",
TRUE,"High Gap"
)</f>
        <v>Low Gap</v>
      </c>
    </row>
    <row r="875" spans="1:30" x14ac:dyDescent="0.3">
      <c r="A875">
        <v>874</v>
      </c>
      <c r="B875" s="1">
        <v>180000</v>
      </c>
      <c r="C875" s="1" t="str" cm="1">
        <f t="array" ref="C875">_xlfn.IFS(Table2[[#This Row],[LIMIT_BAL]]&lt;=100000,"Low",Table2[[#This Row],[LIMIT_BAL]]&lt;=300000,"Medium",
TRUE,"High"
)</f>
        <v>Medium</v>
      </c>
      <c r="D875" t="s">
        <v>2042</v>
      </c>
      <c r="E875" t="s">
        <v>2026</v>
      </c>
      <c r="F875" t="s">
        <v>2028</v>
      </c>
      <c r="G875">
        <v>45</v>
      </c>
      <c r="H875" t="str" cm="1">
        <f t="array" ref="H875">_xlfn.IFS(
Table2[[#This Row],[AGE]]&lt;30,"Young",
Table2[[#This Row],[AGE]]&lt;40,"Middle Age",
Table2[[#This Row],[AGE]]&lt;50,"Senior",
TRUE,"Super Senior"
)</f>
        <v>Senior</v>
      </c>
      <c r="I875">
        <v>-1</v>
      </c>
      <c r="J875">
        <v>-1</v>
      </c>
      <c r="K875">
        <v>-1</v>
      </c>
      <c r="L875">
        <v>-1</v>
      </c>
      <c r="M875">
        <v>-1</v>
      </c>
      <c r="N875">
        <v>-1</v>
      </c>
      <c r="O875" s="1">
        <v>4453</v>
      </c>
      <c r="P875" s="1">
        <v>3310</v>
      </c>
      <c r="Q875" s="1">
        <v>7226</v>
      </c>
      <c r="R875" s="1">
        <v>5060</v>
      </c>
      <c r="S875" s="1">
        <v>2832</v>
      </c>
      <c r="T875" s="1">
        <v>1890</v>
      </c>
      <c r="U875" s="1">
        <v>3310</v>
      </c>
      <c r="V875" s="1">
        <v>7228</v>
      </c>
      <c r="W875" s="1">
        <v>5060</v>
      </c>
      <c r="X875" s="1">
        <v>2832</v>
      </c>
      <c r="Y875" s="1">
        <v>1890</v>
      </c>
      <c r="Z875" s="1">
        <v>2576</v>
      </c>
      <c r="AA875">
        <v>0</v>
      </c>
      <c r="AB875" t="str">
        <f t="shared" si="13"/>
        <v>Not Defaulter</v>
      </c>
      <c r="AC875" s="1">
        <f>Table2[[#This Row],[BILL_AMT1]]-Table2[[#This Row],[PAY_AMT1]]</f>
        <v>1143</v>
      </c>
      <c r="AD875" s="1" t="str" cm="1">
        <f t="array" ref="AD875">_xlfn.IFS(Table2[[#This Row],[PAYMENT GAP]]&lt;=0,"No Gap / Overpaid",Table2[[#This Row],[PAYMENT GAP]]&lt;=25000,"Low Gap",Table2[[#This Row],[PAYMENT GAP]]&lt;=100000,"Medium Gap",
TRUE,"High Gap"
)</f>
        <v>Low Gap</v>
      </c>
    </row>
    <row r="876" spans="1:30" x14ac:dyDescent="0.3">
      <c r="A876">
        <v>875</v>
      </c>
      <c r="B876" s="1">
        <v>20000</v>
      </c>
      <c r="C876" s="1" t="str" cm="1">
        <f t="array" ref="C876">_xlfn.IFS(Table2[[#This Row],[LIMIT_BAL]]&lt;=100000,"Low",Table2[[#This Row],[LIMIT_BAL]]&lt;=300000,"Medium",
TRUE,"High"
)</f>
        <v>Low</v>
      </c>
      <c r="D876" t="s">
        <v>2041</v>
      </c>
      <c r="E876" t="s">
        <v>2027</v>
      </c>
      <c r="F876" t="s">
        <v>2028</v>
      </c>
      <c r="G876">
        <v>40</v>
      </c>
      <c r="H876" t="str" cm="1">
        <f t="array" ref="H876">_xlfn.IFS(
Table2[[#This Row],[AGE]]&lt;30,"Young",
Table2[[#This Row],[AGE]]&lt;40,"Middle Age",
Table2[[#This Row],[AGE]]&lt;50,"Senior",
TRUE,"Super Senior"
)</f>
        <v>Senior</v>
      </c>
      <c r="I876">
        <v>-1</v>
      </c>
      <c r="J876">
        <v>-1</v>
      </c>
      <c r="K876">
        <v>-1</v>
      </c>
      <c r="L876">
        <v>-1</v>
      </c>
      <c r="M876">
        <v>-1</v>
      </c>
      <c r="N876">
        <v>-1</v>
      </c>
      <c r="O876" s="1">
        <v>2946</v>
      </c>
      <c r="P876" s="1">
        <v>0</v>
      </c>
      <c r="Q876" s="1">
        <v>390</v>
      </c>
      <c r="R876" s="1">
        <v>390</v>
      </c>
      <c r="S876" s="1">
        <v>390</v>
      </c>
      <c r="T876" s="1">
        <v>390</v>
      </c>
      <c r="U876" s="1">
        <v>0</v>
      </c>
      <c r="V876" s="1">
        <v>390</v>
      </c>
      <c r="W876" s="1">
        <v>390</v>
      </c>
      <c r="X876" s="1">
        <v>390</v>
      </c>
      <c r="Y876" s="1">
        <v>390</v>
      </c>
      <c r="Z876" s="1">
        <v>780</v>
      </c>
      <c r="AA876">
        <v>0</v>
      </c>
      <c r="AB876" t="str">
        <f t="shared" si="13"/>
        <v>Not Defaulter</v>
      </c>
      <c r="AC876" s="1">
        <f>Table2[[#This Row],[BILL_AMT1]]-Table2[[#This Row],[PAY_AMT1]]</f>
        <v>2946</v>
      </c>
      <c r="AD876" s="1" t="str" cm="1">
        <f t="array" ref="AD876">_xlfn.IFS(Table2[[#This Row],[PAYMENT GAP]]&lt;=0,"No Gap / Overpaid",Table2[[#This Row],[PAYMENT GAP]]&lt;=25000,"Low Gap",Table2[[#This Row],[PAYMENT GAP]]&lt;=100000,"Medium Gap",
TRUE,"High Gap"
)</f>
        <v>Low Gap</v>
      </c>
    </row>
    <row r="877" spans="1:30" x14ac:dyDescent="0.3">
      <c r="A877">
        <v>876</v>
      </c>
      <c r="B877" s="1">
        <v>30000</v>
      </c>
      <c r="C877" s="1" t="str" cm="1">
        <f t="array" ref="C877">_xlfn.IFS(Table2[[#This Row],[LIMIT_BAL]]&lt;=100000,"Low",Table2[[#This Row],[LIMIT_BAL]]&lt;=300000,"Medium",
TRUE,"High"
)</f>
        <v>Low</v>
      </c>
      <c r="D877" t="s">
        <v>2041</v>
      </c>
      <c r="E877" t="s">
        <v>2043</v>
      </c>
      <c r="F877" t="s">
        <v>2028</v>
      </c>
      <c r="G877">
        <v>25</v>
      </c>
      <c r="H877" t="str" cm="1">
        <f t="array" ref="H877">_xlfn.IFS(
Table2[[#This Row],[AGE]]&lt;30,"Young",
Table2[[#This Row],[AGE]]&lt;40,"Middle Age",
Table2[[#This Row],[AGE]]&lt;50,"Senior",
TRUE,"Super Senior"
)</f>
        <v>Young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2</v>
      </c>
      <c r="O877" s="1">
        <v>30606</v>
      </c>
      <c r="P877" s="1">
        <v>29579</v>
      </c>
      <c r="Q877" s="1">
        <v>30291</v>
      </c>
      <c r="R877" s="1">
        <v>30616</v>
      </c>
      <c r="S877" s="1">
        <v>30456</v>
      </c>
      <c r="T877" s="1">
        <v>29818</v>
      </c>
      <c r="U877" s="1">
        <v>1800</v>
      </c>
      <c r="V877" s="1">
        <v>1512</v>
      </c>
      <c r="W877" s="1">
        <v>1259</v>
      </c>
      <c r="X877" s="1">
        <v>2500</v>
      </c>
      <c r="Y877" s="1">
        <v>0</v>
      </c>
      <c r="Z877" s="1">
        <v>1000</v>
      </c>
      <c r="AA877">
        <v>0</v>
      </c>
      <c r="AB877" t="str">
        <f t="shared" si="13"/>
        <v>Not Defaulter</v>
      </c>
      <c r="AC877" s="1">
        <f>Table2[[#This Row],[BILL_AMT1]]-Table2[[#This Row],[PAY_AMT1]]</f>
        <v>28806</v>
      </c>
      <c r="AD877" s="1" t="str" cm="1">
        <f t="array" ref="AD877">_xlfn.IFS(Table2[[#This Row],[PAYMENT GAP]]&lt;=0,"No Gap / Overpaid",Table2[[#This Row],[PAYMENT GAP]]&lt;=25000,"Low Gap",Table2[[#This Row],[PAYMENT GAP]]&lt;=100000,"Medium Gap",
TRUE,"High Gap"
)</f>
        <v>Medium Gap</v>
      </c>
    </row>
    <row r="878" spans="1:30" x14ac:dyDescent="0.3">
      <c r="A878">
        <v>877</v>
      </c>
      <c r="B878" s="1">
        <v>150000</v>
      </c>
      <c r="C878" s="1" t="str" cm="1">
        <f t="array" ref="C878">_xlfn.IFS(Table2[[#This Row],[LIMIT_BAL]]&lt;=100000,"Low",Table2[[#This Row],[LIMIT_BAL]]&lt;=300000,"Medium",
TRUE,"High"
)</f>
        <v>Medium</v>
      </c>
      <c r="D878" t="s">
        <v>2042</v>
      </c>
      <c r="E878" t="s">
        <v>2026</v>
      </c>
      <c r="F878" t="s">
        <v>2029</v>
      </c>
      <c r="G878">
        <v>33</v>
      </c>
      <c r="H878" t="str" cm="1">
        <f t="array" ref="H878">_xlfn.IFS(
Table2[[#This Row],[AGE]]&lt;30,"Young",
Table2[[#This Row],[AGE]]&lt;40,"Middle Age",
Table2[[#This Row],[AGE]]&lt;50,"Senior",
TRUE,"Super Senior"
)</f>
        <v>Middle Age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 s="1">
        <v>45335</v>
      </c>
      <c r="P878" s="1">
        <v>50262</v>
      </c>
      <c r="Q878" s="1">
        <v>54793</v>
      </c>
      <c r="R878" s="1">
        <v>59244</v>
      </c>
      <c r="S878" s="1">
        <v>64096</v>
      </c>
      <c r="T878" s="1">
        <v>68837</v>
      </c>
      <c r="U878" s="1">
        <v>6000</v>
      </c>
      <c r="V878" s="1">
        <v>6000</v>
      </c>
      <c r="W878" s="1">
        <v>6000</v>
      </c>
      <c r="X878" s="1">
        <v>6000</v>
      </c>
      <c r="Y878" s="1">
        <v>6001</v>
      </c>
      <c r="Z878" s="1">
        <v>6000</v>
      </c>
      <c r="AA878">
        <v>0</v>
      </c>
      <c r="AB878" t="str">
        <f t="shared" si="13"/>
        <v>Not Defaulter</v>
      </c>
      <c r="AC878" s="1">
        <f>Table2[[#This Row],[BILL_AMT1]]-Table2[[#This Row],[PAY_AMT1]]</f>
        <v>39335</v>
      </c>
      <c r="AD878" s="1" t="str" cm="1">
        <f t="array" ref="AD878">_xlfn.IFS(Table2[[#This Row],[PAYMENT GAP]]&lt;=0,"No Gap / Overpaid",Table2[[#This Row],[PAYMENT GAP]]&lt;=25000,"Low Gap",Table2[[#This Row],[PAYMENT GAP]]&lt;=100000,"Medium Gap",
TRUE,"High Gap"
)</f>
        <v>Medium Gap</v>
      </c>
    </row>
    <row r="879" spans="1:30" x14ac:dyDescent="0.3">
      <c r="A879">
        <v>878</v>
      </c>
      <c r="B879" s="1">
        <v>280000</v>
      </c>
      <c r="C879" s="1" t="str" cm="1">
        <f t="array" ref="C879">_xlfn.IFS(Table2[[#This Row],[LIMIT_BAL]]&lt;=100000,"Low",Table2[[#This Row],[LIMIT_BAL]]&lt;=300000,"Medium",
TRUE,"High"
)</f>
        <v>Medium</v>
      </c>
      <c r="D879" t="s">
        <v>2041</v>
      </c>
      <c r="E879" t="s">
        <v>2043</v>
      </c>
      <c r="F879" t="s">
        <v>2029</v>
      </c>
      <c r="G879">
        <v>27</v>
      </c>
      <c r="H879" t="str" cm="1">
        <f t="array" ref="H879">_xlfn.IFS(
Table2[[#This Row],[AGE]]&lt;30,"Young",
Table2[[#This Row],[AGE]]&lt;40,"Middle Age",
Table2[[#This Row],[AGE]]&lt;50,"Senior",
TRUE,"Super Senior"
)</f>
        <v>Young</v>
      </c>
      <c r="I879">
        <v>-1</v>
      </c>
      <c r="J879">
        <v>-1</v>
      </c>
      <c r="K879">
        <v>-1</v>
      </c>
      <c r="L879">
        <v>-1</v>
      </c>
      <c r="M879">
        <v>-1</v>
      </c>
      <c r="N879">
        <v>-1</v>
      </c>
      <c r="O879" s="1">
        <v>5924</v>
      </c>
      <c r="P879" s="1">
        <v>5174</v>
      </c>
      <c r="Q879" s="1">
        <v>980</v>
      </c>
      <c r="R879" s="1">
        <v>3058</v>
      </c>
      <c r="S879" s="1">
        <v>3158</v>
      </c>
      <c r="T879" s="1">
        <v>9530</v>
      </c>
      <c r="U879" s="1">
        <v>5174</v>
      </c>
      <c r="V879" s="1">
        <v>1078</v>
      </c>
      <c r="W879" s="1">
        <v>3058</v>
      </c>
      <c r="X879" s="1">
        <v>3158</v>
      </c>
      <c r="Y879" s="1">
        <v>9530</v>
      </c>
      <c r="Z879" s="1">
        <v>0</v>
      </c>
      <c r="AA879">
        <v>0</v>
      </c>
      <c r="AB879" t="str">
        <f t="shared" si="13"/>
        <v>Not Defaulter</v>
      </c>
      <c r="AC879" s="1">
        <f>Table2[[#This Row],[BILL_AMT1]]-Table2[[#This Row],[PAY_AMT1]]</f>
        <v>750</v>
      </c>
      <c r="AD879" s="1" t="str" cm="1">
        <f t="array" ref="AD879">_xlfn.IFS(Table2[[#This Row],[PAYMENT GAP]]&lt;=0,"No Gap / Overpaid",Table2[[#This Row],[PAYMENT GAP]]&lt;=25000,"Low Gap",Table2[[#This Row],[PAYMENT GAP]]&lt;=100000,"Medium Gap",
TRUE,"High Gap"
)</f>
        <v>Low Gap</v>
      </c>
    </row>
    <row r="880" spans="1:30" x14ac:dyDescent="0.3">
      <c r="A880">
        <v>879</v>
      </c>
      <c r="B880" s="1">
        <v>50000</v>
      </c>
      <c r="C880" s="1" t="str" cm="1">
        <f t="array" ref="C880">_xlfn.IFS(Table2[[#This Row],[LIMIT_BAL]]&lt;=100000,"Low",Table2[[#This Row],[LIMIT_BAL]]&lt;=300000,"Medium",
TRUE,"High"
)</f>
        <v>Low</v>
      </c>
      <c r="D880" t="s">
        <v>2041</v>
      </c>
      <c r="E880" t="s">
        <v>2043</v>
      </c>
      <c r="F880" t="s">
        <v>2028</v>
      </c>
      <c r="G880">
        <v>43</v>
      </c>
      <c r="H880" t="str" cm="1">
        <f t="array" ref="H880">_xlfn.IFS(
Table2[[#This Row],[AGE]]&lt;30,"Young",
Table2[[#This Row],[AGE]]&lt;40,"Middle Age",
Table2[[#This Row],[AGE]]&lt;50,"Senior",
TRUE,"Super Senior"
)</f>
        <v>Senior</v>
      </c>
      <c r="I880">
        <v>0</v>
      </c>
      <c r="J880">
        <v>0</v>
      </c>
      <c r="K880">
        <v>0</v>
      </c>
      <c r="L880">
        <v>-1</v>
      </c>
      <c r="M880">
        <v>0</v>
      </c>
      <c r="N880">
        <v>0</v>
      </c>
      <c r="O880" s="1">
        <v>23587</v>
      </c>
      <c r="P880" s="1">
        <v>24580</v>
      </c>
      <c r="Q880" s="1">
        <v>20165</v>
      </c>
      <c r="R880" s="1">
        <v>10732</v>
      </c>
      <c r="S880" s="1">
        <v>10566</v>
      </c>
      <c r="T880" s="1">
        <v>10757</v>
      </c>
      <c r="U880" s="1">
        <v>1800</v>
      </c>
      <c r="V880" s="1">
        <v>1775</v>
      </c>
      <c r="W880" s="1">
        <v>10732</v>
      </c>
      <c r="X880" s="1">
        <v>384</v>
      </c>
      <c r="Y880" s="1">
        <v>757</v>
      </c>
      <c r="Z880" s="1">
        <v>501</v>
      </c>
      <c r="AA880">
        <v>0</v>
      </c>
      <c r="AB880" t="str">
        <f t="shared" si="13"/>
        <v>Not Defaulter</v>
      </c>
      <c r="AC880" s="1">
        <f>Table2[[#This Row],[BILL_AMT1]]-Table2[[#This Row],[PAY_AMT1]]</f>
        <v>21787</v>
      </c>
      <c r="AD880" s="1" t="str" cm="1">
        <f t="array" ref="AD880">_xlfn.IFS(Table2[[#This Row],[PAYMENT GAP]]&lt;=0,"No Gap / Overpaid",Table2[[#This Row],[PAYMENT GAP]]&lt;=25000,"Low Gap",Table2[[#This Row],[PAYMENT GAP]]&lt;=100000,"Medium Gap",
TRUE,"High Gap"
)</f>
        <v>Low Gap</v>
      </c>
    </row>
    <row r="881" spans="1:30" x14ac:dyDescent="0.3">
      <c r="A881">
        <v>880</v>
      </c>
      <c r="B881" s="1">
        <v>20000</v>
      </c>
      <c r="C881" s="1" t="str" cm="1">
        <f t="array" ref="C881">_xlfn.IFS(Table2[[#This Row],[LIMIT_BAL]]&lt;=100000,"Low",Table2[[#This Row],[LIMIT_BAL]]&lt;=300000,"Medium",
TRUE,"High"
)</f>
        <v>Low</v>
      </c>
      <c r="D881" t="s">
        <v>2041</v>
      </c>
      <c r="E881" t="s">
        <v>2043</v>
      </c>
      <c r="F881" t="s">
        <v>2028</v>
      </c>
      <c r="G881">
        <v>43</v>
      </c>
      <c r="H881" t="str" cm="1">
        <f t="array" ref="H881">_xlfn.IFS(
Table2[[#This Row],[AGE]]&lt;30,"Young",
Table2[[#This Row],[AGE]]&lt;40,"Middle Age",
Table2[[#This Row],[AGE]]&lt;50,"Senior",
TRUE,"Super Senior"
)</f>
        <v>Senior</v>
      </c>
      <c r="I881">
        <v>2</v>
      </c>
      <c r="J881">
        <v>0</v>
      </c>
      <c r="K881">
        <v>0</v>
      </c>
      <c r="L881">
        <v>0</v>
      </c>
      <c r="M881">
        <v>0</v>
      </c>
      <c r="N881">
        <v>2</v>
      </c>
      <c r="O881" s="1">
        <v>15294</v>
      </c>
      <c r="P881" s="1">
        <v>16340</v>
      </c>
      <c r="Q881" s="1">
        <v>17359</v>
      </c>
      <c r="R881" s="1">
        <v>17776</v>
      </c>
      <c r="S881" s="1">
        <v>19293</v>
      </c>
      <c r="T881" s="1">
        <v>18844</v>
      </c>
      <c r="U881" s="1">
        <v>1300</v>
      </c>
      <c r="V881" s="1">
        <v>1300</v>
      </c>
      <c r="W881" s="1">
        <v>700</v>
      </c>
      <c r="X881" s="1">
        <v>1800</v>
      </c>
      <c r="Y881" s="1">
        <v>0</v>
      </c>
      <c r="Z881" s="1">
        <v>1000</v>
      </c>
      <c r="AA881">
        <v>0</v>
      </c>
      <c r="AB881" t="str">
        <f t="shared" si="13"/>
        <v>Not Defaulter</v>
      </c>
      <c r="AC881" s="1">
        <f>Table2[[#This Row],[BILL_AMT1]]-Table2[[#This Row],[PAY_AMT1]]</f>
        <v>13994</v>
      </c>
      <c r="AD881" s="1" t="str" cm="1">
        <f t="array" ref="AD881">_xlfn.IFS(Table2[[#This Row],[PAYMENT GAP]]&lt;=0,"No Gap / Overpaid",Table2[[#This Row],[PAYMENT GAP]]&lt;=25000,"Low Gap",Table2[[#This Row],[PAYMENT GAP]]&lt;=100000,"Medium Gap",
TRUE,"High Gap"
)</f>
        <v>Low Gap</v>
      </c>
    </row>
    <row r="882" spans="1:30" x14ac:dyDescent="0.3">
      <c r="A882">
        <v>881</v>
      </c>
      <c r="B882" s="1">
        <v>200000</v>
      </c>
      <c r="C882" s="1" t="str" cm="1">
        <f t="array" ref="C882">_xlfn.IFS(Table2[[#This Row],[LIMIT_BAL]]&lt;=100000,"Low",Table2[[#This Row],[LIMIT_BAL]]&lt;=300000,"Medium",
TRUE,"High"
)</f>
        <v>Medium</v>
      </c>
      <c r="D882" t="s">
        <v>2042</v>
      </c>
      <c r="E882" t="s">
        <v>2026</v>
      </c>
      <c r="F882" t="s">
        <v>2029</v>
      </c>
      <c r="G882">
        <v>30</v>
      </c>
      <c r="H882" t="str" cm="1">
        <f t="array" ref="H882">_xlfn.IFS(
Table2[[#This Row],[AGE]]&lt;30,"Young",
Table2[[#This Row],[AGE]]&lt;40,"Middle Age",
Table2[[#This Row],[AGE]]&lt;50,"Senior",
TRUE,"Super Senior"
)</f>
        <v>Middle Age</v>
      </c>
      <c r="I882">
        <v>-1</v>
      </c>
      <c r="J882">
        <v>-1</v>
      </c>
      <c r="K882">
        <v>-1</v>
      </c>
      <c r="L882">
        <v>0</v>
      </c>
      <c r="M882">
        <v>0</v>
      </c>
      <c r="N882">
        <v>0</v>
      </c>
      <c r="O882" s="1">
        <v>4935</v>
      </c>
      <c r="P882" s="1">
        <v>-200</v>
      </c>
      <c r="Q882" s="1">
        <v>11463</v>
      </c>
      <c r="R882" s="1">
        <v>11751</v>
      </c>
      <c r="S882" s="1">
        <v>11772</v>
      </c>
      <c r="T882" s="1">
        <v>5318</v>
      </c>
      <c r="U882" s="1">
        <v>0</v>
      </c>
      <c r="V882" s="1">
        <v>11663</v>
      </c>
      <c r="W882" s="1">
        <v>9363</v>
      </c>
      <c r="X882" s="1">
        <v>3232</v>
      </c>
      <c r="Y882" s="1">
        <v>3000</v>
      </c>
      <c r="Z882" s="1">
        <v>1000</v>
      </c>
      <c r="AA882">
        <v>0</v>
      </c>
      <c r="AB882" t="str">
        <f t="shared" si="13"/>
        <v>Not Defaulter</v>
      </c>
      <c r="AC882" s="1">
        <f>Table2[[#This Row],[BILL_AMT1]]-Table2[[#This Row],[PAY_AMT1]]</f>
        <v>4935</v>
      </c>
      <c r="AD882" s="1" t="str" cm="1">
        <f t="array" ref="AD882">_xlfn.IFS(Table2[[#This Row],[PAYMENT GAP]]&lt;=0,"No Gap / Overpaid",Table2[[#This Row],[PAYMENT GAP]]&lt;=25000,"Low Gap",Table2[[#This Row],[PAYMENT GAP]]&lt;=100000,"Medium Gap",
TRUE,"High Gap"
)</f>
        <v>Low Gap</v>
      </c>
    </row>
    <row r="883" spans="1:30" x14ac:dyDescent="0.3">
      <c r="A883">
        <v>882</v>
      </c>
      <c r="B883" s="1">
        <v>210000</v>
      </c>
      <c r="C883" s="1" t="str" cm="1">
        <f t="array" ref="C883">_xlfn.IFS(Table2[[#This Row],[LIMIT_BAL]]&lt;=100000,"Low",Table2[[#This Row],[LIMIT_BAL]]&lt;=300000,"Medium",
TRUE,"High"
)</f>
        <v>Medium</v>
      </c>
      <c r="D883" t="s">
        <v>2041</v>
      </c>
      <c r="E883" t="s">
        <v>2043</v>
      </c>
      <c r="F883" t="s">
        <v>2028</v>
      </c>
      <c r="G883">
        <v>49</v>
      </c>
      <c r="H883" t="str" cm="1">
        <f t="array" ref="H883">_xlfn.IFS(
Table2[[#This Row],[AGE]]&lt;30,"Young",
Table2[[#This Row],[AGE]]&lt;40,"Middle Age",
Table2[[#This Row],[AGE]]&lt;50,"Senior",
TRUE,"Super Senior"
)</f>
        <v>Senior</v>
      </c>
      <c r="I883">
        <v>1</v>
      </c>
      <c r="J883">
        <v>-2</v>
      </c>
      <c r="K883">
        <v>-2</v>
      </c>
      <c r="L883">
        <v>-2</v>
      </c>
      <c r="M883">
        <v>-2</v>
      </c>
      <c r="N883">
        <v>-2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>
        <v>1</v>
      </c>
      <c r="AB883" t="str">
        <f t="shared" si="13"/>
        <v>Defaulter</v>
      </c>
      <c r="AC883" s="1">
        <f>Table2[[#This Row],[BILL_AMT1]]-Table2[[#This Row],[PAY_AMT1]]</f>
        <v>0</v>
      </c>
      <c r="AD883" s="1" t="str" cm="1">
        <f t="array" ref="AD883">_xlfn.IFS(Table2[[#This Row],[PAYMENT GAP]]&lt;=0,"No Gap / Overpaid",Table2[[#This Row],[PAYMENT GAP]]&lt;=25000,"Low Gap",Table2[[#This Row],[PAYMENT GAP]]&lt;=100000,"Medium Gap",
TRUE,"High Gap"
)</f>
        <v>No Gap / Overpaid</v>
      </c>
    </row>
    <row r="884" spans="1:30" x14ac:dyDescent="0.3">
      <c r="A884">
        <v>883</v>
      </c>
      <c r="B884" s="1">
        <v>230000</v>
      </c>
      <c r="C884" s="1" t="str" cm="1">
        <f t="array" ref="C884">_xlfn.IFS(Table2[[#This Row],[LIMIT_BAL]]&lt;=100000,"Low",Table2[[#This Row],[LIMIT_BAL]]&lt;=300000,"Medium",
TRUE,"High"
)</f>
        <v>Medium</v>
      </c>
      <c r="D884" t="s">
        <v>2041</v>
      </c>
      <c r="E884" t="s">
        <v>2026</v>
      </c>
      <c r="F884" t="s">
        <v>2029</v>
      </c>
      <c r="G884">
        <v>38</v>
      </c>
      <c r="H884" t="str" cm="1">
        <f t="array" ref="H884">_xlfn.IFS(
Table2[[#This Row],[AGE]]&lt;30,"Young",
Table2[[#This Row],[AGE]]&lt;40,"Middle Age",
Table2[[#This Row],[AGE]]&lt;50,"Senior",
TRUE,"Super Senior"
)</f>
        <v>Middle Age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 s="1">
        <v>224020</v>
      </c>
      <c r="P884" s="1">
        <v>227311</v>
      </c>
      <c r="Q884" s="1">
        <v>184500</v>
      </c>
      <c r="R884" s="1">
        <v>128190</v>
      </c>
      <c r="S884" s="1">
        <v>130883</v>
      </c>
      <c r="T884" s="1">
        <v>133504</v>
      </c>
      <c r="U884" s="1">
        <v>8750</v>
      </c>
      <c r="V884" s="1">
        <v>7470</v>
      </c>
      <c r="W884" s="1">
        <v>4540</v>
      </c>
      <c r="X884" s="1">
        <v>4710</v>
      </c>
      <c r="Y884" s="1">
        <v>4750</v>
      </c>
      <c r="Z884" s="1">
        <v>4900</v>
      </c>
      <c r="AA884">
        <v>0</v>
      </c>
      <c r="AB884" t="str">
        <f t="shared" si="13"/>
        <v>Not Defaulter</v>
      </c>
      <c r="AC884" s="1">
        <f>Table2[[#This Row],[BILL_AMT1]]-Table2[[#This Row],[PAY_AMT1]]</f>
        <v>215270</v>
      </c>
      <c r="AD884" s="1" t="str" cm="1">
        <f t="array" ref="AD884">_xlfn.IFS(Table2[[#This Row],[PAYMENT GAP]]&lt;=0,"No Gap / Overpaid",Table2[[#This Row],[PAYMENT GAP]]&lt;=25000,"Low Gap",Table2[[#This Row],[PAYMENT GAP]]&lt;=100000,"Medium Gap",
TRUE,"High Gap"
)</f>
        <v>High Gap</v>
      </c>
    </row>
    <row r="885" spans="1:30" x14ac:dyDescent="0.3">
      <c r="A885">
        <v>884</v>
      </c>
      <c r="B885" s="1">
        <v>50000</v>
      </c>
      <c r="C885" s="1" t="str" cm="1">
        <f t="array" ref="C885">_xlfn.IFS(Table2[[#This Row],[LIMIT_BAL]]&lt;=100000,"Low",Table2[[#This Row],[LIMIT_BAL]]&lt;=300000,"Medium",
TRUE,"High"
)</f>
        <v>Low</v>
      </c>
      <c r="D885" t="s">
        <v>2042</v>
      </c>
      <c r="E885" t="s">
        <v>2027</v>
      </c>
      <c r="F885" t="s">
        <v>2029</v>
      </c>
      <c r="G885">
        <v>57</v>
      </c>
      <c r="H885" t="str" cm="1">
        <f t="array" ref="H885">_xlfn.IFS(
Table2[[#This Row],[AGE]]&lt;30,"Young",
Table2[[#This Row],[AGE]]&lt;40,"Middle Age",
Table2[[#This Row],[AGE]]&lt;50,"Senior",
TRUE,"Super Senior"
)</f>
        <v>Super Senior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 s="1">
        <v>47917</v>
      </c>
      <c r="P885" s="1">
        <v>48455</v>
      </c>
      <c r="Q885" s="1">
        <v>48120</v>
      </c>
      <c r="R885" s="1">
        <v>28450</v>
      </c>
      <c r="S885" s="1">
        <v>29046</v>
      </c>
      <c r="T885" s="1">
        <v>29647</v>
      </c>
      <c r="U885" s="1">
        <v>1988</v>
      </c>
      <c r="V885" s="1">
        <v>1989</v>
      </c>
      <c r="W885" s="1">
        <v>1018</v>
      </c>
      <c r="X885" s="1">
        <v>1054</v>
      </c>
      <c r="Y885" s="1">
        <v>1084</v>
      </c>
      <c r="Z885" s="1">
        <v>1048</v>
      </c>
      <c r="AA885">
        <v>0</v>
      </c>
      <c r="AB885" t="str">
        <f t="shared" si="13"/>
        <v>Not Defaulter</v>
      </c>
      <c r="AC885" s="1">
        <f>Table2[[#This Row],[BILL_AMT1]]-Table2[[#This Row],[PAY_AMT1]]</f>
        <v>45929</v>
      </c>
      <c r="AD885" s="1" t="str" cm="1">
        <f t="array" ref="AD885">_xlfn.IFS(Table2[[#This Row],[PAYMENT GAP]]&lt;=0,"No Gap / Overpaid",Table2[[#This Row],[PAYMENT GAP]]&lt;=25000,"Low Gap",Table2[[#This Row],[PAYMENT GAP]]&lt;=100000,"Medium Gap",
TRUE,"High Gap"
)</f>
        <v>Medium Gap</v>
      </c>
    </row>
    <row r="886" spans="1:30" x14ac:dyDescent="0.3">
      <c r="A886">
        <v>885</v>
      </c>
      <c r="B886" s="1">
        <v>50000</v>
      </c>
      <c r="C886" s="1" t="str" cm="1">
        <f t="array" ref="C886">_xlfn.IFS(Table2[[#This Row],[LIMIT_BAL]]&lt;=100000,"Low",Table2[[#This Row],[LIMIT_BAL]]&lt;=300000,"Medium",
TRUE,"High"
)</f>
        <v>Low</v>
      </c>
      <c r="D886" t="s">
        <v>2042</v>
      </c>
      <c r="E886" t="s">
        <v>2027</v>
      </c>
      <c r="F886" t="s">
        <v>2029</v>
      </c>
      <c r="G886">
        <v>55</v>
      </c>
      <c r="H886" t="str" cm="1">
        <f t="array" ref="H886">_xlfn.IFS(
Table2[[#This Row],[AGE]]&lt;30,"Young",
Table2[[#This Row],[AGE]]&lt;40,"Middle Age",
Table2[[#This Row],[AGE]]&lt;50,"Senior",
TRUE,"Super Senior"
)</f>
        <v>Super Senior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 s="1">
        <v>51737</v>
      </c>
      <c r="P886" s="1">
        <v>27121</v>
      </c>
      <c r="Q886" s="1">
        <v>28103</v>
      </c>
      <c r="R886" s="1">
        <v>28814</v>
      </c>
      <c r="S886" s="1">
        <v>29261</v>
      </c>
      <c r="T886" s="1">
        <v>29878</v>
      </c>
      <c r="U886" s="1">
        <v>2930</v>
      </c>
      <c r="V886" s="1">
        <v>1447</v>
      </c>
      <c r="W886" s="1">
        <v>1158</v>
      </c>
      <c r="X886" s="1">
        <v>1041</v>
      </c>
      <c r="Y886" s="1">
        <v>1082</v>
      </c>
      <c r="Z886" s="1">
        <v>994</v>
      </c>
      <c r="AA886">
        <v>1</v>
      </c>
      <c r="AB886" t="str">
        <f t="shared" si="13"/>
        <v>Defaulter</v>
      </c>
      <c r="AC886" s="1">
        <f>Table2[[#This Row],[BILL_AMT1]]-Table2[[#This Row],[PAY_AMT1]]</f>
        <v>48807</v>
      </c>
      <c r="AD886" s="1" t="str" cm="1">
        <f t="array" ref="AD886">_xlfn.IFS(Table2[[#This Row],[PAYMENT GAP]]&lt;=0,"No Gap / Overpaid",Table2[[#This Row],[PAYMENT GAP]]&lt;=25000,"Low Gap",Table2[[#This Row],[PAYMENT GAP]]&lt;=100000,"Medium Gap",
TRUE,"High Gap"
)</f>
        <v>Medium Gap</v>
      </c>
    </row>
    <row r="887" spans="1:30" x14ac:dyDescent="0.3">
      <c r="A887">
        <v>886</v>
      </c>
      <c r="B887" s="1">
        <v>70000</v>
      </c>
      <c r="C887" s="1" t="str" cm="1">
        <f t="array" ref="C887">_xlfn.IFS(Table2[[#This Row],[LIMIT_BAL]]&lt;=100000,"Low",Table2[[#This Row],[LIMIT_BAL]]&lt;=300000,"Medium",
TRUE,"High"
)</f>
        <v>Low</v>
      </c>
      <c r="D887" t="s">
        <v>2041</v>
      </c>
      <c r="E887" t="s">
        <v>2043</v>
      </c>
      <c r="F887" t="s">
        <v>2029</v>
      </c>
      <c r="G887">
        <v>23</v>
      </c>
      <c r="H887" t="str" cm="1">
        <f t="array" ref="H887">_xlfn.IFS(
Table2[[#This Row],[AGE]]&lt;30,"Young",
Table2[[#This Row],[AGE]]&lt;40,"Middle Age",
Table2[[#This Row],[AGE]]&lt;50,"Senior",
TRUE,"Super Senior"
)</f>
        <v>Young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 s="1">
        <v>49605</v>
      </c>
      <c r="P887" s="1">
        <v>51804</v>
      </c>
      <c r="Q887" s="1">
        <v>53041</v>
      </c>
      <c r="R887" s="1">
        <v>55150</v>
      </c>
      <c r="S887" s="1">
        <v>57098</v>
      </c>
      <c r="T887" s="1">
        <v>59141</v>
      </c>
      <c r="U887" s="1">
        <v>3000</v>
      </c>
      <c r="V887" s="1">
        <v>2700</v>
      </c>
      <c r="W887" s="1">
        <v>3000</v>
      </c>
      <c r="X887" s="1">
        <v>3000</v>
      </c>
      <c r="Y887" s="1">
        <v>3000</v>
      </c>
      <c r="Z887" s="1">
        <v>4700</v>
      </c>
      <c r="AA887">
        <v>0</v>
      </c>
      <c r="AB887" t="str">
        <f t="shared" si="13"/>
        <v>Not Defaulter</v>
      </c>
      <c r="AC887" s="1">
        <f>Table2[[#This Row],[BILL_AMT1]]-Table2[[#This Row],[PAY_AMT1]]</f>
        <v>46605</v>
      </c>
      <c r="AD887" s="1" t="str" cm="1">
        <f t="array" ref="AD887">_xlfn.IFS(Table2[[#This Row],[PAYMENT GAP]]&lt;=0,"No Gap / Overpaid",Table2[[#This Row],[PAYMENT GAP]]&lt;=25000,"Low Gap",Table2[[#This Row],[PAYMENT GAP]]&lt;=100000,"Medium Gap",
TRUE,"High Gap"
)</f>
        <v>Medium Gap</v>
      </c>
    </row>
    <row r="888" spans="1:30" x14ac:dyDescent="0.3">
      <c r="A888">
        <v>887</v>
      </c>
      <c r="B888" s="1">
        <v>310000</v>
      </c>
      <c r="C888" s="1" t="str" cm="1">
        <f t="array" ref="C888">_xlfn.IFS(Table2[[#This Row],[LIMIT_BAL]]&lt;=100000,"Low",Table2[[#This Row],[LIMIT_BAL]]&lt;=300000,"Medium",
TRUE,"High"
)</f>
        <v>High</v>
      </c>
      <c r="D888" t="s">
        <v>2042</v>
      </c>
      <c r="E888" t="s">
        <v>2026</v>
      </c>
      <c r="F888" t="s">
        <v>2029</v>
      </c>
      <c r="G888">
        <v>30</v>
      </c>
      <c r="H888" t="str" cm="1">
        <f t="array" ref="H888">_xlfn.IFS(
Table2[[#This Row],[AGE]]&lt;30,"Young",
Table2[[#This Row],[AGE]]&lt;40,"Middle Age",
Table2[[#This Row],[AGE]]&lt;50,"Senior",
TRUE,"Super Senior"
)</f>
        <v>Middle Age</v>
      </c>
      <c r="I888">
        <v>-2</v>
      </c>
      <c r="J888">
        <v>-2</v>
      </c>
      <c r="K888">
        <v>-2</v>
      </c>
      <c r="L888">
        <v>-2</v>
      </c>
      <c r="M888">
        <v>-2</v>
      </c>
      <c r="N888">
        <v>-2</v>
      </c>
      <c r="O888" s="1">
        <v>1544</v>
      </c>
      <c r="P888" s="1">
        <v>1648</v>
      </c>
      <c r="Q888" s="1">
        <v>1284</v>
      </c>
      <c r="R888" s="1">
        <v>1088</v>
      </c>
      <c r="S888" s="1">
        <v>892</v>
      </c>
      <c r="T888" s="1">
        <v>-304</v>
      </c>
      <c r="U888" s="1">
        <v>1300</v>
      </c>
      <c r="V888" s="1">
        <v>1000</v>
      </c>
      <c r="W888" s="1">
        <v>1000</v>
      </c>
      <c r="X888" s="1">
        <v>1000</v>
      </c>
      <c r="Y888" s="1">
        <v>304</v>
      </c>
      <c r="Z888" s="1">
        <v>39544</v>
      </c>
      <c r="AA888">
        <v>0</v>
      </c>
      <c r="AB888" t="str">
        <f t="shared" si="13"/>
        <v>Not Defaulter</v>
      </c>
      <c r="AC888" s="1">
        <f>Table2[[#This Row],[BILL_AMT1]]-Table2[[#This Row],[PAY_AMT1]]</f>
        <v>244</v>
      </c>
      <c r="AD888" s="1" t="str" cm="1">
        <f t="array" ref="AD888">_xlfn.IFS(Table2[[#This Row],[PAYMENT GAP]]&lt;=0,"No Gap / Overpaid",Table2[[#This Row],[PAYMENT GAP]]&lt;=25000,"Low Gap",Table2[[#This Row],[PAYMENT GAP]]&lt;=100000,"Medium Gap",
TRUE,"High Gap"
)</f>
        <v>Low Gap</v>
      </c>
    </row>
    <row r="889" spans="1:30" x14ac:dyDescent="0.3">
      <c r="A889">
        <v>888</v>
      </c>
      <c r="B889" s="1">
        <v>180000</v>
      </c>
      <c r="C889" s="1" t="str" cm="1">
        <f t="array" ref="C889">_xlfn.IFS(Table2[[#This Row],[LIMIT_BAL]]&lt;=100000,"Low",Table2[[#This Row],[LIMIT_BAL]]&lt;=300000,"Medium",
TRUE,"High"
)</f>
        <v>Medium</v>
      </c>
      <c r="D889" t="s">
        <v>2041</v>
      </c>
      <c r="E889" t="s">
        <v>2043</v>
      </c>
      <c r="F889" t="s">
        <v>2028</v>
      </c>
      <c r="G889">
        <v>30</v>
      </c>
      <c r="H889" t="str" cm="1">
        <f t="array" ref="H889">_xlfn.IFS(
Table2[[#This Row],[AGE]]&lt;30,"Young",
Table2[[#This Row],[AGE]]&lt;40,"Middle Age",
Table2[[#This Row],[AGE]]&lt;50,"Senior",
TRUE,"Super Senior"
)</f>
        <v>Middle Age</v>
      </c>
      <c r="I889">
        <v>-1</v>
      </c>
      <c r="J889">
        <v>-1</v>
      </c>
      <c r="K889">
        <v>-1</v>
      </c>
      <c r="L889">
        <v>-1</v>
      </c>
      <c r="M889">
        <v>-1</v>
      </c>
      <c r="N889">
        <v>-1</v>
      </c>
      <c r="O889" s="1">
        <v>2488</v>
      </c>
      <c r="P889" s="1">
        <v>13476</v>
      </c>
      <c r="Q889" s="1">
        <v>3173</v>
      </c>
      <c r="R889" s="1">
        <v>13202</v>
      </c>
      <c r="S889" s="1">
        <v>6594</v>
      </c>
      <c r="T889" s="1">
        <v>2549</v>
      </c>
      <c r="U889" s="1">
        <v>13476</v>
      </c>
      <c r="V889" s="1">
        <v>3173</v>
      </c>
      <c r="W889" s="1">
        <v>13212</v>
      </c>
      <c r="X889" s="1">
        <v>6594</v>
      </c>
      <c r="Y889" s="1">
        <v>2549</v>
      </c>
      <c r="Z889" s="1">
        <v>1000</v>
      </c>
      <c r="AA889">
        <v>0</v>
      </c>
      <c r="AB889" t="str">
        <f t="shared" si="13"/>
        <v>Not Defaulter</v>
      </c>
      <c r="AC889" s="1">
        <f>Table2[[#This Row],[BILL_AMT1]]-Table2[[#This Row],[PAY_AMT1]]</f>
        <v>-10988</v>
      </c>
      <c r="AD889" s="1" t="str" cm="1">
        <f t="array" ref="AD889">_xlfn.IFS(Table2[[#This Row],[PAYMENT GAP]]&lt;=0,"No Gap / Overpaid",Table2[[#This Row],[PAYMENT GAP]]&lt;=25000,"Low Gap",Table2[[#This Row],[PAYMENT GAP]]&lt;=100000,"Medium Gap",
TRUE,"High Gap"
)</f>
        <v>No Gap / Overpaid</v>
      </c>
    </row>
    <row r="890" spans="1:30" x14ac:dyDescent="0.3">
      <c r="A890">
        <v>889</v>
      </c>
      <c r="B890" s="1">
        <v>90000</v>
      </c>
      <c r="C890" s="1" t="str" cm="1">
        <f t="array" ref="C890">_xlfn.IFS(Table2[[#This Row],[LIMIT_BAL]]&lt;=100000,"Low",Table2[[#This Row],[LIMIT_BAL]]&lt;=300000,"Medium",
TRUE,"High"
)</f>
        <v>Low</v>
      </c>
      <c r="D890" t="s">
        <v>2041</v>
      </c>
      <c r="E890" t="s">
        <v>2043</v>
      </c>
      <c r="F890" t="s">
        <v>2029</v>
      </c>
      <c r="G890">
        <v>24</v>
      </c>
      <c r="H890" t="str" cm="1">
        <f t="array" ref="H890">_xlfn.IFS(
Table2[[#This Row],[AGE]]&lt;30,"Young",
Table2[[#This Row],[AGE]]&lt;40,"Middle Age",
Table2[[#This Row],[AGE]]&lt;50,"Senior",
TRUE,"Super Senior"
)</f>
        <v>Young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2</v>
      </c>
      <c r="O890" s="1">
        <v>24401</v>
      </c>
      <c r="P890" s="1">
        <v>22771</v>
      </c>
      <c r="Q890" s="1">
        <v>19461</v>
      </c>
      <c r="R890" s="1">
        <v>16181</v>
      </c>
      <c r="S890" s="1">
        <v>14669</v>
      </c>
      <c r="T890" s="1">
        <v>14422</v>
      </c>
      <c r="U890" s="1">
        <v>1454</v>
      </c>
      <c r="V890" s="1">
        <v>1384</v>
      </c>
      <c r="W890" s="1">
        <v>407</v>
      </c>
      <c r="X890" s="1">
        <v>673</v>
      </c>
      <c r="Y890" s="1">
        <v>0</v>
      </c>
      <c r="Z890" s="1">
        <v>102</v>
      </c>
      <c r="AA890">
        <v>0</v>
      </c>
      <c r="AB890" t="str">
        <f t="shared" si="13"/>
        <v>Not Defaulter</v>
      </c>
      <c r="AC890" s="1">
        <f>Table2[[#This Row],[BILL_AMT1]]-Table2[[#This Row],[PAY_AMT1]]</f>
        <v>22947</v>
      </c>
      <c r="AD890" s="1" t="str" cm="1">
        <f t="array" ref="AD890">_xlfn.IFS(Table2[[#This Row],[PAYMENT GAP]]&lt;=0,"No Gap / Overpaid",Table2[[#This Row],[PAYMENT GAP]]&lt;=25000,"Low Gap",Table2[[#This Row],[PAYMENT GAP]]&lt;=100000,"Medium Gap",
TRUE,"High Gap"
)</f>
        <v>Low Gap</v>
      </c>
    </row>
    <row r="891" spans="1:30" x14ac:dyDescent="0.3">
      <c r="A891">
        <v>890</v>
      </c>
      <c r="B891" s="1">
        <v>390000</v>
      </c>
      <c r="C891" s="1" t="str" cm="1">
        <f t="array" ref="C891">_xlfn.IFS(Table2[[#This Row],[LIMIT_BAL]]&lt;=100000,"Low",Table2[[#This Row],[LIMIT_BAL]]&lt;=300000,"Medium",
TRUE,"High"
)</f>
        <v>High</v>
      </c>
      <c r="D891" t="s">
        <v>2042</v>
      </c>
      <c r="E891" t="s">
        <v>2043</v>
      </c>
      <c r="F891" t="s">
        <v>2029</v>
      </c>
      <c r="G891">
        <v>28</v>
      </c>
      <c r="H891" t="str" cm="1">
        <f t="array" ref="H891">_xlfn.IFS(
Table2[[#This Row],[AGE]]&lt;30,"Young",
Table2[[#This Row],[AGE]]&lt;40,"Middle Age",
Table2[[#This Row],[AGE]]&lt;50,"Senior",
TRUE,"Super Senior"
)</f>
        <v>Young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 s="1">
        <v>149445</v>
      </c>
      <c r="P891" s="1">
        <v>139794</v>
      </c>
      <c r="Q891" s="1">
        <v>133224</v>
      </c>
      <c r="R891" s="1">
        <v>106127</v>
      </c>
      <c r="S891" s="1">
        <v>51097</v>
      </c>
      <c r="T891" s="1">
        <v>38555</v>
      </c>
      <c r="U891" s="1">
        <v>8046</v>
      </c>
      <c r="V891" s="1">
        <v>5150</v>
      </c>
      <c r="W891" s="1">
        <v>5297</v>
      </c>
      <c r="X891" s="1">
        <v>5084</v>
      </c>
      <c r="Y891" s="1">
        <v>5065</v>
      </c>
      <c r="Z891" s="1">
        <v>5042</v>
      </c>
      <c r="AA891">
        <v>0</v>
      </c>
      <c r="AB891" t="str">
        <f t="shared" si="13"/>
        <v>Not Defaulter</v>
      </c>
      <c r="AC891" s="1">
        <f>Table2[[#This Row],[BILL_AMT1]]-Table2[[#This Row],[PAY_AMT1]]</f>
        <v>141399</v>
      </c>
      <c r="AD891" s="1" t="str" cm="1">
        <f t="array" ref="AD891">_xlfn.IFS(Table2[[#This Row],[PAYMENT GAP]]&lt;=0,"No Gap / Overpaid",Table2[[#This Row],[PAYMENT GAP]]&lt;=25000,"Low Gap",Table2[[#This Row],[PAYMENT GAP]]&lt;=100000,"Medium Gap",
TRUE,"High Gap"
)</f>
        <v>High Gap</v>
      </c>
    </row>
    <row r="892" spans="1:30" x14ac:dyDescent="0.3">
      <c r="A892">
        <v>891</v>
      </c>
      <c r="B892" s="1">
        <v>150000</v>
      </c>
      <c r="C892" s="1" t="str" cm="1">
        <f t="array" ref="C892">_xlfn.IFS(Table2[[#This Row],[LIMIT_BAL]]&lt;=100000,"Low",Table2[[#This Row],[LIMIT_BAL]]&lt;=300000,"Medium",
TRUE,"High"
)</f>
        <v>Medium</v>
      </c>
      <c r="D892" t="s">
        <v>2041</v>
      </c>
      <c r="E892" t="s">
        <v>2027</v>
      </c>
      <c r="F892" t="s">
        <v>2028</v>
      </c>
      <c r="G892">
        <v>34</v>
      </c>
      <c r="H892" t="str" cm="1">
        <f t="array" ref="H892">_xlfn.IFS(
Table2[[#This Row],[AGE]]&lt;30,"Young",
Table2[[#This Row],[AGE]]&lt;40,"Middle Age",
Table2[[#This Row],[AGE]]&lt;50,"Senior",
TRUE,"Super Senior"
)</f>
        <v>Middle Age</v>
      </c>
      <c r="I892">
        <v>-1</v>
      </c>
      <c r="J892">
        <v>-1</v>
      </c>
      <c r="K892">
        <v>-1</v>
      </c>
      <c r="L892">
        <v>-1</v>
      </c>
      <c r="M892">
        <v>-1</v>
      </c>
      <c r="N892">
        <v>-1</v>
      </c>
      <c r="O892" s="1">
        <v>772</v>
      </c>
      <c r="P892" s="1">
        <v>337</v>
      </c>
      <c r="Q892" s="1">
        <v>618</v>
      </c>
      <c r="R892" s="1">
        <v>150</v>
      </c>
      <c r="S892" s="1">
        <v>150</v>
      </c>
      <c r="T892" s="1">
        <v>377</v>
      </c>
      <c r="U892" s="1">
        <v>340</v>
      </c>
      <c r="V892" s="1">
        <v>618</v>
      </c>
      <c r="W892" s="1">
        <v>150</v>
      </c>
      <c r="X892" s="1">
        <v>150</v>
      </c>
      <c r="Y892" s="1">
        <v>227</v>
      </c>
      <c r="Z892" s="1">
        <v>0</v>
      </c>
      <c r="AA892">
        <v>0</v>
      </c>
      <c r="AB892" t="str">
        <f t="shared" si="13"/>
        <v>Not Defaulter</v>
      </c>
      <c r="AC892" s="1">
        <f>Table2[[#This Row],[BILL_AMT1]]-Table2[[#This Row],[PAY_AMT1]]</f>
        <v>432</v>
      </c>
      <c r="AD892" s="1" t="str" cm="1">
        <f t="array" ref="AD892">_xlfn.IFS(Table2[[#This Row],[PAYMENT GAP]]&lt;=0,"No Gap / Overpaid",Table2[[#This Row],[PAYMENT GAP]]&lt;=25000,"Low Gap",Table2[[#This Row],[PAYMENT GAP]]&lt;=100000,"Medium Gap",
TRUE,"High Gap"
)</f>
        <v>Low Gap</v>
      </c>
    </row>
    <row r="893" spans="1:30" x14ac:dyDescent="0.3">
      <c r="A893">
        <v>892</v>
      </c>
      <c r="B893" s="1">
        <v>400000</v>
      </c>
      <c r="C893" s="1" t="str" cm="1">
        <f t="array" ref="C893">_xlfn.IFS(Table2[[#This Row],[LIMIT_BAL]]&lt;=100000,"Low",Table2[[#This Row],[LIMIT_BAL]]&lt;=300000,"Medium",
TRUE,"High"
)</f>
        <v>High</v>
      </c>
      <c r="D893" t="s">
        <v>2042</v>
      </c>
      <c r="E893" t="s">
        <v>2043</v>
      </c>
      <c r="F893" t="s">
        <v>2029</v>
      </c>
      <c r="G893">
        <v>37</v>
      </c>
      <c r="H893" t="str" cm="1">
        <f t="array" ref="H893">_xlfn.IFS(
Table2[[#This Row],[AGE]]&lt;30,"Young",
Table2[[#This Row],[AGE]]&lt;40,"Middle Age",
Table2[[#This Row],[AGE]]&lt;50,"Senior",
TRUE,"Super Senior"
)</f>
        <v>Middle Age</v>
      </c>
      <c r="I893">
        <v>1</v>
      </c>
      <c r="J893">
        <v>1</v>
      </c>
      <c r="K893">
        <v>1</v>
      </c>
      <c r="L893">
        <v>2</v>
      </c>
      <c r="M893">
        <v>0</v>
      </c>
      <c r="N893">
        <v>0</v>
      </c>
      <c r="O893" s="1">
        <v>13611</v>
      </c>
      <c r="P893" s="1">
        <v>15066</v>
      </c>
      <c r="Q893" s="1">
        <v>15882</v>
      </c>
      <c r="R893" s="1">
        <v>12599</v>
      </c>
      <c r="S893" s="1">
        <v>18599</v>
      </c>
      <c r="T893" s="1">
        <v>12284</v>
      </c>
      <c r="U893" s="1">
        <v>3019</v>
      </c>
      <c r="V893" s="1">
        <v>5014</v>
      </c>
      <c r="W893" s="1">
        <v>3</v>
      </c>
      <c r="X893" s="1">
        <v>7040</v>
      </c>
      <c r="Y893" s="1">
        <v>2006</v>
      </c>
      <c r="Z893" s="1">
        <v>2005</v>
      </c>
      <c r="AA893">
        <v>0</v>
      </c>
      <c r="AB893" t="str">
        <f t="shared" si="13"/>
        <v>Not Defaulter</v>
      </c>
      <c r="AC893" s="1">
        <f>Table2[[#This Row],[BILL_AMT1]]-Table2[[#This Row],[PAY_AMT1]]</f>
        <v>10592</v>
      </c>
      <c r="AD893" s="1" t="str" cm="1">
        <f t="array" ref="AD893">_xlfn.IFS(Table2[[#This Row],[PAYMENT GAP]]&lt;=0,"No Gap / Overpaid",Table2[[#This Row],[PAYMENT GAP]]&lt;=25000,"Low Gap",Table2[[#This Row],[PAYMENT GAP]]&lt;=100000,"Medium Gap",
TRUE,"High Gap"
)</f>
        <v>Low Gap</v>
      </c>
    </row>
    <row r="894" spans="1:30" x14ac:dyDescent="0.3">
      <c r="A894">
        <v>893</v>
      </c>
      <c r="B894" s="1">
        <v>80000</v>
      </c>
      <c r="C894" s="1" t="str" cm="1">
        <f t="array" ref="C894">_xlfn.IFS(Table2[[#This Row],[LIMIT_BAL]]&lt;=100000,"Low",Table2[[#This Row],[LIMIT_BAL]]&lt;=300000,"Medium",
TRUE,"High"
)</f>
        <v>Low</v>
      </c>
      <c r="D894" t="s">
        <v>2041</v>
      </c>
      <c r="E894" t="s">
        <v>2043</v>
      </c>
      <c r="F894" t="s">
        <v>2028</v>
      </c>
      <c r="G894">
        <v>32</v>
      </c>
      <c r="H894" t="str" cm="1">
        <f t="array" ref="H894">_xlfn.IFS(
Table2[[#This Row],[AGE]]&lt;30,"Young",
Table2[[#This Row],[AGE]]&lt;40,"Middle Age",
Table2[[#This Row],[AGE]]&lt;50,"Senior",
TRUE,"Super Senior"
)</f>
        <v>Middle Age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-2</v>
      </c>
      <c r="O894" s="1">
        <v>28408</v>
      </c>
      <c r="P894" s="1">
        <v>25695</v>
      </c>
      <c r="Q894" s="1">
        <v>11553</v>
      </c>
      <c r="R894" s="1">
        <v>2350</v>
      </c>
      <c r="S894" s="1">
        <v>0</v>
      </c>
      <c r="T894" s="1">
        <v>0</v>
      </c>
      <c r="U894" s="1">
        <v>1259</v>
      </c>
      <c r="V894" s="1">
        <v>1035</v>
      </c>
      <c r="W894" s="1">
        <v>1600</v>
      </c>
      <c r="X894" s="1">
        <v>0</v>
      </c>
      <c r="Y894" s="1">
        <v>0</v>
      </c>
      <c r="Z894" s="1">
        <v>0</v>
      </c>
      <c r="AA894">
        <v>0</v>
      </c>
      <c r="AB894" t="str">
        <f t="shared" si="13"/>
        <v>Not Defaulter</v>
      </c>
      <c r="AC894" s="1">
        <f>Table2[[#This Row],[BILL_AMT1]]-Table2[[#This Row],[PAY_AMT1]]</f>
        <v>27149</v>
      </c>
      <c r="AD894" s="1" t="str" cm="1">
        <f t="array" ref="AD894">_xlfn.IFS(Table2[[#This Row],[PAYMENT GAP]]&lt;=0,"No Gap / Overpaid",Table2[[#This Row],[PAYMENT GAP]]&lt;=25000,"Low Gap",Table2[[#This Row],[PAYMENT GAP]]&lt;=100000,"Medium Gap",
TRUE,"High Gap"
)</f>
        <v>Medium Gap</v>
      </c>
    </row>
    <row r="895" spans="1:30" x14ac:dyDescent="0.3">
      <c r="A895">
        <v>894</v>
      </c>
      <c r="B895" s="1">
        <v>320000</v>
      </c>
      <c r="C895" s="1" t="str" cm="1">
        <f t="array" ref="C895">_xlfn.IFS(Table2[[#This Row],[LIMIT_BAL]]&lt;=100000,"Low",Table2[[#This Row],[LIMIT_BAL]]&lt;=300000,"Medium",
TRUE,"High"
)</f>
        <v>High</v>
      </c>
      <c r="D895" t="s">
        <v>2042</v>
      </c>
      <c r="E895" t="s">
        <v>2026</v>
      </c>
      <c r="F895" t="s">
        <v>2029</v>
      </c>
      <c r="G895">
        <v>27</v>
      </c>
      <c r="H895" t="str" cm="1">
        <f t="array" ref="H895">_xlfn.IFS(
Table2[[#This Row],[AGE]]&lt;30,"Young",
Table2[[#This Row],[AGE]]&lt;40,"Middle Age",
Table2[[#This Row],[AGE]]&lt;50,"Senior",
TRUE,"Super Senior"
)</f>
        <v>Young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 s="1">
        <v>137574</v>
      </c>
      <c r="P895" s="1">
        <v>199563</v>
      </c>
      <c r="Q895" s="1">
        <v>122093</v>
      </c>
      <c r="R895" s="1">
        <v>105425</v>
      </c>
      <c r="S895" s="1">
        <v>100206</v>
      </c>
      <c r="T895" s="1">
        <v>96073</v>
      </c>
      <c r="U895" s="1">
        <v>6048</v>
      </c>
      <c r="V895" s="1">
        <v>6371</v>
      </c>
      <c r="W895" s="1">
        <v>3043</v>
      </c>
      <c r="X895" s="1">
        <v>3031</v>
      </c>
      <c r="Y895" s="1">
        <v>3066</v>
      </c>
      <c r="Z895" s="1">
        <v>3031</v>
      </c>
      <c r="AA895">
        <v>0</v>
      </c>
      <c r="AB895" t="str">
        <f t="shared" si="13"/>
        <v>Not Defaulter</v>
      </c>
      <c r="AC895" s="1">
        <f>Table2[[#This Row],[BILL_AMT1]]-Table2[[#This Row],[PAY_AMT1]]</f>
        <v>131526</v>
      </c>
      <c r="AD895" s="1" t="str" cm="1">
        <f t="array" ref="AD895">_xlfn.IFS(Table2[[#This Row],[PAYMENT GAP]]&lt;=0,"No Gap / Overpaid",Table2[[#This Row],[PAYMENT GAP]]&lt;=25000,"Low Gap",Table2[[#This Row],[PAYMENT GAP]]&lt;=100000,"Medium Gap",
TRUE,"High Gap"
)</f>
        <v>High Gap</v>
      </c>
    </row>
    <row r="896" spans="1:30" x14ac:dyDescent="0.3">
      <c r="A896">
        <v>895</v>
      </c>
      <c r="B896" s="1">
        <v>240000</v>
      </c>
      <c r="C896" s="1" t="str" cm="1">
        <f t="array" ref="C896">_xlfn.IFS(Table2[[#This Row],[LIMIT_BAL]]&lt;=100000,"Low",Table2[[#This Row],[LIMIT_BAL]]&lt;=300000,"Medium",
TRUE,"High"
)</f>
        <v>Medium</v>
      </c>
      <c r="D896" t="s">
        <v>2041</v>
      </c>
      <c r="E896" t="s">
        <v>2043</v>
      </c>
      <c r="F896" t="s">
        <v>2028</v>
      </c>
      <c r="G896">
        <v>37</v>
      </c>
      <c r="H896" t="str" cm="1">
        <f t="array" ref="H896">_xlfn.IFS(
Table2[[#This Row],[AGE]]&lt;30,"Young",
Table2[[#This Row],[AGE]]&lt;40,"Middle Age",
Table2[[#This Row],[AGE]]&lt;50,"Senior",
TRUE,"Super Senior"
)</f>
        <v>Middle Age</v>
      </c>
      <c r="I896">
        <v>-1</v>
      </c>
      <c r="J896">
        <v>-1</v>
      </c>
      <c r="K896">
        <v>-2</v>
      </c>
      <c r="L896">
        <v>-2</v>
      </c>
      <c r="M896">
        <v>-2</v>
      </c>
      <c r="N896">
        <v>-2</v>
      </c>
      <c r="O896" s="1">
        <v>238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0</v>
      </c>
      <c r="Z896" s="1">
        <v>0</v>
      </c>
      <c r="AA896">
        <v>1</v>
      </c>
      <c r="AB896" t="str">
        <f t="shared" si="13"/>
        <v>Defaulter</v>
      </c>
      <c r="AC896" s="1">
        <f>Table2[[#This Row],[BILL_AMT1]]-Table2[[#This Row],[PAY_AMT1]]</f>
        <v>238</v>
      </c>
      <c r="AD896" s="1" t="str" cm="1">
        <f t="array" ref="AD896">_xlfn.IFS(Table2[[#This Row],[PAYMENT GAP]]&lt;=0,"No Gap / Overpaid",Table2[[#This Row],[PAYMENT GAP]]&lt;=25000,"Low Gap",Table2[[#This Row],[PAYMENT GAP]]&lt;=100000,"Medium Gap",
TRUE,"High Gap"
)</f>
        <v>Low Gap</v>
      </c>
    </row>
    <row r="897" spans="1:30" x14ac:dyDescent="0.3">
      <c r="A897">
        <v>896</v>
      </c>
      <c r="B897" s="1">
        <v>200000</v>
      </c>
      <c r="C897" s="1" t="str" cm="1">
        <f t="array" ref="C897">_xlfn.IFS(Table2[[#This Row],[LIMIT_BAL]]&lt;=100000,"Low",Table2[[#This Row],[LIMIT_BAL]]&lt;=300000,"Medium",
TRUE,"High"
)</f>
        <v>Medium</v>
      </c>
      <c r="D897" t="s">
        <v>2042</v>
      </c>
      <c r="E897" t="s">
        <v>2026</v>
      </c>
      <c r="F897" t="s">
        <v>2029</v>
      </c>
      <c r="G897">
        <v>31</v>
      </c>
      <c r="H897" t="str" cm="1">
        <f t="array" ref="H897">_xlfn.IFS(
Table2[[#This Row],[AGE]]&lt;30,"Young",
Table2[[#This Row],[AGE]]&lt;40,"Middle Age",
Table2[[#This Row],[AGE]]&lt;50,"Senior",
TRUE,"Super Senior"
)</f>
        <v>Middle Age</v>
      </c>
      <c r="I897">
        <v>-2</v>
      </c>
      <c r="J897">
        <v>-2</v>
      </c>
      <c r="K897">
        <v>-2</v>
      </c>
      <c r="L897">
        <v>-2</v>
      </c>
      <c r="M897">
        <v>-2</v>
      </c>
      <c r="N897">
        <v>-2</v>
      </c>
      <c r="O897" s="1">
        <v>100</v>
      </c>
      <c r="P897" s="1">
        <v>100</v>
      </c>
      <c r="Q897" s="1">
        <v>100</v>
      </c>
      <c r="R897" s="1">
        <v>100</v>
      </c>
      <c r="S897" s="1">
        <v>100</v>
      </c>
      <c r="T897" s="1">
        <v>100</v>
      </c>
      <c r="U897" s="1">
        <v>100</v>
      </c>
      <c r="V897" s="1">
        <v>100</v>
      </c>
      <c r="W897" s="1">
        <v>100</v>
      </c>
      <c r="X897" s="1">
        <v>100</v>
      </c>
      <c r="Y897" s="1">
        <v>100</v>
      </c>
      <c r="Z897" s="1">
        <v>100</v>
      </c>
      <c r="AA897">
        <v>0</v>
      </c>
      <c r="AB897" t="str">
        <f t="shared" si="13"/>
        <v>Not Defaulter</v>
      </c>
      <c r="AC897" s="1">
        <f>Table2[[#This Row],[BILL_AMT1]]-Table2[[#This Row],[PAY_AMT1]]</f>
        <v>0</v>
      </c>
      <c r="AD897" s="1" t="str" cm="1">
        <f t="array" ref="AD897">_xlfn.IFS(Table2[[#This Row],[PAYMENT GAP]]&lt;=0,"No Gap / Overpaid",Table2[[#This Row],[PAYMENT GAP]]&lt;=25000,"Low Gap",Table2[[#This Row],[PAYMENT GAP]]&lt;=100000,"Medium Gap",
TRUE,"High Gap"
)</f>
        <v>No Gap / Overpaid</v>
      </c>
    </row>
    <row r="898" spans="1:30" x14ac:dyDescent="0.3">
      <c r="A898">
        <v>897</v>
      </c>
      <c r="B898" s="1">
        <v>110000</v>
      </c>
      <c r="C898" s="1" t="str" cm="1">
        <f t="array" ref="C898">_xlfn.IFS(Table2[[#This Row],[LIMIT_BAL]]&lt;=100000,"Low",Table2[[#This Row],[LIMIT_BAL]]&lt;=300000,"Medium",
TRUE,"High"
)</f>
        <v>Medium</v>
      </c>
      <c r="D898" t="s">
        <v>2042</v>
      </c>
      <c r="E898" t="s">
        <v>2026</v>
      </c>
      <c r="F898" t="s">
        <v>2055</v>
      </c>
      <c r="G898">
        <v>55</v>
      </c>
      <c r="H898" t="str" cm="1">
        <f t="array" ref="H898">_xlfn.IFS(
Table2[[#This Row],[AGE]]&lt;30,"Young",
Table2[[#This Row],[AGE]]&lt;40,"Middle Age",
Table2[[#This Row],[AGE]]&lt;50,"Senior",
TRUE,"Super Senior"
)</f>
        <v>Super Senior</v>
      </c>
      <c r="I898">
        <v>1</v>
      </c>
      <c r="J898">
        <v>2</v>
      </c>
      <c r="K898">
        <v>2</v>
      </c>
      <c r="L898">
        <v>2</v>
      </c>
      <c r="M898">
        <v>3</v>
      </c>
      <c r="N898">
        <v>2</v>
      </c>
      <c r="O898" s="1">
        <v>92610</v>
      </c>
      <c r="P898" s="1">
        <v>94755</v>
      </c>
      <c r="Q898" s="1">
        <v>92351</v>
      </c>
      <c r="R898" s="1">
        <v>101140</v>
      </c>
      <c r="S898" s="1">
        <v>99260</v>
      </c>
      <c r="T898" s="1">
        <v>101577</v>
      </c>
      <c r="U898" s="1">
        <v>4500</v>
      </c>
      <c r="V898" s="1">
        <v>0</v>
      </c>
      <c r="W898" s="1">
        <v>11300</v>
      </c>
      <c r="X898" s="1">
        <v>0</v>
      </c>
      <c r="Y898" s="1">
        <v>4100</v>
      </c>
      <c r="Z898" s="1">
        <v>0</v>
      </c>
      <c r="AA898">
        <v>1</v>
      </c>
      <c r="AB898" t="str">
        <f t="shared" si="13"/>
        <v>Defaulter</v>
      </c>
      <c r="AC898" s="1">
        <f>Table2[[#This Row],[BILL_AMT1]]-Table2[[#This Row],[PAY_AMT1]]</f>
        <v>88110</v>
      </c>
      <c r="AD898" s="1" t="str" cm="1">
        <f t="array" ref="AD898">_xlfn.IFS(Table2[[#This Row],[PAYMENT GAP]]&lt;=0,"No Gap / Overpaid",Table2[[#This Row],[PAYMENT GAP]]&lt;=25000,"Low Gap",Table2[[#This Row],[PAYMENT GAP]]&lt;=100000,"Medium Gap",
TRUE,"High Gap"
)</f>
        <v>Medium Gap</v>
      </c>
    </row>
    <row r="899" spans="1:30" x14ac:dyDescent="0.3">
      <c r="A899">
        <v>898</v>
      </c>
      <c r="B899" s="1">
        <v>170000</v>
      </c>
      <c r="C899" s="1" t="str" cm="1">
        <f t="array" ref="C899">_xlfn.IFS(Table2[[#This Row],[LIMIT_BAL]]&lt;=100000,"Low",Table2[[#This Row],[LIMIT_BAL]]&lt;=300000,"Medium",
TRUE,"High"
)</f>
        <v>Medium</v>
      </c>
      <c r="D899" t="s">
        <v>2041</v>
      </c>
      <c r="E899" t="s">
        <v>2026</v>
      </c>
      <c r="F899" t="s">
        <v>2029</v>
      </c>
      <c r="G899">
        <v>28</v>
      </c>
      <c r="H899" t="str" cm="1">
        <f t="array" ref="H899">_xlfn.IFS(
Table2[[#This Row],[AGE]]&lt;30,"Young",
Table2[[#This Row],[AGE]]&lt;40,"Middle Age",
Table2[[#This Row],[AGE]]&lt;50,"Senior",
TRUE,"Super Senior"
)</f>
        <v>Young</v>
      </c>
      <c r="I899">
        <v>2</v>
      </c>
      <c r="J899">
        <v>2</v>
      </c>
      <c r="K899">
        <v>2</v>
      </c>
      <c r="L899">
        <v>2</v>
      </c>
      <c r="M899">
        <v>2</v>
      </c>
      <c r="N899">
        <v>2</v>
      </c>
      <c r="O899" s="1">
        <v>131864</v>
      </c>
      <c r="P899" s="1">
        <v>133897</v>
      </c>
      <c r="Q899" s="1">
        <v>129761</v>
      </c>
      <c r="R899" s="1">
        <v>138604</v>
      </c>
      <c r="S899" s="1">
        <v>136283</v>
      </c>
      <c r="T899" s="1">
        <v>145012</v>
      </c>
      <c r="U899" s="1">
        <v>5600</v>
      </c>
      <c r="V899" s="1">
        <v>0</v>
      </c>
      <c r="W899" s="1">
        <v>11000</v>
      </c>
      <c r="X899" s="1">
        <v>0</v>
      </c>
      <c r="Y899" s="1">
        <v>11000</v>
      </c>
      <c r="Z899" s="1">
        <v>5656</v>
      </c>
      <c r="AA899">
        <v>1</v>
      </c>
      <c r="AB899" t="str">
        <f t="shared" ref="AB899:AB962" si="14">IF(AA899=1,"Defaulter","Not Defaulter")</f>
        <v>Defaulter</v>
      </c>
      <c r="AC899" s="1">
        <f>Table2[[#This Row],[BILL_AMT1]]-Table2[[#This Row],[PAY_AMT1]]</f>
        <v>126264</v>
      </c>
      <c r="AD899" s="1" t="str" cm="1">
        <f t="array" ref="AD899">_xlfn.IFS(Table2[[#This Row],[PAYMENT GAP]]&lt;=0,"No Gap / Overpaid",Table2[[#This Row],[PAYMENT GAP]]&lt;=25000,"Low Gap",Table2[[#This Row],[PAYMENT GAP]]&lt;=100000,"Medium Gap",
TRUE,"High Gap"
)</f>
        <v>High Gap</v>
      </c>
    </row>
    <row r="900" spans="1:30" x14ac:dyDescent="0.3">
      <c r="A900">
        <v>899</v>
      </c>
      <c r="B900" s="1">
        <v>90000</v>
      </c>
      <c r="C900" s="1" t="str" cm="1">
        <f t="array" ref="C900">_xlfn.IFS(Table2[[#This Row],[LIMIT_BAL]]&lt;=100000,"Low",Table2[[#This Row],[LIMIT_BAL]]&lt;=300000,"Medium",
TRUE,"High"
)</f>
        <v>Low</v>
      </c>
      <c r="D900" t="s">
        <v>2041</v>
      </c>
      <c r="E900" t="s">
        <v>2027</v>
      </c>
      <c r="F900" t="s">
        <v>2055</v>
      </c>
      <c r="G900">
        <v>51</v>
      </c>
      <c r="H900" t="str" cm="1">
        <f t="array" ref="H900">_xlfn.IFS(
Table2[[#This Row],[AGE]]&lt;30,"Young",
Table2[[#This Row],[AGE]]&lt;40,"Middle Age",
Table2[[#This Row],[AGE]]&lt;50,"Senior",
TRUE,"Super Senior"
)</f>
        <v>Super Senior</v>
      </c>
      <c r="I900">
        <v>0</v>
      </c>
      <c r="J900">
        <v>0</v>
      </c>
      <c r="K900">
        <v>0</v>
      </c>
      <c r="L900">
        <v>0</v>
      </c>
      <c r="M900">
        <v>2</v>
      </c>
      <c r="N900">
        <v>0</v>
      </c>
      <c r="O900" s="1">
        <v>11315</v>
      </c>
      <c r="P900" s="1">
        <v>12340</v>
      </c>
      <c r="Q900" s="1">
        <v>13349</v>
      </c>
      <c r="R900" s="1">
        <v>14276</v>
      </c>
      <c r="S900" s="1">
        <v>13904</v>
      </c>
      <c r="T900" s="1">
        <v>14184</v>
      </c>
      <c r="U900" s="1">
        <v>1212</v>
      </c>
      <c r="V900" s="1">
        <v>1221</v>
      </c>
      <c r="W900" s="1">
        <v>1148</v>
      </c>
      <c r="X900" s="1">
        <v>0</v>
      </c>
      <c r="Y900" s="1">
        <v>510</v>
      </c>
      <c r="Z900" s="1">
        <v>525</v>
      </c>
      <c r="AA900">
        <v>1</v>
      </c>
      <c r="AB900" t="str">
        <f t="shared" si="14"/>
        <v>Defaulter</v>
      </c>
      <c r="AC900" s="1">
        <f>Table2[[#This Row],[BILL_AMT1]]-Table2[[#This Row],[PAY_AMT1]]</f>
        <v>10103</v>
      </c>
      <c r="AD900" s="1" t="str" cm="1">
        <f t="array" ref="AD900">_xlfn.IFS(Table2[[#This Row],[PAYMENT GAP]]&lt;=0,"No Gap / Overpaid",Table2[[#This Row],[PAYMENT GAP]]&lt;=25000,"Low Gap",Table2[[#This Row],[PAYMENT GAP]]&lt;=100000,"Medium Gap",
TRUE,"High Gap"
)</f>
        <v>Low Gap</v>
      </c>
    </row>
    <row r="901" spans="1:30" x14ac:dyDescent="0.3">
      <c r="A901">
        <v>900</v>
      </c>
      <c r="B901" s="1">
        <v>200000</v>
      </c>
      <c r="C901" s="1" t="str" cm="1">
        <f t="array" ref="C901">_xlfn.IFS(Table2[[#This Row],[LIMIT_BAL]]&lt;=100000,"Low",Table2[[#This Row],[LIMIT_BAL]]&lt;=300000,"Medium",
TRUE,"High"
)</f>
        <v>Medium</v>
      </c>
      <c r="D901" t="s">
        <v>2042</v>
      </c>
      <c r="E901" t="s">
        <v>2026</v>
      </c>
      <c r="F901" t="s">
        <v>2028</v>
      </c>
      <c r="G901">
        <v>36</v>
      </c>
      <c r="H901" t="str" cm="1">
        <f t="array" ref="H901">_xlfn.IFS(
Table2[[#This Row],[AGE]]&lt;30,"Young",
Table2[[#This Row],[AGE]]&lt;40,"Middle Age",
Table2[[#This Row],[AGE]]&lt;50,"Senior",
TRUE,"Super Senior"
)</f>
        <v>Middle Age</v>
      </c>
      <c r="I901">
        <v>-1</v>
      </c>
      <c r="J901">
        <v>-1</v>
      </c>
      <c r="K901">
        <v>0</v>
      </c>
      <c r="L901">
        <v>-1</v>
      </c>
      <c r="M901">
        <v>-1</v>
      </c>
      <c r="N901">
        <v>-1</v>
      </c>
      <c r="O901" s="1">
        <v>3877</v>
      </c>
      <c r="P901" s="1">
        <v>11496</v>
      </c>
      <c r="Q901" s="1">
        <v>5935</v>
      </c>
      <c r="R901" s="1">
        <v>295</v>
      </c>
      <c r="S901" s="1">
        <v>1867</v>
      </c>
      <c r="T901" s="1">
        <v>0</v>
      </c>
      <c r="U901" s="1">
        <v>11496</v>
      </c>
      <c r="V901" s="1">
        <v>1011</v>
      </c>
      <c r="W901" s="1">
        <v>297</v>
      </c>
      <c r="X901" s="1">
        <v>2923</v>
      </c>
      <c r="Y901" s="1">
        <v>0</v>
      </c>
      <c r="Z901" s="1">
        <v>0</v>
      </c>
      <c r="AA901">
        <v>0</v>
      </c>
      <c r="AB901" t="str">
        <f t="shared" si="14"/>
        <v>Not Defaulter</v>
      </c>
      <c r="AC901" s="1">
        <f>Table2[[#This Row],[BILL_AMT1]]-Table2[[#This Row],[PAY_AMT1]]</f>
        <v>-7619</v>
      </c>
      <c r="AD901" s="1" t="str" cm="1">
        <f t="array" ref="AD901">_xlfn.IFS(Table2[[#This Row],[PAYMENT GAP]]&lt;=0,"No Gap / Overpaid",Table2[[#This Row],[PAYMENT GAP]]&lt;=25000,"Low Gap",Table2[[#This Row],[PAYMENT GAP]]&lt;=100000,"Medium Gap",
TRUE,"High Gap"
)</f>
        <v>No Gap / Overpaid</v>
      </c>
    </row>
    <row r="902" spans="1:30" x14ac:dyDescent="0.3">
      <c r="A902">
        <v>901</v>
      </c>
      <c r="B902" s="1">
        <v>360000</v>
      </c>
      <c r="C902" s="1" t="str" cm="1">
        <f t="array" ref="C902">_xlfn.IFS(Table2[[#This Row],[LIMIT_BAL]]&lt;=100000,"Low",Table2[[#This Row],[LIMIT_BAL]]&lt;=300000,"Medium",
TRUE,"High"
)</f>
        <v>High</v>
      </c>
      <c r="D902" t="s">
        <v>2042</v>
      </c>
      <c r="E902" t="s">
        <v>2026</v>
      </c>
      <c r="F902" t="s">
        <v>2029</v>
      </c>
      <c r="G902">
        <v>30</v>
      </c>
      <c r="H902" t="str" cm="1">
        <f t="array" ref="H902">_xlfn.IFS(
Table2[[#This Row],[AGE]]&lt;30,"Young",
Table2[[#This Row],[AGE]]&lt;40,"Middle Age",
Table2[[#This Row],[AGE]]&lt;50,"Senior",
TRUE,"Super Senior"
)</f>
        <v>Middle Age</v>
      </c>
      <c r="I902">
        <v>-2</v>
      </c>
      <c r="J902">
        <v>-1</v>
      </c>
      <c r="K902">
        <v>-1</v>
      </c>
      <c r="L902">
        <v>-2</v>
      </c>
      <c r="M902">
        <v>-2</v>
      </c>
      <c r="N902">
        <v>-2</v>
      </c>
      <c r="O902" s="1">
        <v>0</v>
      </c>
      <c r="P902" s="1">
        <v>2500</v>
      </c>
      <c r="Q902" s="1">
        <v>0</v>
      </c>
      <c r="R902" s="1">
        <v>0</v>
      </c>
      <c r="S902" s="1">
        <v>0</v>
      </c>
      <c r="T902" s="1">
        <v>0</v>
      </c>
      <c r="U902" s="1">
        <v>2500</v>
      </c>
      <c r="V902" s="1">
        <v>0</v>
      </c>
      <c r="W902" s="1">
        <v>0</v>
      </c>
      <c r="X902" s="1">
        <v>0</v>
      </c>
      <c r="Y902" s="1">
        <v>0</v>
      </c>
      <c r="Z902" s="1">
        <v>0</v>
      </c>
      <c r="AA902">
        <v>0</v>
      </c>
      <c r="AB902" t="str">
        <f t="shared" si="14"/>
        <v>Not Defaulter</v>
      </c>
      <c r="AC902" s="1">
        <f>Table2[[#This Row],[BILL_AMT1]]-Table2[[#This Row],[PAY_AMT1]]</f>
        <v>-2500</v>
      </c>
      <c r="AD902" s="1" t="str" cm="1">
        <f t="array" ref="AD902">_xlfn.IFS(Table2[[#This Row],[PAYMENT GAP]]&lt;=0,"No Gap / Overpaid",Table2[[#This Row],[PAYMENT GAP]]&lt;=25000,"Low Gap",Table2[[#This Row],[PAYMENT GAP]]&lt;=100000,"Medium Gap",
TRUE,"High Gap"
)</f>
        <v>No Gap / Overpaid</v>
      </c>
    </row>
    <row r="903" spans="1:30" x14ac:dyDescent="0.3">
      <c r="A903">
        <v>902</v>
      </c>
      <c r="B903" s="1">
        <v>140000</v>
      </c>
      <c r="C903" s="1" t="str" cm="1">
        <f t="array" ref="C903">_xlfn.IFS(Table2[[#This Row],[LIMIT_BAL]]&lt;=100000,"Low",Table2[[#This Row],[LIMIT_BAL]]&lt;=300000,"Medium",
TRUE,"High"
)</f>
        <v>Medium</v>
      </c>
      <c r="D903" t="s">
        <v>2041</v>
      </c>
      <c r="E903" t="s">
        <v>2026</v>
      </c>
      <c r="F903" t="s">
        <v>2028</v>
      </c>
      <c r="G903">
        <v>36</v>
      </c>
      <c r="H903" t="str" cm="1">
        <f t="array" ref="H903">_xlfn.IFS(
Table2[[#This Row],[AGE]]&lt;30,"Young",
Table2[[#This Row],[AGE]]&lt;40,"Middle Age",
Table2[[#This Row],[AGE]]&lt;50,"Senior",
TRUE,"Super Senior"
)</f>
        <v>Middle Age</v>
      </c>
      <c r="I903">
        <v>-1</v>
      </c>
      <c r="J903">
        <v>-1</v>
      </c>
      <c r="K903">
        <v>-2</v>
      </c>
      <c r="L903">
        <v>-1</v>
      </c>
      <c r="M903">
        <v>0</v>
      </c>
      <c r="N903">
        <v>0</v>
      </c>
      <c r="O903" s="1">
        <v>4036</v>
      </c>
      <c r="P903" s="1">
        <v>0</v>
      </c>
      <c r="Q903" s="1">
        <v>0</v>
      </c>
      <c r="R903" s="1">
        <v>2971</v>
      </c>
      <c r="S903" s="1">
        <v>1607</v>
      </c>
      <c r="T903" s="1">
        <v>0</v>
      </c>
      <c r="U903" s="1">
        <v>0</v>
      </c>
      <c r="V903" s="1">
        <v>0</v>
      </c>
      <c r="W903" s="1">
        <v>2971</v>
      </c>
      <c r="X903" s="1">
        <v>0</v>
      </c>
      <c r="Y903" s="1">
        <v>0</v>
      </c>
      <c r="Z903" s="1">
        <v>0</v>
      </c>
      <c r="AA903">
        <v>0</v>
      </c>
      <c r="AB903" t="str">
        <f t="shared" si="14"/>
        <v>Not Defaulter</v>
      </c>
      <c r="AC903" s="1">
        <f>Table2[[#This Row],[BILL_AMT1]]-Table2[[#This Row],[PAY_AMT1]]</f>
        <v>4036</v>
      </c>
      <c r="AD903" s="1" t="str" cm="1">
        <f t="array" ref="AD903">_xlfn.IFS(Table2[[#This Row],[PAYMENT GAP]]&lt;=0,"No Gap / Overpaid",Table2[[#This Row],[PAYMENT GAP]]&lt;=25000,"Low Gap",Table2[[#This Row],[PAYMENT GAP]]&lt;=100000,"Medium Gap",
TRUE,"High Gap"
)</f>
        <v>Low Gap</v>
      </c>
    </row>
    <row r="904" spans="1:30" x14ac:dyDescent="0.3">
      <c r="A904">
        <v>903</v>
      </c>
      <c r="B904" s="1">
        <v>220000</v>
      </c>
      <c r="C904" s="1" t="str" cm="1">
        <f t="array" ref="C904">_xlfn.IFS(Table2[[#This Row],[LIMIT_BAL]]&lt;=100000,"Low",Table2[[#This Row],[LIMIT_BAL]]&lt;=300000,"Medium",
TRUE,"High"
)</f>
        <v>Medium</v>
      </c>
      <c r="D904" t="s">
        <v>2042</v>
      </c>
      <c r="E904" t="s">
        <v>2043</v>
      </c>
      <c r="F904" t="s">
        <v>2029</v>
      </c>
      <c r="G904">
        <v>25</v>
      </c>
      <c r="H904" t="str" cm="1">
        <f t="array" ref="H904">_xlfn.IFS(
Table2[[#This Row],[AGE]]&lt;30,"Young",
Table2[[#This Row],[AGE]]&lt;40,"Middle Age",
Table2[[#This Row],[AGE]]&lt;50,"Senior",
TRUE,"Super Senior"
)</f>
        <v>Young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 s="1">
        <v>168286</v>
      </c>
      <c r="P904" s="1">
        <v>155893</v>
      </c>
      <c r="Q904" s="1">
        <v>119575</v>
      </c>
      <c r="R904" s="1">
        <v>51317</v>
      </c>
      <c r="S904" s="1">
        <v>51926</v>
      </c>
      <c r="T904" s="1">
        <v>34608</v>
      </c>
      <c r="U904" s="1">
        <v>10000</v>
      </c>
      <c r="V904" s="1">
        <v>3900</v>
      </c>
      <c r="W904" s="1">
        <v>1000</v>
      </c>
      <c r="X904" s="1">
        <v>1000</v>
      </c>
      <c r="Y904" s="1">
        <v>2000</v>
      </c>
      <c r="Z904" s="1">
        <v>2000</v>
      </c>
      <c r="AA904">
        <v>0</v>
      </c>
      <c r="AB904" t="str">
        <f t="shared" si="14"/>
        <v>Not Defaulter</v>
      </c>
      <c r="AC904" s="1">
        <f>Table2[[#This Row],[BILL_AMT1]]-Table2[[#This Row],[PAY_AMT1]]</f>
        <v>158286</v>
      </c>
      <c r="AD904" s="1" t="str" cm="1">
        <f t="array" ref="AD904">_xlfn.IFS(Table2[[#This Row],[PAYMENT GAP]]&lt;=0,"No Gap / Overpaid",Table2[[#This Row],[PAYMENT GAP]]&lt;=25000,"Low Gap",Table2[[#This Row],[PAYMENT GAP]]&lt;=100000,"Medium Gap",
TRUE,"High Gap"
)</f>
        <v>High Gap</v>
      </c>
    </row>
    <row r="905" spans="1:30" x14ac:dyDescent="0.3">
      <c r="A905">
        <v>904</v>
      </c>
      <c r="B905" s="1">
        <v>100000</v>
      </c>
      <c r="C905" s="1" t="str" cm="1">
        <f t="array" ref="C905">_xlfn.IFS(Table2[[#This Row],[LIMIT_BAL]]&lt;=100000,"Low",Table2[[#This Row],[LIMIT_BAL]]&lt;=300000,"Medium",
TRUE,"High"
)</f>
        <v>Low</v>
      </c>
      <c r="D905" t="s">
        <v>2042</v>
      </c>
      <c r="E905" t="s">
        <v>2027</v>
      </c>
      <c r="F905" t="s">
        <v>2028</v>
      </c>
      <c r="G905">
        <v>50</v>
      </c>
      <c r="H905" t="str" cm="1">
        <f t="array" ref="H905">_xlfn.IFS(
Table2[[#This Row],[AGE]]&lt;30,"Young",
Table2[[#This Row],[AGE]]&lt;40,"Middle Age",
Table2[[#This Row],[AGE]]&lt;50,"Senior",
TRUE,"Super Senior"
)</f>
        <v>Super Senior</v>
      </c>
      <c r="I905">
        <v>0</v>
      </c>
      <c r="J905">
        <v>0</v>
      </c>
      <c r="K905">
        <v>-2</v>
      </c>
      <c r="L905">
        <v>-2</v>
      </c>
      <c r="M905">
        <v>-2</v>
      </c>
      <c r="N905">
        <v>-2</v>
      </c>
      <c r="O905" s="1">
        <v>154970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>
        <v>0</v>
      </c>
      <c r="AB905" t="str">
        <f t="shared" si="14"/>
        <v>Not Defaulter</v>
      </c>
      <c r="AC905" s="1">
        <f>Table2[[#This Row],[BILL_AMT1]]-Table2[[#This Row],[PAY_AMT1]]</f>
        <v>154970</v>
      </c>
      <c r="AD905" s="1" t="str" cm="1">
        <f t="array" ref="AD905">_xlfn.IFS(Table2[[#This Row],[PAYMENT GAP]]&lt;=0,"No Gap / Overpaid",Table2[[#This Row],[PAYMENT GAP]]&lt;=25000,"Low Gap",Table2[[#This Row],[PAYMENT GAP]]&lt;=100000,"Medium Gap",
TRUE,"High Gap"
)</f>
        <v>High Gap</v>
      </c>
    </row>
    <row r="906" spans="1:30" x14ac:dyDescent="0.3">
      <c r="A906">
        <v>905</v>
      </c>
      <c r="B906" s="1">
        <v>80000</v>
      </c>
      <c r="C906" s="1" t="str" cm="1">
        <f t="array" ref="C906">_xlfn.IFS(Table2[[#This Row],[LIMIT_BAL]]&lt;=100000,"Low",Table2[[#This Row],[LIMIT_BAL]]&lt;=300000,"Medium",
TRUE,"High"
)</f>
        <v>Low</v>
      </c>
      <c r="D906" t="s">
        <v>2041</v>
      </c>
      <c r="E906" t="s">
        <v>2043</v>
      </c>
      <c r="F906" t="s">
        <v>2029</v>
      </c>
      <c r="G906">
        <v>40</v>
      </c>
      <c r="H906" t="str" cm="1">
        <f t="array" ref="H906">_xlfn.IFS(
Table2[[#This Row],[AGE]]&lt;30,"Young",
Table2[[#This Row],[AGE]]&lt;40,"Middle Age",
Table2[[#This Row],[AGE]]&lt;50,"Senior",
TRUE,"Super Senior"
)</f>
        <v>Senior</v>
      </c>
      <c r="I906">
        <v>2</v>
      </c>
      <c r="J906">
        <v>0</v>
      </c>
      <c r="K906">
        <v>0</v>
      </c>
      <c r="L906">
        <v>0</v>
      </c>
      <c r="M906">
        <v>2</v>
      </c>
      <c r="N906">
        <v>2</v>
      </c>
      <c r="O906" s="1">
        <v>57364</v>
      </c>
      <c r="P906" s="1">
        <v>58637</v>
      </c>
      <c r="Q906" s="1">
        <v>59863</v>
      </c>
      <c r="R906" s="1">
        <v>62860</v>
      </c>
      <c r="S906" s="1">
        <v>63976</v>
      </c>
      <c r="T906" s="1">
        <v>63293</v>
      </c>
      <c r="U906" s="1">
        <v>2200</v>
      </c>
      <c r="V906" s="1">
        <v>2200</v>
      </c>
      <c r="W906" s="1">
        <v>4000</v>
      </c>
      <c r="X906" s="1">
        <v>1777</v>
      </c>
      <c r="Y906" s="1">
        <v>0</v>
      </c>
      <c r="Z906" s="1">
        <v>2000</v>
      </c>
      <c r="AA906">
        <v>0</v>
      </c>
      <c r="AB906" t="str">
        <f t="shared" si="14"/>
        <v>Not Defaulter</v>
      </c>
      <c r="AC906" s="1">
        <f>Table2[[#This Row],[BILL_AMT1]]-Table2[[#This Row],[PAY_AMT1]]</f>
        <v>55164</v>
      </c>
      <c r="AD906" s="1" t="str" cm="1">
        <f t="array" ref="AD906">_xlfn.IFS(Table2[[#This Row],[PAYMENT GAP]]&lt;=0,"No Gap / Overpaid",Table2[[#This Row],[PAYMENT GAP]]&lt;=25000,"Low Gap",Table2[[#This Row],[PAYMENT GAP]]&lt;=100000,"Medium Gap",
TRUE,"High Gap"
)</f>
        <v>Medium Gap</v>
      </c>
    </row>
    <row r="907" spans="1:30" x14ac:dyDescent="0.3">
      <c r="A907">
        <v>906</v>
      </c>
      <c r="B907" s="1">
        <v>30000</v>
      </c>
      <c r="C907" s="1" t="str" cm="1">
        <f t="array" ref="C907">_xlfn.IFS(Table2[[#This Row],[LIMIT_BAL]]&lt;=100000,"Low",Table2[[#This Row],[LIMIT_BAL]]&lt;=300000,"Medium",
TRUE,"High"
)</f>
        <v>Low</v>
      </c>
      <c r="D907" t="s">
        <v>2041</v>
      </c>
      <c r="E907" t="s">
        <v>2043</v>
      </c>
      <c r="F907" t="s">
        <v>2029</v>
      </c>
      <c r="G907">
        <v>27</v>
      </c>
      <c r="H907" t="str" cm="1">
        <f t="array" ref="H907">_xlfn.IFS(
Table2[[#This Row],[AGE]]&lt;30,"Young",
Table2[[#This Row],[AGE]]&lt;40,"Middle Age",
Table2[[#This Row],[AGE]]&lt;50,"Senior",
TRUE,"Super Senior"
)</f>
        <v>Young</v>
      </c>
      <c r="I907">
        <v>-1</v>
      </c>
      <c r="J907">
        <v>-1</v>
      </c>
      <c r="K907">
        <v>2</v>
      </c>
      <c r="L907">
        <v>0</v>
      </c>
      <c r="M907">
        <v>-1</v>
      </c>
      <c r="N907">
        <v>2</v>
      </c>
      <c r="O907" s="1">
        <v>27772</v>
      </c>
      <c r="P907" s="1">
        <v>30461</v>
      </c>
      <c r="Q907" s="1">
        <v>29325</v>
      </c>
      <c r="R907" s="1">
        <v>21449</v>
      </c>
      <c r="S907" s="1">
        <v>29709</v>
      </c>
      <c r="T907" s="1">
        <v>29086</v>
      </c>
      <c r="U907" s="1">
        <v>3136</v>
      </c>
      <c r="V907" s="1">
        <v>0</v>
      </c>
      <c r="W907" s="1">
        <v>0</v>
      </c>
      <c r="X907" s="1">
        <v>29709</v>
      </c>
      <c r="Y907" s="1">
        <v>0</v>
      </c>
      <c r="Z907" s="1">
        <v>1576</v>
      </c>
      <c r="AA907">
        <v>0</v>
      </c>
      <c r="AB907" t="str">
        <f t="shared" si="14"/>
        <v>Not Defaulter</v>
      </c>
      <c r="AC907" s="1">
        <f>Table2[[#This Row],[BILL_AMT1]]-Table2[[#This Row],[PAY_AMT1]]</f>
        <v>24636</v>
      </c>
      <c r="AD907" s="1" t="str" cm="1">
        <f t="array" ref="AD907">_xlfn.IFS(Table2[[#This Row],[PAYMENT GAP]]&lt;=0,"No Gap / Overpaid",Table2[[#This Row],[PAYMENT GAP]]&lt;=25000,"Low Gap",Table2[[#This Row],[PAYMENT GAP]]&lt;=100000,"Medium Gap",
TRUE,"High Gap"
)</f>
        <v>Low Gap</v>
      </c>
    </row>
    <row r="908" spans="1:30" x14ac:dyDescent="0.3">
      <c r="A908">
        <v>907</v>
      </c>
      <c r="B908" s="1">
        <v>50000</v>
      </c>
      <c r="C908" s="1" t="str" cm="1">
        <f t="array" ref="C908">_xlfn.IFS(Table2[[#This Row],[LIMIT_BAL]]&lt;=100000,"Low",Table2[[#This Row],[LIMIT_BAL]]&lt;=300000,"Medium",
TRUE,"High"
)</f>
        <v>Low</v>
      </c>
      <c r="D908" t="s">
        <v>2042</v>
      </c>
      <c r="E908" t="s">
        <v>2026</v>
      </c>
      <c r="F908" t="s">
        <v>2029</v>
      </c>
      <c r="G908">
        <v>30</v>
      </c>
      <c r="H908" t="str" cm="1">
        <f t="array" ref="H908">_xlfn.IFS(
Table2[[#This Row],[AGE]]&lt;30,"Young",
Table2[[#This Row],[AGE]]&lt;40,"Middle Age",
Table2[[#This Row],[AGE]]&lt;50,"Senior",
TRUE,"Super Senior"
)</f>
        <v>Middle Age</v>
      </c>
      <c r="I908">
        <v>2</v>
      </c>
      <c r="J908">
        <v>2</v>
      </c>
      <c r="K908">
        <v>2</v>
      </c>
      <c r="L908">
        <v>-1</v>
      </c>
      <c r="M908">
        <v>2</v>
      </c>
      <c r="N908">
        <v>2</v>
      </c>
      <c r="O908" s="1">
        <v>4187</v>
      </c>
      <c r="P908" s="1">
        <v>5152</v>
      </c>
      <c r="Q908" s="1">
        <v>3679</v>
      </c>
      <c r="R908" s="1">
        <v>596</v>
      </c>
      <c r="S908" s="1">
        <v>446</v>
      </c>
      <c r="T908" s="1">
        <v>2699</v>
      </c>
      <c r="U908" s="1">
        <v>2300</v>
      </c>
      <c r="V908" s="1">
        <v>0</v>
      </c>
      <c r="W908" s="1">
        <v>700</v>
      </c>
      <c r="X908" s="1">
        <v>0</v>
      </c>
      <c r="Y908" s="1">
        <v>2300</v>
      </c>
      <c r="Z908" s="1">
        <v>0</v>
      </c>
      <c r="AA908">
        <v>1</v>
      </c>
      <c r="AB908" t="str">
        <f t="shared" si="14"/>
        <v>Defaulter</v>
      </c>
      <c r="AC908" s="1">
        <f>Table2[[#This Row],[BILL_AMT1]]-Table2[[#This Row],[PAY_AMT1]]</f>
        <v>1887</v>
      </c>
      <c r="AD908" s="1" t="str" cm="1">
        <f t="array" ref="AD908">_xlfn.IFS(Table2[[#This Row],[PAYMENT GAP]]&lt;=0,"No Gap / Overpaid",Table2[[#This Row],[PAYMENT GAP]]&lt;=25000,"Low Gap",Table2[[#This Row],[PAYMENT GAP]]&lt;=100000,"Medium Gap",
TRUE,"High Gap"
)</f>
        <v>Low Gap</v>
      </c>
    </row>
    <row r="909" spans="1:30" x14ac:dyDescent="0.3">
      <c r="A909">
        <v>908</v>
      </c>
      <c r="B909" s="1">
        <v>120000</v>
      </c>
      <c r="C909" s="1" t="str" cm="1">
        <f t="array" ref="C909">_xlfn.IFS(Table2[[#This Row],[LIMIT_BAL]]&lt;=100000,"Low",Table2[[#This Row],[LIMIT_BAL]]&lt;=300000,"Medium",
TRUE,"High"
)</f>
        <v>Medium</v>
      </c>
      <c r="D909" t="s">
        <v>2041</v>
      </c>
      <c r="E909" t="s">
        <v>2043</v>
      </c>
      <c r="F909" t="s">
        <v>2029</v>
      </c>
      <c r="G909">
        <v>26</v>
      </c>
      <c r="H909" t="str" cm="1">
        <f t="array" ref="H909">_xlfn.IFS(
Table2[[#This Row],[AGE]]&lt;30,"Young",
Table2[[#This Row],[AGE]]&lt;40,"Middle Age",
Table2[[#This Row],[AGE]]&lt;50,"Senior",
TRUE,"Super Senior"
)</f>
        <v>Young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 s="1">
        <v>22431</v>
      </c>
      <c r="P909" s="1">
        <v>12399</v>
      </c>
      <c r="Q909" s="1">
        <v>4199</v>
      </c>
      <c r="R909" s="1">
        <v>3059</v>
      </c>
      <c r="S909" s="1">
        <v>674</v>
      </c>
      <c r="T909" s="1">
        <v>0</v>
      </c>
      <c r="U909" s="1">
        <v>1500</v>
      </c>
      <c r="V909" s="1">
        <v>1000</v>
      </c>
      <c r="W909" s="1">
        <v>682</v>
      </c>
      <c r="X909" s="1">
        <v>0</v>
      </c>
      <c r="Y909" s="1">
        <v>0</v>
      </c>
      <c r="Z909" s="1">
        <v>738</v>
      </c>
      <c r="AA909">
        <v>0</v>
      </c>
      <c r="AB909" t="str">
        <f t="shared" si="14"/>
        <v>Not Defaulter</v>
      </c>
      <c r="AC909" s="1">
        <f>Table2[[#This Row],[BILL_AMT1]]-Table2[[#This Row],[PAY_AMT1]]</f>
        <v>20931</v>
      </c>
      <c r="AD909" s="1" t="str" cm="1">
        <f t="array" ref="AD909">_xlfn.IFS(Table2[[#This Row],[PAYMENT GAP]]&lt;=0,"No Gap / Overpaid",Table2[[#This Row],[PAYMENT GAP]]&lt;=25000,"Low Gap",Table2[[#This Row],[PAYMENT GAP]]&lt;=100000,"Medium Gap",
TRUE,"High Gap"
)</f>
        <v>Low Gap</v>
      </c>
    </row>
    <row r="910" spans="1:30" x14ac:dyDescent="0.3">
      <c r="A910">
        <v>909</v>
      </c>
      <c r="B910" s="1">
        <v>50000</v>
      </c>
      <c r="C910" s="1" t="str" cm="1">
        <f t="array" ref="C910">_xlfn.IFS(Table2[[#This Row],[LIMIT_BAL]]&lt;=100000,"Low",Table2[[#This Row],[LIMIT_BAL]]&lt;=300000,"Medium",
TRUE,"High"
)</f>
        <v>Low</v>
      </c>
      <c r="D910" t="s">
        <v>2042</v>
      </c>
      <c r="E910" t="s">
        <v>2026</v>
      </c>
      <c r="F910" t="s">
        <v>2029</v>
      </c>
      <c r="G910">
        <v>27</v>
      </c>
      <c r="H910" t="str" cm="1">
        <f t="array" ref="H910">_xlfn.IFS(
Table2[[#This Row],[AGE]]&lt;30,"Young",
Table2[[#This Row],[AGE]]&lt;40,"Middle Age",
Table2[[#This Row],[AGE]]&lt;50,"Senior",
TRUE,"Super Senior"
)</f>
        <v>Young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 s="1">
        <v>7010</v>
      </c>
      <c r="P910" s="1">
        <v>9876</v>
      </c>
      <c r="Q910" s="1">
        <v>11115</v>
      </c>
      <c r="R910" s="1">
        <v>12915</v>
      </c>
      <c r="S910" s="1">
        <v>14415</v>
      </c>
      <c r="T910" s="1">
        <v>0</v>
      </c>
      <c r="U910" s="1">
        <v>3000</v>
      </c>
      <c r="V910" s="1">
        <v>1500</v>
      </c>
      <c r="W910" s="1">
        <v>2000</v>
      </c>
      <c r="X910" s="1">
        <v>2000</v>
      </c>
      <c r="Y910" s="1">
        <v>0</v>
      </c>
      <c r="Z910" s="1">
        <v>0</v>
      </c>
      <c r="AA910">
        <v>0</v>
      </c>
      <c r="AB910" t="str">
        <f t="shared" si="14"/>
        <v>Not Defaulter</v>
      </c>
      <c r="AC910" s="1">
        <f>Table2[[#This Row],[BILL_AMT1]]-Table2[[#This Row],[PAY_AMT1]]</f>
        <v>4010</v>
      </c>
      <c r="AD910" s="1" t="str" cm="1">
        <f t="array" ref="AD910">_xlfn.IFS(Table2[[#This Row],[PAYMENT GAP]]&lt;=0,"No Gap / Overpaid",Table2[[#This Row],[PAYMENT GAP]]&lt;=25000,"Low Gap",Table2[[#This Row],[PAYMENT GAP]]&lt;=100000,"Medium Gap",
TRUE,"High Gap"
)</f>
        <v>Low Gap</v>
      </c>
    </row>
    <row r="911" spans="1:30" x14ac:dyDescent="0.3">
      <c r="A911">
        <v>910</v>
      </c>
      <c r="B911" s="1">
        <v>360000</v>
      </c>
      <c r="C911" s="1" t="str" cm="1">
        <f t="array" ref="C911">_xlfn.IFS(Table2[[#This Row],[LIMIT_BAL]]&lt;=100000,"Low",Table2[[#This Row],[LIMIT_BAL]]&lt;=300000,"Medium",
TRUE,"High"
)</f>
        <v>High</v>
      </c>
      <c r="D911" t="s">
        <v>2041</v>
      </c>
      <c r="E911" t="s">
        <v>2026</v>
      </c>
      <c r="F911" t="s">
        <v>2029</v>
      </c>
      <c r="G911">
        <v>27</v>
      </c>
      <c r="H911" t="str" cm="1">
        <f t="array" ref="H911">_xlfn.IFS(
Table2[[#This Row],[AGE]]&lt;30,"Young",
Table2[[#This Row],[AGE]]&lt;40,"Middle Age",
Table2[[#This Row],[AGE]]&lt;50,"Senior",
TRUE,"Super Senior"
)</f>
        <v>Young</v>
      </c>
      <c r="I911">
        <v>0</v>
      </c>
      <c r="J911">
        <v>-1</v>
      </c>
      <c r="K911">
        <v>0</v>
      </c>
      <c r="L911">
        <v>-1</v>
      </c>
      <c r="M911">
        <v>-1</v>
      </c>
      <c r="N911">
        <v>-1</v>
      </c>
      <c r="O911" s="1">
        <v>79837</v>
      </c>
      <c r="P911" s="1">
        <v>27456</v>
      </c>
      <c r="Q911" s="1">
        <v>68117</v>
      </c>
      <c r="R911" s="1">
        <v>39105</v>
      </c>
      <c r="S911" s="1">
        <v>54456</v>
      </c>
      <c r="T911" s="1">
        <v>46153</v>
      </c>
      <c r="U911" s="1">
        <v>27465</v>
      </c>
      <c r="V911" s="1">
        <v>50154</v>
      </c>
      <c r="W911" s="1">
        <v>39105</v>
      </c>
      <c r="X911" s="1">
        <v>54456</v>
      </c>
      <c r="Y911" s="1">
        <v>46153</v>
      </c>
      <c r="Z911" s="1">
        <v>40000</v>
      </c>
      <c r="AA911">
        <v>0</v>
      </c>
      <c r="AB911" t="str">
        <f t="shared" si="14"/>
        <v>Not Defaulter</v>
      </c>
      <c r="AC911" s="1">
        <f>Table2[[#This Row],[BILL_AMT1]]-Table2[[#This Row],[PAY_AMT1]]</f>
        <v>52372</v>
      </c>
      <c r="AD911" s="1" t="str" cm="1">
        <f t="array" ref="AD911">_xlfn.IFS(Table2[[#This Row],[PAYMENT GAP]]&lt;=0,"No Gap / Overpaid",Table2[[#This Row],[PAYMENT GAP]]&lt;=25000,"Low Gap",Table2[[#This Row],[PAYMENT GAP]]&lt;=100000,"Medium Gap",
TRUE,"High Gap"
)</f>
        <v>Medium Gap</v>
      </c>
    </row>
    <row r="912" spans="1:30" x14ac:dyDescent="0.3">
      <c r="A912">
        <v>911</v>
      </c>
      <c r="B912" s="1">
        <v>90000</v>
      </c>
      <c r="C912" s="1" t="str" cm="1">
        <f t="array" ref="C912">_xlfn.IFS(Table2[[#This Row],[LIMIT_BAL]]&lt;=100000,"Low",Table2[[#This Row],[LIMIT_BAL]]&lt;=300000,"Medium",
TRUE,"High"
)</f>
        <v>Low</v>
      </c>
      <c r="D912" t="s">
        <v>2041</v>
      </c>
      <c r="E912" t="s">
        <v>2026</v>
      </c>
      <c r="F912" t="s">
        <v>2029</v>
      </c>
      <c r="G912">
        <v>25</v>
      </c>
      <c r="H912" t="str" cm="1">
        <f t="array" ref="H912">_xlfn.IFS(
Table2[[#This Row],[AGE]]&lt;30,"Young",
Table2[[#This Row],[AGE]]&lt;40,"Middle Age",
Table2[[#This Row],[AGE]]&lt;50,"Senior",
TRUE,"Super Senior"
)</f>
        <v>Young</v>
      </c>
      <c r="I912">
        <v>2</v>
      </c>
      <c r="J912">
        <v>2</v>
      </c>
      <c r="K912">
        <v>2</v>
      </c>
      <c r="L912">
        <v>2</v>
      </c>
      <c r="M912">
        <v>0</v>
      </c>
      <c r="N912">
        <v>0</v>
      </c>
      <c r="O912" s="1">
        <v>86014</v>
      </c>
      <c r="P912" s="1">
        <v>92898</v>
      </c>
      <c r="Q912" s="1">
        <v>92860</v>
      </c>
      <c r="R912" s="1">
        <v>88533</v>
      </c>
      <c r="S912" s="1">
        <v>90942</v>
      </c>
      <c r="T912" s="1">
        <v>88813</v>
      </c>
      <c r="U912" s="1">
        <v>8300</v>
      </c>
      <c r="V912" s="1">
        <v>2400</v>
      </c>
      <c r="W912" s="1">
        <v>1000</v>
      </c>
      <c r="X912" s="1">
        <v>4000</v>
      </c>
      <c r="Y912" s="1">
        <v>3600</v>
      </c>
      <c r="Z912" s="1">
        <v>4000</v>
      </c>
      <c r="AA912">
        <v>0</v>
      </c>
      <c r="AB912" t="str">
        <f t="shared" si="14"/>
        <v>Not Defaulter</v>
      </c>
      <c r="AC912" s="1">
        <f>Table2[[#This Row],[BILL_AMT1]]-Table2[[#This Row],[PAY_AMT1]]</f>
        <v>77714</v>
      </c>
      <c r="AD912" s="1" t="str" cm="1">
        <f t="array" ref="AD912">_xlfn.IFS(Table2[[#This Row],[PAYMENT GAP]]&lt;=0,"No Gap / Overpaid",Table2[[#This Row],[PAYMENT GAP]]&lt;=25000,"Low Gap",Table2[[#This Row],[PAYMENT GAP]]&lt;=100000,"Medium Gap",
TRUE,"High Gap"
)</f>
        <v>Medium Gap</v>
      </c>
    </row>
    <row r="913" spans="1:30" x14ac:dyDescent="0.3">
      <c r="A913">
        <v>912</v>
      </c>
      <c r="B913" s="1">
        <v>500000</v>
      </c>
      <c r="C913" s="1" t="str" cm="1">
        <f t="array" ref="C913">_xlfn.IFS(Table2[[#This Row],[LIMIT_BAL]]&lt;=100000,"Low",Table2[[#This Row],[LIMIT_BAL]]&lt;=300000,"Medium",
TRUE,"High"
)</f>
        <v>High</v>
      </c>
      <c r="D913" t="s">
        <v>2042</v>
      </c>
      <c r="E913" t="s">
        <v>2026</v>
      </c>
      <c r="F913" t="s">
        <v>2029</v>
      </c>
      <c r="G913">
        <v>32</v>
      </c>
      <c r="H913" t="str" cm="1">
        <f t="array" ref="H913">_xlfn.IFS(
Table2[[#This Row],[AGE]]&lt;30,"Young",
Table2[[#This Row],[AGE]]&lt;40,"Middle Age",
Table2[[#This Row],[AGE]]&lt;50,"Senior",
TRUE,"Super Senior"
)</f>
        <v>Middle Age</v>
      </c>
      <c r="I913">
        <v>-1</v>
      </c>
      <c r="J913">
        <v>0</v>
      </c>
      <c r="K913">
        <v>0</v>
      </c>
      <c r="L913">
        <v>0</v>
      </c>
      <c r="M913">
        <v>0</v>
      </c>
      <c r="N913">
        <v>0</v>
      </c>
      <c r="O913" s="1">
        <v>386405</v>
      </c>
      <c r="P913" s="1">
        <v>387910</v>
      </c>
      <c r="Q913" s="1">
        <v>293177</v>
      </c>
      <c r="R913" s="1">
        <v>274539</v>
      </c>
      <c r="S913" s="1">
        <v>253443</v>
      </c>
      <c r="T913" s="1">
        <v>253671</v>
      </c>
      <c r="U913" s="1">
        <v>25016</v>
      </c>
      <c r="V913" s="1">
        <v>20018</v>
      </c>
      <c r="W913" s="1">
        <v>10000</v>
      </c>
      <c r="X913" s="1">
        <v>79377</v>
      </c>
      <c r="Y913" s="1">
        <v>52778</v>
      </c>
      <c r="Z913" s="1">
        <v>10000</v>
      </c>
      <c r="AA913">
        <v>0</v>
      </c>
      <c r="AB913" t="str">
        <f t="shared" si="14"/>
        <v>Not Defaulter</v>
      </c>
      <c r="AC913" s="1">
        <f>Table2[[#This Row],[BILL_AMT1]]-Table2[[#This Row],[PAY_AMT1]]</f>
        <v>361389</v>
      </c>
      <c r="AD913" s="1" t="str" cm="1">
        <f t="array" ref="AD913">_xlfn.IFS(Table2[[#This Row],[PAYMENT GAP]]&lt;=0,"No Gap / Overpaid",Table2[[#This Row],[PAYMENT GAP]]&lt;=25000,"Low Gap",Table2[[#This Row],[PAYMENT GAP]]&lt;=100000,"Medium Gap",
TRUE,"High Gap"
)</f>
        <v>High Gap</v>
      </c>
    </row>
    <row r="914" spans="1:30" x14ac:dyDescent="0.3">
      <c r="A914">
        <v>913</v>
      </c>
      <c r="B914" s="1">
        <v>140000</v>
      </c>
      <c r="C914" s="1" t="str" cm="1">
        <f t="array" ref="C914">_xlfn.IFS(Table2[[#This Row],[LIMIT_BAL]]&lt;=100000,"Low",Table2[[#This Row],[LIMIT_BAL]]&lt;=300000,"Medium",
TRUE,"High"
)</f>
        <v>Medium</v>
      </c>
      <c r="D914" t="s">
        <v>2041</v>
      </c>
      <c r="E914" t="s">
        <v>2027</v>
      </c>
      <c r="F914" t="s">
        <v>2028</v>
      </c>
      <c r="G914">
        <v>46</v>
      </c>
      <c r="H914" t="str" cm="1">
        <f t="array" ref="H914">_xlfn.IFS(
Table2[[#This Row],[AGE]]&lt;30,"Young",
Table2[[#This Row],[AGE]]&lt;40,"Middle Age",
Table2[[#This Row],[AGE]]&lt;50,"Senior",
TRUE,"Super Senior"
)</f>
        <v>Senior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 s="1">
        <v>68075</v>
      </c>
      <c r="P914" s="1">
        <v>69972</v>
      </c>
      <c r="Q914" s="1">
        <v>71805</v>
      </c>
      <c r="R914" s="1">
        <v>73613</v>
      </c>
      <c r="S914" s="1">
        <v>75426</v>
      </c>
      <c r="T914" s="1">
        <v>77169</v>
      </c>
      <c r="U914" s="1">
        <v>3000</v>
      </c>
      <c r="V914" s="1">
        <v>3000</v>
      </c>
      <c r="W914" s="1">
        <v>3000</v>
      </c>
      <c r="X914" s="1">
        <v>3000</v>
      </c>
      <c r="Y914" s="1">
        <v>3000</v>
      </c>
      <c r="Z914" s="1">
        <v>5000</v>
      </c>
      <c r="AA914">
        <v>0</v>
      </c>
      <c r="AB914" t="str">
        <f t="shared" si="14"/>
        <v>Not Defaulter</v>
      </c>
      <c r="AC914" s="1">
        <f>Table2[[#This Row],[BILL_AMT1]]-Table2[[#This Row],[PAY_AMT1]]</f>
        <v>65075</v>
      </c>
      <c r="AD914" s="1" t="str" cm="1">
        <f t="array" ref="AD914">_xlfn.IFS(Table2[[#This Row],[PAYMENT GAP]]&lt;=0,"No Gap / Overpaid",Table2[[#This Row],[PAYMENT GAP]]&lt;=25000,"Low Gap",Table2[[#This Row],[PAYMENT GAP]]&lt;=100000,"Medium Gap",
TRUE,"High Gap"
)</f>
        <v>Medium Gap</v>
      </c>
    </row>
    <row r="915" spans="1:30" x14ac:dyDescent="0.3">
      <c r="A915">
        <v>914</v>
      </c>
      <c r="B915" s="1">
        <v>30000</v>
      </c>
      <c r="C915" s="1" t="str" cm="1">
        <f t="array" ref="C915">_xlfn.IFS(Table2[[#This Row],[LIMIT_BAL]]&lt;=100000,"Low",Table2[[#This Row],[LIMIT_BAL]]&lt;=300000,"Medium",
TRUE,"High"
)</f>
        <v>Low</v>
      </c>
      <c r="D915" t="s">
        <v>2042</v>
      </c>
      <c r="E915" t="s">
        <v>2027</v>
      </c>
      <c r="F915" t="s">
        <v>2028</v>
      </c>
      <c r="G915">
        <v>45</v>
      </c>
      <c r="H915" t="str" cm="1">
        <f t="array" ref="H915">_xlfn.IFS(
Table2[[#This Row],[AGE]]&lt;30,"Young",
Table2[[#This Row],[AGE]]&lt;40,"Middle Age",
Table2[[#This Row],[AGE]]&lt;50,"Senior",
TRUE,"Super Senior"
)</f>
        <v>Senior</v>
      </c>
      <c r="I915">
        <v>0</v>
      </c>
      <c r="J915">
        <v>0</v>
      </c>
      <c r="K915">
        <v>2</v>
      </c>
      <c r="L915">
        <v>0</v>
      </c>
      <c r="M915">
        <v>0</v>
      </c>
      <c r="N915">
        <v>0</v>
      </c>
      <c r="O915" s="1">
        <v>17187</v>
      </c>
      <c r="P915" s="1">
        <v>24045</v>
      </c>
      <c r="Q915" s="1">
        <v>23180</v>
      </c>
      <c r="R915" s="1">
        <v>22000</v>
      </c>
      <c r="S915" s="1">
        <v>22000</v>
      </c>
      <c r="T915" s="1">
        <v>0</v>
      </c>
      <c r="U915" s="1">
        <v>7900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>
        <v>0</v>
      </c>
      <c r="AB915" t="str">
        <f t="shared" si="14"/>
        <v>Not Defaulter</v>
      </c>
      <c r="AC915" s="1">
        <f>Table2[[#This Row],[BILL_AMT1]]-Table2[[#This Row],[PAY_AMT1]]</f>
        <v>9287</v>
      </c>
      <c r="AD915" s="1" t="str" cm="1">
        <f t="array" ref="AD915">_xlfn.IFS(Table2[[#This Row],[PAYMENT GAP]]&lt;=0,"No Gap / Overpaid",Table2[[#This Row],[PAYMENT GAP]]&lt;=25000,"Low Gap",Table2[[#This Row],[PAYMENT GAP]]&lt;=100000,"Medium Gap",
TRUE,"High Gap"
)</f>
        <v>Low Gap</v>
      </c>
    </row>
    <row r="916" spans="1:30" x14ac:dyDescent="0.3">
      <c r="A916">
        <v>915</v>
      </c>
      <c r="B916" s="1">
        <v>70000</v>
      </c>
      <c r="C916" s="1" t="str" cm="1">
        <f t="array" ref="C916">_xlfn.IFS(Table2[[#This Row],[LIMIT_BAL]]&lt;=100000,"Low",Table2[[#This Row],[LIMIT_BAL]]&lt;=300000,"Medium",
TRUE,"High"
)</f>
        <v>Low</v>
      </c>
      <c r="D916" t="s">
        <v>2042</v>
      </c>
      <c r="E916" t="s">
        <v>2027</v>
      </c>
      <c r="F916" t="s">
        <v>2028</v>
      </c>
      <c r="G916">
        <v>30</v>
      </c>
      <c r="H916" t="str" cm="1">
        <f t="array" ref="H916">_xlfn.IFS(
Table2[[#This Row],[AGE]]&lt;30,"Young",
Table2[[#This Row],[AGE]]&lt;40,"Middle Age",
Table2[[#This Row],[AGE]]&lt;50,"Senior",
TRUE,"Super Senior"
)</f>
        <v>Middle Age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s="1">
        <v>19882</v>
      </c>
      <c r="P916" s="1">
        <v>20611</v>
      </c>
      <c r="Q916" s="1">
        <v>21859</v>
      </c>
      <c r="R916" s="1">
        <v>22445</v>
      </c>
      <c r="S916" s="1">
        <v>22935</v>
      </c>
      <c r="T916" s="1">
        <v>23404</v>
      </c>
      <c r="U916" s="1">
        <v>1352</v>
      </c>
      <c r="V916" s="1">
        <v>1600</v>
      </c>
      <c r="W916" s="1">
        <v>949</v>
      </c>
      <c r="X916" s="1">
        <v>1000</v>
      </c>
      <c r="Y916" s="1">
        <v>1000</v>
      </c>
      <c r="Z916" s="1">
        <v>1000</v>
      </c>
      <c r="AA916">
        <v>0</v>
      </c>
      <c r="AB916" t="str">
        <f t="shared" si="14"/>
        <v>Not Defaulter</v>
      </c>
      <c r="AC916" s="1">
        <f>Table2[[#This Row],[BILL_AMT1]]-Table2[[#This Row],[PAY_AMT1]]</f>
        <v>18530</v>
      </c>
      <c r="AD916" s="1" t="str" cm="1">
        <f t="array" ref="AD916">_xlfn.IFS(Table2[[#This Row],[PAYMENT GAP]]&lt;=0,"No Gap / Overpaid",Table2[[#This Row],[PAYMENT GAP]]&lt;=25000,"Low Gap",Table2[[#This Row],[PAYMENT GAP]]&lt;=100000,"Medium Gap",
TRUE,"High Gap"
)</f>
        <v>Low Gap</v>
      </c>
    </row>
    <row r="917" spans="1:30" x14ac:dyDescent="0.3">
      <c r="A917">
        <v>916</v>
      </c>
      <c r="B917" s="1">
        <v>200000</v>
      </c>
      <c r="C917" s="1" t="str" cm="1">
        <f t="array" ref="C917">_xlfn.IFS(Table2[[#This Row],[LIMIT_BAL]]&lt;=100000,"Low",Table2[[#This Row],[LIMIT_BAL]]&lt;=300000,"Medium",
TRUE,"High"
)</f>
        <v>Medium</v>
      </c>
      <c r="D917" t="s">
        <v>2042</v>
      </c>
      <c r="E917" t="s">
        <v>2026</v>
      </c>
      <c r="F917" t="s">
        <v>2028</v>
      </c>
      <c r="G917">
        <v>39</v>
      </c>
      <c r="H917" t="str" cm="1">
        <f t="array" ref="H917">_xlfn.IFS(
Table2[[#This Row],[AGE]]&lt;30,"Young",
Table2[[#This Row],[AGE]]&lt;40,"Middle Age",
Table2[[#This Row],[AGE]]&lt;50,"Senior",
TRUE,"Super Senior"
)</f>
        <v>Middle Age</v>
      </c>
      <c r="I917">
        <v>-2</v>
      </c>
      <c r="J917">
        <v>-2</v>
      </c>
      <c r="K917">
        <v>-2</v>
      </c>
      <c r="L917">
        <v>-2</v>
      </c>
      <c r="M917">
        <v>-2</v>
      </c>
      <c r="N917">
        <v>-2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3983</v>
      </c>
      <c r="U917" s="1">
        <v>0</v>
      </c>
      <c r="V917" s="1">
        <v>0</v>
      </c>
      <c r="W917" s="1">
        <v>0</v>
      </c>
      <c r="X917" s="1">
        <v>0</v>
      </c>
      <c r="Y917" s="1">
        <v>3983</v>
      </c>
      <c r="Z917" s="1">
        <v>0</v>
      </c>
      <c r="AA917">
        <v>0</v>
      </c>
      <c r="AB917" t="str">
        <f t="shared" si="14"/>
        <v>Not Defaulter</v>
      </c>
      <c r="AC917" s="1">
        <f>Table2[[#This Row],[BILL_AMT1]]-Table2[[#This Row],[PAY_AMT1]]</f>
        <v>0</v>
      </c>
      <c r="AD917" s="1" t="str" cm="1">
        <f t="array" ref="AD917">_xlfn.IFS(Table2[[#This Row],[PAYMENT GAP]]&lt;=0,"No Gap / Overpaid",Table2[[#This Row],[PAYMENT GAP]]&lt;=25000,"Low Gap",Table2[[#This Row],[PAYMENT GAP]]&lt;=100000,"Medium Gap",
TRUE,"High Gap"
)</f>
        <v>No Gap / Overpaid</v>
      </c>
    </row>
    <row r="918" spans="1:30" x14ac:dyDescent="0.3">
      <c r="A918">
        <v>917</v>
      </c>
      <c r="B918" s="1">
        <v>350000</v>
      </c>
      <c r="C918" s="1" t="str" cm="1">
        <f t="array" ref="C918">_xlfn.IFS(Table2[[#This Row],[LIMIT_BAL]]&lt;=100000,"Low",Table2[[#This Row],[LIMIT_BAL]]&lt;=300000,"Medium",
TRUE,"High"
)</f>
        <v>High</v>
      </c>
      <c r="D918" t="s">
        <v>2042</v>
      </c>
      <c r="E918" t="s">
        <v>2026</v>
      </c>
      <c r="F918" t="s">
        <v>2028</v>
      </c>
      <c r="G918">
        <v>48</v>
      </c>
      <c r="H918" t="str" cm="1">
        <f t="array" ref="H918">_xlfn.IFS(
Table2[[#This Row],[AGE]]&lt;30,"Young",
Table2[[#This Row],[AGE]]&lt;40,"Middle Age",
Table2[[#This Row],[AGE]]&lt;50,"Senior",
TRUE,"Super Senior"
)</f>
        <v>Senior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s="1">
        <v>54969</v>
      </c>
      <c r="P918" s="1">
        <v>47978</v>
      </c>
      <c r="Q918" s="1">
        <v>48631</v>
      </c>
      <c r="R918" s="1">
        <v>48351</v>
      </c>
      <c r="S918" s="1">
        <v>47939</v>
      </c>
      <c r="T918" s="1">
        <v>33827</v>
      </c>
      <c r="U918" s="1">
        <v>2087</v>
      </c>
      <c r="V918" s="1">
        <v>1989</v>
      </c>
      <c r="W918" s="1">
        <v>1591</v>
      </c>
      <c r="X918" s="1">
        <v>1466</v>
      </c>
      <c r="Y918" s="1">
        <v>2000</v>
      </c>
      <c r="Z918" s="1">
        <v>1500</v>
      </c>
      <c r="AA918">
        <v>0</v>
      </c>
      <c r="AB918" t="str">
        <f t="shared" si="14"/>
        <v>Not Defaulter</v>
      </c>
      <c r="AC918" s="1">
        <f>Table2[[#This Row],[BILL_AMT1]]-Table2[[#This Row],[PAY_AMT1]]</f>
        <v>52882</v>
      </c>
      <c r="AD918" s="1" t="str" cm="1">
        <f t="array" ref="AD918">_xlfn.IFS(Table2[[#This Row],[PAYMENT GAP]]&lt;=0,"No Gap / Overpaid",Table2[[#This Row],[PAYMENT GAP]]&lt;=25000,"Low Gap",Table2[[#This Row],[PAYMENT GAP]]&lt;=100000,"Medium Gap",
TRUE,"High Gap"
)</f>
        <v>Medium Gap</v>
      </c>
    </row>
    <row r="919" spans="1:30" x14ac:dyDescent="0.3">
      <c r="A919">
        <v>918</v>
      </c>
      <c r="B919" s="1">
        <v>120000</v>
      </c>
      <c r="C919" s="1" t="str" cm="1">
        <f t="array" ref="C919">_xlfn.IFS(Table2[[#This Row],[LIMIT_BAL]]&lt;=100000,"Low",Table2[[#This Row],[LIMIT_BAL]]&lt;=300000,"Medium",
TRUE,"High"
)</f>
        <v>Medium</v>
      </c>
      <c r="D919" t="s">
        <v>2042</v>
      </c>
      <c r="E919" t="s">
        <v>2026</v>
      </c>
      <c r="F919" t="s">
        <v>2029</v>
      </c>
      <c r="G919">
        <v>32</v>
      </c>
      <c r="H919" t="str" cm="1">
        <f t="array" ref="H919">_xlfn.IFS(
Table2[[#This Row],[AGE]]&lt;30,"Young",
Table2[[#This Row],[AGE]]&lt;40,"Middle Age",
Table2[[#This Row],[AGE]]&lt;50,"Senior",
TRUE,"Super Senior"
)</f>
        <v>Middle Age</v>
      </c>
      <c r="I919">
        <v>1</v>
      </c>
      <c r="J919">
        <v>-2</v>
      </c>
      <c r="K919">
        <v>-2</v>
      </c>
      <c r="L919">
        <v>-2</v>
      </c>
      <c r="M919">
        <v>-2</v>
      </c>
      <c r="N919">
        <v>-2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>
        <v>1</v>
      </c>
      <c r="AB919" t="str">
        <f t="shared" si="14"/>
        <v>Defaulter</v>
      </c>
      <c r="AC919" s="1">
        <f>Table2[[#This Row],[BILL_AMT1]]-Table2[[#This Row],[PAY_AMT1]]</f>
        <v>0</v>
      </c>
      <c r="AD919" s="1" t="str" cm="1">
        <f t="array" ref="AD919">_xlfn.IFS(Table2[[#This Row],[PAYMENT GAP]]&lt;=0,"No Gap / Overpaid",Table2[[#This Row],[PAYMENT GAP]]&lt;=25000,"Low Gap",Table2[[#This Row],[PAYMENT GAP]]&lt;=100000,"Medium Gap",
TRUE,"High Gap"
)</f>
        <v>No Gap / Overpaid</v>
      </c>
    </row>
    <row r="920" spans="1:30" x14ac:dyDescent="0.3">
      <c r="A920">
        <v>919</v>
      </c>
      <c r="B920" s="1">
        <v>240000</v>
      </c>
      <c r="C920" s="1" t="str" cm="1">
        <f t="array" ref="C920">_xlfn.IFS(Table2[[#This Row],[LIMIT_BAL]]&lt;=100000,"Low",Table2[[#This Row],[LIMIT_BAL]]&lt;=300000,"Medium",
TRUE,"High"
)</f>
        <v>Medium</v>
      </c>
      <c r="D920" t="s">
        <v>2042</v>
      </c>
      <c r="E920" t="s">
        <v>2026</v>
      </c>
      <c r="F920" t="s">
        <v>2029</v>
      </c>
      <c r="G920">
        <v>46</v>
      </c>
      <c r="H920" t="str" cm="1">
        <f t="array" ref="H920">_xlfn.IFS(
Table2[[#This Row],[AGE]]&lt;30,"Young",
Table2[[#This Row],[AGE]]&lt;40,"Middle Age",
Table2[[#This Row],[AGE]]&lt;50,"Senior",
TRUE,"Super Senior"
)</f>
        <v>Senior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s="1">
        <v>471814</v>
      </c>
      <c r="P920" s="1">
        <v>478380</v>
      </c>
      <c r="Q920" s="1">
        <v>395612</v>
      </c>
      <c r="R920" s="1">
        <v>386295</v>
      </c>
      <c r="S920" s="1">
        <v>356206</v>
      </c>
      <c r="T920" s="1">
        <v>352257</v>
      </c>
      <c r="U920" s="1">
        <v>16044</v>
      </c>
      <c r="V920" s="1">
        <v>15087</v>
      </c>
      <c r="W920" s="1">
        <v>12000</v>
      </c>
      <c r="X920" s="1">
        <v>15000</v>
      </c>
      <c r="Y920" s="1">
        <v>12000</v>
      </c>
      <c r="Z920" s="1">
        <v>12000</v>
      </c>
      <c r="AA920">
        <v>0</v>
      </c>
      <c r="AB920" t="str">
        <f t="shared" si="14"/>
        <v>Not Defaulter</v>
      </c>
      <c r="AC920" s="1">
        <f>Table2[[#This Row],[BILL_AMT1]]-Table2[[#This Row],[PAY_AMT1]]</f>
        <v>455770</v>
      </c>
      <c r="AD920" s="1" t="str" cm="1">
        <f t="array" ref="AD920">_xlfn.IFS(Table2[[#This Row],[PAYMENT GAP]]&lt;=0,"No Gap / Overpaid",Table2[[#This Row],[PAYMENT GAP]]&lt;=25000,"Low Gap",Table2[[#This Row],[PAYMENT GAP]]&lt;=100000,"Medium Gap",
TRUE,"High Gap"
)</f>
        <v>High Gap</v>
      </c>
    </row>
    <row r="921" spans="1:30" x14ac:dyDescent="0.3">
      <c r="A921">
        <v>920</v>
      </c>
      <c r="B921" s="1">
        <v>90000</v>
      </c>
      <c r="C921" s="1" t="str" cm="1">
        <f t="array" ref="C921">_xlfn.IFS(Table2[[#This Row],[LIMIT_BAL]]&lt;=100000,"Low",Table2[[#This Row],[LIMIT_BAL]]&lt;=300000,"Medium",
TRUE,"High"
)</f>
        <v>Low</v>
      </c>
      <c r="D921" t="s">
        <v>2041</v>
      </c>
      <c r="E921" t="s">
        <v>2026</v>
      </c>
      <c r="F921" t="s">
        <v>2029</v>
      </c>
      <c r="G921">
        <v>23</v>
      </c>
      <c r="H921" t="str" cm="1">
        <f t="array" ref="H921">_xlfn.IFS(
Table2[[#This Row],[AGE]]&lt;30,"Young",
Table2[[#This Row],[AGE]]&lt;40,"Middle Age",
Table2[[#This Row],[AGE]]&lt;50,"Senior",
TRUE,"Super Senior"
)</f>
        <v>Young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 s="1">
        <v>22109</v>
      </c>
      <c r="P921" s="1">
        <v>25011</v>
      </c>
      <c r="Q921" s="1">
        <v>29230</v>
      </c>
      <c r="R921" s="1">
        <v>32747</v>
      </c>
      <c r="S921" s="1">
        <v>38217</v>
      </c>
      <c r="T921" s="1">
        <v>43744</v>
      </c>
      <c r="U921" s="1">
        <v>6000</v>
      </c>
      <c r="V921" s="1">
        <v>5000</v>
      </c>
      <c r="W921" s="1">
        <v>4000</v>
      </c>
      <c r="X921" s="1">
        <v>6000</v>
      </c>
      <c r="Y921" s="1">
        <v>8000</v>
      </c>
      <c r="Z921" s="1">
        <v>4000</v>
      </c>
      <c r="AA921">
        <v>0</v>
      </c>
      <c r="AB921" t="str">
        <f t="shared" si="14"/>
        <v>Not Defaulter</v>
      </c>
      <c r="AC921" s="1">
        <f>Table2[[#This Row],[BILL_AMT1]]-Table2[[#This Row],[PAY_AMT1]]</f>
        <v>16109</v>
      </c>
      <c r="AD921" s="1" t="str" cm="1">
        <f t="array" ref="AD921">_xlfn.IFS(Table2[[#This Row],[PAYMENT GAP]]&lt;=0,"No Gap / Overpaid",Table2[[#This Row],[PAYMENT GAP]]&lt;=25000,"Low Gap",Table2[[#This Row],[PAYMENT GAP]]&lt;=100000,"Medium Gap",
TRUE,"High Gap"
)</f>
        <v>Low Gap</v>
      </c>
    </row>
    <row r="922" spans="1:30" x14ac:dyDescent="0.3">
      <c r="A922">
        <v>921</v>
      </c>
      <c r="B922" s="1">
        <v>260000</v>
      </c>
      <c r="C922" s="1" t="str" cm="1">
        <f t="array" ref="C922">_xlfn.IFS(Table2[[#This Row],[LIMIT_BAL]]&lt;=100000,"Low",Table2[[#This Row],[LIMIT_BAL]]&lt;=300000,"Medium",
TRUE,"High"
)</f>
        <v>Medium</v>
      </c>
      <c r="D922" t="s">
        <v>2041</v>
      </c>
      <c r="E922" t="s">
        <v>2026</v>
      </c>
      <c r="F922" t="s">
        <v>2029</v>
      </c>
      <c r="G922">
        <v>33</v>
      </c>
      <c r="H922" t="str" cm="1">
        <f t="array" ref="H922">_xlfn.IFS(
Table2[[#This Row],[AGE]]&lt;30,"Young",
Table2[[#This Row],[AGE]]&lt;40,"Middle Age",
Table2[[#This Row],[AGE]]&lt;50,"Senior",
TRUE,"Super Senior"
)</f>
        <v>Middle Age</v>
      </c>
      <c r="I922">
        <v>1</v>
      </c>
      <c r="J922">
        <v>-2</v>
      </c>
      <c r="K922">
        <v>-2</v>
      </c>
      <c r="L922">
        <v>-2</v>
      </c>
      <c r="M922">
        <v>-1</v>
      </c>
      <c r="N922">
        <v>-1</v>
      </c>
      <c r="O922" s="1">
        <v>0</v>
      </c>
      <c r="P922" s="1">
        <v>0</v>
      </c>
      <c r="Q922" s="1">
        <v>0</v>
      </c>
      <c r="R922" s="1">
        <v>0</v>
      </c>
      <c r="S922" s="1">
        <v>1980</v>
      </c>
      <c r="T922" s="1">
        <v>2500</v>
      </c>
      <c r="U922" s="1">
        <v>0</v>
      </c>
      <c r="V922" s="1">
        <v>0</v>
      </c>
      <c r="W922" s="1">
        <v>0</v>
      </c>
      <c r="X922" s="1">
        <v>1980</v>
      </c>
      <c r="Y922" s="1">
        <v>2500</v>
      </c>
      <c r="Z922" s="1">
        <v>0</v>
      </c>
      <c r="AA922">
        <v>0</v>
      </c>
      <c r="AB922" t="str">
        <f t="shared" si="14"/>
        <v>Not Defaulter</v>
      </c>
      <c r="AC922" s="1">
        <f>Table2[[#This Row],[BILL_AMT1]]-Table2[[#This Row],[PAY_AMT1]]</f>
        <v>0</v>
      </c>
      <c r="AD922" s="1" t="str" cm="1">
        <f t="array" ref="AD922">_xlfn.IFS(Table2[[#This Row],[PAYMENT GAP]]&lt;=0,"No Gap / Overpaid",Table2[[#This Row],[PAYMENT GAP]]&lt;=25000,"Low Gap",Table2[[#This Row],[PAYMENT GAP]]&lt;=100000,"Medium Gap",
TRUE,"High Gap"
)</f>
        <v>No Gap / Overpaid</v>
      </c>
    </row>
    <row r="923" spans="1:30" x14ac:dyDescent="0.3">
      <c r="A923">
        <v>922</v>
      </c>
      <c r="B923" s="1">
        <v>50000</v>
      </c>
      <c r="C923" s="1" t="str" cm="1">
        <f t="array" ref="C923">_xlfn.IFS(Table2[[#This Row],[LIMIT_BAL]]&lt;=100000,"Low",Table2[[#This Row],[LIMIT_BAL]]&lt;=300000,"Medium",
TRUE,"High"
)</f>
        <v>Low</v>
      </c>
      <c r="D923" t="s">
        <v>2041</v>
      </c>
      <c r="E923" t="s">
        <v>2026</v>
      </c>
      <c r="F923" t="s">
        <v>2029</v>
      </c>
      <c r="G923">
        <v>24</v>
      </c>
      <c r="H923" t="str" cm="1">
        <f t="array" ref="H923">_xlfn.IFS(
Table2[[#This Row],[AGE]]&lt;30,"Young",
Table2[[#This Row],[AGE]]&lt;40,"Middle Age",
Table2[[#This Row],[AGE]]&lt;50,"Senior",
TRUE,"Super Senior"
)</f>
        <v>Young</v>
      </c>
      <c r="I923">
        <v>0</v>
      </c>
      <c r="J923">
        <v>0</v>
      </c>
      <c r="K923">
        <v>0</v>
      </c>
      <c r="L923">
        <v>2</v>
      </c>
      <c r="M923">
        <v>0</v>
      </c>
      <c r="N923">
        <v>0</v>
      </c>
      <c r="O923" s="1">
        <v>27245</v>
      </c>
      <c r="P923" s="1">
        <v>28300</v>
      </c>
      <c r="Q923" s="1">
        <v>31900</v>
      </c>
      <c r="R923" s="1">
        <v>31090</v>
      </c>
      <c r="S923" s="1">
        <v>31837</v>
      </c>
      <c r="T923" s="1">
        <v>32555</v>
      </c>
      <c r="U923" s="1">
        <v>1800</v>
      </c>
      <c r="V923" s="1">
        <v>4400</v>
      </c>
      <c r="W923" s="1">
        <v>0</v>
      </c>
      <c r="X923" s="1">
        <v>1400</v>
      </c>
      <c r="Y923" s="1">
        <v>1400</v>
      </c>
      <c r="Z923" s="1">
        <v>1400</v>
      </c>
      <c r="AA923">
        <v>0</v>
      </c>
      <c r="AB923" t="str">
        <f t="shared" si="14"/>
        <v>Not Defaulter</v>
      </c>
      <c r="AC923" s="1">
        <f>Table2[[#This Row],[BILL_AMT1]]-Table2[[#This Row],[PAY_AMT1]]</f>
        <v>25445</v>
      </c>
      <c r="AD923" s="1" t="str" cm="1">
        <f t="array" ref="AD923">_xlfn.IFS(Table2[[#This Row],[PAYMENT GAP]]&lt;=0,"No Gap / Overpaid",Table2[[#This Row],[PAYMENT GAP]]&lt;=25000,"Low Gap",Table2[[#This Row],[PAYMENT GAP]]&lt;=100000,"Medium Gap",
TRUE,"High Gap"
)</f>
        <v>Medium Gap</v>
      </c>
    </row>
    <row r="924" spans="1:30" x14ac:dyDescent="0.3">
      <c r="A924">
        <v>923</v>
      </c>
      <c r="B924" s="1">
        <v>110000</v>
      </c>
      <c r="C924" s="1" t="str" cm="1">
        <f t="array" ref="C924">_xlfn.IFS(Table2[[#This Row],[LIMIT_BAL]]&lt;=100000,"Low",Table2[[#This Row],[LIMIT_BAL]]&lt;=300000,"Medium",
TRUE,"High"
)</f>
        <v>Medium</v>
      </c>
      <c r="D924" t="s">
        <v>2042</v>
      </c>
      <c r="E924" t="s">
        <v>2026</v>
      </c>
      <c r="F924" t="s">
        <v>2028</v>
      </c>
      <c r="G924">
        <v>40</v>
      </c>
      <c r="H924" t="str" cm="1">
        <f t="array" ref="H924">_xlfn.IFS(
Table2[[#This Row],[AGE]]&lt;30,"Young",
Table2[[#This Row],[AGE]]&lt;40,"Middle Age",
Table2[[#This Row],[AGE]]&lt;50,"Senior",
TRUE,"Super Senior"
)</f>
        <v>Senior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s="1">
        <v>8481</v>
      </c>
      <c r="P924" s="1">
        <v>13066</v>
      </c>
      <c r="Q924" s="1">
        <v>17638</v>
      </c>
      <c r="R924" s="1">
        <v>22204</v>
      </c>
      <c r="S924" s="1">
        <v>26784</v>
      </c>
      <c r="T924" s="1">
        <v>31352</v>
      </c>
      <c r="U924" s="1">
        <v>4980</v>
      </c>
      <c r="V924" s="1">
        <v>5124</v>
      </c>
      <c r="W924" s="1">
        <v>5256</v>
      </c>
      <c r="X924" s="1">
        <v>5416</v>
      </c>
      <c r="Y924" s="1">
        <v>5552</v>
      </c>
      <c r="Z924" s="1">
        <v>5742</v>
      </c>
      <c r="AA924">
        <v>0</v>
      </c>
      <c r="AB924" t="str">
        <f t="shared" si="14"/>
        <v>Not Defaulter</v>
      </c>
      <c r="AC924" s="1">
        <f>Table2[[#This Row],[BILL_AMT1]]-Table2[[#This Row],[PAY_AMT1]]</f>
        <v>3501</v>
      </c>
      <c r="AD924" s="1" t="str" cm="1">
        <f t="array" ref="AD924">_xlfn.IFS(Table2[[#This Row],[PAYMENT GAP]]&lt;=0,"No Gap / Overpaid",Table2[[#This Row],[PAYMENT GAP]]&lt;=25000,"Low Gap",Table2[[#This Row],[PAYMENT GAP]]&lt;=100000,"Medium Gap",
TRUE,"High Gap"
)</f>
        <v>Low Gap</v>
      </c>
    </row>
    <row r="925" spans="1:30" x14ac:dyDescent="0.3">
      <c r="A925">
        <v>924</v>
      </c>
      <c r="B925" s="1">
        <v>20000</v>
      </c>
      <c r="C925" s="1" t="str" cm="1">
        <f t="array" ref="C925">_xlfn.IFS(Table2[[#This Row],[LIMIT_BAL]]&lt;=100000,"Low",Table2[[#This Row],[LIMIT_BAL]]&lt;=300000,"Medium",
TRUE,"High"
)</f>
        <v>Low</v>
      </c>
      <c r="D925" t="s">
        <v>2041</v>
      </c>
      <c r="E925" t="s">
        <v>2026</v>
      </c>
      <c r="F925" t="s">
        <v>2029</v>
      </c>
      <c r="G925">
        <v>24</v>
      </c>
      <c r="H925" t="str" cm="1">
        <f t="array" ref="H925">_xlfn.IFS(
Table2[[#This Row],[AGE]]&lt;30,"Young",
Table2[[#This Row],[AGE]]&lt;40,"Middle Age",
Table2[[#This Row],[AGE]]&lt;50,"Senior",
TRUE,"Super Senior"
)</f>
        <v>Young</v>
      </c>
      <c r="I925">
        <v>-1</v>
      </c>
      <c r="J925">
        <v>-1</v>
      </c>
      <c r="K925">
        <v>2</v>
      </c>
      <c r="L925">
        <v>-1</v>
      </c>
      <c r="M925">
        <v>0</v>
      </c>
      <c r="N925">
        <v>-1</v>
      </c>
      <c r="O925" s="1">
        <v>1371</v>
      </c>
      <c r="P925" s="1">
        <v>796</v>
      </c>
      <c r="Q925" s="1">
        <v>398</v>
      </c>
      <c r="R925" s="1">
        <v>796</v>
      </c>
      <c r="S925" s="1">
        <v>398</v>
      </c>
      <c r="T925" s="1">
        <v>716</v>
      </c>
      <c r="U925" s="1">
        <v>796</v>
      </c>
      <c r="V925" s="1">
        <v>0</v>
      </c>
      <c r="W925" s="1">
        <v>796</v>
      </c>
      <c r="X925" s="1">
        <v>0</v>
      </c>
      <c r="Y925" s="1">
        <v>716</v>
      </c>
      <c r="Z925" s="1">
        <v>12111</v>
      </c>
      <c r="AA925">
        <v>0</v>
      </c>
      <c r="AB925" t="str">
        <f t="shared" si="14"/>
        <v>Not Defaulter</v>
      </c>
      <c r="AC925" s="1">
        <f>Table2[[#This Row],[BILL_AMT1]]-Table2[[#This Row],[PAY_AMT1]]</f>
        <v>575</v>
      </c>
      <c r="AD925" s="1" t="str" cm="1">
        <f t="array" ref="AD925">_xlfn.IFS(Table2[[#This Row],[PAYMENT GAP]]&lt;=0,"No Gap / Overpaid",Table2[[#This Row],[PAYMENT GAP]]&lt;=25000,"Low Gap",Table2[[#This Row],[PAYMENT GAP]]&lt;=100000,"Medium Gap",
TRUE,"High Gap"
)</f>
        <v>Low Gap</v>
      </c>
    </row>
    <row r="926" spans="1:30" x14ac:dyDescent="0.3">
      <c r="A926">
        <v>925</v>
      </c>
      <c r="B926" s="1">
        <v>30000</v>
      </c>
      <c r="C926" s="1" t="str" cm="1">
        <f t="array" ref="C926">_xlfn.IFS(Table2[[#This Row],[LIMIT_BAL]]&lt;=100000,"Low",Table2[[#This Row],[LIMIT_BAL]]&lt;=300000,"Medium",
TRUE,"High"
)</f>
        <v>Low</v>
      </c>
      <c r="D926" t="s">
        <v>2041</v>
      </c>
      <c r="E926" t="s">
        <v>2043</v>
      </c>
      <c r="F926" t="s">
        <v>2029</v>
      </c>
      <c r="G926">
        <v>24</v>
      </c>
      <c r="H926" t="str" cm="1">
        <f t="array" ref="H926">_xlfn.IFS(
Table2[[#This Row],[AGE]]&lt;30,"Young",
Table2[[#This Row],[AGE]]&lt;40,"Middle Age",
Table2[[#This Row],[AGE]]&lt;50,"Senior",
TRUE,"Super Senior"
)</f>
        <v>Young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 s="1">
        <v>27391</v>
      </c>
      <c r="P926" s="1">
        <v>28412</v>
      </c>
      <c r="Q926" s="1">
        <v>28575</v>
      </c>
      <c r="R926" s="1">
        <v>28925</v>
      </c>
      <c r="S926" s="1">
        <v>24159</v>
      </c>
      <c r="T926" s="1">
        <v>0</v>
      </c>
      <c r="U926" s="1">
        <v>1767</v>
      </c>
      <c r="V926" s="1">
        <v>1700</v>
      </c>
      <c r="W926" s="1">
        <v>1010</v>
      </c>
      <c r="X926" s="1">
        <v>1141</v>
      </c>
      <c r="Y926" s="1">
        <v>0</v>
      </c>
      <c r="Z926" s="1">
        <v>0</v>
      </c>
      <c r="AA926">
        <v>0</v>
      </c>
      <c r="AB926" t="str">
        <f t="shared" si="14"/>
        <v>Not Defaulter</v>
      </c>
      <c r="AC926" s="1">
        <f>Table2[[#This Row],[BILL_AMT1]]-Table2[[#This Row],[PAY_AMT1]]</f>
        <v>25624</v>
      </c>
      <c r="AD926" s="1" t="str" cm="1">
        <f t="array" ref="AD926">_xlfn.IFS(Table2[[#This Row],[PAYMENT GAP]]&lt;=0,"No Gap / Overpaid",Table2[[#This Row],[PAYMENT GAP]]&lt;=25000,"Low Gap",Table2[[#This Row],[PAYMENT GAP]]&lt;=100000,"Medium Gap",
TRUE,"High Gap"
)</f>
        <v>Medium Gap</v>
      </c>
    </row>
    <row r="927" spans="1:30" x14ac:dyDescent="0.3">
      <c r="A927">
        <v>926</v>
      </c>
      <c r="B927" s="1">
        <v>180000</v>
      </c>
      <c r="C927" s="1" t="str" cm="1">
        <f t="array" ref="C927">_xlfn.IFS(Table2[[#This Row],[LIMIT_BAL]]&lt;=100000,"Low",Table2[[#This Row],[LIMIT_BAL]]&lt;=300000,"Medium",
TRUE,"High"
)</f>
        <v>Medium</v>
      </c>
      <c r="D927" t="s">
        <v>2042</v>
      </c>
      <c r="E927" t="s">
        <v>2026</v>
      </c>
      <c r="F927" t="s">
        <v>2029</v>
      </c>
      <c r="G927">
        <v>27</v>
      </c>
      <c r="H927" t="str" cm="1">
        <f t="array" ref="H927">_xlfn.IFS(
Table2[[#This Row],[AGE]]&lt;30,"Young",
Table2[[#This Row],[AGE]]&lt;40,"Middle Age",
Table2[[#This Row],[AGE]]&lt;50,"Senior",
TRUE,"Super Senior"
)</f>
        <v>Young</v>
      </c>
      <c r="I927">
        <v>-2</v>
      </c>
      <c r="J927">
        <v>-1</v>
      </c>
      <c r="K927">
        <v>2</v>
      </c>
      <c r="L927">
        <v>2</v>
      </c>
      <c r="M927">
        <v>-2</v>
      </c>
      <c r="N927">
        <v>-2</v>
      </c>
      <c r="O927" s="1">
        <v>11392</v>
      </c>
      <c r="P927" s="1">
        <v>14688</v>
      </c>
      <c r="Q927" s="1">
        <v>14040</v>
      </c>
      <c r="R927" s="1">
        <v>13440</v>
      </c>
      <c r="S927" s="1">
        <v>13440</v>
      </c>
      <c r="T927" s="1">
        <v>13080</v>
      </c>
      <c r="U927" s="1">
        <v>3500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>
        <v>1</v>
      </c>
      <c r="AB927" t="str">
        <f t="shared" si="14"/>
        <v>Defaulter</v>
      </c>
      <c r="AC927" s="1">
        <f>Table2[[#This Row],[BILL_AMT1]]-Table2[[#This Row],[PAY_AMT1]]</f>
        <v>7892</v>
      </c>
      <c r="AD927" s="1" t="str" cm="1">
        <f t="array" ref="AD927">_xlfn.IFS(Table2[[#This Row],[PAYMENT GAP]]&lt;=0,"No Gap / Overpaid",Table2[[#This Row],[PAYMENT GAP]]&lt;=25000,"Low Gap",Table2[[#This Row],[PAYMENT GAP]]&lt;=100000,"Medium Gap",
TRUE,"High Gap"
)</f>
        <v>Low Gap</v>
      </c>
    </row>
    <row r="928" spans="1:30" x14ac:dyDescent="0.3">
      <c r="A928">
        <v>927</v>
      </c>
      <c r="B928" s="1">
        <v>20000</v>
      </c>
      <c r="C928" s="1" t="str" cm="1">
        <f t="array" ref="C928">_xlfn.IFS(Table2[[#This Row],[LIMIT_BAL]]&lt;=100000,"Low",Table2[[#This Row],[LIMIT_BAL]]&lt;=300000,"Medium",
TRUE,"High"
)</f>
        <v>Low</v>
      </c>
      <c r="D928" t="s">
        <v>2042</v>
      </c>
      <c r="E928" t="s">
        <v>2043</v>
      </c>
      <c r="F928" t="s">
        <v>2028</v>
      </c>
      <c r="G928">
        <v>46</v>
      </c>
      <c r="H928" t="str" cm="1">
        <f t="array" ref="H928">_xlfn.IFS(
Table2[[#This Row],[AGE]]&lt;30,"Young",
Table2[[#This Row],[AGE]]&lt;40,"Middle Age",
Table2[[#This Row],[AGE]]&lt;50,"Senior",
TRUE,"Super Senior"
)</f>
        <v>Senior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 s="1">
        <v>5902</v>
      </c>
      <c r="P928" s="1">
        <v>6767</v>
      </c>
      <c r="Q928" s="1">
        <v>8145</v>
      </c>
      <c r="R928" s="1">
        <v>8153</v>
      </c>
      <c r="S928" s="1">
        <v>8324</v>
      </c>
      <c r="T928" s="1">
        <v>8490</v>
      </c>
      <c r="U928" s="1">
        <v>1122</v>
      </c>
      <c r="V928" s="1">
        <v>1500</v>
      </c>
      <c r="W928" s="1">
        <v>291</v>
      </c>
      <c r="X928" s="1">
        <v>302</v>
      </c>
      <c r="Y928" s="1">
        <v>304</v>
      </c>
      <c r="Z928" s="1">
        <v>319</v>
      </c>
      <c r="AA928">
        <v>0</v>
      </c>
      <c r="AB928" t="str">
        <f t="shared" si="14"/>
        <v>Not Defaulter</v>
      </c>
      <c r="AC928" s="1">
        <f>Table2[[#This Row],[BILL_AMT1]]-Table2[[#This Row],[PAY_AMT1]]</f>
        <v>4780</v>
      </c>
      <c r="AD928" s="1" t="str" cm="1">
        <f t="array" ref="AD928">_xlfn.IFS(Table2[[#This Row],[PAYMENT GAP]]&lt;=0,"No Gap / Overpaid",Table2[[#This Row],[PAYMENT GAP]]&lt;=25000,"Low Gap",Table2[[#This Row],[PAYMENT GAP]]&lt;=100000,"Medium Gap",
TRUE,"High Gap"
)</f>
        <v>Low Gap</v>
      </c>
    </row>
    <row r="929" spans="1:30" x14ac:dyDescent="0.3">
      <c r="A929">
        <v>928</v>
      </c>
      <c r="B929" s="1">
        <v>50000</v>
      </c>
      <c r="C929" s="1" t="str" cm="1">
        <f t="array" ref="C929">_xlfn.IFS(Table2[[#This Row],[LIMIT_BAL]]&lt;=100000,"Low",Table2[[#This Row],[LIMIT_BAL]]&lt;=300000,"Medium",
TRUE,"High"
)</f>
        <v>Low</v>
      </c>
      <c r="D929" t="s">
        <v>2041</v>
      </c>
      <c r="E929" t="s">
        <v>2043</v>
      </c>
      <c r="F929" t="s">
        <v>2029</v>
      </c>
      <c r="G929">
        <v>22</v>
      </c>
      <c r="H929" t="str" cm="1">
        <f t="array" ref="H929">_xlfn.IFS(
Table2[[#This Row],[AGE]]&lt;30,"Young",
Table2[[#This Row],[AGE]]&lt;40,"Middle Age",
Table2[[#This Row],[AGE]]&lt;50,"Senior",
TRUE,"Super Senior"
)</f>
        <v>Young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 s="1">
        <v>50342</v>
      </c>
      <c r="P929" s="1">
        <v>50482</v>
      </c>
      <c r="Q929" s="1">
        <v>49217</v>
      </c>
      <c r="R929" s="1">
        <v>40882</v>
      </c>
      <c r="S929" s="1">
        <v>20258</v>
      </c>
      <c r="T929" s="1">
        <v>20303</v>
      </c>
      <c r="U929" s="1">
        <v>1896</v>
      </c>
      <c r="V929" s="1">
        <v>1656</v>
      </c>
      <c r="W929" s="1">
        <v>1750</v>
      </c>
      <c r="X929" s="1">
        <v>717</v>
      </c>
      <c r="Y929" s="1">
        <v>753</v>
      </c>
      <c r="Z929" s="1">
        <v>1000</v>
      </c>
      <c r="AA929">
        <v>0</v>
      </c>
      <c r="AB929" t="str">
        <f t="shared" si="14"/>
        <v>Not Defaulter</v>
      </c>
      <c r="AC929" s="1">
        <f>Table2[[#This Row],[BILL_AMT1]]-Table2[[#This Row],[PAY_AMT1]]</f>
        <v>48446</v>
      </c>
      <c r="AD929" s="1" t="str" cm="1">
        <f t="array" ref="AD929">_xlfn.IFS(Table2[[#This Row],[PAYMENT GAP]]&lt;=0,"No Gap / Overpaid",Table2[[#This Row],[PAYMENT GAP]]&lt;=25000,"Low Gap",Table2[[#This Row],[PAYMENT GAP]]&lt;=100000,"Medium Gap",
TRUE,"High Gap"
)</f>
        <v>Medium Gap</v>
      </c>
    </row>
    <row r="930" spans="1:30" x14ac:dyDescent="0.3">
      <c r="A930">
        <v>929</v>
      </c>
      <c r="B930" s="1">
        <v>180000</v>
      </c>
      <c r="C930" s="1" t="str" cm="1">
        <f t="array" ref="C930">_xlfn.IFS(Table2[[#This Row],[LIMIT_BAL]]&lt;=100000,"Low",Table2[[#This Row],[LIMIT_BAL]]&lt;=300000,"Medium",
TRUE,"High"
)</f>
        <v>Medium</v>
      </c>
      <c r="D930" t="s">
        <v>2041</v>
      </c>
      <c r="E930" t="s">
        <v>2026</v>
      </c>
      <c r="F930" t="s">
        <v>2029</v>
      </c>
      <c r="G930">
        <v>36</v>
      </c>
      <c r="H930" t="str" cm="1">
        <f t="array" ref="H930">_xlfn.IFS(
Table2[[#This Row],[AGE]]&lt;30,"Young",
Table2[[#This Row],[AGE]]&lt;40,"Middle Age",
Table2[[#This Row],[AGE]]&lt;50,"Senior",
TRUE,"Super Senior"
)</f>
        <v>Middle Age</v>
      </c>
      <c r="I930">
        <v>-2</v>
      </c>
      <c r="J930">
        <v>-2</v>
      </c>
      <c r="K930">
        <v>-2</v>
      </c>
      <c r="L930">
        <v>-2</v>
      </c>
      <c r="M930">
        <v>-2</v>
      </c>
      <c r="N930">
        <v>-2</v>
      </c>
      <c r="O930" s="1">
        <v>10737</v>
      </c>
      <c r="P930" s="1">
        <v>21197</v>
      </c>
      <c r="Q930" s="1">
        <v>11936</v>
      </c>
      <c r="R930" s="1">
        <v>40420</v>
      </c>
      <c r="S930" s="1">
        <v>9210</v>
      </c>
      <c r="T930" s="1">
        <v>17795</v>
      </c>
      <c r="U930" s="1">
        <v>21197</v>
      </c>
      <c r="V930" s="1">
        <v>11936</v>
      </c>
      <c r="W930" s="1">
        <v>40420</v>
      </c>
      <c r="X930" s="1">
        <v>9210</v>
      </c>
      <c r="Y930" s="1">
        <v>17795</v>
      </c>
      <c r="Z930" s="1">
        <v>6915</v>
      </c>
      <c r="AA930">
        <v>0</v>
      </c>
      <c r="AB930" t="str">
        <f t="shared" si="14"/>
        <v>Not Defaulter</v>
      </c>
      <c r="AC930" s="1">
        <f>Table2[[#This Row],[BILL_AMT1]]-Table2[[#This Row],[PAY_AMT1]]</f>
        <v>-10460</v>
      </c>
      <c r="AD930" s="1" t="str" cm="1">
        <f t="array" ref="AD930">_xlfn.IFS(Table2[[#This Row],[PAYMENT GAP]]&lt;=0,"No Gap / Overpaid",Table2[[#This Row],[PAYMENT GAP]]&lt;=25000,"Low Gap",Table2[[#This Row],[PAYMENT GAP]]&lt;=100000,"Medium Gap",
TRUE,"High Gap"
)</f>
        <v>No Gap / Overpaid</v>
      </c>
    </row>
    <row r="931" spans="1:30" x14ac:dyDescent="0.3">
      <c r="A931">
        <v>930</v>
      </c>
      <c r="B931" s="1">
        <v>200000</v>
      </c>
      <c r="C931" s="1" t="str" cm="1">
        <f t="array" ref="C931">_xlfn.IFS(Table2[[#This Row],[LIMIT_BAL]]&lt;=100000,"Low",Table2[[#This Row],[LIMIT_BAL]]&lt;=300000,"Medium",
TRUE,"High"
)</f>
        <v>Medium</v>
      </c>
      <c r="D931" t="s">
        <v>2042</v>
      </c>
      <c r="E931" t="s">
        <v>2026</v>
      </c>
      <c r="F931" t="s">
        <v>2028</v>
      </c>
      <c r="G931">
        <v>34</v>
      </c>
      <c r="H931" t="str" cm="1">
        <f t="array" ref="H931">_xlfn.IFS(
Table2[[#This Row],[AGE]]&lt;30,"Young",
Table2[[#This Row],[AGE]]&lt;40,"Middle Age",
Table2[[#This Row],[AGE]]&lt;50,"Senior",
TRUE,"Super Senior"
)</f>
        <v>Middle Age</v>
      </c>
      <c r="I931">
        <v>-2</v>
      </c>
      <c r="J931">
        <v>-2</v>
      </c>
      <c r="K931">
        <v>-2</v>
      </c>
      <c r="L931">
        <v>-2</v>
      </c>
      <c r="M931">
        <v>-2</v>
      </c>
      <c r="N931">
        <v>-2</v>
      </c>
      <c r="O931" s="1">
        <v>1242</v>
      </c>
      <c r="P931" s="1">
        <v>4006</v>
      </c>
      <c r="Q931" s="1">
        <v>941</v>
      </c>
      <c r="R931" s="1">
        <v>2357</v>
      </c>
      <c r="S931" s="1">
        <v>2945</v>
      </c>
      <c r="T931" s="1">
        <v>1143</v>
      </c>
      <c r="U931" s="1">
        <v>4034</v>
      </c>
      <c r="V931" s="1">
        <v>945</v>
      </c>
      <c r="W931" s="1">
        <v>2366</v>
      </c>
      <c r="X931" s="1">
        <v>2947</v>
      </c>
      <c r="Y931" s="1">
        <v>1143</v>
      </c>
      <c r="Z931" s="1">
        <v>744</v>
      </c>
      <c r="AA931">
        <v>0</v>
      </c>
      <c r="AB931" t="str">
        <f t="shared" si="14"/>
        <v>Not Defaulter</v>
      </c>
      <c r="AC931" s="1">
        <f>Table2[[#This Row],[BILL_AMT1]]-Table2[[#This Row],[PAY_AMT1]]</f>
        <v>-2792</v>
      </c>
      <c r="AD931" s="1" t="str" cm="1">
        <f t="array" ref="AD931">_xlfn.IFS(Table2[[#This Row],[PAYMENT GAP]]&lt;=0,"No Gap / Overpaid",Table2[[#This Row],[PAYMENT GAP]]&lt;=25000,"Low Gap",Table2[[#This Row],[PAYMENT GAP]]&lt;=100000,"Medium Gap",
TRUE,"High Gap"
)</f>
        <v>No Gap / Overpaid</v>
      </c>
    </row>
    <row r="932" spans="1:30" x14ac:dyDescent="0.3">
      <c r="A932">
        <v>931</v>
      </c>
      <c r="B932" s="1">
        <v>260000</v>
      </c>
      <c r="C932" s="1" t="str" cm="1">
        <f t="array" ref="C932">_xlfn.IFS(Table2[[#This Row],[LIMIT_BAL]]&lt;=100000,"Low",Table2[[#This Row],[LIMIT_BAL]]&lt;=300000,"Medium",
TRUE,"High"
)</f>
        <v>Medium</v>
      </c>
      <c r="D932" t="s">
        <v>2041</v>
      </c>
      <c r="E932" t="s">
        <v>2043</v>
      </c>
      <c r="F932" t="s">
        <v>2029</v>
      </c>
      <c r="G932">
        <v>24</v>
      </c>
      <c r="H932" t="str" cm="1">
        <f t="array" ref="H932">_xlfn.IFS(
Table2[[#This Row],[AGE]]&lt;30,"Young",
Table2[[#This Row],[AGE]]&lt;40,"Middle Age",
Table2[[#This Row],[AGE]]&lt;50,"Senior",
TRUE,"Super Senior"
)</f>
        <v>Young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 s="1">
        <v>68411</v>
      </c>
      <c r="P932" s="1">
        <v>60386</v>
      </c>
      <c r="Q932" s="1">
        <v>48663</v>
      </c>
      <c r="R932" s="1">
        <v>50998</v>
      </c>
      <c r="S932" s="1">
        <v>53835</v>
      </c>
      <c r="T932" s="1">
        <v>56728</v>
      </c>
      <c r="U932" s="1">
        <v>2500</v>
      </c>
      <c r="V932" s="1">
        <v>4000</v>
      </c>
      <c r="W932" s="1">
        <v>4000</v>
      </c>
      <c r="X932" s="1">
        <v>3835</v>
      </c>
      <c r="Y932" s="1">
        <v>3805</v>
      </c>
      <c r="Z932" s="1">
        <v>3000</v>
      </c>
      <c r="AA932">
        <v>0</v>
      </c>
      <c r="AB932" t="str">
        <f t="shared" si="14"/>
        <v>Not Defaulter</v>
      </c>
      <c r="AC932" s="1">
        <f>Table2[[#This Row],[BILL_AMT1]]-Table2[[#This Row],[PAY_AMT1]]</f>
        <v>65911</v>
      </c>
      <c r="AD932" s="1" t="str" cm="1">
        <f t="array" ref="AD932">_xlfn.IFS(Table2[[#This Row],[PAYMENT GAP]]&lt;=0,"No Gap / Overpaid",Table2[[#This Row],[PAYMENT GAP]]&lt;=25000,"Low Gap",Table2[[#This Row],[PAYMENT GAP]]&lt;=100000,"Medium Gap",
TRUE,"High Gap"
)</f>
        <v>Medium Gap</v>
      </c>
    </row>
    <row r="933" spans="1:30" x14ac:dyDescent="0.3">
      <c r="A933">
        <v>932</v>
      </c>
      <c r="B933" s="1">
        <v>320000</v>
      </c>
      <c r="C933" s="1" t="str" cm="1">
        <f t="array" ref="C933">_xlfn.IFS(Table2[[#This Row],[LIMIT_BAL]]&lt;=100000,"Low",Table2[[#This Row],[LIMIT_BAL]]&lt;=300000,"Medium",
TRUE,"High"
)</f>
        <v>High</v>
      </c>
      <c r="D933" t="s">
        <v>2042</v>
      </c>
      <c r="E933" t="s">
        <v>2026</v>
      </c>
      <c r="F933" t="s">
        <v>2028</v>
      </c>
      <c r="G933">
        <v>60</v>
      </c>
      <c r="H933" t="str" cm="1">
        <f t="array" ref="H933">_xlfn.IFS(
Table2[[#This Row],[AGE]]&lt;30,"Young",
Table2[[#This Row],[AGE]]&lt;40,"Middle Age",
Table2[[#This Row],[AGE]]&lt;50,"Senior",
TRUE,"Super Senior"
)</f>
        <v>Super Senior</v>
      </c>
      <c r="I933">
        <v>-1</v>
      </c>
      <c r="J933">
        <v>-1</v>
      </c>
      <c r="K933">
        <v>-1</v>
      </c>
      <c r="L933">
        <v>-1</v>
      </c>
      <c r="M933">
        <v>0</v>
      </c>
      <c r="N933">
        <v>-1</v>
      </c>
      <c r="O933" s="1">
        <v>9955</v>
      </c>
      <c r="P933" s="1">
        <v>3465</v>
      </c>
      <c r="Q933" s="1">
        <v>84421</v>
      </c>
      <c r="R933" s="1">
        <v>886</v>
      </c>
      <c r="S933" s="1">
        <v>11741</v>
      </c>
      <c r="T933" s="1">
        <v>4317</v>
      </c>
      <c r="U933" s="1">
        <v>3465</v>
      </c>
      <c r="V933" s="1">
        <v>84440</v>
      </c>
      <c r="W933" s="1">
        <v>886</v>
      </c>
      <c r="X933" s="1">
        <v>11533</v>
      </c>
      <c r="Y933" s="1">
        <v>4317</v>
      </c>
      <c r="Z933" s="1">
        <v>52466</v>
      </c>
      <c r="AA933">
        <v>1</v>
      </c>
      <c r="AB933" t="str">
        <f t="shared" si="14"/>
        <v>Defaulter</v>
      </c>
      <c r="AC933" s="1">
        <f>Table2[[#This Row],[BILL_AMT1]]-Table2[[#This Row],[PAY_AMT1]]</f>
        <v>6490</v>
      </c>
      <c r="AD933" s="1" t="str" cm="1">
        <f t="array" ref="AD933">_xlfn.IFS(Table2[[#This Row],[PAYMENT GAP]]&lt;=0,"No Gap / Overpaid",Table2[[#This Row],[PAYMENT GAP]]&lt;=25000,"Low Gap",Table2[[#This Row],[PAYMENT GAP]]&lt;=100000,"Medium Gap",
TRUE,"High Gap"
)</f>
        <v>Low Gap</v>
      </c>
    </row>
    <row r="934" spans="1:30" x14ac:dyDescent="0.3">
      <c r="A934">
        <v>933</v>
      </c>
      <c r="B934" s="1">
        <v>160000</v>
      </c>
      <c r="C934" s="1" t="str" cm="1">
        <f t="array" ref="C934">_xlfn.IFS(Table2[[#This Row],[LIMIT_BAL]]&lt;=100000,"Low",Table2[[#This Row],[LIMIT_BAL]]&lt;=300000,"Medium",
TRUE,"High"
)</f>
        <v>Medium</v>
      </c>
      <c r="D934" t="s">
        <v>2041</v>
      </c>
      <c r="E934" t="s">
        <v>2043</v>
      </c>
      <c r="F934" t="s">
        <v>2029</v>
      </c>
      <c r="G934">
        <v>29</v>
      </c>
      <c r="H934" t="str" cm="1">
        <f t="array" ref="H934">_xlfn.IFS(
Table2[[#This Row],[AGE]]&lt;30,"Young",
Table2[[#This Row],[AGE]]&lt;40,"Middle Age",
Table2[[#This Row],[AGE]]&lt;50,"Senior",
TRUE,"Super Senior"
)</f>
        <v>Young</v>
      </c>
      <c r="I934">
        <v>2</v>
      </c>
      <c r="J934">
        <v>2</v>
      </c>
      <c r="K934">
        <v>-1</v>
      </c>
      <c r="L934">
        <v>-1</v>
      </c>
      <c r="M934">
        <v>-1</v>
      </c>
      <c r="N934">
        <v>-1</v>
      </c>
      <c r="O934" s="1">
        <v>1989</v>
      </c>
      <c r="P934" s="1">
        <v>-8</v>
      </c>
      <c r="Q934" s="1">
        <v>866</v>
      </c>
      <c r="R934" s="1">
        <v>0</v>
      </c>
      <c r="S934" s="1">
        <v>892</v>
      </c>
      <c r="T934" s="1">
        <v>0</v>
      </c>
      <c r="U934" s="1">
        <v>0</v>
      </c>
      <c r="V934" s="1">
        <v>874</v>
      </c>
      <c r="W934" s="1">
        <v>0</v>
      </c>
      <c r="X934" s="1">
        <v>892</v>
      </c>
      <c r="Y934" s="1">
        <v>0</v>
      </c>
      <c r="Z934" s="1">
        <v>594</v>
      </c>
      <c r="AA934">
        <v>1</v>
      </c>
      <c r="AB934" t="str">
        <f t="shared" si="14"/>
        <v>Defaulter</v>
      </c>
      <c r="AC934" s="1">
        <f>Table2[[#This Row],[BILL_AMT1]]-Table2[[#This Row],[PAY_AMT1]]</f>
        <v>1989</v>
      </c>
      <c r="AD934" s="1" t="str" cm="1">
        <f t="array" ref="AD934">_xlfn.IFS(Table2[[#This Row],[PAYMENT GAP]]&lt;=0,"No Gap / Overpaid",Table2[[#This Row],[PAYMENT GAP]]&lt;=25000,"Low Gap",Table2[[#This Row],[PAYMENT GAP]]&lt;=100000,"Medium Gap",
TRUE,"High Gap"
)</f>
        <v>Low Gap</v>
      </c>
    </row>
    <row r="935" spans="1:30" x14ac:dyDescent="0.3">
      <c r="A935">
        <v>934</v>
      </c>
      <c r="B935" s="1">
        <v>30000</v>
      </c>
      <c r="C935" s="1" t="str" cm="1">
        <f t="array" ref="C935">_xlfn.IFS(Table2[[#This Row],[LIMIT_BAL]]&lt;=100000,"Low",Table2[[#This Row],[LIMIT_BAL]]&lt;=300000,"Medium",
TRUE,"High"
)</f>
        <v>Low</v>
      </c>
      <c r="D935" t="s">
        <v>2042</v>
      </c>
      <c r="E935" t="s">
        <v>2043</v>
      </c>
      <c r="F935" t="s">
        <v>2029</v>
      </c>
      <c r="G935">
        <v>32</v>
      </c>
      <c r="H935" t="str" cm="1">
        <f t="array" ref="H935">_xlfn.IFS(
Table2[[#This Row],[AGE]]&lt;30,"Young",
Table2[[#This Row],[AGE]]&lt;40,"Middle Age",
Table2[[#This Row],[AGE]]&lt;50,"Senior",
TRUE,"Super Senior"
)</f>
        <v>Middle Age</v>
      </c>
      <c r="I935">
        <v>2</v>
      </c>
      <c r="J935">
        <v>0</v>
      </c>
      <c r="K935">
        <v>0</v>
      </c>
      <c r="L935">
        <v>2</v>
      </c>
      <c r="M935">
        <v>2</v>
      </c>
      <c r="N935">
        <v>2</v>
      </c>
      <c r="O935" s="1">
        <v>7851</v>
      </c>
      <c r="P935" s="1">
        <v>9065</v>
      </c>
      <c r="Q935" s="1">
        <v>11595</v>
      </c>
      <c r="R935" s="1">
        <v>11112</v>
      </c>
      <c r="S935" s="1">
        <v>12923</v>
      </c>
      <c r="T935" s="1">
        <v>12566</v>
      </c>
      <c r="U935" s="1">
        <v>1500</v>
      </c>
      <c r="V935" s="1">
        <v>3000</v>
      </c>
      <c r="W935" s="1">
        <v>0</v>
      </c>
      <c r="X935" s="1">
        <v>2000</v>
      </c>
      <c r="Y935" s="1">
        <v>0</v>
      </c>
      <c r="Z935" s="1">
        <v>1000</v>
      </c>
      <c r="AA935">
        <v>1</v>
      </c>
      <c r="AB935" t="str">
        <f t="shared" si="14"/>
        <v>Defaulter</v>
      </c>
      <c r="AC935" s="1">
        <f>Table2[[#This Row],[BILL_AMT1]]-Table2[[#This Row],[PAY_AMT1]]</f>
        <v>6351</v>
      </c>
      <c r="AD935" s="1" t="str" cm="1">
        <f t="array" ref="AD935">_xlfn.IFS(Table2[[#This Row],[PAYMENT GAP]]&lt;=0,"No Gap / Overpaid",Table2[[#This Row],[PAYMENT GAP]]&lt;=25000,"Low Gap",Table2[[#This Row],[PAYMENT GAP]]&lt;=100000,"Medium Gap",
TRUE,"High Gap"
)</f>
        <v>Low Gap</v>
      </c>
    </row>
    <row r="936" spans="1:30" x14ac:dyDescent="0.3">
      <c r="A936">
        <v>935</v>
      </c>
      <c r="B936" s="1">
        <v>50000</v>
      </c>
      <c r="C936" s="1" t="str" cm="1">
        <f t="array" ref="C936">_xlfn.IFS(Table2[[#This Row],[LIMIT_BAL]]&lt;=100000,"Low",Table2[[#This Row],[LIMIT_BAL]]&lt;=300000,"Medium",
TRUE,"High"
)</f>
        <v>Low</v>
      </c>
      <c r="D936" t="s">
        <v>2041</v>
      </c>
      <c r="E936" t="s">
        <v>2043</v>
      </c>
      <c r="F936" t="s">
        <v>2028</v>
      </c>
      <c r="G936">
        <v>36</v>
      </c>
      <c r="H936" t="str" cm="1">
        <f t="array" ref="H936">_xlfn.IFS(
Table2[[#This Row],[AGE]]&lt;30,"Young",
Table2[[#This Row],[AGE]]&lt;40,"Middle Age",
Table2[[#This Row],[AGE]]&lt;50,"Senior",
TRUE,"Super Senior"
)</f>
        <v>Middle Age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 s="1">
        <v>16906</v>
      </c>
      <c r="P936" s="1">
        <v>17645</v>
      </c>
      <c r="Q936" s="1">
        <v>18478</v>
      </c>
      <c r="R936" s="1">
        <v>10279</v>
      </c>
      <c r="S936" s="1">
        <v>10646</v>
      </c>
      <c r="T936" s="1">
        <v>10776</v>
      </c>
      <c r="U936" s="1">
        <v>1314</v>
      </c>
      <c r="V936" s="1">
        <v>1147</v>
      </c>
      <c r="W936" s="1">
        <v>348</v>
      </c>
      <c r="X936" s="1">
        <v>512</v>
      </c>
      <c r="Y936" s="1">
        <v>435</v>
      </c>
      <c r="Z936" s="1">
        <v>190</v>
      </c>
      <c r="AA936">
        <v>0</v>
      </c>
      <c r="AB936" t="str">
        <f t="shared" si="14"/>
        <v>Not Defaulter</v>
      </c>
      <c r="AC936" s="1">
        <f>Table2[[#This Row],[BILL_AMT1]]-Table2[[#This Row],[PAY_AMT1]]</f>
        <v>15592</v>
      </c>
      <c r="AD936" s="1" t="str" cm="1">
        <f t="array" ref="AD936">_xlfn.IFS(Table2[[#This Row],[PAYMENT GAP]]&lt;=0,"No Gap / Overpaid",Table2[[#This Row],[PAYMENT GAP]]&lt;=25000,"Low Gap",Table2[[#This Row],[PAYMENT GAP]]&lt;=100000,"Medium Gap",
TRUE,"High Gap"
)</f>
        <v>Low Gap</v>
      </c>
    </row>
    <row r="937" spans="1:30" x14ac:dyDescent="0.3">
      <c r="A937">
        <v>936</v>
      </c>
      <c r="B937" s="1">
        <v>50000</v>
      </c>
      <c r="C937" s="1" t="str" cm="1">
        <f t="array" ref="C937">_xlfn.IFS(Table2[[#This Row],[LIMIT_BAL]]&lt;=100000,"Low",Table2[[#This Row],[LIMIT_BAL]]&lt;=300000,"Medium",
TRUE,"High"
)</f>
        <v>Low</v>
      </c>
      <c r="D937" t="s">
        <v>2042</v>
      </c>
      <c r="E937" t="s">
        <v>2043</v>
      </c>
      <c r="F937" t="s">
        <v>2029</v>
      </c>
      <c r="G937">
        <v>30</v>
      </c>
      <c r="H937" t="str" cm="1">
        <f t="array" ref="H937">_xlfn.IFS(
Table2[[#This Row],[AGE]]&lt;30,"Young",
Table2[[#This Row],[AGE]]&lt;40,"Middle Age",
Table2[[#This Row],[AGE]]&lt;50,"Senior",
TRUE,"Super Senior"
)</f>
        <v>Middle Age</v>
      </c>
      <c r="I937">
        <v>0</v>
      </c>
      <c r="J937">
        <v>0</v>
      </c>
      <c r="K937">
        <v>0</v>
      </c>
      <c r="L937">
        <v>0</v>
      </c>
      <c r="M937">
        <v>-2</v>
      </c>
      <c r="N937">
        <v>-2</v>
      </c>
      <c r="O937" s="1">
        <v>21062</v>
      </c>
      <c r="P937" s="1">
        <v>6495</v>
      </c>
      <c r="Q937" s="1">
        <v>2207</v>
      </c>
      <c r="R937" s="1">
        <v>0</v>
      </c>
      <c r="S937" s="1">
        <v>0</v>
      </c>
      <c r="T937" s="1">
        <v>0</v>
      </c>
      <c r="U937" s="1">
        <v>2000</v>
      </c>
      <c r="V937" s="1">
        <v>1000</v>
      </c>
      <c r="W937" s="1">
        <v>0</v>
      </c>
      <c r="X937" s="1">
        <v>0</v>
      </c>
      <c r="Y937" s="1">
        <v>0</v>
      </c>
      <c r="Z937" s="1">
        <v>0</v>
      </c>
      <c r="AA937">
        <v>0</v>
      </c>
      <c r="AB937" t="str">
        <f t="shared" si="14"/>
        <v>Not Defaulter</v>
      </c>
      <c r="AC937" s="1">
        <f>Table2[[#This Row],[BILL_AMT1]]-Table2[[#This Row],[PAY_AMT1]]</f>
        <v>19062</v>
      </c>
      <c r="AD937" s="1" t="str" cm="1">
        <f t="array" ref="AD937">_xlfn.IFS(Table2[[#This Row],[PAYMENT GAP]]&lt;=0,"No Gap / Overpaid",Table2[[#This Row],[PAYMENT GAP]]&lt;=25000,"Low Gap",Table2[[#This Row],[PAYMENT GAP]]&lt;=100000,"Medium Gap",
TRUE,"High Gap"
)</f>
        <v>Low Gap</v>
      </c>
    </row>
    <row r="938" spans="1:30" x14ac:dyDescent="0.3">
      <c r="A938">
        <v>937</v>
      </c>
      <c r="B938" s="1">
        <v>90000</v>
      </c>
      <c r="C938" s="1" t="str" cm="1">
        <f t="array" ref="C938">_xlfn.IFS(Table2[[#This Row],[LIMIT_BAL]]&lt;=100000,"Low",Table2[[#This Row],[LIMIT_BAL]]&lt;=300000,"Medium",
TRUE,"High"
)</f>
        <v>Low</v>
      </c>
      <c r="D938" t="s">
        <v>2041</v>
      </c>
      <c r="E938" t="s">
        <v>2043</v>
      </c>
      <c r="F938" t="s">
        <v>2029</v>
      </c>
      <c r="G938">
        <v>29</v>
      </c>
      <c r="H938" t="str" cm="1">
        <f t="array" ref="H938">_xlfn.IFS(
Table2[[#This Row],[AGE]]&lt;30,"Young",
Table2[[#This Row],[AGE]]&lt;40,"Middle Age",
Table2[[#This Row],[AGE]]&lt;50,"Senior",
TRUE,"Super Senior"
)</f>
        <v>Young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 s="1">
        <v>47585</v>
      </c>
      <c r="P938" s="1">
        <v>52084</v>
      </c>
      <c r="Q938" s="1">
        <v>53817</v>
      </c>
      <c r="R938" s="1">
        <v>54818</v>
      </c>
      <c r="S938" s="1">
        <v>55985</v>
      </c>
      <c r="T938" s="1">
        <v>57398</v>
      </c>
      <c r="U938" s="1">
        <v>10000</v>
      </c>
      <c r="V938" s="1">
        <v>2600</v>
      </c>
      <c r="W938" s="1">
        <v>2500</v>
      </c>
      <c r="X938" s="1">
        <v>2200</v>
      </c>
      <c r="Y938" s="1">
        <v>2500</v>
      </c>
      <c r="Z938" s="1">
        <v>3000</v>
      </c>
      <c r="AA938">
        <v>0</v>
      </c>
      <c r="AB938" t="str">
        <f t="shared" si="14"/>
        <v>Not Defaulter</v>
      </c>
      <c r="AC938" s="1">
        <f>Table2[[#This Row],[BILL_AMT1]]-Table2[[#This Row],[PAY_AMT1]]</f>
        <v>37585</v>
      </c>
      <c r="AD938" s="1" t="str" cm="1">
        <f t="array" ref="AD938">_xlfn.IFS(Table2[[#This Row],[PAYMENT GAP]]&lt;=0,"No Gap / Overpaid",Table2[[#This Row],[PAYMENT GAP]]&lt;=25000,"Low Gap",Table2[[#This Row],[PAYMENT GAP]]&lt;=100000,"Medium Gap",
TRUE,"High Gap"
)</f>
        <v>Medium Gap</v>
      </c>
    </row>
    <row r="939" spans="1:30" x14ac:dyDescent="0.3">
      <c r="A939">
        <v>938</v>
      </c>
      <c r="B939" s="1">
        <v>240000</v>
      </c>
      <c r="C939" s="1" t="str" cm="1">
        <f t="array" ref="C939">_xlfn.IFS(Table2[[#This Row],[LIMIT_BAL]]&lt;=100000,"Low",Table2[[#This Row],[LIMIT_BAL]]&lt;=300000,"Medium",
TRUE,"High"
)</f>
        <v>Medium</v>
      </c>
      <c r="D939" t="s">
        <v>2042</v>
      </c>
      <c r="E939" t="s">
        <v>2026</v>
      </c>
      <c r="F939" t="s">
        <v>2029</v>
      </c>
      <c r="G939">
        <v>34</v>
      </c>
      <c r="H939" t="str" cm="1">
        <f t="array" ref="H939">_xlfn.IFS(
Table2[[#This Row],[AGE]]&lt;30,"Young",
Table2[[#This Row],[AGE]]&lt;40,"Middle Age",
Table2[[#This Row],[AGE]]&lt;50,"Senior",
TRUE,"Super Senior"
)</f>
        <v>Middle Age</v>
      </c>
      <c r="I939">
        <v>1</v>
      </c>
      <c r="J939">
        <v>2</v>
      </c>
      <c r="K939">
        <v>-1</v>
      </c>
      <c r="L939">
        <v>-1</v>
      </c>
      <c r="M939">
        <v>0</v>
      </c>
      <c r="N939">
        <v>-1</v>
      </c>
      <c r="O939" s="1">
        <v>11874</v>
      </c>
      <c r="P939" s="1">
        <v>5979</v>
      </c>
      <c r="Q939" s="1">
        <v>6938</v>
      </c>
      <c r="R939" s="1">
        <v>41858</v>
      </c>
      <c r="S939" s="1">
        <v>10416</v>
      </c>
      <c r="T939" s="1">
        <v>1711</v>
      </c>
      <c r="U939" s="1">
        <v>0</v>
      </c>
      <c r="V939" s="1">
        <v>6938</v>
      </c>
      <c r="W939" s="1">
        <v>41877</v>
      </c>
      <c r="X939" s="1">
        <v>0</v>
      </c>
      <c r="Y939" s="1">
        <v>1711</v>
      </c>
      <c r="Z939" s="1">
        <v>27162</v>
      </c>
      <c r="AA939">
        <v>0</v>
      </c>
      <c r="AB939" t="str">
        <f t="shared" si="14"/>
        <v>Not Defaulter</v>
      </c>
      <c r="AC939" s="1">
        <f>Table2[[#This Row],[BILL_AMT1]]-Table2[[#This Row],[PAY_AMT1]]</f>
        <v>11874</v>
      </c>
      <c r="AD939" s="1" t="str" cm="1">
        <f t="array" ref="AD939">_xlfn.IFS(Table2[[#This Row],[PAYMENT GAP]]&lt;=0,"No Gap / Overpaid",Table2[[#This Row],[PAYMENT GAP]]&lt;=25000,"Low Gap",Table2[[#This Row],[PAYMENT GAP]]&lt;=100000,"Medium Gap",
TRUE,"High Gap"
)</f>
        <v>Low Gap</v>
      </c>
    </row>
    <row r="940" spans="1:30" x14ac:dyDescent="0.3">
      <c r="A940">
        <v>939</v>
      </c>
      <c r="B940" s="1">
        <v>180000</v>
      </c>
      <c r="C940" s="1" t="str" cm="1">
        <f t="array" ref="C940">_xlfn.IFS(Table2[[#This Row],[LIMIT_BAL]]&lt;=100000,"Low",Table2[[#This Row],[LIMIT_BAL]]&lt;=300000,"Medium",
TRUE,"High"
)</f>
        <v>Medium</v>
      </c>
      <c r="D940" t="s">
        <v>2041</v>
      </c>
      <c r="E940" t="s">
        <v>2043</v>
      </c>
      <c r="F940" t="s">
        <v>2028</v>
      </c>
      <c r="G940">
        <v>32</v>
      </c>
      <c r="H940" t="str" cm="1">
        <f t="array" ref="H940">_xlfn.IFS(
Table2[[#This Row],[AGE]]&lt;30,"Young",
Table2[[#This Row],[AGE]]&lt;40,"Middle Age",
Table2[[#This Row],[AGE]]&lt;50,"Senior",
TRUE,"Super Senior"
)</f>
        <v>Middle Age</v>
      </c>
      <c r="I940">
        <v>1</v>
      </c>
      <c r="J940">
        <v>2</v>
      </c>
      <c r="K940">
        <v>2</v>
      </c>
      <c r="L940">
        <v>2</v>
      </c>
      <c r="M940">
        <v>0</v>
      </c>
      <c r="N940">
        <v>0</v>
      </c>
      <c r="O940" s="1">
        <v>15548</v>
      </c>
      <c r="P940" s="1">
        <v>15009</v>
      </c>
      <c r="Q940" s="1">
        <v>17752</v>
      </c>
      <c r="R940" s="1">
        <v>17172</v>
      </c>
      <c r="S940" s="1">
        <v>18732</v>
      </c>
      <c r="T940" s="1">
        <v>23389</v>
      </c>
      <c r="U940" s="1">
        <v>0</v>
      </c>
      <c r="V940" s="1">
        <v>3000</v>
      </c>
      <c r="W940" s="1">
        <v>0</v>
      </c>
      <c r="X940" s="1">
        <v>2000</v>
      </c>
      <c r="Y940" s="1">
        <v>5000</v>
      </c>
      <c r="Z940" s="1">
        <v>2000</v>
      </c>
      <c r="AA940">
        <v>1</v>
      </c>
      <c r="AB940" t="str">
        <f t="shared" si="14"/>
        <v>Defaulter</v>
      </c>
      <c r="AC940" s="1">
        <f>Table2[[#This Row],[BILL_AMT1]]-Table2[[#This Row],[PAY_AMT1]]</f>
        <v>15548</v>
      </c>
      <c r="AD940" s="1" t="str" cm="1">
        <f t="array" ref="AD940">_xlfn.IFS(Table2[[#This Row],[PAYMENT GAP]]&lt;=0,"No Gap / Overpaid",Table2[[#This Row],[PAYMENT GAP]]&lt;=25000,"Low Gap",Table2[[#This Row],[PAYMENT GAP]]&lt;=100000,"Medium Gap",
TRUE,"High Gap"
)</f>
        <v>Low Gap</v>
      </c>
    </row>
    <row r="941" spans="1:30" x14ac:dyDescent="0.3">
      <c r="A941">
        <v>940</v>
      </c>
      <c r="B941" s="1">
        <v>200000</v>
      </c>
      <c r="C941" s="1" t="str" cm="1">
        <f t="array" ref="C941">_xlfn.IFS(Table2[[#This Row],[LIMIT_BAL]]&lt;=100000,"Low",Table2[[#This Row],[LIMIT_BAL]]&lt;=300000,"Medium",
TRUE,"High"
)</f>
        <v>Medium</v>
      </c>
      <c r="D941" t="s">
        <v>2041</v>
      </c>
      <c r="E941" t="s">
        <v>2043</v>
      </c>
      <c r="F941" t="s">
        <v>2028</v>
      </c>
      <c r="G941">
        <v>32</v>
      </c>
      <c r="H941" t="str" cm="1">
        <f t="array" ref="H941">_xlfn.IFS(
Table2[[#This Row],[AGE]]&lt;30,"Young",
Table2[[#This Row],[AGE]]&lt;40,"Middle Age",
Table2[[#This Row],[AGE]]&lt;50,"Senior",
TRUE,"Super Senior"
)</f>
        <v>Middle Age</v>
      </c>
      <c r="I941">
        <v>-1</v>
      </c>
      <c r="J941">
        <v>-1</v>
      </c>
      <c r="K941">
        <v>-1</v>
      </c>
      <c r="L941">
        <v>-1</v>
      </c>
      <c r="M941">
        <v>-1</v>
      </c>
      <c r="N941">
        <v>-1</v>
      </c>
      <c r="O941" s="1">
        <v>5150</v>
      </c>
      <c r="P941" s="1">
        <v>10190</v>
      </c>
      <c r="Q941" s="1">
        <v>10190</v>
      </c>
      <c r="R941" s="1">
        <v>10190</v>
      </c>
      <c r="S941" s="1">
        <v>10594</v>
      </c>
      <c r="T941" s="1">
        <v>11193</v>
      </c>
      <c r="U941" s="1">
        <v>10190</v>
      </c>
      <c r="V941" s="1">
        <v>10190</v>
      </c>
      <c r="W941" s="1">
        <v>10190</v>
      </c>
      <c r="X941" s="1">
        <v>10594</v>
      </c>
      <c r="Y941" s="1">
        <v>11193</v>
      </c>
      <c r="Z941" s="1">
        <v>10190</v>
      </c>
      <c r="AA941">
        <v>0</v>
      </c>
      <c r="AB941" t="str">
        <f t="shared" si="14"/>
        <v>Not Defaulter</v>
      </c>
      <c r="AC941" s="1">
        <f>Table2[[#This Row],[BILL_AMT1]]-Table2[[#This Row],[PAY_AMT1]]</f>
        <v>-5040</v>
      </c>
      <c r="AD941" s="1" t="str" cm="1">
        <f t="array" ref="AD941">_xlfn.IFS(Table2[[#This Row],[PAYMENT GAP]]&lt;=0,"No Gap / Overpaid",Table2[[#This Row],[PAYMENT GAP]]&lt;=25000,"Low Gap",Table2[[#This Row],[PAYMENT GAP]]&lt;=100000,"Medium Gap",
TRUE,"High Gap"
)</f>
        <v>No Gap / Overpaid</v>
      </c>
    </row>
    <row r="942" spans="1:30" x14ac:dyDescent="0.3">
      <c r="A942">
        <v>941</v>
      </c>
      <c r="B942" s="1">
        <v>50000</v>
      </c>
      <c r="C942" s="1" t="str" cm="1">
        <f t="array" ref="C942">_xlfn.IFS(Table2[[#This Row],[LIMIT_BAL]]&lt;=100000,"Low",Table2[[#This Row],[LIMIT_BAL]]&lt;=300000,"Medium",
TRUE,"High"
)</f>
        <v>Low</v>
      </c>
      <c r="D942" t="s">
        <v>2041</v>
      </c>
      <c r="E942" t="s">
        <v>2026</v>
      </c>
      <c r="F942" t="s">
        <v>2029</v>
      </c>
      <c r="G942">
        <v>25</v>
      </c>
      <c r="H942" t="str" cm="1">
        <f t="array" ref="H942">_xlfn.IFS(
Table2[[#This Row],[AGE]]&lt;30,"Young",
Table2[[#This Row],[AGE]]&lt;40,"Middle Age",
Table2[[#This Row],[AGE]]&lt;50,"Senior",
TRUE,"Super Senior"
)</f>
        <v>Young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2</v>
      </c>
      <c r="O942" s="1">
        <v>42543</v>
      </c>
      <c r="P942" s="1">
        <v>34629</v>
      </c>
      <c r="Q942" s="1">
        <v>27095</v>
      </c>
      <c r="R942" s="1">
        <v>18538</v>
      </c>
      <c r="S942" s="1">
        <v>20100</v>
      </c>
      <c r="T942" s="1">
        <v>19630</v>
      </c>
      <c r="U942" s="1">
        <v>1900</v>
      </c>
      <c r="V942" s="1">
        <v>1428</v>
      </c>
      <c r="W942" s="1">
        <v>600</v>
      </c>
      <c r="X942" s="1">
        <v>3000</v>
      </c>
      <c r="Y942" s="1">
        <v>0</v>
      </c>
      <c r="Z942" s="1">
        <v>1000</v>
      </c>
      <c r="AA942">
        <v>0</v>
      </c>
      <c r="AB942" t="str">
        <f t="shared" si="14"/>
        <v>Not Defaulter</v>
      </c>
      <c r="AC942" s="1">
        <f>Table2[[#This Row],[BILL_AMT1]]-Table2[[#This Row],[PAY_AMT1]]</f>
        <v>40643</v>
      </c>
      <c r="AD942" s="1" t="str" cm="1">
        <f t="array" ref="AD942">_xlfn.IFS(Table2[[#This Row],[PAYMENT GAP]]&lt;=0,"No Gap / Overpaid",Table2[[#This Row],[PAYMENT GAP]]&lt;=25000,"Low Gap",Table2[[#This Row],[PAYMENT GAP]]&lt;=100000,"Medium Gap",
TRUE,"High Gap"
)</f>
        <v>Medium Gap</v>
      </c>
    </row>
    <row r="943" spans="1:30" x14ac:dyDescent="0.3">
      <c r="A943">
        <v>942</v>
      </c>
      <c r="B943" s="1">
        <v>50000</v>
      </c>
      <c r="C943" s="1" t="str" cm="1">
        <f t="array" ref="C943">_xlfn.IFS(Table2[[#This Row],[LIMIT_BAL]]&lt;=100000,"Low",Table2[[#This Row],[LIMIT_BAL]]&lt;=300000,"Medium",
TRUE,"High"
)</f>
        <v>Low</v>
      </c>
      <c r="D943" t="s">
        <v>2042</v>
      </c>
      <c r="E943" t="s">
        <v>2043</v>
      </c>
      <c r="F943" t="s">
        <v>2028</v>
      </c>
      <c r="G943">
        <v>44</v>
      </c>
      <c r="H943" t="str" cm="1">
        <f t="array" ref="H943">_xlfn.IFS(
Table2[[#This Row],[AGE]]&lt;30,"Young",
Table2[[#This Row],[AGE]]&lt;40,"Middle Age",
Table2[[#This Row],[AGE]]&lt;50,"Senior",
TRUE,"Super Senior"
)</f>
        <v>Senior</v>
      </c>
      <c r="I943">
        <v>-1</v>
      </c>
      <c r="J943">
        <v>-1</v>
      </c>
      <c r="K943">
        <v>-1</v>
      </c>
      <c r="L943">
        <v>-1</v>
      </c>
      <c r="M943">
        <v>-1</v>
      </c>
      <c r="N943">
        <v>-1</v>
      </c>
      <c r="O943" s="1">
        <v>1261</v>
      </c>
      <c r="P943" s="1">
        <v>1261</v>
      </c>
      <c r="Q943" s="1">
        <v>1261</v>
      </c>
      <c r="R943" s="1">
        <v>1261</v>
      </c>
      <c r="S943" s="1">
        <v>1261</v>
      </c>
      <c r="T943" s="1">
        <v>1261</v>
      </c>
      <c r="U943" s="1">
        <v>1261</v>
      </c>
      <c r="V943" s="1">
        <v>1261</v>
      </c>
      <c r="W943" s="1">
        <v>1261</v>
      </c>
      <c r="X943" s="1">
        <v>1261</v>
      </c>
      <c r="Y943" s="1">
        <v>1261</v>
      </c>
      <c r="Z943" s="1">
        <v>1261</v>
      </c>
      <c r="AA943">
        <v>0</v>
      </c>
      <c r="AB943" t="str">
        <f t="shared" si="14"/>
        <v>Not Defaulter</v>
      </c>
      <c r="AC943" s="1">
        <f>Table2[[#This Row],[BILL_AMT1]]-Table2[[#This Row],[PAY_AMT1]]</f>
        <v>0</v>
      </c>
      <c r="AD943" s="1" t="str" cm="1">
        <f t="array" ref="AD943">_xlfn.IFS(Table2[[#This Row],[PAYMENT GAP]]&lt;=0,"No Gap / Overpaid",Table2[[#This Row],[PAYMENT GAP]]&lt;=25000,"Low Gap",Table2[[#This Row],[PAYMENT GAP]]&lt;=100000,"Medium Gap",
TRUE,"High Gap"
)</f>
        <v>No Gap / Overpaid</v>
      </c>
    </row>
    <row r="944" spans="1:30" x14ac:dyDescent="0.3">
      <c r="A944">
        <v>943</v>
      </c>
      <c r="B944" s="1">
        <v>330000</v>
      </c>
      <c r="C944" s="1" t="str" cm="1">
        <f t="array" ref="C944">_xlfn.IFS(Table2[[#This Row],[LIMIT_BAL]]&lt;=100000,"Low",Table2[[#This Row],[LIMIT_BAL]]&lt;=300000,"Medium",
TRUE,"High"
)</f>
        <v>High</v>
      </c>
      <c r="D944" t="s">
        <v>2041</v>
      </c>
      <c r="E944" t="s">
        <v>2026</v>
      </c>
      <c r="F944" t="s">
        <v>2028</v>
      </c>
      <c r="G944">
        <v>37</v>
      </c>
      <c r="H944" t="str" cm="1">
        <f t="array" ref="H944">_xlfn.IFS(
Table2[[#This Row],[AGE]]&lt;30,"Young",
Table2[[#This Row],[AGE]]&lt;40,"Middle Age",
Table2[[#This Row],[AGE]]&lt;50,"Senior",
TRUE,"Super Senior"
)</f>
        <v>Middle Age</v>
      </c>
      <c r="I944">
        <v>-1</v>
      </c>
      <c r="J944">
        <v>-1</v>
      </c>
      <c r="K944">
        <v>-1</v>
      </c>
      <c r="L944">
        <v>-1</v>
      </c>
      <c r="M944">
        <v>0</v>
      </c>
      <c r="N944">
        <v>-1</v>
      </c>
      <c r="O944" s="1">
        <v>4785</v>
      </c>
      <c r="P944" s="1">
        <v>3403</v>
      </c>
      <c r="Q944" s="1">
        <v>0</v>
      </c>
      <c r="R944" s="1">
        <v>5882</v>
      </c>
      <c r="S944" s="1">
        <v>5882</v>
      </c>
      <c r="T944" s="1">
        <v>1013</v>
      </c>
      <c r="U944" s="1">
        <v>3523</v>
      </c>
      <c r="V944" s="1">
        <v>0</v>
      </c>
      <c r="W944" s="1">
        <v>5882</v>
      </c>
      <c r="X944" s="1">
        <v>0</v>
      </c>
      <c r="Y944" s="1">
        <v>1013</v>
      </c>
      <c r="Z944" s="1">
        <v>0</v>
      </c>
      <c r="AA944">
        <v>0</v>
      </c>
      <c r="AB944" t="str">
        <f t="shared" si="14"/>
        <v>Not Defaulter</v>
      </c>
      <c r="AC944" s="1">
        <f>Table2[[#This Row],[BILL_AMT1]]-Table2[[#This Row],[PAY_AMT1]]</f>
        <v>1262</v>
      </c>
      <c r="AD944" s="1" t="str" cm="1">
        <f t="array" ref="AD944">_xlfn.IFS(Table2[[#This Row],[PAYMENT GAP]]&lt;=0,"No Gap / Overpaid",Table2[[#This Row],[PAYMENT GAP]]&lt;=25000,"Low Gap",Table2[[#This Row],[PAYMENT GAP]]&lt;=100000,"Medium Gap",
TRUE,"High Gap"
)</f>
        <v>Low Gap</v>
      </c>
    </row>
    <row r="945" spans="1:30" x14ac:dyDescent="0.3">
      <c r="A945">
        <v>944</v>
      </c>
      <c r="B945" s="1">
        <v>80000</v>
      </c>
      <c r="C945" s="1" t="str" cm="1">
        <f t="array" ref="C945">_xlfn.IFS(Table2[[#This Row],[LIMIT_BAL]]&lt;=100000,"Low",Table2[[#This Row],[LIMIT_BAL]]&lt;=300000,"Medium",
TRUE,"High"
)</f>
        <v>Low</v>
      </c>
      <c r="D945" t="s">
        <v>2041</v>
      </c>
      <c r="E945" t="s">
        <v>2043</v>
      </c>
      <c r="F945" t="s">
        <v>2029</v>
      </c>
      <c r="G945">
        <v>24</v>
      </c>
      <c r="H945" t="str" cm="1">
        <f t="array" ref="H945">_xlfn.IFS(
Table2[[#This Row],[AGE]]&lt;30,"Young",
Table2[[#This Row],[AGE]]&lt;40,"Middle Age",
Table2[[#This Row],[AGE]]&lt;50,"Senior",
TRUE,"Super Senior"
)</f>
        <v>Young</v>
      </c>
      <c r="I945">
        <v>2</v>
      </c>
      <c r="J945">
        <v>2</v>
      </c>
      <c r="K945">
        <v>5</v>
      </c>
      <c r="L945">
        <v>5</v>
      </c>
      <c r="M945">
        <v>4</v>
      </c>
      <c r="N945">
        <v>3</v>
      </c>
      <c r="O945" s="1">
        <v>1200</v>
      </c>
      <c r="P945" s="1">
        <v>1200</v>
      </c>
      <c r="Q945" s="1">
        <v>1200</v>
      </c>
      <c r="R945" s="1">
        <v>1200</v>
      </c>
      <c r="S945" s="1">
        <v>600</v>
      </c>
      <c r="T945" s="1">
        <v>300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>
        <v>1</v>
      </c>
      <c r="AB945" t="str">
        <f t="shared" si="14"/>
        <v>Defaulter</v>
      </c>
      <c r="AC945" s="1">
        <f>Table2[[#This Row],[BILL_AMT1]]-Table2[[#This Row],[PAY_AMT1]]</f>
        <v>1200</v>
      </c>
      <c r="AD945" s="1" t="str" cm="1">
        <f t="array" ref="AD945">_xlfn.IFS(Table2[[#This Row],[PAYMENT GAP]]&lt;=0,"No Gap / Overpaid",Table2[[#This Row],[PAYMENT GAP]]&lt;=25000,"Low Gap",Table2[[#This Row],[PAYMENT GAP]]&lt;=100000,"Medium Gap",
TRUE,"High Gap"
)</f>
        <v>Low Gap</v>
      </c>
    </row>
    <row r="946" spans="1:30" x14ac:dyDescent="0.3">
      <c r="A946">
        <v>945</v>
      </c>
      <c r="B946" s="1">
        <v>50000</v>
      </c>
      <c r="C946" s="1" t="str" cm="1">
        <f t="array" ref="C946">_xlfn.IFS(Table2[[#This Row],[LIMIT_BAL]]&lt;=100000,"Low",Table2[[#This Row],[LIMIT_BAL]]&lt;=300000,"Medium",
TRUE,"High"
)</f>
        <v>Low</v>
      </c>
      <c r="D946" t="s">
        <v>2041</v>
      </c>
      <c r="E946" t="s">
        <v>2043</v>
      </c>
      <c r="F946" t="s">
        <v>2029</v>
      </c>
      <c r="G946">
        <v>23</v>
      </c>
      <c r="H946" t="str" cm="1">
        <f t="array" ref="H946">_xlfn.IFS(
Table2[[#This Row],[AGE]]&lt;30,"Young",
Table2[[#This Row],[AGE]]&lt;40,"Middle Age",
Table2[[#This Row],[AGE]]&lt;50,"Senior",
TRUE,"Super Senior"
)</f>
        <v>Young</v>
      </c>
      <c r="I946">
        <v>-2</v>
      </c>
      <c r="J946">
        <v>-2</v>
      </c>
      <c r="K946">
        <v>-2</v>
      </c>
      <c r="L946">
        <v>-2</v>
      </c>
      <c r="M946">
        <v>-2</v>
      </c>
      <c r="N946">
        <v>-2</v>
      </c>
      <c r="O946" s="1">
        <v>3779</v>
      </c>
      <c r="P946" s="1">
        <v>3944</v>
      </c>
      <c r="Q946" s="1">
        <v>2118</v>
      </c>
      <c r="R946" s="1">
        <v>2259</v>
      </c>
      <c r="S946" s="1">
        <v>3527</v>
      </c>
      <c r="T946" s="1">
        <v>1100</v>
      </c>
      <c r="U946" s="1">
        <v>3955</v>
      </c>
      <c r="V946" s="1">
        <v>2124</v>
      </c>
      <c r="W946" s="1">
        <v>2266</v>
      </c>
      <c r="X946" s="1">
        <v>3638</v>
      </c>
      <c r="Y946" s="1">
        <v>1303</v>
      </c>
      <c r="Z946" s="1">
        <v>0</v>
      </c>
      <c r="AA946">
        <v>0</v>
      </c>
      <c r="AB946" t="str">
        <f t="shared" si="14"/>
        <v>Not Defaulter</v>
      </c>
      <c r="AC946" s="1">
        <f>Table2[[#This Row],[BILL_AMT1]]-Table2[[#This Row],[PAY_AMT1]]</f>
        <v>-176</v>
      </c>
      <c r="AD946" s="1" t="str" cm="1">
        <f t="array" ref="AD946">_xlfn.IFS(Table2[[#This Row],[PAYMENT GAP]]&lt;=0,"No Gap / Overpaid",Table2[[#This Row],[PAYMENT GAP]]&lt;=25000,"Low Gap",Table2[[#This Row],[PAYMENT GAP]]&lt;=100000,"Medium Gap",
TRUE,"High Gap"
)</f>
        <v>No Gap / Overpaid</v>
      </c>
    </row>
    <row r="947" spans="1:30" x14ac:dyDescent="0.3">
      <c r="A947">
        <v>946</v>
      </c>
      <c r="B947" s="1">
        <v>360000</v>
      </c>
      <c r="C947" s="1" t="str" cm="1">
        <f t="array" ref="C947">_xlfn.IFS(Table2[[#This Row],[LIMIT_BAL]]&lt;=100000,"Low",Table2[[#This Row],[LIMIT_BAL]]&lt;=300000,"Medium",
TRUE,"High"
)</f>
        <v>High</v>
      </c>
      <c r="D947" t="s">
        <v>2041</v>
      </c>
      <c r="E947" t="s">
        <v>2026</v>
      </c>
      <c r="F947" t="s">
        <v>2029</v>
      </c>
      <c r="G947">
        <v>29</v>
      </c>
      <c r="H947" t="str" cm="1">
        <f t="array" ref="H947">_xlfn.IFS(
Table2[[#This Row],[AGE]]&lt;30,"Young",
Table2[[#This Row],[AGE]]&lt;40,"Middle Age",
Table2[[#This Row],[AGE]]&lt;50,"Senior",
TRUE,"Super Senior"
)</f>
        <v>Young</v>
      </c>
      <c r="I947">
        <v>0</v>
      </c>
      <c r="J947">
        <v>0</v>
      </c>
      <c r="K947">
        <v>-1</v>
      </c>
      <c r="L947">
        <v>-1</v>
      </c>
      <c r="M947">
        <v>-1</v>
      </c>
      <c r="N947">
        <v>-1</v>
      </c>
      <c r="O947" s="1">
        <v>15854</v>
      </c>
      <c r="P947" s="1">
        <v>8174</v>
      </c>
      <c r="Q947" s="1">
        <v>1004</v>
      </c>
      <c r="R947" s="1">
        <v>1004</v>
      </c>
      <c r="S947" s="1">
        <v>646</v>
      </c>
      <c r="T947" s="1">
        <v>3508</v>
      </c>
      <c r="U947" s="1">
        <v>1000</v>
      </c>
      <c r="V947" s="1">
        <v>1004</v>
      </c>
      <c r="W947" s="1">
        <v>1004</v>
      </c>
      <c r="X947" s="1">
        <v>646</v>
      </c>
      <c r="Y947" s="1">
        <v>3508</v>
      </c>
      <c r="Z947" s="1">
        <v>0</v>
      </c>
      <c r="AA947">
        <v>0</v>
      </c>
      <c r="AB947" t="str">
        <f t="shared" si="14"/>
        <v>Not Defaulter</v>
      </c>
      <c r="AC947" s="1">
        <f>Table2[[#This Row],[BILL_AMT1]]-Table2[[#This Row],[PAY_AMT1]]</f>
        <v>14854</v>
      </c>
      <c r="AD947" s="1" t="str" cm="1">
        <f t="array" ref="AD947">_xlfn.IFS(Table2[[#This Row],[PAYMENT GAP]]&lt;=0,"No Gap / Overpaid",Table2[[#This Row],[PAYMENT GAP]]&lt;=25000,"Low Gap",Table2[[#This Row],[PAYMENT GAP]]&lt;=100000,"Medium Gap",
TRUE,"High Gap"
)</f>
        <v>Low Gap</v>
      </c>
    </row>
    <row r="948" spans="1:30" x14ac:dyDescent="0.3">
      <c r="A948">
        <v>947</v>
      </c>
      <c r="B948" s="1">
        <v>240000</v>
      </c>
      <c r="C948" s="1" t="str" cm="1">
        <f t="array" ref="C948">_xlfn.IFS(Table2[[#This Row],[LIMIT_BAL]]&lt;=100000,"Low",Table2[[#This Row],[LIMIT_BAL]]&lt;=300000,"Medium",
TRUE,"High"
)</f>
        <v>Medium</v>
      </c>
      <c r="D948" t="s">
        <v>2041</v>
      </c>
      <c r="E948" t="s">
        <v>2043</v>
      </c>
      <c r="F948" t="s">
        <v>2028</v>
      </c>
      <c r="G948">
        <v>37</v>
      </c>
      <c r="H948" t="str" cm="1">
        <f t="array" ref="H948">_xlfn.IFS(
Table2[[#This Row],[AGE]]&lt;30,"Young",
Table2[[#This Row],[AGE]]&lt;40,"Middle Age",
Table2[[#This Row],[AGE]]&lt;50,"Senior",
TRUE,"Super Senior"
)</f>
        <v>Middle Age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 s="1">
        <v>219099</v>
      </c>
      <c r="P948" s="1">
        <v>217058</v>
      </c>
      <c r="Q948" s="1">
        <v>187841</v>
      </c>
      <c r="R948" s="1">
        <v>186140</v>
      </c>
      <c r="S948" s="1">
        <v>191678</v>
      </c>
      <c r="T948" s="1">
        <v>191816</v>
      </c>
      <c r="U948" s="1">
        <v>8131</v>
      </c>
      <c r="V948" s="1">
        <v>8123</v>
      </c>
      <c r="W948" s="1">
        <v>6700</v>
      </c>
      <c r="X948" s="1">
        <v>10000</v>
      </c>
      <c r="Y948" s="1">
        <v>7700</v>
      </c>
      <c r="Z948" s="1">
        <v>6000</v>
      </c>
      <c r="AA948">
        <v>0</v>
      </c>
      <c r="AB948" t="str">
        <f t="shared" si="14"/>
        <v>Not Defaulter</v>
      </c>
      <c r="AC948" s="1">
        <f>Table2[[#This Row],[BILL_AMT1]]-Table2[[#This Row],[PAY_AMT1]]</f>
        <v>210968</v>
      </c>
      <c r="AD948" s="1" t="str" cm="1">
        <f t="array" ref="AD948">_xlfn.IFS(Table2[[#This Row],[PAYMENT GAP]]&lt;=0,"No Gap / Overpaid",Table2[[#This Row],[PAYMENT GAP]]&lt;=25000,"Low Gap",Table2[[#This Row],[PAYMENT GAP]]&lt;=100000,"Medium Gap",
TRUE,"High Gap"
)</f>
        <v>High Gap</v>
      </c>
    </row>
    <row r="949" spans="1:30" x14ac:dyDescent="0.3">
      <c r="A949">
        <v>948</v>
      </c>
      <c r="B949" s="1">
        <v>50000</v>
      </c>
      <c r="C949" s="1" t="str" cm="1">
        <f t="array" ref="C949">_xlfn.IFS(Table2[[#This Row],[LIMIT_BAL]]&lt;=100000,"Low",Table2[[#This Row],[LIMIT_BAL]]&lt;=300000,"Medium",
TRUE,"High"
)</f>
        <v>Low</v>
      </c>
      <c r="D949" t="s">
        <v>2042</v>
      </c>
      <c r="E949" t="s">
        <v>2043</v>
      </c>
      <c r="F949" t="s">
        <v>2028</v>
      </c>
      <c r="G949">
        <v>59</v>
      </c>
      <c r="H949" t="str" cm="1">
        <f t="array" ref="H949">_xlfn.IFS(
Table2[[#This Row],[AGE]]&lt;30,"Young",
Table2[[#This Row],[AGE]]&lt;40,"Middle Age",
Table2[[#This Row],[AGE]]&lt;50,"Senior",
TRUE,"Super Senior"
)</f>
        <v>Super Senior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 s="1">
        <v>47069</v>
      </c>
      <c r="P949" s="1">
        <v>48479</v>
      </c>
      <c r="Q949" s="1">
        <v>49520</v>
      </c>
      <c r="R949" s="1">
        <v>18990</v>
      </c>
      <c r="S949" s="1">
        <v>19539</v>
      </c>
      <c r="T949" s="1">
        <v>19791</v>
      </c>
      <c r="U949" s="1">
        <v>2169</v>
      </c>
      <c r="V949" s="1">
        <v>2210</v>
      </c>
      <c r="W949" s="1">
        <v>680</v>
      </c>
      <c r="X949" s="1">
        <v>855</v>
      </c>
      <c r="Y949" s="1">
        <v>726</v>
      </c>
      <c r="Z949" s="1">
        <v>687</v>
      </c>
      <c r="AA949">
        <v>0</v>
      </c>
      <c r="AB949" t="str">
        <f t="shared" si="14"/>
        <v>Not Defaulter</v>
      </c>
      <c r="AC949" s="1">
        <f>Table2[[#This Row],[BILL_AMT1]]-Table2[[#This Row],[PAY_AMT1]]</f>
        <v>44900</v>
      </c>
      <c r="AD949" s="1" t="str" cm="1">
        <f t="array" ref="AD949">_xlfn.IFS(Table2[[#This Row],[PAYMENT GAP]]&lt;=0,"No Gap / Overpaid",Table2[[#This Row],[PAYMENT GAP]]&lt;=25000,"Low Gap",Table2[[#This Row],[PAYMENT GAP]]&lt;=100000,"Medium Gap",
TRUE,"High Gap"
)</f>
        <v>Medium Gap</v>
      </c>
    </row>
    <row r="950" spans="1:30" x14ac:dyDescent="0.3">
      <c r="A950">
        <v>949</v>
      </c>
      <c r="B950" s="1">
        <v>470000</v>
      </c>
      <c r="C950" s="1" t="str" cm="1">
        <f t="array" ref="C950">_xlfn.IFS(Table2[[#This Row],[LIMIT_BAL]]&lt;=100000,"Low",Table2[[#This Row],[LIMIT_BAL]]&lt;=300000,"Medium",
TRUE,"High"
)</f>
        <v>High</v>
      </c>
      <c r="D950" t="s">
        <v>2042</v>
      </c>
      <c r="E950" t="s">
        <v>2043</v>
      </c>
      <c r="F950" t="s">
        <v>2029</v>
      </c>
      <c r="G950">
        <v>33</v>
      </c>
      <c r="H950" t="str" cm="1">
        <f t="array" ref="H950">_xlfn.IFS(
Table2[[#This Row],[AGE]]&lt;30,"Young",
Table2[[#This Row],[AGE]]&lt;40,"Middle Age",
Table2[[#This Row],[AGE]]&lt;50,"Senior",
TRUE,"Super Senior"
)</f>
        <v>Middle Age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 s="1">
        <v>190258</v>
      </c>
      <c r="P950" s="1">
        <v>181207</v>
      </c>
      <c r="Q950" s="1">
        <v>120318</v>
      </c>
      <c r="R950" s="1">
        <v>129281</v>
      </c>
      <c r="S950" s="1">
        <v>113437</v>
      </c>
      <c r="T950" s="1">
        <v>164377</v>
      </c>
      <c r="U950" s="1">
        <v>40012</v>
      </c>
      <c r="V950" s="1">
        <v>10020</v>
      </c>
      <c r="W950" s="1">
        <v>40069</v>
      </c>
      <c r="X950" s="1">
        <v>25005</v>
      </c>
      <c r="Y950" s="1">
        <v>100000</v>
      </c>
      <c r="Z950" s="1">
        <v>51305</v>
      </c>
      <c r="AA950">
        <v>0</v>
      </c>
      <c r="AB950" t="str">
        <f t="shared" si="14"/>
        <v>Not Defaulter</v>
      </c>
      <c r="AC950" s="1">
        <f>Table2[[#This Row],[BILL_AMT1]]-Table2[[#This Row],[PAY_AMT1]]</f>
        <v>150246</v>
      </c>
      <c r="AD950" s="1" t="str" cm="1">
        <f t="array" ref="AD950">_xlfn.IFS(Table2[[#This Row],[PAYMENT GAP]]&lt;=0,"No Gap / Overpaid",Table2[[#This Row],[PAYMENT GAP]]&lt;=25000,"Low Gap",Table2[[#This Row],[PAYMENT GAP]]&lt;=100000,"Medium Gap",
TRUE,"High Gap"
)</f>
        <v>High Gap</v>
      </c>
    </row>
    <row r="951" spans="1:30" x14ac:dyDescent="0.3">
      <c r="A951">
        <v>950</v>
      </c>
      <c r="B951" s="1">
        <v>160000</v>
      </c>
      <c r="C951" s="1" t="str" cm="1">
        <f t="array" ref="C951">_xlfn.IFS(Table2[[#This Row],[LIMIT_BAL]]&lt;=100000,"Low",Table2[[#This Row],[LIMIT_BAL]]&lt;=300000,"Medium",
TRUE,"High"
)</f>
        <v>Medium</v>
      </c>
      <c r="D951" t="s">
        <v>2041</v>
      </c>
      <c r="E951" t="s">
        <v>2027</v>
      </c>
      <c r="F951" t="s">
        <v>2028</v>
      </c>
      <c r="G951">
        <v>51</v>
      </c>
      <c r="H951" t="str" cm="1">
        <f t="array" ref="H951">_xlfn.IFS(
Table2[[#This Row],[AGE]]&lt;30,"Young",
Table2[[#This Row],[AGE]]&lt;40,"Middle Age",
Table2[[#This Row],[AGE]]&lt;50,"Senior",
TRUE,"Super Senior"
)</f>
        <v>Super Senior</v>
      </c>
      <c r="I951">
        <v>-1</v>
      </c>
      <c r="J951">
        <v>2</v>
      </c>
      <c r="K951">
        <v>-1</v>
      </c>
      <c r="L951">
        <v>-1</v>
      </c>
      <c r="M951">
        <v>-1</v>
      </c>
      <c r="N951">
        <v>-1</v>
      </c>
      <c r="O951" s="1">
        <v>2000</v>
      </c>
      <c r="P951" s="1">
        <v>1000</v>
      </c>
      <c r="Q951" s="1">
        <v>2125</v>
      </c>
      <c r="R951" s="1">
        <v>2125</v>
      </c>
      <c r="S951" s="1">
        <v>1000</v>
      </c>
      <c r="T951" s="1">
        <v>2125</v>
      </c>
      <c r="U951" s="1">
        <v>0</v>
      </c>
      <c r="V951" s="1">
        <v>2125</v>
      </c>
      <c r="W951" s="1">
        <v>2125</v>
      </c>
      <c r="X951" s="1">
        <v>1000</v>
      </c>
      <c r="Y951" s="1">
        <v>2125</v>
      </c>
      <c r="Z951" s="1">
        <v>23250</v>
      </c>
      <c r="AA951">
        <v>0</v>
      </c>
      <c r="AB951" t="str">
        <f t="shared" si="14"/>
        <v>Not Defaulter</v>
      </c>
      <c r="AC951" s="1">
        <f>Table2[[#This Row],[BILL_AMT1]]-Table2[[#This Row],[PAY_AMT1]]</f>
        <v>2000</v>
      </c>
      <c r="AD951" s="1" t="str" cm="1">
        <f t="array" ref="AD951">_xlfn.IFS(Table2[[#This Row],[PAYMENT GAP]]&lt;=0,"No Gap / Overpaid",Table2[[#This Row],[PAYMENT GAP]]&lt;=25000,"Low Gap",Table2[[#This Row],[PAYMENT GAP]]&lt;=100000,"Medium Gap",
TRUE,"High Gap"
)</f>
        <v>Low Gap</v>
      </c>
    </row>
    <row r="952" spans="1:30" x14ac:dyDescent="0.3">
      <c r="A952">
        <v>951</v>
      </c>
      <c r="B952" s="1">
        <v>30000</v>
      </c>
      <c r="C952" s="1" t="str" cm="1">
        <f t="array" ref="C952">_xlfn.IFS(Table2[[#This Row],[LIMIT_BAL]]&lt;=100000,"Low",Table2[[#This Row],[LIMIT_BAL]]&lt;=300000,"Medium",
TRUE,"High"
)</f>
        <v>Low</v>
      </c>
      <c r="D952" t="s">
        <v>2042</v>
      </c>
      <c r="E952" t="s">
        <v>2026</v>
      </c>
      <c r="F952" t="s">
        <v>2028</v>
      </c>
      <c r="G952">
        <v>27</v>
      </c>
      <c r="H952" t="str" cm="1">
        <f t="array" ref="H952">_xlfn.IFS(
Table2[[#This Row],[AGE]]&lt;30,"Young",
Table2[[#This Row],[AGE]]&lt;40,"Middle Age",
Table2[[#This Row],[AGE]]&lt;50,"Senior",
TRUE,"Super Senior"
)</f>
        <v>Young</v>
      </c>
      <c r="I952">
        <v>-1</v>
      </c>
      <c r="J952">
        <v>0</v>
      </c>
      <c r="K952">
        <v>0</v>
      </c>
      <c r="L952">
        <v>0</v>
      </c>
      <c r="M952">
        <v>0</v>
      </c>
      <c r="N952">
        <v>-2</v>
      </c>
      <c r="O952" s="1">
        <v>12897</v>
      </c>
      <c r="P952" s="1">
        <v>13484</v>
      </c>
      <c r="Q952" s="1">
        <v>6655</v>
      </c>
      <c r="R952" s="1">
        <v>6618</v>
      </c>
      <c r="S952" s="1">
        <v>0</v>
      </c>
      <c r="T952" s="1">
        <v>0</v>
      </c>
      <c r="U952" s="1">
        <v>2011</v>
      </c>
      <c r="V952" s="1">
        <v>2211</v>
      </c>
      <c r="W952" s="1">
        <v>2101</v>
      </c>
      <c r="X952" s="1">
        <v>148</v>
      </c>
      <c r="Y952" s="1">
        <v>0</v>
      </c>
      <c r="Z952" s="1">
        <v>0</v>
      </c>
      <c r="AA952">
        <v>1</v>
      </c>
      <c r="AB952" t="str">
        <f t="shared" si="14"/>
        <v>Defaulter</v>
      </c>
      <c r="AC952" s="1">
        <f>Table2[[#This Row],[BILL_AMT1]]-Table2[[#This Row],[PAY_AMT1]]</f>
        <v>10886</v>
      </c>
      <c r="AD952" s="1" t="str" cm="1">
        <f t="array" ref="AD952">_xlfn.IFS(Table2[[#This Row],[PAYMENT GAP]]&lt;=0,"No Gap / Overpaid",Table2[[#This Row],[PAYMENT GAP]]&lt;=25000,"Low Gap",Table2[[#This Row],[PAYMENT GAP]]&lt;=100000,"Medium Gap",
TRUE,"High Gap"
)</f>
        <v>Low Gap</v>
      </c>
    </row>
    <row r="953" spans="1:30" x14ac:dyDescent="0.3">
      <c r="A953">
        <v>952</v>
      </c>
      <c r="B953" s="1">
        <v>80000</v>
      </c>
      <c r="C953" s="1" t="str" cm="1">
        <f t="array" ref="C953">_xlfn.IFS(Table2[[#This Row],[LIMIT_BAL]]&lt;=100000,"Low",Table2[[#This Row],[LIMIT_BAL]]&lt;=300000,"Medium",
TRUE,"High"
)</f>
        <v>Low</v>
      </c>
      <c r="D953" t="s">
        <v>2041</v>
      </c>
      <c r="E953" t="s">
        <v>2043</v>
      </c>
      <c r="F953" t="s">
        <v>2028</v>
      </c>
      <c r="G953">
        <v>32</v>
      </c>
      <c r="H953" t="str" cm="1">
        <f t="array" ref="H953">_xlfn.IFS(
Table2[[#This Row],[AGE]]&lt;30,"Young",
Table2[[#This Row],[AGE]]&lt;40,"Middle Age",
Table2[[#This Row],[AGE]]&lt;50,"Senior",
TRUE,"Super Senior"
)</f>
        <v>Middle Age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 s="1">
        <v>81074</v>
      </c>
      <c r="P953" s="1">
        <v>78262</v>
      </c>
      <c r="Q953" s="1">
        <v>76163</v>
      </c>
      <c r="R953" s="1">
        <v>76813</v>
      </c>
      <c r="S953" s="1">
        <v>77511</v>
      </c>
      <c r="T953" s="1">
        <v>79069</v>
      </c>
      <c r="U953" s="1">
        <v>3700</v>
      </c>
      <c r="V953" s="1">
        <v>3400</v>
      </c>
      <c r="W953" s="1">
        <v>2900</v>
      </c>
      <c r="X953" s="1">
        <v>2900</v>
      </c>
      <c r="Y953" s="1">
        <v>2841</v>
      </c>
      <c r="Z953" s="1">
        <v>3100</v>
      </c>
      <c r="AA953">
        <v>0</v>
      </c>
      <c r="AB953" t="str">
        <f t="shared" si="14"/>
        <v>Not Defaulter</v>
      </c>
      <c r="AC953" s="1">
        <f>Table2[[#This Row],[BILL_AMT1]]-Table2[[#This Row],[PAY_AMT1]]</f>
        <v>77374</v>
      </c>
      <c r="AD953" s="1" t="str" cm="1">
        <f t="array" ref="AD953">_xlfn.IFS(Table2[[#This Row],[PAYMENT GAP]]&lt;=0,"No Gap / Overpaid",Table2[[#This Row],[PAYMENT GAP]]&lt;=25000,"Low Gap",Table2[[#This Row],[PAYMENT GAP]]&lt;=100000,"Medium Gap",
TRUE,"High Gap"
)</f>
        <v>Medium Gap</v>
      </c>
    </row>
    <row r="954" spans="1:30" x14ac:dyDescent="0.3">
      <c r="A954">
        <v>953</v>
      </c>
      <c r="B954" s="1">
        <v>500000</v>
      </c>
      <c r="C954" s="1" t="str" cm="1">
        <f t="array" ref="C954">_xlfn.IFS(Table2[[#This Row],[LIMIT_BAL]]&lt;=100000,"Low",Table2[[#This Row],[LIMIT_BAL]]&lt;=300000,"Medium",
TRUE,"High"
)</f>
        <v>High</v>
      </c>
      <c r="D954" t="s">
        <v>2041</v>
      </c>
      <c r="E954" t="s">
        <v>2027</v>
      </c>
      <c r="F954" t="s">
        <v>2029</v>
      </c>
      <c r="G954">
        <v>42</v>
      </c>
      <c r="H954" t="str" cm="1">
        <f t="array" ref="H954">_xlfn.IFS(
Table2[[#This Row],[AGE]]&lt;30,"Young",
Table2[[#This Row],[AGE]]&lt;40,"Middle Age",
Table2[[#This Row],[AGE]]&lt;50,"Senior",
TRUE,"Super Senior"
)</f>
        <v>Senior</v>
      </c>
      <c r="I954">
        <v>-2</v>
      </c>
      <c r="J954">
        <v>-1</v>
      </c>
      <c r="K954">
        <v>-1</v>
      </c>
      <c r="L954">
        <v>0</v>
      </c>
      <c r="M954">
        <v>0</v>
      </c>
      <c r="N954">
        <v>0</v>
      </c>
      <c r="O954" s="1">
        <v>10889</v>
      </c>
      <c r="P954" s="1">
        <v>26146</v>
      </c>
      <c r="Q954" s="1">
        <v>104279</v>
      </c>
      <c r="R954" s="1">
        <v>103945</v>
      </c>
      <c r="S954" s="1">
        <v>101945</v>
      </c>
      <c r="T954" s="1">
        <v>90193</v>
      </c>
      <c r="U954" s="1">
        <v>29987</v>
      </c>
      <c r="V954" s="1">
        <v>104279</v>
      </c>
      <c r="W954" s="1">
        <v>2085</v>
      </c>
      <c r="X954" s="1">
        <v>1130</v>
      </c>
      <c r="Y954" s="1">
        <v>45551</v>
      </c>
      <c r="Z954" s="1">
        <v>0</v>
      </c>
      <c r="AA954">
        <v>0</v>
      </c>
      <c r="AB954" t="str">
        <f t="shared" si="14"/>
        <v>Not Defaulter</v>
      </c>
      <c r="AC954" s="1">
        <f>Table2[[#This Row],[BILL_AMT1]]-Table2[[#This Row],[PAY_AMT1]]</f>
        <v>-19098</v>
      </c>
      <c r="AD954" s="1" t="str" cm="1">
        <f t="array" ref="AD954">_xlfn.IFS(Table2[[#This Row],[PAYMENT GAP]]&lt;=0,"No Gap / Overpaid",Table2[[#This Row],[PAYMENT GAP]]&lt;=25000,"Low Gap",Table2[[#This Row],[PAYMENT GAP]]&lt;=100000,"Medium Gap",
TRUE,"High Gap"
)</f>
        <v>No Gap / Overpaid</v>
      </c>
    </row>
    <row r="955" spans="1:30" x14ac:dyDescent="0.3">
      <c r="A955">
        <v>954</v>
      </c>
      <c r="B955" s="1">
        <v>180000</v>
      </c>
      <c r="C955" s="1" t="str" cm="1">
        <f t="array" ref="C955">_xlfn.IFS(Table2[[#This Row],[LIMIT_BAL]]&lt;=100000,"Low",Table2[[#This Row],[LIMIT_BAL]]&lt;=300000,"Medium",
TRUE,"High"
)</f>
        <v>Medium</v>
      </c>
      <c r="D955" t="s">
        <v>2042</v>
      </c>
      <c r="E955" t="s">
        <v>2043</v>
      </c>
      <c r="F955" t="s">
        <v>2029</v>
      </c>
      <c r="G955">
        <v>39</v>
      </c>
      <c r="H955" t="str" cm="1">
        <f t="array" ref="H955">_xlfn.IFS(
Table2[[#This Row],[AGE]]&lt;30,"Young",
Table2[[#This Row],[AGE]]&lt;40,"Middle Age",
Table2[[#This Row],[AGE]]&lt;50,"Senior",
TRUE,"Super Senior"
)</f>
        <v>Middle Age</v>
      </c>
      <c r="I955">
        <v>-1</v>
      </c>
      <c r="J955">
        <v>-1</v>
      </c>
      <c r="K955">
        <v>-1</v>
      </c>
      <c r="L955">
        <v>-1</v>
      </c>
      <c r="M955">
        <v>-1</v>
      </c>
      <c r="N955">
        <v>0</v>
      </c>
      <c r="O955" s="1">
        <v>3135</v>
      </c>
      <c r="P955" s="1">
        <v>2822</v>
      </c>
      <c r="Q955" s="1">
        <v>1938</v>
      </c>
      <c r="R955" s="1">
        <v>5818</v>
      </c>
      <c r="S955" s="1">
        <v>2628</v>
      </c>
      <c r="T955" s="1">
        <v>2628</v>
      </c>
      <c r="U955" s="1">
        <v>2833</v>
      </c>
      <c r="V955" s="1">
        <v>2015</v>
      </c>
      <c r="W955" s="1">
        <v>5818</v>
      </c>
      <c r="X955" s="1">
        <v>2628</v>
      </c>
      <c r="Y955" s="1">
        <v>0</v>
      </c>
      <c r="Z955" s="1">
        <v>0</v>
      </c>
      <c r="AA955">
        <v>0</v>
      </c>
      <c r="AB955" t="str">
        <f t="shared" si="14"/>
        <v>Not Defaulter</v>
      </c>
      <c r="AC955" s="1">
        <f>Table2[[#This Row],[BILL_AMT1]]-Table2[[#This Row],[PAY_AMT1]]</f>
        <v>302</v>
      </c>
      <c r="AD955" s="1" t="str" cm="1">
        <f t="array" ref="AD955">_xlfn.IFS(Table2[[#This Row],[PAYMENT GAP]]&lt;=0,"No Gap / Overpaid",Table2[[#This Row],[PAYMENT GAP]]&lt;=25000,"Low Gap",Table2[[#This Row],[PAYMENT GAP]]&lt;=100000,"Medium Gap",
TRUE,"High Gap"
)</f>
        <v>Low Gap</v>
      </c>
    </row>
    <row r="956" spans="1:30" x14ac:dyDescent="0.3">
      <c r="A956">
        <v>955</v>
      </c>
      <c r="B956" s="1">
        <v>110000</v>
      </c>
      <c r="C956" s="1" t="str" cm="1">
        <f t="array" ref="C956">_xlfn.IFS(Table2[[#This Row],[LIMIT_BAL]]&lt;=100000,"Low",Table2[[#This Row],[LIMIT_BAL]]&lt;=300000,"Medium",
TRUE,"High"
)</f>
        <v>Medium</v>
      </c>
      <c r="D956" t="s">
        <v>2041</v>
      </c>
      <c r="E956" t="s">
        <v>2043</v>
      </c>
      <c r="F956" t="s">
        <v>2028</v>
      </c>
      <c r="G956">
        <v>46</v>
      </c>
      <c r="H956" t="str" cm="1">
        <f t="array" ref="H956">_xlfn.IFS(
Table2[[#This Row],[AGE]]&lt;30,"Young",
Table2[[#This Row],[AGE]]&lt;40,"Middle Age",
Table2[[#This Row],[AGE]]&lt;50,"Senior",
TRUE,"Super Senior"
)</f>
        <v>Senior</v>
      </c>
      <c r="I956">
        <v>-1</v>
      </c>
      <c r="J956">
        <v>-1</v>
      </c>
      <c r="K956">
        <v>-1</v>
      </c>
      <c r="L956">
        <v>-1</v>
      </c>
      <c r="M956">
        <v>-1</v>
      </c>
      <c r="N956">
        <v>0</v>
      </c>
      <c r="O956" s="1">
        <v>2410</v>
      </c>
      <c r="P956" s="1">
        <v>2151</v>
      </c>
      <c r="Q956" s="1">
        <v>2161</v>
      </c>
      <c r="R956" s="1">
        <v>1719</v>
      </c>
      <c r="S956" s="1">
        <v>107591</v>
      </c>
      <c r="T956" s="1">
        <v>107940</v>
      </c>
      <c r="U956" s="1">
        <v>2151</v>
      </c>
      <c r="V956" s="1">
        <v>2161</v>
      </c>
      <c r="W956" s="1">
        <v>1719</v>
      </c>
      <c r="X956" s="1">
        <v>107591</v>
      </c>
      <c r="Y956" s="1">
        <v>5000</v>
      </c>
      <c r="Z956" s="1">
        <v>3500</v>
      </c>
      <c r="AA956">
        <v>0</v>
      </c>
      <c r="AB956" t="str">
        <f t="shared" si="14"/>
        <v>Not Defaulter</v>
      </c>
      <c r="AC956" s="1">
        <f>Table2[[#This Row],[BILL_AMT1]]-Table2[[#This Row],[PAY_AMT1]]</f>
        <v>259</v>
      </c>
      <c r="AD956" s="1" t="str" cm="1">
        <f t="array" ref="AD956">_xlfn.IFS(Table2[[#This Row],[PAYMENT GAP]]&lt;=0,"No Gap / Overpaid",Table2[[#This Row],[PAYMENT GAP]]&lt;=25000,"Low Gap",Table2[[#This Row],[PAYMENT GAP]]&lt;=100000,"Medium Gap",
TRUE,"High Gap"
)</f>
        <v>Low Gap</v>
      </c>
    </row>
    <row r="957" spans="1:30" x14ac:dyDescent="0.3">
      <c r="A957">
        <v>956</v>
      </c>
      <c r="B957" s="1">
        <v>160000</v>
      </c>
      <c r="C957" s="1" t="str" cm="1">
        <f t="array" ref="C957">_xlfn.IFS(Table2[[#This Row],[LIMIT_BAL]]&lt;=100000,"Low",Table2[[#This Row],[LIMIT_BAL]]&lt;=300000,"Medium",
TRUE,"High"
)</f>
        <v>Medium</v>
      </c>
      <c r="D957" t="s">
        <v>2042</v>
      </c>
      <c r="E957" t="s">
        <v>2026</v>
      </c>
      <c r="F957" t="s">
        <v>2028</v>
      </c>
      <c r="G957">
        <v>41</v>
      </c>
      <c r="H957" t="str" cm="1">
        <f t="array" ref="H957">_xlfn.IFS(
Table2[[#This Row],[AGE]]&lt;30,"Young",
Table2[[#This Row],[AGE]]&lt;40,"Middle Age",
Table2[[#This Row],[AGE]]&lt;50,"Senior",
TRUE,"Super Senior"
)</f>
        <v>Senior</v>
      </c>
      <c r="I957">
        <v>0</v>
      </c>
      <c r="J957">
        <v>-1</v>
      </c>
      <c r="K957">
        <v>0</v>
      </c>
      <c r="L957">
        <v>0</v>
      </c>
      <c r="M957">
        <v>2</v>
      </c>
      <c r="N957">
        <v>2</v>
      </c>
      <c r="O957" s="1">
        <v>117126</v>
      </c>
      <c r="P957" s="1">
        <v>11222</v>
      </c>
      <c r="Q957" s="1">
        <v>15513</v>
      </c>
      <c r="R957" s="1">
        <v>18087</v>
      </c>
      <c r="S957" s="1">
        <v>17499</v>
      </c>
      <c r="T957" s="1">
        <v>19939</v>
      </c>
      <c r="U957" s="1">
        <v>15315</v>
      </c>
      <c r="V957" s="1">
        <v>15000</v>
      </c>
      <c r="W957" s="1">
        <v>3000</v>
      </c>
      <c r="X957" s="1">
        <v>0</v>
      </c>
      <c r="Y957" s="1">
        <v>3000</v>
      </c>
      <c r="Z957" s="1">
        <v>0</v>
      </c>
      <c r="AA957">
        <v>0</v>
      </c>
      <c r="AB957" t="str">
        <f t="shared" si="14"/>
        <v>Not Defaulter</v>
      </c>
      <c r="AC957" s="1">
        <f>Table2[[#This Row],[BILL_AMT1]]-Table2[[#This Row],[PAY_AMT1]]</f>
        <v>101811</v>
      </c>
      <c r="AD957" s="1" t="str" cm="1">
        <f t="array" ref="AD957">_xlfn.IFS(Table2[[#This Row],[PAYMENT GAP]]&lt;=0,"No Gap / Overpaid",Table2[[#This Row],[PAYMENT GAP]]&lt;=25000,"Low Gap",Table2[[#This Row],[PAYMENT GAP]]&lt;=100000,"Medium Gap",
TRUE,"High Gap"
)</f>
        <v>High Gap</v>
      </c>
    </row>
    <row r="958" spans="1:30" x14ac:dyDescent="0.3">
      <c r="A958">
        <v>957</v>
      </c>
      <c r="B958" s="1">
        <v>210000</v>
      </c>
      <c r="C958" s="1" t="str" cm="1">
        <f t="array" ref="C958">_xlfn.IFS(Table2[[#This Row],[LIMIT_BAL]]&lt;=100000,"Low",Table2[[#This Row],[LIMIT_BAL]]&lt;=300000,"Medium",
TRUE,"High"
)</f>
        <v>Medium</v>
      </c>
      <c r="D958" t="s">
        <v>2041</v>
      </c>
      <c r="E958" t="s">
        <v>2043</v>
      </c>
      <c r="F958" t="s">
        <v>2029</v>
      </c>
      <c r="G958">
        <v>30</v>
      </c>
      <c r="H958" t="str" cm="1">
        <f t="array" ref="H958">_xlfn.IFS(
Table2[[#This Row],[AGE]]&lt;30,"Young",
Table2[[#This Row],[AGE]]&lt;40,"Middle Age",
Table2[[#This Row],[AGE]]&lt;50,"Senior",
TRUE,"Super Senior"
)</f>
        <v>Middle Age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 s="1">
        <v>21780</v>
      </c>
      <c r="P958" s="1">
        <v>20974</v>
      </c>
      <c r="Q958" s="1">
        <v>18652</v>
      </c>
      <c r="R958" s="1">
        <v>13464</v>
      </c>
      <c r="S958" s="1">
        <v>109722</v>
      </c>
      <c r="T958" s="1">
        <v>105573</v>
      </c>
      <c r="U958" s="1">
        <v>1325</v>
      </c>
      <c r="V958" s="1">
        <v>1074</v>
      </c>
      <c r="W958" s="1">
        <v>1000</v>
      </c>
      <c r="X958" s="1">
        <v>99000</v>
      </c>
      <c r="Y958" s="1">
        <v>3745</v>
      </c>
      <c r="Z958" s="1">
        <v>4000</v>
      </c>
      <c r="AA958">
        <v>0</v>
      </c>
      <c r="AB958" t="str">
        <f t="shared" si="14"/>
        <v>Not Defaulter</v>
      </c>
      <c r="AC958" s="1">
        <f>Table2[[#This Row],[BILL_AMT1]]-Table2[[#This Row],[PAY_AMT1]]</f>
        <v>20455</v>
      </c>
      <c r="AD958" s="1" t="str" cm="1">
        <f t="array" ref="AD958">_xlfn.IFS(Table2[[#This Row],[PAYMENT GAP]]&lt;=0,"No Gap / Overpaid",Table2[[#This Row],[PAYMENT GAP]]&lt;=25000,"Low Gap",Table2[[#This Row],[PAYMENT GAP]]&lt;=100000,"Medium Gap",
TRUE,"High Gap"
)</f>
        <v>Low Gap</v>
      </c>
    </row>
    <row r="959" spans="1:30" x14ac:dyDescent="0.3">
      <c r="A959">
        <v>958</v>
      </c>
      <c r="B959" s="1">
        <v>200000</v>
      </c>
      <c r="C959" s="1" t="str" cm="1">
        <f t="array" ref="C959">_xlfn.IFS(Table2[[#This Row],[LIMIT_BAL]]&lt;=100000,"Low",Table2[[#This Row],[LIMIT_BAL]]&lt;=300000,"Medium",
TRUE,"High"
)</f>
        <v>Medium</v>
      </c>
      <c r="D959" t="s">
        <v>2041</v>
      </c>
      <c r="E959" t="s">
        <v>2026</v>
      </c>
      <c r="F959" t="s">
        <v>2028</v>
      </c>
      <c r="G959">
        <v>34</v>
      </c>
      <c r="H959" t="str" cm="1">
        <f t="array" ref="H959">_xlfn.IFS(
Table2[[#This Row],[AGE]]&lt;30,"Young",
Table2[[#This Row],[AGE]]&lt;40,"Middle Age",
Table2[[#This Row],[AGE]]&lt;50,"Senior",
TRUE,"Super Senior"
)</f>
        <v>Middle Age</v>
      </c>
      <c r="I959">
        <v>-1</v>
      </c>
      <c r="J959">
        <v>0</v>
      </c>
      <c r="K959">
        <v>0</v>
      </c>
      <c r="L959">
        <v>-1</v>
      </c>
      <c r="M959">
        <v>0</v>
      </c>
      <c r="N959">
        <v>-1</v>
      </c>
      <c r="O959" s="1">
        <v>6206</v>
      </c>
      <c r="P959" s="1">
        <v>6723</v>
      </c>
      <c r="Q959" s="1">
        <v>7545</v>
      </c>
      <c r="R959" s="1">
        <v>362</v>
      </c>
      <c r="S959" s="1">
        <v>181</v>
      </c>
      <c r="T959" s="1">
        <v>488</v>
      </c>
      <c r="U959" s="1">
        <v>1120</v>
      </c>
      <c r="V959" s="1">
        <v>1024</v>
      </c>
      <c r="W959" s="1">
        <v>362</v>
      </c>
      <c r="X959" s="1">
        <v>0</v>
      </c>
      <c r="Y959" s="1">
        <v>488</v>
      </c>
      <c r="Z959" s="1">
        <v>300</v>
      </c>
      <c r="AA959">
        <v>1</v>
      </c>
      <c r="AB959" t="str">
        <f t="shared" si="14"/>
        <v>Defaulter</v>
      </c>
      <c r="AC959" s="1">
        <f>Table2[[#This Row],[BILL_AMT1]]-Table2[[#This Row],[PAY_AMT1]]</f>
        <v>5086</v>
      </c>
      <c r="AD959" s="1" t="str" cm="1">
        <f t="array" ref="AD959">_xlfn.IFS(Table2[[#This Row],[PAYMENT GAP]]&lt;=0,"No Gap / Overpaid",Table2[[#This Row],[PAYMENT GAP]]&lt;=25000,"Low Gap",Table2[[#This Row],[PAYMENT GAP]]&lt;=100000,"Medium Gap",
TRUE,"High Gap"
)</f>
        <v>Low Gap</v>
      </c>
    </row>
    <row r="960" spans="1:30" x14ac:dyDescent="0.3">
      <c r="A960">
        <v>959</v>
      </c>
      <c r="B960" s="1">
        <v>350000</v>
      </c>
      <c r="C960" s="1" t="str" cm="1">
        <f t="array" ref="C960">_xlfn.IFS(Table2[[#This Row],[LIMIT_BAL]]&lt;=100000,"Low",Table2[[#This Row],[LIMIT_BAL]]&lt;=300000,"Medium",
TRUE,"High"
)</f>
        <v>High</v>
      </c>
      <c r="D960" t="s">
        <v>2042</v>
      </c>
      <c r="E960" t="s">
        <v>2026</v>
      </c>
      <c r="F960" t="s">
        <v>2029</v>
      </c>
      <c r="G960">
        <v>35</v>
      </c>
      <c r="H960" t="str" cm="1">
        <f t="array" ref="H960">_xlfn.IFS(
Table2[[#This Row],[AGE]]&lt;30,"Young",
Table2[[#This Row],[AGE]]&lt;40,"Middle Age",
Table2[[#This Row],[AGE]]&lt;50,"Senior",
TRUE,"Super Senior"
)</f>
        <v>Middle Age</v>
      </c>
      <c r="I960">
        <v>-1</v>
      </c>
      <c r="J960">
        <v>-1</v>
      </c>
      <c r="K960">
        <v>-1</v>
      </c>
      <c r="L960">
        <v>0</v>
      </c>
      <c r="M960">
        <v>0</v>
      </c>
      <c r="N960">
        <v>0</v>
      </c>
      <c r="O960" s="1">
        <v>4439</v>
      </c>
      <c r="P960" s="1">
        <v>33720</v>
      </c>
      <c r="Q960" s="1">
        <v>14283</v>
      </c>
      <c r="R960" s="1">
        <v>16426</v>
      </c>
      <c r="S960" s="1">
        <v>10833</v>
      </c>
      <c r="T960" s="1">
        <v>2261</v>
      </c>
      <c r="U960" s="1">
        <v>33891</v>
      </c>
      <c r="V960" s="1">
        <v>16267</v>
      </c>
      <c r="W960" s="1">
        <v>4027</v>
      </c>
      <c r="X960" s="1">
        <v>234</v>
      </c>
      <c r="Y960" s="1">
        <v>1565</v>
      </c>
      <c r="Z960" s="1">
        <v>26346</v>
      </c>
      <c r="AA960">
        <v>0</v>
      </c>
      <c r="AB960" t="str">
        <f t="shared" si="14"/>
        <v>Not Defaulter</v>
      </c>
      <c r="AC960" s="1">
        <f>Table2[[#This Row],[BILL_AMT1]]-Table2[[#This Row],[PAY_AMT1]]</f>
        <v>-29452</v>
      </c>
      <c r="AD960" s="1" t="str" cm="1">
        <f t="array" ref="AD960">_xlfn.IFS(Table2[[#This Row],[PAYMENT GAP]]&lt;=0,"No Gap / Overpaid",Table2[[#This Row],[PAYMENT GAP]]&lt;=25000,"Low Gap",Table2[[#This Row],[PAYMENT GAP]]&lt;=100000,"Medium Gap",
TRUE,"High Gap"
)</f>
        <v>No Gap / Overpaid</v>
      </c>
    </row>
    <row r="961" spans="1:30" x14ac:dyDescent="0.3">
      <c r="A961">
        <v>960</v>
      </c>
      <c r="B961" s="1">
        <v>250000</v>
      </c>
      <c r="C961" s="1" t="str" cm="1">
        <f t="array" ref="C961">_xlfn.IFS(Table2[[#This Row],[LIMIT_BAL]]&lt;=100000,"Low",Table2[[#This Row],[LIMIT_BAL]]&lt;=300000,"Medium",
TRUE,"High"
)</f>
        <v>Medium</v>
      </c>
      <c r="D961" t="s">
        <v>2042</v>
      </c>
      <c r="E961" t="s">
        <v>2026</v>
      </c>
      <c r="F961" t="s">
        <v>2029</v>
      </c>
      <c r="G961">
        <v>41</v>
      </c>
      <c r="H961" t="str" cm="1">
        <f t="array" ref="H961">_xlfn.IFS(
Table2[[#This Row],[AGE]]&lt;30,"Young",
Table2[[#This Row],[AGE]]&lt;40,"Middle Age",
Table2[[#This Row],[AGE]]&lt;50,"Senior",
TRUE,"Super Senior"
)</f>
        <v>Senior</v>
      </c>
      <c r="I961">
        <v>-1</v>
      </c>
      <c r="J961">
        <v>-1</v>
      </c>
      <c r="K961">
        <v>-1</v>
      </c>
      <c r="L961">
        <v>0</v>
      </c>
      <c r="M961">
        <v>-1</v>
      </c>
      <c r="N961">
        <v>-1</v>
      </c>
      <c r="O961" s="1">
        <v>1338</v>
      </c>
      <c r="P961" s="1">
        <v>-24</v>
      </c>
      <c r="Q961" s="1">
        <v>8324</v>
      </c>
      <c r="R961" s="1">
        <v>5872</v>
      </c>
      <c r="S961" s="1">
        <v>23020</v>
      </c>
      <c r="T961" s="1">
        <v>2367</v>
      </c>
      <c r="U961" s="1">
        <v>0</v>
      </c>
      <c r="V961" s="1">
        <v>8348</v>
      </c>
      <c r="W961" s="1">
        <v>0</v>
      </c>
      <c r="X961" s="1">
        <v>23020</v>
      </c>
      <c r="Y961" s="1">
        <v>2367</v>
      </c>
      <c r="Z961" s="1">
        <v>3117</v>
      </c>
      <c r="AA961">
        <v>1</v>
      </c>
      <c r="AB961" t="str">
        <f t="shared" si="14"/>
        <v>Defaulter</v>
      </c>
      <c r="AC961" s="1">
        <f>Table2[[#This Row],[BILL_AMT1]]-Table2[[#This Row],[PAY_AMT1]]</f>
        <v>1338</v>
      </c>
      <c r="AD961" s="1" t="str" cm="1">
        <f t="array" ref="AD961">_xlfn.IFS(Table2[[#This Row],[PAYMENT GAP]]&lt;=0,"No Gap / Overpaid",Table2[[#This Row],[PAYMENT GAP]]&lt;=25000,"Low Gap",Table2[[#This Row],[PAYMENT GAP]]&lt;=100000,"Medium Gap",
TRUE,"High Gap"
)</f>
        <v>Low Gap</v>
      </c>
    </row>
    <row r="962" spans="1:30" x14ac:dyDescent="0.3">
      <c r="A962">
        <v>961</v>
      </c>
      <c r="B962" s="1">
        <v>380000</v>
      </c>
      <c r="C962" s="1" t="str" cm="1">
        <f t="array" ref="C962">_xlfn.IFS(Table2[[#This Row],[LIMIT_BAL]]&lt;=100000,"Low",Table2[[#This Row],[LIMIT_BAL]]&lt;=300000,"Medium",
TRUE,"High"
)</f>
        <v>High</v>
      </c>
      <c r="D962" t="s">
        <v>2042</v>
      </c>
      <c r="E962" t="s">
        <v>2026</v>
      </c>
      <c r="F962" t="s">
        <v>2029</v>
      </c>
      <c r="G962">
        <v>43</v>
      </c>
      <c r="H962" t="str" cm="1">
        <f t="array" ref="H962">_xlfn.IFS(
Table2[[#This Row],[AGE]]&lt;30,"Young",
Table2[[#This Row],[AGE]]&lt;40,"Middle Age",
Table2[[#This Row],[AGE]]&lt;50,"Senior",
TRUE,"Super Senior"
)</f>
        <v>Senior</v>
      </c>
      <c r="I962">
        <v>1</v>
      </c>
      <c r="J962">
        <v>2</v>
      </c>
      <c r="K962">
        <v>2</v>
      </c>
      <c r="L962">
        <v>-2</v>
      </c>
      <c r="M962">
        <v>-2</v>
      </c>
      <c r="N962">
        <v>-2</v>
      </c>
      <c r="O962" s="1">
        <v>8201</v>
      </c>
      <c r="P962" s="1">
        <v>7882</v>
      </c>
      <c r="Q962" s="1">
        <v>-2</v>
      </c>
      <c r="R962" s="1">
        <v>-2</v>
      </c>
      <c r="S962" s="1">
        <v>-2</v>
      </c>
      <c r="T962" s="1">
        <v>-2</v>
      </c>
      <c r="U962" s="1">
        <v>39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>
        <v>1</v>
      </c>
      <c r="AB962" t="str">
        <f t="shared" si="14"/>
        <v>Defaulter</v>
      </c>
      <c r="AC962" s="1">
        <f>Table2[[#This Row],[BILL_AMT1]]-Table2[[#This Row],[PAY_AMT1]]</f>
        <v>8162</v>
      </c>
      <c r="AD962" s="1" t="str" cm="1">
        <f t="array" ref="AD962">_xlfn.IFS(Table2[[#This Row],[PAYMENT GAP]]&lt;=0,"No Gap / Overpaid",Table2[[#This Row],[PAYMENT GAP]]&lt;=25000,"Low Gap",Table2[[#This Row],[PAYMENT GAP]]&lt;=100000,"Medium Gap",
TRUE,"High Gap"
)</f>
        <v>Low Gap</v>
      </c>
    </row>
    <row r="963" spans="1:30" x14ac:dyDescent="0.3">
      <c r="A963">
        <v>962</v>
      </c>
      <c r="B963" s="1">
        <v>30000</v>
      </c>
      <c r="C963" s="1" t="str" cm="1">
        <f t="array" ref="C963">_xlfn.IFS(Table2[[#This Row],[LIMIT_BAL]]&lt;=100000,"Low",Table2[[#This Row],[LIMIT_BAL]]&lt;=300000,"Medium",
TRUE,"High"
)</f>
        <v>Low</v>
      </c>
      <c r="D963" t="s">
        <v>2042</v>
      </c>
      <c r="E963" t="s">
        <v>2043</v>
      </c>
      <c r="F963" t="s">
        <v>2029</v>
      </c>
      <c r="G963">
        <v>47</v>
      </c>
      <c r="H963" t="str" cm="1">
        <f t="array" ref="H963">_xlfn.IFS(
Table2[[#This Row],[AGE]]&lt;30,"Young",
Table2[[#This Row],[AGE]]&lt;40,"Middle Age",
Table2[[#This Row],[AGE]]&lt;50,"Senior",
TRUE,"Super Senior"
)</f>
        <v>Senior</v>
      </c>
      <c r="I963">
        <v>-1</v>
      </c>
      <c r="J963">
        <v>-1</v>
      </c>
      <c r="K963">
        <v>-1</v>
      </c>
      <c r="L963">
        <v>-1</v>
      </c>
      <c r="M963">
        <v>0</v>
      </c>
      <c r="N963">
        <v>-1</v>
      </c>
      <c r="O963" s="1">
        <v>396</v>
      </c>
      <c r="P963" s="1">
        <v>396</v>
      </c>
      <c r="Q963" s="1">
        <v>396</v>
      </c>
      <c r="R963" s="1">
        <v>792</v>
      </c>
      <c r="S963" s="1">
        <v>396</v>
      </c>
      <c r="T963" s="1">
        <v>772</v>
      </c>
      <c r="U963" s="1">
        <v>396</v>
      </c>
      <c r="V963" s="1">
        <v>396</v>
      </c>
      <c r="W963" s="1">
        <v>792</v>
      </c>
      <c r="X963" s="1">
        <v>0</v>
      </c>
      <c r="Y963" s="1">
        <v>772</v>
      </c>
      <c r="Z963" s="1">
        <v>0</v>
      </c>
      <c r="AA963">
        <v>0</v>
      </c>
      <c r="AB963" t="str">
        <f t="shared" ref="AB963:AB1026" si="15">IF(AA963=1,"Defaulter","Not Defaulter")</f>
        <v>Not Defaulter</v>
      </c>
      <c r="AC963" s="1">
        <f>Table2[[#This Row],[BILL_AMT1]]-Table2[[#This Row],[PAY_AMT1]]</f>
        <v>0</v>
      </c>
      <c r="AD963" s="1" t="str" cm="1">
        <f t="array" ref="AD963">_xlfn.IFS(Table2[[#This Row],[PAYMENT GAP]]&lt;=0,"No Gap / Overpaid",Table2[[#This Row],[PAYMENT GAP]]&lt;=25000,"Low Gap",Table2[[#This Row],[PAYMENT GAP]]&lt;=100000,"Medium Gap",
TRUE,"High Gap"
)</f>
        <v>No Gap / Overpaid</v>
      </c>
    </row>
    <row r="964" spans="1:30" x14ac:dyDescent="0.3">
      <c r="A964">
        <v>963</v>
      </c>
      <c r="B964" s="1">
        <v>200000</v>
      </c>
      <c r="C964" s="1" t="str" cm="1">
        <f t="array" ref="C964">_xlfn.IFS(Table2[[#This Row],[LIMIT_BAL]]&lt;=100000,"Low",Table2[[#This Row],[LIMIT_BAL]]&lt;=300000,"Medium",
TRUE,"High"
)</f>
        <v>Medium</v>
      </c>
      <c r="D964" t="s">
        <v>2042</v>
      </c>
      <c r="E964" t="s">
        <v>2043</v>
      </c>
      <c r="F964" t="s">
        <v>2029</v>
      </c>
      <c r="G964">
        <v>31</v>
      </c>
      <c r="H964" t="str" cm="1">
        <f t="array" ref="H964">_xlfn.IFS(
Table2[[#This Row],[AGE]]&lt;30,"Young",
Table2[[#This Row],[AGE]]&lt;40,"Middle Age",
Table2[[#This Row],[AGE]]&lt;50,"Senior",
TRUE,"Super Senior"
)</f>
        <v>Middle Age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 s="1">
        <v>33781</v>
      </c>
      <c r="P964" s="1">
        <v>35879</v>
      </c>
      <c r="Q964" s="1">
        <v>26043</v>
      </c>
      <c r="R964" s="1">
        <v>27497</v>
      </c>
      <c r="S964" s="1">
        <v>29082</v>
      </c>
      <c r="T964" s="1">
        <v>31647</v>
      </c>
      <c r="U964" s="1">
        <v>3000</v>
      </c>
      <c r="V964" s="1">
        <v>2000</v>
      </c>
      <c r="W964" s="1">
        <v>2000</v>
      </c>
      <c r="X964" s="1">
        <v>2000</v>
      </c>
      <c r="Y964" s="1">
        <v>3000</v>
      </c>
      <c r="Z964" s="1">
        <v>4000</v>
      </c>
      <c r="AA964">
        <v>0</v>
      </c>
      <c r="AB964" t="str">
        <f t="shared" si="15"/>
        <v>Not Defaulter</v>
      </c>
      <c r="AC964" s="1">
        <f>Table2[[#This Row],[BILL_AMT1]]-Table2[[#This Row],[PAY_AMT1]]</f>
        <v>30781</v>
      </c>
      <c r="AD964" s="1" t="str" cm="1">
        <f t="array" ref="AD964">_xlfn.IFS(Table2[[#This Row],[PAYMENT GAP]]&lt;=0,"No Gap / Overpaid",Table2[[#This Row],[PAYMENT GAP]]&lt;=25000,"Low Gap",Table2[[#This Row],[PAYMENT GAP]]&lt;=100000,"Medium Gap",
TRUE,"High Gap"
)</f>
        <v>Medium Gap</v>
      </c>
    </row>
    <row r="965" spans="1:30" x14ac:dyDescent="0.3">
      <c r="A965">
        <v>964</v>
      </c>
      <c r="B965" s="1">
        <v>30000</v>
      </c>
      <c r="C965" s="1" t="str" cm="1">
        <f t="array" ref="C965">_xlfn.IFS(Table2[[#This Row],[LIMIT_BAL]]&lt;=100000,"Low",Table2[[#This Row],[LIMIT_BAL]]&lt;=300000,"Medium",
TRUE,"High"
)</f>
        <v>Low</v>
      </c>
      <c r="D965" t="s">
        <v>2042</v>
      </c>
      <c r="E965" t="s">
        <v>2043</v>
      </c>
      <c r="F965" t="s">
        <v>2029</v>
      </c>
      <c r="G965">
        <v>30</v>
      </c>
      <c r="H965" t="str" cm="1">
        <f t="array" ref="H965">_xlfn.IFS(
Table2[[#This Row],[AGE]]&lt;30,"Young",
Table2[[#This Row],[AGE]]&lt;40,"Middle Age",
Table2[[#This Row],[AGE]]&lt;50,"Senior",
TRUE,"Super Senior"
)</f>
        <v>Middle Age</v>
      </c>
      <c r="I965">
        <v>-1</v>
      </c>
      <c r="J965">
        <v>0</v>
      </c>
      <c r="K965">
        <v>0</v>
      </c>
      <c r="L965">
        <v>0</v>
      </c>
      <c r="M965">
        <v>0</v>
      </c>
      <c r="N965">
        <v>0</v>
      </c>
      <c r="O965" s="1">
        <v>27826</v>
      </c>
      <c r="P965" s="1">
        <v>28672</v>
      </c>
      <c r="Q965" s="1">
        <v>29622</v>
      </c>
      <c r="R965" s="1">
        <v>30271</v>
      </c>
      <c r="S965" s="1">
        <v>24536</v>
      </c>
      <c r="T965" s="1">
        <v>22913</v>
      </c>
      <c r="U965" s="1">
        <v>1600</v>
      </c>
      <c r="V965" s="1">
        <v>1500</v>
      </c>
      <c r="W965" s="1">
        <v>1000</v>
      </c>
      <c r="X965" s="1">
        <v>1000</v>
      </c>
      <c r="Y965" s="1">
        <v>1000</v>
      </c>
      <c r="Z965" s="1">
        <v>1000</v>
      </c>
      <c r="AA965">
        <v>0</v>
      </c>
      <c r="AB965" t="str">
        <f t="shared" si="15"/>
        <v>Not Defaulter</v>
      </c>
      <c r="AC965" s="1">
        <f>Table2[[#This Row],[BILL_AMT1]]-Table2[[#This Row],[PAY_AMT1]]</f>
        <v>26226</v>
      </c>
      <c r="AD965" s="1" t="str" cm="1">
        <f t="array" ref="AD965">_xlfn.IFS(Table2[[#This Row],[PAYMENT GAP]]&lt;=0,"No Gap / Overpaid",Table2[[#This Row],[PAYMENT GAP]]&lt;=25000,"Low Gap",Table2[[#This Row],[PAYMENT GAP]]&lt;=100000,"Medium Gap",
TRUE,"High Gap"
)</f>
        <v>Medium Gap</v>
      </c>
    </row>
    <row r="966" spans="1:30" x14ac:dyDescent="0.3">
      <c r="A966">
        <v>965</v>
      </c>
      <c r="B966" s="1">
        <v>50000</v>
      </c>
      <c r="C966" s="1" t="str" cm="1">
        <f t="array" ref="C966">_xlfn.IFS(Table2[[#This Row],[LIMIT_BAL]]&lt;=100000,"Low",Table2[[#This Row],[LIMIT_BAL]]&lt;=300000,"Medium",
TRUE,"High"
)</f>
        <v>Low</v>
      </c>
      <c r="D966" t="s">
        <v>2042</v>
      </c>
      <c r="E966" t="s">
        <v>2043</v>
      </c>
      <c r="F966" t="s">
        <v>2029</v>
      </c>
      <c r="G966">
        <v>24</v>
      </c>
      <c r="H966" t="str" cm="1">
        <f t="array" ref="H966">_xlfn.IFS(
Table2[[#This Row],[AGE]]&lt;30,"Young",
Table2[[#This Row],[AGE]]&lt;40,"Middle Age",
Table2[[#This Row],[AGE]]&lt;50,"Senior",
TRUE,"Super Senior"
)</f>
        <v>Young</v>
      </c>
      <c r="I966">
        <v>0</v>
      </c>
      <c r="J966">
        <v>0</v>
      </c>
      <c r="K966">
        <v>-1</v>
      </c>
      <c r="L966">
        <v>-1</v>
      </c>
      <c r="M966">
        <v>0</v>
      </c>
      <c r="N966">
        <v>0</v>
      </c>
      <c r="O966" s="1">
        <v>14937</v>
      </c>
      <c r="P966" s="1">
        <v>12171</v>
      </c>
      <c r="Q966" s="1">
        <v>3847</v>
      </c>
      <c r="R966" s="1">
        <v>11117</v>
      </c>
      <c r="S966" s="1">
        <v>6479</v>
      </c>
      <c r="T966" s="1">
        <v>6187</v>
      </c>
      <c r="U966" s="1">
        <v>3027</v>
      </c>
      <c r="V966" s="1">
        <v>3858</v>
      </c>
      <c r="W966" s="1">
        <v>11139</v>
      </c>
      <c r="X966" s="1">
        <v>3009</v>
      </c>
      <c r="Y966" s="1">
        <v>3016</v>
      </c>
      <c r="Z966" s="1">
        <v>3008</v>
      </c>
      <c r="AA966">
        <v>0</v>
      </c>
      <c r="AB966" t="str">
        <f t="shared" si="15"/>
        <v>Not Defaulter</v>
      </c>
      <c r="AC966" s="1">
        <f>Table2[[#This Row],[BILL_AMT1]]-Table2[[#This Row],[PAY_AMT1]]</f>
        <v>11910</v>
      </c>
      <c r="AD966" s="1" t="str" cm="1">
        <f t="array" ref="AD966">_xlfn.IFS(Table2[[#This Row],[PAYMENT GAP]]&lt;=0,"No Gap / Overpaid",Table2[[#This Row],[PAYMENT GAP]]&lt;=25000,"Low Gap",Table2[[#This Row],[PAYMENT GAP]]&lt;=100000,"Medium Gap",
TRUE,"High Gap"
)</f>
        <v>Low Gap</v>
      </c>
    </row>
    <row r="967" spans="1:30" x14ac:dyDescent="0.3">
      <c r="A967">
        <v>966</v>
      </c>
      <c r="B967" s="1">
        <v>500000</v>
      </c>
      <c r="C967" s="1" t="str" cm="1">
        <f t="array" ref="C967">_xlfn.IFS(Table2[[#This Row],[LIMIT_BAL]]&lt;=100000,"Low",Table2[[#This Row],[LIMIT_BAL]]&lt;=300000,"Medium",
TRUE,"High"
)</f>
        <v>High</v>
      </c>
      <c r="D967" t="s">
        <v>2042</v>
      </c>
      <c r="E967" t="s">
        <v>2026</v>
      </c>
      <c r="F967" t="s">
        <v>2028</v>
      </c>
      <c r="G967">
        <v>36</v>
      </c>
      <c r="H967" t="str" cm="1">
        <f t="array" ref="H967">_xlfn.IFS(
Table2[[#This Row],[AGE]]&lt;30,"Young",
Table2[[#This Row],[AGE]]&lt;40,"Middle Age",
Table2[[#This Row],[AGE]]&lt;50,"Senior",
TRUE,"Super Senior"
)</f>
        <v>Middle Age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 s="1">
        <v>294827</v>
      </c>
      <c r="P967" s="1">
        <v>292920</v>
      </c>
      <c r="Q967" s="1">
        <v>291760</v>
      </c>
      <c r="R967" s="1">
        <v>288024</v>
      </c>
      <c r="S967" s="1">
        <v>274632</v>
      </c>
      <c r="T967" s="1">
        <v>266669</v>
      </c>
      <c r="U967" s="1">
        <v>20007</v>
      </c>
      <c r="V967" s="1">
        <v>20026</v>
      </c>
      <c r="W967" s="1">
        <v>20020</v>
      </c>
      <c r="X967" s="1">
        <v>10017</v>
      </c>
      <c r="Y967" s="1">
        <v>15024</v>
      </c>
      <c r="Z967" s="1">
        <v>10002</v>
      </c>
      <c r="AA967">
        <v>0</v>
      </c>
      <c r="AB967" t="str">
        <f t="shared" si="15"/>
        <v>Not Defaulter</v>
      </c>
      <c r="AC967" s="1">
        <f>Table2[[#This Row],[BILL_AMT1]]-Table2[[#This Row],[PAY_AMT1]]</f>
        <v>274820</v>
      </c>
      <c r="AD967" s="1" t="str" cm="1">
        <f t="array" ref="AD967">_xlfn.IFS(Table2[[#This Row],[PAYMENT GAP]]&lt;=0,"No Gap / Overpaid",Table2[[#This Row],[PAYMENT GAP]]&lt;=25000,"Low Gap",Table2[[#This Row],[PAYMENT GAP]]&lt;=100000,"Medium Gap",
TRUE,"High Gap"
)</f>
        <v>High Gap</v>
      </c>
    </row>
    <row r="968" spans="1:30" x14ac:dyDescent="0.3">
      <c r="A968">
        <v>967</v>
      </c>
      <c r="B968" s="1">
        <v>30000</v>
      </c>
      <c r="C968" s="1" t="str" cm="1">
        <f t="array" ref="C968">_xlfn.IFS(Table2[[#This Row],[LIMIT_BAL]]&lt;=100000,"Low",Table2[[#This Row],[LIMIT_BAL]]&lt;=300000,"Medium",
TRUE,"High"
)</f>
        <v>Low</v>
      </c>
      <c r="D968" t="s">
        <v>2042</v>
      </c>
      <c r="E968" t="s">
        <v>2026</v>
      </c>
      <c r="F968" t="s">
        <v>2029</v>
      </c>
      <c r="G968">
        <v>28</v>
      </c>
      <c r="H968" t="str" cm="1">
        <f t="array" ref="H968">_xlfn.IFS(
Table2[[#This Row],[AGE]]&lt;30,"Young",
Table2[[#This Row],[AGE]]&lt;40,"Middle Age",
Table2[[#This Row],[AGE]]&lt;50,"Senior",
TRUE,"Super Senior"
)</f>
        <v>Young</v>
      </c>
      <c r="I968">
        <v>1</v>
      </c>
      <c r="J968">
        <v>-2</v>
      </c>
      <c r="K968">
        <v>-1</v>
      </c>
      <c r="L968">
        <v>-1</v>
      </c>
      <c r="M968">
        <v>-1</v>
      </c>
      <c r="N968">
        <v>-2</v>
      </c>
      <c r="O968" s="1">
        <v>0</v>
      </c>
      <c r="P968" s="1">
        <v>0</v>
      </c>
      <c r="Q968" s="1">
        <v>1310</v>
      </c>
      <c r="R968" s="1">
        <v>816</v>
      </c>
      <c r="S968" s="1">
        <v>0</v>
      </c>
      <c r="T968" s="1">
        <v>0</v>
      </c>
      <c r="U968" s="1">
        <v>0</v>
      </c>
      <c r="V968" s="1">
        <v>1310</v>
      </c>
      <c r="W968" s="1">
        <v>816</v>
      </c>
      <c r="X968" s="1">
        <v>0</v>
      </c>
      <c r="Y968" s="1">
        <v>0</v>
      </c>
      <c r="Z968" s="1">
        <v>0</v>
      </c>
      <c r="AA968">
        <v>0</v>
      </c>
      <c r="AB968" t="str">
        <f t="shared" si="15"/>
        <v>Not Defaulter</v>
      </c>
      <c r="AC968" s="1">
        <f>Table2[[#This Row],[BILL_AMT1]]-Table2[[#This Row],[PAY_AMT1]]</f>
        <v>0</v>
      </c>
      <c r="AD968" s="1" t="str" cm="1">
        <f t="array" ref="AD968">_xlfn.IFS(Table2[[#This Row],[PAYMENT GAP]]&lt;=0,"No Gap / Overpaid",Table2[[#This Row],[PAYMENT GAP]]&lt;=25000,"Low Gap",Table2[[#This Row],[PAYMENT GAP]]&lt;=100000,"Medium Gap",
TRUE,"High Gap"
)</f>
        <v>No Gap / Overpaid</v>
      </c>
    </row>
    <row r="969" spans="1:30" x14ac:dyDescent="0.3">
      <c r="A969">
        <v>968</v>
      </c>
      <c r="B969" s="1">
        <v>220000</v>
      </c>
      <c r="C969" s="1" t="str" cm="1">
        <f t="array" ref="C969">_xlfn.IFS(Table2[[#This Row],[LIMIT_BAL]]&lt;=100000,"Low",Table2[[#This Row],[LIMIT_BAL]]&lt;=300000,"Medium",
TRUE,"High"
)</f>
        <v>Medium</v>
      </c>
      <c r="D969" t="s">
        <v>2041</v>
      </c>
      <c r="E969" t="s">
        <v>2026</v>
      </c>
      <c r="F969" t="s">
        <v>2028</v>
      </c>
      <c r="G969">
        <v>36</v>
      </c>
      <c r="H969" t="str" cm="1">
        <f t="array" ref="H969">_xlfn.IFS(
Table2[[#This Row],[AGE]]&lt;30,"Young",
Table2[[#This Row],[AGE]]&lt;40,"Middle Age",
Table2[[#This Row],[AGE]]&lt;50,"Senior",
TRUE,"Super Senior"
)</f>
        <v>Middle Age</v>
      </c>
      <c r="I969">
        <v>-1</v>
      </c>
      <c r="J969">
        <v>-1</v>
      </c>
      <c r="K969">
        <v>0</v>
      </c>
      <c r="L969">
        <v>-1</v>
      </c>
      <c r="M969">
        <v>-1</v>
      </c>
      <c r="N969">
        <v>-1</v>
      </c>
      <c r="O969" s="1">
        <v>996</v>
      </c>
      <c r="P969" s="1">
        <v>4102</v>
      </c>
      <c r="Q969" s="1">
        <v>4111</v>
      </c>
      <c r="R969" s="1">
        <v>1057</v>
      </c>
      <c r="S969" s="1">
        <v>990</v>
      </c>
      <c r="T969" s="1">
        <v>1324</v>
      </c>
      <c r="U969" s="1">
        <v>4102</v>
      </c>
      <c r="V969" s="1">
        <v>1111</v>
      </c>
      <c r="W969" s="1">
        <v>1057</v>
      </c>
      <c r="X969" s="1">
        <v>990</v>
      </c>
      <c r="Y969" s="1">
        <v>1324</v>
      </c>
      <c r="Z969" s="1">
        <v>1039</v>
      </c>
      <c r="AA969">
        <v>0</v>
      </c>
      <c r="AB969" t="str">
        <f t="shared" si="15"/>
        <v>Not Defaulter</v>
      </c>
      <c r="AC969" s="1">
        <f>Table2[[#This Row],[BILL_AMT1]]-Table2[[#This Row],[PAY_AMT1]]</f>
        <v>-3106</v>
      </c>
      <c r="AD969" s="1" t="str" cm="1">
        <f t="array" ref="AD969">_xlfn.IFS(Table2[[#This Row],[PAYMENT GAP]]&lt;=0,"No Gap / Overpaid",Table2[[#This Row],[PAYMENT GAP]]&lt;=25000,"Low Gap",Table2[[#This Row],[PAYMENT GAP]]&lt;=100000,"Medium Gap",
TRUE,"High Gap"
)</f>
        <v>No Gap / Overpaid</v>
      </c>
    </row>
    <row r="970" spans="1:30" x14ac:dyDescent="0.3">
      <c r="A970">
        <v>969</v>
      </c>
      <c r="B970" s="1">
        <v>20000</v>
      </c>
      <c r="C970" s="1" t="str" cm="1">
        <f t="array" ref="C970">_xlfn.IFS(Table2[[#This Row],[LIMIT_BAL]]&lt;=100000,"Low",Table2[[#This Row],[LIMIT_BAL]]&lt;=300000,"Medium",
TRUE,"High"
)</f>
        <v>Low</v>
      </c>
      <c r="D970" t="s">
        <v>2041</v>
      </c>
      <c r="E970" t="s">
        <v>2043</v>
      </c>
      <c r="F970" t="s">
        <v>2028</v>
      </c>
      <c r="G970">
        <v>27</v>
      </c>
      <c r="H970" t="str" cm="1">
        <f t="array" ref="H970">_xlfn.IFS(
Table2[[#This Row],[AGE]]&lt;30,"Young",
Table2[[#This Row],[AGE]]&lt;40,"Middle Age",
Table2[[#This Row],[AGE]]&lt;50,"Senior",
TRUE,"Super Senior"
)</f>
        <v>Young</v>
      </c>
      <c r="I970">
        <v>0</v>
      </c>
      <c r="J970">
        <v>0</v>
      </c>
      <c r="K970">
        <v>0</v>
      </c>
      <c r="L970">
        <v>-1</v>
      </c>
      <c r="M970">
        <v>0</v>
      </c>
      <c r="N970">
        <v>0</v>
      </c>
      <c r="O970" s="1">
        <v>42784</v>
      </c>
      <c r="P970" s="1">
        <v>41009</v>
      </c>
      <c r="Q970" s="1">
        <v>44267</v>
      </c>
      <c r="R970" s="1">
        <v>47149</v>
      </c>
      <c r="S970" s="1">
        <v>48497</v>
      </c>
      <c r="T970" s="1">
        <v>14774</v>
      </c>
      <c r="U970" s="1">
        <v>3000</v>
      </c>
      <c r="V970" s="1">
        <v>5000</v>
      </c>
      <c r="W970" s="1">
        <v>10000</v>
      </c>
      <c r="X970" s="1">
        <v>3011</v>
      </c>
      <c r="Y970" s="1">
        <v>2011</v>
      </c>
      <c r="Z970" s="1">
        <v>2011</v>
      </c>
      <c r="AA970">
        <v>0</v>
      </c>
      <c r="AB970" t="str">
        <f t="shared" si="15"/>
        <v>Not Defaulter</v>
      </c>
      <c r="AC970" s="1">
        <f>Table2[[#This Row],[BILL_AMT1]]-Table2[[#This Row],[PAY_AMT1]]</f>
        <v>39784</v>
      </c>
      <c r="AD970" s="1" t="str" cm="1">
        <f t="array" ref="AD970">_xlfn.IFS(Table2[[#This Row],[PAYMENT GAP]]&lt;=0,"No Gap / Overpaid",Table2[[#This Row],[PAYMENT GAP]]&lt;=25000,"Low Gap",Table2[[#This Row],[PAYMENT GAP]]&lt;=100000,"Medium Gap",
TRUE,"High Gap"
)</f>
        <v>Medium Gap</v>
      </c>
    </row>
    <row r="971" spans="1:30" x14ac:dyDescent="0.3">
      <c r="A971">
        <v>970</v>
      </c>
      <c r="B971" s="1">
        <v>180000</v>
      </c>
      <c r="C971" s="1" t="str" cm="1">
        <f t="array" ref="C971">_xlfn.IFS(Table2[[#This Row],[LIMIT_BAL]]&lt;=100000,"Low",Table2[[#This Row],[LIMIT_BAL]]&lt;=300000,"Medium",
TRUE,"High"
)</f>
        <v>Medium</v>
      </c>
      <c r="D971" t="s">
        <v>2041</v>
      </c>
      <c r="E971" t="s">
        <v>2043</v>
      </c>
      <c r="F971" t="s">
        <v>2028</v>
      </c>
      <c r="G971">
        <v>32</v>
      </c>
      <c r="H971" t="str" cm="1">
        <f t="array" ref="H971">_xlfn.IFS(
Table2[[#This Row],[AGE]]&lt;30,"Young",
Table2[[#This Row],[AGE]]&lt;40,"Middle Age",
Table2[[#This Row],[AGE]]&lt;50,"Senior",
TRUE,"Super Senior"
)</f>
        <v>Middle Age</v>
      </c>
      <c r="I971">
        <v>0</v>
      </c>
      <c r="J971">
        <v>0</v>
      </c>
      <c r="K971">
        <v>0</v>
      </c>
      <c r="L971">
        <v>0</v>
      </c>
      <c r="M971">
        <v>-1</v>
      </c>
      <c r="N971">
        <v>-1</v>
      </c>
      <c r="O971" s="1">
        <v>74189</v>
      </c>
      <c r="P971" s="1">
        <v>30670</v>
      </c>
      <c r="Q971" s="1">
        <v>6428</v>
      </c>
      <c r="R971" s="1">
        <v>4618</v>
      </c>
      <c r="S971" s="1">
        <v>2708</v>
      </c>
      <c r="T971" s="1">
        <v>54024</v>
      </c>
      <c r="U971" s="1">
        <v>2000</v>
      </c>
      <c r="V971" s="1">
        <v>1000</v>
      </c>
      <c r="W971" s="1">
        <v>0</v>
      </c>
      <c r="X971" s="1">
        <v>2708</v>
      </c>
      <c r="Y971" s="1">
        <v>54024</v>
      </c>
      <c r="Z971" s="1">
        <v>2000</v>
      </c>
      <c r="AA971">
        <v>0</v>
      </c>
      <c r="AB971" t="str">
        <f t="shared" si="15"/>
        <v>Not Defaulter</v>
      </c>
      <c r="AC971" s="1">
        <f>Table2[[#This Row],[BILL_AMT1]]-Table2[[#This Row],[PAY_AMT1]]</f>
        <v>72189</v>
      </c>
      <c r="AD971" s="1" t="str" cm="1">
        <f t="array" ref="AD971">_xlfn.IFS(Table2[[#This Row],[PAYMENT GAP]]&lt;=0,"No Gap / Overpaid",Table2[[#This Row],[PAYMENT GAP]]&lt;=25000,"Low Gap",Table2[[#This Row],[PAYMENT GAP]]&lt;=100000,"Medium Gap",
TRUE,"High Gap"
)</f>
        <v>Medium Gap</v>
      </c>
    </row>
    <row r="972" spans="1:30" x14ac:dyDescent="0.3">
      <c r="A972">
        <v>971</v>
      </c>
      <c r="B972" s="1">
        <v>300000</v>
      </c>
      <c r="C972" s="1" t="str" cm="1">
        <f t="array" ref="C972">_xlfn.IFS(Table2[[#This Row],[LIMIT_BAL]]&lt;=100000,"Low",Table2[[#This Row],[LIMIT_BAL]]&lt;=300000,"Medium",
TRUE,"High"
)</f>
        <v>Medium</v>
      </c>
      <c r="D972" t="s">
        <v>2042</v>
      </c>
      <c r="E972" t="s">
        <v>2026</v>
      </c>
      <c r="F972" t="s">
        <v>2028</v>
      </c>
      <c r="G972">
        <v>42</v>
      </c>
      <c r="H972" t="str" cm="1">
        <f t="array" ref="H972">_xlfn.IFS(
Table2[[#This Row],[AGE]]&lt;30,"Young",
Table2[[#This Row],[AGE]]&lt;40,"Middle Age",
Table2[[#This Row],[AGE]]&lt;50,"Senior",
TRUE,"Super Senior"
)</f>
        <v>Senior</v>
      </c>
      <c r="I972">
        <v>-1</v>
      </c>
      <c r="J972">
        <v>0</v>
      </c>
      <c r="K972">
        <v>0</v>
      </c>
      <c r="L972">
        <v>-1</v>
      </c>
      <c r="M972">
        <v>0</v>
      </c>
      <c r="N972">
        <v>0</v>
      </c>
      <c r="O972" s="1">
        <v>11973</v>
      </c>
      <c r="P972" s="1">
        <v>61834</v>
      </c>
      <c r="Q972" s="1">
        <v>25145</v>
      </c>
      <c r="R972" s="1">
        <v>37666</v>
      </c>
      <c r="S972" s="1">
        <v>19453</v>
      </c>
      <c r="T972" s="1">
        <v>10492</v>
      </c>
      <c r="U972" s="1">
        <v>20979</v>
      </c>
      <c r="V972" s="1">
        <v>5000</v>
      </c>
      <c r="W972" s="1">
        <v>37676</v>
      </c>
      <c r="X972" s="1">
        <v>8808</v>
      </c>
      <c r="Y972" s="1">
        <v>2000</v>
      </c>
      <c r="Z972" s="1">
        <v>2709</v>
      </c>
      <c r="AA972">
        <v>1</v>
      </c>
      <c r="AB972" t="str">
        <f t="shared" si="15"/>
        <v>Defaulter</v>
      </c>
      <c r="AC972" s="1">
        <f>Table2[[#This Row],[BILL_AMT1]]-Table2[[#This Row],[PAY_AMT1]]</f>
        <v>-9006</v>
      </c>
      <c r="AD972" s="1" t="str" cm="1">
        <f t="array" ref="AD972">_xlfn.IFS(Table2[[#This Row],[PAYMENT GAP]]&lt;=0,"No Gap / Overpaid",Table2[[#This Row],[PAYMENT GAP]]&lt;=25000,"Low Gap",Table2[[#This Row],[PAYMENT GAP]]&lt;=100000,"Medium Gap",
TRUE,"High Gap"
)</f>
        <v>No Gap / Overpaid</v>
      </c>
    </row>
    <row r="973" spans="1:30" x14ac:dyDescent="0.3">
      <c r="A973">
        <v>972</v>
      </c>
      <c r="B973" s="1">
        <v>130000</v>
      </c>
      <c r="C973" s="1" t="str" cm="1">
        <f t="array" ref="C973">_xlfn.IFS(Table2[[#This Row],[LIMIT_BAL]]&lt;=100000,"Low",Table2[[#This Row],[LIMIT_BAL]]&lt;=300000,"Medium",
TRUE,"High"
)</f>
        <v>Medium</v>
      </c>
      <c r="D973" t="s">
        <v>2041</v>
      </c>
      <c r="E973" t="s">
        <v>2043</v>
      </c>
      <c r="F973" t="s">
        <v>2028</v>
      </c>
      <c r="G973">
        <v>33</v>
      </c>
      <c r="H973" t="str" cm="1">
        <f t="array" ref="H973">_xlfn.IFS(
Table2[[#This Row],[AGE]]&lt;30,"Young",
Table2[[#This Row],[AGE]]&lt;40,"Middle Age",
Table2[[#This Row],[AGE]]&lt;50,"Senior",
TRUE,"Super Senior"
)</f>
        <v>Middle Age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 s="1">
        <v>133461</v>
      </c>
      <c r="P973" s="1">
        <v>133393</v>
      </c>
      <c r="Q973" s="1">
        <v>132211</v>
      </c>
      <c r="R973" s="1">
        <v>101807</v>
      </c>
      <c r="S973" s="1">
        <v>101083</v>
      </c>
      <c r="T973" s="1">
        <v>101597</v>
      </c>
      <c r="U973" s="1">
        <v>7010</v>
      </c>
      <c r="V973" s="1">
        <v>6657</v>
      </c>
      <c r="W973" s="1">
        <v>3899</v>
      </c>
      <c r="X973" s="1">
        <v>3952</v>
      </c>
      <c r="Y973" s="1">
        <v>3900</v>
      </c>
      <c r="Z973" s="1">
        <v>4000</v>
      </c>
      <c r="AA973">
        <v>0</v>
      </c>
      <c r="AB973" t="str">
        <f t="shared" si="15"/>
        <v>Not Defaulter</v>
      </c>
      <c r="AC973" s="1">
        <f>Table2[[#This Row],[BILL_AMT1]]-Table2[[#This Row],[PAY_AMT1]]</f>
        <v>126451</v>
      </c>
      <c r="AD973" s="1" t="str" cm="1">
        <f t="array" ref="AD973">_xlfn.IFS(Table2[[#This Row],[PAYMENT GAP]]&lt;=0,"No Gap / Overpaid",Table2[[#This Row],[PAYMENT GAP]]&lt;=25000,"Low Gap",Table2[[#This Row],[PAYMENT GAP]]&lt;=100000,"Medium Gap",
TRUE,"High Gap"
)</f>
        <v>High Gap</v>
      </c>
    </row>
    <row r="974" spans="1:30" x14ac:dyDescent="0.3">
      <c r="A974">
        <v>973</v>
      </c>
      <c r="B974" s="1">
        <v>180000</v>
      </c>
      <c r="C974" s="1" t="str" cm="1">
        <f t="array" ref="C974">_xlfn.IFS(Table2[[#This Row],[LIMIT_BAL]]&lt;=100000,"Low",Table2[[#This Row],[LIMIT_BAL]]&lt;=300000,"Medium",
TRUE,"High"
)</f>
        <v>Medium</v>
      </c>
      <c r="D974" t="s">
        <v>2041</v>
      </c>
      <c r="E974" t="s">
        <v>2027</v>
      </c>
      <c r="F974" t="s">
        <v>2028</v>
      </c>
      <c r="G974">
        <v>39</v>
      </c>
      <c r="H974" t="str" cm="1">
        <f t="array" ref="H974">_xlfn.IFS(
Table2[[#This Row],[AGE]]&lt;30,"Young",
Table2[[#This Row],[AGE]]&lt;40,"Middle Age",
Table2[[#This Row],[AGE]]&lt;50,"Senior",
TRUE,"Super Senior"
)</f>
        <v>Middle Age</v>
      </c>
      <c r="I974">
        <v>2</v>
      </c>
      <c r="J974">
        <v>2</v>
      </c>
      <c r="K974">
        <v>2</v>
      </c>
      <c r="L974">
        <v>2</v>
      </c>
      <c r="M974">
        <v>2</v>
      </c>
      <c r="N974">
        <v>0</v>
      </c>
      <c r="O974" s="1">
        <v>10159</v>
      </c>
      <c r="P974" s="1">
        <v>12689</v>
      </c>
      <c r="Q974" s="1">
        <v>12183</v>
      </c>
      <c r="R974" s="1">
        <v>13979</v>
      </c>
      <c r="S974" s="1">
        <v>13621</v>
      </c>
      <c r="T974" s="1">
        <v>14809</v>
      </c>
      <c r="U974" s="1">
        <v>2710</v>
      </c>
      <c r="V974" s="1">
        <v>0</v>
      </c>
      <c r="W974" s="1">
        <v>2000</v>
      </c>
      <c r="X974" s="1">
        <v>0</v>
      </c>
      <c r="Y974" s="1">
        <v>2000</v>
      </c>
      <c r="Z974" s="1">
        <v>2000</v>
      </c>
      <c r="AA974">
        <v>1</v>
      </c>
      <c r="AB974" t="str">
        <f t="shared" si="15"/>
        <v>Defaulter</v>
      </c>
      <c r="AC974" s="1">
        <f>Table2[[#This Row],[BILL_AMT1]]-Table2[[#This Row],[PAY_AMT1]]</f>
        <v>7449</v>
      </c>
      <c r="AD974" s="1" t="str" cm="1">
        <f t="array" ref="AD974">_xlfn.IFS(Table2[[#This Row],[PAYMENT GAP]]&lt;=0,"No Gap / Overpaid",Table2[[#This Row],[PAYMENT GAP]]&lt;=25000,"Low Gap",Table2[[#This Row],[PAYMENT GAP]]&lt;=100000,"Medium Gap",
TRUE,"High Gap"
)</f>
        <v>Low Gap</v>
      </c>
    </row>
    <row r="975" spans="1:30" x14ac:dyDescent="0.3">
      <c r="A975">
        <v>974</v>
      </c>
      <c r="B975" s="1">
        <v>150000</v>
      </c>
      <c r="C975" s="1" t="str" cm="1">
        <f t="array" ref="C975">_xlfn.IFS(Table2[[#This Row],[LIMIT_BAL]]&lt;=100000,"Low",Table2[[#This Row],[LIMIT_BAL]]&lt;=300000,"Medium",
TRUE,"High"
)</f>
        <v>Medium</v>
      </c>
      <c r="D975" t="s">
        <v>2041</v>
      </c>
      <c r="E975" t="s">
        <v>2026</v>
      </c>
      <c r="F975" t="s">
        <v>2055</v>
      </c>
      <c r="G975">
        <v>30</v>
      </c>
      <c r="H975" t="str" cm="1">
        <f t="array" ref="H975">_xlfn.IFS(
Table2[[#This Row],[AGE]]&lt;30,"Young",
Table2[[#This Row],[AGE]]&lt;40,"Middle Age",
Table2[[#This Row],[AGE]]&lt;50,"Senior",
TRUE,"Super Senior"
)</f>
        <v>Middle Age</v>
      </c>
      <c r="I975">
        <v>-2</v>
      </c>
      <c r="J975">
        <v>-2</v>
      </c>
      <c r="K975">
        <v>-2</v>
      </c>
      <c r="L975">
        <v>-2</v>
      </c>
      <c r="M975">
        <v>-2</v>
      </c>
      <c r="N975">
        <v>-2</v>
      </c>
      <c r="O975" s="1">
        <v>50</v>
      </c>
      <c r="P975" s="1">
        <v>6527</v>
      </c>
      <c r="Q975" s="1">
        <v>2168</v>
      </c>
      <c r="R975" s="1">
        <v>-7</v>
      </c>
      <c r="S975" s="1">
        <v>1373</v>
      </c>
      <c r="T975" s="1">
        <v>-1</v>
      </c>
      <c r="U975" s="1">
        <v>8589</v>
      </c>
      <c r="V975" s="1">
        <v>2500</v>
      </c>
      <c r="W975" s="1">
        <v>0</v>
      </c>
      <c r="X975" s="1">
        <v>1380</v>
      </c>
      <c r="Y975" s="1">
        <v>0</v>
      </c>
      <c r="Z975" s="1">
        <v>2050</v>
      </c>
      <c r="AA975">
        <v>0</v>
      </c>
      <c r="AB975" t="str">
        <f t="shared" si="15"/>
        <v>Not Defaulter</v>
      </c>
      <c r="AC975" s="1">
        <f>Table2[[#This Row],[BILL_AMT1]]-Table2[[#This Row],[PAY_AMT1]]</f>
        <v>-8539</v>
      </c>
      <c r="AD975" s="1" t="str" cm="1">
        <f t="array" ref="AD975">_xlfn.IFS(Table2[[#This Row],[PAYMENT GAP]]&lt;=0,"No Gap / Overpaid",Table2[[#This Row],[PAYMENT GAP]]&lt;=25000,"Low Gap",Table2[[#This Row],[PAYMENT GAP]]&lt;=100000,"Medium Gap",
TRUE,"High Gap"
)</f>
        <v>No Gap / Overpaid</v>
      </c>
    </row>
    <row r="976" spans="1:30" x14ac:dyDescent="0.3">
      <c r="A976">
        <v>975</v>
      </c>
      <c r="B976" s="1">
        <v>140000</v>
      </c>
      <c r="C976" s="1" t="str" cm="1">
        <f t="array" ref="C976">_xlfn.IFS(Table2[[#This Row],[LIMIT_BAL]]&lt;=100000,"Low",Table2[[#This Row],[LIMIT_BAL]]&lt;=300000,"Medium",
TRUE,"High"
)</f>
        <v>Medium</v>
      </c>
      <c r="D976" t="s">
        <v>2042</v>
      </c>
      <c r="E976" t="s">
        <v>2043</v>
      </c>
      <c r="F976" t="s">
        <v>2028</v>
      </c>
      <c r="G976">
        <v>30</v>
      </c>
      <c r="H976" t="str" cm="1">
        <f t="array" ref="H976">_xlfn.IFS(
Table2[[#This Row],[AGE]]&lt;30,"Young",
Table2[[#This Row],[AGE]]&lt;40,"Middle Age",
Table2[[#This Row],[AGE]]&lt;50,"Senior",
TRUE,"Super Senior"
)</f>
        <v>Middle Age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 s="1">
        <v>134203</v>
      </c>
      <c r="P976" s="1">
        <v>127319</v>
      </c>
      <c r="Q976" s="1">
        <v>107496</v>
      </c>
      <c r="R976" s="1">
        <v>69218</v>
      </c>
      <c r="S976" s="1">
        <v>70702</v>
      </c>
      <c r="T976" s="1">
        <v>72267</v>
      </c>
      <c r="U976" s="1">
        <v>5000</v>
      </c>
      <c r="V976" s="1">
        <v>3500</v>
      </c>
      <c r="W976" s="1">
        <v>2700</v>
      </c>
      <c r="X976" s="1">
        <v>2600</v>
      </c>
      <c r="Y976" s="1">
        <v>2742</v>
      </c>
      <c r="Z976" s="1">
        <v>2700</v>
      </c>
      <c r="AA976">
        <v>1</v>
      </c>
      <c r="AB976" t="str">
        <f t="shared" si="15"/>
        <v>Defaulter</v>
      </c>
      <c r="AC976" s="1">
        <f>Table2[[#This Row],[BILL_AMT1]]-Table2[[#This Row],[PAY_AMT1]]</f>
        <v>129203</v>
      </c>
      <c r="AD976" s="1" t="str" cm="1">
        <f t="array" ref="AD976">_xlfn.IFS(Table2[[#This Row],[PAYMENT GAP]]&lt;=0,"No Gap / Overpaid",Table2[[#This Row],[PAYMENT GAP]]&lt;=25000,"Low Gap",Table2[[#This Row],[PAYMENT GAP]]&lt;=100000,"Medium Gap",
TRUE,"High Gap"
)</f>
        <v>High Gap</v>
      </c>
    </row>
    <row r="977" spans="1:30" x14ac:dyDescent="0.3">
      <c r="A977">
        <v>976</v>
      </c>
      <c r="B977" s="1">
        <v>50000</v>
      </c>
      <c r="C977" s="1" t="str" cm="1">
        <f t="array" ref="C977">_xlfn.IFS(Table2[[#This Row],[LIMIT_BAL]]&lt;=100000,"Low",Table2[[#This Row],[LIMIT_BAL]]&lt;=300000,"Medium",
TRUE,"High"
)</f>
        <v>Low</v>
      </c>
      <c r="D977" t="s">
        <v>2041</v>
      </c>
      <c r="E977" t="s">
        <v>2043</v>
      </c>
      <c r="F977" t="s">
        <v>2029</v>
      </c>
      <c r="G977">
        <v>22</v>
      </c>
      <c r="H977" t="str" cm="1">
        <f t="array" ref="H977">_xlfn.IFS(
Table2[[#This Row],[AGE]]&lt;30,"Young",
Table2[[#This Row],[AGE]]&lt;40,"Middle Age",
Table2[[#This Row],[AGE]]&lt;50,"Senior",
TRUE,"Super Senior"
)</f>
        <v>Young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 s="1">
        <v>49609</v>
      </c>
      <c r="P977" s="1">
        <v>61162</v>
      </c>
      <c r="Q977" s="1">
        <v>31485</v>
      </c>
      <c r="R977" s="1">
        <v>15281</v>
      </c>
      <c r="S977" s="1">
        <v>18031</v>
      </c>
      <c r="T977" s="1">
        <v>18233</v>
      </c>
      <c r="U977" s="1">
        <v>2100</v>
      </c>
      <c r="V977" s="1">
        <v>2000</v>
      </c>
      <c r="W977" s="1">
        <v>4000</v>
      </c>
      <c r="X977" s="1">
        <v>3000</v>
      </c>
      <c r="Y977" s="1">
        <v>1500</v>
      </c>
      <c r="Z977" s="1">
        <v>1000</v>
      </c>
      <c r="AA977">
        <v>0</v>
      </c>
      <c r="AB977" t="str">
        <f t="shared" si="15"/>
        <v>Not Defaulter</v>
      </c>
      <c r="AC977" s="1">
        <f>Table2[[#This Row],[BILL_AMT1]]-Table2[[#This Row],[PAY_AMT1]]</f>
        <v>47509</v>
      </c>
      <c r="AD977" s="1" t="str" cm="1">
        <f t="array" ref="AD977">_xlfn.IFS(Table2[[#This Row],[PAYMENT GAP]]&lt;=0,"No Gap / Overpaid",Table2[[#This Row],[PAYMENT GAP]]&lt;=25000,"Low Gap",Table2[[#This Row],[PAYMENT GAP]]&lt;=100000,"Medium Gap",
TRUE,"High Gap"
)</f>
        <v>Medium Gap</v>
      </c>
    </row>
    <row r="978" spans="1:30" x14ac:dyDescent="0.3">
      <c r="A978">
        <v>977</v>
      </c>
      <c r="B978" s="1">
        <v>20000</v>
      </c>
      <c r="C978" s="1" t="str" cm="1">
        <f t="array" ref="C978">_xlfn.IFS(Table2[[#This Row],[LIMIT_BAL]]&lt;=100000,"Low",Table2[[#This Row],[LIMIT_BAL]]&lt;=300000,"Medium",
TRUE,"High"
)</f>
        <v>Low</v>
      </c>
      <c r="D978" t="s">
        <v>2042</v>
      </c>
      <c r="E978" t="s">
        <v>2043</v>
      </c>
      <c r="F978" t="s">
        <v>2029</v>
      </c>
      <c r="G978">
        <v>25</v>
      </c>
      <c r="H978" t="str" cm="1">
        <f t="array" ref="H978">_xlfn.IFS(
Table2[[#This Row],[AGE]]&lt;30,"Young",
Table2[[#This Row],[AGE]]&lt;40,"Middle Age",
Table2[[#This Row],[AGE]]&lt;50,"Senior",
TRUE,"Super Senior"
)</f>
        <v>Young</v>
      </c>
      <c r="I978">
        <v>1</v>
      </c>
      <c r="J978">
        <v>2</v>
      </c>
      <c r="K978">
        <v>2</v>
      </c>
      <c r="L978">
        <v>0</v>
      </c>
      <c r="M978">
        <v>0</v>
      </c>
      <c r="N978">
        <v>0</v>
      </c>
      <c r="O978" s="1">
        <v>6174</v>
      </c>
      <c r="P978" s="1">
        <v>7543</v>
      </c>
      <c r="Q978" s="1">
        <v>7255</v>
      </c>
      <c r="R978" s="1">
        <v>3887</v>
      </c>
      <c r="S978" s="1">
        <v>5887</v>
      </c>
      <c r="T978" s="1">
        <v>0</v>
      </c>
      <c r="U978" s="1">
        <v>2000</v>
      </c>
      <c r="V978" s="1">
        <v>28</v>
      </c>
      <c r="W978" s="1">
        <v>0</v>
      </c>
      <c r="X978" s="1">
        <v>2000</v>
      </c>
      <c r="Y978" s="1">
        <v>0</v>
      </c>
      <c r="Z978" s="1">
        <v>0</v>
      </c>
      <c r="AA978">
        <v>1</v>
      </c>
      <c r="AB978" t="str">
        <f t="shared" si="15"/>
        <v>Defaulter</v>
      </c>
      <c r="AC978" s="1">
        <f>Table2[[#This Row],[BILL_AMT1]]-Table2[[#This Row],[PAY_AMT1]]</f>
        <v>4174</v>
      </c>
      <c r="AD978" s="1" t="str" cm="1">
        <f t="array" ref="AD978">_xlfn.IFS(Table2[[#This Row],[PAYMENT GAP]]&lt;=0,"No Gap / Overpaid",Table2[[#This Row],[PAYMENT GAP]]&lt;=25000,"Low Gap",Table2[[#This Row],[PAYMENT GAP]]&lt;=100000,"Medium Gap",
TRUE,"High Gap"
)</f>
        <v>Low Gap</v>
      </c>
    </row>
    <row r="979" spans="1:30" x14ac:dyDescent="0.3">
      <c r="A979">
        <v>978</v>
      </c>
      <c r="B979" s="1">
        <v>180000</v>
      </c>
      <c r="C979" s="1" t="str" cm="1">
        <f t="array" ref="C979">_xlfn.IFS(Table2[[#This Row],[LIMIT_BAL]]&lt;=100000,"Low",Table2[[#This Row],[LIMIT_BAL]]&lt;=300000,"Medium",
TRUE,"High"
)</f>
        <v>Medium</v>
      </c>
      <c r="D979" t="s">
        <v>2042</v>
      </c>
      <c r="E979" t="s">
        <v>2026</v>
      </c>
      <c r="F979" t="s">
        <v>2029</v>
      </c>
      <c r="G979">
        <v>28</v>
      </c>
      <c r="H979" t="str" cm="1">
        <f t="array" ref="H979">_xlfn.IFS(
Table2[[#This Row],[AGE]]&lt;30,"Young",
Table2[[#This Row],[AGE]]&lt;40,"Middle Age",
Table2[[#This Row],[AGE]]&lt;50,"Senior",
TRUE,"Super Senior"
)</f>
        <v>Young</v>
      </c>
      <c r="I979">
        <v>-1</v>
      </c>
      <c r="J979">
        <v>-1</v>
      </c>
      <c r="K979">
        <v>-1</v>
      </c>
      <c r="L979">
        <v>-1</v>
      </c>
      <c r="M979">
        <v>-1</v>
      </c>
      <c r="N979">
        <v>-1</v>
      </c>
      <c r="O979" s="1">
        <v>666</v>
      </c>
      <c r="P979" s="1">
        <v>662</v>
      </c>
      <c r="Q979" s="1">
        <v>-4</v>
      </c>
      <c r="R979" s="1">
        <v>55566</v>
      </c>
      <c r="S979" s="1">
        <v>1056</v>
      </c>
      <c r="T979" s="1">
        <v>390</v>
      </c>
      <c r="U979" s="1">
        <v>662</v>
      </c>
      <c r="V979" s="1">
        <v>0</v>
      </c>
      <c r="W979" s="1">
        <v>61411</v>
      </c>
      <c r="X979" s="1">
        <v>1056</v>
      </c>
      <c r="Y979" s="1">
        <v>0</v>
      </c>
      <c r="Z979" s="1">
        <v>1998</v>
      </c>
      <c r="AA979">
        <v>0</v>
      </c>
      <c r="AB979" t="str">
        <f t="shared" si="15"/>
        <v>Not Defaulter</v>
      </c>
      <c r="AC979" s="1">
        <f>Table2[[#This Row],[BILL_AMT1]]-Table2[[#This Row],[PAY_AMT1]]</f>
        <v>4</v>
      </c>
      <c r="AD979" s="1" t="str" cm="1">
        <f t="array" ref="AD979">_xlfn.IFS(Table2[[#This Row],[PAYMENT GAP]]&lt;=0,"No Gap / Overpaid",Table2[[#This Row],[PAYMENT GAP]]&lt;=25000,"Low Gap",Table2[[#This Row],[PAYMENT GAP]]&lt;=100000,"Medium Gap",
TRUE,"High Gap"
)</f>
        <v>Low Gap</v>
      </c>
    </row>
    <row r="980" spans="1:30" x14ac:dyDescent="0.3">
      <c r="A980">
        <v>979</v>
      </c>
      <c r="B980" s="1">
        <v>180000</v>
      </c>
      <c r="C980" s="1" t="str" cm="1">
        <f t="array" ref="C980">_xlfn.IFS(Table2[[#This Row],[LIMIT_BAL]]&lt;=100000,"Low",Table2[[#This Row],[LIMIT_BAL]]&lt;=300000,"Medium",
TRUE,"High"
)</f>
        <v>Medium</v>
      </c>
      <c r="D980" t="s">
        <v>2042</v>
      </c>
      <c r="E980" t="s">
        <v>2043</v>
      </c>
      <c r="F980" t="s">
        <v>2029</v>
      </c>
      <c r="G980">
        <v>26</v>
      </c>
      <c r="H980" t="str" cm="1">
        <f t="array" ref="H980">_xlfn.IFS(
Table2[[#This Row],[AGE]]&lt;30,"Young",
Table2[[#This Row],[AGE]]&lt;40,"Middle Age",
Table2[[#This Row],[AGE]]&lt;50,"Senior",
TRUE,"Super Senior"
)</f>
        <v>Young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 s="1">
        <v>5591</v>
      </c>
      <c r="P980" s="1">
        <v>6619</v>
      </c>
      <c r="Q980" s="1">
        <v>10574</v>
      </c>
      <c r="R980" s="1">
        <v>7733</v>
      </c>
      <c r="S980" s="1">
        <v>6794</v>
      </c>
      <c r="T980" s="1">
        <v>5487</v>
      </c>
      <c r="U980" s="1">
        <v>1126</v>
      </c>
      <c r="V980" s="1">
        <v>4081</v>
      </c>
      <c r="W980" s="1">
        <v>240</v>
      </c>
      <c r="X980" s="1">
        <v>504</v>
      </c>
      <c r="Y980" s="1">
        <v>169</v>
      </c>
      <c r="Z980" s="1">
        <v>62</v>
      </c>
      <c r="AA980">
        <v>1</v>
      </c>
      <c r="AB980" t="str">
        <f t="shared" si="15"/>
        <v>Defaulter</v>
      </c>
      <c r="AC980" s="1">
        <f>Table2[[#This Row],[BILL_AMT1]]-Table2[[#This Row],[PAY_AMT1]]</f>
        <v>4465</v>
      </c>
      <c r="AD980" s="1" t="str" cm="1">
        <f t="array" ref="AD980">_xlfn.IFS(Table2[[#This Row],[PAYMENT GAP]]&lt;=0,"No Gap / Overpaid",Table2[[#This Row],[PAYMENT GAP]]&lt;=25000,"Low Gap",Table2[[#This Row],[PAYMENT GAP]]&lt;=100000,"Medium Gap",
TRUE,"High Gap"
)</f>
        <v>Low Gap</v>
      </c>
    </row>
    <row r="981" spans="1:30" x14ac:dyDescent="0.3">
      <c r="A981">
        <v>980</v>
      </c>
      <c r="B981" s="1">
        <v>150000</v>
      </c>
      <c r="C981" s="1" t="str" cm="1">
        <f t="array" ref="C981">_xlfn.IFS(Table2[[#This Row],[LIMIT_BAL]]&lt;=100000,"Low",Table2[[#This Row],[LIMIT_BAL]]&lt;=300000,"Medium",
TRUE,"High"
)</f>
        <v>Medium</v>
      </c>
      <c r="D981" t="s">
        <v>2041</v>
      </c>
      <c r="E981" t="s">
        <v>2027</v>
      </c>
      <c r="F981" t="s">
        <v>2028</v>
      </c>
      <c r="G981">
        <v>54</v>
      </c>
      <c r="H981" t="str" cm="1">
        <f t="array" ref="H981">_xlfn.IFS(
Table2[[#This Row],[AGE]]&lt;30,"Young",
Table2[[#This Row],[AGE]]&lt;40,"Middle Age",
Table2[[#This Row],[AGE]]&lt;50,"Senior",
TRUE,"Super Senior"
)</f>
        <v>Super Senior</v>
      </c>
      <c r="I981">
        <v>-1</v>
      </c>
      <c r="J981">
        <v>0</v>
      </c>
      <c r="K981">
        <v>0</v>
      </c>
      <c r="L981">
        <v>0</v>
      </c>
      <c r="M981">
        <v>2</v>
      </c>
      <c r="N981">
        <v>0</v>
      </c>
      <c r="O981" s="1">
        <v>148747</v>
      </c>
      <c r="P981" s="1">
        <v>145231</v>
      </c>
      <c r="Q981" s="1">
        <v>145341</v>
      </c>
      <c r="R981" s="1">
        <v>153833</v>
      </c>
      <c r="S981" s="1">
        <v>151194</v>
      </c>
      <c r="T981" s="1">
        <v>145738</v>
      </c>
      <c r="U981" s="1">
        <v>5500</v>
      </c>
      <c r="V981" s="1">
        <v>5500</v>
      </c>
      <c r="W981" s="1">
        <v>11000</v>
      </c>
      <c r="X981" s="1">
        <v>0</v>
      </c>
      <c r="Y981" s="1">
        <v>6000</v>
      </c>
      <c r="Z981" s="1">
        <v>5215</v>
      </c>
      <c r="AA981">
        <v>0</v>
      </c>
      <c r="AB981" t="str">
        <f t="shared" si="15"/>
        <v>Not Defaulter</v>
      </c>
      <c r="AC981" s="1">
        <f>Table2[[#This Row],[BILL_AMT1]]-Table2[[#This Row],[PAY_AMT1]]</f>
        <v>143247</v>
      </c>
      <c r="AD981" s="1" t="str" cm="1">
        <f t="array" ref="AD981">_xlfn.IFS(Table2[[#This Row],[PAYMENT GAP]]&lt;=0,"No Gap / Overpaid",Table2[[#This Row],[PAYMENT GAP]]&lt;=25000,"Low Gap",Table2[[#This Row],[PAYMENT GAP]]&lt;=100000,"Medium Gap",
TRUE,"High Gap"
)</f>
        <v>High Gap</v>
      </c>
    </row>
    <row r="982" spans="1:30" x14ac:dyDescent="0.3">
      <c r="A982">
        <v>981</v>
      </c>
      <c r="B982" s="1">
        <v>70000</v>
      </c>
      <c r="C982" s="1" t="str" cm="1">
        <f t="array" ref="C982">_xlfn.IFS(Table2[[#This Row],[LIMIT_BAL]]&lt;=100000,"Low",Table2[[#This Row],[LIMIT_BAL]]&lt;=300000,"Medium",
TRUE,"High"
)</f>
        <v>Low</v>
      </c>
      <c r="D982" t="s">
        <v>2041</v>
      </c>
      <c r="E982" t="s">
        <v>2026</v>
      </c>
      <c r="F982" t="s">
        <v>2029</v>
      </c>
      <c r="G982">
        <v>24</v>
      </c>
      <c r="H982" t="str" cm="1">
        <f t="array" ref="H982">_xlfn.IFS(
Table2[[#This Row],[AGE]]&lt;30,"Young",
Table2[[#This Row],[AGE]]&lt;40,"Middle Age",
Table2[[#This Row],[AGE]]&lt;50,"Senior",
TRUE,"Super Senior"
)</f>
        <v>Young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 s="1">
        <v>63903</v>
      </c>
      <c r="P982" s="1">
        <v>65248</v>
      </c>
      <c r="Q982" s="1">
        <v>62958</v>
      </c>
      <c r="R982" s="1">
        <v>64209</v>
      </c>
      <c r="S982" s="1">
        <v>59482</v>
      </c>
      <c r="T982" s="1">
        <v>60883</v>
      </c>
      <c r="U982" s="1">
        <v>3000</v>
      </c>
      <c r="V982" s="1">
        <v>2190</v>
      </c>
      <c r="W982" s="1">
        <v>2201</v>
      </c>
      <c r="X982" s="1">
        <v>2181</v>
      </c>
      <c r="Y982" s="1">
        <v>2413</v>
      </c>
      <c r="Z982" s="1">
        <v>1952</v>
      </c>
      <c r="AA982">
        <v>0</v>
      </c>
      <c r="AB982" t="str">
        <f t="shared" si="15"/>
        <v>Not Defaulter</v>
      </c>
      <c r="AC982" s="1">
        <f>Table2[[#This Row],[BILL_AMT1]]-Table2[[#This Row],[PAY_AMT1]]</f>
        <v>60903</v>
      </c>
      <c r="AD982" s="1" t="str" cm="1">
        <f t="array" ref="AD982">_xlfn.IFS(Table2[[#This Row],[PAYMENT GAP]]&lt;=0,"No Gap / Overpaid",Table2[[#This Row],[PAYMENT GAP]]&lt;=25000,"Low Gap",Table2[[#This Row],[PAYMENT GAP]]&lt;=100000,"Medium Gap",
TRUE,"High Gap"
)</f>
        <v>Medium Gap</v>
      </c>
    </row>
    <row r="983" spans="1:30" x14ac:dyDescent="0.3">
      <c r="A983">
        <v>982</v>
      </c>
      <c r="B983" s="1">
        <v>30000</v>
      </c>
      <c r="C983" s="1" t="str" cm="1">
        <f t="array" ref="C983">_xlfn.IFS(Table2[[#This Row],[LIMIT_BAL]]&lt;=100000,"Low",Table2[[#This Row],[LIMIT_BAL]]&lt;=300000,"Medium",
TRUE,"High"
)</f>
        <v>Low</v>
      </c>
      <c r="D983" t="s">
        <v>2042</v>
      </c>
      <c r="E983" t="s">
        <v>2043</v>
      </c>
      <c r="F983" t="s">
        <v>2029</v>
      </c>
      <c r="G983">
        <v>29</v>
      </c>
      <c r="H983" t="str" cm="1">
        <f t="array" ref="H983">_xlfn.IFS(
Table2[[#This Row],[AGE]]&lt;30,"Young",
Table2[[#This Row],[AGE]]&lt;40,"Middle Age",
Table2[[#This Row],[AGE]]&lt;50,"Senior",
TRUE,"Super Senior"
)</f>
        <v>Young</v>
      </c>
      <c r="I983">
        <v>8</v>
      </c>
      <c r="J983">
        <v>7</v>
      </c>
      <c r="K983">
        <v>6</v>
      </c>
      <c r="L983">
        <v>5</v>
      </c>
      <c r="M983">
        <v>4</v>
      </c>
      <c r="N983">
        <v>3</v>
      </c>
      <c r="O983" s="1">
        <v>34423</v>
      </c>
      <c r="P983" s="1">
        <v>33952</v>
      </c>
      <c r="Q983" s="1">
        <v>33165</v>
      </c>
      <c r="R983" s="1">
        <v>32391</v>
      </c>
      <c r="S983" s="1">
        <v>31332</v>
      </c>
      <c r="T983" s="1">
        <v>30558</v>
      </c>
      <c r="U983" s="1">
        <v>0</v>
      </c>
      <c r="V983" s="1">
        <v>0</v>
      </c>
      <c r="W983" s="1">
        <v>0</v>
      </c>
      <c r="X983" s="1">
        <v>0</v>
      </c>
      <c r="Y983" s="1">
        <v>0</v>
      </c>
      <c r="Z983" s="1">
        <v>0</v>
      </c>
      <c r="AA983">
        <v>0</v>
      </c>
      <c r="AB983" t="str">
        <f t="shared" si="15"/>
        <v>Not Defaulter</v>
      </c>
      <c r="AC983" s="1">
        <f>Table2[[#This Row],[BILL_AMT1]]-Table2[[#This Row],[PAY_AMT1]]</f>
        <v>34423</v>
      </c>
      <c r="AD983" s="1" t="str" cm="1">
        <f t="array" ref="AD983">_xlfn.IFS(Table2[[#This Row],[PAYMENT GAP]]&lt;=0,"No Gap / Overpaid",Table2[[#This Row],[PAYMENT GAP]]&lt;=25000,"Low Gap",Table2[[#This Row],[PAYMENT GAP]]&lt;=100000,"Medium Gap",
TRUE,"High Gap"
)</f>
        <v>Medium Gap</v>
      </c>
    </row>
    <row r="984" spans="1:30" x14ac:dyDescent="0.3">
      <c r="A984">
        <v>983</v>
      </c>
      <c r="B984" s="1">
        <v>500000</v>
      </c>
      <c r="C984" s="1" t="str" cm="1">
        <f t="array" ref="C984">_xlfn.IFS(Table2[[#This Row],[LIMIT_BAL]]&lt;=100000,"Low",Table2[[#This Row],[LIMIT_BAL]]&lt;=300000,"Medium",
TRUE,"High"
)</f>
        <v>High</v>
      </c>
      <c r="D984" t="s">
        <v>2042</v>
      </c>
      <c r="E984" t="s">
        <v>2026</v>
      </c>
      <c r="F984" t="s">
        <v>2029</v>
      </c>
      <c r="G984">
        <v>36</v>
      </c>
      <c r="H984" t="str" cm="1">
        <f t="array" ref="H984">_xlfn.IFS(
Table2[[#This Row],[AGE]]&lt;30,"Young",
Table2[[#This Row],[AGE]]&lt;40,"Middle Age",
Table2[[#This Row],[AGE]]&lt;50,"Senior",
TRUE,"Super Senior"
)</f>
        <v>Middle Age</v>
      </c>
      <c r="I984">
        <v>-2</v>
      </c>
      <c r="J984">
        <v>-2</v>
      </c>
      <c r="K984">
        <v>-2</v>
      </c>
      <c r="L984">
        <v>-2</v>
      </c>
      <c r="M984">
        <v>-2</v>
      </c>
      <c r="N984">
        <v>-2</v>
      </c>
      <c r="O984" s="1">
        <v>45106</v>
      </c>
      <c r="P984" s="1">
        <v>81264</v>
      </c>
      <c r="Q984" s="1">
        <v>18122</v>
      </c>
      <c r="R984" s="1">
        <v>27229</v>
      </c>
      <c r="S984" s="1">
        <v>21462</v>
      </c>
      <c r="T984" s="1">
        <v>27911</v>
      </c>
      <c r="U984" s="1">
        <v>81690</v>
      </c>
      <c r="V984" s="1">
        <v>18225</v>
      </c>
      <c r="W984" s="1">
        <v>27365</v>
      </c>
      <c r="X984" s="1">
        <v>21570</v>
      </c>
      <c r="Y984" s="1">
        <v>28050</v>
      </c>
      <c r="Z984" s="1">
        <v>17397</v>
      </c>
      <c r="AA984">
        <v>1</v>
      </c>
      <c r="AB984" t="str">
        <f t="shared" si="15"/>
        <v>Defaulter</v>
      </c>
      <c r="AC984" s="1">
        <f>Table2[[#This Row],[BILL_AMT1]]-Table2[[#This Row],[PAY_AMT1]]</f>
        <v>-36584</v>
      </c>
      <c r="AD984" s="1" t="str" cm="1">
        <f t="array" ref="AD984">_xlfn.IFS(Table2[[#This Row],[PAYMENT GAP]]&lt;=0,"No Gap / Overpaid",Table2[[#This Row],[PAYMENT GAP]]&lt;=25000,"Low Gap",Table2[[#This Row],[PAYMENT GAP]]&lt;=100000,"Medium Gap",
TRUE,"High Gap"
)</f>
        <v>No Gap / Overpaid</v>
      </c>
    </row>
    <row r="985" spans="1:30" x14ac:dyDescent="0.3">
      <c r="A985">
        <v>984</v>
      </c>
      <c r="B985" s="1">
        <v>60000</v>
      </c>
      <c r="C985" s="1" t="str" cm="1">
        <f t="array" ref="C985">_xlfn.IFS(Table2[[#This Row],[LIMIT_BAL]]&lt;=100000,"Low",Table2[[#This Row],[LIMIT_BAL]]&lt;=300000,"Medium",
TRUE,"High"
)</f>
        <v>Low</v>
      </c>
      <c r="D985" t="s">
        <v>2042</v>
      </c>
      <c r="E985" t="s">
        <v>2027</v>
      </c>
      <c r="F985" t="s">
        <v>2028</v>
      </c>
      <c r="G985">
        <v>49</v>
      </c>
      <c r="H985" t="str" cm="1">
        <f t="array" ref="H985">_xlfn.IFS(
Table2[[#This Row],[AGE]]&lt;30,"Young",
Table2[[#This Row],[AGE]]&lt;40,"Middle Age",
Table2[[#This Row],[AGE]]&lt;50,"Senior",
TRUE,"Super Senior"
)</f>
        <v>Senior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 s="1">
        <v>44801</v>
      </c>
      <c r="P985" s="1">
        <v>41545</v>
      </c>
      <c r="Q985" s="1">
        <v>40649</v>
      </c>
      <c r="R985" s="1">
        <v>40843</v>
      </c>
      <c r="S985" s="1">
        <v>40612</v>
      </c>
      <c r="T985" s="1">
        <v>40656</v>
      </c>
      <c r="U985" s="1">
        <v>3000</v>
      </c>
      <c r="V985" s="1">
        <v>4506</v>
      </c>
      <c r="W985" s="1">
        <v>2500</v>
      </c>
      <c r="X985" s="1">
        <v>1800</v>
      </c>
      <c r="Y985" s="1">
        <v>4200</v>
      </c>
      <c r="Z985" s="1">
        <v>2500</v>
      </c>
      <c r="AA985">
        <v>0</v>
      </c>
      <c r="AB985" t="str">
        <f t="shared" si="15"/>
        <v>Not Defaulter</v>
      </c>
      <c r="AC985" s="1">
        <f>Table2[[#This Row],[BILL_AMT1]]-Table2[[#This Row],[PAY_AMT1]]</f>
        <v>41801</v>
      </c>
      <c r="AD985" s="1" t="str" cm="1">
        <f t="array" ref="AD985">_xlfn.IFS(Table2[[#This Row],[PAYMENT GAP]]&lt;=0,"No Gap / Overpaid",Table2[[#This Row],[PAYMENT GAP]]&lt;=25000,"Low Gap",Table2[[#This Row],[PAYMENT GAP]]&lt;=100000,"Medium Gap",
TRUE,"High Gap"
)</f>
        <v>Medium Gap</v>
      </c>
    </row>
    <row r="986" spans="1:30" x14ac:dyDescent="0.3">
      <c r="A986">
        <v>985</v>
      </c>
      <c r="B986" s="1">
        <v>50000</v>
      </c>
      <c r="C986" s="1" t="str" cm="1">
        <f t="array" ref="C986">_xlfn.IFS(Table2[[#This Row],[LIMIT_BAL]]&lt;=100000,"Low",Table2[[#This Row],[LIMIT_BAL]]&lt;=300000,"Medium",
TRUE,"High"
)</f>
        <v>Low</v>
      </c>
      <c r="D986" t="s">
        <v>2041</v>
      </c>
      <c r="E986" t="s">
        <v>2026</v>
      </c>
      <c r="F986" t="s">
        <v>2029</v>
      </c>
      <c r="G986">
        <v>23</v>
      </c>
      <c r="H986" t="str" cm="1">
        <f t="array" ref="H986">_xlfn.IFS(
Table2[[#This Row],[AGE]]&lt;30,"Young",
Table2[[#This Row],[AGE]]&lt;40,"Middle Age",
Table2[[#This Row],[AGE]]&lt;50,"Senior",
TRUE,"Super Senior"
)</f>
        <v>Young</v>
      </c>
      <c r="I986">
        <v>-2</v>
      </c>
      <c r="J986">
        <v>-2</v>
      </c>
      <c r="K986">
        <v>-2</v>
      </c>
      <c r="L986">
        <v>-2</v>
      </c>
      <c r="M986">
        <v>-2</v>
      </c>
      <c r="N986">
        <v>-2</v>
      </c>
      <c r="O986" s="1">
        <v>49860</v>
      </c>
      <c r="P986" s="1">
        <v>50187</v>
      </c>
      <c r="Q986" s="1">
        <v>50022</v>
      </c>
      <c r="R986" s="1">
        <v>20114</v>
      </c>
      <c r="S986" s="1">
        <v>18777</v>
      </c>
      <c r="T986" s="1">
        <v>18273</v>
      </c>
      <c r="U986" s="1">
        <v>2500</v>
      </c>
      <c r="V986" s="1">
        <v>1289</v>
      </c>
      <c r="W986" s="1">
        <v>917</v>
      </c>
      <c r="X986" s="1">
        <v>1315</v>
      </c>
      <c r="Y986" s="1">
        <v>5042</v>
      </c>
      <c r="Z986" s="1">
        <v>2512</v>
      </c>
      <c r="AA986">
        <v>0</v>
      </c>
      <c r="AB986" t="str">
        <f t="shared" si="15"/>
        <v>Not Defaulter</v>
      </c>
      <c r="AC986" s="1">
        <f>Table2[[#This Row],[BILL_AMT1]]-Table2[[#This Row],[PAY_AMT1]]</f>
        <v>47360</v>
      </c>
      <c r="AD986" s="1" t="str" cm="1">
        <f t="array" ref="AD986">_xlfn.IFS(Table2[[#This Row],[PAYMENT GAP]]&lt;=0,"No Gap / Overpaid",Table2[[#This Row],[PAYMENT GAP]]&lt;=25000,"Low Gap",Table2[[#This Row],[PAYMENT GAP]]&lt;=100000,"Medium Gap",
TRUE,"High Gap"
)</f>
        <v>Medium Gap</v>
      </c>
    </row>
    <row r="987" spans="1:30" x14ac:dyDescent="0.3">
      <c r="A987">
        <v>986</v>
      </c>
      <c r="B987" s="1">
        <v>130000</v>
      </c>
      <c r="C987" s="1" t="str" cm="1">
        <f t="array" ref="C987">_xlfn.IFS(Table2[[#This Row],[LIMIT_BAL]]&lt;=100000,"Low",Table2[[#This Row],[LIMIT_BAL]]&lt;=300000,"Medium",
TRUE,"High"
)</f>
        <v>Medium</v>
      </c>
      <c r="D987" t="s">
        <v>2042</v>
      </c>
      <c r="E987" t="s">
        <v>2027</v>
      </c>
      <c r="F987" t="s">
        <v>2029</v>
      </c>
      <c r="G987">
        <v>43</v>
      </c>
      <c r="H987" t="str" cm="1">
        <f t="array" ref="H987">_xlfn.IFS(
Table2[[#This Row],[AGE]]&lt;30,"Young",
Table2[[#This Row],[AGE]]&lt;40,"Middle Age",
Table2[[#This Row],[AGE]]&lt;50,"Senior",
TRUE,"Super Senior"
)</f>
        <v>Senior</v>
      </c>
      <c r="I987">
        <v>1</v>
      </c>
      <c r="J987">
        <v>-1</v>
      </c>
      <c r="K987">
        <v>-1</v>
      </c>
      <c r="L987">
        <v>-2</v>
      </c>
      <c r="M987">
        <v>-1</v>
      </c>
      <c r="N987">
        <v>-1</v>
      </c>
      <c r="O987" s="1">
        <v>1018</v>
      </c>
      <c r="P987" s="1">
        <v>6377</v>
      </c>
      <c r="Q987" s="1">
        <v>-2</v>
      </c>
      <c r="R987" s="1">
        <v>935</v>
      </c>
      <c r="S987" s="1">
        <v>4985</v>
      </c>
      <c r="T987" s="1">
        <v>1212</v>
      </c>
      <c r="U987" s="1">
        <v>6433</v>
      </c>
      <c r="V987" s="1">
        <v>2</v>
      </c>
      <c r="W987" s="1">
        <v>937</v>
      </c>
      <c r="X987" s="1">
        <v>4990</v>
      </c>
      <c r="Y987" s="1">
        <v>1215</v>
      </c>
      <c r="Z987" s="1">
        <v>9546</v>
      </c>
      <c r="AA987">
        <v>1</v>
      </c>
      <c r="AB987" t="str">
        <f t="shared" si="15"/>
        <v>Defaulter</v>
      </c>
      <c r="AC987" s="1">
        <f>Table2[[#This Row],[BILL_AMT1]]-Table2[[#This Row],[PAY_AMT1]]</f>
        <v>-5415</v>
      </c>
      <c r="AD987" s="1" t="str" cm="1">
        <f t="array" ref="AD987">_xlfn.IFS(Table2[[#This Row],[PAYMENT GAP]]&lt;=0,"No Gap / Overpaid",Table2[[#This Row],[PAYMENT GAP]]&lt;=25000,"Low Gap",Table2[[#This Row],[PAYMENT GAP]]&lt;=100000,"Medium Gap",
TRUE,"High Gap"
)</f>
        <v>No Gap / Overpaid</v>
      </c>
    </row>
    <row r="988" spans="1:30" x14ac:dyDescent="0.3">
      <c r="A988">
        <v>987</v>
      </c>
      <c r="B988" s="1">
        <v>260000</v>
      </c>
      <c r="C988" s="1" t="str" cm="1">
        <f t="array" ref="C988">_xlfn.IFS(Table2[[#This Row],[LIMIT_BAL]]&lt;=100000,"Low",Table2[[#This Row],[LIMIT_BAL]]&lt;=300000,"Medium",
TRUE,"High"
)</f>
        <v>Medium</v>
      </c>
      <c r="D988" t="s">
        <v>2041</v>
      </c>
      <c r="E988" t="s">
        <v>2043</v>
      </c>
      <c r="F988" t="s">
        <v>2028</v>
      </c>
      <c r="G988">
        <v>33</v>
      </c>
      <c r="H988" t="str" cm="1">
        <f t="array" ref="H988">_xlfn.IFS(
Table2[[#This Row],[AGE]]&lt;30,"Young",
Table2[[#This Row],[AGE]]&lt;40,"Middle Age",
Table2[[#This Row],[AGE]]&lt;50,"Senior",
TRUE,"Super Senior"
)</f>
        <v>Middle Age</v>
      </c>
      <c r="I988">
        <v>-2</v>
      </c>
      <c r="J988">
        <v>-2</v>
      </c>
      <c r="K988">
        <v>-2</v>
      </c>
      <c r="L988">
        <v>-1</v>
      </c>
      <c r="M988">
        <v>-1</v>
      </c>
      <c r="N988">
        <v>0</v>
      </c>
      <c r="O988" s="1">
        <v>134736</v>
      </c>
      <c r="P988" s="1">
        <v>135593</v>
      </c>
      <c r="Q988" s="1">
        <v>120909</v>
      </c>
      <c r="R988" s="1">
        <v>102524</v>
      </c>
      <c r="S988" s="1">
        <v>40157</v>
      </c>
      <c r="T988" s="1">
        <v>40805</v>
      </c>
      <c r="U988" s="1">
        <v>6067</v>
      </c>
      <c r="V988" s="1">
        <v>10000</v>
      </c>
      <c r="W988" s="1">
        <v>3000</v>
      </c>
      <c r="X988" s="1">
        <v>40157</v>
      </c>
      <c r="Y988" s="1">
        <v>1466</v>
      </c>
      <c r="Z988" s="1">
        <v>2000</v>
      </c>
      <c r="AA988">
        <v>0</v>
      </c>
      <c r="AB988" t="str">
        <f t="shared" si="15"/>
        <v>Not Defaulter</v>
      </c>
      <c r="AC988" s="1">
        <f>Table2[[#This Row],[BILL_AMT1]]-Table2[[#This Row],[PAY_AMT1]]</f>
        <v>128669</v>
      </c>
      <c r="AD988" s="1" t="str" cm="1">
        <f t="array" ref="AD988">_xlfn.IFS(Table2[[#This Row],[PAYMENT GAP]]&lt;=0,"No Gap / Overpaid",Table2[[#This Row],[PAYMENT GAP]]&lt;=25000,"Low Gap",Table2[[#This Row],[PAYMENT GAP]]&lt;=100000,"Medium Gap",
TRUE,"High Gap"
)</f>
        <v>High Gap</v>
      </c>
    </row>
    <row r="989" spans="1:30" x14ac:dyDescent="0.3">
      <c r="A989">
        <v>988</v>
      </c>
      <c r="B989" s="1">
        <v>380000</v>
      </c>
      <c r="C989" s="1" t="str" cm="1">
        <f t="array" ref="C989">_xlfn.IFS(Table2[[#This Row],[LIMIT_BAL]]&lt;=100000,"Low",Table2[[#This Row],[LIMIT_BAL]]&lt;=300000,"Medium",
TRUE,"High"
)</f>
        <v>High</v>
      </c>
      <c r="D989" t="s">
        <v>2042</v>
      </c>
      <c r="E989" t="s">
        <v>2027</v>
      </c>
      <c r="F989" t="s">
        <v>2028</v>
      </c>
      <c r="G989">
        <v>53</v>
      </c>
      <c r="H989" t="str" cm="1">
        <f t="array" ref="H989">_xlfn.IFS(
Table2[[#This Row],[AGE]]&lt;30,"Young",
Table2[[#This Row],[AGE]]&lt;40,"Middle Age",
Table2[[#This Row],[AGE]]&lt;50,"Senior",
TRUE,"Super Senior"
)</f>
        <v>Super Senior</v>
      </c>
      <c r="I989">
        <v>-2</v>
      </c>
      <c r="J989">
        <v>-2</v>
      </c>
      <c r="K989">
        <v>-2</v>
      </c>
      <c r="L989">
        <v>-2</v>
      </c>
      <c r="M989">
        <v>-2</v>
      </c>
      <c r="N989">
        <v>-2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>
        <v>0</v>
      </c>
      <c r="AB989" t="str">
        <f t="shared" si="15"/>
        <v>Not Defaulter</v>
      </c>
      <c r="AC989" s="1">
        <f>Table2[[#This Row],[BILL_AMT1]]-Table2[[#This Row],[PAY_AMT1]]</f>
        <v>0</v>
      </c>
      <c r="AD989" s="1" t="str" cm="1">
        <f t="array" ref="AD989">_xlfn.IFS(Table2[[#This Row],[PAYMENT GAP]]&lt;=0,"No Gap / Overpaid",Table2[[#This Row],[PAYMENT GAP]]&lt;=25000,"Low Gap",Table2[[#This Row],[PAYMENT GAP]]&lt;=100000,"Medium Gap",
TRUE,"High Gap"
)</f>
        <v>No Gap / Overpaid</v>
      </c>
    </row>
    <row r="990" spans="1:30" x14ac:dyDescent="0.3">
      <c r="A990">
        <v>989</v>
      </c>
      <c r="B990" s="1">
        <v>360000</v>
      </c>
      <c r="C990" s="1" t="str" cm="1">
        <f t="array" ref="C990">_xlfn.IFS(Table2[[#This Row],[LIMIT_BAL]]&lt;=100000,"Low",Table2[[#This Row],[LIMIT_BAL]]&lt;=300000,"Medium",
TRUE,"High"
)</f>
        <v>High</v>
      </c>
      <c r="D990" t="s">
        <v>2041</v>
      </c>
      <c r="E990" t="s">
        <v>2043</v>
      </c>
      <c r="F990" t="s">
        <v>2029</v>
      </c>
      <c r="G990">
        <v>25</v>
      </c>
      <c r="H990" t="str" cm="1">
        <f t="array" ref="H990">_xlfn.IFS(
Table2[[#This Row],[AGE]]&lt;30,"Young",
Table2[[#This Row],[AGE]]&lt;40,"Middle Age",
Table2[[#This Row],[AGE]]&lt;50,"Senior",
TRUE,"Super Senior"
)</f>
        <v>Young</v>
      </c>
      <c r="I990">
        <v>2</v>
      </c>
      <c r="J990">
        <v>2</v>
      </c>
      <c r="K990">
        <v>2</v>
      </c>
      <c r="L990">
        <v>2</v>
      </c>
      <c r="M990">
        <v>2</v>
      </c>
      <c r="N990">
        <v>2</v>
      </c>
      <c r="O990" s="1">
        <v>286732</v>
      </c>
      <c r="P990" s="1">
        <v>290690</v>
      </c>
      <c r="Q990" s="1">
        <v>284059</v>
      </c>
      <c r="R990" s="1">
        <v>294308</v>
      </c>
      <c r="S990" s="1">
        <v>297916</v>
      </c>
      <c r="T990" s="1">
        <v>279503</v>
      </c>
      <c r="U990" s="1">
        <v>10792</v>
      </c>
      <c r="V990" s="1">
        <v>0</v>
      </c>
      <c r="W990" s="1">
        <v>15000</v>
      </c>
      <c r="X990" s="1">
        <v>5800</v>
      </c>
      <c r="Y990" s="1">
        <v>0</v>
      </c>
      <c r="Z990" s="1">
        <v>126685</v>
      </c>
      <c r="AA990">
        <v>0</v>
      </c>
      <c r="AB990" t="str">
        <f t="shared" si="15"/>
        <v>Not Defaulter</v>
      </c>
      <c r="AC990" s="1">
        <f>Table2[[#This Row],[BILL_AMT1]]-Table2[[#This Row],[PAY_AMT1]]</f>
        <v>275940</v>
      </c>
      <c r="AD990" s="1" t="str" cm="1">
        <f t="array" ref="AD990">_xlfn.IFS(Table2[[#This Row],[PAYMENT GAP]]&lt;=0,"No Gap / Overpaid",Table2[[#This Row],[PAYMENT GAP]]&lt;=25000,"Low Gap",Table2[[#This Row],[PAYMENT GAP]]&lt;=100000,"Medium Gap",
TRUE,"High Gap"
)</f>
        <v>High Gap</v>
      </c>
    </row>
    <row r="991" spans="1:30" x14ac:dyDescent="0.3">
      <c r="A991">
        <v>990</v>
      </c>
      <c r="B991" s="1">
        <v>50000</v>
      </c>
      <c r="C991" s="1" t="str" cm="1">
        <f t="array" ref="C991">_xlfn.IFS(Table2[[#This Row],[LIMIT_BAL]]&lt;=100000,"Low",Table2[[#This Row],[LIMIT_BAL]]&lt;=300000,"Medium",
TRUE,"High"
)</f>
        <v>Low</v>
      </c>
      <c r="D991" t="s">
        <v>2042</v>
      </c>
      <c r="E991" t="s">
        <v>2027</v>
      </c>
      <c r="F991" t="s">
        <v>2028</v>
      </c>
      <c r="G991">
        <v>54</v>
      </c>
      <c r="H991" t="str" cm="1">
        <f t="array" ref="H991">_xlfn.IFS(
Table2[[#This Row],[AGE]]&lt;30,"Young",
Table2[[#This Row],[AGE]]&lt;40,"Middle Age",
Table2[[#This Row],[AGE]]&lt;50,"Senior",
TRUE,"Super Senior"
)</f>
        <v>Super Senior</v>
      </c>
      <c r="I991">
        <v>1</v>
      </c>
      <c r="J991">
        <v>2</v>
      </c>
      <c r="K991">
        <v>2</v>
      </c>
      <c r="L991">
        <v>0</v>
      </c>
      <c r="M991">
        <v>0</v>
      </c>
      <c r="N991">
        <v>0</v>
      </c>
      <c r="O991" s="1">
        <v>62847</v>
      </c>
      <c r="P991" s="1">
        <v>60885</v>
      </c>
      <c r="Q991" s="1">
        <v>56828</v>
      </c>
      <c r="R991" s="1">
        <v>55419</v>
      </c>
      <c r="S991" s="1">
        <v>54054</v>
      </c>
      <c r="T991" s="1">
        <v>53143</v>
      </c>
      <c r="U991" s="1">
        <v>2100</v>
      </c>
      <c r="V991" s="1">
        <v>0</v>
      </c>
      <c r="W991" s="1">
        <v>2000</v>
      </c>
      <c r="X991" s="1">
        <v>2000</v>
      </c>
      <c r="Y991" s="1">
        <v>2455</v>
      </c>
      <c r="Z991" s="1">
        <v>4000</v>
      </c>
      <c r="AA991">
        <v>0</v>
      </c>
      <c r="AB991" t="str">
        <f t="shared" si="15"/>
        <v>Not Defaulter</v>
      </c>
      <c r="AC991" s="1">
        <f>Table2[[#This Row],[BILL_AMT1]]-Table2[[#This Row],[PAY_AMT1]]</f>
        <v>60747</v>
      </c>
      <c r="AD991" s="1" t="str" cm="1">
        <f t="array" ref="AD991">_xlfn.IFS(Table2[[#This Row],[PAYMENT GAP]]&lt;=0,"No Gap / Overpaid",Table2[[#This Row],[PAYMENT GAP]]&lt;=25000,"Low Gap",Table2[[#This Row],[PAYMENT GAP]]&lt;=100000,"Medium Gap",
TRUE,"High Gap"
)</f>
        <v>Medium Gap</v>
      </c>
    </row>
    <row r="992" spans="1:30" x14ac:dyDescent="0.3">
      <c r="A992">
        <v>991</v>
      </c>
      <c r="B992" s="1">
        <v>50000</v>
      </c>
      <c r="C992" s="1" t="str" cm="1">
        <f t="array" ref="C992">_xlfn.IFS(Table2[[#This Row],[LIMIT_BAL]]&lt;=100000,"Low",Table2[[#This Row],[LIMIT_BAL]]&lt;=300000,"Medium",
TRUE,"High"
)</f>
        <v>Low</v>
      </c>
      <c r="D992" t="s">
        <v>2041</v>
      </c>
      <c r="E992" t="s">
        <v>2027</v>
      </c>
      <c r="F992" t="s">
        <v>2028</v>
      </c>
      <c r="G992">
        <v>39</v>
      </c>
      <c r="H992" t="str" cm="1">
        <f t="array" ref="H992">_xlfn.IFS(
Table2[[#This Row],[AGE]]&lt;30,"Young",
Table2[[#This Row],[AGE]]&lt;40,"Middle Age",
Table2[[#This Row],[AGE]]&lt;50,"Senior",
TRUE,"Super Senior"
)</f>
        <v>Middle Age</v>
      </c>
      <c r="I992">
        <v>0</v>
      </c>
      <c r="J992">
        <v>0</v>
      </c>
      <c r="K992">
        <v>2</v>
      </c>
      <c r="L992">
        <v>-1</v>
      </c>
      <c r="M992">
        <v>0</v>
      </c>
      <c r="N992">
        <v>0</v>
      </c>
      <c r="O992" s="1">
        <v>58300</v>
      </c>
      <c r="P992" s="1">
        <v>59727</v>
      </c>
      <c r="Q992" s="1">
        <v>142</v>
      </c>
      <c r="R992" s="1">
        <v>29886</v>
      </c>
      <c r="S992" s="1">
        <v>30510</v>
      </c>
      <c r="T992" s="1">
        <v>31276</v>
      </c>
      <c r="U992" s="1">
        <v>7876</v>
      </c>
      <c r="V992" s="1">
        <v>161</v>
      </c>
      <c r="W992" s="1">
        <v>74354</v>
      </c>
      <c r="X992" s="1">
        <v>927</v>
      </c>
      <c r="Y992" s="1">
        <v>1089</v>
      </c>
      <c r="Z992" s="1">
        <v>9100</v>
      </c>
      <c r="AA992">
        <v>0</v>
      </c>
      <c r="AB992" t="str">
        <f t="shared" si="15"/>
        <v>Not Defaulter</v>
      </c>
      <c r="AC992" s="1">
        <f>Table2[[#This Row],[BILL_AMT1]]-Table2[[#This Row],[PAY_AMT1]]</f>
        <v>50424</v>
      </c>
      <c r="AD992" s="1" t="str" cm="1">
        <f t="array" ref="AD992">_xlfn.IFS(Table2[[#This Row],[PAYMENT GAP]]&lt;=0,"No Gap / Overpaid",Table2[[#This Row],[PAYMENT GAP]]&lt;=25000,"Low Gap",Table2[[#This Row],[PAYMENT GAP]]&lt;=100000,"Medium Gap",
TRUE,"High Gap"
)</f>
        <v>Medium Gap</v>
      </c>
    </row>
    <row r="993" spans="1:30" x14ac:dyDescent="0.3">
      <c r="A993">
        <v>992</v>
      </c>
      <c r="B993" s="1">
        <v>260000</v>
      </c>
      <c r="C993" s="1" t="str" cm="1">
        <f t="array" ref="C993">_xlfn.IFS(Table2[[#This Row],[LIMIT_BAL]]&lt;=100000,"Low",Table2[[#This Row],[LIMIT_BAL]]&lt;=300000,"Medium",
TRUE,"High"
)</f>
        <v>Medium</v>
      </c>
      <c r="D993" t="s">
        <v>2041</v>
      </c>
      <c r="E993" t="s">
        <v>2026</v>
      </c>
      <c r="F993" t="s">
        <v>2028</v>
      </c>
      <c r="G993">
        <v>44</v>
      </c>
      <c r="H993" t="str" cm="1">
        <f t="array" ref="H993">_xlfn.IFS(
Table2[[#This Row],[AGE]]&lt;30,"Young",
Table2[[#This Row],[AGE]]&lt;40,"Middle Age",
Table2[[#This Row],[AGE]]&lt;50,"Senior",
TRUE,"Super Senior"
)</f>
        <v>Senior</v>
      </c>
      <c r="I993">
        <v>-1</v>
      </c>
      <c r="J993">
        <v>2</v>
      </c>
      <c r="K993">
        <v>2</v>
      </c>
      <c r="L993">
        <v>-1</v>
      </c>
      <c r="M993">
        <v>-1</v>
      </c>
      <c r="N993">
        <v>-2</v>
      </c>
      <c r="O993" s="1">
        <v>1215</v>
      </c>
      <c r="P993" s="1">
        <v>856</v>
      </c>
      <c r="Q993" s="1">
        <v>291</v>
      </c>
      <c r="R993" s="1">
        <v>803</v>
      </c>
      <c r="S993" s="1">
        <v>98</v>
      </c>
      <c r="T993" s="1">
        <v>431</v>
      </c>
      <c r="U993" s="1">
        <v>0</v>
      </c>
      <c r="V993" s="1">
        <v>291</v>
      </c>
      <c r="W993" s="1">
        <v>803</v>
      </c>
      <c r="X993" s="1">
        <v>98</v>
      </c>
      <c r="Y993" s="1">
        <v>431</v>
      </c>
      <c r="Z993" s="1">
        <v>1104</v>
      </c>
      <c r="AA993">
        <v>1</v>
      </c>
      <c r="AB993" t="str">
        <f t="shared" si="15"/>
        <v>Defaulter</v>
      </c>
      <c r="AC993" s="1">
        <f>Table2[[#This Row],[BILL_AMT1]]-Table2[[#This Row],[PAY_AMT1]]</f>
        <v>1215</v>
      </c>
      <c r="AD993" s="1" t="str" cm="1">
        <f t="array" ref="AD993">_xlfn.IFS(Table2[[#This Row],[PAYMENT GAP]]&lt;=0,"No Gap / Overpaid",Table2[[#This Row],[PAYMENT GAP]]&lt;=25000,"Low Gap",Table2[[#This Row],[PAYMENT GAP]]&lt;=100000,"Medium Gap",
TRUE,"High Gap"
)</f>
        <v>Low Gap</v>
      </c>
    </row>
    <row r="994" spans="1:30" x14ac:dyDescent="0.3">
      <c r="A994">
        <v>993</v>
      </c>
      <c r="B994" s="1">
        <v>80000</v>
      </c>
      <c r="C994" s="1" t="str" cm="1">
        <f t="array" ref="C994">_xlfn.IFS(Table2[[#This Row],[LIMIT_BAL]]&lt;=100000,"Low",Table2[[#This Row],[LIMIT_BAL]]&lt;=300000,"Medium",
TRUE,"High"
)</f>
        <v>Low</v>
      </c>
      <c r="D994" t="s">
        <v>2041</v>
      </c>
      <c r="E994" t="s">
        <v>2043</v>
      </c>
      <c r="F994" t="s">
        <v>2029</v>
      </c>
      <c r="G994">
        <v>27</v>
      </c>
      <c r="H994" t="str" cm="1">
        <f t="array" ref="H994">_xlfn.IFS(
Table2[[#This Row],[AGE]]&lt;30,"Young",
Table2[[#This Row],[AGE]]&lt;40,"Middle Age",
Table2[[#This Row],[AGE]]&lt;50,"Senior",
TRUE,"Super Senior"
)</f>
        <v>Young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 s="1">
        <v>57376</v>
      </c>
      <c r="P994" s="1">
        <v>58649</v>
      </c>
      <c r="Q994" s="1">
        <v>59873</v>
      </c>
      <c r="R994" s="1">
        <v>61077</v>
      </c>
      <c r="S994" s="1">
        <v>62394</v>
      </c>
      <c r="T994" s="1">
        <v>63655</v>
      </c>
      <c r="U994" s="1">
        <v>2200</v>
      </c>
      <c r="V994" s="1">
        <v>2200</v>
      </c>
      <c r="W994" s="1">
        <v>2200</v>
      </c>
      <c r="X994" s="1">
        <v>2300</v>
      </c>
      <c r="Y994" s="1">
        <v>2300</v>
      </c>
      <c r="Z994" s="1">
        <v>2600</v>
      </c>
      <c r="AA994">
        <v>0</v>
      </c>
      <c r="AB994" t="str">
        <f t="shared" si="15"/>
        <v>Not Defaulter</v>
      </c>
      <c r="AC994" s="1">
        <f>Table2[[#This Row],[BILL_AMT1]]-Table2[[#This Row],[PAY_AMT1]]</f>
        <v>55176</v>
      </c>
      <c r="AD994" s="1" t="str" cm="1">
        <f t="array" ref="AD994">_xlfn.IFS(Table2[[#This Row],[PAYMENT GAP]]&lt;=0,"No Gap / Overpaid",Table2[[#This Row],[PAYMENT GAP]]&lt;=25000,"Low Gap",Table2[[#This Row],[PAYMENT GAP]]&lt;=100000,"Medium Gap",
TRUE,"High Gap"
)</f>
        <v>Medium Gap</v>
      </c>
    </row>
    <row r="995" spans="1:30" x14ac:dyDescent="0.3">
      <c r="A995">
        <v>994</v>
      </c>
      <c r="B995" s="1">
        <v>360000</v>
      </c>
      <c r="C995" s="1" t="str" cm="1">
        <f t="array" ref="C995">_xlfn.IFS(Table2[[#This Row],[LIMIT_BAL]]&lt;=100000,"Low",Table2[[#This Row],[LIMIT_BAL]]&lt;=300000,"Medium",
TRUE,"High"
)</f>
        <v>High</v>
      </c>
      <c r="D995" t="s">
        <v>2041</v>
      </c>
      <c r="E995" t="s">
        <v>2026</v>
      </c>
      <c r="F995" t="s">
        <v>2029</v>
      </c>
      <c r="G995">
        <v>25</v>
      </c>
      <c r="H995" t="str" cm="1">
        <f t="array" ref="H995">_xlfn.IFS(
Table2[[#This Row],[AGE]]&lt;30,"Young",
Table2[[#This Row],[AGE]]&lt;40,"Middle Age",
Table2[[#This Row],[AGE]]&lt;50,"Senior",
TRUE,"Super Senior"
)</f>
        <v>Young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-2</v>
      </c>
      <c r="O995" s="1">
        <v>279846</v>
      </c>
      <c r="P995" s="1">
        <v>169426</v>
      </c>
      <c r="Q995" s="1">
        <v>68810</v>
      </c>
      <c r="R995" s="1">
        <v>12800</v>
      </c>
      <c r="S995" s="1">
        <v>0</v>
      </c>
      <c r="T995" s="1">
        <v>0</v>
      </c>
      <c r="U995" s="1">
        <v>7004</v>
      </c>
      <c r="V995" s="1">
        <v>1793</v>
      </c>
      <c r="W995" s="1">
        <v>2757</v>
      </c>
      <c r="X995" s="1">
        <v>0</v>
      </c>
      <c r="Y995" s="1">
        <v>0</v>
      </c>
      <c r="Z995" s="1">
        <v>0</v>
      </c>
      <c r="AA995">
        <v>1</v>
      </c>
      <c r="AB995" t="str">
        <f t="shared" si="15"/>
        <v>Defaulter</v>
      </c>
      <c r="AC995" s="1">
        <f>Table2[[#This Row],[BILL_AMT1]]-Table2[[#This Row],[PAY_AMT1]]</f>
        <v>272842</v>
      </c>
      <c r="AD995" s="1" t="str" cm="1">
        <f t="array" ref="AD995">_xlfn.IFS(Table2[[#This Row],[PAYMENT GAP]]&lt;=0,"No Gap / Overpaid",Table2[[#This Row],[PAYMENT GAP]]&lt;=25000,"Low Gap",Table2[[#This Row],[PAYMENT GAP]]&lt;=100000,"Medium Gap",
TRUE,"High Gap"
)</f>
        <v>High Gap</v>
      </c>
    </row>
    <row r="996" spans="1:30" x14ac:dyDescent="0.3">
      <c r="A996">
        <v>995</v>
      </c>
      <c r="B996" s="1">
        <v>290000</v>
      </c>
      <c r="C996" s="1" t="str" cm="1">
        <f t="array" ref="C996">_xlfn.IFS(Table2[[#This Row],[LIMIT_BAL]]&lt;=100000,"Low",Table2[[#This Row],[LIMIT_BAL]]&lt;=300000,"Medium",
TRUE,"High"
)</f>
        <v>Medium</v>
      </c>
      <c r="D996" t="s">
        <v>2041</v>
      </c>
      <c r="E996" t="s">
        <v>2026</v>
      </c>
      <c r="F996" t="s">
        <v>2029</v>
      </c>
      <c r="G996">
        <v>29</v>
      </c>
      <c r="H996" t="str" cm="1">
        <f t="array" ref="H996">_xlfn.IFS(
Table2[[#This Row],[AGE]]&lt;30,"Young",
Table2[[#This Row],[AGE]]&lt;40,"Middle Age",
Table2[[#This Row],[AGE]]&lt;50,"Senior",
TRUE,"Super Senior"
)</f>
        <v>Young</v>
      </c>
      <c r="I996">
        <v>1</v>
      </c>
      <c r="J996">
        <v>-2</v>
      </c>
      <c r="K996">
        <v>-2</v>
      </c>
      <c r="L996">
        <v>-2</v>
      </c>
      <c r="M996">
        <v>-2</v>
      </c>
      <c r="N996">
        <v>-2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0</v>
      </c>
      <c r="Y996" s="1">
        <v>0</v>
      </c>
      <c r="Z996" s="1">
        <v>0</v>
      </c>
      <c r="AA996">
        <v>1</v>
      </c>
      <c r="AB996" t="str">
        <f t="shared" si="15"/>
        <v>Defaulter</v>
      </c>
      <c r="AC996" s="1">
        <f>Table2[[#This Row],[BILL_AMT1]]-Table2[[#This Row],[PAY_AMT1]]</f>
        <v>0</v>
      </c>
      <c r="AD996" s="1" t="str" cm="1">
        <f t="array" ref="AD996">_xlfn.IFS(Table2[[#This Row],[PAYMENT GAP]]&lt;=0,"No Gap / Overpaid",Table2[[#This Row],[PAYMENT GAP]]&lt;=25000,"Low Gap",Table2[[#This Row],[PAYMENT GAP]]&lt;=100000,"Medium Gap",
TRUE,"High Gap"
)</f>
        <v>No Gap / Overpaid</v>
      </c>
    </row>
    <row r="997" spans="1:30" x14ac:dyDescent="0.3">
      <c r="A997">
        <v>996</v>
      </c>
      <c r="B997" s="1">
        <v>200000</v>
      </c>
      <c r="C997" s="1" t="str" cm="1">
        <f t="array" ref="C997">_xlfn.IFS(Table2[[#This Row],[LIMIT_BAL]]&lt;=100000,"Low",Table2[[#This Row],[LIMIT_BAL]]&lt;=300000,"Medium",
TRUE,"High"
)</f>
        <v>Medium</v>
      </c>
      <c r="D997" t="s">
        <v>2042</v>
      </c>
      <c r="E997" t="s">
        <v>2026</v>
      </c>
      <c r="F997" t="s">
        <v>2029</v>
      </c>
      <c r="G997">
        <v>39</v>
      </c>
      <c r="H997" t="str" cm="1">
        <f t="array" ref="H997">_xlfn.IFS(
Table2[[#This Row],[AGE]]&lt;30,"Young",
Table2[[#This Row],[AGE]]&lt;40,"Middle Age",
Table2[[#This Row],[AGE]]&lt;50,"Senior",
TRUE,"Super Senior"
)</f>
        <v>Middle Age</v>
      </c>
      <c r="I997">
        <v>-2</v>
      </c>
      <c r="J997">
        <v>-2</v>
      </c>
      <c r="K997">
        <v>-2</v>
      </c>
      <c r="L997">
        <v>-2</v>
      </c>
      <c r="M997">
        <v>-2</v>
      </c>
      <c r="N997">
        <v>-2</v>
      </c>
      <c r="O997" s="1">
        <v>-200</v>
      </c>
      <c r="P997" s="1">
        <v>-200</v>
      </c>
      <c r="Q997" s="1">
        <v>-200</v>
      </c>
      <c r="R997" s="1">
        <v>0</v>
      </c>
      <c r="S997" s="1">
        <v>60800</v>
      </c>
      <c r="T997" s="1">
        <v>0</v>
      </c>
      <c r="U997" s="1">
        <v>0</v>
      </c>
      <c r="V997" s="1">
        <v>0</v>
      </c>
      <c r="W997" s="1">
        <v>200</v>
      </c>
      <c r="X997" s="1">
        <v>60800</v>
      </c>
      <c r="Y997" s="1">
        <v>0</v>
      </c>
      <c r="Z997" s="1">
        <v>0</v>
      </c>
      <c r="AA997">
        <v>0</v>
      </c>
      <c r="AB997" t="str">
        <f t="shared" si="15"/>
        <v>Not Defaulter</v>
      </c>
      <c r="AC997" s="1">
        <f>Table2[[#This Row],[BILL_AMT1]]-Table2[[#This Row],[PAY_AMT1]]</f>
        <v>-200</v>
      </c>
      <c r="AD997" s="1" t="str" cm="1">
        <f t="array" ref="AD997">_xlfn.IFS(Table2[[#This Row],[PAYMENT GAP]]&lt;=0,"No Gap / Overpaid",Table2[[#This Row],[PAYMENT GAP]]&lt;=25000,"Low Gap",Table2[[#This Row],[PAYMENT GAP]]&lt;=100000,"Medium Gap",
TRUE,"High Gap"
)</f>
        <v>No Gap / Overpaid</v>
      </c>
    </row>
    <row r="998" spans="1:30" x14ac:dyDescent="0.3">
      <c r="A998">
        <v>997</v>
      </c>
      <c r="B998" s="1">
        <v>140000</v>
      </c>
      <c r="C998" s="1" t="str" cm="1">
        <f t="array" ref="C998">_xlfn.IFS(Table2[[#This Row],[LIMIT_BAL]]&lt;=100000,"Low",Table2[[#This Row],[LIMIT_BAL]]&lt;=300000,"Medium",
TRUE,"High"
)</f>
        <v>Medium</v>
      </c>
      <c r="D998" t="s">
        <v>2042</v>
      </c>
      <c r="E998" t="s">
        <v>2026</v>
      </c>
      <c r="F998" t="s">
        <v>2028</v>
      </c>
      <c r="G998">
        <v>45</v>
      </c>
      <c r="H998" t="str" cm="1">
        <f t="array" ref="H998">_xlfn.IFS(
Table2[[#This Row],[AGE]]&lt;30,"Young",
Table2[[#This Row],[AGE]]&lt;40,"Middle Age",
Table2[[#This Row],[AGE]]&lt;50,"Senior",
TRUE,"Super Senior"
)</f>
        <v>Senior</v>
      </c>
      <c r="I998">
        <v>0</v>
      </c>
      <c r="J998">
        <v>0</v>
      </c>
      <c r="K998">
        <v>0</v>
      </c>
      <c r="L998">
        <v>0</v>
      </c>
      <c r="M998">
        <v>2</v>
      </c>
      <c r="N998">
        <v>2</v>
      </c>
      <c r="O998" s="1">
        <v>39716</v>
      </c>
      <c r="P998" s="1">
        <v>40799</v>
      </c>
      <c r="Q998" s="1">
        <v>41853</v>
      </c>
      <c r="R998" s="1">
        <v>44452</v>
      </c>
      <c r="S998" s="1">
        <v>45433</v>
      </c>
      <c r="T998" s="1">
        <v>46383</v>
      </c>
      <c r="U998" s="1">
        <v>1600</v>
      </c>
      <c r="V998" s="1">
        <v>1600</v>
      </c>
      <c r="W998" s="1">
        <v>3169</v>
      </c>
      <c r="X998" s="1">
        <v>1700</v>
      </c>
      <c r="Y998" s="1">
        <v>1700</v>
      </c>
      <c r="Z998" s="1">
        <v>1495</v>
      </c>
      <c r="AA998">
        <v>0</v>
      </c>
      <c r="AB998" t="str">
        <f t="shared" si="15"/>
        <v>Not Defaulter</v>
      </c>
      <c r="AC998" s="1">
        <f>Table2[[#This Row],[BILL_AMT1]]-Table2[[#This Row],[PAY_AMT1]]</f>
        <v>38116</v>
      </c>
      <c r="AD998" s="1" t="str" cm="1">
        <f t="array" ref="AD998">_xlfn.IFS(Table2[[#This Row],[PAYMENT GAP]]&lt;=0,"No Gap / Overpaid",Table2[[#This Row],[PAYMENT GAP]]&lt;=25000,"Low Gap",Table2[[#This Row],[PAYMENT GAP]]&lt;=100000,"Medium Gap",
TRUE,"High Gap"
)</f>
        <v>Medium Gap</v>
      </c>
    </row>
    <row r="999" spans="1:30" x14ac:dyDescent="0.3">
      <c r="A999">
        <v>998</v>
      </c>
      <c r="B999" s="1">
        <v>360000</v>
      </c>
      <c r="C999" s="1" t="str" cm="1">
        <f t="array" ref="C999">_xlfn.IFS(Table2[[#This Row],[LIMIT_BAL]]&lt;=100000,"Low",Table2[[#This Row],[LIMIT_BAL]]&lt;=300000,"Medium",
TRUE,"High"
)</f>
        <v>High</v>
      </c>
      <c r="D999" t="s">
        <v>2042</v>
      </c>
      <c r="E999" t="s">
        <v>2026</v>
      </c>
      <c r="F999" t="s">
        <v>2028</v>
      </c>
      <c r="G999">
        <v>38</v>
      </c>
      <c r="H999" t="str" cm="1">
        <f t="array" ref="H999">_xlfn.IFS(
Table2[[#This Row],[AGE]]&lt;30,"Young",
Table2[[#This Row],[AGE]]&lt;40,"Middle Age",
Table2[[#This Row],[AGE]]&lt;50,"Senior",
TRUE,"Super Senior"
)</f>
        <v>Middle Age</v>
      </c>
      <c r="I999">
        <v>1</v>
      </c>
      <c r="J999">
        <v>-2</v>
      </c>
      <c r="K999">
        <v>-2</v>
      </c>
      <c r="L999">
        <v>-2</v>
      </c>
      <c r="M999">
        <v>-2</v>
      </c>
      <c r="N999">
        <v>-2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>
        <v>1</v>
      </c>
      <c r="AB999" t="str">
        <f t="shared" si="15"/>
        <v>Defaulter</v>
      </c>
      <c r="AC999" s="1">
        <f>Table2[[#This Row],[BILL_AMT1]]-Table2[[#This Row],[PAY_AMT1]]</f>
        <v>0</v>
      </c>
      <c r="AD999" s="1" t="str" cm="1">
        <f t="array" ref="AD999">_xlfn.IFS(Table2[[#This Row],[PAYMENT GAP]]&lt;=0,"No Gap / Overpaid",Table2[[#This Row],[PAYMENT GAP]]&lt;=25000,"Low Gap",Table2[[#This Row],[PAYMENT GAP]]&lt;=100000,"Medium Gap",
TRUE,"High Gap"
)</f>
        <v>No Gap / Overpaid</v>
      </c>
    </row>
    <row r="1000" spans="1:30" x14ac:dyDescent="0.3">
      <c r="A1000">
        <v>999</v>
      </c>
      <c r="B1000" s="1">
        <v>50000</v>
      </c>
      <c r="C1000" s="1" t="str" cm="1">
        <f t="array" ref="C1000">_xlfn.IFS(Table2[[#This Row],[LIMIT_BAL]]&lt;=100000,"Low",Table2[[#This Row],[LIMIT_BAL]]&lt;=300000,"Medium",
TRUE,"High"
)</f>
        <v>Low</v>
      </c>
      <c r="D1000" t="s">
        <v>2041</v>
      </c>
      <c r="E1000" t="s">
        <v>2043</v>
      </c>
      <c r="F1000" t="s">
        <v>2029</v>
      </c>
      <c r="G1000">
        <v>23</v>
      </c>
      <c r="H1000" t="str" cm="1">
        <f t="array" ref="H1000">_xlfn.IFS(
Table2[[#This Row],[AGE]]&lt;30,"Young",
Table2[[#This Row],[AGE]]&lt;40,"Middle Age",
Table2[[#This Row],[AGE]]&lt;50,"Senior",
TRUE,"Super Senior"
)</f>
        <v>Young</v>
      </c>
      <c r="I1000">
        <v>-1</v>
      </c>
      <c r="J1000">
        <v>-1</v>
      </c>
      <c r="K1000">
        <v>-1</v>
      </c>
      <c r="L1000">
        <v>0</v>
      </c>
      <c r="M1000">
        <v>-1</v>
      </c>
      <c r="N1000">
        <v>-1</v>
      </c>
      <c r="O1000" s="1">
        <v>780</v>
      </c>
      <c r="P1000" s="1">
        <v>0</v>
      </c>
      <c r="Q1000" s="1">
        <v>780</v>
      </c>
      <c r="R1000" s="1">
        <v>390</v>
      </c>
      <c r="S1000" s="1">
        <v>390</v>
      </c>
      <c r="T1000" s="1">
        <v>500</v>
      </c>
      <c r="U1000" s="1">
        <v>0</v>
      </c>
      <c r="V1000" s="1">
        <v>780</v>
      </c>
      <c r="W1000" s="1">
        <v>0</v>
      </c>
      <c r="X1000" s="1">
        <v>390</v>
      </c>
      <c r="Y1000" s="1">
        <v>500</v>
      </c>
      <c r="Z1000" s="1">
        <v>18300</v>
      </c>
      <c r="AA1000">
        <v>1</v>
      </c>
      <c r="AB1000" t="str">
        <f t="shared" si="15"/>
        <v>Defaulter</v>
      </c>
      <c r="AC1000" s="1">
        <f>Table2[[#This Row],[BILL_AMT1]]-Table2[[#This Row],[PAY_AMT1]]</f>
        <v>780</v>
      </c>
      <c r="AD1000" s="1" t="str" cm="1">
        <f t="array" ref="AD1000">_xlfn.IFS(Table2[[#This Row],[PAYMENT GAP]]&lt;=0,"No Gap / Overpaid",Table2[[#This Row],[PAYMENT GAP]]&lt;=25000,"Low Gap",Table2[[#This Row],[PAYMENT GAP]]&lt;=100000,"Medium Gap",
TRUE,"High Gap"
)</f>
        <v>Low Gap</v>
      </c>
    </row>
    <row r="1001" spans="1:30" x14ac:dyDescent="0.3">
      <c r="A1001">
        <v>1000</v>
      </c>
      <c r="B1001" s="1">
        <v>120000</v>
      </c>
      <c r="C1001" s="1" t="str" cm="1">
        <f t="array" ref="C1001">_xlfn.IFS(Table2[[#This Row],[LIMIT_BAL]]&lt;=100000,"Low",Table2[[#This Row],[LIMIT_BAL]]&lt;=300000,"Medium",
TRUE,"High"
)</f>
        <v>Medium</v>
      </c>
      <c r="D1001" t="s">
        <v>2042</v>
      </c>
      <c r="E1001" t="s">
        <v>2043</v>
      </c>
      <c r="F1001" t="s">
        <v>2029</v>
      </c>
      <c r="G1001">
        <v>25</v>
      </c>
      <c r="H1001" t="str" cm="1">
        <f t="array" ref="H1001">_xlfn.IFS(
Table2[[#This Row],[AGE]]&lt;30,"Young",
Table2[[#This Row],[AGE]]&lt;40,"Middle Age",
Table2[[#This Row],[AGE]]&lt;50,"Senior",
TRUE,"Super Senior"
)</f>
        <v>Young</v>
      </c>
      <c r="I1001">
        <v>2</v>
      </c>
      <c r="J1001">
        <v>2</v>
      </c>
      <c r="K1001">
        <v>0</v>
      </c>
      <c r="L1001">
        <v>0</v>
      </c>
      <c r="M1001">
        <v>0</v>
      </c>
      <c r="N1001">
        <v>0</v>
      </c>
      <c r="O1001" s="1">
        <v>113348</v>
      </c>
      <c r="P1001" s="1">
        <v>110119</v>
      </c>
      <c r="Q1001" s="1">
        <v>111700</v>
      </c>
      <c r="R1001" s="1">
        <v>83858</v>
      </c>
      <c r="S1001" s="1">
        <v>86434</v>
      </c>
      <c r="T1001" s="1">
        <v>88802</v>
      </c>
      <c r="U1001" s="1">
        <v>0</v>
      </c>
      <c r="V1001" s="1">
        <v>5000</v>
      </c>
      <c r="W1001" s="1">
        <v>3158</v>
      </c>
      <c r="X1001" s="1">
        <v>3934</v>
      </c>
      <c r="Y1001" s="1">
        <v>3802</v>
      </c>
      <c r="Z1001" s="1">
        <v>2000</v>
      </c>
      <c r="AA1001">
        <v>0</v>
      </c>
      <c r="AB1001" t="str">
        <f t="shared" si="15"/>
        <v>Not Defaulter</v>
      </c>
      <c r="AC1001" s="1">
        <f>Table2[[#This Row],[BILL_AMT1]]-Table2[[#This Row],[PAY_AMT1]]</f>
        <v>113348</v>
      </c>
      <c r="AD1001" s="1" t="str" cm="1">
        <f t="array" ref="AD1001">_xlfn.IFS(Table2[[#This Row],[PAYMENT GAP]]&lt;=0,"No Gap / Overpaid",Table2[[#This Row],[PAYMENT GAP]]&lt;=25000,"Low Gap",Table2[[#This Row],[PAYMENT GAP]]&lt;=100000,"Medium Gap",
TRUE,"High Gap"
)</f>
        <v>High Gap</v>
      </c>
    </row>
    <row r="1002" spans="1:30" x14ac:dyDescent="0.3">
      <c r="A1002">
        <v>1001</v>
      </c>
      <c r="B1002" s="1">
        <v>100000</v>
      </c>
      <c r="C1002" s="1" t="str" cm="1">
        <f t="array" ref="C1002">_xlfn.IFS(Table2[[#This Row],[LIMIT_BAL]]&lt;=100000,"Low",Table2[[#This Row],[LIMIT_BAL]]&lt;=300000,"Medium",
TRUE,"High"
)</f>
        <v>Low</v>
      </c>
      <c r="D1002" t="s">
        <v>2042</v>
      </c>
      <c r="E1002" t="s">
        <v>2043</v>
      </c>
      <c r="F1002" t="s">
        <v>2028</v>
      </c>
      <c r="G1002">
        <v>29</v>
      </c>
      <c r="H1002" t="str" cm="1">
        <f t="array" ref="H1002">_xlfn.IFS(
Table2[[#This Row],[AGE]]&lt;30,"Young",
Table2[[#This Row],[AGE]]&lt;40,"Middle Age",
Table2[[#This Row],[AGE]]&lt;50,"Senior",
TRUE,"Super Senior"
)</f>
        <v>Young</v>
      </c>
      <c r="I1002">
        <v>0</v>
      </c>
      <c r="J1002">
        <v>0</v>
      </c>
      <c r="K1002">
        <v>0</v>
      </c>
      <c r="L1002">
        <v>0</v>
      </c>
      <c r="M1002">
        <v>-1</v>
      </c>
      <c r="N1002">
        <v>-1</v>
      </c>
      <c r="O1002" s="1">
        <v>94453</v>
      </c>
      <c r="P1002" s="1">
        <v>95860</v>
      </c>
      <c r="Q1002" s="1">
        <v>67782</v>
      </c>
      <c r="R1002" s="1">
        <v>-2618</v>
      </c>
      <c r="S1002" s="1">
        <v>95748</v>
      </c>
      <c r="T1002" s="1">
        <v>101299</v>
      </c>
      <c r="U1002" s="1">
        <v>3320</v>
      </c>
      <c r="V1002" s="1">
        <v>5000</v>
      </c>
      <c r="W1002" s="1">
        <v>0</v>
      </c>
      <c r="X1002" s="1">
        <v>100000</v>
      </c>
      <c r="Y1002" s="1">
        <v>7186</v>
      </c>
      <c r="Z1002" s="1">
        <v>0</v>
      </c>
      <c r="AA1002">
        <v>0</v>
      </c>
      <c r="AB1002" t="str">
        <f t="shared" si="15"/>
        <v>Not Defaulter</v>
      </c>
      <c r="AC1002" s="1">
        <f>Table2[[#This Row],[BILL_AMT1]]-Table2[[#This Row],[PAY_AMT1]]</f>
        <v>91133</v>
      </c>
      <c r="AD1002" s="1" t="str" cm="1">
        <f t="array" ref="AD1002">_xlfn.IFS(Table2[[#This Row],[PAYMENT GAP]]&lt;=0,"No Gap / Overpaid",Table2[[#This Row],[PAYMENT GAP]]&lt;=25000,"Low Gap",Table2[[#This Row],[PAYMENT GAP]]&lt;=100000,"Medium Gap",
TRUE,"High Gap"
)</f>
        <v>Medium Gap</v>
      </c>
    </row>
    <row r="1003" spans="1:30" x14ac:dyDescent="0.3">
      <c r="A1003">
        <v>1002</v>
      </c>
      <c r="B1003" s="1">
        <v>200000</v>
      </c>
      <c r="C1003" s="1" t="str" cm="1">
        <f t="array" ref="C1003">_xlfn.IFS(Table2[[#This Row],[LIMIT_BAL]]&lt;=100000,"Low",Table2[[#This Row],[LIMIT_BAL]]&lt;=300000,"Medium",
TRUE,"High"
)</f>
        <v>Medium</v>
      </c>
      <c r="D1003" t="s">
        <v>2041</v>
      </c>
      <c r="E1003" t="s">
        <v>2043</v>
      </c>
      <c r="F1003" t="s">
        <v>2028</v>
      </c>
      <c r="G1003">
        <v>28</v>
      </c>
      <c r="H1003" t="str" cm="1">
        <f t="array" ref="H1003">_xlfn.IFS(
Table2[[#This Row],[AGE]]&lt;30,"Young",
Table2[[#This Row],[AGE]]&lt;40,"Middle Age",
Table2[[#This Row],[AGE]]&lt;50,"Senior",
TRUE,"Super Senior"
)</f>
        <v>Young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 s="1">
        <v>81865</v>
      </c>
      <c r="P1003" s="1">
        <v>86790</v>
      </c>
      <c r="Q1003" s="1">
        <v>8441</v>
      </c>
      <c r="R1003" s="1">
        <v>97041</v>
      </c>
      <c r="S1003" s="1">
        <v>103541</v>
      </c>
      <c r="T1003" s="1">
        <v>3632</v>
      </c>
      <c r="U1003" s="1">
        <v>5000</v>
      </c>
      <c r="V1003" s="1">
        <v>2000</v>
      </c>
      <c r="W1003" s="1">
        <v>89000</v>
      </c>
      <c r="X1003" s="1">
        <v>6500</v>
      </c>
      <c r="Y1003" s="1">
        <v>91</v>
      </c>
      <c r="Z1003" s="1">
        <v>1504</v>
      </c>
      <c r="AA1003">
        <v>0</v>
      </c>
      <c r="AB1003" t="str">
        <f t="shared" si="15"/>
        <v>Not Defaulter</v>
      </c>
      <c r="AC1003" s="1">
        <f>Table2[[#This Row],[BILL_AMT1]]-Table2[[#This Row],[PAY_AMT1]]</f>
        <v>76865</v>
      </c>
      <c r="AD1003" s="1" t="str" cm="1">
        <f t="array" ref="AD1003">_xlfn.IFS(Table2[[#This Row],[PAYMENT GAP]]&lt;=0,"No Gap / Overpaid",Table2[[#This Row],[PAYMENT GAP]]&lt;=25000,"Low Gap",Table2[[#This Row],[PAYMENT GAP]]&lt;=100000,"Medium Gap",
TRUE,"High Gap"
)</f>
        <v>Medium Gap</v>
      </c>
    </row>
    <row r="1004" spans="1:30" x14ac:dyDescent="0.3">
      <c r="A1004">
        <v>1003</v>
      </c>
      <c r="B1004" s="1">
        <v>90000</v>
      </c>
      <c r="C1004" s="1" t="str" cm="1">
        <f t="array" ref="C1004">_xlfn.IFS(Table2[[#This Row],[LIMIT_BAL]]&lt;=100000,"Low",Table2[[#This Row],[LIMIT_BAL]]&lt;=300000,"Medium",
TRUE,"High"
)</f>
        <v>Low</v>
      </c>
      <c r="D1004" t="s">
        <v>2041</v>
      </c>
      <c r="E1004" t="s">
        <v>2043</v>
      </c>
      <c r="F1004" t="s">
        <v>2028</v>
      </c>
      <c r="G1004">
        <v>40</v>
      </c>
      <c r="H1004" t="str" cm="1">
        <f t="array" ref="H1004">_xlfn.IFS(
Table2[[#This Row],[AGE]]&lt;30,"Young",
Table2[[#This Row],[AGE]]&lt;40,"Middle Age",
Table2[[#This Row],[AGE]]&lt;50,"Senior",
TRUE,"Super Senior"
)</f>
        <v>Senior</v>
      </c>
      <c r="I1004">
        <v>-1</v>
      </c>
      <c r="J1004">
        <v>-1</v>
      </c>
      <c r="K1004">
        <v>-1</v>
      </c>
      <c r="L1004">
        <v>-1</v>
      </c>
      <c r="M1004">
        <v>-1</v>
      </c>
      <c r="N1004">
        <v>-1</v>
      </c>
      <c r="O1004" s="1">
        <v>4989</v>
      </c>
      <c r="P1004" s="1">
        <v>-818</v>
      </c>
      <c r="Q1004" s="1">
        <v>1114</v>
      </c>
      <c r="R1004" s="1">
        <v>657</v>
      </c>
      <c r="S1004" s="1">
        <v>1332</v>
      </c>
      <c r="T1004" s="1">
        <v>780</v>
      </c>
      <c r="U1004" s="1">
        <v>0</v>
      </c>
      <c r="V1004" s="1">
        <v>2806</v>
      </c>
      <c r="W1004" s="1">
        <v>2256</v>
      </c>
      <c r="X1004" s="1">
        <v>2274</v>
      </c>
      <c r="Y1004" s="1">
        <v>780</v>
      </c>
      <c r="Z1004" s="1">
        <v>0</v>
      </c>
      <c r="AA1004">
        <v>0</v>
      </c>
      <c r="AB1004" t="str">
        <f t="shared" si="15"/>
        <v>Not Defaulter</v>
      </c>
      <c r="AC1004" s="1">
        <f>Table2[[#This Row],[BILL_AMT1]]-Table2[[#This Row],[PAY_AMT1]]</f>
        <v>4989</v>
      </c>
      <c r="AD1004" s="1" t="str" cm="1">
        <f t="array" ref="AD1004">_xlfn.IFS(Table2[[#This Row],[PAYMENT GAP]]&lt;=0,"No Gap / Overpaid",Table2[[#This Row],[PAYMENT GAP]]&lt;=25000,"Low Gap",Table2[[#This Row],[PAYMENT GAP]]&lt;=100000,"Medium Gap",
TRUE,"High Gap"
)</f>
        <v>Low Gap</v>
      </c>
    </row>
    <row r="1005" spans="1:30" x14ac:dyDescent="0.3">
      <c r="A1005">
        <v>1004</v>
      </c>
      <c r="B1005" s="1">
        <v>360000</v>
      </c>
      <c r="C1005" s="1" t="str" cm="1">
        <f t="array" ref="C1005">_xlfn.IFS(Table2[[#This Row],[LIMIT_BAL]]&lt;=100000,"Low",Table2[[#This Row],[LIMIT_BAL]]&lt;=300000,"Medium",
TRUE,"High"
)</f>
        <v>High</v>
      </c>
      <c r="D1005" t="s">
        <v>2042</v>
      </c>
      <c r="E1005" t="s">
        <v>2026</v>
      </c>
      <c r="F1005" t="s">
        <v>2029</v>
      </c>
      <c r="G1005">
        <v>36</v>
      </c>
      <c r="H1005" t="str" cm="1">
        <f t="array" ref="H1005">_xlfn.IFS(
Table2[[#This Row],[AGE]]&lt;30,"Young",
Table2[[#This Row],[AGE]]&lt;40,"Middle Age",
Table2[[#This Row],[AGE]]&lt;50,"Senior",
TRUE,"Super Senior"
)</f>
        <v>Middle Age</v>
      </c>
      <c r="I1005">
        <v>1</v>
      </c>
      <c r="J1005">
        <v>-2</v>
      </c>
      <c r="K1005">
        <v>-2</v>
      </c>
      <c r="L1005">
        <v>-2</v>
      </c>
      <c r="M1005">
        <v>-2</v>
      </c>
      <c r="N1005">
        <v>-2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>
        <v>1</v>
      </c>
      <c r="AB1005" t="str">
        <f t="shared" si="15"/>
        <v>Defaulter</v>
      </c>
      <c r="AC1005" s="1">
        <f>Table2[[#This Row],[BILL_AMT1]]-Table2[[#This Row],[PAY_AMT1]]</f>
        <v>0</v>
      </c>
      <c r="AD1005" s="1" t="str" cm="1">
        <f t="array" ref="AD1005">_xlfn.IFS(Table2[[#This Row],[PAYMENT GAP]]&lt;=0,"No Gap / Overpaid",Table2[[#This Row],[PAYMENT GAP]]&lt;=25000,"Low Gap",Table2[[#This Row],[PAYMENT GAP]]&lt;=100000,"Medium Gap",
TRUE,"High Gap"
)</f>
        <v>No Gap / Overpaid</v>
      </c>
    </row>
    <row r="1006" spans="1:30" x14ac:dyDescent="0.3">
      <c r="A1006">
        <v>1005</v>
      </c>
      <c r="B1006" s="1">
        <v>150000</v>
      </c>
      <c r="C1006" s="1" t="str" cm="1">
        <f t="array" ref="C1006">_xlfn.IFS(Table2[[#This Row],[LIMIT_BAL]]&lt;=100000,"Low",Table2[[#This Row],[LIMIT_BAL]]&lt;=300000,"Medium",
TRUE,"High"
)</f>
        <v>Medium</v>
      </c>
      <c r="D1006" t="s">
        <v>2041</v>
      </c>
      <c r="E1006" t="s">
        <v>2027</v>
      </c>
      <c r="F1006" t="s">
        <v>2029</v>
      </c>
      <c r="G1006">
        <v>30</v>
      </c>
      <c r="H1006" t="str" cm="1">
        <f t="array" ref="H1006">_xlfn.IFS(
Table2[[#This Row],[AGE]]&lt;30,"Young",
Table2[[#This Row],[AGE]]&lt;40,"Middle Age",
Table2[[#This Row],[AGE]]&lt;50,"Senior",
TRUE,"Super Senior"
)</f>
        <v>Middle Age</v>
      </c>
      <c r="I1006">
        <v>-2</v>
      </c>
      <c r="J1006">
        <v>-2</v>
      </c>
      <c r="K1006">
        <v>-2</v>
      </c>
      <c r="L1006">
        <v>-2</v>
      </c>
      <c r="M1006">
        <v>-2</v>
      </c>
      <c r="N1006">
        <v>-2</v>
      </c>
      <c r="O1006" s="1">
        <v>456</v>
      </c>
      <c r="P1006" s="1">
        <v>9664</v>
      </c>
      <c r="Q1006" s="1">
        <v>3420</v>
      </c>
      <c r="R1006" s="1">
        <v>2527</v>
      </c>
      <c r="S1006" s="1">
        <v>0</v>
      </c>
      <c r="T1006" s="1">
        <v>0</v>
      </c>
      <c r="U1006" s="1">
        <v>9664</v>
      </c>
      <c r="V1006" s="1">
        <v>3420</v>
      </c>
      <c r="W1006" s="1">
        <v>2612</v>
      </c>
      <c r="X1006" s="1">
        <v>0</v>
      </c>
      <c r="Y1006" s="1">
        <v>0</v>
      </c>
      <c r="Z1006" s="1">
        <v>0</v>
      </c>
      <c r="AA1006">
        <v>1</v>
      </c>
      <c r="AB1006" t="str">
        <f t="shared" si="15"/>
        <v>Defaulter</v>
      </c>
      <c r="AC1006" s="1">
        <f>Table2[[#This Row],[BILL_AMT1]]-Table2[[#This Row],[PAY_AMT1]]</f>
        <v>-9208</v>
      </c>
      <c r="AD1006" s="1" t="str" cm="1">
        <f t="array" ref="AD1006">_xlfn.IFS(Table2[[#This Row],[PAYMENT GAP]]&lt;=0,"No Gap / Overpaid",Table2[[#This Row],[PAYMENT GAP]]&lt;=25000,"Low Gap",Table2[[#This Row],[PAYMENT GAP]]&lt;=100000,"Medium Gap",
TRUE,"High Gap"
)</f>
        <v>No Gap / Overpaid</v>
      </c>
    </row>
    <row r="1007" spans="1:30" x14ac:dyDescent="0.3">
      <c r="A1007">
        <v>1006</v>
      </c>
      <c r="B1007" s="1">
        <v>140000</v>
      </c>
      <c r="C1007" s="1" t="str" cm="1">
        <f t="array" ref="C1007">_xlfn.IFS(Table2[[#This Row],[LIMIT_BAL]]&lt;=100000,"Low",Table2[[#This Row],[LIMIT_BAL]]&lt;=300000,"Medium",
TRUE,"High"
)</f>
        <v>Medium</v>
      </c>
      <c r="D1007" t="s">
        <v>2042</v>
      </c>
      <c r="E1007" t="s">
        <v>2026</v>
      </c>
      <c r="F1007" t="s">
        <v>2029</v>
      </c>
      <c r="G1007">
        <v>29</v>
      </c>
      <c r="H1007" t="str" cm="1">
        <f t="array" ref="H1007">_xlfn.IFS(
Table2[[#This Row],[AGE]]&lt;30,"Young",
Table2[[#This Row],[AGE]]&lt;40,"Middle Age",
Table2[[#This Row],[AGE]]&lt;50,"Senior",
TRUE,"Super Senior"
)</f>
        <v>Young</v>
      </c>
      <c r="I1007">
        <v>-1</v>
      </c>
      <c r="J1007">
        <v>-1</v>
      </c>
      <c r="K1007">
        <v>-1</v>
      </c>
      <c r="L1007">
        <v>-1</v>
      </c>
      <c r="M1007">
        <v>-1</v>
      </c>
      <c r="N1007">
        <v>-1</v>
      </c>
      <c r="O1007" s="1">
        <v>2937</v>
      </c>
      <c r="P1007" s="1">
        <v>5150</v>
      </c>
      <c r="Q1007" s="1">
        <v>1514</v>
      </c>
      <c r="R1007" s="1">
        <v>2573</v>
      </c>
      <c r="S1007" s="1">
        <v>495</v>
      </c>
      <c r="T1007" s="1">
        <v>1744</v>
      </c>
      <c r="U1007" s="1">
        <v>2024</v>
      </c>
      <c r="V1007" s="1">
        <v>1522</v>
      </c>
      <c r="W1007" s="1">
        <v>2580</v>
      </c>
      <c r="X1007" s="1">
        <v>496</v>
      </c>
      <c r="Y1007" s="1">
        <v>1749</v>
      </c>
      <c r="Z1007" s="1">
        <v>2265</v>
      </c>
      <c r="AA1007">
        <v>0</v>
      </c>
      <c r="AB1007" t="str">
        <f t="shared" si="15"/>
        <v>Not Defaulter</v>
      </c>
      <c r="AC1007" s="1">
        <f>Table2[[#This Row],[BILL_AMT1]]-Table2[[#This Row],[PAY_AMT1]]</f>
        <v>913</v>
      </c>
      <c r="AD1007" s="1" t="str" cm="1">
        <f t="array" ref="AD1007">_xlfn.IFS(Table2[[#This Row],[PAYMENT GAP]]&lt;=0,"No Gap / Overpaid",Table2[[#This Row],[PAYMENT GAP]]&lt;=25000,"Low Gap",Table2[[#This Row],[PAYMENT GAP]]&lt;=100000,"Medium Gap",
TRUE,"High Gap"
)</f>
        <v>Low Gap</v>
      </c>
    </row>
    <row r="1008" spans="1:30" x14ac:dyDescent="0.3">
      <c r="A1008">
        <v>1007</v>
      </c>
      <c r="B1008" s="1">
        <v>200000</v>
      </c>
      <c r="C1008" s="1" t="str" cm="1">
        <f t="array" ref="C1008">_xlfn.IFS(Table2[[#This Row],[LIMIT_BAL]]&lt;=100000,"Low",Table2[[#This Row],[LIMIT_BAL]]&lt;=300000,"Medium",
TRUE,"High"
)</f>
        <v>Medium</v>
      </c>
      <c r="D1008" t="s">
        <v>2041</v>
      </c>
      <c r="E1008" t="s">
        <v>2043</v>
      </c>
      <c r="F1008" t="s">
        <v>2029</v>
      </c>
      <c r="G1008">
        <v>36</v>
      </c>
      <c r="H1008" t="str" cm="1">
        <f t="array" ref="H1008">_xlfn.IFS(
Table2[[#This Row],[AGE]]&lt;30,"Young",
Table2[[#This Row],[AGE]]&lt;40,"Middle Age",
Table2[[#This Row],[AGE]]&lt;50,"Senior",
TRUE,"Super Senior"
)</f>
        <v>Middle Age</v>
      </c>
      <c r="I1008">
        <v>-1</v>
      </c>
      <c r="J1008">
        <v>-1</v>
      </c>
      <c r="K1008">
        <v>-1</v>
      </c>
      <c r="L1008">
        <v>-2</v>
      </c>
      <c r="M1008">
        <v>-2</v>
      </c>
      <c r="N1008">
        <v>-1</v>
      </c>
      <c r="O1008" s="1">
        <v>1371</v>
      </c>
      <c r="P1008" s="1">
        <v>4068</v>
      </c>
      <c r="Q1008" s="1">
        <v>0</v>
      </c>
      <c r="R1008" s="1">
        <v>0</v>
      </c>
      <c r="S1008" s="1">
        <v>0</v>
      </c>
      <c r="T1008" s="1">
        <v>980</v>
      </c>
      <c r="U1008" s="1">
        <v>4077</v>
      </c>
      <c r="V1008" s="1">
        <v>0</v>
      </c>
      <c r="W1008" s="1">
        <v>0</v>
      </c>
      <c r="X1008" s="1">
        <v>0</v>
      </c>
      <c r="Y1008" s="1">
        <v>980</v>
      </c>
      <c r="Z1008" s="1">
        <v>0</v>
      </c>
      <c r="AA1008">
        <v>0</v>
      </c>
      <c r="AB1008" t="str">
        <f t="shared" si="15"/>
        <v>Not Defaulter</v>
      </c>
      <c r="AC1008" s="1">
        <f>Table2[[#This Row],[BILL_AMT1]]-Table2[[#This Row],[PAY_AMT1]]</f>
        <v>-2706</v>
      </c>
      <c r="AD1008" s="1" t="str" cm="1">
        <f t="array" ref="AD1008">_xlfn.IFS(Table2[[#This Row],[PAYMENT GAP]]&lt;=0,"No Gap / Overpaid",Table2[[#This Row],[PAYMENT GAP]]&lt;=25000,"Low Gap",Table2[[#This Row],[PAYMENT GAP]]&lt;=100000,"Medium Gap",
TRUE,"High Gap"
)</f>
        <v>No Gap / Overpaid</v>
      </c>
    </row>
    <row r="1009" spans="1:30" x14ac:dyDescent="0.3">
      <c r="A1009">
        <v>1008</v>
      </c>
      <c r="B1009" s="1">
        <v>170000</v>
      </c>
      <c r="C1009" s="1" t="str" cm="1">
        <f t="array" ref="C1009">_xlfn.IFS(Table2[[#This Row],[LIMIT_BAL]]&lt;=100000,"Low",Table2[[#This Row],[LIMIT_BAL]]&lt;=300000,"Medium",
TRUE,"High"
)</f>
        <v>Medium</v>
      </c>
      <c r="D1009" t="s">
        <v>2041</v>
      </c>
      <c r="E1009" t="s">
        <v>2043</v>
      </c>
      <c r="F1009" t="s">
        <v>2028</v>
      </c>
      <c r="G1009">
        <v>37</v>
      </c>
      <c r="H1009" t="str" cm="1">
        <f t="array" ref="H1009">_xlfn.IFS(
Table2[[#This Row],[AGE]]&lt;30,"Young",
Table2[[#This Row],[AGE]]&lt;40,"Middle Age",
Table2[[#This Row],[AGE]]&lt;50,"Senior",
TRUE,"Super Senior"
)</f>
        <v>Middle Age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 s="1">
        <v>166246</v>
      </c>
      <c r="P1009" s="1">
        <v>169163</v>
      </c>
      <c r="Q1009" s="1">
        <v>136604</v>
      </c>
      <c r="R1009" s="1">
        <v>136607</v>
      </c>
      <c r="S1009" s="1">
        <v>133199</v>
      </c>
      <c r="T1009" s="1">
        <v>135242</v>
      </c>
      <c r="U1009" s="1">
        <v>6700</v>
      </c>
      <c r="V1009" s="1">
        <v>6800</v>
      </c>
      <c r="W1009" s="1">
        <v>4700</v>
      </c>
      <c r="X1009" s="1">
        <v>4700</v>
      </c>
      <c r="Y1009" s="1">
        <v>5500</v>
      </c>
      <c r="Z1009" s="1">
        <v>5000</v>
      </c>
      <c r="AA1009">
        <v>0</v>
      </c>
      <c r="AB1009" t="str">
        <f t="shared" si="15"/>
        <v>Not Defaulter</v>
      </c>
      <c r="AC1009" s="1">
        <f>Table2[[#This Row],[BILL_AMT1]]-Table2[[#This Row],[PAY_AMT1]]</f>
        <v>159546</v>
      </c>
      <c r="AD1009" s="1" t="str" cm="1">
        <f t="array" ref="AD1009">_xlfn.IFS(Table2[[#This Row],[PAYMENT GAP]]&lt;=0,"No Gap / Overpaid",Table2[[#This Row],[PAYMENT GAP]]&lt;=25000,"Low Gap",Table2[[#This Row],[PAYMENT GAP]]&lt;=100000,"Medium Gap",
TRUE,"High Gap"
)</f>
        <v>High Gap</v>
      </c>
    </row>
    <row r="1010" spans="1:30" x14ac:dyDescent="0.3">
      <c r="A1010">
        <v>1009</v>
      </c>
      <c r="B1010" s="1">
        <v>30000</v>
      </c>
      <c r="C1010" s="1" t="str" cm="1">
        <f t="array" ref="C1010">_xlfn.IFS(Table2[[#This Row],[LIMIT_BAL]]&lt;=100000,"Low",Table2[[#This Row],[LIMIT_BAL]]&lt;=300000,"Medium",
TRUE,"High"
)</f>
        <v>Low</v>
      </c>
      <c r="D1010" t="s">
        <v>2042</v>
      </c>
      <c r="E1010" t="s">
        <v>2043</v>
      </c>
      <c r="F1010" t="s">
        <v>2029</v>
      </c>
      <c r="G1010">
        <v>34</v>
      </c>
      <c r="H1010" t="str" cm="1">
        <f t="array" ref="H1010">_xlfn.IFS(
Table2[[#This Row],[AGE]]&lt;30,"Young",
Table2[[#This Row],[AGE]]&lt;40,"Middle Age",
Table2[[#This Row],[AGE]]&lt;50,"Senior",
TRUE,"Super Senior"
)</f>
        <v>Middle Age</v>
      </c>
      <c r="I1010">
        <v>0</v>
      </c>
      <c r="J1010">
        <v>0</v>
      </c>
      <c r="K1010">
        <v>4</v>
      </c>
      <c r="L1010">
        <v>3</v>
      </c>
      <c r="M1010">
        <v>2</v>
      </c>
      <c r="N1010">
        <v>0</v>
      </c>
      <c r="O1010" s="1">
        <v>19785</v>
      </c>
      <c r="P1010" s="1">
        <v>24633</v>
      </c>
      <c r="Q1010" s="1">
        <v>23961</v>
      </c>
      <c r="R1010" s="1">
        <v>23289</v>
      </c>
      <c r="S1010" s="1">
        <v>22779</v>
      </c>
      <c r="T1010" s="1">
        <v>51224</v>
      </c>
      <c r="U1010" s="1">
        <v>5500</v>
      </c>
      <c r="V1010" s="1">
        <v>0</v>
      </c>
      <c r="W1010" s="1">
        <v>0</v>
      </c>
      <c r="X1010" s="1">
        <v>0</v>
      </c>
      <c r="Y1010" s="1">
        <v>3400</v>
      </c>
      <c r="Z1010" s="1">
        <v>512</v>
      </c>
      <c r="AA1010">
        <v>0</v>
      </c>
      <c r="AB1010" t="str">
        <f t="shared" si="15"/>
        <v>Not Defaulter</v>
      </c>
      <c r="AC1010" s="1">
        <f>Table2[[#This Row],[BILL_AMT1]]-Table2[[#This Row],[PAY_AMT1]]</f>
        <v>14285</v>
      </c>
      <c r="AD1010" s="1" t="str" cm="1">
        <f t="array" ref="AD1010">_xlfn.IFS(Table2[[#This Row],[PAYMENT GAP]]&lt;=0,"No Gap / Overpaid",Table2[[#This Row],[PAYMENT GAP]]&lt;=25000,"Low Gap",Table2[[#This Row],[PAYMENT GAP]]&lt;=100000,"Medium Gap",
TRUE,"High Gap"
)</f>
        <v>Low Gap</v>
      </c>
    </row>
    <row r="1011" spans="1:30" x14ac:dyDescent="0.3">
      <c r="A1011">
        <v>1010</v>
      </c>
      <c r="B1011" s="1">
        <v>80000</v>
      </c>
      <c r="C1011" s="1" t="str" cm="1">
        <f t="array" ref="C1011">_xlfn.IFS(Table2[[#This Row],[LIMIT_BAL]]&lt;=100000,"Low",Table2[[#This Row],[LIMIT_BAL]]&lt;=300000,"Medium",
TRUE,"High"
)</f>
        <v>Low</v>
      </c>
      <c r="D1011" t="s">
        <v>2041</v>
      </c>
      <c r="E1011" t="s">
        <v>2026</v>
      </c>
      <c r="F1011" t="s">
        <v>2029</v>
      </c>
      <c r="G1011">
        <v>27</v>
      </c>
      <c r="H1011" t="str" cm="1">
        <f t="array" ref="H1011">_xlfn.IFS(
Table2[[#This Row],[AGE]]&lt;30,"Young",
Table2[[#This Row],[AGE]]&lt;40,"Middle Age",
Table2[[#This Row],[AGE]]&lt;50,"Senior",
TRUE,"Super Senior"
)</f>
        <v>Young</v>
      </c>
      <c r="I1011">
        <v>0</v>
      </c>
      <c r="J1011">
        <v>0</v>
      </c>
      <c r="K1011">
        <v>-2</v>
      </c>
      <c r="L1011">
        <v>-2</v>
      </c>
      <c r="M1011">
        <v>-2</v>
      </c>
      <c r="N1011">
        <v>-2</v>
      </c>
      <c r="O1011" s="1">
        <v>80000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>
        <v>0</v>
      </c>
      <c r="AB1011" t="str">
        <f t="shared" si="15"/>
        <v>Not Defaulter</v>
      </c>
      <c r="AC1011" s="1">
        <f>Table2[[#This Row],[BILL_AMT1]]-Table2[[#This Row],[PAY_AMT1]]</f>
        <v>80000</v>
      </c>
      <c r="AD1011" s="1" t="str" cm="1">
        <f t="array" ref="AD1011">_xlfn.IFS(Table2[[#This Row],[PAYMENT GAP]]&lt;=0,"No Gap / Overpaid",Table2[[#This Row],[PAYMENT GAP]]&lt;=25000,"Low Gap",Table2[[#This Row],[PAYMENT GAP]]&lt;=100000,"Medium Gap",
TRUE,"High Gap"
)</f>
        <v>Medium Gap</v>
      </c>
    </row>
    <row r="1012" spans="1:30" x14ac:dyDescent="0.3">
      <c r="A1012">
        <v>1011</v>
      </c>
      <c r="B1012" s="1">
        <v>280000</v>
      </c>
      <c r="C1012" s="1" t="str" cm="1">
        <f t="array" ref="C1012">_xlfn.IFS(Table2[[#This Row],[LIMIT_BAL]]&lt;=100000,"Low",Table2[[#This Row],[LIMIT_BAL]]&lt;=300000,"Medium",
TRUE,"High"
)</f>
        <v>Medium</v>
      </c>
      <c r="D1012" t="s">
        <v>2042</v>
      </c>
      <c r="E1012" t="s">
        <v>2026</v>
      </c>
      <c r="F1012" t="s">
        <v>2029</v>
      </c>
      <c r="G1012">
        <v>31</v>
      </c>
      <c r="H1012" t="str" cm="1">
        <f t="array" ref="H1012">_xlfn.IFS(
Table2[[#This Row],[AGE]]&lt;30,"Young",
Table2[[#This Row],[AGE]]&lt;40,"Middle Age",
Table2[[#This Row],[AGE]]&lt;50,"Senior",
TRUE,"Super Senior"
)</f>
        <v>Middle Age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</v>
      </c>
      <c r="O1012" s="1">
        <v>164736</v>
      </c>
      <c r="P1012" s="1">
        <v>170564</v>
      </c>
      <c r="Q1012" s="1">
        <v>150666</v>
      </c>
      <c r="R1012" s="1">
        <v>133465</v>
      </c>
      <c r="S1012" s="1">
        <v>133536</v>
      </c>
      <c r="T1012" s="1">
        <v>132964</v>
      </c>
      <c r="U1012" s="1">
        <v>8833</v>
      </c>
      <c r="V1012" s="1">
        <v>12005</v>
      </c>
      <c r="W1012" s="1">
        <v>5000</v>
      </c>
      <c r="X1012" s="1">
        <v>8000</v>
      </c>
      <c r="Y1012" s="1">
        <v>3000</v>
      </c>
      <c r="Z1012" s="1">
        <v>5000</v>
      </c>
      <c r="AA1012">
        <v>0</v>
      </c>
      <c r="AB1012" t="str">
        <f t="shared" si="15"/>
        <v>Not Defaulter</v>
      </c>
      <c r="AC1012" s="1">
        <f>Table2[[#This Row],[BILL_AMT1]]-Table2[[#This Row],[PAY_AMT1]]</f>
        <v>155903</v>
      </c>
      <c r="AD1012" s="1" t="str" cm="1">
        <f t="array" ref="AD1012">_xlfn.IFS(Table2[[#This Row],[PAYMENT GAP]]&lt;=0,"No Gap / Overpaid",Table2[[#This Row],[PAYMENT GAP]]&lt;=25000,"Low Gap",Table2[[#This Row],[PAYMENT GAP]]&lt;=100000,"Medium Gap",
TRUE,"High Gap"
)</f>
        <v>High Gap</v>
      </c>
    </row>
    <row r="1013" spans="1:30" x14ac:dyDescent="0.3">
      <c r="A1013">
        <v>1012</v>
      </c>
      <c r="B1013" s="1">
        <v>410000</v>
      </c>
      <c r="C1013" s="1" t="str" cm="1">
        <f t="array" ref="C1013">_xlfn.IFS(Table2[[#This Row],[LIMIT_BAL]]&lt;=100000,"Low",Table2[[#This Row],[LIMIT_BAL]]&lt;=300000,"Medium",
TRUE,"High"
)</f>
        <v>High</v>
      </c>
      <c r="D1013" t="s">
        <v>2041</v>
      </c>
      <c r="E1013" t="s">
        <v>2026</v>
      </c>
      <c r="F1013" t="s">
        <v>2028</v>
      </c>
      <c r="G1013">
        <v>31</v>
      </c>
      <c r="H1013" t="str" cm="1">
        <f t="array" ref="H1013">_xlfn.IFS(
Table2[[#This Row],[AGE]]&lt;30,"Young",
Table2[[#This Row],[AGE]]&lt;40,"Middle Age",
Table2[[#This Row],[AGE]]&lt;50,"Senior",
TRUE,"Super Senior"
)</f>
        <v>Middle Age</v>
      </c>
      <c r="I1013">
        <v>-1</v>
      </c>
      <c r="J1013">
        <v>-1</v>
      </c>
      <c r="K1013">
        <v>2</v>
      </c>
      <c r="L1013">
        <v>2</v>
      </c>
      <c r="M1013">
        <v>-2</v>
      </c>
      <c r="N1013">
        <v>-2</v>
      </c>
      <c r="O1013" s="1">
        <v>2744</v>
      </c>
      <c r="P1013" s="1">
        <v>2041</v>
      </c>
      <c r="Q1013" s="1">
        <v>630</v>
      </c>
      <c r="R1013" s="1">
        <v>-736</v>
      </c>
      <c r="S1013" s="1">
        <v>-1591</v>
      </c>
      <c r="T1013" s="1">
        <v>-2303</v>
      </c>
      <c r="U1013" s="1">
        <v>2051</v>
      </c>
      <c r="V1013" s="1">
        <v>5</v>
      </c>
      <c r="W1013" s="1">
        <v>266</v>
      </c>
      <c r="X1013" s="1">
        <v>266</v>
      </c>
      <c r="Y1013" s="1">
        <v>253</v>
      </c>
      <c r="Z1013" s="1">
        <v>6384</v>
      </c>
      <c r="AA1013">
        <v>0</v>
      </c>
      <c r="AB1013" t="str">
        <f t="shared" si="15"/>
        <v>Not Defaulter</v>
      </c>
      <c r="AC1013" s="1">
        <f>Table2[[#This Row],[BILL_AMT1]]-Table2[[#This Row],[PAY_AMT1]]</f>
        <v>693</v>
      </c>
      <c r="AD1013" s="1" t="str" cm="1">
        <f t="array" ref="AD1013">_xlfn.IFS(Table2[[#This Row],[PAYMENT GAP]]&lt;=0,"No Gap / Overpaid",Table2[[#This Row],[PAYMENT GAP]]&lt;=25000,"Low Gap",Table2[[#This Row],[PAYMENT GAP]]&lt;=100000,"Medium Gap",
TRUE,"High Gap"
)</f>
        <v>Low Gap</v>
      </c>
    </row>
    <row r="1014" spans="1:30" x14ac:dyDescent="0.3">
      <c r="A1014">
        <v>1013</v>
      </c>
      <c r="B1014" s="1">
        <v>450000</v>
      </c>
      <c r="C1014" s="1" t="str" cm="1">
        <f t="array" ref="C1014">_xlfn.IFS(Table2[[#This Row],[LIMIT_BAL]]&lt;=100000,"Low",Table2[[#This Row],[LIMIT_BAL]]&lt;=300000,"Medium",
TRUE,"High"
)</f>
        <v>High</v>
      </c>
      <c r="D1014" t="s">
        <v>2042</v>
      </c>
      <c r="E1014" t="s">
        <v>2026</v>
      </c>
      <c r="F1014" t="s">
        <v>2029</v>
      </c>
      <c r="G1014">
        <v>38</v>
      </c>
      <c r="H1014" t="str" cm="1">
        <f t="array" ref="H1014">_xlfn.IFS(
Table2[[#This Row],[AGE]]&lt;30,"Young",
Table2[[#This Row],[AGE]]&lt;40,"Middle Age",
Table2[[#This Row],[AGE]]&lt;50,"Senior",
TRUE,"Super Senior"
)</f>
        <v>Middle Age</v>
      </c>
      <c r="I1014">
        <v>-1</v>
      </c>
      <c r="J1014">
        <v>0</v>
      </c>
      <c r="K1014">
        <v>-1</v>
      </c>
      <c r="L1014">
        <v>-1</v>
      </c>
      <c r="M1014">
        <v>-1</v>
      </c>
      <c r="N1014">
        <v>-1</v>
      </c>
      <c r="O1014" s="1">
        <v>29747</v>
      </c>
      <c r="P1014" s="1">
        <v>53311</v>
      </c>
      <c r="Q1014" s="1">
        <v>10920</v>
      </c>
      <c r="R1014" s="1">
        <v>8072</v>
      </c>
      <c r="S1014" s="1">
        <v>22809</v>
      </c>
      <c r="T1014" s="1">
        <v>12415</v>
      </c>
      <c r="U1014" s="1">
        <v>30323</v>
      </c>
      <c r="V1014" s="1">
        <v>10973</v>
      </c>
      <c r="W1014" s="1">
        <v>8112</v>
      </c>
      <c r="X1014" s="1">
        <v>22923</v>
      </c>
      <c r="Y1014" s="1">
        <v>12476</v>
      </c>
      <c r="Z1014" s="1">
        <v>6728</v>
      </c>
      <c r="AA1014">
        <v>0</v>
      </c>
      <c r="AB1014" t="str">
        <f t="shared" si="15"/>
        <v>Not Defaulter</v>
      </c>
      <c r="AC1014" s="1">
        <f>Table2[[#This Row],[BILL_AMT1]]-Table2[[#This Row],[PAY_AMT1]]</f>
        <v>-576</v>
      </c>
      <c r="AD1014" s="1" t="str" cm="1">
        <f t="array" ref="AD1014">_xlfn.IFS(Table2[[#This Row],[PAYMENT GAP]]&lt;=0,"No Gap / Overpaid",Table2[[#This Row],[PAYMENT GAP]]&lt;=25000,"Low Gap",Table2[[#This Row],[PAYMENT GAP]]&lt;=100000,"Medium Gap",
TRUE,"High Gap"
)</f>
        <v>No Gap / Overpaid</v>
      </c>
    </row>
    <row r="1015" spans="1:30" x14ac:dyDescent="0.3">
      <c r="A1015">
        <v>1014</v>
      </c>
      <c r="B1015" s="1">
        <v>80000</v>
      </c>
      <c r="C1015" s="1" t="str" cm="1">
        <f t="array" ref="C1015">_xlfn.IFS(Table2[[#This Row],[LIMIT_BAL]]&lt;=100000,"Low",Table2[[#This Row],[LIMIT_BAL]]&lt;=300000,"Medium",
TRUE,"High"
)</f>
        <v>Low</v>
      </c>
      <c r="D1015" t="s">
        <v>2042</v>
      </c>
      <c r="E1015" t="s">
        <v>2043</v>
      </c>
      <c r="F1015" t="s">
        <v>2029</v>
      </c>
      <c r="G1015">
        <v>36</v>
      </c>
      <c r="H1015" t="str" cm="1">
        <f t="array" ref="H1015">_xlfn.IFS(
Table2[[#This Row],[AGE]]&lt;30,"Young",
Table2[[#This Row],[AGE]]&lt;40,"Middle Age",
Table2[[#This Row],[AGE]]&lt;50,"Senior",
TRUE,"Super Senior"
)</f>
        <v>Middle Age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 s="1">
        <v>79148</v>
      </c>
      <c r="P1015" s="1">
        <v>52174</v>
      </c>
      <c r="Q1015" s="1">
        <v>44275</v>
      </c>
      <c r="R1015" s="1">
        <v>42029</v>
      </c>
      <c r="S1015" s="1">
        <v>33838</v>
      </c>
      <c r="T1015" s="1">
        <v>29757</v>
      </c>
      <c r="U1015" s="1">
        <v>2000</v>
      </c>
      <c r="V1015" s="1">
        <v>2000</v>
      </c>
      <c r="W1015" s="1">
        <v>1500</v>
      </c>
      <c r="X1015" s="1">
        <v>1500</v>
      </c>
      <c r="Y1015" s="1">
        <v>2000</v>
      </c>
      <c r="Z1015" s="1">
        <v>1500</v>
      </c>
      <c r="AA1015">
        <v>0</v>
      </c>
      <c r="AB1015" t="str">
        <f t="shared" si="15"/>
        <v>Not Defaulter</v>
      </c>
      <c r="AC1015" s="1">
        <f>Table2[[#This Row],[BILL_AMT1]]-Table2[[#This Row],[PAY_AMT1]]</f>
        <v>77148</v>
      </c>
      <c r="AD1015" s="1" t="str" cm="1">
        <f t="array" ref="AD1015">_xlfn.IFS(Table2[[#This Row],[PAYMENT GAP]]&lt;=0,"No Gap / Overpaid",Table2[[#This Row],[PAYMENT GAP]]&lt;=25000,"Low Gap",Table2[[#This Row],[PAYMENT GAP]]&lt;=100000,"Medium Gap",
TRUE,"High Gap"
)</f>
        <v>Medium Gap</v>
      </c>
    </row>
    <row r="1016" spans="1:30" x14ac:dyDescent="0.3">
      <c r="A1016">
        <v>1015</v>
      </c>
      <c r="B1016" s="1">
        <v>360000</v>
      </c>
      <c r="C1016" s="1" t="str" cm="1">
        <f t="array" ref="C1016">_xlfn.IFS(Table2[[#This Row],[LIMIT_BAL]]&lt;=100000,"Low",Table2[[#This Row],[LIMIT_BAL]]&lt;=300000,"Medium",
TRUE,"High"
)</f>
        <v>High</v>
      </c>
      <c r="D1016" t="s">
        <v>2042</v>
      </c>
      <c r="E1016" t="s">
        <v>2026</v>
      </c>
      <c r="F1016" t="s">
        <v>2028</v>
      </c>
      <c r="G1016">
        <v>46</v>
      </c>
      <c r="H1016" t="str" cm="1">
        <f t="array" ref="H1016">_xlfn.IFS(
Table2[[#This Row],[AGE]]&lt;30,"Young",
Table2[[#This Row],[AGE]]&lt;40,"Middle Age",
Table2[[#This Row],[AGE]]&lt;50,"Senior",
TRUE,"Super Senior"
)</f>
        <v>Senior</v>
      </c>
      <c r="I1016">
        <v>0</v>
      </c>
      <c r="J1016">
        <v>0</v>
      </c>
      <c r="K1016">
        <v>0</v>
      </c>
      <c r="L1016">
        <v>0</v>
      </c>
      <c r="M1016">
        <v>-2</v>
      </c>
      <c r="N1016">
        <v>-2</v>
      </c>
      <c r="O1016" s="1">
        <v>92961</v>
      </c>
      <c r="P1016" s="1">
        <v>76243</v>
      </c>
      <c r="Q1016" s="1">
        <v>51722</v>
      </c>
      <c r="R1016" s="1">
        <v>-8</v>
      </c>
      <c r="S1016" s="1">
        <v>-8</v>
      </c>
      <c r="T1016" s="1">
        <v>-16</v>
      </c>
      <c r="U1016" s="1">
        <v>10125</v>
      </c>
      <c r="V1016" s="1">
        <v>13092</v>
      </c>
      <c r="W1016" s="1">
        <v>0</v>
      </c>
      <c r="X1016" s="1">
        <v>0</v>
      </c>
      <c r="Y1016" s="1">
        <v>0</v>
      </c>
      <c r="Z1016" s="1">
        <v>0</v>
      </c>
      <c r="AA1016">
        <v>0</v>
      </c>
      <c r="AB1016" t="str">
        <f t="shared" si="15"/>
        <v>Not Defaulter</v>
      </c>
      <c r="AC1016" s="1">
        <f>Table2[[#This Row],[BILL_AMT1]]-Table2[[#This Row],[PAY_AMT1]]</f>
        <v>82836</v>
      </c>
      <c r="AD1016" s="1" t="str" cm="1">
        <f t="array" ref="AD1016">_xlfn.IFS(Table2[[#This Row],[PAYMENT GAP]]&lt;=0,"No Gap / Overpaid",Table2[[#This Row],[PAYMENT GAP]]&lt;=25000,"Low Gap",Table2[[#This Row],[PAYMENT GAP]]&lt;=100000,"Medium Gap",
TRUE,"High Gap"
)</f>
        <v>Medium Gap</v>
      </c>
    </row>
    <row r="1017" spans="1:30" x14ac:dyDescent="0.3">
      <c r="A1017">
        <v>1016</v>
      </c>
      <c r="B1017" s="1">
        <v>130000</v>
      </c>
      <c r="C1017" s="1" t="str" cm="1">
        <f t="array" ref="C1017">_xlfn.IFS(Table2[[#This Row],[LIMIT_BAL]]&lt;=100000,"Low",Table2[[#This Row],[LIMIT_BAL]]&lt;=300000,"Medium",
TRUE,"High"
)</f>
        <v>Medium</v>
      </c>
      <c r="D1017" t="s">
        <v>2041</v>
      </c>
      <c r="E1017" t="s">
        <v>2026</v>
      </c>
      <c r="F1017" t="s">
        <v>2028</v>
      </c>
      <c r="G1017">
        <v>36</v>
      </c>
      <c r="H1017" t="str" cm="1">
        <f t="array" ref="H1017">_xlfn.IFS(
Table2[[#This Row],[AGE]]&lt;30,"Young",
Table2[[#This Row],[AGE]]&lt;40,"Middle Age",
Table2[[#This Row],[AGE]]&lt;50,"Senior",
TRUE,"Super Senior"
)</f>
        <v>Middle Age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 s="1">
        <v>129689</v>
      </c>
      <c r="P1017" s="1">
        <v>107070</v>
      </c>
      <c r="Q1017" s="1">
        <v>103942</v>
      </c>
      <c r="R1017" s="1">
        <v>94623</v>
      </c>
      <c r="S1017" s="1">
        <v>90556</v>
      </c>
      <c r="T1017" s="1">
        <v>92394</v>
      </c>
      <c r="U1017" s="1">
        <v>5000</v>
      </c>
      <c r="V1017" s="1">
        <v>4400</v>
      </c>
      <c r="W1017" s="1">
        <v>5000</v>
      </c>
      <c r="X1017" s="1">
        <v>4000</v>
      </c>
      <c r="Y1017" s="1">
        <v>3500</v>
      </c>
      <c r="Z1017" s="1">
        <v>4000</v>
      </c>
      <c r="AA1017">
        <v>0</v>
      </c>
      <c r="AB1017" t="str">
        <f t="shared" si="15"/>
        <v>Not Defaulter</v>
      </c>
      <c r="AC1017" s="1">
        <f>Table2[[#This Row],[BILL_AMT1]]-Table2[[#This Row],[PAY_AMT1]]</f>
        <v>124689</v>
      </c>
      <c r="AD1017" s="1" t="str" cm="1">
        <f t="array" ref="AD1017">_xlfn.IFS(Table2[[#This Row],[PAYMENT GAP]]&lt;=0,"No Gap / Overpaid",Table2[[#This Row],[PAYMENT GAP]]&lt;=25000,"Low Gap",Table2[[#This Row],[PAYMENT GAP]]&lt;=100000,"Medium Gap",
TRUE,"High Gap"
)</f>
        <v>High Gap</v>
      </c>
    </row>
    <row r="1018" spans="1:30" x14ac:dyDescent="0.3">
      <c r="A1018">
        <v>1017</v>
      </c>
      <c r="B1018" s="1">
        <v>160000</v>
      </c>
      <c r="C1018" s="1" t="str" cm="1">
        <f t="array" ref="C1018">_xlfn.IFS(Table2[[#This Row],[LIMIT_BAL]]&lt;=100000,"Low",Table2[[#This Row],[LIMIT_BAL]]&lt;=300000,"Medium",
TRUE,"High"
)</f>
        <v>Medium</v>
      </c>
      <c r="D1018" t="s">
        <v>2041</v>
      </c>
      <c r="E1018" t="s">
        <v>2026</v>
      </c>
      <c r="F1018" t="s">
        <v>2029</v>
      </c>
      <c r="G1018">
        <v>26</v>
      </c>
      <c r="H1018" t="str" cm="1">
        <f t="array" ref="H1018">_xlfn.IFS(
Table2[[#This Row],[AGE]]&lt;30,"Young",
Table2[[#This Row],[AGE]]&lt;40,"Middle Age",
Table2[[#This Row],[AGE]]&lt;50,"Senior",
TRUE,"Super Senior"
)</f>
        <v>Young</v>
      </c>
      <c r="I1018">
        <v>0</v>
      </c>
      <c r="J1018">
        <v>0</v>
      </c>
      <c r="K1018">
        <v>0</v>
      </c>
      <c r="L1018">
        <v>-1</v>
      </c>
      <c r="M1018">
        <v>-1</v>
      </c>
      <c r="N1018">
        <v>-1</v>
      </c>
      <c r="O1018" s="1">
        <v>2198</v>
      </c>
      <c r="P1018" s="1">
        <v>11155</v>
      </c>
      <c r="Q1018" s="1">
        <v>0</v>
      </c>
      <c r="R1018" s="1">
        <v>12315</v>
      </c>
      <c r="S1018" s="1">
        <v>0</v>
      </c>
      <c r="T1018" s="1">
        <v>11855</v>
      </c>
      <c r="U1018" s="1">
        <v>9155</v>
      </c>
      <c r="V1018" s="1">
        <v>0</v>
      </c>
      <c r="W1018" s="1">
        <v>12315</v>
      </c>
      <c r="X1018" s="1">
        <v>0</v>
      </c>
      <c r="Y1018" s="1">
        <v>11855</v>
      </c>
      <c r="Z1018" s="1">
        <v>0</v>
      </c>
      <c r="AA1018">
        <v>1</v>
      </c>
      <c r="AB1018" t="str">
        <f t="shared" si="15"/>
        <v>Defaulter</v>
      </c>
      <c r="AC1018" s="1">
        <f>Table2[[#This Row],[BILL_AMT1]]-Table2[[#This Row],[PAY_AMT1]]</f>
        <v>-6957</v>
      </c>
      <c r="AD1018" s="1" t="str" cm="1">
        <f t="array" ref="AD1018">_xlfn.IFS(Table2[[#This Row],[PAYMENT GAP]]&lt;=0,"No Gap / Overpaid",Table2[[#This Row],[PAYMENT GAP]]&lt;=25000,"Low Gap",Table2[[#This Row],[PAYMENT GAP]]&lt;=100000,"Medium Gap",
TRUE,"High Gap"
)</f>
        <v>No Gap / Overpaid</v>
      </c>
    </row>
    <row r="1019" spans="1:30" x14ac:dyDescent="0.3">
      <c r="A1019">
        <v>1018</v>
      </c>
      <c r="B1019" s="1">
        <v>140000</v>
      </c>
      <c r="C1019" s="1" t="str" cm="1">
        <f t="array" ref="C1019">_xlfn.IFS(Table2[[#This Row],[LIMIT_BAL]]&lt;=100000,"Low",Table2[[#This Row],[LIMIT_BAL]]&lt;=300000,"Medium",
TRUE,"High"
)</f>
        <v>Medium</v>
      </c>
      <c r="D1019" t="s">
        <v>2041</v>
      </c>
      <c r="E1019" t="s">
        <v>2027</v>
      </c>
      <c r="F1019" t="s">
        <v>2029</v>
      </c>
      <c r="G1019">
        <v>57</v>
      </c>
      <c r="H1019" t="str" cm="1">
        <f t="array" ref="H1019">_xlfn.IFS(
Table2[[#This Row],[AGE]]&lt;30,"Young",
Table2[[#This Row],[AGE]]&lt;40,"Middle Age",
Table2[[#This Row],[AGE]]&lt;50,"Senior",
TRUE,"Super Senior"
)</f>
        <v>Super Senior</v>
      </c>
      <c r="I1019">
        <v>2</v>
      </c>
      <c r="J1019">
        <v>0</v>
      </c>
      <c r="K1019">
        <v>0</v>
      </c>
      <c r="L1019">
        <v>0</v>
      </c>
      <c r="M1019">
        <v>0</v>
      </c>
      <c r="N1019">
        <v>0</v>
      </c>
      <c r="O1019" s="1">
        <v>131795</v>
      </c>
      <c r="P1019" s="1">
        <v>134083</v>
      </c>
      <c r="Q1019" s="1">
        <v>125360</v>
      </c>
      <c r="R1019" s="1">
        <v>99313</v>
      </c>
      <c r="S1019" s="1">
        <v>90623</v>
      </c>
      <c r="T1019" s="1">
        <v>92425</v>
      </c>
      <c r="U1019" s="1">
        <v>6743</v>
      </c>
      <c r="V1019" s="1">
        <v>5421</v>
      </c>
      <c r="W1019" s="1">
        <v>3926</v>
      </c>
      <c r="X1019" s="1">
        <v>3290</v>
      </c>
      <c r="Y1019" s="1">
        <v>3310</v>
      </c>
      <c r="Z1019" s="1">
        <v>3424</v>
      </c>
      <c r="AA1019">
        <v>1</v>
      </c>
      <c r="AB1019" t="str">
        <f t="shared" si="15"/>
        <v>Defaulter</v>
      </c>
      <c r="AC1019" s="1">
        <f>Table2[[#This Row],[BILL_AMT1]]-Table2[[#This Row],[PAY_AMT1]]</f>
        <v>125052</v>
      </c>
      <c r="AD1019" s="1" t="str" cm="1">
        <f t="array" ref="AD1019">_xlfn.IFS(Table2[[#This Row],[PAYMENT GAP]]&lt;=0,"No Gap / Overpaid",Table2[[#This Row],[PAYMENT GAP]]&lt;=25000,"Low Gap",Table2[[#This Row],[PAYMENT GAP]]&lt;=100000,"Medium Gap",
TRUE,"High Gap"
)</f>
        <v>High Gap</v>
      </c>
    </row>
    <row r="1020" spans="1:30" x14ac:dyDescent="0.3">
      <c r="A1020">
        <v>1019</v>
      </c>
      <c r="B1020" s="1">
        <v>240000</v>
      </c>
      <c r="C1020" s="1" t="str" cm="1">
        <f t="array" ref="C1020">_xlfn.IFS(Table2[[#This Row],[LIMIT_BAL]]&lt;=100000,"Low",Table2[[#This Row],[LIMIT_BAL]]&lt;=300000,"Medium",
TRUE,"High"
)</f>
        <v>Medium</v>
      </c>
      <c r="D1020" t="s">
        <v>2041</v>
      </c>
      <c r="E1020" t="s">
        <v>2027</v>
      </c>
      <c r="F1020" t="s">
        <v>2028</v>
      </c>
      <c r="G1020">
        <v>40</v>
      </c>
      <c r="H1020" t="str" cm="1">
        <f t="array" ref="H1020">_xlfn.IFS(
Table2[[#This Row],[AGE]]&lt;30,"Young",
Table2[[#This Row],[AGE]]&lt;40,"Middle Age",
Table2[[#This Row],[AGE]]&lt;50,"Senior",
TRUE,"Super Senior"
)</f>
        <v>Senior</v>
      </c>
      <c r="I1020">
        <v>1</v>
      </c>
      <c r="J1020">
        <v>-2</v>
      </c>
      <c r="K1020">
        <v>-1</v>
      </c>
      <c r="L1020">
        <v>-1</v>
      </c>
      <c r="M1020">
        <v>-1</v>
      </c>
      <c r="N1020">
        <v>-1</v>
      </c>
      <c r="O1020" s="1">
        <v>-55</v>
      </c>
      <c r="P1020" s="1">
        <v>-55</v>
      </c>
      <c r="Q1020" s="1">
        <v>3545</v>
      </c>
      <c r="R1020" s="1">
        <v>1338</v>
      </c>
      <c r="S1020" s="1">
        <v>1075</v>
      </c>
      <c r="T1020" s="1">
        <v>1744</v>
      </c>
      <c r="U1020" s="1">
        <v>0</v>
      </c>
      <c r="V1020" s="1">
        <v>3600</v>
      </c>
      <c r="W1020" s="1">
        <v>1338</v>
      </c>
      <c r="X1020" s="1">
        <v>1075</v>
      </c>
      <c r="Y1020" s="1">
        <v>1744</v>
      </c>
      <c r="Z1020" s="1">
        <v>0</v>
      </c>
      <c r="AA1020">
        <v>0</v>
      </c>
      <c r="AB1020" t="str">
        <f t="shared" si="15"/>
        <v>Not Defaulter</v>
      </c>
      <c r="AC1020" s="1">
        <f>Table2[[#This Row],[BILL_AMT1]]-Table2[[#This Row],[PAY_AMT1]]</f>
        <v>-55</v>
      </c>
      <c r="AD1020" s="1" t="str" cm="1">
        <f t="array" ref="AD1020">_xlfn.IFS(Table2[[#This Row],[PAYMENT GAP]]&lt;=0,"No Gap / Overpaid",Table2[[#This Row],[PAYMENT GAP]]&lt;=25000,"Low Gap",Table2[[#This Row],[PAYMENT GAP]]&lt;=100000,"Medium Gap",
TRUE,"High Gap"
)</f>
        <v>No Gap / Overpaid</v>
      </c>
    </row>
    <row r="1021" spans="1:30" x14ac:dyDescent="0.3">
      <c r="A1021">
        <v>1020</v>
      </c>
      <c r="B1021" s="1">
        <v>180000</v>
      </c>
      <c r="C1021" s="1" t="str" cm="1">
        <f t="array" ref="C1021">_xlfn.IFS(Table2[[#This Row],[LIMIT_BAL]]&lt;=100000,"Low",Table2[[#This Row],[LIMIT_BAL]]&lt;=300000,"Medium",
TRUE,"High"
)</f>
        <v>Medium</v>
      </c>
      <c r="D1021" t="s">
        <v>2041</v>
      </c>
      <c r="E1021" t="s">
        <v>2027</v>
      </c>
      <c r="F1021" t="s">
        <v>2044</v>
      </c>
      <c r="G1021">
        <v>45</v>
      </c>
      <c r="H1021" t="str" cm="1">
        <f t="array" ref="H1021">_xlfn.IFS(
Table2[[#This Row],[AGE]]&lt;30,"Young",
Table2[[#This Row],[AGE]]&lt;40,"Middle Age",
Table2[[#This Row],[AGE]]&lt;50,"Senior",
TRUE,"Super Senior"
)</f>
        <v>Senior</v>
      </c>
      <c r="I1021">
        <v>-1</v>
      </c>
      <c r="J1021">
        <v>-1</v>
      </c>
      <c r="K1021">
        <v>-2</v>
      </c>
      <c r="L1021">
        <v>-2</v>
      </c>
      <c r="M1021">
        <v>-2</v>
      </c>
      <c r="N1021">
        <v>-2</v>
      </c>
      <c r="O1021" s="1">
        <v>4148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>
        <v>0</v>
      </c>
      <c r="AB1021" t="str">
        <f t="shared" si="15"/>
        <v>Not Defaulter</v>
      </c>
      <c r="AC1021" s="1">
        <f>Table2[[#This Row],[BILL_AMT1]]-Table2[[#This Row],[PAY_AMT1]]</f>
        <v>4148</v>
      </c>
      <c r="AD1021" s="1" t="str" cm="1">
        <f t="array" ref="AD1021">_xlfn.IFS(Table2[[#This Row],[PAYMENT GAP]]&lt;=0,"No Gap / Overpaid",Table2[[#This Row],[PAYMENT GAP]]&lt;=25000,"Low Gap",Table2[[#This Row],[PAYMENT GAP]]&lt;=100000,"Medium Gap",
TRUE,"High Gap"
)</f>
        <v>Low Gap</v>
      </c>
    </row>
    <row r="1022" spans="1:30" x14ac:dyDescent="0.3">
      <c r="A1022">
        <v>1021</v>
      </c>
      <c r="B1022" s="1">
        <v>70000</v>
      </c>
      <c r="C1022" s="1" t="str" cm="1">
        <f t="array" ref="C1022">_xlfn.IFS(Table2[[#This Row],[LIMIT_BAL]]&lt;=100000,"Low",Table2[[#This Row],[LIMIT_BAL]]&lt;=300000,"Medium",
TRUE,"High"
)</f>
        <v>Low</v>
      </c>
      <c r="D1022" t="s">
        <v>2042</v>
      </c>
      <c r="E1022" t="s">
        <v>2026</v>
      </c>
      <c r="F1022" t="s">
        <v>2055</v>
      </c>
      <c r="G1022">
        <v>57</v>
      </c>
      <c r="H1022" t="str" cm="1">
        <f t="array" ref="H1022">_xlfn.IFS(
Table2[[#This Row],[AGE]]&lt;30,"Young",
Table2[[#This Row],[AGE]]&lt;40,"Middle Age",
Table2[[#This Row],[AGE]]&lt;50,"Senior",
TRUE,"Super Senior"
)</f>
        <v>Super Senior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s="1">
        <v>69398</v>
      </c>
      <c r="P1022" s="1">
        <v>70352</v>
      </c>
      <c r="Q1022" s="1">
        <v>69936</v>
      </c>
      <c r="R1022" s="1">
        <v>68118</v>
      </c>
      <c r="S1022" s="1">
        <v>65942</v>
      </c>
      <c r="T1022" s="1">
        <v>62495</v>
      </c>
      <c r="U1022" s="1">
        <v>2667</v>
      </c>
      <c r="V1022" s="1">
        <v>2321</v>
      </c>
      <c r="W1022" s="1">
        <v>2391</v>
      </c>
      <c r="X1022" s="1">
        <v>2316</v>
      </c>
      <c r="Y1022" s="1">
        <v>2466</v>
      </c>
      <c r="Z1022" s="1">
        <v>1451</v>
      </c>
      <c r="AA1022">
        <v>0</v>
      </c>
      <c r="AB1022" t="str">
        <f t="shared" si="15"/>
        <v>Not Defaulter</v>
      </c>
      <c r="AC1022" s="1">
        <f>Table2[[#This Row],[BILL_AMT1]]-Table2[[#This Row],[PAY_AMT1]]</f>
        <v>66731</v>
      </c>
      <c r="AD1022" s="1" t="str" cm="1">
        <f t="array" ref="AD1022">_xlfn.IFS(Table2[[#This Row],[PAYMENT GAP]]&lt;=0,"No Gap / Overpaid",Table2[[#This Row],[PAYMENT GAP]]&lt;=25000,"Low Gap",Table2[[#This Row],[PAYMENT GAP]]&lt;=100000,"Medium Gap",
TRUE,"High Gap"
)</f>
        <v>Medium Gap</v>
      </c>
    </row>
    <row r="1023" spans="1:30" x14ac:dyDescent="0.3">
      <c r="A1023">
        <v>1022</v>
      </c>
      <c r="B1023" s="1">
        <v>150000</v>
      </c>
      <c r="C1023" s="1" t="str" cm="1">
        <f t="array" ref="C1023">_xlfn.IFS(Table2[[#This Row],[LIMIT_BAL]]&lt;=100000,"Low",Table2[[#This Row],[LIMIT_BAL]]&lt;=300000,"Medium",
TRUE,"High"
)</f>
        <v>Medium</v>
      </c>
      <c r="D1023" t="s">
        <v>2041</v>
      </c>
      <c r="E1023" t="s">
        <v>2043</v>
      </c>
      <c r="F1023" t="s">
        <v>2029</v>
      </c>
      <c r="G1023">
        <v>25</v>
      </c>
      <c r="H1023" t="str" cm="1">
        <f t="array" ref="H1023">_xlfn.IFS(
Table2[[#This Row],[AGE]]&lt;30,"Young",
Table2[[#This Row],[AGE]]&lt;40,"Middle Age",
Table2[[#This Row],[AGE]]&lt;50,"Senior",
TRUE,"Super Senior"
)</f>
        <v>Young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 s="1">
        <v>142827</v>
      </c>
      <c r="P1023" s="1">
        <v>126317</v>
      </c>
      <c r="Q1023" s="1">
        <v>75324</v>
      </c>
      <c r="R1023" s="1">
        <v>78773</v>
      </c>
      <c r="S1023" s="1">
        <v>95375</v>
      </c>
      <c r="T1023" s="1">
        <v>57663</v>
      </c>
      <c r="U1023" s="1">
        <v>5000</v>
      </c>
      <c r="V1023" s="1">
        <v>4000</v>
      </c>
      <c r="W1023" s="1">
        <v>5000</v>
      </c>
      <c r="X1023" s="1">
        <v>40000</v>
      </c>
      <c r="Y1023" s="1">
        <v>3000</v>
      </c>
      <c r="Z1023" s="1">
        <v>2880</v>
      </c>
      <c r="AA1023">
        <v>0</v>
      </c>
      <c r="AB1023" t="str">
        <f t="shared" si="15"/>
        <v>Not Defaulter</v>
      </c>
      <c r="AC1023" s="1">
        <f>Table2[[#This Row],[BILL_AMT1]]-Table2[[#This Row],[PAY_AMT1]]</f>
        <v>137827</v>
      </c>
      <c r="AD1023" s="1" t="str" cm="1">
        <f t="array" ref="AD1023">_xlfn.IFS(Table2[[#This Row],[PAYMENT GAP]]&lt;=0,"No Gap / Overpaid",Table2[[#This Row],[PAYMENT GAP]]&lt;=25000,"Low Gap",Table2[[#This Row],[PAYMENT GAP]]&lt;=100000,"Medium Gap",
TRUE,"High Gap"
)</f>
        <v>High Gap</v>
      </c>
    </row>
    <row r="1024" spans="1:30" x14ac:dyDescent="0.3">
      <c r="A1024">
        <v>1023</v>
      </c>
      <c r="B1024" s="1">
        <v>210000</v>
      </c>
      <c r="C1024" s="1" t="str" cm="1">
        <f t="array" ref="C1024">_xlfn.IFS(Table2[[#This Row],[LIMIT_BAL]]&lt;=100000,"Low",Table2[[#This Row],[LIMIT_BAL]]&lt;=300000,"Medium",
TRUE,"High"
)</f>
        <v>Medium</v>
      </c>
      <c r="D1024" t="s">
        <v>2041</v>
      </c>
      <c r="E1024" t="s">
        <v>2027</v>
      </c>
      <c r="F1024" t="s">
        <v>2028</v>
      </c>
      <c r="G1024">
        <v>37</v>
      </c>
      <c r="H1024" t="str" cm="1">
        <f t="array" ref="H1024">_xlfn.IFS(
Table2[[#This Row],[AGE]]&lt;30,"Young",
Table2[[#This Row],[AGE]]&lt;40,"Middle Age",
Table2[[#This Row],[AGE]]&lt;50,"Senior",
TRUE,"Super Senior"
)</f>
        <v>Middle Age</v>
      </c>
      <c r="I1024">
        <v>-2</v>
      </c>
      <c r="J1024">
        <v>-2</v>
      </c>
      <c r="K1024">
        <v>-2</v>
      </c>
      <c r="L1024">
        <v>-2</v>
      </c>
      <c r="M1024">
        <v>-2</v>
      </c>
      <c r="N1024">
        <v>-2</v>
      </c>
      <c r="O1024" s="1">
        <v>138398</v>
      </c>
      <c r="P1024" s="1">
        <v>109115</v>
      </c>
      <c r="Q1024" s="1">
        <v>101912</v>
      </c>
      <c r="R1024" s="1">
        <v>62959</v>
      </c>
      <c r="S1024" s="1">
        <v>60767</v>
      </c>
      <c r="T1024" s="1">
        <v>41150</v>
      </c>
      <c r="U1024" s="1">
        <v>5000</v>
      </c>
      <c r="V1024" s="1">
        <v>5000</v>
      </c>
      <c r="W1024" s="1">
        <v>2500</v>
      </c>
      <c r="X1024" s="1">
        <v>2800</v>
      </c>
      <c r="Y1024" s="1">
        <v>2000</v>
      </c>
      <c r="Z1024" s="1">
        <v>0</v>
      </c>
      <c r="AA1024">
        <v>0</v>
      </c>
      <c r="AB1024" t="str">
        <f t="shared" si="15"/>
        <v>Not Defaulter</v>
      </c>
      <c r="AC1024" s="1">
        <f>Table2[[#This Row],[BILL_AMT1]]-Table2[[#This Row],[PAY_AMT1]]</f>
        <v>133398</v>
      </c>
      <c r="AD1024" s="1" t="str" cm="1">
        <f t="array" ref="AD1024">_xlfn.IFS(Table2[[#This Row],[PAYMENT GAP]]&lt;=0,"No Gap / Overpaid",Table2[[#This Row],[PAYMENT GAP]]&lt;=25000,"Low Gap",Table2[[#This Row],[PAYMENT GAP]]&lt;=100000,"Medium Gap",
TRUE,"High Gap"
)</f>
        <v>High Gap</v>
      </c>
    </row>
    <row r="1025" spans="1:30" x14ac:dyDescent="0.3">
      <c r="A1025">
        <v>1024</v>
      </c>
      <c r="B1025" s="1">
        <v>200000</v>
      </c>
      <c r="C1025" s="1" t="str" cm="1">
        <f t="array" ref="C1025">_xlfn.IFS(Table2[[#This Row],[LIMIT_BAL]]&lt;=100000,"Low",Table2[[#This Row],[LIMIT_BAL]]&lt;=300000,"Medium",
TRUE,"High"
)</f>
        <v>Medium</v>
      </c>
      <c r="D1025" t="s">
        <v>2041</v>
      </c>
      <c r="E1025" t="s">
        <v>2026</v>
      </c>
      <c r="F1025" t="s">
        <v>2028</v>
      </c>
      <c r="G1025">
        <v>35</v>
      </c>
      <c r="H1025" t="str" cm="1">
        <f t="array" ref="H1025">_xlfn.IFS(
Table2[[#This Row],[AGE]]&lt;30,"Young",
Table2[[#This Row],[AGE]]&lt;40,"Middle Age",
Table2[[#This Row],[AGE]]&lt;50,"Senior",
TRUE,"Super Senior"
)</f>
        <v>Middle Age</v>
      </c>
      <c r="I1025">
        <v>-1</v>
      </c>
      <c r="J1025">
        <v>0</v>
      </c>
      <c r="K1025">
        <v>0</v>
      </c>
      <c r="L1025">
        <v>0</v>
      </c>
      <c r="M1025">
        <v>0</v>
      </c>
      <c r="N1025">
        <v>0</v>
      </c>
      <c r="O1025" s="1">
        <v>9918</v>
      </c>
      <c r="P1025" s="1">
        <v>10971</v>
      </c>
      <c r="Q1025" s="1">
        <v>11817</v>
      </c>
      <c r="R1025" s="1">
        <v>17865</v>
      </c>
      <c r="S1025" s="1">
        <v>18239</v>
      </c>
      <c r="T1025" s="1">
        <v>14527</v>
      </c>
      <c r="U1025" s="1">
        <v>1219</v>
      </c>
      <c r="V1025" s="1">
        <v>1165</v>
      </c>
      <c r="W1025" s="1">
        <v>7865</v>
      </c>
      <c r="X1025" s="1">
        <v>592</v>
      </c>
      <c r="Y1025" s="1">
        <v>807</v>
      </c>
      <c r="Z1025" s="1">
        <v>679</v>
      </c>
      <c r="AA1025">
        <v>0</v>
      </c>
      <c r="AB1025" t="str">
        <f t="shared" si="15"/>
        <v>Not Defaulter</v>
      </c>
      <c r="AC1025" s="1">
        <f>Table2[[#This Row],[BILL_AMT1]]-Table2[[#This Row],[PAY_AMT1]]</f>
        <v>8699</v>
      </c>
      <c r="AD1025" s="1" t="str" cm="1">
        <f t="array" ref="AD1025">_xlfn.IFS(Table2[[#This Row],[PAYMENT GAP]]&lt;=0,"No Gap / Overpaid",Table2[[#This Row],[PAYMENT GAP]]&lt;=25000,"Low Gap",Table2[[#This Row],[PAYMENT GAP]]&lt;=100000,"Medium Gap",
TRUE,"High Gap"
)</f>
        <v>Low Gap</v>
      </c>
    </row>
    <row r="1026" spans="1:30" x14ac:dyDescent="0.3">
      <c r="A1026">
        <v>1025</v>
      </c>
      <c r="B1026" s="1">
        <v>310000</v>
      </c>
      <c r="C1026" s="1" t="str" cm="1">
        <f t="array" ref="C1026">_xlfn.IFS(Table2[[#This Row],[LIMIT_BAL]]&lt;=100000,"Low",Table2[[#This Row],[LIMIT_BAL]]&lt;=300000,"Medium",
TRUE,"High"
)</f>
        <v>High</v>
      </c>
      <c r="D1026" t="s">
        <v>2042</v>
      </c>
      <c r="E1026" t="s">
        <v>2043</v>
      </c>
      <c r="F1026" t="s">
        <v>2029</v>
      </c>
      <c r="G1026">
        <v>33</v>
      </c>
      <c r="H1026" t="str" cm="1">
        <f t="array" ref="H1026">_xlfn.IFS(
Table2[[#This Row],[AGE]]&lt;30,"Young",
Table2[[#This Row],[AGE]]&lt;40,"Middle Age",
Table2[[#This Row],[AGE]]&lt;50,"Senior",
TRUE,"Super Senior"
)</f>
        <v>Middle Age</v>
      </c>
      <c r="I1026">
        <v>-2</v>
      </c>
      <c r="J1026">
        <v>-2</v>
      </c>
      <c r="K1026">
        <v>-2</v>
      </c>
      <c r="L1026">
        <v>-2</v>
      </c>
      <c r="M1026">
        <v>-2</v>
      </c>
      <c r="N1026">
        <v>-2</v>
      </c>
      <c r="O1026" s="1">
        <v>4040</v>
      </c>
      <c r="P1026" s="1">
        <v>4048</v>
      </c>
      <c r="Q1026" s="1">
        <v>3959</v>
      </c>
      <c r="R1026" s="1">
        <v>205</v>
      </c>
      <c r="S1026" s="1">
        <v>3199</v>
      </c>
      <c r="T1026" s="1">
        <v>5104</v>
      </c>
      <c r="U1026" s="1">
        <v>4068</v>
      </c>
      <c r="V1026" s="1">
        <v>3964</v>
      </c>
      <c r="W1026" s="1">
        <v>205</v>
      </c>
      <c r="X1026" s="1">
        <v>3209</v>
      </c>
      <c r="Y1026" s="1">
        <v>5109</v>
      </c>
      <c r="Z1026" s="1">
        <v>1434</v>
      </c>
      <c r="AA1026">
        <v>0</v>
      </c>
      <c r="AB1026" t="str">
        <f t="shared" si="15"/>
        <v>Not Defaulter</v>
      </c>
      <c r="AC1026" s="1">
        <f>Table2[[#This Row],[BILL_AMT1]]-Table2[[#This Row],[PAY_AMT1]]</f>
        <v>-28</v>
      </c>
      <c r="AD1026" s="1" t="str" cm="1">
        <f t="array" ref="AD1026">_xlfn.IFS(Table2[[#This Row],[PAYMENT GAP]]&lt;=0,"No Gap / Overpaid",Table2[[#This Row],[PAYMENT GAP]]&lt;=25000,"Low Gap",Table2[[#This Row],[PAYMENT GAP]]&lt;=100000,"Medium Gap",
TRUE,"High Gap"
)</f>
        <v>No Gap / Overpaid</v>
      </c>
    </row>
    <row r="1027" spans="1:30" x14ac:dyDescent="0.3">
      <c r="A1027">
        <v>1026</v>
      </c>
      <c r="B1027" s="1">
        <v>180000</v>
      </c>
      <c r="C1027" s="1" t="str" cm="1">
        <f t="array" ref="C1027">_xlfn.IFS(Table2[[#This Row],[LIMIT_BAL]]&lt;=100000,"Low",Table2[[#This Row],[LIMIT_BAL]]&lt;=300000,"Medium",
TRUE,"High"
)</f>
        <v>Medium</v>
      </c>
      <c r="D1027" t="s">
        <v>2042</v>
      </c>
      <c r="E1027" t="s">
        <v>2026</v>
      </c>
      <c r="F1027" t="s">
        <v>2028</v>
      </c>
      <c r="G1027">
        <v>38</v>
      </c>
      <c r="H1027" t="str" cm="1">
        <f t="array" ref="H1027">_xlfn.IFS(
Table2[[#This Row],[AGE]]&lt;30,"Young",
Table2[[#This Row],[AGE]]&lt;40,"Middle Age",
Table2[[#This Row],[AGE]]&lt;50,"Senior",
TRUE,"Super Senior"
)</f>
        <v>Middle Age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2</v>
      </c>
      <c r="O1027" s="1">
        <v>153099</v>
      </c>
      <c r="P1027" s="1">
        <v>150227</v>
      </c>
      <c r="Q1027" s="1">
        <v>138313</v>
      </c>
      <c r="R1027" s="1">
        <v>137274</v>
      </c>
      <c r="S1027" s="1">
        <v>147314</v>
      </c>
      <c r="T1027" s="1">
        <v>129870</v>
      </c>
      <c r="U1027" s="1">
        <v>7005</v>
      </c>
      <c r="V1027" s="1">
        <v>6500</v>
      </c>
      <c r="W1027" s="1">
        <v>5000</v>
      </c>
      <c r="X1027" s="1">
        <v>12042</v>
      </c>
      <c r="Y1027" s="1">
        <v>32</v>
      </c>
      <c r="Z1027" s="1">
        <v>1300</v>
      </c>
      <c r="AA1027">
        <v>0</v>
      </c>
      <c r="AB1027" t="str">
        <f t="shared" ref="AB1027:AB1090" si="16">IF(AA1027=1,"Defaulter","Not Defaulter")</f>
        <v>Not Defaulter</v>
      </c>
      <c r="AC1027" s="1">
        <f>Table2[[#This Row],[BILL_AMT1]]-Table2[[#This Row],[PAY_AMT1]]</f>
        <v>146094</v>
      </c>
      <c r="AD1027" s="1" t="str" cm="1">
        <f t="array" ref="AD1027">_xlfn.IFS(Table2[[#This Row],[PAYMENT GAP]]&lt;=0,"No Gap / Overpaid",Table2[[#This Row],[PAYMENT GAP]]&lt;=25000,"Low Gap",Table2[[#This Row],[PAYMENT GAP]]&lt;=100000,"Medium Gap",
TRUE,"High Gap"
)</f>
        <v>High Gap</v>
      </c>
    </row>
    <row r="1028" spans="1:30" x14ac:dyDescent="0.3">
      <c r="A1028">
        <v>1027</v>
      </c>
      <c r="B1028" s="1">
        <v>300000</v>
      </c>
      <c r="C1028" s="1" t="str" cm="1">
        <f t="array" ref="C1028">_xlfn.IFS(Table2[[#This Row],[LIMIT_BAL]]&lt;=100000,"Low",Table2[[#This Row],[LIMIT_BAL]]&lt;=300000,"Medium",
TRUE,"High"
)</f>
        <v>Medium</v>
      </c>
      <c r="D1028" t="s">
        <v>2042</v>
      </c>
      <c r="E1028" t="s">
        <v>2043</v>
      </c>
      <c r="F1028" t="s">
        <v>2029</v>
      </c>
      <c r="G1028">
        <v>31</v>
      </c>
      <c r="H1028" t="str" cm="1">
        <f t="array" ref="H1028">_xlfn.IFS(
Table2[[#This Row],[AGE]]&lt;30,"Young",
Table2[[#This Row],[AGE]]&lt;40,"Middle Age",
Table2[[#This Row],[AGE]]&lt;50,"Senior",
TRUE,"Super Senior"
)</f>
        <v>Middle Age</v>
      </c>
      <c r="I1028">
        <v>0</v>
      </c>
      <c r="J1028">
        <v>0</v>
      </c>
      <c r="K1028">
        <v>0</v>
      </c>
      <c r="L1028">
        <v>-1</v>
      </c>
      <c r="M1028">
        <v>-1</v>
      </c>
      <c r="N1028">
        <v>-1</v>
      </c>
      <c r="O1028" s="1">
        <v>62198</v>
      </c>
      <c r="P1028" s="1">
        <v>35674</v>
      </c>
      <c r="Q1028" s="1">
        <v>34979</v>
      </c>
      <c r="R1028" s="1">
        <v>510</v>
      </c>
      <c r="S1028" s="1">
        <v>2166</v>
      </c>
      <c r="T1028" s="1">
        <v>765</v>
      </c>
      <c r="U1028" s="1">
        <v>1600</v>
      </c>
      <c r="V1028" s="1">
        <v>2600</v>
      </c>
      <c r="W1028" s="1">
        <v>510</v>
      </c>
      <c r="X1028" s="1">
        <v>903</v>
      </c>
      <c r="Y1028" s="1">
        <v>765</v>
      </c>
      <c r="Z1028" s="1">
        <v>773</v>
      </c>
      <c r="AA1028">
        <v>0</v>
      </c>
      <c r="AB1028" t="str">
        <f t="shared" si="16"/>
        <v>Not Defaulter</v>
      </c>
      <c r="AC1028" s="1">
        <f>Table2[[#This Row],[BILL_AMT1]]-Table2[[#This Row],[PAY_AMT1]]</f>
        <v>60598</v>
      </c>
      <c r="AD1028" s="1" t="str" cm="1">
        <f t="array" ref="AD1028">_xlfn.IFS(Table2[[#This Row],[PAYMENT GAP]]&lt;=0,"No Gap / Overpaid",Table2[[#This Row],[PAYMENT GAP]]&lt;=25000,"Low Gap",Table2[[#This Row],[PAYMENT GAP]]&lt;=100000,"Medium Gap",
TRUE,"High Gap"
)</f>
        <v>Medium Gap</v>
      </c>
    </row>
    <row r="1029" spans="1:30" x14ac:dyDescent="0.3">
      <c r="A1029">
        <v>1028</v>
      </c>
      <c r="B1029" s="1">
        <v>450000</v>
      </c>
      <c r="C1029" s="1" t="str" cm="1">
        <f t="array" ref="C1029">_xlfn.IFS(Table2[[#This Row],[LIMIT_BAL]]&lt;=100000,"Low",Table2[[#This Row],[LIMIT_BAL]]&lt;=300000,"Medium",
TRUE,"High"
)</f>
        <v>High</v>
      </c>
      <c r="D1029" t="s">
        <v>2041</v>
      </c>
      <c r="E1029" t="s">
        <v>2026</v>
      </c>
      <c r="F1029" t="s">
        <v>2029</v>
      </c>
      <c r="G1029">
        <v>41</v>
      </c>
      <c r="H1029" t="str" cm="1">
        <f t="array" ref="H1029">_xlfn.IFS(
Table2[[#This Row],[AGE]]&lt;30,"Young",
Table2[[#This Row],[AGE]]&lt;40,"Middle Age",
Table2[[#This Row],[AGE]]&lt;50,"Senior",
TRUE,"Super Senior"
)</f>
        <v>Senior</v>
      </c>
      <c r="I1029">
        <v>-1</v>
      </c>
      <c r="J1029">
        <v>-1</v>
      </c>
      <c r="K1029">
        <v>-1</v>
      </c>
      <c r="L1029">
        <v>-1</v>
      </c>
      <c r="M1029">
        <v>-1</v>
      </c>
      <c r="N1029">
        <v>-1</v>
      </c>
      <c r="O1029" s="1">
        <v>11343</v>
      </c>
      <c r="P1029" s="1">
        <v>75083</v>
      </c>
      <c r="Q1029" s="1">
        <v>25273</v>
      </c>
      <c r="R1029" s="1">
        <v>85357</v>
      </c>
      <c r="S1029" s="1">
        <v>27745</v>
      </c>
      <c r="T1029" s="1">
        <v>1990</v>
      </c>
      <c r="U1029" s="1">
        <v>75459</v>
      </c>
      <c r="V1029" s="1">
        <v>25413</v>
      </c>
      <c r="W1029" s="1">
        <v>85784</v>
      </c>
      <c r="X1029" s="1">
        <v>27856</v>
      </c>
      <c r="Y1029" s="1">
        <v>2000</v>
      </c>
      <c r="Z1029" s="1">
        <v>1900</v>
      </c>
      <c r="AA1029">
        <v>0</v>
      </c>
      <c r="AB1029" t="str">
        <f t="shared" si="16"/>
        <v>Not Defaulter</v>
      </c>
      <c r="AC1029" s="1">
        <f>Table2[[#This Row],[BILL_AMT1]]-Table2[[#This Row],[PAY_AMT1]]</f>
        <v>-64116</v>
      </c>
      <c r="AD1029" s="1" t="str" cm="1">
        <f t="array" ref="AD1029">_xlfn.IFS(Table2[[#This Row],[PAYMENT GAP]]&lt;=0,"No Gap / Overpaid",Table2[[#This Row],[PAYMENT GAP]]&lt;=25000,"Low Gap",Table2[[#This Row],[PAYMENT GAP]]&lt;=100000,"Medium Gap",
TRUE,"High Gap"
)</f>
        <v>No Gap / Overpaid</v>
      </c>
    </row>
    <row r="1030" spans="1:30" x14ac:dyDescent="0.3">
      <c r="A1030">
        <v>1029</v>
      </c>
      <c r="B1030" s="1">
        <v>200000</v>
      </c>
      <c r="C1030" s="1" t="str" cm="1">
        <f t="array" ref="C1030">_xlfn.IFS(Table2[[#This Row],[LIMIT_BAL]]&lt;=100000,"Low",Table2[[#This Row],[LIMIT_BAL]]&lt;=300000,"Medium",
TRUE,"High"
)</f>
        <v>Medium</v>
      </c>
      <c r="D1030" t="s">
        <v>2042</v>
      </c>
      <c r="E1030" t="s">
        <v>2026</v>
      </c>
      <c r="F1030" t="s">
        <v>2029</v>
      </c>
      <c r="G1030">
        <v>33</v>
      </c>
      <c r="H1030" t="str" cm="1">
        <f t="array" ref="H1030">_xlfn.IFS(
Table2[[#This Row],[AGE]]&lt;30,"Young",
Table2[[#This Row],[AGE]]&lt;40,"Middle Age",
Table2[[#This Row],[AGE]]&lt;50,"Senior",
TRUE,"Super Senior"
)</f>
        <v>Middle Age</v>
      </c>
      <c r="I1030">
        <v>1</v>
      </c>
      <c r="J1030">
        <v>-1</v>
      </c>
      <c r="K1030">
        <v>-1</v>
      </c>
      <c r="L1030">
        <v>0</v>
      </c>
      <c r="M1030">
        <v>-1</v>
      </c>
      <c r="N1030">
        <v>-1</v>
      </c>
      <c r="O1030" s="1">
        <v>-5</v>
      </c>
      <c r="P1030" s="1">
        <v>3465</v>
      </c>
      <c r="Q1030" s="1">
        <v>3191</v>
      </c>
      <c r="R1030" s="1">
        <v>1873</v>
      </c>
      <c r="S1030" s="1">
        <v>90687</v>
      </c>
      <c r="T1030" s="1">
        <v>4577</v>
      </c>
      <c r="U1030" s="1">
        <v>3470</v>
      </c>
      <c r="V1030" s="1">
        <v>3191</v>
      </c>
      <c r="W1030" s="1">
        <v>0</v>
      </c>
      <c r="X1030" s="1">
        <v>90729</v>
      </c>
      <c r="Y1030" s="1">
        <v>0</v>
      </c>
      <c r="Z1030" s="1">
        <v>6266</v>
      </c>
      <c r="AA1030">
        <v>0</v>
      </c>
      <c r="AB1030" t="str">
        <f t="shared" si="16"/>
        <v>Not Defaulter</v>
      </c>
      <c r="AC1030" s="1">
        <f>Table2[[#This Row],[BILL_AMT1]]-Table2[[#This Row],[PAY_AMT1]]</f>
        <v>-3475</v>
      </c>
      <c r="AD1030" s="1" t="str" cm="1">
        <f t="array" ref="AD1030">_xlfn.IFS(Table2[[#This Row],[PAYMENT GAP]]&lt;=0,"No Gap / Overpaid",Table2[[#This Row],[PAYMENT GAP]]&lt;=25000,"Low Gap",Table2[[#This Row],[PAYMENT GAP]]&lt;=100000,"Medium Gap",
TRUE,"High Gap"
)</f>
        <v>No Gap / Overpaid</v>
      </c>
    </row>
    <row r="1031" spans="1:30" x14ac:dyDescent="0.3">
      <c r="A1031">
        <v>1030</v>
      </c>
      <c r="B1031" s="1">
        <v>30000</v>
      </c>
      <c r="C1031" s="1" t="str" cm="1">
        <f t="array" ref="C1031">_xlfn.IFS(Table2[[#This Row],[LIMIT_BAL]]&lt;=100000,"Low",Table2[[#This Row],[LIMIT_BAL]]&lt;=300000,"Medium",
TRUE,"High"
)</f>
        <v>Low</v>
      </c>
      <c r="D1031" t="s">
        <v>2041</v>
      </c>
      <c r="E1031" t="s">
        <v>2043</v>
      </c>
      <c r="F1031" t="s">
        <v>2028</v>
      </c>
      <c r="G1031">
        <v>67</v>
      </c>
      <c r="H1031" t="str" cm="1">
        <f t="array" ref="H1031">_xlfn.IFS(
Table2[[#This Row],[AGE]]&lt;30,"Young",
Table2[[#This Row],[AGE]]&lt;40,"Middle Age",
Table2[[#This Row],[AGE]]&lt;50,"Senior",
TRUE,"Super Senior"
)</f>
        <v>Super Senior</v>
      </c>
      <c r="I1031">
        <v>2</v>
      </c>
      <c r="J1031">
        <v>2</v>
      </c>
      <c r="K1031">
        <v>0</v>
      </c>
      <c r="L1031">
        <v>0</v>
      </c>
      <c r="M1031">
        <v>2</v>
      </c>
      <c r="N1031">
        <v>2</v>
      </c>
      <c r="O1031" s="1">
        <v>30374</v>
      </c>
      <c r="P1031" s="1">
        <v>29038</v>
      </c>
      <c r="Q1031" s="1">
        <v>27737</v>
      </c>
      <c r="R1031" s="1">
        <v>29499</v>
      </c>
      <c r="S1031" s="1">
        <v>30124</v>
      </c>
      <c r="T1031" s="1">
        <v>26855</v>
      </c>
      <c r="U1031" s="1">
        <v>0</v>
      </c>
      <c r="V1031" s="1">
        <v>1500</v>
      </c>
      <c r="W1031" s="1">
        <v>2182</v>
      </c>
      <c r="X1031" s="1">
        <v>1200</v>
      </c>
      <c r="Y1031" s="1">
        <v>0</v>
      </c>
      <c r="Z1031" s="1">
        <v>2302</v>
      </c>
      <c r="AA1031">
        <v>1</v>
      </c>
      <c r="AB1031" t="str">
        <f t="shared" si="16"/>
        <v>Defaulter</v>
      </c>
      <c r="AC1031" s="1">
        <f>Table2[[#This Row],[BILL_AMT1]]-Table2[[#This Row],[PAY_AMT1]]</f>
        <v>30374</v>
      </c>
      <c r="AD1031" s="1" t="str" cm="1">
        <f t="array" ref="AD1031">_xlfn.IFS(Table2[[#This Row],[PAYMENT GAP]]&lt;=0,"No Gap / Overpaid",Table2[[#This Row],[PAYMENT GAP]]&lt;=25000,"Low Gap",Table2[[#This Row],[PAYMENT GAP]]&lt;=100000,"Medium Gap",
TRUE,"High Gap"
)</f>
        <v>Medium Gap</v>
      </c>
    </row>
    <row r="1032" spans="1:30" x14ac:dyDescent="0.3">
      <c r="A1032">
        <v>1031</v>
      </c>
      <c r="B1032" s="1">
        <v>400000</v>
      </c>
      <c r="C1032" s="1" t="str" cm="1">
        <f t="array" ref="C1032">_xlfn.IFS(Table2[[#This Row],[LIMIT_BAL]]&lt;=100000,"Low",Table2[[#This Row],[LIMIT_BAL]]&lt;=300000,"Medium",
TRUE,"High"
)</f>
        <v>High</v>
      </c>
      <c r="D1032" t="s">
        <v>2041</v>
      </c>
      <c r="E1032" t="s">
        <v>2026</v>
      </c>
      <c r="F1032" t="s">
        <v>2028</v>
      </c>
      <c r="G1032">
        <v>40</v>
      </c>
      <c r="H1032" t="str" cm="1">
        <f t="array" ref="H1032">_xlfn.IFS(
Table2[[#This Row],[AGE]]&lt;30,"Young",
Table2[[#This Row],[AGE]]&lt;40,"Middle Age",
Table2[[#This Row],[AGE]]&lt;50,"Senior",
TRUE,"Super Senior"
)</f>
        <v>Senior</v>
      </c>
      <c r="I1032">
        <v>-1</v>
      </c>
      <c r="J1032">
        <v>-1</v>
      </c>
      <c r="K1032">
        <v>-1</v>
      </c>
      <c r="L1032">
        <v>0</v>
      </c>
      <c r="M1032">
        <v>0</v>
      </c>
      <c r="N1032">
        <v>-1</v>
      </c>
      <c r="O1032" s="1">
        <v>1107</v>
      </c>
      <c r="P1032" s="1">
        <v>3891</v>
      </c>
      <c r="Q1032" s="1">
        <v>120338</v>
      </c>
      <c r="R1032" s="1">
        <v>8318</v>
      </c>
      <c r="S1032" s="1">
        <v>8488</v>
      </c>
      <c r="T1032" s="1">
        <v>130</v>
      </c>
      <c r="U1032" s="1">
        <v>3891</v>
      </c>
      <c r="V1032" s="1">
        <v>120407</v>
      </c>
      <c r="W1032" s="1">
        <v>0</v>
      </c>
      <c r="X1032" s="1">
        <v>170</v>
      </c>
      <c r="Y1032" s="1">
        <v>130</v>
      </c>
      <c r="Z1032" s="1">
        <v>8595</v>
      </c>
      <c r="AA1032">
        <v>0</v>
      </c>
      <c r="AB1032" t="str">
        <f t="shared" si="16"/>
        <v>Not Defaulter</v>
      </c>
      <c r="AC1032" s="1">
        <f>Table2[[#This Row],[BILL_AMT1]]-Table2[[#This Row],[PAY_AMT1]]</f>
        <v>-2784</v>
      </c>
      <c r="AD1032" s="1" t="str" cm="1">
        <f t="array" ref="AD1032">_xlfn.IFS(Table2[[#This Row],[PAYMENT GAP]]&lt;=0,"No Gap / Overpaid",Table2[[#This Row],[PAYMENT GAP]]&lt;=25000,"Low Gap",Table2[[#This Row],[PAYMENT GAP]]&lt;=100000,"Medium Gap",
TRUE,"High Gap"
)</f>
        <v>No Gap / Overpaid</v>
      </c>
    </row>
    <row r="1033" spans="1:30" x14ac:dyDescent="0.3">
      <c r="A1033">
        <v>1032</v>
      </c>
      <c r="B1033" s="1">
        <v>170000</v>
      </c>
      <c r="C1033" s="1" t="str" cm="1">
        <f t="array" ref="C1033">_xlfn.IFS(Table2[[#This Row],[LIMIT_BAL]]&lt;=100000,"Low",Table2[[#This Row],[LIMIT_BAL]]&lt;=300000,"Medium",
TRUE,"High"
)</f>
        <v>Medium</v>
      </c>
      <c r="D1033" t="s">
        <v>2042</v>
      </c>
      <c r="E1033" t="s">
        <v>2026</v>
      </c>
      <c r="F1033" t="s">
        <v>2029</v>
      </c>
      <c r="G1033">
        <v>33</v>
      </c>
      <c r="H1033" t="str" cm="1">
        <f t="array" ref="H1033">_xlfn.IFS(
Table2[[#This Row],[AGE]]&lt;30,"Young",
Table2[[#This Row],[AGE]]&lt;40,"Middle Age",
Table2[[#This Row],[AGE]]&lt;50,"Senior",
TRUE,"Super Senior"
)</f>
        <v>Middle Age</v>
      </c>
      <c r="I1033">
        <v>-1</v>
      </c>
      <c r="J1033">
        <v>-1</v>
      </c>
      <c r="K1033">
        <v>-1</v>
      </c>
      <c r="L1033">
        <v>-1</v>
      </c>
      <c r="M1033">
        <v>-1</v>
      </c>
      <c r="N1033">
        <v>-1</v>
      </c>
      <c r="O1033" s="1">
        <v>764</v>
      </c>
      <c r="P1033" s="1">
        <v>1100</v>
      </c>
      <c r="Q1033" s="1">
        <v>500</v>
      </c>
      <c r="R1033" s="1">
        <v>2499</v>
      </c>
      <c r="S1033" s="1">
        <v>1500</v>
      </c>
      <c r="T1033" s="1">
        <v>600</v>
      </c>
      <c r="U1033" s="1">
        <v>1105</v>
      </c>
      <c r="V1033" s="1">
        <v>500</v>
      </c>
      <c r="W1033" s="1">
        <v>2499</v>
      </c>
      <c r="X1033" s="1">
        <v>1500</v>
      </c>
      <c r="Y1033" s="1">
        <v>600</v>
      </c>
      <c r="Z1033" s="1">
        <v>2100</v>
      </c>
      <c r="AA1033">
        <v>0</v>
      </c>
      <c r="AB1033" t="str">
        <f t="shared" si="16"/>
        <v>Not Defaulter</v>
      </c>
      <c r="AC1033" s="1">
        <f>Table2[[#This Row],[BILL_AMT1]]-Table2[[#This Row],[PAY_AMT1]]</f>
        <v>-341</v>
      </c>
      <c r="AD1033" s="1" t="str" cm="1">
        <f t="array" ref="AD1033">_xlfn.IFS(Table2[[#This Row],[PAYMENT GAP]]&lt;=0,"No Gap / Overpaid",Table2[[#This Row],[PAYMENT GAP]]&lt;=25000,"Low Gap",Table2[[#This Row],[PAYMENT GAP]]&lt;=100000,"Medium Gap",
TRUE,"High Gap"
)</f>
        <v>No Gap / Overpaid</v>
      </c>
    </row>
    <row r="1034" spans="1:30" x14ac:dyDescent="0.3">
      <c r="A1034">
        <v>1033</v>
      </c>
      <c r="B1034" s="1">
        <v>140000</v>
      </c>
      <c r="C1034" s="1" t="str" cm="1">
        <f t="array" ref="C1034">_xlfn.IFS(Table2[[#This Row],[LIMIT_BAL]]&lt;=100000,"Low",Table2[[#This Row],[LIMIT_BAL]]&lt;=300000,"Medium",
TRUE,"High"
)</f>
        <v>Medium</v>
      </c>
      <c r="D1034" t="s">
        <v>2041</v>
      </c>
      <c r="E1034" t="s">
        <v>2026</v>
      </c>
      <c r="F1034" t="s">
        <v>2029</v>
      </c>
      <c r="G1034">
        <v>31</v>
      </c>
      <c r="H1034" t="str" cm="1">
        <f t="array" ref="H1034">_xlfn.IFS(
Table2[[#This Row],[AGE]]&lt;30,"Young",
Table2[[#This Row],[AGE]]&lt;40,"Middle Age",
Table2[[#This Row],[AGE]]&lt;50,"Senior",
TRUE,"Super Senior"
)</f>
        <v>Middle Age</v>
      </c>
      <c r="I1034">
        <v>-1</v>
      </c>
      <c r="J1034">
        <v>2</v>
      </c>
      <c r="K1034">
        <v>-1</v>
      </c>
      <c r="L1034">
        <v>-1</v>
      </c>
      <c r="M1034">
        <v>-1</v>
      </c>
      <c r="N1034">
        <v>-1</v>
      </c>
      <c r="O1034" s="1">
        <v>652</v>
      </c>
      <c r="P1034" s="1">
        <v>326</v>
      </c>
      <c r="Q1034" s="1">
        <v>326</v>
      </c>
      <c r="R1034" s="1">
        <v>326</v>
      </c>
      <c r="S1034" s="1">
        <v>476</v>
      </c>
      <c r="T1034" s="1">
        <v>326</v>
      </c>
      <c r="U1034" s="1">
        <v>0</v>
      </c>
      <c r="V1034" s="1">
        <v>326</v>
      </c>
      <c r="W1034" s="1">
        <v>326</v>
      </c>
      <c r="X1034" s="1">
        <v>476</v>
      </c>
      <c r="Y1034" s="1">
        <v>326</v>
      </c>
      <c r="Z1034" s="1">
        <v>326</v>
      </c>
      <c r="AA1034">
        <v>1</v>
      </c>
      <c r="AB1034" t="str">
        <f t="shared" si="16"/>
        <v>Defaulter</v>
      </c>
      <c r="AC1034" s="1">
        <f>Table2[[#This Row],[BILL_AMT1]]-Table2[[#This Row],[PAY_AMT1]]</f>
        <v>652</v>
      </c>
      <c r="AD1034" s="1" t="str" cm="1">
        <f t="array" ref="AD1034">_xlfn.IFS(Table2[[#This Row],[PAYMENT GAP]]&lt;=0,"No Gap / Overpaid",Table2[[#This Row],[PAYMENT GAP]]&lt;=25000,"Low Gap",Table2[[#This Row],[PAYMENT GAP]]&lt;=100000,"Medium Gap",
TRUE,"High Gap"
)</f>
        <v>Low Gap</v>
      </c>
    </row>
    <row r="1035" spans="1:30" x14ac:dyDescent="0.3">
      <c r="A1035">
        <v>1034</v>
      </c>
      <c r="B1035" s="1">
        <v>200000</v>
      </c>
      <c r="C1035" s="1" t="str" cm="1">
        <f t="array" ref="C1035">_xlfn.IFS(Table2[[#This Row],[LIMIT_BAL]]&lt;=100000,"Low",Table2[[#This Row],[LIMIT_BAL]]&lt;=300000,"Medium",
TRUE,"High"
)</f>
        <v>Medium</v>
      </c>
      <c r="D1035" t="s">
        <v>2041</v>
      </c>
      <c r="E1035" t="s">
        <v>2043</v>
      </c>
      <c r="F1035" t="s">
        <v>2029</v>
      </c>
      <c r="G1035">
        <v>35</v>
      </c>
      <c r="H1035" t="str" cm="1">
        <f t="array" ref="H1035">_xlfn.IFS(
Table2[[#This Row],[AGE]]&lt;30,"Young",
Table2[[#This Row],[AGE]]&lt;40,"Middle Age",
Table2[[#This Row],[AGE]]&lt;50,"Senior",
TRUE,"Super Senior"
)</f>
        <v>Middle Age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 s="1">
        <v>64195</v>
      </c>
      <c r="P1035" s="1">
        <v>65565</v>
      </c>
      <c r="Q1035" s="1">
        <v>66870</v>
      </c>
      <c r="R1035" s="1">
        <v>68752</v>
      </c>
      <c r="S1035" s="1">
        <v>70485</v>
      </c>
      <c r="T1035" s="1">
        <v>71887</v>
      </c>
      <c r="U1035" s="1">
        <v>3000</v>
      </c>
      <c r="V1035" s="1">
        <v>3000</v>
      </c>
      <c r="W1035" s="1">
        <v>3000</v>
      </c>
      <c r="X1035" s="1">
        <v>3000</v>
      </c>
      <c r="Y1035" s="1">
        <v>2575</v>
      </c>
      <c r="Z1035" s="1">
        <v>3000</v>
      </c>
      <c r="AA1035">
        <v>0</v>
      </c>
      <c r="AB1035" t="str">
        <f t="shared" si="16"/>
        <v>Not Defaulter</v>
      </c>
      <c r="AC1035" s="1">
        <f>Table2[[#This Row],[BILL_AMT1]]-Table2[[#This Row],[PAY_AMT1]]</f>
        <v>61195</v>
      </c>
      <c r="AD1035" s="1" t="str" cm="1">
        <f t="array" ref="AD1035">_xlfn.IFS(Table2[[#This Row],[PAYMENT GAP]]&lt;=0,"No Gap / Overpaid",Table2[[#This Row],[PAYMENT GAP]]&lt;=25000,"Low Gap",Table2[[#This Row],[PAYMENT GAP]]&lt;=100000,"Medium Gap",
TRUE,"High Gap"
)</f>
        <v>Medium Gap</v>
      </c>
    </row>
    <row r="1036" spans="1:30" x14ac:dyDescent="0.3">
      <c r="A1036">
        <v>1035</v>
      </c>
      <c r="B1036" s="1">
        <v>60000</v>
      </c>
      <c r="C1036" s="1" t="str" cm="1">
        <f t="array" ref="C1036">_xlfn.IFS(Table2[[#This Row],[LIMIT_BAL]]&lt;=100000,"Low",Table2[[#This Row],[LIMIT_BAL]]&lt;=300000,"Medium",
TRUE,"High"
)</f>
        <v>Low</v>
      </c>
      <c r="D1036" t="s">
        <v>2041</v>
      </c>
      <c r="E1036" t="s">
        <v>2043</v>
      </c>
      <c r="F1036" t="s">
        <v>2055</v>
      </c>
      <c r="G1036">
        <v>39</v>
      </c>
      <c r="H1036" t="str" cm="1">
        <f t="array" ref="H1036">_xlfn.IFS(
Table2[[#This Row],[AGE]]&lt;30,"Young",
Table2[[#This Row],[AGE]]&lt;40,"Middle Age",
Table2[[#This Row],[AGE]]&lt;50,"Senior",
TRUE,"Super Senior"
)</f>
        <v>Middle Age</v>
      </c>
      <c r="I1036">
        <v>1</v>
      </c>
      <c r="J1036">
        <v>-2</v>
      </c>
      <c r="K1036">
        <v>-2</v>
      </c>
      <c r="L1036">
        <v>-2</v>
      </c>
      <c r="M1036">
        <v>-2</v>
      </c>
      <c r="N1036">
        <v>-2</v>
      </c>
      <c r="O1036" s="1">
        <v>-1540</v>
      </c>
      <c r="P1036" s="1">
        <v>-1930</v>
      </c>
      <c r="Q1036" s="1">
        <v>-2320</v>
      </c>
      <c r="R1036" s="1">
        <v>-1220</v>
      </c>
      <c r="S1036" s="1">
        <v>0</v>
      </c>
      <c r="T1036" s="1">
        <v>0</v>
      </c>
      <c r="U1036" s="1">
        <v>0</v>
      </c>
      <c r="V1036" s="1">
        <v>0</v>
      </c>
      <c r="W1036" s="1">
        <v>2000</v>
      </c>
      <c r="X1036" s="1">
        <v>2000</v>
      </c>
      <c r="Y1036" s="1">
        <v>0</v>
      </c>
      <c r="Z1036" s="1">
        <v>0</v>
      </c>
      <c r="AA1036">
        <v>0</v>
      </c>
      <c r="AB1036" t="str">
        <f t="shared" si="16"/>
        <v>Not Defaulter</v>
      </c>
      <c r="AC1036" s="1">
        <f>Table2[[#This Row],[BILL_AMT1]]-Table2[[#This Row],[PAY_AMT1]]</f>
        <v>-1540</v>
      </c>
      <c r="AD1036" s="1" t="str" cm="1">
        <f t="array" ref="AD1036">_xlfn.IFS(Table2[[#This Row],[PAYMENT GAP]]&lt;=0,"No Gap / Overpaid",Table2[[#This Row],[PAYMENT GAP]]&lt;=25000,"Low Gap",Table2[[#This Row],[PAYMENT GAP]]&lt;=100000,"Medium Gap",
TRUE,"High Gap"
)</f>
        <v>No Gap / Overpaid</v>
      </c>
    </row>
    <row r="1037" spans="1:30" x14ac:dyDescent="0.3">
      <c r="A1037">
        <v>1036</v>
      </c>
      <c r="B1037" s="1">
        <v>60000</v>
      </c>
      <c r="C1037" s="1" t="str" cm="1">
        <f t="array" ref="C1037">_xlfn.IFS(Table2[[#This Row],[LIMIT_BAL]]&lt;=100000,"Low",Table2[[#This Row],[LIMIT_BAL]]&lt;=300000,"Medium",
TRUE,"High"
)</f>
        <v>Low</v>
      </c>
      <c r="D1037" t="s">
        <v>2042</v>
      </c>
      <c r="E1037" t="s">
        <v>2043</v>
      </c>
      <c r="F1037" t="s">
        <v>2029</v>
      </c>
      <c r="G1037">
        <v>27</v>
      </c>
      <c r="H1037" t="str" cm="1">
        <f t="array" ref="H1037">_xlfn.IFS(
Table2[[#This Row],[AGE]]&lt;30,"Young",
Table2[[#This Row],[AGE]]&lt;40,"Middle Age",
Table2[[#This Row],[AGE]]&lt;50,"Senior",
TRUE,"Super Senior"
)</f>
        <v>Young</v>
      </c>
      <c r="I1037">
        <v>1</v>
      </c>
      <c r="J1037">
        <v>2</v>
      </c>
      <c r="K1037">
        <v>0</v>
      </c>
      <c r="L1037">
        <v>0</v>
      </c>
      <c r="M1037">
        <v>2</v>
      </c>
      <c r="N1037">
        <v>2</v>
      </c>
      <c r="O1037" s="1">
        <v>43356</v>
      </c>
      <c r="P1037" s="1">
        <v>42381</v>
      </c>
      <c r="Q1037" s="1">
        <v>46663</v>
      </c>
      <c r="R1037" s="1">
        <v>49877</v>
      </c>
      <c r="S1037" s="1">
        <v>50734</v>
      </c>
      <c r="T1037" s="1">
        <v>49764</v>
      </c>
      <c r="U1037" s="1">
        <v>0</v>
      </c>
      <c r="V1037" s="1">
        <v>5000</v>
      </c>
      <c r="W1037" s="1">
        <v>4000</v>
      </c>
      <c r="X1037" s="1">
        <v>1800</v>
      </c>
      <c r="Y1037" s="1">
        <v>0</v>
      </c>
      <c r="Z1037" s="1">
        <v>2000</v>
      </c>
      <c r="AA1037">
        <v>1</v>
      </c>
      <c r="AB1037" t="str">
        <f t="shared" si="16"/>
        <v>Defaulter</v>
      </c>
      <c r="AC1037" s="1">
        <f>Table2[[#This Row],[BILL_AMT1]]-Table2[[#This Row],[PAY_AMT1]]</f>
        <v>43356</v>
      </c>
      <c r="AD1037" s="1" t="str" cm="1">
        <f t="array" ref="AD1037">_xlfn.IFS(Table2[[#This Row],[PAYMENT GAP]]&lt;=0,"No Gap / Overpaid",Table2[[#This Row],[PAYMENT GAP]]&lt;=25000,"Low Gap",Table2[[#This Row],[PAYMENT GAP]]&lt;=100000,"Medium Gap",
TRUE,"High Gap"
)</f>
        <v>Medium Gap</v>
      </c>
    </row>
    <row r="1038" spans="1:30" x14ac:dyDescent="0.3">
      <c r="A1038">
        <v>1037</v>
      </c>
      <c r="B1038" s="1">
        <v>150000</v>
      </c>
      <c r="C1038" s="1" t="str" cm="1">
        <f t="array" ref="C1038">_xlfn.IFS(Table2[[#This Row],[LIMIT_BAL]]&lt;=100000,"Low",Table2[[#This Row],[LIMIT_BAL]]&lt;=300000,"Medium",
TRUE,"High"
)</f>
        <v>Medium</v>
      </c>
      <c r="D1038" t="s">
        <v>2042</v>
      </c>
      <c r="E1038" t="s">
        <v>2026</v>
      </c>
      <c r="F1038" t="s">
        <v>2029</v>
      </c>
      <c r="G1038">
        <v>23</v>
      </c>
      <c r="H1038" t="str" cm="1">
        <f t="array" ref="H1038">_xlfn.IFS(
Table2[[#This Row],[AGE]]&lt;30,"Young",
Table2[[#This Row],[AGE]]&lt;40,"Middle Age",
Table2[[#This Row],[AGE]]&lt;50,"Senior",
TRUE,"Super Senior"
)</f>
        <v>Young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 s="1">
        <v>11109</v>
      </c>
      <c r="P1038" s="1">
        <v>83376</v>
      </c>
      <c r="Q1038" s="1">
        <v>79726</v>
      </c>
      <c r="R1038" s="1">
        <v>76986</v>
      </c>
      <c r="S1038" s="1">
        <v>78038</v>
      </c>
      <c r="T1038" s="1">
        <v>78321</v>
      </c>
      <c r="U1038" s="1">
        <v>78016</v>
      </c>
      <c r="V1038" s="1">
        <v>3048</v>
      </c>
      <c r="W1038" s="1">
        <v>4000</v>
      </c>
      <c r="X1038" s="1">
        <v>3500</v>
      </c>
      <c r="Y1038" s="1">
        <v>3000</v>
      </c>
      <c r="Z1038" s="1">
        <v>3000</v>
      </c>
      <c r="AA1038">
        <v>0</v>
      </c>
      <c r="AB1038" t="str">
        <f t="shared" si="16"/>
        <v>Not Defaulter</v>
      </c>
      <c r="AC1038" s="1">
        <f>Table2[[#This Row],[BILL_AMT1]]-Table2[[#This Row],[PAY_AMT1]]</f>
        <v>-66907</v>
      </c>
      <c r="AD1038" s="1" t="str" cm="1">
        <f t="array" ref="AD1038">_xlfn.IFS(Table2[[#This Row],[PAYMENT GAP]]&lt;=0,"No Gap / Overpaid",Table2[[#This Row],[PAYMENT GAP]]&lt;=25000,"Low Gap",Table2[[#This Row],[PAYMENT GAP]]&lt;=100000,"Medium Gap",
TRUE,"High Gap"
)</f>
        <v>No Gap / Overpaid</v>
      </c>
    </row>
    <row r="1039" spans="1:30" x14ac:dyDescent="0.3">
      <c r="A1039">
        <v>1038</v>
      </c>
      <c r="B1039" s="1">
        <v>180000</v>
      </c>
      <c r="C1039" s="1" t="str" cm="1">
        <f t="array" ref="C1039">_xlfn.IFS(Table2[[#This Row],[LIMIT_BAL]]&lt;=100000,"Low",Table2[[#This Row],[LIMIT_BAL]]&lt;=300000,"Medium",
TRUE,"High"
)</f>
        <v>Medium</v>
      </c>
      <c r="D1039" t="s">
        <v>2042</v>
      </c>
      <c r="E1039" t="s">
        <v>2027</v>
      </c>
      <c r="F1039" t="s">
        <v>2028</v>
      </c>
      <c r="G1039">
        <v>54</v>
      </c>
      <c r="H1039" t="str" cm="1">
        <f t="array" ref="H1039">_xlfn.IFS(
Table2[[#This Row],[AGE]]&lt;30,"Young",
Table2[[#This Row],[AGE]]&lt;40,"Middle Age",
Table2[[#This Row],[AGE]]&lt;50,"Senior",
TRUE,"Super Senior"
)</f>
        <v>Super Senior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 s="1">
        <v>149698</v>
      </c>
      <c r="P1039" s="1">
        <v>137260</v>
      </c>
      <c r="Q1039" s="1">
        <v>124500</v>
      </c>
      <c r="R1039" s="1">
        <v>111430</v>
      </c>
      <c r="S1039" s="1">
        <v>98182</v>
      </c>
      <c r="T1039" s="1">
        <v>84598</v>
      </c>
      <c r="U1039" s="1">
        <v>4834</v>
      </c>
      <c r="V1039" s="1">
        <v>4371</v>
      </c>
      <c r="W1039" s="1">
        <v>3849</v>
      </c>
      <c r="X1039" s="1">
        <v>3405</v>
      </c>
      <c r="Y1039" s="1">
        <v>2887</v>
      </c>
      <c r="Z1039" s="1">
        <v>2402</v>
      </c>
      <c r="AA1039">
        <v>1</v>
      </c>
      <c r="AB1039" t="str">
        <f t="shared" si="16"/>
        <v>Defaulter</v>
      </c>
      <c r="AC1039" s="1">
        <f>Table2[[#This Row],[BILL_AMT1]]-Table2[[#This Row],[PAY_AMT1]]</f>
        <v>144864</v>
      </c>
      <c r="AD1039" s="1" t="str" cm="1">
        <f t="array" ref="AD1039">_xlfn.IFS(Table2[[#This Row],[PAYMENT GAP]]&lt;=0,"No Gap / Overpaid",Table2[[#This Row],[PAYMENT GAP]]&lt;=25000,"Low Gap",Table2[[#This Row],[PAYMENT GAP]]&lt;=100000,"Medium Gap",
TRUE,"High Gap"
)</f>
        <v>High Gap</v>
      </c>
    </row>
    <row r="1040" spans="1:30" x14ac:dyDescent="0.3">
      <c r="A1040">
        <v>1039</v>
      </c>
      <c r="B1040" s="1">
        <v>50000</v>
      </c>
      <c r="C1040" s="1" t="str" cm="1">
        <f t="array" ref="C1040">_xlfn.IFS(Table2[[#This Row],[LIMIT_BAL]]&lt;=100000,"Low",Table2[[#This Row],[LIMIT_BAL]]&lt;=300000,"Medium",
TRUE,"High"
)</f>
        <v>Low</v>
      </c>
      <c r="D1040" t="s">
        <v>2041</v>
      </c>
      <c r="E1040" t="s">
        <v>2027</v>
      </c>
      <c r="F1040" t="s">
        <v>2029</v>
      </c>
      <c r="G1040">
        <v>23</v>
      </c>
      <c r="H1040" t="str" cm="1">
        <f t="array" ref="H1040">_xlfn.IFS(
Table2[[#This Row],[AGE]]&lt;30,"Young",
Table2[[#This Row],[AGE]]&lt;40,"Middle Age",
Table2[[#This Row],[AGE]]&lt;50,"Senior",
TRUE,"Super Senior"
)</f>
        <v>Young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 s="1">
        <v>43979</v>
      </c>
      <c r="P1040" s="1">
        <v>33403</v>
      </c>
      <c r="Q1040" s="1">
        <v>20879</v>
      </c>
      <c r="R1040" s="1">
        <v>18573</v>
      </c>
      <c r="S1040" s="1">
        <v>17318</v>
      </c>
      <c r="T1040" s="1">
        <v>17936</v>
      </c>
      <c r="U1040" s="1">
        <v>2000</v>
      </c>
      <c r="V1040" s="1">
        <v>2000</v>
      </c>
      <c r="W1040" s="1">
        <v>2000</v>
      </c>
      <c r="X1040" s="1">
        <v>1000</v>
      </c>
      <c r="Y1040" s="1">
        <v>1000</v>
      </c>
      <c r="Z1040" s="1">
        <v>2800</v>
      </c>
      <c r="AA1040">
        <v>0</v>
      </c>
      <c r="AB1040" t="str">
        <f t="shared" si="16"/>
        <v>Not Defaulter</v>
      </c>
      <c r="AC1040" s="1">
        <f>Table2[[#This Row],[BILL_AMT1]]-Table2[[#This Row],[PAY_AMT1]]</f>
        <v>41979</v>
      </c>
      <c r="AD1040" s="1" t="str" cm="1">
        <f t="array" ref="AD1040">_xlfn.IFS(Table2[[#This Row],[PAYMENT GAP]]&lt;=0,"No Gap / Overpaid",Table2[[#This Row],[PAYMENT GAP]]&lt;=25000,"Low Gap",Table2[[#This Row],[PAYMENT GAP]]&lt;=100000,"Medium Gap",
TRUE,"High Gap"
)</f>
        <v>Medium Gap</v>
      </c>
    </row>
    <row r="1041" spans="1:30" x14ac:dyDescent="0.3">
      <c r="A1041">
        <v>1040</v>
      </c>
      <c r="B1041" s="1">
        <v>50000</v>
      </c>
      <c r="C1041" s="1" t="str" cm="1">
        <f t="array" ref="C1041">_xlfn.IFS(Table2[[#This Row],[LIMIT_BAL]]&lt;=100000,"Low",Table2[[#This Row],[LIMIT_BAL]]&lt;=300000,"Medium",
TRUE,"High"
)</f>
        <v>Low</v>
      </c>
      <c r="D1041" t="s">
        <v>2042</v>
      </c>
      <c r="E1041" t="s">
        <v>2027</v>
      </c>
      <c r="F1041" t="s">
        <v>2029</v>
      </c>
      <c r="G1041">
        <v>24</v>
      </c>
      <c r="H1041" t="str" cm="1">
        <f t="array" ref="H1041">_xlfn.IFS(
Table2[[#This Row],[AGE]]&lt;30,"Young",
Table2[[#This Row],[AGE]]&lt;40,"Middle Age",
Table2[[#This Row],[AGE]]&lt;50,"Senior",
TRUE,"Super Senior"
)</f>
        <v>Young</v>
      </c>
      <c r="I1041">
        <v>-1</v>
      </c>
      <c r="J1041">
        <v>-1</v>
      </c>
      <c r="K1041">
        <v>-1</v>
      </c>
      <c r="L1041">
        <v>-1</v>
      </c>
      <c r="M1041">
        <v>0</v>
      </c>
      <c r="N1041">
        <v>0</v>
      </c>
      <c r="O1041" s="1">
        <v>2562</v>
      </c>
      <c r="P1041" s="1">
        <v>8743</v>
      </c>
      <c r="Q1041" s="1">
        <v>-290</v>
      </c>
      <c r="R1041" s="1">
        <v>18115</v>
      </c>
      <c r="S1041" s="1">
        <v>18495</v>
      </c>
      <c r="T1041" s="1">
        <v>18804</v>
      </c>
      <c r="U1041" s="1">
        <v>8769</v>
      </c>
      <c r="V1041" s="1">
        <v>0</v>
      </c>
      <c r="W1041" s="1">
        <v>18650</v>
      </c>
      <c r="X1041" s="1">
        <v>659</v>
      </c>
      <c r="Y1041" s="1">
        <v>1000</v>
      </c>
      <c r="Z1041" s="1">
        <v>1000</v>
      </c>
      <c r="AA1041">
        <v>0</v>
      </c>
      <c r="AB1041" t="str">
        <f t="shared" si="16"/>
        <v>Not Defaulter</v>
      </c>
      <c r="AC1041" s="1">
        <f>Table2[[#This Row],[BILL_AMT1]]-Table2[[#This Row],[PAY_AMT1]]</f>
        <v>-6207</v>
      </c>
      <c r="AD1041" s="1" t="str" cm="1">
        <f t="array" ref="AD1041">_xlfn.IFS(Table2[[#This Row],[PAYMENT GAP]]&lt;=0,"No Gap / Overpaid",Table2[[#This Row],[PAYMENT GAP]]&lt;=25000,"Low Gap",Table2[[#This Row],[PAYMENT GAP]]&lt;=100000,"Medium Gap",
TRUE,"High Gap"
)</f>
        <v>No Gap / Overpaid</v>
      </c>
    </row>
    <row r="1042" spans="1:30" x14ac:dyDescent="0.3">
      <c r="A1042">
        <v>1041</v>
      </c>
      <c r="B1042" s="1">
        <v>20000</v>
      </c>
      <c r="C1042" s="1" t="str" cm="1">
        <f t="array" ref="C1042">_xlfn.IFS(Table2[[#This Row],[LIMIT_BAL]]&lt;=100000,"Low",Table2[[#This Row],[LIMIT_BAL]]&lt;=300000,"Medium",
TRUE,"High"
)</f>
        <v>Low</v>
      </c>
      <c r="D1042" t="s">
        <v>2042</v>
      </c>
      <c r="E1042" t="s">
        <v>2043</v>
      </c>
      <c r="F1042" t="s">
        <v>2029</v>
      </c>
      <c r="G1042">
        <v>26</v>
      </c>
      <c r="H1042" t="str" cm="1">
        <f t="array" ref="H1042">_xlfn.IFS(
Table2[[#This Row],[AGE]]&lt;30,"Young",
Table2[[#This Row],[AGE]]&lt;40,"Middle Age",
Table2[[#This Row],[AGE]]&lt;50,"Senior",
TRUE,"Super Senior"
)</f>
        <v>Young</v>
      </c>
      <c r="I1042">
        <v>-1</v>
      </c>
      <c r="J1042">
        <v>-1</v>
      </c>
      <c r="K1042">
        <v>-2</v>
      </c>
      <c r="L1042">
        <v>-2</v>
      </c>
      <c r="M1042">
        <v>-2</v>
      </c>
      <c r="N1042">
        <v>-2</v>
      </c>
      <c r="O1042" s="1">
        <v>70</v>
      </c>
      <c r="P1042" s="1">
        <v>-620</v>
      </c>
      <c r="Q1042" s="1">
        <v>-620</v>
      </c>
      <c r="R1042" s="1">
        <v>-1400</v>
      </c>
      <c r="S1042" s="1">
        <v>0</v>
      </c>
      <c r="T1042" s="1">
        <v>0</v>
      </c>
      <c r="U1042" s="1">
        <v>0</v>
      </c>
      <c r="V1042" s="1">
        <v>0</v>
      </c>
      <c r="W1042" s="1">
        <v>0</v>
      </c>
      <c r="X1042" s="1">
        <v>1400</v>
      </c>
      <c r="Y1042" s="1">
        <v>0</v>
      </c>
      <c r="Z1042" s="1">
        <v>0</v>
      </c>
      <c r="AA1042">
        <v>0</v>
      </c>
      <c r="AB1042" t="str">
        <f t="shared" si="16"/>
        <v>Not Defaulter</v>
      </c>
      <c r="AC1042" s="1">
        <f>Table2[[#This Row],[BILL_AMT1]]-Table2[[#This Row],[PAY_AMT1]]</f>
        <v>70</v>
      </c>
      <c r="AD1042" s="1" t="str" cm="1">
        <f t="array" ref="AD1042">_xlfn.IFS(Table2[[#This Row],[PAYMENT GAP]]&lt;=0,"No Gap / Overpaid",Table2[[#This Row],[PAYMENT GAP]]&lt;=25000,"Low Gap",Table2[[#This Row],[PAYMENT GAP]]&lt;=100000,"Medium Gap",
TRUE,"High Gap"
)</f>
        <v>Low Gap</v>
      </c>
    </row>
    <row r="1043" spans="1:30" x14ac:dyDescent="0.3">
      <c r="A1043">
        <v>1042</v>
      </c>
      <c r="B1043" s="1">
        <v>230000</v>
      </c>
      <c r="C1043" s="1" t="str" cm="1">
        <f t="array" ref="C1043">_xlfn.IFS(Table2[[#This Row],[LIMIT_BAL]]&lt;=100000,"Low",Table2[[#This Row],[LIMIT_BAL]]&lt;=300000,"Medium",
TRUE,"High"
)</f>
        <v>Medium</v>
      </c>
      <c r="D1043" t="s">
        <v>2041</v>
      </c>
      <c r="E1043" t="s">
        <v>2043</v>
      </c>
      <c r="F1043" t="s">
        <v>2029</v>
      </c>
      <c r="G1043">
        <v>52</v>
      </c>
      <c r="H1043" t="str" cm="1">
        <f t="array" ref="H1043">_xlfn.IFS(
Table2[[#This Row],[AGE]]&lt;30,"Young",
Table2[[#This Row],[AGE]]&lt;40,"Middle Age",
Table2[[#This Row],[AGE]]&lt;50,"Senior",
TRUE,"Super Senior"
)</f>
        <v>Super Senior</v>
      </c>
      <c r="I1043">
        <v>2</v>
      </c>
      <c r="J1043">
        <v>-1</v>
      </c>
      <c r="K1043">
        <v>2</v>
      </c>
      <c r="L1043">
        <v>0</v>
      </c>
      <c r="M1043">
        <v>-1</v>
      </c>
      <c r="N1043">
        <v>-1</v>
      </c>
      <c r="O1043" s="1">
        <v>1292</v>
      </c>
      <c r="P1043" s="1">
        <v>3943</v>
      </c>
      <c r="Q1043" s="1">
        <v>1990</v>
      </c>
      <c r="R1043" s="1">
        <v>1499</v>
      </c>
      <c r="S1043" s="1">
        <v>593</v>
      </c>
      <c r="T1043" s="1">
        <v>2553</v>
      </c>
      <c r="U1043" s="1">
        <v>3951</v>
      </c>
      <c r="V1043" s="1">
        <v>1</v>
      </c>
      <c r="W1043" s="1">
        <v>9</v>
      </c>
      <c r="X1043" s="1">
        <v>594</v>
      </c>
      <c r="Y1043" s="1">
        <v>2560</v>
      </c>
      <c r="Z1043" s="1">
        <v>3759</v>
      </c>
      <c r="AA1043">
        <v>1</v>
      </c>
      <c r="AB1043" t="str">
        <f t="shared" si="16"/>
        <v>Defaulter</v>
      </c>
      <c r="AC1043" s="1">
        <f>Table2[[#This Row],[BILL_AMT1]]-Table2[[#This Row],[PAY_AMT1]]</f>
        <v>-2659</v>
      </c>
      <c r="AD1043" s="1" t="str" cm="1">
        <f t="array" ref="AD1043">_xlfn.IFS(Table2[[#This Row],[PAYMENT GAP]]&lt;=0,"No Gap / Overpaid",Table2[[#This Row],[PAYMENT GAP]]&lt;=25000,"Low Gap",Table2[[#This Row],[PAYMENT GAP]]&lt;=100000,"Medium Gap",
TRUE,"High Gap"
)</f>
        <v>No Gap / Overpaid</v>
      </c>
    </row>
    <row r="1044" spans="1:30" x14ac:dyDescent="0.3">
      <c r="A1044">
        <v>1043</v>
      </c>
      <c r="B1044" s="1">
        <v>110000</v>
      </c>
      <c r="C1044" s="1" t="str" cm="1">
        <f t="array" ref="C1044">_xlfn.IFS(Table2[[#This Row],[LIMIT_BAL]]&lt;=100000,"Low",Table2[[#This Row],[LIMIT_BAL]]&lt;=300000,"Medium",
TRUE,"High"
)</f>
        <v>Medium</v>
      </c>
      <c r="D1044" t="s">
        <v>2041</v>
      </c>
      <c r="E1044" t="s">
        <v>2043</v>
      </c>
      <c r="F1044" t="s">
        <v>2028</v>
      </c>
      <c r="G1044">
        <v>42</v>
      </c>
      <c r="H1044" t="str" cm="1">
        <f t="array" ref="H1044">_xlfn.IFS(
Table2[[#This Row],[AGE]]&lt;30,"Young",
Table2[[#This Row],[AGE]]&lt;40,"Middle Age",
Table2[[#This Row],[AGE]]&lt;50,"Senior",
TRUE,"Super Senior"
)</f>
        <v>Senior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 s="1">
        <v>55349</v>
      </c>
      <c r="P1044" s="1">
        <v>52914</v>
      </c>
      <c r="Q1044" s="1">
        <v>49483</v>
      </c>
      <c r="R1044" s="1">
        <v>49292</v>
      </c>
      <c r="S1044" s="1">
        <v>49460</v>
      </c>
      <c r="T1044" s="1">
        <v>49470</v>
      </c>
      <c r="U1044" s="1">
        <v>2096</v>
      </c>
      <c r="V1044" s="1">
        <v>2003</v>
      </c>
      <c r="W1044" s="1">
        <v>1802</v>
      </c>
      <c r="X1044" s="1">
        <v>1783</v>
      </c>
      <c r="Y1044" s="1">
        <v>1783</v>
      </c>
      <c r="Z1044" s="1">
        <v>1756</v>
      </c>
      <c r="AA1044">
        <v>0</v>
      </c>
      <c r="AB1044" t="str">
        <f t="shared" si="16"/>
        <v>Not Defaulter</v>
      </c>
      <c r="AC1044" s="1">
        <f>Table2[[#This Row],[BILL_AMT1]]-Table2[[#This Row],[PAY_AMT1]]</f>
        <v>53253</v>
      </c>
      <c r="AD1044" s="1" t="str" cm="1">
        <f t="array" ref="AD1044">_xlfn.IFS(Table2[[#This Row],[PAYMENT GAP]]&lt;=0,"No Gap / Overpaid",Table2[[#This Row],[PAYMENT GAP]]&lt;=25000,"Low Gap",Table2[[#This Row],[PAYMENT GAP]]&lt;=100000,"Medium Gap",
TRUE,"High Gap"
)</f>
        <v>Medium Gap</v>
      </c>
    </row>
    <row r="1045" spans="1:30" x14ac:dyDescent="0.3">
      <c r="A1045">
        <v>1044</v>
      </c>
      <c r="B1045" s="1">
        <v>90000</v>
      </c>
      <c r="C1045" s="1" t="str" cm="1">
        <f t="array" ref="C1045">_xlfn.IFS(Table2[[#This Row],[LIMIT_BAL]]&lt;=100000,"Low",Table2[[#This Row],[LIMIT_BAL]]&lt;=300000,"Medium",
TRUE,"High"
)</f>
        <v>Low</v>
      </c>
      <c r="D1045" t="s">
        <v>2041</v>
      </c>
      <c r="E1045" t="s">
        <v>2026</v>
      </c>
      <c r="F1045" t="s">
        <v>2029</v>
      </c>
      <c r="G1045">
        <v>36</v>
      </c>
      <c r="H1045" t="str" cm="1">
        <f t="array" ref="H1045">_xlfn.IFS(
Table2[[#This Row],[AGE]]&lt;30,"Young",
Table2[[#This Row],[AGE]]&lt;40,"Middle Age",
Table2[[#This Row],[AGE]]&lt;50,"Senior",
TRUE,"Super Senior"
)</f>
        <v>Middle Age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 s="1">
        <v>90922</v>
      </c>
      <c r="P1045" s="1">
        <v>80980</v>
      </c>
      <c r="Q1045" s="1">
        <v>66503</v>
      </c>
      <c r="R1045" s="1">
        <v>67347</v>
      </c>
      <c r="S1045" s="1">
        <v>68509</v>
      </c>
      <c r="T1045" s="1">
        <v>67588</v>
      </c>
      <c r="U1045" s="1">
        <v>4273</v>
      </c>
      <c r="V1045" s="1">
        <v>3200</v>
      </c>
      <c r="W1045" s="1">
        <v>2500</v>
      </c>
      <c r="X1045" s="1">
        <v>2500</v>
      </c>
      <c r="Y1045" s="1">
        <v>2631</v>
      </c>
      <c r="Z1045" s="1">
        <v>2646</v>
      </c>
      <c r="AA1045">
        <v>0</v>
      </c>
      <c r="AB1045" t="str">
        <f t="shared" si="16"/>
        <v>Not Defaulter</v>
      </c>
      <c r="AC1045" s="1">
        <f>Table2[[#This Row],[BILL_AMT1]]-Table2[[#This Row],[PAY_AMT1]]</f>
        <v>86649</v>
      </c>
      <c r="AD1045" s="1" t="str" cm="1">
        <f t="array" ref="AD1045">_xlfn.IFS(Table2[[#This Row],[PAYMENT GAP]]&lt;=0,"No Gap / Overpaid",Table2[[#This Row],[PAYMENT GAP]]&lt;=25000,"Low Gap",Table2[[#This Row],[PAYMENT GAP]]&lt;=100000,"Medium Gap",
TRUE,"High Gap"
)</f>
        <v>Medium Gap</v>
      </c>
    </row>
    <row r="1046" spans="1:30" x14ac:dyDescent="0.3">
      <c r="A1046">
        <v>1045</v>
      </c>
      <c r="B1046" s="1">
        <v>20000</v>
      </c>
      <c r="C1046" s="1" t="str" cm="1">
        <f t="array" ref="C1046">_xlfn.IFS(Table2[[#This Row],[LIMIT_BAL]]&lt;=100000,"Low",Table2[[#This Row],[LIMIT_BAL]]&lt;=300000,"Medium",
TRUE,"High"
)</f>
        <v>Low</v>
      </c>
      <c r="D1046" t="s">
        <v>2041</v>
      </c>
      <c r="E1046" t="s">
        <v>2026</v>
      </c>
      <c r="F1046" t="s">
        <v>2029</v>
      </c>
      <c r="G1046">
        <v>22</v>
      </c>
      <c r="H1046" t="str" cm="1">
        <f t="array" ref="H1046">_xlfn.IFS(
Table2[[#This Row],[AGE]]&lt;30,"Young",
Table2[[#This Row],[AGE]]&lt;40,"Middle Age",
Table2[[#This Row],[AGE]]&lt;50,"Senior",
TRUE,"Super Senior"
)</f>
        <v>Young</v>
      </c>
      <c r="I1046">
        <v>2</v>
      </c>
      <c r="J1046">
        <v>2</v>
      </c>
      <c r="K1046">
        <v>2</v>
      </c>
      <c r="L1046">
        <v>2</v>
      </c>
      <c r="M1046">
        <v>2</v>
      </c>
      <c r="N1046">
        <v>2</v>
      </c>
      <c r="O1046" s="1">
        <v>16233</v>
      </c>
      <c r="P1046" s="1">
        <v>20547</v>
      </c>
      <c r="Q1046" s="1">
        <v>20542</v>
      </c>
      <c r="R1046" s="1">
        <v>19572</v>
      </c>
      <c r="S1046" s="1">
        <v>20437</v>
      </c>
      <c r="T1046" s="1">
        <v>19994</v>
      </c>
      <c r="U1046" s="1">
        <v>5383</v>
      </c>
      <c r="V1046" s="1">
        <v>660</v>
      </c>
      <c r="W1046" s="1">
        <v>0</v>
      </c>
      <c r="X1046" s="1">
        <v>1538</v>
      </c>
      <c r="Y1046" s="1">
        <v>0</v>
      </c>
      <c r="Z1046" s="1">
        <v>2658</v>
      </c>
      <c r="AA1046">
        <v>1</v>
      </c>
      <c r="AB1046" t="str">
        <f t="shared" si="16"/>
        <v>Defaulter</v>
      </c>
      <c r="AC1046" s="1">
        <f>Table2[[#This Row],[BILL_AMT1]]-Table2[[#This Row],[PAY_AMT1]]</f>
        <v>10850</v>
      </c>
      <c r="AD1046" s="1" t="str" cm="1">
        <f t="array" ref="AD1046">_xlfn.IFS(Table2[[#This Row],[PAYMENT GAP]]&lt;=0,"No Gap / Overpaid",Table2[[#This Row],[PAYMENT GAP]]&lt;=25000,"Low Gap",Table2[[#This Row],[PAYMENT GAP]]&lt;=100000,"Medium Gap",
TRUE,"High Gap"
)</f>
        <v>Low Gap</v>
      </c>
    </row>
    <row r="1047" spans="1:30" x14ac:dyDescent="0.3">
      <c r="A1047">
        <v>1046</v>
      </c>
      <c r="B1047" s="1">
        <v>30000</v>
      </c>
      <c r="C1047" s="1" t="str" cm="1">
        <f t="array" ref="C1047">_xlfn.IFS(Table2[[#This Row],[LIMIT_BAL]]&lt;=100000,"Low",Table2[[#This Row],[LIMIT_BAL]]&lt;=300000,"Medium",
TRUE,"High"
)</f>
        <v>Low</v>
      </c>
      <c r="D1047" t="s">
        <v>2041</v>
      </c>
      <c r="E1047" t="s">
        <v>2026</v>
      </c>
      <c r="F1047" t="s">
        <v>2029</v>
      </c>
      <c r="G1047">
        <v>23</v>
      </c>
      <c r="H1047" t="str" cm="1">
        <f t="array" ref="H1047">_xlfn.IFS(
Table2[[#This Row],[AGE]]&lt;30,"Young",
Table2[[#This Row],[AGE]]&lt;40,"Middle Age",
Table2[[#This Row],[AGE]]&lt;50,"Senior",
TRUE,"Super Senior"
)</f>
        <v>Young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 s="1">
        <v>26847</v>
      </c>
      <c r="P1047" s="1">
        <v>24815</v>
      </c>
      <c r="Q1047" s="1">
        <v>21681</v>
      </c>
      <c r="R1047" s="1">
        <v>22293</v>
      </c>
      <c r="S1047" s="1">
        <v>17155</v>
      </c>
      <c r="T1047" s="1">
        <v>13470</v>
      </c>
      <c r="U1047" s="1">
        <v>2500</v>
      </c>
      <c r="V1047" s="1">
        <v>3500</v>
      </c>
      <c r="W1047" s="1">
        <v>2000</v>
      </c>
      <c r="X1047" s="1">
        <v>3500</v>
      </c>
      <c r="Y1047" s="1">
        <v>2000</v>
      </c>
      <c r="Z1047" s="1">
        <v>1000</v>
      </c>
      <c r="AA1047">
        <v>0</v>
      </c>
      <c r="AB1047" t="str">
        <f t="shared" si="16"/>
        <v>Not Defaulter</v>
      </c>
      <c r="AC1047" s="1">
        <f>Table2[[#This Row],[BILL_AMT1]]-Table2[[#This Row],[PAY_AMT1]]</f>
        <v>24347</v>
      </c>
      <c r="AD1047" s="1" t="str" cm="1">
        <f t="array" ref="AD1047">_xlfn.IFS(Table2[[#This Row],[PAYMENT GAP]]&lt;=0,"No Gap / Overpaid",Table2[[#This Row],[PAYMENT GAP]]&lt;=25000,"Low Gap",Table2[[#This Row],[PAYMENT GAP]]&lt;=100000,"Medium Gap",
TRUE,"High Gap"
)</f>
        <v>Low Gap</v>
      </c>
    </row>
    <row r="1048" spans="1:30" x14ac:dyDescent="0.3">
      <c r="A1048">
        <v>1047</v>
      </c>
      <c r="B1048" s="1">
        <v>220000</v>
      </c>
      <c r="C1048" s="1" t="str" cm="1">
        <f t="array" ref="C1048">_xlfn.IFS(Table2[[#This Row],[LIMIT_BAL]]&lt;=100000,"Low",Table2[[#This Row],[LIMIT_BAL]]&lt;=300000,"Medium",
TRUE,"High"
)</f>
        <v>Medium</v>
      </c>
      <c r="D1048" t="s">
        <v>2042</v>
      </c>
      <c r="E1048" t="s">
        <v>2027</v>
      </c>
      <c r="F1048" t="s">
        <v>2028</v>
      </c>
      <c r="G1048">
        <v>30</v>
      </c>
      <c r="H1048" t="str" cm="1">
        <f t="array" ref="H1048">_xlfn.IFS(
Table2[[#This Row],[AGE]]&lt;30,"Young",
Table2[[#This Row],[AGE]]&lt;40,"Middle Age",
Table2[[#This Row],[AGE]]&lt;50,"Senior",
TRUE,"Super Senior"
)</f>
        <v>Middle Age</v>
      </c>
      <c r="I1048">
        <v>0</v>
      </c>
      <c r="J1048">
        <v>0</v>
      </c>
      <c r="K1048">
        <v>0</v>
      </c>
      <c r="L1048">
        <v>0</v>
      </c>
      <c r="M1048">
        <v>2</v>
      </c>
      <c r="N1048">
        <v>0</v>
      </c>
      <c r="O1048" s="1">
        <v>162105</v>
      </c>
      <c r="P1048" s="1">
        <v>170592</v>
      </c>
      <c r="Q1048" s="1">
        <v>173969</v>
      </c>
      <c r="R1048" s="1">
        <v>183030</v>
      </c>
      <c r="S1048" s="1">
        <v>181385</v>
      </c>
      <c r="T1048" s="1">
        <v>174107</v>
      </c>
      <c r="U1048" s="1">
        <v>10000</v>
      </c>
      <c r="V1048" s="1">
        <v>5013</v>
      </c>
      <c r="W1048" s="1">
        <v>10626</v>
      </c>
      <c r="X1048" s="1">
        <v>52</v>
      </c>
      <c r="Y1048" s="1">
        <v>5255</v>
      </c>
      <c r="Z1048" s="1">
        <v>4222</v>
      </c>
      <c r="AA1048">
        <v>1</v>
      </c>
      <c r="AB1048" t="str">
        <f t="shared" si="16"/>
        <v>Defaulter</v>
      </c>
      <c r="AC1048" s="1">
        <f>Table2[[#This Row],[BILL_AMT1]]-Table2[[#This Row],[PAY_AMT1]]</f>
        <v>152105</v>
      </c>
      <c r="AD1048" s="1" t="str" cm="1">
        <f t="array" ref="AD1048">_xlfn.IFS(Table2[[#This Row],[PAYMENT GAP]]&lt;=0,"No Gap / Overpaid",Table2[[#This Row],[PAYMENT GAP]]&lt;=25000,"Low Gap",Table2[[#This Row],[PAYMENT GAP]]&lt;=100000,"Medium Gap",
TRUE,"High Gap"
)</f>
        <v>High Gap</v>
      </c>
    </row>
    <row r="1049" spans="1:30" x14ac:dyDescent="0.3">
      <c r="A1049">
        <v>1048</v>
      </c>
      <c r="B1049" s="1">
        <v>140000</v>
      </c>
      <c r="C1049" s="1" t="str" cm="1">
        <f t="array" ref="C1049">_xlfn.IFS(Table2[[#This Row],[LIMIT_BAL]]&lt;=100000,"Low",Table2[[#This Row],[LIMIT_BAL]]&lt;=300000,"Medium",
TRUE,"High"
)</f>
        <v>Medium</v>
      </c>
      <c r="D1049" t="s">
        <v>2041</v>
      </c>
      <c r="E1049" t="s">
        <v>2027</v>
      </c>
      <c r="F1049" t="s">
        <v>2029</v>
      </c>
      <c r="G1049">
        <v>24</v>
      </c>
      <c r="H1049" t="str" cm="1">
        <f t="array" ref="H1049">_xlfn.IFS(
Table2[[#This Row],[AGE]]&lt;30,"Young",
Table2[[#This Row],[AGE]]&lt;40,"Middle Age",
Table2[[#This Row],[AGE]]&lt;50,"Senior",
TRUE,"Super Senior"
)</f>
        <v>Young</v>
      </c>
      <c r="I1049">
        <v>1</v>
      </c>
      <c r="J1049">
        <v>2</v>
      </c>
      <c r="K1049">
        <v>2</v>
      </c>
      <c r="L1049">
        <v>2</v>
      </c>
      <c r="M1049">
        <v>0</v>
      </c>
      <c r="N1049">
        <v>0</v>
      </c>
      <c r="O1049" s="1">
        <v>42897</v>
      </c>
      <c r="P1049" s="1">
        <v>45739</v>
      </c>
      <c r="Q1049" s="1">
        <v>46468</v>
      </c>
      <c r="R1049" s="1">
        <v>45422</v>
      </c>
      <c r="S1049" s="1">
        <v>46371</v>
      </c>
      <c r="T1049" s="1">
        <v>47297</v>
      </c>
      <c r="U1049" s="1">
        <v>3821</v>
      </c>
      <c r="V1049" s="1">
        <v>1775</v>
      </c>
      <c r="W1049" s="1">
        <v>0</v>
      </c>
      <c r="X1049" s="1">
        <v>1833</v>
      </c>
      <c r="Y1049" s="1">
        <v>1850</v>
      </c>
      <c r="Z1049" s="1">
        <v>2000</v>
      </c>
      <c r="AA1049">
        <v>1</v>
      </c>
      <c r="AB1049" t="str">
        <f t="shared" si="16"/>
        <v>Defaulter</v>
      </c>
      <c r="AC1049" s="1">
        <f>Table2[[#This Row],[BILL_AMT1]]-Table2[[#This Row],[PAY_AMT1]]</f>
        <v>39076</v>
      </c>
      <c r="AD1049" s="1" t="str" cm="1">
        <f t="array" ref="AD1049">_xlfn.IFS(Table2[[#This Row],[PAYMENT GAP]]&lt;=0,"No Gap / Overpaid",Table2[[#This Row],[PAYMENT GAP]]&lt;=25000,"Low Gap",Table2[[#This Row],[PAYMENT GAP]]&lt;=100000,"Medium Gap",
TRUE,"High Gap"
)</f>
        <v>Medium Gap</v>
      </c>
    </row>
    <row r="1050" spans="1:30" x14ac:dyDescent="0.3">
      <c r="A1050">
        <v>1049</v>
      </c>
      <c r="B1050" s="1">
        <v>300000</v>
      </c>
      <c r="C1050" s="1" t="str" cm="1">
        <f t="array" ref="C1050">_xlfn.IFS(Table2[[#This Row],[LIMIT_BAL]]&lt;=100000,"Low",Table2[[#This Row],[LIMIT_BAL]]&lt;=300000,"Medium",
TRUE,"High"
)</f>
        <v>Medium</v>
      </c>
      <c r="D1050" t="s">
        <v>2041</v>
      </c>
      <c r="E1050" t="s">
        <v>2026</v>
      </c>
      <c r="F1050" t="s">
        <v>2028</v>
      </c>
      <c r="G1050">
        <v>42</v>
      </c>
      <c r="H1050" t="str" cm="1">
        <f t="array" ref="H1050">_xlfn.IFS(
Table2[[#This Row],[AGE]]&lt;30,"Young",
Table2[[#This Row],[AGE]]&lt;40,"Middle Age",
Table2[[#This Row],[AGE]]&lt;50,"Senior",
TRUE,"Super Senior"
)</f>
        <v>Senior</v>
      </c>
      <c r="I1050">
        <v>-2</v>
      </c>
      <c r="J1050">
        <v>-2</v>
      </c>
      <c r="K1050">
        <v>-2</v>
      </c>
      <c r="L1050">
        <v>-2</v>
      </c>
      <c r="M1050">
        <v>-2</v>
      </c>
      <c r="N1050">
        <v>-2</v>
      </c>
      <c r="O1050" s="1">
        <v>3000</v>
      </c>
      <c r="P1050" s="1">
        <v>3300</v>
      </c>
      <c r="Q1050" s="1">
        <v>0</v>
      </c>
      <c r="R1050" s="1">
        <v>0</v>
      </c>
      <c r="S1050" s="1">
        <v>610</v>
      </c>
      <c r="T1050" s="1">
        <v>2165</v>
      </c>
      <c r="U1050" s="1">
        <v>3300</v>
      </c>
      <c r="V1050" s="1">
        <v>0</v>
      </c>
      <c r="W1050" s="1">
        <v>0</v>
      </c>
      <c r="X1050" s="1">
        <v>610</v>
      </c>
      <c r="Y1050" s="1">
        <v>2165</v>
      </c>
      <c r="Z1050" s="1">
        <v>2394</v>
      </c>
      <c r="AA1050">
        <v>0</v>
      </c>
      <c r="AB1050" t="str">
        <f t="shared" si="16"/>
        <v>Not Defaulter</v>
      </c>
      <c r="AC1050" s="1">
        <f>Table2[[#This Row],[BILL_AMT1]]-Table2[[#This Row],[PAY_AMT1]]</f>
        <v>-300</v>
      </c>
      <c r="AD1050" s="1" t="str" cm="1">
        <f t="array" ref="AD1050">_xlfn.IFS(Table2[[#This Row],[PAYMENT GAP]]&lt;=0,"No Gap / Overpaid",Table2[[#This Row],[PAYMENT GAP]]&lt;=25000,"Low Gap",Table2[[#This Row],[PAYMENT GAP]]&lt;=100000,"Medium Gap",
TRUE,"High Gap"
)</f>
        <v>No Gap / Overpaid</v>
      </c>
    </row>
    <row r="1051" spans="1:30" x14ac:dyDescent="0.3">
      <c r="A1051">
        <v>1050</v>
      </c>
      <c r="B1051" s="1">
        <v>100000</v>
      </c>
      <c r="C1051" s="1" t="str" cm="1">
        <f t="array" ref="C1051">_xlfn.IFS(Table2[[#This Row],[LIMIT_BAL]]&lt;=100000,"Low",Table2[[#This Row],[LIMIT_BAL]]&lt;=300000,"Medium",
TRUE,"High"
)</f>
        <v>Low</v>
      </c>
      <c r="D1051" t="s">
        <v>2042</v>
      </c>
      <c r="E1051" t="s">
        <v>2043</v>
      </c>
      <c r="F1051" t="s">
        <v>2028</v>
      </c>
      <c r="G1051">
        <v>49</v>
      </c>
      <c r="H1051" t="str" cm="1">
        <f t="array" ref="H1051">_xlfn.IFS(
Table2[[#This Row],[AGE]]&lt;30,"Young",
Table2[[#This Row],[AGE]]&lt;40,"Middle Age",
Table2[[#This Row],[AGE]]&lt;50,"Senior",
TRUE,"Super Senior"
)</f>
        <v>Senior</v>
      </c>
      <c r="I1051">
        <v>0</v>
      </c>
      <c r="J1051">
        <v>0</v>
      </c>
      <c r="K1051">
        <v>0</v>
      </c>
      <c r="L1051">
        <v>2</v>
      </c>
      <c r="M1051">
        <v>0</v>
      </c>
      <c r="N1051">
        <v>0</v>
      </c>
      <c r="O1051" s="1">
        <v>34704</v>
      </c>
      <c r="P1051" s="1">
        <v>30906</v>
      </c>
      <c r="Q1051" s="1">
        <v>28325</v>
      </c>
      <c r="R1051" s="1">
        <v>22160</v>
      </c>
      <c r="S1051" s="1">
        <v>18842</v>
      </c>
      <c r="T1051" s="1">
        <v>17023</v>
      </c>
      <c r="U1051" s="1">
        <v>2011</v>
      </c>
      <c r="V1051" s="1">
        <v>2028</v>
      </c>
      <c r="W1051" s="1">
        <v>10</v>
      </c>
      <c r="X1051" s="1">
        <v>558</v>
      </c>
      <c r="Y1051" s="1">
        <v>1044</v>
      </c>
      <c r="Z1051" s="1">
        <v>12</v>
      </c>
      <c r="AA1051">
        <v>0</v>
      </c>
      <c r="AB1051" t="str">
        <f t="shared" si="16"/>
        <v>Not Defaulter</v>
      </c>
      <c r="AC1051" s="1">
        <f>Table2[[#This Row],[BILL_AMT1]]-Table2[[#This Row],[PAY_AMT1]]</f>
        <v>32693</v>
      </c>
      <c r="AD1051" s="1" t="str" cm="1">
        <f t="array" ref="AD1051">_xlfn.IFS(Table2[[#This Row],[PAYMENT GAP]]&lt;=0,"No Gap / Overpaid",Table2[[#This Row],[PAYMENT GAP]]&lt;=25000,"Low Gap",Table2[[#This Row],[PAYMENT GAP]]&lt;=100000,"Medium Gap",
TRUE,"High Gap"
)</f>
        <v>Medium Gap</v>
      </c>
    </row>
    <row r="1052" spans="1:30" x14ac:dyDescent="0.3">
      <c r="A1052">
        <v>1051</v>
      </c>
      <c r="B1052" s="1">
        <v>110000</v>
      </c>
      <c r="C1052" s="1" t="str" cm="1">
        <f t="array" ref="C1052">_xlfn.IFS(Table2[[#This Row],[LIMIT_BAL]]&lt;=100000,"Low",Table2[[#This Row],[LIMIT_BAL]]&lt;=300000,"Medium",
TRUE,"High"
)</f>
        <v>Medium</v>
      </c>
      <c r="D1052" t="s">
        <v>2042</v>
      </c>
      <c r="E1052" t="s">
        <v>2043</v>
      </c>
      <c r="F1052" t="s">
        <v>2029</v>
      </c>
      <c r="G1052">
        <v>31</v>
      </c>
      <c r="H1052" t="str" cm="1">
        <f t="array" ref="H1052">_xlfn.IFS(
Table2[[#This Row],[AGE]]&lt;30,"Young",
Table2[[#This Row],[AGE]]&lt;40,"Middle Age",
Table2[[#This Row],[AGE]]&lt;50,"Senior",
TRUE,"Super Senior"
)</f>
        <v>Middle Age</v>
      </c>
      <c r="I1052">
        <v>2</v>
      </c>
      <c r="J1052">
        <v>2</v>
      </c>
      <c r="K1052">
        <v>3</v>
      </c>
      <c r="L1052">
        <v>3</v>
      </c>
      <c r="M1052">
        <v>2</v>
      </c>
      <c r="N1052">
        <v>-1</v>
      </c>
      <c r="O1052" s="1">
        <v>279</v>
      </c>
      <c r="P1052" s="1">
        <v>279</v>
      </c>
      <c r="Q1052" s="1">
        <v>279</v>
      </c>
      <c r="R1052" s="1">
        <v>279</v>
      </c>
      <c r="S1052" s="1">
        <v>129</v>
      </c>
      <c r="T1052" s="1">
        <v>179</v>
      </c>
      <c r="U1052" s="1">
        <v>0</v>
      </c>
      <c r="V1052" s="1">
        <v>0</v>
      </c>
      <c r="W1052" s="1">
        <v>0</v>
      </c>
      <c r="X1052" s="1">
        <v>0</v>
      </c>
      <c r="Y1052" s="1">
        <v>200</v>
      </c>
      <c r="Z1052" s="1">
        <v>0</v>
      </c>
      <c r="AA1052">
        <v>0</v>
      </c>
      <c r="AB1052" t="str">
        <f t="shared" si="16"/>
        <v>Not Defaulter</v>
      </c>
      <c r="AC1052" s="1">
        <f>Table2[[#This Row],[BILL_AMT1]]-Table2[[#This Row],[PAY_AMT1]]</f>
        <v>279</v>
      </c>
      <c r="AD1052" s="1" t="str" cm="1">
        <f t="array" ref="AD1052">_xlfn.IFS(Table2[[#This Row],[PAYMENT GAP]]&lt;=0,"No Gap / Overpaid",Table2[[#This Row],[PAYMENT GAP]]&lt;=25000,"Low Gap",Table2[[#This Row],[PAYMENT GAP]]&lt;=100000,"Medium Gap",
TRUE,"High Gap"
)</f>
        <v>Low Gap</v>
      </c>
    </row>
    <row r="1053" spans="1:30" x14ac:dyDescent="0.3">
      <c r="A1053">
        <v>1052</v>
      </c>
      <c r="B1053" s="1">
        <v>270000</v>
      </c>
      <c r="C1053" s="1" t="str" cm="1">
        <f t="array" ref="C1053">_xlfn.IFS(Table2[[#This Row],[LIMIT_BAL]]&lt;=100000,"Low",Table2[[#This Row],[LIMIT_BAL]]&lt;=300000,"Medium",
TRUE,"High"
)</f>
        <v>Medium</v>
      </c>
      <c r="D1053" t="s">
        <v>2041</v>
      </c>
      <c r="E1053" t="s">
        <v>2027</v>
      </c>
      <c r="F1053" t="s">
        <v>2029</v>
      </c>
      <c r="G1053">
        <v>33</v>
      </c>
      <c r="H1053" t="str" cm="1">
        <f t="array" ref="H1053">_xlfn.IFS(
Table2[[#This Row],[AGE]]&lt;30,"Young",
Table2[[#This Row],[AGE]]&lt;40,"Middle Age",
Table2[[#This Row],[AGE]]&lt;50,"Senior",
TRUE,"Super Senior"
)</f>
        <v>Middle Age</v>
      </c>
      <c r="I1053">
        <v>0</v>
      </c>
      <c r="J1053">
        <v>-1</v>
      </c>
      <c r="K1053">
        <v>-1</v>
      </c>
      <c r="L1053">
        <v>-1</v>
      </c>
      <c r="M1053">
        <v>0</v>
      </c>
      <c r="N1053">
        <v>0</v>
      </c>
      <c r="O1053" s="1">
        <v>10000</v>
      </c>
      <c r="P1053" s="1">
        <v>10000</v>
      </c>
      <c r="Q1053" s="1">
        <v>10000</v>
      </c>
      <c r="R1053" s="1">
        <v>123693</v>
      </c>
      <c r="S1053" s="1">
        <v>116843</v>
      </c>
      <c r="T1053" s="1">
        <v>110059</v>
      </c>
      <c r="U1053" s="1">
        <v>10000</v>
      </c>
      <c r="V1053" s="1">
        <v>10000</v>
      </c>
      <c r="W1053" s="1">
        <v>222750</v>
      </c>
      <c r="X1053" s="1">
        <v>5000</v>
      </c>
      <c r="Y1053" s="1">
        <v>5008</v>
      </c>
      <c r="Z1053" s="1">
        <v>5026</v>
      </c>
      <c r="AA1053">
        <v>0</v>
      </c>
      <c r="AB1053" t="str">
        <f t="shared" si="16"/>
        <v>Not Defaulter</v>
      </c>
      <c r="AC1053" s="1">
        <f>Table2[[#This Row],[BILL_AMT1]]-Table2[[#This Row],[PAY_AMT1]]</f>
        <v>0</v>
      </c>
      <c r="AD1053" s="1" t="str" cm="1">
        <f t="array" ref="AD1053">_xlfn.IFS(Table2[[#This Row],[PAYMENT GAP]]&lt;=0,"No Gap / Overpaid",Table2[[#This Row],[PAYMENT GAP]]&lt;=25000,"Low Gap",Table2[[#This Row],[PAYMENT GAP]]&lt;=100000,"Medium Gap",
TRUE,"High Gap"
)</f>
        <v>No Gap / Overpaid</v>
      </c>
    </row>
    <row r="1054" spans="1:30" x14ac:dyDescent="0.3">
      <c r="A1054">
        <v>1053</v>
      </c>
      <c r="B1054" s="1">
        <v>30000</v>
      </c>
      <c r="C1054" s="1" t="str" cm="1">
        <f t="array" ref="C1054">_xlfn.IFS(Table2[[#This Row],[LIMIT_BAL]]&lt;=100000,"Low",Table2[[#This Row],[LIMIT_BAL]]&lt;=300000,"Medium",
TRUE,"High"
)</f>
        <v>Low</v>
      </c>
      <c r="D1054" t="s">
        <v>2042</v>
      </c>
      <c r="E1054" t="s">
        <v>2026</v>
      </c>
      <c r="F1054" t="s">
        <v>2028</v>
      </c>
      <c r="G1054">
        <v>42</v>
      </c>
      <c r="H1054" t="str" cm="1">
        <f t="array" ref="H1054">_xlfn.IFS(
Table2[[#This Row],[AGE]]&lt;30,"Young",
Table2[[#This Row],[AGE]]&lt;40,"Middle Age",
Table2[[#This Row],[AGE]]&lt;50,"Senior",
TRUE,"Super Senior"
)</f>
        <v>Senior</v>
      </c>
      <c r="I1054">
        <v>0</v>
      </c>
      <c r="J1054">
        <v>0</v>
      </c>
      <c r="K1054">
        <v>-1</v>
      </c>
      <c r="L1054">
        <v>-1</v>
      </c>
      <c r="M1054">
        <v>-1</v>
      </c>
      <c r="N1054">
        <v>-1</v>
      </c>
      <c r="O1054" s="1">
        <v>28033</v>
      </c>
      <c r="P1054" s="1">
        <v>17085</v>
      </c>
      <c r="Q1054" s="1">
        <v>200</v>
      </c>
      <c r="R1054" s="1">
        <v>323</v>
      </c>
      <c r="S1054" s="1">
        <v>29525</v>
      </c>
      <c r="T1054" s="1">
        <v>0</v>
      </c>
      <c r="U1054" s="1">
        <v>1525</v>
      </c>
      <c r="V1054" s="1">
        <v>200</v>
      </c>
      <c r="W1054" s="1">
        <v>323</v>
      </c>
      <c r="X1054" s="1">
        <v>29525</v>
      </c>
      <c r="Y1054" s="1">
        <v>0</v>
      </c>
      <c r="Z1054" s="1">
        <v>0</v>
      </c>
      <c r="AA1054">
        <v>0</v>
      </c>
      <c r="AB1054" t="str">
        <f t="shared" si="16"/>
        <v>Not Defaulter</v>
      </c>
      <c r="AC1054" s="1">
        <f>Table2[[#This Row],[BILL_AMT1]]-Table2[[#This Row],[PAY_AMT1]]</f>
        <v>26508</v>
      </c>
      <c r="AD1054" s="1" t="str" cm="1">
        <f t="array" ref="AD1054">_xlfn.IFS(Table2[[#This Row],[PAYMENT GAP]]&lt;=0,"No Gap / Overpaid",Table2[[#This Row],[PAYMENT GAP]]&lt;=25000,"Low Gap",Table2[[#This Row],[PAYMENT GAP]]&lt;=100000,"Medium Gap",
TRUE,"High Gap"
)</f>
        <v>Medium Gap</v>
      </c>
    </row>
    <row r="1055" spans="1:30" x14ac:dyDescent="0.3">
      <c r="A1055">
        <v>1054</v>
      </c>
      <c r="B1055" s="1">
        <v>70000</v>
      </c>
      <c r="C1055" s="1" t="str" cm="1">
        <f t="array" ref="C1055">_xlfn.IFS(Table2[[#This Row],[LIMIT_BAL]]&lt;=100000,"Low",Table2[[#This Row],[LIMIT_BAL]]&lt;=300000,"Medium",
TRUE,"High"
)</f>
        <v>Low</v>
      </c>
      <c r="D1055" t="s">
        <v>2042</v>
      </c>
      <c r="E1055" t="s">
        <v>2027</v>
      </c>
      <c r="F1055" t="s">
        <v>2029</v>
      </c>
      <c r="G1055">
        <v>41</v>
      </c>
      <c r="H1055" t="str" cm="1">
        <f t="array" ref="H1055">_xlfn.IFS(
Table2[[#This Row],[AGE]]&lt;30,"Young",
Table2[[#This Row],[AGE]]&lt;40,"Middle Age",
Table2[[#This Row],[AGE]]&lt;50,"Senior",
TRUE,"Super Senior"
)</f>
        <v>Senior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 s="1">
        <v>70476</v>
      </c>
      <c r="P1055" s="1">
        <v>68539</v>
      </c>
      <c r="Q1055" s="1">
        <v>69520</v>
      </c>
      <c r="R1055" s="1">
        <v>51605</v>
      </c>
      <c r="S1055" s="1">
        <v>50311</v>
      </c>
      <c r="T1055" s="1">
        <v>50729</v>
      </c>
      <c r="U1055" s="1">
        <v>2700</v>
      </c>
      <c r="V1055" s="1">
        <v>3500</v>
      </c>
      <c r="W1055" s="1">
        <v>2000</v>
      </c>
      <c r="X1055" s="1">
        <v>2000</v>
      </c>
      <c r="Y1055" s="1">
        <v>2500</v>
      </c>
      <c r="Z1055" s="1">
        <v>2500</v>
      </c>
      <c r="AA1055">
        <v>0</v>
      </c>
      <c r="AB1055" t="str">
        <f t="shared" si="16"/>
        <v>Not Defaulter</v>
      </c>
      <c r="AC1055" s="1">
        <f>Table2[[#This Row],[BILL_AMT1]]-Table2[[#This Row],[PAY_AMT1]]</f>
        <v>67776</v>
      </c>
      <c r="AD1055" s="1" t="str" cm="1">
        <f t="array" ref="AD1055">_xlfn.IFS(Table2[[#This Row],[PAYMENT GAP]]&lt;=0,"No Gap / Overpaid",Table2[[#This Row],[PAYMENT GAP]]&lt;=25000,"Low Gap",Table2[[#This Row],[PAYMENT GAP]]&lt;=100000,"Medium Gap",
TRUE,"High Gap"
)</f>
        <v>Medium Gap</v>
      </c>
    </row>
    <row r="1056" spans="1:30" x14ac:dyDescent="0.3">
      <c r="A1056">
        <v>1055</v>
      </c>
      <c r="B1056" s="1">
        <v>230000</v>
      </c>
      <c r="C1056" s="1" t="str" cm="1">
        <f t="array" ref="C1056">_xlfn.IFS(Table2[[#This Row],[LIMIT_BAL]]&lt;=100000,"Low",Table2[[#This Row],[LIMIT_BAL]]&lt;=300000,"Medium",
TRUE,"High"
)</f>
        <v>Medium</v>
      </c>
      <c r="D1056" t="s">
        <v>2042</v>
      </c>
      <c r="E1056" t="s">
        <v>2043</v>
      </c>
      <c r="F1056" t="s">
        <v>2028</v>
      </c>
      <c r="G1056">
        <v>53</v>
      </c>
      <c r="H1056" t="str" cm="1">
        <f t="array" ref="H1056">_xlfn.IFS(
Table2[[#This Row],[AGE]]&lt;30,"Young",
Table2[[#This Row],[AGE]]&lt;40,"Middle Age",
Table2[[#This Row],[AGE]]&lt;50,"Senior",
TRUE,"Super Senior"
)</f>
        <v>Super Senior</v>
      </c>
      <c r="I1056">
        <v>2</v>
      </c>
      <c r="J1056">
        <v>2</v>
      </c>
      <c r="K1056">
        <v>-2</v>
      </c>
      <c r="L1056">
        <v>-2</v>
      </c>
      <c r="M1056">
        <v>-2</v>
      </c>
      <c r="N1056">
        <v>-1</v>
      </c>
      <c r="O1056" s="1">
        <v>1350</v>
      </c>
      <c r="P1056" s="1">
        <v>0</v>
      </c>
      <c r="Q1056" s="1">
        <v>0</v>
      </c>
      <c r="R1056" s="1">
        <v>0</v>
      </c>
      <c r="S1056" s="1">
        <v>0</v>
      </c>
      <c r="T1056" s="1">
        <v>470</v>
      </c>
      <c r="U1056" s="1">
        <v>0</v>
      </c>
      <c r="V1056" s="1">
        <v>0</v>
      </c>
      <c r="W1056" s="1">
        <v>0</v>
      </c>
      <c r="X1056" s="1">
        <v>0</v>
      </c>
      <c r="Y1056" s="1">
        <v>470</v>
      </c>
      <c r="Z1056" s="1">
        <v>0</v>
      </c>
      <c r="AA1056">
        <v>0</v>
      </c>
      <c r="AB1056" t="str">
        <f t="shared" si="16"/>
        <v>Not Defaulter</v>
      </c>
      <c r="AC1056" s="1">
        <f>Table2[[#This Row],[BILL_AMT1]]-Table2[[#This Row],[PAY_AMT1]]</f>
        <v>1350</v>
      </c>
      <c r="AD1056" s="1" t="str" cm="1">
        <f t="array" ref="AD1056">_xlfn.IFS(Table2[[#This Row],[PAYMENT GAP]]&lt;=0,"No Gap / Overpaid",Table2[[#This Row],[PAYMENT GAP]]&lt;=25000,"Low Gap",Table2[[#This Row],[PAYMENT GAP]]&lt;=100000,"Medium Gap",
TRUE,"High Gap"
)</f>
        <v>Low Gap</v>
      </c>
    </row>
    <row r="1057" spans="1:30" x14ac:dyDescent="0.3">
      <c r="A1057">
        <v>1056</v>
      </c>
      <c r="B1057" s="1">
        <v>20000</v>
      </c>
      <c r="C1057" s="1" t="str" cm="1">
        <f t="array" ref="C1057">_xlfn.IFS(Table2[[#This Row],[LIMIT_BAL]]&lt;=100000,"Low",Table2[[#This Row],[LIMIT_BAL]]&lt;=300000,"Medium",
TRUE,"High"
)</f>
        <v>Low</v>
      </c>
      <c r="D1057" t="s">
        <v>2042</v>
      </c>
      <c r="E1057" t="s">
        <v>2043</v>
      </c>
      <c r="F1057" t="s">
        <v>2029</v>
      </c>
      <c r="G1057">
        <v>23</v>
      </c>
      <c r="H1057" t="str" cm="1">
        <f t="array" ref="H1057">_xlfn.IFS(
Table2[[#This Row],[AGE]]&lt;30,"Young",
Table2[[#This Row],[AGE]]&lt;40,"Middle Age",
Table2[[#This Row],[AGE]]&lt;50,"Senior",
TRUE,"Super Senior"
)</f>
        <v>Young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 s="1">
        <v>18852</v>
      </c>
      <c r="P1057" s="1">
        <v>16648</v>
      </c>
      <c r="Q1057" s="1">
        <v>19395</v>
      </c>
      <c r="R1057" s="1">
        <v>20271</v>
      </c>
      <c r="S1057" s="1">
        <v>20445</v>
      </c>
      <c r="T1057" s="1">
        <v>17532</v>
      </c>
      <c r="U1057" s="1">
        <v>1500</v>
      </c>
      <c r="V1057" s="1">
        <v>4000</v>
      </c>
      <c r="W1057" s="1">
        <v>2000</v>
      </c>
      <c r="X1057" s="1">
        <v>2000</v>
      </c>
      <c r="Y1057" s="1">
        <v>2900</v>
      </c>
      <c r="Z1057" s="1">
        <v>2735</v>
      </c>
      <c r="AA1057">
        <v>0</v>
      </c>
      <c r="AB1057" t="str">
        <f t="shared" si="16"/>
        <v>Not Defaulter</v>
      </c>
      <c r="AC1057" s="1">
        <f>Table2[[#This Row],[BILL_AMT1]]-Table2[[#This Row],[PAY_AMT1]]</f>
        <v>17352</v>
      </c>
      <c r="AD1057" s="1" t="str" cm="1">
        <f t="array" ref="AD1057">_xlfn.IFS(Table2[[#This Row],[PAYMENT GAP]]&lt;=0,"No Gap / Overpaid",Table2[[#This Row],[PAYMENT GAP]]&lt;=25000,"Low Gap",Table2[[#This Row],[PAYMENT GAP]]&lt;=100000,"Medium Gap",
TRUE,"High Gap"
)</f>
        <v>Low Gap</v>
      </c>
    </row>
    <row r="1058" spans="1:30" x14ac:dyDescent="0.3">
      <c r="A1058">
        <v>1057</v>
      </c>
      <c r="B1058" s="1">
        <v>190000</v>
      </c>
      <c r="C1058" s="1" t="str" cm="1">
        <f t="array" ref="C1058">_xlfn.IFS(Table2[[#This Row],[LIMIT_BAL]]&lt;=100000,"Low",Table2[[#This Row],[LIMIT_BAL]]&lt;=300000,"Medium",
TRUE,"High"
)</f>
        <v>Medium</v>
      </c>
      <c r="D1058" t="s">
        <v>2041</v>
      </c>
      <c r="E1058" t="s">
        <v>2026</v>
      </c>
      <c r="F1058" t="s">
        <v>2029</v>
      </c>
      <c r="G1058">
        <v>33</v>
      </c>
      <c r="H1058" t="str" cm="1">
        <f t="array" ref="H1058">_xlfn.IFS(
Table2[[#This Row],[AGE]]&lt;30,"Young",
Table2[[#This Row],[AGE]]&lt;40,"Middle Age",
Table2[[#This Row],[AGE]]&lt;50,"Senior",
TRUE,"Super Senior"
)</f>
        <v>Middle Age</v>
      </c>
      <c r="I1058">
        <v>1</v>
      </c>
      <c r="J1058">
        <v>2</v>
      </c>
      <c r="K1058">
        <v>0</v>
      </c>
      <c r="L1058">
        <v>0</v>
      </c>
      <c r="M1058">
        <v>0</v>
      </c>
      <c r="N1058">
        <v>0</v>
      </c>
      <c r="O1058" s="1">
        <v>115056</v>
      </c>
      <c r="P1058" s="1">
        <v>108137</v>
      </c>
      <c r="Q1058" s="1">
        <v>89722</v>
      </c>
      <c r="R1058" s="1">
        <v>69861</v>
      </c>
      <c r="S1058" s="1">
        <v>49894</v>
      </c>
      <c r="T1058" s="1">
        <v>49727</v>
      </c>
      <c r="U1058" s="1">
        <v>0</v>
      </c>
      <c r="V1058" s="1">
        <v>4413</v>
      </c>
      <c r="W1058" s="1">
        <v>2942</v>
      </c>
      <c r="X1058" s="1">
        <v>2000</v>
      </c>
      <c r="Y1058" s="1">
        <v>1583</v>
      </c>
      <c r="Z1058" s="1">
        <v>1500</v>
      </c>
      <c r="AA1058">
        <v>0</v>
      </c>
      <c r="AB1058" t="str">
        <f t="shared" si="16"/>
        <v>Not Defaulter</v>
      </c>
      <c r="AC1058" s="1">
        <f>Table2[[#This Row],[BILL_AMT1]]-Table2[[#This Row],[PAY_AMT1]]</f>
        <v>115056</v>
      </c>
      <c r="AD1058" s="1" t="str" cm="1">
        <f t="array" ref="AD1058">_xlfn.IFS(Table2[[#This Row],[PAYMENT GAP]]&lt;=0,"No Gap / Overpaid",Table2[[#This Row],[PAYMENT GAP]]&lt;=25000,"Low Gap",Table2[[#This Row],[PAYMENT GAP]]&lt;=100000,"Medium Gap",
TRUE,"High Gap"
)</f>
        <v>High Gap</v>
      </c>
    </row>
    <row r="1059" spans="1:30" x14ac:dyDescent="0.3">
      <c r="A1059">
        <v>1058</v>
      </c>
      <c r="B1059" s="1">
        <v>20000</v>
      </c>
      <c r="C1059" s="1" t="str" cm="1">
        <f t="array" ref="C1059">_xlfn.IFS(Table2[[#This Row],[LIMIT_BAL]]&lt;=100000,"Low",Table2[[#This Row],[LIMIT_BAL]]&lt;=300000,"Medium",
TRUE,"High"
)</f>
        <v>Low</v>
      </c>
      <c r="D1059" t="s">
        <v>2041</v>
      </c>
      <c r="E1059" t="s">
        <v>2043</v>
      </c>
      <c r="F1059" t="s">
        <v>2028</v>
      </c>
      <c r="G1059">
        <v>29</v>
      </c>
      <c r="H1059" t="str" cm="1">
        <f t="array" ref="H1059">_xlfn.IFS(
Table2[[#This Row],[AGE]]&lt;30,"Young",
Table2[[#This Row],[AGE]]&lt;40,"Middle Age",
Table2[[#This Row],[AGE]]&lt;50,"Senior",
TRUE,"Super Senior"
)</f>
        <v>Young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 s="1">
        <v>15890</v>
      </c>
      <c r="P1059" s="1">
        <v>13995</v>
      </c>
      <c r="Q1059" s="1">
        <v>13375</v>
      </c>
      <c r="R1059" s="1">
        <v>14205</v>
      </c>
      <c r="S1059" s="1">
        <v>15869</v>
      </c>
      <c r="T1059" s="1">
        <v>16666</v>
      </c>
      <c r="U1059" s="1">
        <v>2000</v>
      </c>
      <c r="V1059" s="1">
        <v>2000</v>
      </c>
      <c r="W1059" s="1">
        <v>1000</v>
      </c>
      <c r="X1059" s="1">
        <v>2000</v>
      </c>
      <c r="Y1059" s="1">
        <v>1000</v>
      </c>
      <c r="Z1059" s="1">
        <v>1000</v>
      </c>
      <c r="AA1059">
        <v>0</v>
      </c>
      <c r="AB1059" t="str">
        <f t="shared" si="16"/>
        <v>Not Defaulter</v>
      </c>
      <c r="AC1059" s="1">
        <f>Table2[[#This Row],[BILL_AMT1]]-Table2[[#This Row],[PAY_AMT1]]</f>
        <v>13890</v>
      </c>
      <c r="AD1059" s="1" t="str" cm="1">
        <f t="array" ref="AD1059">_xlfn.IFS(Table2[[#This Row],[PAYMENT GAP]]&lt;=0,"No Gap / Overpaid",Table2[[#This Row],[PAYMENT GAP]]&lt;=25000,"Low Gap",Table2[[#This Row],[PAYMENT GAP]]&lt;=100000,"Medium Gap",
TRUE,"High Gap"
)</f>
        <v>Low Gap</v>
      </c>
    </row>
    <row r="1060" spans="1:30" x14ac:dyDescent="0.3">
      <c r="A1060">
        <v>1059</v>
      </c>
      <c r="B1060" s="1">
        <v>80000</v>
      </c>
      <c r="C1060" s="1" t="str" cm="1">
        <f t="array" ref="C1060">_xlfn.IFS(Table2[[#This Row],[LIMIT_BAL]]&lt;=100000,"Low",Table2[[#This Row],[LIMIT_BAL]]&lt;=300000,"Medium",
TRUE,"High"
)</f>
        <v>Low</v>
      </c>
      <c r="D1060" t="s">
        <v>2041</v>
      </c>
      <c r="E1060" t="s">
        <v>2027</v>
      </c>
      <c r="F1060" t="s">
        <v>2028</v>
      </c>
      <c r="G1060">
        <v>67</v>
      </c>
      <c r="H1060" t="str" cm="1">
        <f t="array" ref="H1060">_xlfn.IFS(
Table2[[#This Row],[AGE]]&lt;30,"Young",
Table2[[#This Row],[AGE]]&lt;40,"Middle Age",
Table2[[#This Row],[AGE]]&lt;50,"Senior",
TRUE,"Super Senior"
)</f>
        <v>Super Senior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-1</v>
      </c>
      <c r="O1060" s="1">
        <v>20255</v>
      </c>
      <c r="P1060" s="1">
        <v>18885</v>
      </c>
      <c r="Q1060" s="1">
        <v>21529</v>
      </c>
      <c r="R1060" s="1">
        <v>29236</v>
      </c>
      <c r="S1060" s="1">
        <v>10662</v>
      </c>
      <c r="T1060" s="1">
        <v>2408</v>
      </c>
      <c r="U1060" s="1">
        <v>6000</v>
      </c>
      <c r="V1060" s="1">
        <v>5002</v>
      </c>
      <c r="W1060" s="1">
        <v>10662</v>
      </c>
      <c r="X1060" s="1">
        <v>2</v>
      </c>
      <c r="Y1060" s="1">
        <v>2408</v>
      </c>
      <c r="Z1060" s="1">
        <v>11662</v>
      </c>
      <c r="AA1060">
        <v>0</v>
      </c>
      <c r="AB1060" t="str">
        <f t="shared" si="16"/>
        <v>Not Defaulter</v>
      </c>
      <c r="AC1060" s="1">
        <f>Table2[[#This Row],[BILL_AMT1]]-Table2[[#This Row],[PAY_AMT1]]</f>
        <v>14255</v>
      </c>
      <c r="AD1060" s="1" t="str" cm="1">
        <f t="array" ref="AD1060">_xlfn.IFS(Table2[[#This Row],[PAYMENT GAP]]&lt;=0,"No Gap / Overpaid",Table2[[#This Row],[PAYMENT GAP]]&lt;=25000,"Low Gap",Table2[[#This Row],[PAYMENT GAP]]&lt;=100000,"Medium Gap",
TRUE,"High Gap"
)</f>
        <v>Low Gap</v>
      </c>
    </row>
    <row r="1061" spans="1:30" x14ac:dyDescent="0.3">
      <c r="A1061">
        <v>1060</v>
      </c>
      <c r="B1061" s="1">
        <v>20000</v>
      </c>
      <c r="C1061" s="1" t="str" cm="1">
        <f t="array" ref="C1061">_xlfn.IFS(Table2[[#This Row],[LIMIT_BAL]]&lt;=100000,"Low",Table2[[#This Row],[LIMIT_BAL]]&lt;=300000,"Medium",
TRUE,"High"
)</f>
        <v>Low</v>
      </c>
      <c r="D1061" t="s">
        <v>2042</v>
      </c>
      <c r="E1061" t="s">
        <v>2027</v>
      </c>
      <c r="F1061" t="s">
        <v>2028</v>
      </c>
      <c r="G1061">
        <v>33</v>
      </c>
      <c r="H1061" t="str" cm="1">
        <f t="array" ref="H1061">_xlfn.IFS(
Table2[[#This Row],[AGE]]&lt;30,"Young",
Table2[[#This Row],[AGE]]&lt;40,"Middle Age",
Table2[[#This Row],[AGE]]&lt;50,"Senior",
TRUE,"Super Senior"
)</f>
        <v>Middle Age</v>
      </c>
      <c r="I1061">
        <v>2</v>
      </c>
      <c r="J1061">
        <v>0</v>
      </c>
      <c r="K1061">
        <v>0</v>
      </c>
      <c r="L1061">
        <v>0</v>
      </c>
      <c r="M1061">
        <v>0</v>
      </c>
      <c r="N1061">
        <v>-2</v>
      </c>
      <c r="O1061" s="1">
        <v>20500</v>
      </c>
      <c r="P1061" s="1">
        <v>16237</v>
      </c>
      <c r="Q1061" s="1">
        <v>20960</v>
      </c>
      <c r="R1061" s="1">
        <v>6914</v>
      </c>
      <c r="S1061" s="1">
        <v>1017</v>
      </c>
      <c r="T1061" s="1">
        <v>780</v>
      </c>
      <c r="U1061" s="1">
        <v>2191</v>
      </c>
      <c r="V1061" s="1">
        <v>1000</v>
      </c>
      <c r="W1061" s="1">
        <v>0</v>
      </c>
      <c r="X1061" s="1">
        <v>1017</v>
      </c>
      <c r="Y1061" s="1">
        <v>780</v>
      </c>
      <c r="Z1061" s="1">
        <v>6380</v>
      </c>
      <c r="AA1061">
        <v>1</v>
      </c>
      <c r="AB1061" t="str">
        <f t="shared" si="16"/>
        <v>Defaulter</v>
      </c>
      <c r="AC1061" s="1">
        <f>Table2[[#This Row],[BILL_AMT1]]-Table2[[#This Row],[PAY_AMT1]]</f>
        <v>18309</v>
      </c>
      <c r="AD1061" s="1" t="str" cm="1">
        <f t="array" ref="AD1061">_xlfn.IFS(Table2[[#This Row],[PAYMENT GAP]]&lt;=0,"No Gap / Overpaid",Table2[[#This Row],[PAYMENT GAP]]&lt;=25000,"Low Gap",Table2[[#This Row],[PAYMENT GAP]]&lt;=100000,"Medium Gap",
TRUE,"High Gap"
)</f>
        <v>Low Gap</v>
      </c>
    </row>
    <row r="1062" spans="1:30" x14ac:dyDescent="0.3">
      <c r="A1062">
        <v>1061</v>
      </c>
      <c r="B1062" s="1">
        <v>60000</v>
      </c>
      <c r="C1062" s="1" t="str" cm="1">
        <f t="array" ref="C1062">_xlfn.IFS(Table2[[#This Row],[LIMIT_BAL]]&lt;=100000,"Low",Table2[[#This Row],[LIMIT_BAL]]&lt;=300000,"Medium",
TRUE,"High"
)</f>
        <v>Low</v>
      </c>
      <c r="D1062" t="s">
        <v>2041</v>
      </c>
      <c r="E1062" t="s">
        <v>2027</v>
      </c>
      <c r="F1062" t="s">
        <v>2028</v>
      </c>
      <c r="G1062">
        <v>34</v>
      </c>
      <c r="H1062" t="str" cm="1">
        <f t="array" ref="H1062">_xlfn.IFS(
Table2[[#This Row],[AGE]]&lt;30,"Young",
Table2[[#This Row],[AGE]]&lt;40,"Middle Age",
Table2[[#This Row],[AGE]]&lt;50,"Senior",
TRUE,"Super Senior"
)</f>
        <v>Middle Age</v>
      </c>
      <c r="I1062">
        <v>0</v>
      </c>
      <c r="J1062">
        <v>0</v>
      </c>
      <c r="K1062">
        <v>0</v>
      </c>
      <c r="L1062">
        <v>2</v>
      </c>
      <c r="M1062">
        <v>0</v>
      </c>
      <c r="N1062">
        <v>0</v>
      </c>
      <c r="O1062" s="1">
        <v>9928</v>
      </c>
      <c r="P1062" s="1">
        <v>11261</v>
      </c>
      <c r="Q1062" s="1">
        <v>12853</v>
      </c>
      <c r="R1062" s="1">
        <v>12352</v>
      </c>
      <c r="S1062" s="1">
        <v>12703</v>
      </c>
      <c r="T1062" s="1">
        <v>13338</v>
      </c>
      <c r="U1062" s="1">
        <v>1500</v>
      </c>
      <c r="V1062" s="1">
        <v>2090</v>
      </c>
      <c r="W1062" s="1">
        <v>0</v>
      </c>
      <c r="X1062" s="1">
        <v>700</v>
      </c>
      <c r="Y1062" s="1">
        <v>1000</v>
      </c>
      <c r="Z1062" s="1">
        <v>1400</v>
      </c>
      <c r="AA1062">
        <v>1</v>
      </c>
      <c r="AB1062" t="str">
        <f t="shared" si="16"/>
        <v>Defaulter</v>
      </c>
      <c r="AC1062" s="1">
        <f>Table2[[#This Row],[BILL_AMT1]]-Table2[[#This Row],[PAY_AMT1]]</f>
        <v>8428</v>
      </c>
      <c r="AD1062" s="1" t="str" cm="1">
        <f t="array" ref="AD1062">_xlfn.IFS(Table2[[#This Row],[PAYMENT GAP]]&lt;=0,"No Gap / Overpaid",Table2[[#This Row],[PAYMENT GAP]]&lt;=25000,"Low Gap",Table2[[#This Row],[PAYMENT GAP]]&lt;=100000,"Medium Gap",
TRUE,"High Gap"
)</f>
        <v>Low Gap</v>
      </c>
    </row>
    <row r="1063" spans="1:30" x14ac:dyDescent="0.3">
      <c r="A1063">
        <v>1062</v>
      </c>
      <c r="B1063" s="1">
        <v>50000</v>
      </c>
      <c r="C1063" s="1" t="str" cm="1">
        <f t="array" ref="C1063">_xlfn.IFS(Table2[[#This Row],[LIMIT_BAL]]&lt;=100000,"Low",Table2[[#This Row],[LIMIT_BAL]]&lt;=300000,"Medium",
TRUE,"High"
)</f>
        <v>Low</v>
      </c>
      <c r="D1063" t="s">
        <v>2042</v>
      </c>
      <c r="E1063" t="s">
        <v>2043</v>
      </c>
      <c r="F1063" t="s">
        <v>2028</v>
      </c>
      <c r="G1063">
        <v>49</v>
      </c>
      <c r="H1063" t="str" cm="1">
        <f t="array" ref="H1063">_xlfn.IFS(
Table2[[#This Row],[AGE]]&lt;30,"Young",
Table2[[#This Row],[AGE]]&lt;40,"Middle Age",
Table2[[#This Row],[AGE]]&lt;50,"Senior",
TRUE,"Super Senior"
)</f>
        <v>Senior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 s="1">
        <v>10750</v>
      </c>
      <c r="P1063" s="1">
        <v>8755</v>
      </c>
      <c r="Q1063" s="1">
        <v>8684</v>
      </c>
      <c r="R1063" s="1">
        <v>5983</v>
      </c>
      <c r="S1063" s="1">
        <v>4252</v>
      </c>
      <c r="T1063" s="1">
        <v>5034</v>
      </c>
      <c r="U1063" s="1">
        <v>1507</v>
      </c>
      <c r="V1063" s="1">
        <v>3109</v>
      </c>
      <c r="W1063" s="1">
        <v>2209</v>
      </c>
      <c r="X1063" s="1">
        <v>2000</v>
      </c>
      <c r="Y1063" s="1">
        <v>2500</v>
      </c>
      <c r="Z1063" s="1">
        <v>3000</v>
      </c>
      <c r="AA1063">
        <v>0</v>
      </c>
      <c r="AB1063" t="str">
        <f t="shared" si="16"/>
        <v>Not Defaulter</v>
      </c>
      <c r="AC1063" s="1">
        <f>Table2[[#This Row],[BILL_AMT1]]-Table2[[#This Row],[PAY_AMT1]]</f>
        <v>9243</v>
      </c>
      <c r="AD1063" s="1" t="str" cm="1">
        <f t="array" ref="AD1063">_xlfn.IFS(Table2[[#This Row],[PAYMENT GAP]]&lt;=0,"No Gap / Overpaid",Table2[[#This Row],[PAYMENT GAP]]&lt;=25000,"Low Gap",Table2[[#This Row],[PAYMENT GAP]]&lt;=100000,"Medium Gap",
TRUE,"High Gap"
)</f>
        <v>Low Gap</v>
      </c>
    </row>
    <row r="1064" spans="1:30" x14ac:dyDescent="0.3">
      <c r="A1064">
        <v>1063</v>
      </c>
      <c r="B1064" s="1">
        <v>280000</v>
      </c>
      <c r="C1064" s="1" t="str" cm="1">
        <f t="array" ref="C1064">_xlfn.IFS(Table2[[#This Row],[LIMIT_BAL]]&lt;=100000,"Low",Table2[[#This Row],[LIMIT_BAL]]&lt;=300000,"Medium",
TRUE,"High"
)</f>
        <v>Medium</v>
      </c>
      <c r="D1064" t="s">
        <v>2041</v>
      </c>
      <c r="E1064" t="s">
        <v>2043</v>
      </c>
      <c r="F1064" t="s">
        <v>2028</v>
      </c>
      <c r="G1064">
        <v>56</v>
      </c>
      <c r="H1064" t="str" cm="1">
        <f t="array" ref="H1064">_xlfn.IFS(
Table2[[#This Row],[AGE]]&lt;30,"Young",
Table2[[#This Row],[AGE]]&lt;40,"Middle Age",
Table2[[#This Row],[AGE]]&lt;50,"Senior",
TRUE,"Super Senior"
)</f>
        <v>Super Senior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 s="1">
        <v>284204</v>
      </c>
      <c r="P1064" s="1">
        <v>284041</v>
      </c>
      <c r="Q1064" s="1">
        <v>283396</v>
      </c>
      <c r="R1064" s="1">
        <v>213294</v>
      </c>
      <c r="S1064" s="1">
        <v>213384</v>
      </c>
      <c r="T1064" s="1">
        <v>213604</v>
      </c>
      <c r="U1064" s="1">
        <v>10261</v>
      </c>
      <c r="V1064" s="1">
        <v>17003</v>
      </c>
      <c r="W1064" s="1">
        <v>7657</v>
      </c>
      <c r="X1064" s="1">
        <v>7750</v>
      </c>
      <c r="Y1064" s="1">
        <v>7861</v>
      </c>
      <c r="Z1064" s="1">
        <v>8083</v>
      </c>
      <c r="AA1064">
        <v>1</v>
      </c>
      <c r="AB1064" t="str">
        <f t="shared" si="16"/>
        <v>Defaulter</v>
      </c>
      <c r="AC1064" s="1">
        <f>Table2[[#This Row],[BILL_AMT1]]-Table2[[#This Row],[PAY_AMT1]]</f>
        <v>273943</v>
      </c>
      <c r="AD1064" s="1" t="str" cm="1">
        <f t="array" ref="AD1064">_xlfn.IFS(Table2[[#This Row],[PAYMENT GAP]]&lt;=0,"No Gap / Overpaid",Table2[[#This Row],[PAYMENT GAP]]&lt;=25000,"Low Gap",Table2[[#This Row],[PAYMENT GAP]]&lt;=100000,"Medium Gap",
TRUE,"High Gap"
)</f>
        <v>High Gap</v>
      </c>
    </row>
    <row r="1065" spans="1:30" x14ac:dyDescent="0.3">
      <c r="A1065">
        <v>1064</v>
      </c>
      <c r="B1065" s="1">
        <v>300000</v>
      </c>
      <c r="C1065" s="1" t="str" cm="1">
        <f t="array" ref="C1065">_xlfn.IFS(Table2[[#This Row],[LIMIT_BAL]]&lt;=100000,"Low",Table2[[#This Row],[LIMIT_BAL]]&lt;=300000,"Medium",
TRUE,"High"
)</f>
        <v>Medium</v>
      </c>
      <c r="D1065" t="s">
        <v>2042</v>
      </c>
      <c r="E1065" t="s">
        <v>2026</v>
      </c>
      <c r="F1065" t="s">
        <v>2028</v>
      </c>
      <c r="G1065">
        <v>42</v>
      </c>
      <c r="H1065" t="str" cm="1">
        <f t="array" ref="H1065">_xlfn.IFS(
Table2[[#This Row],[AGE]]&lt;30,"Young",
Table2[[#This Row],[AGE]]&lt;40,"Middle Age",
Table2[[#This Row],[AGE]]&lt;50,"Senior",
TRUE,"Super Senior"
)</f>
        <v>Senior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 s="1">
        <v>120151</v>
      </c>
      <c r="P1065" s="1">
        <v>89618</v>
      </c>
      <c r="Q1065" s="1">
        <v>47857</v>
      </c>
      <c r="R1065" s="1">
        <v>48128</v>
      </c>
      <c r="S1065" s="1">
        <v>50332</v>
      </c>
      <c r="T1065" s="1">
        <v>23688</v>
      </c>
      <c r="U1065" s="1">
        <v>4229</v>
      </c>
      <c r="V1065" s="1">
        <v>5024</v>
      </c>
      <c r="W1065" s="1">
        <v>6012</v>
      </c>
      <c r="X1065" s="1">
        <v>5191</v>
      </c>
      <c r="Y1065" s="1">
        <v>12139</v>
      </c>
      <c r="Z1065" s="1">
        <v>110247</v>
      </c>
      <c r="AA1065">
        <v>0</v>
      </c>
      <c r="AB1065" t="str">
        <f t="shared" si="16"/>
        <v>Not Defaulter</v>
      </c>
      <c r="AC1065" s="1">
        <f>Table2[[#This Row],[BILL_AMT1]]-Table2[[#This Row],[PAY_AMT1]]</f>
        <v>115922</v>
      </c>
      <c r="AD1065" s="1" t="str" cm="1">
        <f t="array" ref="AD1065">_xlfn.IFS(Table2[[#This Row],[PAYMENT GAP]]&lt;=0,"No Gap / Overpaid",Table2[[#This Row],[PAYMENT GAP]]&lt;=25000,"Low Gap",Table2[[#This Row],[PAYMENT GAP]]&lt;=100000,"Medium Gap",
TRUE,"High Gap"
)</f>
        <v>High Gap</v>
      </c>
    </row>
    <row r="1066" spans="1:30" x14ac:dyDescent="0.3">
      <c r="A1066">
        <v>1065</v>
      </c>
      <c r="B1066" s="1">
        <v>30000</v>
      </c>
      <c r="C1066" s="1" t="str" cm="1">
        <f t="array" ref="C1066">_xlfn.IFS(Table2[[#This Row],[LIMIT_BAL]]&lt;=100000,"Low",Table2[[#This Row],[LIMIT_BAL]]&lt;=300000,"Medium",
TRUE,"High"
)</f>
        <v>Low</v>
      </c>
      <c r="D1066" t="s">
        <v>2041</v>
      </c>
      <c r="E1066" t="s">
        <v>2027</v>
      </c>
      <c r="F1066" t="s">
        <v>2028</v>
      </c>
      <c r="G1066">
        <v>55</v>
      </c>
      <c r="H1066" t="str" cm="1">
        <f t="array" ref="H1066">_xlfn.IFS(
Table2[[#This Row],[AGE]]&lt;30,"Young",
Table2[[#This Row],[AGE]]&lt;40,"Middle Age",
Table2[[#This Row],[AGE]]&lt;50,"Senior",
TRUE,"Super Senior"
)</f>
        <v>Super Senior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 s="1">
        <v>29278</v>
      </c>
      <c r="P1066" s="1">
        <v>30393</v>
      </c>
      <c r="Q1066" s="1">
        <v>29785</v>
      </c>
      <c r="R1066" s="1">
        <v>30377</v>
      </c>
      <c r="S1066" s="1">
        <v>30155</v>
      </c>
      <c r="T1066" s="1">
        <v>31098</v>
      </c>
      <c r="U1066" s="1">
        <v>1600</v>
      </c>
      <c r="V1066" s="1">
        <v>1585</v>
      </c>
      <c r="W1066" s="1">
        <v>1377</v>
      </c>
      <c r="X1066" s="1">
        <v>1155</v>
      </c>
      <c r="Y1066" s="1">
        <v>2600</v>
      </c>
      <c r="Z1066" s="1">
        <v>0</v>
      </c>
      <c r="AA1066">
        <v>1</v>
      </c>
      <c r="AB1066" t="str">
        <f t="shared" si="16"/>
        <v>Defaulter</v>
      </c>
      <c r="AC1066" s="1">
        <f>Table2[[#This Row],[BILL_AMT1]]-Table2[[#This Row],[PAY_AMT1]]</f>
        <v>27678</v>
      </c>
      <c r="AD1066" s="1" t="str" cm="1">
        <f t="array" ref="AD1066">_xlfn.IFS(Table2[[#This Row],[PAYMENT GAP]]&lt;=0,"No Gap / Overpaid",Table2[[#This Row],[PAYMENT GAP]]&lt;=25000,"Low Gap",Table2[[#This Row],[PAYMENT GAP]]&lt;=100000,"Medium Gap",
TRUE,"High Gap"
)</f>
        <v>Medium Gap</v>
      </c>
    </row>
    <row r="1067" spans="1:30" x14ac:dyDescent="0.3">
      <c r="A1067">
        <v>1066</v>
      </c>
      <c r="B1067" s="1">
        <v>270000</v>
      </c>
      <c r="C1067" s="1" t="str" cm="1">
        <f t="array" ref="C1067">_xlfn.IFS(Table2[[#This Row],[LIMIT_BAL]]&lt;=100000,"Low",Table2[[#This Row],[LIMIT_BAL]]&lt;=300000,"Medium",
TRUE,"High"
)</f>
        <v>Medium</v>
      </c>
      <c r="D1067" t="s">
        <v>2041</v>
      </c>
      <c r="E1067" t="s">
        <v>2043</v>
      </c>
      <c r="F1067" t="s">
        <v>2028</v>
      </c>
      <c r="G1067">
        <v>25</v>
      </c>
      <c r="H1067" t="str" cm="1">
        <f t="array" ref="H1067">_xlfn.IFS(
Table2[[#This Row],[AGE]]&lt;30,"Young",
Table2[[#This Row],[AGE]]&lt;40,"Middle Age",
Table2[[#This Row],[AGE]]&lt;50,"Senior",
TRUE,"Super Senior"
)</f>
        <v>Young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 s="1">
        <v>21586</v>
      </c>
      <c r="P1067" s="1">
        <v>239499</v>
      </c>
      <c r="Q1067" s="1">
        <v>203867</v>
      </c>
      <c r="R1067" s="1">
        <v>188064</v>
      </c>
      <c r="S1067" s="1">
        <v>147915</v>
      </c>
      <c r="T1067" s="1">
        <v>139976</v>
      </c>
      <c r="U1067" s="1">
        <v>239104</v>
      </c>
      <c r="V1067" s="1">
        <v>7098</v>
      </c>
      <c r="W1067" s="1">
        <v>6179</v>
      </c>
      <c r="X1067" s="1">
        <v>5023</v>
      </c>
      <c r="Y1067" s="1">
        <v>6090</v>
      </c>
      <c r="Z1067" s="1">
        <v>4000</v>
      </c>
      <c r="AA1067">
        <v>0</v>
      </c>
      <c r="AB1067" t="str">
        <f t="shared" si="16"/>
        <v>Not Defaulter</v>
      </c>
      <c r="AC1067" s="1">
        <f>Table2[[#This Row],[BILL_AMT1]]-Table2[[#This Row],[PAY_AMT1]]</f>
        <v>-217518</v>
      </c>
      <c r="AD1067" s="1" t="str" cm="1">
        <f t="array" ref="AD1067">_xlfn.IFS(Table2[[#This Row],[PAYMENT GAP]]&lt;=0,"No Gap / Overpaid",Table2[[#This Row],[PAYMENT GAP]]&lt;=25000,"Low Gap",Table2[[#This Row],[PAYMENT GAP]]&lt;=100000,"Medium Gap",
TRUE,"High Gap"
)</f>
        <v>No Gap / Overpaid</v>
      </c>
    </row>
    <row r="1068" spans="1:30" x14ac:dyDescent="0.3">
      <c r="A1068">
        <v>1067</v>
      </c>
      <c r="B1068" s="1">
        <v>100000</v>
      </c>
      <c r="C1068" s="1" t="str" cm="1">
        <f t="array" ref="C1068">_xlfn.IFS(Table2[[#This Row],[LIMIT_BAL]]&lt;=100000,"Low",Table2[[#This Row],[LIMIT_BAL]]&lt;=300000,"Medium",
TRUE,"High"
)</f>
        <v>Low</v>
      </c>
      <c r="D1068" t="s">
        <v>2042</v>
      </c>
      <c r="E1068" t="s">
        <v>2027</v>
      </c>
      <c r="F1068" t="s">
        <v>2029</v>
      </c>
      <c r="G1068">
        <v>30</v>
      </c>
      <c r="H1068" t="str" cm="1">
        <f t="array" ref="H1068">_xlfn.IFS(
Table2[[#This Row],[AGE]]&lt;30,"Young",
Table2[[#This Row],[AGE]]&lt;40,"Middle Age",
Table2[[#This Row],[AGE]]&lt;50,"Senior",
TRUE,"Super Senior"
)</f>
        <v>Middle Age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 s="1">
        <v>87579</v>
      </c>
      <c r="P1068" s="1">
        <v>72308</v>
      </c>
      <c r="Q1068" s="1">
        <v>53505</v>
      </c>
      <c r="R1068" s="1">
        <v>43371</v>
      </c>
      <c r="S1068" s="1">
        <v>48125</v>
      </c>
      <c r="T1068" s="1">
        <v>40388</v>
      </c>
      <c r="U1068" s="1">
        <v>4172</v>
      </c>
      <c r="V1068" s="1">
        <v>2094</v>
      </c>
      <c r="W1068" s="1">
        <v>3007</v>
      </c>
      <c r="X1068" s="1">
        <v>10021</v>
      </c>
      <c r="Y1068" s="1">
        <v>3012</v>
      </c>
      <c r="Z1068" s="1">
        <v>1527</v>
      </c>
      <c r="AA1068">
        <v>0</v>
      </c>
      <c r="AB1068" t="str">
        <f t="shared" si="16"/>
        <v>Not Defaulter</v>
      </c>
      <c r="AC1068" s="1">
        <f>Table2[[#This Row],[BILL_AMT1]]-Table2[[#This Row],[PAY_AMT1]]</f>
        <v>83407</v>
      </c>
      <c r="AD1068" s="1" t="str" cm="1">
        <f t="array" ref="AD1068">_xlfn.IFS(Table2[[#This Row],[PAYMENT GAP]]&lt;=0,"No Gap / Overpaid",Table2[[#This Row],[PAYMENT GAP]]&lt;=25000,"Low Gap",Table2[[#This Row],[PAYMENT GAP]]&lt;=100000,"Medium Gap",
TRUE,"High Gap"
)</f>
        <v>Medium Gap</v>
      </c>
    </row>
    <row r="1069" spans="1:30" x14ac:dyDescent="0.3">
      <c r="A1069">
        <v>1068</v>
      </c>
      <c r="B1069" s="1">
        <v>240000</v>
      </c>
      <c r="C1069" s="1" t="str" cm="1">
        <f t="array" ref="C1069">_xlfn.IFS(Table2[[#This Row],[LIMIT_BAL]]&lt;=100000,"Low",Table2[[#This Row],[LIMIT_BAL]]&lt;=300000,"Medium",
TRUE,"High"
)</f>
        <v>Medium</v>
      </c>
      <c r="D1069" t="s">
        <v>2042</v>
      </c>
      <c r="E1069" t="s">
        <v>2043</v>
      </c>
      <c r="F1069" t="s">
        <v>2029</v>
      </c>
      <c r="G1069">
        <v>43</v>
      </c>
      <c r="H1069" t="str" cm="1">
        <f t="array" ref="H1069">_xlfn.IFS(
Table2[[#This Row],[AGE]]&lt;30,"Young",
Table2[[#This Row],[AGE]]&lt;40,"Middle Age",
Table2[[#This Row],[AGE]]&lt;50,"Senior",
TRUE,"Super Senior"
)</f>
        <v>Senior</v>
      </c>
      <c r="I1069">
        <v>-1</v>
      </c>
      <c r="J1069">
        <v>-1</v>
      </c>
      <c r="K1069">
        <v>-1</v>
      </c>
      <c r="L1069">
        <v>-1</v>
      </c>
      <c r="M1069">
        <v>-1</v>
      </c>
      <c r="N1069">
        <v>-1</v>
      </c>
      <c r="O1069" s="1">
        <v>291</v>
      </c>
      <c r="P1069" s="1">
        <v>291</v>
      </c>
      <c r="Q1069" s="1">
        <v>291</v>
      </c>
      <c r="R1069" s="1">
        <v>291</v>
      </c>
      <c r="S1069" s="1">
        <v>291</v>
      </c>
      <c r="T1069" s="1">
        <v>291</v>
      </c>
      <c r="U1069" s="1">
        <v>291</v>
      </c>
      <c r="V1069" s="1">
        <v>291</v>
      </c>
      <c r="W1069" s="1">
        <v>291</v>
      </c>
      <c r="X1069" s="1">
        <v>291</v>
      </c>
      <c r="Y1069" s="1">
        <v>291</v>
      </c>
      <c r="Z1069" s="1">
        <v>291</v>
      </c>
      <c r="AA1069">
        <v>1</v>
      </c>
      <c r="AB1069" t="str">
        <f t="shared" si="16"/>
        <v>Defaulter</v>
      </c>
      <c r="AC1069" s="1">
        <f>Table2[[#This Row],[BILL_AMT1]]-Table2[[#This Row],[PAY_AMT1]]</f>
        <v>0</v>
      </c>
      <c r="AD1069" s="1" t="str" cm="1">
        <f t="array" ref="AD1069">_xlfn.IFS(Table2[[#This Row],[PAYMENT GAP]]&lt;=0,"No Gap / Overpaid",Table2[[#This Row],[PAYMENT GAP]]&lt;=25000,"Low Gap",Table2[[#This Row],[PAYMENT GAP]]&lt;=100000,"Medium Gap",
TRUE,"High Gap"
)</f>
        <v>No Gap / Overpaid</v>
      </c>
    </row>
    <row r="1070" spans="1:30" x14ac:dyDescent="0.3">
      <c r="A1070">
        <v>1069</v>
      </c>
      <c r="B1070" s="1">
        <v>200000</v>
      </c>
      <c r="C1070" s="1" t="str" cm="1">
        <f t="array" ref="C1070">_xlfn.IFS(Table2[[#This Row],[LIMIT_BAL]]&lt;=100000,"Low",Table2[[#This Row],[LIMIT_BAL]]&lt;=300000,"Medium",
TRUE,"High"
)</f>
        <v>Medium</v>
      </c>
      <c r="D1070" t="s">
        <v>2042</v>
      </c>
      <c r="E1070" t="s">
        <v>2026</v>
      </c>
      <c r="F1070" t="s">
        <v>2029</v>
      </c>
      <c r="G1070">
        <v>40</v>
      </c>
      <c r="H1070" t="str" cm="1">
        <f t="array" ref="H1070">_xlfn.IFS(
Table2[[#This Row],[AGE]]&lt;30,"Young",
Table2[[#This Row],[AGE]]&lt;40,"Middle Age",
Table2[[#This Row],[AGE]]&lt;50,"Senior",
TRUE,"Super Senior"
)</f>
        <v>Senior</v>
      </c>
      <c r="I1070">
        <v>-1</v>
      </c>
      <c r="J1070">
        <v>-1</v>
      </c>
      <c r="K1070">
        <v>-1</v>
      </c>
      <c r="L1070">
        <v>-1</v>
      </c>
      <c r="M1070">
        <v>-1</v>
      </c>
      <c r="N1070">
        <v>-1</v>
      </c>
      <c r="O1070" s="1">
        <v>2159</v>
      </c>
      <c r="P1070" s="1">
        <v>760</v>
      </c>
      <c r="Q1070" s="1">
        <v>2775</v>
      </c>
      <c r="R1070" s="1">
        <v>22813</v>
      </c>
      <c r="S1070" s="1">
        <v>10526</v>
      </c>
      <c r="T1070" s="1">
        <v>326</v>
      </c>
      <c r="U1070" s="1">
        <v>1086</v>
      </c>
      <c r="V1070" s="1">
        <v>2775</v>
      </c>
      <c r="W1070" s="1">
        <v>22813</v>
      </c>
      <c r="X1070" s="1">
        <v>10526</v>
      </c>
      <c r="Y1070" s="1">
        <v>326</v>
      </c>
      <c r="Z1070" s="1">
        <v>573</v>
      </c>
      <c r="AA1070">
        <v>0</v>
      </c>
      <c r="AB1070" t="str">
        <f t="shared" si="16"/>
        <v>Not Defaulter</v>
      </c>
      <c r="AC1070" s="1">
        <f>Table2[[#This Row],[BILL_AMT1]]-Table2[[#This Row],[PAY_AMT1]]</f>
        <v>1073</v>
      </c>
      <c r="AD1070" s="1" t="str" cm="1">
        <f t="array" ref="AD1070">_xlfn.IFS(Table2[[#This Row],[PAYMENT GAP]]&lt;=0,"No Gap / Overpaid",Table2[[#This Row],[PAYMENT GAP]]&lt;=25000,"Low Gap",Table2[[#This Row],[PAYMENT GAP]]&lt;=100000,"Medium Gap",
TRUE,"High Gap"
)</f>
        <v>Low Gap</v>
      </c>
    </row>
    <row r="1071" spans="1:30" x14ac:dyDescent="0.3">
      <c r="A1071">
        <v>1070</v>
      </c>
      <c r="B1071" s="1">
        <v>110000</v>
      </c>
      <c r="C1071" s="1" t="str" cm="1">
        <f t="array" ref="C1071">_xlfn.IFS(Table2[[#This Row],[LIMIT_BAL]]&lt;=100000,"Low",Table2[[#This Row],[LIMIT_BAL]]&lt;=300000,"Medium",
TRUE,"High"
)</f>
        <v>Medium</v>
      </c>
      <c r="D1071" t="s">
        <v>2041</v>
      </c>
      <c r="E1071" t="s">
        <v>2026</v>
      </c>
      <c r="F1071" t="s">
        <v>2029</v>
      </c>
      <c r="G1071">
        <v>35</v>
      </c>
      <c r="H1071" t="str" cm="1">
        <f t="array" ref="H1071">_xlfn.IFS(
Table2[[#This Row],[AGE]]&lt;30,"Young",
Table2[[#This Row],[AGE]]&lt;40,"Middle Age",
Table2[[#This Row],[AGE]]&lt;50,"Senior",
TRUE,"Super Senior"
)</f>
        <v>Middle Age</v>
      </c>
      <c r="I1071">
        <v>0</v>
      </c>
      <c r="J1071">
        <v>0</v>
      </c>
      <c r="K1071">
        <v>2</v>
      </c>
      <c r="L1071">
        <v>2</v>
      </c>
      <c r="M1071">
        <v>0</v>
      </c>
      <c r="N1071">
        <v>0</v>
      </c>
      <c r="O1071" s="1">
        <v>32691</v>
      </c>
      <c r="P1071" s="1">
        <v>36344</v>
      </c>
      <c r="Q1071" s="1">
        <v>36055</v>
      </c>
      <c r="R1071" s="1">
        <v>36163</v>
      </c>
      <c r="S1071" s="1">
        <v>37028</v>
      </c>
      <c r="T1071" s="1">
        <v>38250</v>
      </c>
      <c r="U1071" s="1">
        <v>4500</v>
      </c>
      <c r="V1071" s="1">
        <v>600</v>
      </c>
      <c r="W1071" s="1">
        <v>1000</v>
      </c>
      <c r="X1071" s="1">
        <v>1600</v>
      </c>
      <c r="Y1071" s="1">
        <v>2000</v>
      </c>
      <c r="Z1071" s="1">
        <v>2000</v>
      </c>
      <c r="AA1071">
        <v>0</v>
      </c>
      <c r="AB1071" t="str">
        <f t="shared" si="16"/>
        <v>Not Defaulter</v>
      </c>
      <c r="AC1071" s="1">
        <f>Table2[[#This Row],[BILL_AMT1]]-Table2[[#This Row],[PAY_AMT1]]</f>
        <v>28191</v>
      </c>
      <c r="AD1071" s="1" t="str" cm="1">
        <f t="array" ref="AD1071">_xlfn.IFS(Table2[[#This Row],[PAYMENT GAP]]&lt;=0,"No Gap / Overpaid",Table2[[#This Row],[PAYMENT GAP]]&lt;=25000,"Low Gap",Table2[[#This Row],[PAYMENT GAP]]&lt;=100000,"Medium Gap",
TRUE,"High Gap"
)</f>
        <v>Medium Gap</v>
      </c>
    </row>
    <row r="1072" spans="1:30" x14ac:dyDescent="0.3">
      <c r="A1072">
        <v>1071</v>
      </c>
      <c r="B1072" s="1">
        <v>230000</v>
      </c>
      <c r="C1072" s="1" t="str" cm="1">
        <f t="array" ref="C1072">_xlfn.IFS(Table2[[#This Row],[LIMIT_BAL]]&lt;=100000,"Low",Table2[[#This Row],[LIMIT_BAL]]&lt;=300000,"Medium",
TRUE,"High"
)</f>
        <v>Medium</v>
      </c>
      <c r="D1072" t="s">
        <v>2042</v>
      </c>
      <c r="E1072" t="s">
        <v>2026</v>
      </c>
      <c r="F1072" t="s">
        <v>2028</v>
      </c>
      <c r="G1072">
        <v>61</v>
      </c>
      <c r="H1072" t="str" cm="1">
        <f t="array" ref="H1072">_xlfn.IFS(
Table2[[#This Row],[AGE]]&lt;30,"Young",
Table2[[#This Row],[AGE]]&lt;40,"Middle Age",
Table2[[#This Row],[AGE]]&lt;50,"Senior",
TRUE,"Super Senior"
)</f>
        <v>Super Senior</v>
      </c>
      <c r="I1072">
        <v>-1</v>
      </c>
      <c r="J1072">
        <v>-1</v>
      </c>
      <c r="K1072">
        <v>-1</v>
      </c>
      <c r="L1072">
        <v>-1</v>
      </c>
      <c r="M1072">
        <v>-1</v>
      </c>
      <c r="N1072">
        <v>-1</v>
      </c>
      <c r="O1072" s="1">
        <v>1477</v>
      </c>
      <c r="P1072" s="1">
        <v>3699</v>
      </c>
      <c r="Q1072" s="1">
        <v>2252</v>
      </c>
      <c r="R1072" s="1">
        <v>4932</v>
      </c>
      <c r="S1072" s="1">
        <v>2783</v>
      </c>
      <c r="T1072" s="1">
        <v>7411</v>
      </c>
      <c r="U1072" s="1">
        <v>3710</v>
      </c>
      <c r="V1072" s="1">
        <v>2266</v>
      </c>
      <c r="W1072" s="1">
        <v>7338</v>
      </c>
      <c r="X1072" s="1">
        <v>2791</v>
      </c>
      <c r="Y1072" s="1">
        <v>7433</v>
      </c>
      <c r="Z1072" s="1">
        <v>4527</v>
      </c>
      <c r="AA1072">
        <v>0</v>
      </c>
      <c r="AB1072" t="str">
        <f t="shared" si="16"/>
        <v>Not Defaulter</v>
      </c>
      <c r="AC1072" s="1">
        <f>Table2[[#This Row],[BILL_AMT1]]-Table2[[#This Row],[PAY_AMT1]]</f>
        <v>-2233</v>
      </c>
      <c r="AD1072" s="1" t="str" cm="1">
        <f t="array" ref="AD1072">_xlfn.IFS(Table2[[#This Row],[PAYMENT GAP]]&lt;=0,"No Gap / Overpaid",Table2[[#This Row],[PAYMENT GAP]]&lt;=25000,"Low Gap",Table2[[#This Row],[PAYMENT GAP]]&lt;=100000,"Medium Gap",
TRUE,"High Gap"
)</f>
        <v>No Gap / Overpaid</v>
      </c>
    </row>
    <row r="1073" spans="1:30" x14ac:dyDescent="0.3">
      <c r="A1073">
        <v>1072</v>
      </c>
      <c r="B1073" s="1">
        <v>150000</v>
      </c>
      <c r="C1073" s="1" t="str" cm="1">
        <f t="array" ref="C1073">_xlfn.IFS(Table2[[#This Row],[LIMIT_BAL]]&lt;=100000,"Low",Table2[[#This Row],[LIMIT_BAL]]&lt;=300000,"Medium",
TRUE,"High"
)</f>
        <v>Medium</v>
      </c>
      <c r="D1073" t="s">
        <v>2041</v>
      </c>
      <c r="E1073" t="s">
        <v>2043</v>
      </c>
      <c r="F1073" t="s">
        <v>2028</v>
      </c>
      <c r="G1073">
        <v>44</v>
      </c>
      <c r="H1073" t="str" cm="1">
        <f t="array" ref="H1073">_xlfn.IFS(
Table2[[#This Row],[AGE]]&lt;30,"Young",
Table2[[#This Row],[AGE]]&lt;40,"Middle Age",
Table2[[#This Row],[AGE]]&lt;50,"Senior",
TRUE,"Super Senior"
)</f>
        <v>Senior</v>
      </c>
      <c r="I1073">
        <v>-1</v>
      </c>
      <c r="J1073">
        <v>-1</v>
      </c>
      <c r="K1073">
        <v>-1</v>
      </c>
      <c r="L1073">
        <v>-1</v>
      </c>
      <c r="M1073">
        <v>-1</v>
      </c>
      <c r="N1073">
        <v>-1</v>
      </c>
      <c r="O1073" s="1">
        <v>390</v>
      </c>
      <c r="P1073" s="1">
        <v>5104</v>
      </c>
      <c r="Q1073" s="1">
        <v>10318</v>
      </c>
      <c r="R1073" s="1">
        <v>5775</v>
      </c>
      <c r="S1073" s="1">
        <v>14441</v>
      </c>
      <c r="T1073" s="1">
        <v>780</v>
      </c>
      <c r="U1073" s="1">
        <v>5104</v>
      </c>
      <c r="V1073" s="1">
        <v>10318</v>
      </c>
      <c r="W1073" s="1">
        <v>10355</v>
      </c>
      <c r="X1073" s="1">
        <v>14441</v>
      </c>
      <c r="Y1073" s="1">
        <v>780</v>
      </c>
      <c r="Z1073" s="1">
        <v>66950</v>
      </c>
      <c r="AA1073">
        <v>1</v>
      </c>
      <c r="AB1073" t="str">
        <f t="shared" si="16"/>
        <v>Defaulter</v>
      </c>
      <c r="AC1073" s="1">
        <f>Table2[[#This Row],[BILL_AMT1]]-Table2[[#This Row],[PAY_AMT1]]</f>
        <v>-4714</v>
      </c>
      <c r="AD1073" s="1" t="str" cm="1">
        <f t="array" ref="AD1073">_xlfn.IFS(Table2[[#This Row],[PAYMENT GAP]]&lt;=0,"No Gap / Overpaid",Table2[[#This Row],[PAYMENT GAP]]&lt;=25000,"Low Gap",Table2[[#This Row],[PAYMENT GAP]]&lt;=100000,"Medium Gap",
TRUE,"High Gap"
)</f>
        <v>No Gap / Overpaid</v>
      </c>
    </row>
    <row r="1074" spans="1:30" x14ac:dyDescent="0.3">
      <c r="A1074">
        <v>1073</v>
      </c>
      <c r="B1074" s="1">
        <v>350000</v>
      </c>
      <c r="C1074" s="1" t="str" cm="1">
        <f t="array" ref="C1074">_xlfn.IFS(Table2[[#This Row],[LIMIT_BAL]]&lt;=100000,"Low",Table2[[#This Row],[LIMIT_BAL]]&lt;=300000,"Medium",
TRUE,"High"
)</f>
        <v>High</v>
      </c>
      <c r="D1074" t="s">
        <v>2042</v>
      </c>
      <c r="E1074" t="s">
        <v>2026</v>
      </c>
      <c r="F1074" t="s">
        <v>2029</v>
      </c>
      <c r="G1074">
        <v>33</v>
      </c>
      <c r="H1074" t="str" cm="1">
        <f t="array" ref="H1074">_xlfn.IFS(
Table2[[#This Row],[AGE]]&lt;30,"Young",
Table2[[#This Row],[AGE]]&lt;40,"Middle Age",
Table2[[#This Row],[AGE]]&lt;50,"Senior",
TRUE,"Super Senior"
)</f>
        <v>Middle Age</v>
      </c>
      <c r="I1074">
        <v>-1</v>
      </c>
      <c r="J1074">
        <v>-1</v>
      </c>
      <c r="K1074">
        <v>-1</v>
      </c>
      <c r="L1074">
        <v>-1</v>
      </c>
      <c r="M1074">
        <v>-1</v>
      </c>
      <c r="N1074">
        <v>-1</v>
      </c>
      <c r="O1074" s="1">
        <v>148341</v>
      </c>
      <c r="P1074" s="1">
        <v>8095</v>
      </c>
      <c r="Q1074" s="1">
        <v>15047</v>
      </c>
      <c r="R1074" s="1">
        <v>3220</v>
      </c>
      <c r="S1074" s="1">
        <v>20461</v>
      </c>
      <c r="T1074" s="1">
        <v>3249</v>
      </c>
      <c r="U1074" s="1">
        <v>8405</v>
      </c>
      <c r="V1074" s="1">
        <v>15052</v>
      </c>
      <c r="W1074" s="1">
        <v>3805</v>
      </c>
      <c r="X1074" s="1">
        <v>20467</v>
      </c>
      <c r="Y1074" s="1">
        <v>3253</v>
      </c>
      <c r="Z1074" s="1">
        <v>27168</v>
      </c>
      <c r="AA1074">
        <v>0</v>
      </c>
      <c r="AB1074" t="str">
        <f t="shared" si="16"/>
        <v>Not Defaulter</v>
      </c>
      <c r="AC1074" s="1">
        <f>Table2[[#This Row],[BILL_AMT1]]-Table2[[#This Row],[PAY_AMT1]]</f>
        <v>139936</v>
      </c>
      <c r="AD1074" s="1" t="str" cm="1">
        <f t="array" ref="AD1074">_xlfn.IFS(Table2[[#This Row],[PAYMENT GAP]]&lt;=0,"No Gap / Overpaid",Table2[[#This Row],[PAYMENT GAP]]&lt;=25000,"Low Gap",Table2[[#This Row],[PAYMENT GAP]]&lt;=100000,"Medium Gap",
TRUE,"High Gap"
)</f>
        <v>High Gap</v>
      </c>
    </row>
    <row r="1075" spans="1:30" x14ac:dyDescent="0.3">
      <c r="A1075">
        <v>1074</v>
      </c>
      <c r="B1075" s="1">
        <v>360000</v>
      </c>
      <c r="C1075" s="1" t="str" cm="1">
        <f t="array" ref="C1075">_xlfn.IFS(Table2[[#This Row],[LIMIT_BAL]]&lt;=100000,"Low",Table2[[#This Row],[LIMIT_BAL]]&lt;=300000,"Medium",
TRUE,"High"
)</f>
        <v>High</v>
      </c>
      <c r="D1075" t="s">
        <v>2042</v>
      </c>
      <c r="E1075" t="s">
        <v>2044</v>
      </c>
      <c r="F1075" t="s">
        <v>2028</v>
      </c>
      <c r="G1075">
        <v>66</v>
      </c>
      <c r="H1075" t="str" cm="1">
        <f t="array" ref="H1075">_xlfn.IFS(
Table2[[#This Row],[AGE]]&lt;30,"Young",
Table2[[#This Row],[AGE]]&lt;40,"Middle Age",
Table2[[#This Row],[AGE]]&lt;50,"Senior",
TRUE,"Super Senior"
)</f>
        <v>Super Senior</v>
      </c>
      <c r="I1075">
        <v>-1</v>
      </c>
      <c r="J1075">
        <v>-1</v>
      </c>
      <c r="K1075">
        <v>-1</v>
      </c>
      <c r="L1075">
        <v>-1</v>
      </c>
      <c r="M1075">
        <v>-1</v>
      </c>
      <c r="N1075">
        <v>-1</v>
      </c>
      <c r="O1075" s="1">
        <v>47615</v>
      </c>
      <c r="P1075" s="1">
        <v>74976</v>
      </c>
      <c r="Q1075" s="1">
        <v>4040</v>
      </c>
      <c r="R1075" s="1">
        <v>151858</v>
      </c>
      <c r="S1075" s="1">
        <v>48580</v>
      </c>
      <c r="T1075" s="1">
        <v>1451</v>
      </c>
      <c r="U1075" s="1">
        <v>75351</v>
      </c>
      <c r="V1075" s="1">
        <v>4064</v>
      </c>
      <c r="W1075" s="1">
        <v>152618</v>
      </c>
      <c r="X1075" s="1">
        <v>48822</v>
      </c>
      <c r="Y1075" s="1">
        <v>1451</v>
      </c>
      <c r="Z1075" s="1">
        <v>171944</v>
      </c>
      <c r="AA1075">
        <v>0</v>
      </c>
      <c r="AB1075" t="str">
        <f t="shared" si="16"/>
        <v>Not Defaulter</v>
      </c>
      <c r="AC1075" s="1">
        <f>Table2[[#This Row],[BILL_AMT1]]-Table2[[#This Row],[PAY_AMT1]]</f>
        <v>-27736</v>
      </c>
      <c r="AD1075" s="1" t="str" cm="1">
        <f t="array" ref="AD1075">_xlfn.IFS(Table2[[#This Row],[PAYMENT GAP]]&lt;=0,"No Gap / Overpaid",Table2[[#This Row],[PAYMENT GAP]]&lt;=25000,"Low Gap",Table2[[#This Row],[PAYMENT GAP]]&lt;=100000,"Medium Gap",
TRUE,"High Gap"
)</f>
        <v>No Gap / Overpaid</v>
      </c>
    </row>
    <row r="1076" spans="1:30" x14ac:dyDescent="0.3">
      <c r="A1076">
        <v>1075</v>
      </c>
      <c r="B1076" s="1">
        <v>150000</v>
      </c>
      <c r="C1076" s="1" t="str" cm="1">
        <f t="array" ref="C1076">_xlfn.IFS(Table2[[#This Row],[LIMIT_BAL]]&lt;=100000,"Low",Table2[[#This Row],[LIMIT_BAL]]&lt;=300000,"Medium",
TRUE,"High"
)</f>
        <v>Medium</v>
      </c>
      <c r="D1076" t="s">
        <v>2041</v>
      </c>
      <c r="E1076" t="s">
        <v>2043</v>
      </c>
      <c r="F1076" t="s">
        <v>2029</v>
      </c>
      <c r="G1076">
        <v>40</v>
      </c>
      <c r="H1076" t="str" cm="1">
        <f t="array" ref="H1076">_xlfn.IFS(
Table2[[#This Row],[AGE]]&lt;30,"Young",
Table2[[#This Row],[AGE]]&lt;40,"Middle Age",
Table2[[#This Row],[AGE]]&lt;50,"Senior",
TRUE,"Super Senior"
)</f>
        <v>Senior</v>
      </c>
      <c r="I1076">
        <v>1</v>
      </c>
      <c r="J1076">
        <v>-1</v>
      </c>
      <c r="K1076">
        <v>-1</v>
      </c>
      <c r="L1076">
        <v>-1</v>
      </c>
      <c r="M1076">
        <v>-1</v>
      </c>
      <c r="N1076">
        <v>-2</v>
      </c>
      <c r="O1076" s="1">
        <v>-19</v>
      </c>
      <c r="P1076" s="1">
        <v>3894</v>
      </c>
      <c r="Q1076" s="1">
        <v>5570</v>
      </c>
      <c r="R1076" s="1">
        <v>10516</v>
      </c>
      <c r="S1076" s="1">
        <v>-3</v>
      </c>
      <c r="T1076" s="1">
        <v>-3</v>
      </c>
      <c r="U1076" s="1">
        <v>3913</v>
      </c>
      <c r="V1076" s="1">
        <v>5606</v>
      </c>
      <c r="W1076" s="1">
        <v>10568</v>
      </c>
      <c r="X1076" s="1">
        <v>0</v>
      </c>
      <c r="Y1076" s="1">
        <v>0</v>
      </c>
      <c r="Z1076" s="1">
        <v>2379</v>
      </c>
      <c r="AA1076">
        <v>0</v>
      </c>
      <c r="AB1076" t="str">
        <f t="shared" si="16"/>
        <v>Not Defaulter</v>
      </c>
      <c r="AC1076" s="1">
        <f>Table2[[#This Row],[BILL_AMT1]]-Table2[[#This Row],[PAY_AMT1]]</f>
        <v>-3932</v>
      </c>
      <c r="AD1076" s="1" t="str" cm="1">
        <f t="array" ref="AD1076">_xlfn.IFS(Table2[[#This Row],[PAYMENT GAP]]&lt;=0,"No Gap / Overpaid",Table2[[#This Row],[PAYMENT GAP]]&lt;=25000,"Low Gap",Table2[[#This Row],[PAYMENT GAP]]&lt;=100000,"Medium Gap",
TRUE,"High Gap"
)</f>
        <v>No Gap / Overpaid</v>
      </c>
    </row>
    <row r="1077" spans="1:30" x14ac:dyDescent="0.3">
      <c r="A1077">
        <v>1076</v>
      </c>
      <c r="B1077" s="1">
        <v>100000</v>
      </c>
      <c r="C1077" s="1" t="str" cm="1">
        <f t="array" ref="C1077">_xlfn.IFS(Table2[[#This Row],[LIMIT_BAL]]&lt;=100000,"Low",Table2[[#This Row],[LIMIT_BAL]]&lt;=300000,"Medium",
TRUE,"High"
)</f>
        <v>Low</v>
      </c>
      <c r="D1077" t="s">
        <v>2042</v>
      </c>
      <c r="E1077" t="s">
        <v>2027</v>
      </c>
      <c r="F1077" t="s">
        <v>2029</v>
      </c>
      <c r="G1077">
        <v>47</v>
      </c>
      <c r="H1077" t="str" cm="1">
        <f t="array" ref="H1077">_xlfn.IFS(
Table2[[#This Row],[AGE]]&lt;30,"Young",
Table2[[#This Row],[AGE]]&lt;40,"Middle Age",
Table2[[#This Row],[AGE]]&lt;50,"Senior",
TRUE,"Super Senior"
)</f>
        <v>Senior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 s="1">
        <v>94925</v>
      </c>
      <c r="P1077" s="1">
        <v>95130</v>
      </c>
      <c r="Q1077" s="1">
        <v>60003</v>
      </c>
      <c r="R1077" s="1">
        <v>38500</v>
      </c>
      <c r="S1077" s="1">
        <v>4681</v>
      </c>
      <c r="T1077" s="1">
        <v>76728</v>
      </c>
      <c r="U1077" s="1">
        <v>3889</v>
      </c>
      <c r="V1077" s="1">
        <v>2412</v>
      </c>
      <c r="W1077" s="1">
        <v>1698</v>
      </c>
      <c r="X1077" s="1">
        <v>679</v>
      </c>
      <c r="Y1077" s="1">
        <v>72809</v>
      </c>
      <c r="Z1077" s="1">
        <v>2748</v>
      </c>
      <c r="AA1077">
        <v>0</v>
      </c>
      <c r="AB1077" t="str">
        <f t="shared" si="16"/>
        <v>Not Defaulter</v>
      </c>
      <c r="AC1077" s="1">
        <f>Table2[[#This Row],[BILL_AMT1]]-Table2[[#This Row],[PAY_AMT1]]</f>
        <v>91036</v>
      </c>
      <c r="AD1077" s="1" t="str" cm="1">
        <f t="array" ref="AD1077">_xlfn.IFS(Table2[[#This Row],[PAYMENT GAP]]&lt;=0,"No Gap / Overpaid",Table2[[#This Row],[PAYMENT GAP]]&lt;=25000,"Low Gap",Table2[[#This Row],[PAYMENT GAP]]&lt;=100000,"Medium Gap",
TRUE,"High Gap"
)</f>
        <v>Medium Gap</v>
      </c>
    </row>
    <row r="1078" spans="1:30" x14ac:dyDescent="0.3">
      <c r="A1078">
        <v>1077</v>
      </c>
      <c r="B1078" s="1">
        <v>500000</v>
      </c>
      <c r="C1078" s="1" t="str" cm="1">
        <f t="array" ref="C1078">_xlfn.IFS(Table2[[#This Row],[LIMIT_BAL]]&lt;=100000,"Low",Table2[[#This Row],[LIMIT_BAL]]&lt;=300000,"Medium",
TRUE,"High"
)</f>
        <v>High</v>
      </c>
      <c r="D1078" t="s">
        <v>2042</v>
      </c>
      <c r="E1078" t="s">
        <v>2026</v>
      </c>
      <c r="F1078" t="s">
        <v>2029</v>
      </c>
      <c r="G1078">
        <v>27</v>
      </c>
      <c r="H1078" t="str" cm="1">
        <f t="array" ref="H1078">_xlfn.IFS(
Table2[[#This Row],[AGE]]&lt;30,"Young",
Table2[[#This Row],[AGE]]&lt;40,"Middle Age",
Table2[[#This Row],[AGE]]&lt;50,"Senior",
TRUE,"Super Senior"
)</f>
        <v>Young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s="1">
        <v>204198</v>
      </c>
      <c r="P1078" s="1">
        <v>201648</v>
      </c>
      <c r="Q1078" s="1">
        <v>197549</v>
      </c>
      <c r="R1078" s="1">
        <v>192093</v>
      </c>
      <c r="S1078" s="1">
        <v>187726</v>
      </c>
      <c r="T1078" s="1">
        <v>183860</v>
      </c>
      <c r="U1078" s="1">
        <v>7434</v>
      </c>
      <c r="V1078" s="1">
        <v>6342</v>
      </c>
      <c r="W1078" s="1">
        <v>5276</v>
      </c>
      <c r="X1078" s="1">
        <v>5271</v>
      </c>
      <c r="Y1078" s="1">
        <v>5778</v>
      </c>
      <c r="Z1078" s="1">
        <v>5029</v>
      </c>
      <c r="AA1078">
        <v>0</v>
      </c>
      <c r="AB1078" t="str">
        <f t="shared" si="16"/>
        <v>Not Defaulter</v>
      </c>
      <c r="AC1078" s="1">
        <f>Table2[[#This Row],[BILL_AMT1]]-Table2[[#This Row],[PAY_AMT1]]</f>
        <v>196764</v>
      </c>
      <c r="AD1078" s="1" t="str" cm="1">
        <f t="array" ref="AD1078">_xlfn.IFS(Table2[[#This Row],[PAYMENT GAP]]&lt;=0,"No Gap / Overpaid",Table2[[#This Row],[PAYMENT GAP]]&lt;=25000,"Low Gap",Table2[[#This Row],[PAYMENT GAP]]&lt;=100000,"Medium Gap",
TRUE,"High Gap"
)</f>
        <v>High Gap</v>
      </c>
    </row>
    <row r="1079" spans="1:30" x14ac:dyDescent="0.3">
      <c r="A1079">
        <v>1078</v>
      </c>
      <c r="B1079" s="1">
        <v>500000</v>
      </c>
      <c r="C1079" s="1" t="str" cm="1">
        <f t="array" ref="C1079">_xlfn.IFS(Table2[[#This Row],[LIMIT_BAL]]&lt;=100000,"Low",Table2[[#This Row],[LIMIT_BAL]]&lt;=300000,"Medium",
TRUE,"High"
)</f>
        <v>High</v>
      </c>
      <c r="D1079" t="s">
        <v>2042</v>
      </c>
      <c r="E1079" t="s">
        <v>2026</v>
      </c>
      <c r="F1079" t="s">
        <v>2029</v>
      </c>
      <c r="G1079">
        <v>35</v>
      </c>
      <c r="H1079" t="str" cm="1">
        <f t="array" ref="H1079">_xlfn.IFS(
Table2[[#This Row],[AGE]]&lt;30,"Young",
Table2[[#This Row],[AGE]]&lt;40,"Middle Age",
Table2[[#This Row],[AGE]]&lt;50,"Senior",
TRUE,"Super Senior"
)</f>
        <v>Middle Age</v>
      </c>
      <c r="I1079">
        <v>-1</v>
      </c>
      <c r="J1079">
        <v>0</v>
      </c>
      <c r="K1079">
        <v>-1</v>
      </c>
      <c r="L1079">
        <v>-1</v>
      </c>
      <c r="M1079">
        <v>-1</v>
      </c>
      <c r="N1079">
        <v>0</v>
      </c>
      <c r="O1079" s="1">
        <v>172041</v>
      </c>
      <c r="P1079" s="1">
        <v>70011</v>
      </c>
      <c r="Q1079" s="1">
        <v>12976</v>
      </c>
      <c r="R1079" s="1">
        <v>34469</v>
      </c>
      <c r="S1079" s="1">
        <v>27425</v>
      </c>
      <c r="T1079" s="1">
        <v>28506</v>
      </c>
      <c r="U1079" s="1">
        <v>58761</v>
      </c>
      <c r="V1079" s="1">
        <v>13976</v>
      </c>
      <c r="W1079" s="1">
        <v>34828</v>
      </c>
      <c r="X1079" s="1">
        <v>28289</v>
      </c>
      <c r="Y1079" s="1">
        <v>18175</v>
      </c>
      <c r="Z1079" s="1">
        <v>17500</v>
      </c>
      <c r="AA1079">
        <v>0</v>
      </c>
      <c r="AB1079" t="str">
        <f t="shared" si="16"/>
        <v>Not Defaulter</v>
      </c>
      <c r="AC1079" s="1">
        <f>Table2[[#This Row],[BILL_AMT1]]-Table2[[#This Row],[PAY_AMT1]]</f>
        <v>113280</v>
      </c>
      <c r="AD1079" s="1" t="str" cm="1">
        <f t="array" ref="AD1079">_xlfn.IFS(Table2[[#This Row],[PAYMENT GAP]]&lt;=0,"No Gap / Overpaid",Table2[[#This Row],[PAYMENT GAP]]&lt;=25000,"Low Gap",Table2[[#This Row],[PAYMENT GAP]]&lt;=100000,"Medium Gap",
TRUE,"High Gap"
)</f>
        <v>High Gap</v>
      </c>
    </row>
    <row r="1080" spans="1:30" x14ac:dyDescent="0.3">
      <c r="A1080">
        <v>1079</v>
      </c>
      <c r="B1080" s="1">
        <v>180000</v>
      </c>
      <c r="C1080" s="1" t="str" cm="1">
        <f t="array" ref="C1080">_xlfn.IFS(Table2[[#This Row],[LIMIT_BAL]]&lt;=100000,"Low",Table2[[#This Row],[LIMIT_BAL]]&lt;=300000,"Medium",
TRUE,"High"
)</f>
        <v>Medium</v>
      </c>
      <c r="D1080" t="s">
        <v>2041</v>
      </c>
      <c r="E1080" t="s">
        <v>2027</v>
      </c>
      <c r="F1080" t="s">
        <v>2028</v>
      </c>
      <c r="G1080">
        <v>47</v>
      </c>
      <c r="H1080" t="str" cm="1">
        <f t="array" ref="H1080">_xlfn.IFS(
Table2[[#This Row],[AGE]]&lt;30,"Young",
Table2[[#This Row],[AGE]]&lt;40,"Middle Age",
Table2[[#This Row],[AGE]]&lt;50,"Senior",
TRUE,"Super Senior"
)</f>
        <v>Senior</v>
      </c>
      <c r="I1080">
        <v>-1</v>
      </c>
      <c r="J1080">
        <v>-1</v>
      </c>
      <c r="K1080">
        <v>-1</v>
      </c>
      <c r="L1080">
        <v>-1</v>
      </c>
      <c r="M1080">
        <v>-1</v>
      </c>
      <c r="N1080">
        <v>-1</v>
      </c>
      <c r="O1080" s="1">
        <v>316</v>
      </c>
      <c r="P1080" s="1">
        <v>316</v>
      </c>
      <c r="Q1080" s="1">
        <v>316</v>
      </c>
      <c r="R1080" s="1">
        <v>316</v>
      </c>
      <c r="S1080" s="1">
        <v>316</v>
      </c>
      <c r="T1080" s="1">
        <v>316</v>
      </c>
      <c r="U1080" s="1">
        <v>316</v>
      </c>
      <c r="V1080" s="1">
        <v>316</v>
      </c>
      <c r="W1080" s="1">
        <v>316</v>
      </c>
      <c r="X1080" s="1">
        <v>316</v>
      </c>
      <c r="Y1080" s="1">
        <v>316</v>
      </c>
      <c r="Z1080" s="1">
        <v>316</v>
      </c>
      <c r="AA1080">
        <v>0</v>
      </c>
      <c r="AB1080" t="str">
        <f t="shared" si="16"/>
        <v>Not Defaulter</v>
      </c>
      <c r="AC1080" s="1">
        <f>Table2[[#This Row],[BILL_AMT1]]-Table2[[#This Row],[PAY_AMT1]]</f>
        <v>0</v>
      </c>
      <c r="AD1080" s="1" t="str" cm="1">
        <f t="array" ref="AD1080">_xlfn.IFS(Table2[[#This Row],[PAYMENT GAP]]&lt;=0,"No Gap / Overpaid",Table2[[#This Row],[PAYMENT GAP]]&lt;=25000,"Low Gap",Table2[[#This Row],[PAYMENT GAP]]&lt;=100000,"Medium Gap",
TRUE,"High Gap"
)</f>
        <v>No Gap / Overpaid</v>
      </c>
    </row>
    <row r="1081" spans="1:30" x14ac:dyDescent="0.3">
      <c r="A1081">
        <v>1080</v>
      </c>
      <c r="B1081" s="1">
        <v>400000</v>
      </c>
      <c r="C1081" s="1" t="str" cm="1">
        <f t="array" ref="C1081">_xlfn.IFS(Table2[[#This Row],[LIMIT_BAL]]&lt;=100000,"Low",Table2[[#This Row],[LIMIT_BAL]]&lt;=300000,"Medium",
TRUE,"High"
)</f>
        <v>High</v>
      </c>
      <c r="D1081" t="s">
        <v>2041</v>
      </c>
      <c r="E1081" t="s">
        <v>2027</v>
      </c>
      <c r="F1081" t="s">
        <v>2028</v>
      </c>
      <c r="G1081">
        <v>39</v>
      </c>
      <c r="H1081" t="str" cm="1">
        <f t="array" ref="H1081">_xlfn.IFS(
Table2[[#This Row],[AGE]]&lt;30,"Young",
Table2[[#This Row],[AGE]]&lt;40,"Middle Age",
Table2[[#This Row],[AGE]]&lt;50,"Senior",
TRUE,"Super Senior"
)</f>
        <v>Middle Age</v>
      </c>
      <c r="I1081">
        <v>1</v>
      </c>
      <c r="J1081">
        <v>-1</v>
      </c>
      <c r="K1081">
        <v>-1</v>
      </c>
      <c r="L1081">
        <v>-1</v>
      </c>
      <c r="M1081">
        <v>-2</v>
      </c>
      <c r="N1081">
        <v>-1</v>
      </c>
      <c r="O1081" s="1">
        <v>2384</v>
      </c>
      <c r="P1081" s="1">
        <v>3500</v>
      </c>
      <c r="Q1081" s="1">
        <v>471</v>
      </c>
      <c r="R1081" s="1">
        <v>-203</v>
      </c>
      <c r="S1081" s="1">
        <v>2371</v>
      </c>
      <c r="T1081" s="1">
        <v>1949</v>
      </c>
      <c r="U1081" s="1">
        <v>3603</v>
      </c>
      <c r="V1081" s="1">
        <v>471</v>
      </c>
      <c r="W1081" s="1">
        <v>203</v>
      </c>
      <c r="X1081" s="1">
        <v>2574</v>
      </c>
      <c r="Y1081" s="1">
        <v>1949</v>
      </c>
      <c r="Z1081" s="1">
        <v>1040</v>
      </c>
      <c r="AA1081">
        <v>0</v>
      </c>
      <c r="AB1081" t="str">
        <f t="shared" si="16"/>
        <v>Not Defaulter</v>
      </c>
      <c r="AC1081" s="1">
        <f>Table2[[#This Row],[BILL_AMT1]]-Table2[[#This Row],[PAY_AMT1]]</f>
        <v>-1219</v>
      </c>
      <c r="AD1081" s="1" t="str" cm="1">
        <f t="array" ref="AD1081">_xlfn.IFS(Table2[[#This Row],[PAYMENT GAP]]&lt;=0,"No Gap / Overpaid",Table2[[#This Row],[PAYMENT GAP]]&lt;=25000,"Low Gap",Table2[[#This Row],[PAYMENT GAP]]&lt;=100000,"Medium Gap",
TRUE,"High Gap"
)</f>
        <v>No Gap / Overpaid</v>
      </c>
    </row>
    <row r="1082" spans="1:30" x14ac:dyDescent="0.3">
      <c r="A1082">
        <v>1081</v>
      </c>
      <c r="B1082" s="1">
        <v>100000</v>
      </c>
      <c r="C1082" s="1" t="str" cm="1">
        <f t="array" ref="C1082">_xlfn.IFS(Table2[[#This Row],[LIMIT_BAL]]&lt;=100000,"Low",Table2[[#This Row],[LIMIT_BAL]]&lt;=300000,"Medium",
TRUE,"High"
)</f>
        <v>Low</v>
      </c>
      <c r="D1082" t="s">
        <v>2041</v>
      </c>
      <c r="E1082" t="s">
        <v>2043</v>
      </c>
      <c r="F1082" t="s">
        <v>2029</v>
      </c>
      <c r="G1082">
        <v>29</v>
      </c>
      <c r="H1082" t="str" cm="1">
        <f t="array" ref="H1082">_xlfn.IFS(
Table2[[#This Row],[AGE]]&lt;30,"Young",
Table2[[#This Row],[AGE]]&lt;40,"Middle Age",
Table2[[#This Row],[AGE]]&lt;50,"Senior",
TRUE,"Super Senior"
)</f>
        <v>Young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 s="1">
        <v>61383</v>
      </c>
      <c r="P1082" s="1">
        <v>49560</v>
      </c>
      <c r="Q1082" s="1">
        <v>40183</v>
      </c>
      <c r="R1082" s="1">
        <v>61820</v>
      </c>
      <c r="S1082" s="1">
        <v>8322</v>
      </c>
      <c r="T1082" s="1">
        <v>6182</v>
      </c>
      <c r="U1082" s="1">
        <v>1908</v>
      </c>
      <c r="V1082" s="1">
        <v>2000</v>
      </c>
      <c r="W1082" s="1">
        <v>1000</v>
      </c>
      <c r="X1082" s="1">
        <v>2000</v>
      </c>
      <c r="Y1082" s="1">
        <v>3000</v>
      </c>
      <c r="Z1082" s="1">
        <v>5000</v>
      </c>
      <c r="AA1082">
        <v>0</v>
      </c>
      <c r="AB1082" t="str">
        <f t="shared" si="16"/>
        <v>Not Defaulter</v>
      </c>
      <c r="AC1082" s="1">
        <f>Table2[[#This Row],[BILL_AMT1]]-Table2[[#This Row],[PAY_AMT1]]</f>
        <v>59475</v>
      </c>
      <c r="AD1082" s="1" t="str" cm="1">
        <f t="array" ref="AD1082">_xlfn.IFS(Table2[[#This Row],[PAYMENT GAP]]&lt;=0,"No Gap / Overpaid",Table2[[#This Row],[PAYMENT GAP]]&lt;=25000,"Low Gap",Table2[[#This Row],[PAYMENT GAP]]&lt;=100000,"Medium Gap",
TRUE,"High Gap"
)</f>
        <v>Medium Gap</v>
      </c>
    </row>
    <row r="1083" spans="1:30" x14ac:dyDescent="0.3">
      <c r="A1083">
        <v>1082</v>
      </c>
      <c r="B1083" s="1">
        <v>10000</v>
      </c>
      <c r="C1083" s="1" t="str" cm="1">
        <f t="array" ref="C1083">_xlfn.IFS(Table2[[#This Row],[LIMIT_BAL]]&lt;=100000,"Low",Table2[[#This Row],[LIMIT_BAL]]&lt;=300000,"Medium",
TRUE,"High"
)</f>
        <v>Low</v>
      </c>
      <c r="D1083" t="s">
        <v>2042</v>
      </c>
      <c r="E1083" t="s">
        <v>2043</v>
      </c>
      <c r="F1083" t="s">
        <v>2028</v>
      </c>
      <c r="G1083">
        <v>32</v>
      </c>
      <c r="H1083" t="str" cm="1">
        <f t="array" ref="H1083">_xlfn.IFS(
Table2[[#This Row],[AGE]]&lt;30,"Young",
Table2[[#This Row],[AGE]]&lt;40,"Middle Age",
Table2[[#This Row],[AGE]]&lt;50,"Senior",
TRUE,"Super Senior"
)</f>
        <v>Middle Age</v>
      </c>
      <c r="I1083">
        <v>1</v>
      </c>
      <c r="J1083">
        <v>2</v>
      </c>
      <c r="K1083">
        <v>2</v>
      </c>
      <c r="L1083">
        <v>2</v>
      </c>
      <c r="M1083">
        <v>2</v>
      </c>
      <c r="N1083">
        <v>2</v>
      </c>
      <c r="O1083" s="1">
        <v>8425</v>
      </c>
      <c r="P1083" s="1">
        <v>8148</v>
      </c>
      <c r="Q1083" s="1">
        <v>9481</v>
      </c>
      <c r="R1083" s="1">
        <v>9180</v>
      </c>
      <c r="S1083" s="1">
        <v>10052</v>
      </c>
      <c r="T1083" s="1">
        <v>10091</v>
      </c>
      <c r="U1083" s="1">
        <v>0</v>
      </c>
      <c r="V1083" s="1">
        <v>1632</v>
      </c>
      <c r="W1083" s="1">
        <v>0</v>
      </c>
      <c r="X1083" s="1">
        <v>1022</v>
      </c>
      <c r="Y1083" s="1">
        <v>350</v>
      </c>
      <c r="Z1083" s="1">
        <v>0</v>
      </c>
      <c r="AA1083">
        <v>0</v>
      </c>
      <c r="AB1083" t="str">
        <f t="shared" si="16"/>
        <v>Not Defaulter</v>
      </c>
      <c r="AC1083" s="1">
        <f>Table2[[#This Row],[BILL_AMT1]]-Table2[[#This Row],[PAY_AMT1]]</f>
        <v>8425</v>
      </c>
      <c r="AD1083" s="1" t="str" cm="1">
        <f t="array" ref="AD1083">_xlfn.IFS(Table2[[#This Row],[PAYMENT GAP]]&lt;=0,"No Gap / Overpaid",Table2[[#This Row],[PAYMENT GAP]]&lt;=25000,"Low Gap",Table2[[#This Row],[PAYMENT GAP]]&lt;=100000,"Medium Gap",
TRUE,"High Gap"
)</f>
        <v>Low Gap</v>
      </c>
    </row>
    <row r="1084" spans="1:30" x14ac:dyDescent="0.3">
      <c r="A1084">
        <v>1083</v>
      </c>
      <c r="B1084" s="1">
        <v>60000</v>
      </c>
      <c r="C1084" s="1" t="str" cm="1">
        <f t="array" ref="C1084">_xlfn.IFS(Table2[[#This Row],[LIMIT_BAL]]&lt;=100000,"Low",Table2[[#This Row],[LIMIT_BAL]]&lt;=300000,"Medium",
TRUE,"High"
)</f>
        <v>Low</v>
      </c>
      <c r="D1084" t="s">
        <v>2041</v>
      </c>
      <c r="E1084" t="s">
        <v>2026</v>
      </c>
      <c r="F1084" t="s">
        <v>2029</v>
      </c>
      <c r="G1084">
        <v>30</v>
      </c>
      <c r="H1084" t="str" cm="1">
        <f t="array" ref="H1084">_xlfn.IFS(
Table2[[#This Row],[AGE]]&lt;30,"Young",
Table2[[#This Row],[AGE]]&lt;40,"Middle Age",
Table2[[#This Row],[AGE]]&lt;50,"Senior",
TRUE,"Super Senior"
)</f>
        <v>Middle Age</v>
      </c>
      <c r="I1084">
        <v>2</v>
      </c>
      <c r="J1084">
        <v>2</v>
      </c>
      <c r="K1084">
        <v>2</v>
      </c>
      <c r="L1084">
        <v>2</v>
      </c>
      <c r="M1084">
        <v>2</v>
      </c>
      <c r="N1084">
        <v>2</v>
      </c>
      <c r="O1084" s="1">
        <v>34735</v>
      </c>
      <c r="P1084" s="1">
        <v>33895</v>
      </c>
      <c r="Q1084" s="1">
        <v>36530</v>
      </c>
      <c r="R1084" s="1">
        <v>37133</v>
      </c>
      <c r="S1084" s="1">
        <v>37893</v>
      </c>
      <c r="T1084" s="1">
        <v>37131</v>
      </c>
      <c r="U1084" s="1">
        <v>0</v>
      </c>
      <c r="V1084" s="1">
        <v>3200</v>
      </c>
      <c r="W1084" s="1">
        <v>1500</v>
      </c>
      <c r="X1084" s="1">
        <v>1500</v>
      </c>
      <c r="Y1084" s="1">
        <v>0</v>
      </c>
      <c r="Z1084" s="1">
        <v>1700</v>
      </c>
      <c r="AA1084">
        <v>0</v>
      </c>
      <c r="AB1084" t="str">
        <f t="shared" si="16"/>
        <v>Not Defaulter</v>
      </c>
      <c r="AC1084" s="1">
        <f>Table2[[#This Row],[BILL_AMT1]]-Table2[[#This Row],[PAY_AMT1]]</f>
        <v>34735</v>
      </c>
      <c r="AD1084" s="1" t="str" cm="1">
        <f t="array" ref="AD1084">_xlfn.IFS(Table2[[#This Row],[PAYMENT GAP]]&lt;=0,"No Gap / Overpaid",Table2[[#This Row],[PAYMENT GAP]]&lt;=25000,"Low Gap",Table2[[#This Row],[PAYMENT GAP]]&lt;=100000,"Medium Gap",
TRUE,"High Gap"
)</f>
        <v>Medium Gap</v>
      </c>
    </row>
    <row r="1085" spans="1:30" x14ac:dyDescent="0.3">
      <c r="A1085">
        <v>1084</v>
      </c>
      <c r="B1085" s="1">
        <v>50000</v>
      </c>
      <c r="C1085" s="1" t="str" cm="1">
        <f t="array" ref="C1085">_xlfn.IFS(Table2[[#This Row],[LIMIT_BAL]]&lt;=100000,"Low",Table2[[#This Row],[LIMIT_BAL]]&lt;=300000,"Medium",
TRUE,"High"
)</f>
        <v>Low</v>
      </c>
      <c r="D1085" t="s">
        <v>2041</v>
      </c>
      <c r="E1085" t="s">
        <v>2026</v>
      </c>
      <c r="F1085" t="s">
        <v>2029</v>
      </c>
      <c r="G1085">
        <v>25</v>
      </c>
      <c r="H1085" t="str" cm="1">
        <f t="array" ref="H1085">_xlfn.IFS(
Table2[[#This Row],[AGE]]&lt;30,"Young",
Table2[[#This Row],[AGE]]&lt;40,"Middle Age",
Table2[[#This Row],[AGE]]&lt;50,"Senior",
TRUE,"Super Senior"
)</f>
        <v>Young</v>
      </c>
      <c r="I1085">
        <v>1</v>
      </c>
      <c r="J1085">
        <v>2</v>
      </c>
      <c r="K1085">
        <v>2</v>
      </c>
      <c r="L1085">
        <v>2</v>
      </c>
      <c r="M1085">
        <v>2</v>
      </c>
      <c r="N1085">
        <v>2</v>
      </c>
      <c r="O1085" s="1">
        <v>47054</v>
      </c>
      <c r="P1085" s="1">
        <v>48008</v>
      </c>
      <c r="Q1085" s="1">
        <v>48913</v>
      </c>
      <c r="R1085" s="1">
        <v>49847</v>
      </c>
      <c r="S1085" s="1">
        <v>50840</v>
      </c>
      <c r="T1085" s="1">
        <v>49502</v>
      </c>
      <c r="U1085" s="1">
        <v>2000</v>
      </c>
      <c r="V1085" s="1">
        <v>2000</v>
      </c>
      <c r="W1085" s="1">
        <v>2000</v>
      </c>
      <c r="X1085" s="1">
        <v>1900</v>
      </c>
      <c r="Y1085" s="1">
        <v>1900</v>
      </c>
      <c r="Z1085" s="1">
        <v>1600</v>
      </c>
      <c r="AA1085">
        <v>1</v>
      </c>
      <c r="AB1085" t="str">
        <f t="shared" si="16"/>
        <v>Defaulter</v>
      </c>
      <c r="AC1085" s="1">
        <f>Table2[[#This Row],[BILL_AMT1]]-Table2[[#This Row],[PAY_AMT1]]</f>
        <v>45054</v>
      </c>
      <c r="AD1085" s="1" t="str" cm="1">
        <f t="array" ref="AD1085">_xlfn.IFS(Table2[[#This Row],[PAYMENT GAP]]&lt;=0,"No Gap / Overpaid",Table2[[#This Row],[PAYMENT GAP]]&lt;=25000,"Low Gap",Table2[[#This Row],[PAYMENT GAP]]&lt;=100000,"Medium Gap",
TRUE,"High Gap"
)</f>
        <v>Medium Gap</v>
      </c>
    </row>
    <row r="1086" spans="1:30" x14ac:dyDescent="0.3">
      <c r="A1086">
        <v>1085</v>
      </c>
      <c r="B1086" s="1">
        <v>80000</v>
      </c>
      <c r="C1086" s="1" t="str" cm="1">
        <f t="array" ref="C1086">_xlfn.IFS(Table2[[#This Row],[LIMIT_BAL]]&lt;=100000,"Low",Table2[[#This Row],[LIMIT_BAL]]&lt;=300000,"Medium",
TRUE,"High"
)</f>
        <v>Low</v>
      </c>
      <c r="D1086" t="s">
        <v>2041</v>
      </c>
      <c r="E1086" t="s">
        <v>2043</v>
      </c>
      <c r="F1086" t="s">
        <v>2029</v>
      </c>
      <c r="G1086">
        <v>23</v>
      </c>
      <c r="H1086" t="str" cm="1">
        <f t="array" ref="H1086">_xlfn.IFS(
Table2[[#This Row],[AGE]]&lt;30,"Young",
Table2[[#This Row],[AGE]]&lt;40,"Middle Age",
Table2[[#This Row],[AGE]]&lt;50,"Senior",
TRUE,"Super Senior"
)</f>
        <v>Young</v>
      </c>
      <c r="I1086">
        <v>-1</v>
      </c>
      <c r="J1086">
        <v>0</v>
      </c>
      <c r="K1086">
        <v>0</v>
      </c>
      <c r="L1086">
        <v>0</v>
      </c>
      <c r="M1086">
        <v>0</v>
      </c>
      <c r="N1086">
        <v>0</v>
      </c>
      <c r="O1086" s="1">
        <v>57314</v>
      </c>
      <c r="P1086" s="1">
        <v>58489</v>
      </c>
      <c r="Q1086" s="1">
        <v>50452</v>
      </c>
      <c r="R1086" s="1">
        <v>51573</v>
      </c>
      <c r="S1086" s="1">
        <v>49061</v>
      </c>
      <c r="T1086" s="1">
        <v>33931</v>
      </c>
      <c r="U1086" s="1">
        <v>2145</v>
      </c>
      <c r="V1086" s="1">
        <v>2000</v>
      </c>
      <c r="W1086" s="1">
        <v>2012</v>
      </c>
      <c r="X1086" s="1">
        <v>2049</v>
      </c>
      <c r="Y1086" s="1">
        <v>2008</v>
      </c>
      <c r="Z1086" s="1">
        <v>1217</v>
      </c>
      <c r="AA1086">
        <v>0</v>
      </c>
      <c r="AB1086" t="str">
        <f t="shared" si="16"/>
        <v>Not Defaulter</v>
      </c>
      <c r="AC1086" s="1">
        <f>Table2[[#This Row],[BILL_AMT1]]-Table2[[#This Row],[PAY_AMT1]]</f>
        <v>55169</v>
      </c>
      <c r="AD1086" s="1" t="str" cm="1">
        <f t="array" ref="AD1086">_xlfn.IFS(Table2[[#This Row],[PAYMENT GAP]]&lt;=0,"No Gap / Overpaid",Table2[[#This Row],[PAYMENT GAP]]&lt;=25000,"Low Gap",Table2[[#This Row],[PAYMENT GAP]]&lt;=100000,"Medium Gap",
TRUE,"High Gap"
)</f>
        <v>Medium Gap</v>
      </c>
    </row>
    <row r="1087" spans="1:30" x14ac:dyDescent="0.3">
      <c r="A1087">
        <v>1086</v>
      </c>
      <c r="B1087" s="1">
        <v>110000</v>
      </c>
      <c r="C1087" s="1" t="str" cm="1">
        <f t="array" ref="C1087">_xlfn.IFS(Table2[[#This Row],[LIMIT_BAL]]&lt;=100000,"Low",Table2[[#This Row],[LIMIT_BAL]]&lt;=300000,"Medium",
TRUE,"High"
)</f>
        <v>Medium</v>
      </c>
      <c r="D1087" t="s">
        <v>2041</v>
      </c>
      <c r="E1087" t="s">
        <v>2043</v>
      </c>
      <c r="F1087" t="s">
        <v>2028</v>
      </c>
      <c r="G1087">
        <v>43</v>
      </c>
      <c r="H1087" t="str" cm="1">
        <f t="array" ref="H1087">_xlfn.IFS(
Table2[[#This Row],[AGE]]&lt;30,"Young",
Table2[[#This Row],[AGE]]&lt;40,"Middle Age",
Table2[[#This Row],[AGE]]&lt;50,"Senior",
TRUE,"Super Senior"
)</f>
        <v>Senior</v>
      </c>
      <c r="I1087">
        <v>0</v>
      </c>
      <c r="J1087">
        <v>0</v>
      </c>
      <c r="K1087">
        <v>2</v>
      </c>
      <c r="L1087">
        <v>0</v>
      </c>
      <c r="M1087">
        <v>0</v>
      </c>
      <c r="N1087">
        <v>0</v>
      </c>
      <c r="O1087" s="1">
        <v>108616</v>
      </c>
      <c r="P1087" s="1">
        <v>114854</v>
      </c>
      <c r="Q1087" s="1">
        <v>105275</v>
      </c>
      <c r="R1087" s="1">
        <v>107561</v>
      </c>
      <c r="S1087" s="1">
        <v>105502</v>
      </c>
      <c r="T1087" s="1">
        <v>103813</v>
      </c>
      <c r="U1087" s="1">
        <v>9600</v>
      </c>
      <c r="V1087" s="1">
        <v>0</v>
      </c>
      <c r="W1087" s="1">
        <v>4000</v>
      </c>
      <c r="X1087" s="1">
        <v>3765</v>
      </c>
      <c r="Y1087" s="1">
        <v>4000</v>
      </c>
      <c r="Z1087" s="1">
        <v>4200</v>
      </c>
      <c r="AA1087">
        <v>0</v>
      </c>
      <c r="AB1087" t="str">
        <f t="shared" si="16"/>
        <v>Not Defaulter</v>
      </c>
      <c r="AC1087" s="1">
        <f>Table2[[#This Row],[BILL_AMT1]]-Table2[[#This Row],[PAY_AMT1]]</f>
        <v>99016</v>
      </c>
      <c r="AD1087" s="1" t="str" cm="1">
        <f t="array" ref="AD1087">_xlfn.IFS(Table2[[#This Row],[PAYMENT GAP]]&lt;=0,"No Gap / Overpaid",Table2[[#This Row],[PAYMENT GAP]]&lt;=25000,"Low Gap",Table2[[#This Row],[PAYMENT GAP]]&lt;=100000,"Medium Gap",
TRUE,"High Gap"
)</f>
        <v>Medium Gap</v>
      </c>
    </row>
    <row r="1088" spans="1:30" x14ac:dyDescent="0.3">
      <c r="A1088">
        <v>1087</v>
      </c>
      <c r="B1088" s="1">
        <v>410000</v>
      </c>
      <c r="C1088" s="1" t="str" cm="1">
        <f t="array" ref="C1088">_xlfn.IFS(Table2[[#This Row],[LIMIT_BAL]]&lt;=100000,"Low",Table2[[#This Row],[LIMIT_BAL]]&lt;=300000,"Medium",
TRUE,"High"
)</f>
        <v>High</v>
      </c>
      <c r="D1088" t="s">
        <v>2041</v>
      </c>
      <c r="E1088" t="s">
        <v>2043</v>
      </c>
      <c r="F1088" t="s">
        <v>2028</v>
      </c>
      <c r="G1088">
        <v>41</v>
      </c>
      <c r="H1088" t="str" cm="1">
        <f t="array" ref="H1088">_xlfn.IFS(
Table2[[#This Row],[AGE]]&lt;30,"Young",
Table2[[#This Row],[AGE]]&lt;40,"Middle Age",
Table2[[#This Row],[AGE]]&lt;50,"Senior",
TRUE,"Super Senior"
)</f>
        <v>Senior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 s="1">
        <v>354506</v>
      </c>
      <c r="P1088" s="1">
        <v>363666</v>
      </c>
      <c r="Q1088" s="1">
        <v>369776</v>
      </c>
      <c r="R1088" s="1">
        <v>368779</v>
      </c>
      <c r="S1088" s="1">
        <v>369358</v>
      </c>
      <c r="T1088" s="1">
        <v>368043</v>
      </c>
      <c r="U1088" s="1">
        <v>14600</v>
      </c>
      <c r="V1088" s="1">
        <v>15500</v>
      </c>
      <c r="W1088" s="1">
        <v>14000</v>
      </c>
      <c r="X1088" s="1">
        <v>13580</v>
      </c>
      <c r="Y1088" s="1">
        <v>14000</v>
      </c>
      <c r="Z1088" s="1">
        <v>19000</v>
      </c>
      <c r="AA1088">
        <v>1</v>
      </c>
      <c r="AB1088" t="str">
        <f t="shared" si="16"/>
        <v>Defaulter</v>
      </c>
      <c r="AC1088" s="1">
        <f>Table2[[#This Row],[BILL_AMT1]]-Table2[[#This Row],[PAY_AMT1]]</f>
        <v>339906</v>
      </c>
      <c r="AD1088" s="1" t="str" cm="1">
        <f t="array" ref="AD1088">_xlfn.IFS(Table2[[#This Row],[PAYMENT GAP]]&lt;=0,"No Gap / Overpaid",Table2[[#This Row],[PAYMENT GAP]]&lt;=25000,"Low Gap",Table2[[#This Row],[PAYMENT GAP]]&lt;=100000,"Medium Gap",
TRUE,"High Gap"
)</f>
        <v>High Gap</v>
      </c>
    </row>
    <row r="1089" spans="1:30" x14ac:dyDescent="0.3">
      <c r="A1089">
        <v>1088</v>
      </c>
      <c r="B1089" s="1">
        <v>260000</v>
      </c>
      <c r="C1089" s="1" t="str" cm="1">
        <f t="array" ref="C1089">_xlfn.IFS(Table2[[#This Row],[LIMIT_BAL]]&lt;=100000,"Low",Table2[[#This Row],[LIMIT_BAL]]&lt;=300000,"Medium",
TRUE,"High"
)</f>
        <v>Medium</v>
      </c>
      <c r="D1089" t="s">
        <v>2041</v>
      </c>
      <c r="E1089" t="s">
        <v>2043</v>
      </c>
      <c r="F1089" t="s">
        <v>2028</v>
      </c>
      <c r="G1089">
        <v>40</v>
      </c>
      <c r="H1089" t="str" cm="1">
        <f t="array" ref="H1089">_xlfn.IFS(
Table2[[#This Row],[AGE]]&lt;30,"Young",
Table2[[#This Row],[AGE]]&lt;40,"Middle Age",
Table2[[#This Row],[AGE]]&lt;50,"Senior",
TRUE,"Super Senior"
)</f>
        <v>Senior</v>
      </c>
      <c r="I1089">
        <v>1</v>
      </c>
      <c r="J1089">
        <v>-1</v>
      </c>
      <c r="K1089">
        <v>-1</v>
      </c>
      <c r="L1089">
        <v>-2</v>
      </c>
      <c r="M1089">
        <v>-2</v>
      </c>
      <c r="N1089">
        <v>-2</v>
      </c>
      <c r="O1089" s="1">
        <v>0</v>
      </c>
      <c r="P1089" s="1">
        <v>342</v>
      </c>
      <c r="Q1089" s="1">
        <v>0</v>
      </c>
      <c r="R1089" s="1">
        <v>0</v>
      </c>
      <c r="S1089" s="1">
        <v>0</v>
      </c>
      <c r="T1089" s="1">
        <v>0</v>
      </c>
      <c r="U1089" s="1">
        <v>342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>
        <v>0</v>
      </c>
      <c r="AB1089" t="str">
        <f t="shared" si="16"/>
        <v>Not Defaulter</v>
      </c>
      <c r="AC1089" s="1">
        <f>Table2[[#This Row],[BILL_AMT1]]-Table2[[#This Row],[PAY_AMT1]]</f>
        <v>-342</v>
      </c>
      <c r="AD1089" s="1" t="str" cm="1">
        <f t="array" ref="AD1089">_xlfn.IFS(Table2[[#This Row],[PAYMENT GAP]]&lt;=0,"No Gap / Overpaid",Table2[[#This Row],[PAYMENT GAP]]&lt;=25000,"Low Gap",Table2[[#This Row],[PAYMENT GAP]]&lt;=100000,"Medium Gap",
TRUE,"High Gap"
)</f>
        <v>No Gap / Overpaid</v>
      </c>
    </row>
    <row r="1090" spans="1:30" x14ac:dyDescent="0.3">
      <c r="A1090">
        <v>1089</v>
      </c>
      <c r="B1090" s="1">
        <v>30000</v>
      </c>
      <c r="C1090" s="1" t="str" cm="1">
        <f t="array" ref="C1090">_xlfn.IFS(Table2[[#This Row],[LIMIT_BAL]]&lt;=100000,"Low",Table2[[#This Row],[LIMIT_BAL]]&lt;=300000,"Medium",
TRUE,"High"
)</f>
        <v>Low</v>
      </c>
      <c r="D1090" t="s">
        <v>2041</v>
      </c>
      <c r="E1090" t="s">
        <v>2027</v>
      </c>
      <c r="F1090" t="s">
        <v>2028</v>
      </c>
      <c r="G1090">
        <v>35</v>
      </c>
      <c r="H1090" t="str" cm="1">
        <f t="array" ref="H1090">_xlfn.IFS(
Table2[[#This Row],[AGE]]&lt;30,"Young",
Table2[[#This Row],[AGE]]&lt;40,"Middle Age",
Table2[[#This Row],[AGE]]&lt;50,"Senior",
TRUE,"Super Senior"
)</f>
        <v>Middle Age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 s="1">
        <v>28786</v>
      </c>
      <c r="P1090" s="1">
        <v>26496</v>
      </c>
      <c r="Q1090" s="1">
        <v>25098</v>
      </c>
      <c r="R1090" s="1">
        <v>26209</v>
      </c>
      <c r="S1090" s="1">
        <v>25325</v>
      </c>
      <c r="T1090" s="1">
        <v>26400</v>
      </c>
      <c r="U1090" s="1">
        <v>1500</v>
      </c>
      <c r="V1090" s="1">
        <v>1450</v>
      </c>
      <c r="W1090" s="1">
        <v>1500</v>
      </c>
      <c r="X1090" s="1">
        <v>1500</v>
      </c>
      <c r="Y1090" s="1">
        <v>1500</v>
      </c>
      <c r="Z1090" s="1">
        <v>1500</v>
      </c>
      <c r="AA1090">
        <v>0</v>
      </c>
      <c r="AB1090" t="str">
        <f t="shared" si="16"/>
        <v>Not Defaulter</v>
      </c>
      <c r="AC1090" s="1">
        <f>Table2[[#This Row],[BILL_AMT1]]-Table2[[#This Row],[PAY_AMT1]]</f>
        <v>27286</v>
      </c>
      <c r="AD1090" s="1" t="str" cm="1">
        <f t="array" ref="AD1090">_xlfn.IFS(Table2[[#This Row],[PAYMENT GAP]]&lt;=0,"No Gap / Overpaid",Table2[[#This Row],[PAYMENT GAP]]&lt;=25000,"Low Gap",Table2[[#This Row],[PAYMENT GAP]]&lt;=100000,"Medium Gap",
TRUE,"High Gap"
)</f>
        <v>Medium Gap</v>
      </c>
    </row>
    <row r="1091" spans="1:30" x14ac:dyDescent="0.3">
      <c r="A1091">
        <v>1090</v>
      </c>
      <c r="B1091" s="1">
        <v>310000</v>
      </c>
      <c r="C1091" s="1" t="str" cm="1">
        <f t="array" ref="C1091">_xlfn.IFS(Table2[[#This Row],[LIMIT_BAL]]&lt;=100000,"Low",Table2[[#This Row],[LIMIT_BAL]]&lt;=300000,"Medium",
TRUE,"High"
)</f>
        <v>High</v>
      </c>
      <c r="D1091" t="s">
        <v>2041</v>
      </c>
      <c r="E1091" t="s">
        <v>2026</v>
      </c>
      <c r="F1091" t="s">
        <v>2029</v>
      </c>
      <c r="G1091">
        <v>28</v>
      </c>
      <c r="H1091" t="str" cm="1">
        <f t="array" ref="H1091">_xlfn.IFS(
Table2[[#This Row],[AGE]]&lt;30,"Young",
Table2[[#This Row],[AGE]]&lt;40,"Middle Age",
Table2[[#This Row],[AGE]]&lt;50,"Senior",
TRUE,"Super Senior"
)</f>
        <v>Young</v>
      </c>
      <c r="I1091">
        <v>0</v>
      </c>
      <c r="J1091">
        <v>0</v>
      </c>
      <c r="K1091">
        <v>0</v>
      </c>
      <c r="L1091">
        <v>0</v>
      </c>
      <c r="M1091">
        <v>-1</v>
      </c>
      <c r="N1091">
        <v>-1</v>
      </c>
      <c r="O1091" s="1">
        <v>36513</v>
      </c>
      <c r="P1091" s="1">
        <v>37628</v>
      </c>
      <c r="Q1091" s="1">
        <v>39579</v>
      </c>
      <c r="R1091" s="1">
        <v>40879</v>
      </c>
      <c r="S1091" s="1">
        <v>85</v>
      </c>
      <c r="T1091" s="1">
        <v>4381</v>
      </c>
      <c r="U1091" s="1">
        <v>2500</v>
      </c>
      <c r="V1091" s="1">
        <v>3000</v>
      </c>
      <c r="W1091" s="1">
        <v>1500</v>
      </c>
      <c r="X1091" s="1">
        <v>85</v>
      </c>
      <c r="Y1091" s="1">
        <v>4381</v>
      </c>
      <c r="Z1091" s="1">
        <v>11100</v>
      </c>
      <c r="AA1091">
        <v>0</v>
      </c>
      <c r="AB1091" t="str">
        <f t="shared" ref="AB1091:AB1154" si="17">IF(AA1091=1,"Defaulter","Not Defaulter")</f>
        <v>Not Defaulter</v>
      </c>
      <c r="AC1091" s="1">
        <f>Table2[[#This Row],[BILL_AMT1]]-Table2[[#This Row],[PAY_AMT1]]</f>
        <v>34013</v>
      </c>
      <c r="AD1091" s="1" t="str" cm="1">
        <f t="array" ref="AD1091">_xlfn.IFS(Table2[[#This Row],[PAYMENT GAP]]&lt;=0,"No Gap / Overpaid",Table2[[#This Row],[PAYMENT GAP]]&lt;=25000,"Low Gap",Table2[[#This Row],[PAYMENT GAP]]&lt;=100000,"Medium Gap",
TRUE,"High Gap"
)</f>
        <v>Medium Gap</v>
      </c>
    </row>
    <row r="1092" spans="1:30" x14ac:dyDescent="0.3">
      <c r="A1092">
        <v>1091</v>
      </c>
      <c r="B1092" s="1">
        <v>70000</v>
      </c>
      <c r="C1092" s="1" t="str" cm="1">
        <f t="array" ref="C1092">_xlfn.IFS(Table2[[#This Row],[LIMIT_BAL]]&lt;=100000,"Low",Table2[[#This Row],[LIMIT_BAL]]&lt;=300000,"Medium",
TRUE,"High"
)</f>
        <v>Low</v>
      </c>
      <c r="D1092" t="s">
        <v>2041</v>
      </c>
      <c r="E1092" t="s">
        <v>2043</v>
      </c>
      <c r="F1092" t="s">
        <v>2029</v>
      </c>
      <c r="G1092">
        <v>38</v>
      </c>
      <c r="H1092" t="str" cm="1">
        <f t="array" ref="H1092">_xlfn.IFS(
Table2[[#This Row],[AGE]]&lt;30,"Young",
Table2[[#This Row],[AGE]]&lt;40,"Middle Age",
Table2[[#This Row],[AGE]]&lt;50,"Senior",
TRUE,"Super Senior"
)</f>
        <v>Middle Age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 s="1">
        <v>22578</v>
      </c>
      <c r="P1092" s="1">
        <v>23606</v>
      </c>
      <c r="Q1092" s="1">
        <v>24619</v>
      </c>
      <c r="R1092" s="1">
        <v>25107</v>
      </c>
      <c r="S1092" s="1">
        <v>25634</v>
      </c>
      <c r="T1092" s="1">
        <v>26143</v>
      </c>
      <c r="U1092" s="1">
        <v>1397</v>
      </c>
      <c r="V1092" s="1">
        <v>1410</v>
      </c>
      <c r="W1092" s="1">
        <v>898</v>
      </c>
      <c r="X1092" s="1">
        <v>931</v>
      </c>
      <c r="Y1092" s="1">
        <v>936</v>
      </c>
      <c r="Z1092" s="1">
        <v>970</v>
      </c>
      <c r="AA1092">
        <v>0</v>
      </c>
      <c r="AB1092" t="str">
        <f t="shared" si="17"/>
        <v>Not Defaulter</v>
      </c>
      <c r="AC1092" s="1">
        <f>Table2[[#This Row],[BILL_AMT1]]-Table2[[#This Row],[PAY_AMT1]]</f>
        <v>21181</v>
      </c>
      <c r="AD1092" s="1" t="str" cm="1">
        <f t="array" ref="AD1092">_xlfn.IFS(Table2[[#This Row],[PAYMENT GAP]]&lt;=0,"No Gap / Overpaid",Table2[[#This Row],[PAYMENT GAP]]&lt;=25000,"Low Gap",Table2[[#This Row],[PAYMENT GAP]]&lt;=100000,"Medium Gap",
TRUE,"High Gap"
)</f>
        <v>Low Gap</v>
      </c>
    </row>
    <row r="1093" spans="1:30" x14ac:dyDescent="0.3">
      <c r="A1093">
        <v>1092</v>
      </c>
      <c r="B1093" s="1">
        <v>250000</v>
      </c>
      <c r="C1093" s="1" t="str" cm="1">
        <f t="array" ref="C1093">_xlfn.IFS(Table2[[#This Row],[LIMIT_BAL]]&lt;=100000,"Low",Table2[[#This Row],[LIMIT_BAL]]&lt;=300000,"Medium",
TRUE,"High"
)</f>
        <v>Medium</v>
      </c>
      <c r="D1093" t="s">
        <v>2042</v>
      </c>
      <c r="E1093" t="s">
        <v>2026</v>
      </c>
      <c r="F1093" t="s">
        <v>2029</v>
      </c>
      <c r="G1093">
        <v>31</v>
      </c>
      <c r="H1093" t="str" cm="1">
        <f t="array" ref="H1093">_xlfn.IFS(
Table2[[#This Row],[AGE]]&lt;30,"Young",
Table2[[#This Row],[AGE]]&lt;40,"Middle Age",
Table2[[#This Row],[AGE]]&lt;50,"Senior",
TRUE,"Super Senior"
)</f>
        <v>Middle Age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 s="1">
        <v>215316</v>
      </c>
      <c r="P1093" s="1">
        <v>198490</v>
      </c>
      <c r="Q1093" s="1">
        <v>169014</v>
      </c>
      <c r="R1093" s="1">
        <v>167776</v>
      </c>
      <c r="S1093" s="1">
        <v>168110</v>
      </c>
      <c r="T1093" s="1">
        <v>168505</v>
      </c>
      <c r="U1093" s="1">
        <v>6845</v>
      </c>
      <c r="V1093" s="1">
        <v>5945</v>
      </c>
      <c r="W1093" s="1">
        <v>5919</v>
      </c>
      <c r="X1093" s="1">
        <v>6000</v>
      </c>
      <c r="Y1093" s="1">
        <v>6059</v>
      </c>
      <c r="Z1093" s="1">
        <v>5837</v>
      </c>
      <c r="AA1093">
        <v>0</v>
      </c>
      <c r="AB1093" t="str">
        <f t="shared" si="17"/>
        <v>Not Defaulter</v>
      </c>
      <c r="AC1093" s="1">
        <f>Table2[[#This Row],[BILL_AMT1]]-Table2[[#This Row],[PAY_AMT1]]</f>
        <v>208471</v>
      </c>
      <c r="AD1093" s="1" t="str" cm="1">
        <f t="array" ref="AD1093">_xlfn.IFS(Table2[[#This Row],[PAYMENT GAP]]&lt;=0,"No Gap / Overpaid",Table2[[#This Row],[PAYMENT GAP]]&lt;=25000,"Low Gap",Table2[[#This Row],[PAYMENT GAP]]&lt;=100000,"Medium Gap",
TRUE,"High Gap"
)</f>
        <v>High Gap</v>
      </c>
    </row>
    <row r="1094" spans="1:30" x14ac:dyDescent="0.3">
      <c r="A1094">
        <v>1093</v>
      </c>
      <c r="B1094" s="1">
        <v>210000</v>
      </c>
      <c r="C1094" s="1" t="str" cm="1">
        <f t="array" ref="C1094">_xlfn.IFS(Table2[[#This Row],[LIMIT_BAL]]&lt;=100000,"Low",Table2[[#This Row],[LIMIT_BAL]]&lt;=300000,"Medium",
TRUE,"High"
)</f>
        <v>Medium</v>
      </c>
      <c r="D1094" t="s">
        <v>2042</v>
      </c>
      <c r="E1094" t="s">
        <v>2027</v>
      </c>
      <c r="F1094" t="s">
        <v>2028</v>
      </c>
      <c r="G1094">
        <v>29</v>
      </c>
      <c r="H1094" t="str" cm="1">
        <f t="array" ref="H1094">_xlfn.IFS(
Table2[[#This Row],[AGE]]&lt;30,"Young",
Table2[[#This Row],[AGE]]&lt;40,"Middle Age",
Table2[[#This Row],[AGE]]&lt;50,"Senior",
TRUE,"Super Senior"
)</f>
        <v>Young</v>
      </c>
      <c r="I1094">
        <v>1</v>
      </c>
      <c r="J1094">
        <v>2</v>
      </c>
      <c r="K1094">
        <v>0</v>
      </c>
      <c r="L1094">
        <v>0</v>
      </c>
      <c r="M1094">
        <v>0</v>
      </c>
      <c r="N1094">
        <v>0</v>
      </c>
      <c r="O1094" s="1">
        <v>198510</v>
      </c>
      <c r="P1094" s="1">
        <v>194040</v>
      </c>
      <c r="Q1094" s="1">
        <v>199393</v>
      </c>
      <c r="R1094" s="1">
        <v>194538</v>
      </c>
      <c r="S1094" s="1">
        <v>195990</v>
      </c>
      <c r="T1094" s="1">
        <v>194136</v>
      </c>
      <c r="U1094" s="1">
        <v>0</v>
      </c>
      <c r="V1094" s="1">
        <v>10000</v>
      </c>
      <c r="W1094" s="1">
        <v>7000</v>
      </c>
      <c r="X1094" s="1">
        <v>8000</v>
      </c>
      <c r="Y1094" s="1">
        <v>8000</v>
      </c>
      <c r="Z1094" s="1">
        <v>7200</v>
      </c>
      <c r="AA1094">
        <v>0</v>
      </c>
      <c r="AB1094" t="str">
        <f t="shared" si="17"/>
        <v>Not Defaulter</v>
      </c>
      <c r="AC1094" s="1">
        <f>Table2[[#This Row],[BILL_AMT1]]-Table2[[#This Row],[PAY_AMT1]]</f>
        <v>198510</v>
      </c>
      <c r="AD1094" s="1" t="str" cm="1">
        <f t="array" ref="AD1094">_xlfn.IFS(Table2[[#This Row],[PAYMENT GAP]]&lt;=0,"No Gap / Overpaid",Table2[[#This Row],[PAYMENT GAP]]&lt;=25000,"Low Gap",Table2[[#This Row],[PAYMENT GAP]]&lt;=100000,"Medium Gap",
TRUE,"High Gap"
)</f>
        <v>High Gap</v>
      </c>
    </row>
    <row r="1095" spans="1:30" x14ac:dyDescent="0.3">
      <c r="A1095">
        <v>1094</v>
      </c>
      <c r="B1095" s="1">
        <v>360000</v>
      </c>
      <c r="C1095" s="1" t="str" cm="1">
        <f t="array" ref="C1095">_xlfn.IFS(Table2[[#This Row],[LIMIT_BAL]]&lt;=100000,"Low",Table2[[#This Row],[LIMIT_BAL]]&lt;=300000,"Medium",
TRUE,"High"
)</f>
        <v>High</v>
      </c>
      <c r="D1095" t="s">
        <v>2042</v>
      </c>
      <c r="E1095" t="s">
        <v>2043</v>
      </c>
      <c r="F1095" t="s">
        <v>2028</v>
      </c>
      <c r="G1095">
        <v>41</v>
      </c>
      <c r="H1095" t="str" cm="1">
        <f t="array" ref="H1095">_xlfn.IFS(
Table2[[#This Row],[AGE]]&lt;30,"Young",
Table2[[#This Row],[AGE]]&lt;40,"Middle Age",
Table2[[#This Row],[AGE]]&lt;50,"Senior",
TRUE,"Super Senior"
)</f>
        <v>Senior</v>
      </c>
      <c r="I1095">
        <v>1</v>
      </c>
      <c r="J1095">
        <v>-2</v>
      </c>
      <c r="K1095">
        <v>-2</v>
      </c>
      <c r="L1095">
        <v>-2</v>
      </c>
      <c r="M1095">
        <v>-2</v>
      </c>
      <c r="N1095">
        <v>-2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0</v>
      </c>
      <c r="Z1095" s="1">
        <v>0</v>
      </c>
      <c r="AA1095">
        <v>1</v>
      </c>
      <c r="AB1095" t="str">
        <f t="shared" si="17"/>
        <v>Defaulter</v>
      </c>
      <c r="AC1095" s="1">
        <f>Table2[[#This Row],[BILL_AMT1]]-Table2[[#This Row],[PAY_AMT1]]</f>
        <v>0</v>
      </c>
      <c r="AD1095" s="1" t="str" cm="1">
        <f t="array" ref="AD1095">_xlfn.IFS(Table2[[#This Row],[PAYMENT GAP]]&lt;=0,"No Gap / Overpaid",Table2[[#This Row],[PAYMENT GAP]]&lt;=25000,"Low Gap",Table2[[#This Row],[PAYMENT GAP]]&lt;=100000,"Medium Gap",
TRUE,"High Gap"
)</f>
        <v>No Gap / Overpaid</v>
      </c>
    </row>
    <row r="1096" spans="1:30" x14ac:dyDescent="0.3">
      <c r="A1096">
        <v>1095</v>
      </c>
      <c r="B1096" s="1">
        <v>50000</v>
      </c>
      <c r="C1096" s="1" t="str" cm="1">
        <f t="array" ref="C1096">_xlfn.IFS(Table2[[#This Row],[LIMIT_BAL]]&lt;=100000,"Low",Table2[[#This Row],[LIMIT_BAL]]&lt;=300000,"Medium",
TRUE,"High"
)</f>
        <v>Low</v>
      </c>
      <c r="D1096" t="s">
        <v>2042</v>
      </c>
      <c r="E1096" t="s">
        <v>2043</v>
      </c>
      <c r="F1096" t="s">
        <v>2029</v>
      </c>
      <c r="G1096">
        <v>31</v>
      </c>
      <c r="H1096" t="str" cm="1">
        <f t="array" ref="H1096">_xlfn.IFS(
Table2[[#This Row],[AGE]]&lt;30,"Young",
Table2[[#This Row],[AGE]]&lt;40,"Middle Age",
Table2[[#This Row],[AGE]]&lt;50,"Senior",
TRUE,"Super Senior"
)</f>
        <v>Middle Age</v>
      </c>
      <c r="I1096">
        <v>1</v>
      </c>
      <c r="J1096">
        <v>2</v>
      </c>
      <c r="K1096">
        <v>0</v>
      </c>
      <c r="L1096">
        <v>0</v>
      </c>
      <c r="M1096">
        <v>2</v>
      </c>
      <c r="N1096">
        <v>0</v>
      </c>
      <c r="O1096" s="1">
        <v>48657</v>
      </c>
      <c r="P1096" s="1">
        <v>45079</v>
      </c>
      <c r="Q1096" s="1">
        <v>47714</v>
      </c>
      <c r="R1096" s="1">
        <v>19586</v>
      </c>
      <c r="S1096" s="1">
        <v>19143</v>
      </c>
      <c r="T1096" s="1">
        <v>20051</v>
      </c>
      <c r="U1096" s="1">
        <v>0</v>
      </c>
      <c r="V1096" s="1">
        <v>4300</v>
      </c>
      <c r="W1096" s="1">
        <v>2150</v>
      </c>
      <c r="X1096" s="1">
        <v>0</v>
      </c>
      <c r="Y1096" s="1">
        <v>1204</v>
      </c>
      <c r="Z1096" s="1">
        <v>1000</v>
      </c>
      <c r="AA1096">
        <v>0</v>
      </c>
      <c r="AB1096" t="str">
        <f t="shared" si="17"/>
        <v>Not Defaulter</v>
      </c>
      <c r="AC1096" s="1">
        <f>Table2[[#This Row],[BILL_AMT1]]-Table2[[#This Row],[PAY_AMT1]]</f>
        <v>48657</v>
      </c>
      <c r="AD1096" s="1" t="str" cm="1">
        <f t="array" ref="AD1096">_xlfn.IFS(Table2[[#This Row],[PAYMENT GAP]]&lt;=0,"No Gap / Overpaid",Table2[[#This Row],[PAYMENT GAP]]&lt;=25000,"Low Gap",Table2[[#This Row],[PAYMENT GAP]]&lt;=100000,"Medium Gap",
TRUE,"High Gap"
)</f>
        <v>Medium Gap</v>
      </c>
    </row>
    <row r="1097" spans="1:30" x14ac:dyDescent="0.3">
      <c r="A1097">
        <v>1096</v>
      </c>
      <c r="B1097" s="1">
        <v>670000</v>
      </c>
      <c r="C1097" s="1" t="str" cm="1">
        <f t="array" ref="C1097">_xlfn.IFS(Table2[[#This Row],[LIMIT_BAL]]&lt;=100000,"Low",Table2[[#This Row],[LIMIT_BAL]]&lt;=300000,"Medium",
TRUE,"High"
)</f>
        <v>High</v>
      </c>
      <c r="D1097" t="s">
        <v>2042</v>
      </c>
      <c r="E1097" t="s">
        <v>2026</v>
      </c>
      <c r="F1097" t="s">
        <v>2029</v>
      </c>
      <c r="G1097">
        <v>29</v>
      </c>
      <c r="H1097" t="str" cm="1">
        <f t="array" ref="H1097">_xlfn.IFS(
Table2[[#This Row],[AGE]]&lt;30,"Young",
Table2[[#This Row],[AGE]]&lt;40,"Middle Age",
Table2[[#This Row],[AGE]]&lt;50,"Senior",
TRUE,"Super Senior"
)</f>
        <v>Young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 s="1">
        <v>244663</v>
      </c>
      <c r="P1097" s="1">
        <v>243209</v>
      </c>
      <c r="Q1097" s="1">
        <v>229265</v>
      </c>
      <c r="R1097" s="1">
        <v>228114</v>
      </c>
      <c r="S1097" s="1">
        <v>232795</v>
      </c>
      <c r="T1097" s="1">
        <v>237726</v>
      </c>
      <c r="U1097" s="1">
        <v>10000</v>
      </c>
      <c r="V1097" s="1">
        <v>8000</v>
      </c>
      <c r="W1097" s="1">
        <v>8500</v>
      </c>
      <c r="X1097" s="1">
        <v>8190</v>
      </c>
      <c r="Y1097" s="1">
        <v>9000</v>
      </c>
      <c r="Z1097" s="1">
        <v>8000</v>
      </c>
      <c r="AA1097">
        <v>0</v>
      </c>
      <c r="AB1097" t="str">
        <f t="shared" si="17"/>
        <v>Not Defaulter</v>
      </c>
      <c r="AC1097" s="1">
        <f>Table2[[#This Row],[BILL_AMT1]]-Table2[[#This Row],[PAY_AMT1]]</f>
        <v>234663</v>
      </c>
      <c r="AD1097" s="1" t="str" cm="1">
        <f t="array" ref="AD1097">_xlfn.IFS(Table2[[#This Row],[PAYMENT GAP]]&lt;=0,"No Gap / Overpaid",Table2[[#This Row],[PAYMENT GAP]]&lt;=25000,"Low Gap",Table2[[#This Row],[PAYMENT GAP]]&lt;=100000,"Medium Gap",
TRUE,"High Gap"
)</f>
        <v>High Gap</v>
      </c>
    </row>
    <row r="1098" spans="1:30" x14ac:dyDescent="0.3">
      <c r="A1098">
        <v>1097</v>
      </c>
      <c r="B1098" s="1">
        <v>130000</v>
      </c>
      <c r="C1098" s="1" t="str" cm="1">
        <f t="array" ref="C1098">_xlfn.IFS(Table2[[#This Row],[LIMIT_BAL]]&lt;=100000,"Low",Table2[[#This Row],[LIMIT_BAL]]&lt;=300000,"Medium",
TRUE,"High"
)</f>
        <v>Medium</v>
      </c>
      <c r="D1098" t="s">
        <v>2042</v>
      </c>
      <c r="E1098" t="s">
        <v>2026</v>
      </c>
      <c r="F1098" t="s">
        <v>2029</v>
      </c>
      <c r="G1098">
        <v>26</v>
      </c>
      <c r="H1098" t="str" cm="1">
        <f t="array" ref="H1098">_xlfn.IFS(
Table2[[#This Row],[AGE]]&lt;30,"Young",
Table2[[#This Row],[AGE]]&lt;40,"Middle Age",
Table2[[#This Row],[AGE]]&lt;50,"Senior",
TRUE,"Super Senior"
)</f>
        <v>Young</v>
      </c>
      <c r="I1098">
        <v>-1</v>
      </c>
      <c r="J1098">
        <v>-1</v>
      </c>
      <c r="K1098">
        <v>0</v>
      </c>
      <c r="L1098">
        <v>0</v>
      </c>
      <c r="M1098">
        <v>0</v>
      </c>
      <c r="N1098">
        <v>0</v>
      </c>
      <c r="O1098" s="1">
        <v>2343</v>
      </c>
      <c r="P1098" s="1">
        <v>32278</v>
      </c>
      <c r="Q1098" s="1">
        <v>24175</v>
      </c>
      <c r="R1098" s="1">
        <v>15182</v>
      </c>
      <c r="S1098" s="1">
        <v>12805</v>
      </c>
      <c r="T1098" s="1">
        <v>14415</v>
      </c>
      <c r="U1098" s="1">
        <v>32322</v>
      </c>
      <c r="V1098" s="1">
        <v>1217</v>
      </c>
      <c r="W1098" s="1">
        <v>1000</v>
      </c>
      <c r="X1098" s="1">
        <v>3000</v>
      </c>
      <c r="Y1098" s="1">
        <v>2000</v>
      </c>
      <c r="Z1098" s="1">
        <v>390</v>
      </c>
      <c r="AA1098">
        <v>0</v>
      </c>
      <c r="AB1098" t="str">
        <f t="shared" si="17"/>
        <v>Not Defaulter</v>
      </c>
      <c r="AC1098" s="1">
        <f>Table2[[#This Row],[BILL_AMT1]]-Table2[[#This Row],[PAY_AMT1]]</f>
        <v>-29979</v>
      </c>
      <c r="AD1098" s="1" t="str" cm="1">
        <f t="array" ref="AD1098">_xlfn.IFS(Table2[[#This Row],[PAYMENT GAP]]&lt;=0,"No Gap / Overpaid",Table2[[#This Row],[PAYMENT GAP]]&lt;=25000,"Low Gap",Table2[[#This Row],[PAYMENT GAP]]&lt;=100000,"Medium Gap",
TRUE,"High Gap"
)</f>
        <v>No Gap / Overpaid</v>
      </c>
    </row>
    <row r="1099" spans="1:30" x14ac:dyDescent="0.3">
      <c r="A1099">
        <v>1098</v>
      </c>
      <c r="B1099" s="1">
        <v>170000</v>
      </c>
      <c r="C1099" s="1" t="str" cm="1">
        <f t="array" ref="C1099">_xlfn.IFS(Table2[[#This Row],[LIMIT_BAL]]&lt;=100000,"Low",Table2[[#This Row],[LIMIT_BAL]]&lt;=300000,"Medium",
TRUE,"High"
)</f>
        <v>Medium</v>
      </c>
      <c r="D1099" t="s">
        <v>2042</v>
      </c>
      <c r="E1099" t="s">
        <v>2026</v>
      </c>
      <c r="F1099" t="s">
        <v>2028</v>
      </c>
      <c r="G1099">
        <v>42</v>
      </c>
      <c r="H1099" t="str" cm="1">
        <f t="array" ref="H1099">_xlfn.IFS(
Table2[[#This Row],[AGE]]&lt;30,"Young",
Table2[[#This Row],[AGE]]&lt;40,"Middle Age",
Table2[[#This Row],[AGE]]&lt;50,"Senior",
TRUE,"Super Senior"
)</f>
        <v>Senior</v>
      </c>
      <c r="I1099">
        <v>1</v>
      </c>
      <c r="J1099">
        <v>-2</v>
      </c>
      <c r="K1099">
        <v>-2</v>
      </c>
      <c r="L1099">
        <v>-2</v>
      </c>
      <c r="M1099">
        <v>-2</v>
      </c>
      <c r="N1099">
        <v>-1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2485</v>
      </c>
      <c r="U1099" s="1">
        <v>0</v>
      </c>
      <c r="V1099" s="1">
        <v>0</v>
      </c>
      <c r="W1099" s="1">
        <v>0</v>
      </c>
      <c r="X1099" s="1">
        <v>0</v>
      </c>
      <c r="Y1099" s="1">
        <v>2485</v>
      </c>
      <c r="Z1099" s="1">
        <v>7797</v>
      </c>
      <c r="AA1099">
        <v>0</v>
      </c>
      <c r="AB1099" t="str">
        <f t="shared" si="17"/>
        <v>Not Defaulter</v>
      </c>
      <c r="AC1099" s="1">
        <f>Table2[[#This Row],[BILL_AMT1]]-Table2[[#This Row],[PAY_AMT1]]</f>
        <v>0</v>
      </c>
      <c r="AD1099" s="1" t="str" cm="1">
        <f t="array" ref="AD1099">_xlfn.IFS(Table2[[#This Row],[PAYMENT GAP]]&lt;=0,"No Gap / Overpaid",Table2[[#This Row],[PAYMENT GAP]]&lt;=25000,"Low Gap",Table2[[#This Row],[PAYMENT GAP]]&lt;=100000,"Medium Gap",
TRUE,"High Gap"
)</f>
        <v>No Gap / Overpaid</v>
      </c>
    </row>
    <row r="1100" spans="1:30" x14ac:dyDescent="0.3">
      <c r="A1100">
        <v>1099</v>
      </c>
      <c r="B1100" s="1">
        <v>30000</v>
      </c>
      <c r="C1100" s="1" t="str" cm="1">
        <f t="array" ref="C1100">_xlfn.IFS(Table2[[#This Row],[LIMIT_BAL]]&lt;=100000,"Low",Table2[[#This Row],[LIMIT_BAL]]&lt;=300000,"Medium",
TRUE,"High"
)</f>
        <v>Low</v>
      </c>
      <c r="D1100" t="s">
        <v>2042</v>
      </c>
      <c r="E1100" t="s">
        <v>2027</v>
      </c>
      <c r="F1100" t="s">
        <v>2029</v>
      </c>
      <c r="G1100">
        <v>29</v>
      </c>
      <c r="H1100" t="str" cm="1">
        <f t="array" ref="H1100">_xlfn.IFS(
Table2[[#This Row],[AGE]]&lt;30,"Young",
Table2[[#This Row],[AGE]]&lt;40,"Middle Age",
Table2[[#This Row],[AGE]]&lt;50,"Senior",
TRUE,"Super Senior"
)</f>
        <v>Young</v>
      </c>
      <c r="I1100">
        <v>-1</v>
      </c>
      <c r="J1100">
        <v>-1</v>
      </c>
      <c r="K1100">
        <v>-1</v>
      </c>
      <c r="L1100">
        <v>-1</v>
      </c>
      <c r="M1100">
        <v>-2</v>
      </c>
      <c r="N1100">
        <v>-2</v>
      </c>
      <c r="O1100" s="1">
        <v>390</v>
      </c>
      <c r="P1100" s="1">
        <v>0</v>
      </c>
      <c r="Q1100" s="1">
        <v>780</v>
      </c>
      <c r="R1100" s="1">
        <v>0</v>
      </c>
      <c r="S1100" s="1">
        <v>0</v>
      </c>
      <c r="T1100" s="1">
        <v>0</v>
      </c>
      <c r="U1100" s="1">
        <v>0</v>
      </c>
      <c r="V1100" s="1">
        <v>780</v>
      </c>
      <c r="W1100" s="1">
        <v>0</v>
      </c>
      <c r="X1100" s="1">
        <v>0</v>
      </c>
      <c r="Y1100" s="1">
        <v>0</v>
      </c>
      <c r="Z1100" s="1">
        <v>0</v>
      </c>
      <c r="AA1100">
        <v>0</v>
      </c>
      <c r="AB1100" t="str">
        <f t="shared" si="17"/>
        <v>Not Defaulter</v>
      </c>
      <c r="AC1100" s="1">
        <f>Table2[[#This Row],[BILL_AMT1]]-Table2[[#This Row],[PAY_AMT1]]</f>
        <v>390</v>
      </c>
      <c r="AD1100" s="1" t="str" cm="1">
        <f t="array" ref="AD1100">_xlfn.IFS(Table2[[#This Row],[PAYMENT GAP]]&lt;=0,"No Gap / Overpaid",Table2[[#This Row],[PAYMENT GAP]]&lt;=25000,"Low Gap",Table2[[#This Row],[PAYMENT GAP]]&lt;=100000,"Medium Gap",
TRUE,"High Gap"
)</f>
        <v>Low Gap</v>
      </c>
    </row>
    <row r="1101" spans="1:30" x14ac:dyDescent="0.3">
      <c r="A1101">
        <v>1100</v>
      </c>
      <c r="B1101" s="1">
        <v>110000</v>
      </c>
      <c r="C1101" s="1" t="str" cm="1">
        <f t="array" ref="C1101">_xlfn.IFS(Table2[[#This Row],[LIMIT_BAL]]&lt;=100000,"Low",Table2[[#This Row],[LIMIT_BAL]]&lt;=300000,"Medium",
TRUE,"High"
)</f>
        <v>Medium</v>
      </c>
      <c r="D1101" t="s">
        <v>2042</v>
      </c>
      <c r="E1101" t="s">
        <v>2026</v>
      </c>
      <c r="F1101" t="s">
        <v>2028</v>
      </c>
      <c r="G1101">
        <v>50</v>
      </c>
      <c r="H1101" t="str" cm="1">
        <f t="array" ref="H1101">_xlfn.IFS(
Table2[[#This Row],[AGE]]&lt;30,"Young",
Table2[[#This Row],[AGE]]&lt;40,"Middle Age",
Table2[[#This Row],[AGE]]&lt;50,"Senior",
TRUE,"Super Senior"
)</f>
        <v>Super Senior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 s="1">
        <v>36802</v>
      </c>
      <c r="P1101" s="1">
        <v>38210</v>
      </c>
      <c r="Q1101" s="1">
        <v>40259</v>
      </c>
      <c r="R1101" s="1">
        <v>41585</v>
      </c>
      <c r="S1101" s="1">
        <v>42913</v>
      </c>
      <c r="T1101" s="1">
        <v>44197</v>
      </c>
      <c r="U1101" s="1">
        <v>2000</v>
      </c>
      <c r="V1101" s="1">
        <v>3000</v>
      </c>
      <c r="W1101" s="1">
        <v>2000</v>
      </c>
      <c r="X1101" s="1">
        <v>2000</v>
      </c>
      <c r="Y1101" s="1">
        <v>2000</v>
      </c>
      <c r="Z1101" s="1">
        <v>2000</v>
      </c>
      <c r="AA1101">
        <v>0</v>
      </c>
      <c r="AB1101" t="str">
        <f t="shared" si="17"/>
        <v>Not Defaulter</v>
      </c>
      <c r="AC1101" s="1">
        <f>Table2[[#This Row],[BILL_AMT1]]-Table2[[#This Row],[PAY_AMT1]]</f>
        <v>34802</v>
      </c>
      <c r="AD1101" s="1" t="str" cm="1">
        <f t="array" ref="AD1101">_xlfn.IFS(Table2[[#This Row],[PAYMENT GAP]]&lt;=0,"No Gap / Overpaid",Table2[[#This Row],[PAYMENT GAP]]&lt;=25000,"Low Gap",Table2[[#This Row],[PAYMENT GAP]]&lt;=100000,"Medium Gap",
TRUE,"High Gap"
)</f>
        <v>Medium Gap</v>
      </c>
    </row>
    <row r="1102" spans="1:30" x14ac:dyDescent="0.3">
      <c r="A1102">
        <v>1101</v>
      </c>
      <c r="B1102" s="1">
        <v>210000</v>
      </c>
      <c r="C1102" s="1" t="str" cm="1">
        <f t="array" ref="C1102">_xlfn.IFS(Table2[[#This Row],[LIMIT_BAL]]&lt;=100000,"Low",Table2[[#This Row],[LIMIT_BAL]]&lt;=300000,"Medium",
TRUE,"High"
)</f>
        <v>Medium</v>
      </c>
      <c r="D1102" t="s">
        <v>2041</v>
      </c>
      <c r="E1102" t="s">
        <v>2027</v>
      </c>
      <c r="F1102" t="s">
        <v>2029</v>
      </c>
      <c r="G1102">
        <v>46</v>
      </c>
      <c r="H1102" t="str" cm="1">
        <f t="array" ref="H1102">_xlfn.IFS(
Table2[[#This Row],[AGE]]&lt;30,"Young",
Table2[[#This Row],[AGE]]&lt;40,"Middle Age",
Table2[[#This Row],[AGE]]&lt;50,"Senior",
TRUE,"Super Senior"
)</f>
        <v>Senior</v>
      </c>
      <c r="I1102">
        <v>1</v>
      </c>
      <c r="J1102">
        <v>2</v>
      </c>
      <c r="K1102">
        <v>0</v>
      </c>
      <c r="L1102">
        <v>0</v>
      </c>
      <c r="M1102">
        <v>-1</v>
      </c>
      <c r="N1102">
        <v>-1</v>
      </c>
      <c r="O1102" s="1">
        <v>5816</v>
      </c>
      <c r="P1102" s="1">
        <v>5579</v>
      </c>
      <c r="Q1102" s="1">
        <v>20079</v>
      </c>
      <c r="R1102" s="1">
        <v>17309</v>
      </c>
      <c r="S1102" s="1">
        <v>2310</v>
      </c>
      <c r="T1102" s="1">
        <v>241</v>
      </c>
      <c r="U1102" s="1">
        <v>13</v>
      </c>
      <c r="V1102" s="1">
        <v>17309</v>
      </c>
      <c r="W1102" s="1">
        <v>0</v>
      </c>
      <c r="X1102" s="1">
        <v>2310</v>
      </c>
      <c r="Y1102" s="1">
        <v>241</v>
      </c>
      <c r="Z1102" s="1">
        <v>4000</v>
      </c>
      <c r="AA1102">
        <v>1</v>
      </c>
      <c r="AB1102" t="str">
        <f t="shared" si="17"/>
        <v>Defaulter</v>
      </c>
      <c r="AC1102" s="1">
        <f>Table2[[#This Row],[BILL_AMT1]]-Table2[[#This Row],[PAY_AMT1]]</f>
        <v>5803</v>
      </c>
      <c r="AD1102" s="1" t="str" cm="1">
        <f t="array" ref="AD1102">_xlfn.IFS(Table2[[#This Row],[PAYMENT GAP]]&lt;=0,"No Gap / Overpaid",Table2[[#This Row],[PAYMENT GAP]]&lt;=25000,"Low Gap",Table2[[#This Row],[PAYMENT GAP]]&lt;=100000,"Medium Gap",
TRUE,"High Gap"
)</f>
        <v>Low Gap</v>
      </c>
    </row>
    <row r="1103" spans="1:30" x14ac:dyDescent="0.3">
      <c r="A1103">
        <v>1102</v>
      </c>
      <c r="B1103" s="1">
        <v>30000</v>
      </c>
      <c r="C1103" s="1" t="str" cm="1">
        <f t="array" ref="C1103">_xlfn.IFS(Table2[[#This Row],[LIMIT_BAL]]&lt;=100000,"Low",Table2[[#This Row],[LIMIT_BAL]]&lt;=300000,"Medium",
TRUE,"High"
)</f>
        <v>Low</v>
      </c>
      <c r="D1103" t="s">
        <v>2041</v>
      </c>
      <c r="E1103" t="s">
        <v>2043</v>
      </c>
      <c r="F1103" t="s">
        <v>2029</v>
      </c>
      <c r="G1103">
        <v>24</v>
      </c>
      <c r="H1103" t="str" cm="1">
        <f t="array" ref="H1103">_xlfn.IFS(
Table2[[#This Row],[AGE]]&lt;30,"Young",
Table2[[#This Row],[AGE]]&lt;40,"Middle Age",
Table2[[#This Row],[AGE]]&lt;50,"Senior",
TRUE,"Super Senior"
)</f>
        <v>Young</v>
      </c>
      <c r="I1103">
        <v>0</v>
      </c>
      <c r="J1103">
        <v>0</v>
      </c>
      <c r="K1103">
        <v>2</v>
      </c>
      <c r="L1103">
        <v>2</v>
      </c>
      <c r="M1103">
        <v>2</v>
      </c>
      <c r="N1103">
        <v>0</v>
      </c>
      <c r="O1103" s="1">
        <v>24238</v>
      </c>
      <c r="P1103" s="1">
        <v>26996</v>
      </c>
      <c r="Q1103" s="1">
        <v>26269</v>
      </c>
      <c r="R1103" s="1">
        <v>27734</v>
      </c>
      <c r="S1103" s="1">
        <v>27151</v>
      </c>
      <c r="T1103" s="1">
        <v>28199</v>
      </c>
      <c r="U1103" s="1">
        <v>3462</v>
      </c>
      <c r="V1103" s="1">
        <v>0</v>
      </c>
      <c r="W1103" s="1">
        <v>2200</v>
      </c>
      <c r="X1103" s="1">
        <v>0</v>
      </c>
      <c r="Y1103" s="1">
        <v>1500</v>
      </c>
      <c r="Z1103" s="1">
        <v>1500</v>
      </c>
      <c r="AA1103">
        <v>1</v>
      </c>
      <c r="AB1103" t="str">
        <f t="shared" si="17"/>
        <v>Defaulter</v>
      </c>
      <c r="AC1103" s="1">
        <f>Table2[[#This Row],[BILL_AMT1]]-Table2[[#This Row],[PAY_AMT1]]</f>
        <v>20776</v>
      </c>
      <c r="AD1103" s="1" t="str" cm="1">
        <f t="array" ref="AD1103">_xlfn.IFS(Table2[[#This Row],[PAYMENT GAP]]&lt;=0,"No Gap / Overpaid",Table2[[#This Row],[PAYMENT GAP]]&lt;=25000,"Low Gap",Table2[[#This Row],[PAYMENT GAP]]&lt;=100000,"Medium Gap",
TRUE,"High Gap"
)</f>
        <v>Low Gap</v>
      </c>
    </row>
    <row r="1104" spans="1:30" x14ac:dyDescent="0.3">
      <c r="A1104">
        <v>1103</v>
      </c>
      <c r="B1104" s="1">
        <v>260000</v>
      </c>
      <c r="C1104" s="1" t="str" cm="1">
        <f t="array" ref="C1104">_xlfn.IFS(Table2[[#This Row],[LIMIT_BAL]]&lt;=100000,"Low",Table2[[#This Row],[LIMIT_BAL]]&lt;=300000,"Medium",
TRUE,"High"
)</f>
        <v>Medium</v>
      </c>
      <c r="D1104" t="s">
        <v>2041</v>
      </c>
      <c r="E1104" t="s">
        <v>2043</v>
      </c>
      <c r="F1104" t="s">
        <v>2028</v>
      </c>
      <c r="G1104">
        <v>46</v>
      </c>
      <c r="H1104" t="str" cm="1">
        <f t="array" ref="H1104">_xlfn.IFS(
Table2[[#This Row],[AGE]]&lt;30,"Young",
Table2[[#This Row],[AGE]]&lt;40,"Middle Age",
Table2[[#This Row],[AGE]]&lt;50,"Senior",
TRUE,"Super Senior"
)</f>
        <v>Senior</v>
      </c>
      <c r="I1104">
        <v>0</v>
      </c>
      <c r="J1104">
        <v>0</v>
      </c>
      <c r="K1104">
        <v>2</v>
      </c>
      <c r="L1104">
        <v>2</v>
      </c>
      <c r="M1104">
        <v>2</v>
      </c>
      <c r="N1104">
        <v>0</v>
      </c>
      <c r="O1104" s="1">
        <v>18256</v>
      </c>
      <c r="P1104" s="1">
        <v>19556</v>
      </c>
      <c r="Q1104" s="1">
        <v>18136</v>
      </c>
      <c r="R1104" s="1">
        <v>24018</v>
      </c>
      <c r="S1104" s="1">
        <v>21490</v>
      </c>
      <c r="T1104" s="1">
        <v>18196</v>
      </c>
      <c r="U1104" s="1">
        <v>2934</v>
      </c>
      <c r="V1104" s="1">
        <v>0</v>
      </c>
      <c r="W1104" s="1">
        <v>8000</v>
      </c>
      <c r="X1104" s="1">
        <v>0</v>
      </c>
      <c r="Y1104" s="1">
        <v>2000</v>
      </c>
      <c r="Z1104" s="1">
        <v>8000</v>
      </c>
      <c r="AA1104">
        <v>0</v>
      </c>
      <c r="AB1104" t="str">
        <f t="shared" si="17"/>
        <v>Not Defaulter</v>
      </c>
      <c r="AC1104" s="1">
        <f>Table2[[#This Row],[BILL_AMT1]]-Table2[[#This Row],[PAY_AMT1]]</f>
        <v>15322</v>
      </c>
      <c r="AD1104" s="1" t="str" cm="1">
        <f t="array" ref="AD1104">_xlfn.IFS(Table2[[#This Row],[PAYMENT GAP]]&lt;=0,"No Gap / Overpaid",Table2[[#This Row],[PAYMENT GAP]]&lt;=25000,"Low Gap",Table2[[#This Row],[PAYMENT GAP]]&lt;=100000,"Medium Gap",
TRUE,"High Gap"
)</f>
        <v>Low Gap</v>
      </c>
    </row>
    <row r="1105" spans="1:30" x14ac:dyDescent="0.3">
      <c r="A1105">
        <v>1104</v>
      </c>
      <c r="B1105" s="1">
        <v>150000</v>
      </c>
      <c r="C1105" s="1" t="str" cm="1">
        <f t="array" ref="C1105">_xlfn.IFS(Table2[[#This Row],[LIMIT_BAL]]&lt;=100000,"Low",Table2[[#This Row],[LIMIT_BAL]]&lt;=300000,"Medium",
TRUE,"High"
)</f>
        <v>Medium</v>
      </c>
      <c r="D1105" t="s">
        <v>2041</v>
      </c>
      <c r="E1105" t="s">
        <v>2027</v>
      </c>
      <c r="F1105" t="s">
        <v>2029</v>
      </c>
      <c r="G1105">
        <v>28</v>
      </c>
      <c r="H1105" t="str" cm="1">
        <f t="array" ref="H1105">_xlfn.IFS(
Table2[[#This Row],[AGE]]&lt;30,"Young",
Table2[[#This Row],[AGE]]&lt;40,"Middle Age",
Table2[[#This Row],[AGE]]&lt;50,"Senior",
TRUE,"Super Senior"
)</f>
        <v>Young</v>
      </c>
      <c r="I1105">
        <v>-2</v>
      </c>
      <c r="J1105">
        <v>-1</v>
      </c>
      <c r="K1105">
        <v>-1</v>
      </c>
      <c r="L1105">
        <v>-1</v>
      </c>
      <c r="M1105">
        <v>-1</v>
      </c>
      <c r="N1105">
        <v>-1</v>
      </c>
      <c r="O1105" s="1">
        <v>1723</v>
      </c>
      <c r="P1105" s="1">
        <v>2292</v>
      </c>
      <c r="Q1105" s="1">
        <v>240</v>
      </c>
      <c r="R1105" s="1">
        <v>683</v>
      </c>
      <c r="S1105" s="1">
        <v>3486</v>
      </c>
      <c r="T1105" s="1">
        <v>5390</v>
      </c>
      <c r="U1105" s="1">
        <v>6876</v>
      </c>
      <c r="V1105" s="1">
        <v>240</v>
      </c>
      <c r="W1105" s="1">
        <v>683</v>
      </c>
      <c r="X1105" s="1">
        <v>3486</v>
      </c>
      <c r="Y1105" s="1">
        <v>5390</v>
      </c>
      <c r="Z1105" s="1">
        <v>1200</v>
      </c>
      <c r="AA1105">
        <v>0</v>
      </c>
      <c r="AB1105" t="str">
        <f t="shared" si="17"/>
        <v>Not Defaulter</v>
      </c>
      <c r="AC1105" s="1">
        <f>Table2[[#This Row],[BILL_AMT1]]-Table2[[#This Row],[PAY_AMT1]]</f>
        <v>-5153</v>
      </c>
      <c r="AD1105" s="1" t="str" cm="1">
        <f t="array" ref="AD1105">_xlfn.IFS(Table2[[#This Row],[PAYMENT GAP]]&lt;=0,"No Gap / Overpaid",Table2[[#This Row],[PAYMENT GAP]]&lt;=25000,"Low Gap",Table2[[#This Row],[PAYMENT GAP]]&lt;=100000,"Medium Gap",
TRUE,"High Gap"
)</f>
        <v>No Gap / Overpaid</v>
      </c>
    </row>
    <row r="1106" spans="1:30" x14ac:dyDescent="0.3">
      <c r="A1106">
        <v>1105</v>
      </c>
      <c r="B1106" s="1">
        <v>20000</v>
      </c>
      <c r="C1106" s="1" t="str" cm="1">
        <f t="array" ref="C1106">_xlfn.IFS(Table2[[#This Row],[LIMIT_BAL]]&lt;=100000,"Low",Table2[[#This Row],[LIMIT_BAL]]&lt;=300000,"Medium",
TRUE,"High"
)</f>
        <v>Low</v>
      </c>
      <c r="D1106" t="s">
        <v>2041</v>
      </c>
      <c r="E1106" t="s">
        <v>2043</v>
      </c>
      <c r="F1106" t="s">
        <v>2028</v>
      </c>
      <c r="G1106">
        <v>35</v>
      </c>
      <c r="H1106" t="str" cm="1">
        <f t="array" ref="H1106">_xlfn.IFS(
Table2[[#This Row],[AGE]]&lt;30,"Young",
Table2[[#This Row],[AGE]]&lt;40,"Middle Age",
Table2[[#This Row],[AGE]]&lt;50,"Senior",
TRUE,"Super Senior"
)</f>
        <v>Middle Age</v>
      </c>
      <c r="I1106">
        <v>1</v>
      </c>
      <c r="J1106">
        <v>2</v>
      </c>
      <c r="K1106">
        <v>2</v>
      </c>
      <c r="L1106">
        <v>3</v>
      </c>
      <c r="M1106">
        <v>2</v>
      </c>
      <c r="N1106">
        <v>0</v>
      </c>
      <c r="O1106" s="1">
        <v>18648</v>
      </c>
      <c r="P1106" s="1">
        <v>18061</v>
      </c>
      <c r="Q1106" s="1">
        <v>21034</v>
      </c>
      <c r="R1106" s="1">
        <v>20419</v>
      </c>
      <c r="S1106" s="1">
        <v>19289</v>
      </c>
      <c r="T1106" s="1">
        <v>19600</v>
      </c>
      <c r="U1106" s="1">
        <v>0</v>
      </c>
      <c r="V1106" s="1">
        <v>3292</v>
      </c>
      <c r="W1106" s="1">
        <v>0</v>
      </c>
      <c r="X1106" s="1">
        <v>0</v>
      </c>
      <c r="Y1106" s="1">
        <v>781</v>
      </c>
      <c r="Z1106" s="1">
        <v>701</v>
      </c>
      <c r="AA1106">
        <v>1</v>
      </c>
      <c r="AB1106" t="str">
        <f t="shared" si="17"/>
        <v>Defaulter</v>
      </c>
      <c r="AC1106" s="1">
        <f>Table2[[#This Row],[BILL_AMT1]]-Table2[[#This Row],[PAY_AMT1]]</f>
        <v>18648</v>
      </c>
      <c r="AD1106" s="1" t="str" cm="1">
        <f t="array" ref="AD1106">_xlfn.IFS(Table2[[#This Row],[PAYMENT GAP]]&lt;=0,"No Gap / Overpaid",Table2[[#This Row],[PAYMENT GAP]]&lt;=25000,"Low Gap",Table2[[#This Row],[PAYMENT GAP]]&lt;=100000,"Medium Gap",
TRUE,"High Gap"
)</f>
        <v>Low Gap</v>
      </c>
    </row>
    <row r="1107" spans="1:30" x14ac:dyDescent="0.3">
      <c r="A1107">
        <v>1106</v>
      </c>
      <c r="B1107" s="1">
        <v>380000</v>
      </c>
      <c r="C1107" s="1" t="str" cm="1">
        <f t="array" ref="C1107">_xlfn.IFS(Table2[[#This Row],[LIMIT_BAL]]&lt;=100000,"Low",Table2[[#This Row],[LIMIT_BAL]]&lt;=300000,"Medium",
TRUE,"High"
)</f>
        <v>High</v>
      </c>
      <c r="D1107" t="s">
        <v>2041</v>
      </c>
      <c r="E1107" t="s">
        <v>2026</v>
      </c>
      <c r="F1107" t="s">
        <v>2028</v>
      </c>
      <c r="G1107">
        <v>40</v>
      </c>
      <c r="H1107" t="str" cm="1">
        <f t="array" ref="H1107">_xlfn.IFS(
Table2[[#This Row],[AGE]]&lt;30,"Young",
Table2[[#This Row],[AGE]]&lt;40,"Middle Age",
Table2[[#This Row],[AGE]]&lt;50,"Senior",
TRUE,"Super Senior"
)</f>
        <v>Senior</v>
      </c>
      <c r="I1107">
        <v>-1</v>
      </c>
      <c r="J1107">
        <v>-1</v>
      </c>
      <c r="K1107">
        <v>-2</v>
      </c>
      <c r="L1107">
        <v>-2</v>
      </c>
      <c r="M1107">
        <v>-2</v>
      </c>
      <c r="N1107">
        <v>-2</v>
      </c>
      <c r="O1107" s="1">
        <v>6614</v>
      </c>
      <c r="P1107" s="1">
        <v>54457</v>
      </c>
      <c r="Q1107" s="1">
        <v>47872</v>
      </c>
      <c r="R1107" s="1">
        <v>24543</v>
      </c>
      <c r="S1107" s="1">
        <v>0</v>
      </c>
      <c r="T1107" s="1">
        <v>0</v>
      </c>
      <c r="U1107" s="1">
        <v>49094</v>
      </c>
      <c r="V1107" s="1">
        <v>0</v>
      </c>
      <c r="W1107" s="1">
        <v>24543</v>
      </c>
      <c r="X1107" s="1">
        <v>0</v>
      </c>
      <c r="Y1107" s="1">
        <v>0</v>
      </c>
      <c r="Z1107" s="1">
        <v>0</v>
      </c>
      <c r="AA1107">
        <v>0</v>
      </c>
      <c r="AB1107" t="str">
        <f t="shared" si="17"/>
        <v>Not Defaulter</v>
      </c>
      <c r="AC1107" s="1">
        <f>Table2[[#This Row],[BILL_AMT1]]-Table2[[#This Row],[PAY_AMT1]]</f>
        <v>-42480</v>
      </c>
      <c r="AD1107" s="1" t="str" cm="1">
        <f t="array" ref="AD1107">_xlfn.IFS(Table2[[#This Row],[PAYMENT GAP]]&lt;=0,"No Gap / Overpaid",Table2[[#This Row],[PAYMENT GAP]]&lt;=25000,"Low Gap",Table2[[#This Row],[PAYMENT GAP]]&lt;=100000,"Medium Gap",
TRUE,"High Gap"
)</f>
        <v>No Gap / Overpaid</v>
      </c>
    </row>
    <row r="1108" spans="1:30" x14ac:dyDescent="0.3">
      <c r="A1108">
        <v>1107</v>
      </c>
      <c r="B1108" s="1">
        <v>200000</v>
      </c>
      <c r="C1108" s="1" t="str" cm="1">
        <f t="array" ref="C1108">_xlfn.IFS(Table2[[#This Row],[LIMIT_BAL]]&lt;=100000,"Low",Table2[[#This Row],[LIMIT_BAL]]&lt;=300000,"Medium",
TRUE,"High"
)</f>
        <v>Medium</v>
      </c>
      <c r="D1108" t="s">
        <v>2041</v>
      </c>
      <c r="E1108" t="s">
        <v>2026</v>
      </c>
      <c r="F1108" t="s">
        <v>2028</v>
      </c>
      <c r="G1108">
        <v>41</v>
      </c>
      <c r="H1108" t="str" cm="1">
        <f t="array" ref="H1108">_xlfn.IFS(
Table2[[#This Row],[AGE]]&lt;30,"Young",
Table2[[#This Row],[AGE]]&lt;40,"Middle Age",
Table2[[#This Row],[AGE]]&lt;50,"Senior",
TRUE,"Super Senior"
)</f>
        <v>Senior</v>
      </c>
      <c r="I1108">
        <v>-2</v>
      </c>
      <c r="J1108">
        <v>-2</v>
      </c>
      <c r="K1108">
        <v>-2</v>
      </c>
      <c r="L1108">
        <v>-2</v>
      </c>
      <c r="M1108">
        <v>-2</v>
      </c>
      <c r="N1108">
        <v>-2</v>
      </c>
      <c r="O1108" s="1">
        <v>7812</v>
      </c>
      <c r="P1108" s="1">
        <v>0</v>
      </c>
      <c r="Q1108" s="1">
        <v>0</v>
      </c>
      <c r="R1108" s="1">
        <v>1115</v>
      </c>
      <c r="S1108" s="1">
        <v>0</v>
      </c>
      <c r="T1108" s="1">
        <v>0</v>
      </c>
      <c r="U1108" s="1">
        <v>0</v>
      </c>
      <c r="V1108" s="1">
        <v>0</v>
      </c>
      <c r="W1108" s="1">
        <v>1115</v>
      </c>
      <c r="X1108" s="1">
        <v>0</v>
      </c>
      <c r="Y1108" s="1">
        <v>0</v>
      </c>
      <c r="Z1108" s="1">
        <v>0</v>
      </c>
      <c r="AA1108">
        <v>0</v>
      </c>
      <c r="AB1108" t="str">
        <f t="shared" si="17"/>
        <v>Not Defaulter</v>
      </c>
      <c r="AC1108" s="1">
        <f>Table2[[#This Row],[BILL_AMT1]]-Table2[[#This Row],[PAY_AMT1]]</f>
        <v>7812</v>
      </c>
      <c r="AD1108" s="1" t="str" cm="1">
        <f t="array" ref="AD1108">_xlfn.IFS(Table2[[#This Row],[PAYMENT GAP]]&lt;=0,"No Gap / Overpaid",Table2[[#This Row],[PAYMENT GAP]]&lt;=25000,"Low Gap",Table2[[#This Row],[PAYMENT GAP]]&lt;=100000,"Medium Gap",
TRUE,"High Gap"
)</f>
        <v>Low Gap</v>
      </c>
    </row>
    <row r="1109" spans="1:30" x14ac:dyDescent="0.3">
      <c r="A1109">
        <v>1108</v>
      </c>
      <c r="B1109" s="1">
        <v>120000</v>
      </c>
      <c r="C1109" s="1" t="str" cm="1">
        <f t="array" ref="C1109">_xlfn.IFS(Table2[[#This Row],[LIMIT_BAL]]&lt;=100000,"Low",Table2[[#This Row],[LIMIT_BAL]]&lt;=300000,"Medium",
TRUE,"High"
)</f>
        <v>Medium</v>
      </c>
      <c r="D1109" t="s">
        <v>2041</v>
      </c>
      <c r="E1109" t="s">
        <v>2043</v>
      </c>
      <c r="F1109" t="s">
        <v>2028</v>
      </c>
      <c r="G1109">
        <v>47</v>
      </c>
      <c r="H1109" t="str" cm="1">
        <f t="array" ref="H1109">_xlfn.IFS(
Table2[[#This Row],[AGE]]&lt;30,"Young",
Table2[[#This Row],[AGE]]&lt;40,"Middle Age",
Table2[[#This Row],[AGE]]&lt;50,"Senior",
TRUE,"Super Senior"
)</f>
        <v>Senior</v>
      </c>
      <c r="I1109">
        <v>-1</v>
      </c>
      <c r="J1109">
        <v>-1</v>
      </c>
      <c r="K1109">
        <v>-1</v>
      </c>
      <c r="L1109">
        <v>-1</v>
      </c>
      <c r="M1109">
        <v>-1</v>
      </c>
      <c r="N1109">
        <v>-1</v>
      </c>
      <c r="O1109" s="1">
        <v>1188</v>
      </c>
      <c r="P1109" s="1">
        <v>2512</v>
      </c>
      <c r="Q1109" s="1">
        <v>3444</v>
      </c>
      <c r="R1109" s="1">
        <v>1742</v>
      </c>
      <c r="S1109" s="1">
        <v>502</v>
      </c>
      <c r="T1109" s="1">
        <v>346</v>
      </c>
      <c r="U1109" s="1">
        <v>2512</v>
      </c>
      <c r="V1109" s="1">
        <v>3444</v>
      </c>
      <c r="W1109" s="1">
        <v>1742</v>
      </c>
      <c r="X1109" s="1">
        <v>502</v>
      </c>
      <c r="Y1109" s="1">
        <v>346</v>
      </c>
      <c r="Z1109" s="1">
        <v>325</v>
      </c>
      <c r="AA1109">
        <v>0</v>
      </c>
      <c r="AB1109" t="str">
        <f t="shared" si="17"/>
        <v>Not Defaulter</v>
      </c>
      <c r="AC1109" s="1">
        <f>Table2[[#This Row],[BILL_AMT1]]-Table2[[#This Row],[PAY_AMT1]]</f>
        <v>-1324</v>
      </c>
      <c r="AD1109" s="1" t="str" cm="1">
        <f t="array" ref="AD1109">_xlfn.IFS(Table2[[#This Row],[PAYMENT GAP]]&lt;=0,"No Gap / Overpaid",Table2[[#This Row],[PAYMENT GAP]]&lt;=25000,"Low Gap",Table2[[#This Row],[PAYMENT GAP]]&lt;=100000,"Medium Gap",
TRUE,"High Gap"
)</f>
        <v>No Gap / Overpaid</v>
      </c>
    </row>
    <row r="1110" spans="1:30" x14ac:dyDescent="0.3">
      <c r="A1110">
        <v>1109</v>
      </c>
      <c r="B1110" s="1">
        <v>80000</v>
      </c>
      <c r="C1110" s="1" t="str" cm="1">
        <f t="array" ref="C1110">_xlfn.IFS(Table2[[#This Row],[LIMIT_BAL]]&lt;=100000,"Low",Table2[[#This Row],[LIMIT_BAL]]&lt;=300000,"Medium",
TRUE,"High"
)</f>
        <v>Low</v>
      </c>
      <c r="D1110" t="s">
        <v>2042</v>
      </c>
      <c r="E1110" t="s">
        <v>2043</v>
      </c>
      <c r="F1110" t="s">
        <v>2028</v>
      </c>
      <c r="G1110">
        <v>54</v>
      </c>
      <c r="H1110" t="str" cm="1">
        <f t="array" ref="H1110">_xlfn.IFS(
Table2[[#This Row],[AGE]]&lt;30,"Young",
Table2[[#This Row],[AGE]]&lt;40,"Middle Age",
Table2[[#This Row],[AGE]]&lt;50,"Senior",
TRUE,"Super Senior"
)</f>
        <v>Super Senior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 s="1">
        <v>76962</v>
      </c>
      <c r="P1110" s="1">
        <v>79463</v>
      </c>
      <c r="Q1110" s="1">
        <v>79761</v>
      </c>
      <c r="R1110" s="1">
        <v>30286</v>
      </c>
      <c r="S1110" s="1">
        <v>29898</v>
      </c>
      <c r="T1110" s="1">
        <v>30364</v>
      </c>
      <c r="U1110" s="1">
        <v>4000</v>
      </c>
      <c r="V1110" s="1">
        <v>3500</v>
      </c>
      <c r="W1110" s="1">
        <v>1100</v>
      </c>
      <c r="X1110" s="1">
        <v>1100</v>
      </c>
      <c r="Y1110" s="1">
        <v>1200</v>
      </c>
      <c r="Z1110" s="1">
        <v>1000</v>
      </c>
      <c r="AA1110">
        <v>1</v>
      </c>
      <c r="AB1110" t="str">
        <f t="shared" si="17"/>
        <v>Defaulter</v>
      </c>
      <c r="AC1110" s="1">
        <f>Table2[[#This Row],[BILL_AMT1]]-Table2[[#This Row],[PAY_AMT1]]</f>
        <v>72962</v>
      </c>
      <c r="AD1110" s="1" t="str" cm="1">
        <f t="array" ref="AD1110">_xlfn.IFS(Table2[[#This Row],[PAYMENT GAP]]&lt;=0,"No Gap / Overpaid",Table2[[#This Row],[PAYMENT GAP]]&lt;=25000,"Low Gap",Table2[[#This Row],[PAYMENT GAP]]&lt;=100000,"Medium Gap",
TRUE,"High Gap"
)</f>
        <v>Medium Gap</v>
      </c>
    </row>
    <row r="1111" spans="1:30" x14ac:dyDescent="0.3">
      <c r="A1111">
        <v>1110</v>
      </c>
      <c r="B1111" s="1">
        <v>30000</v>
      </c>
      <c r="C1111" s="1" t="str" cm="1">
        <f t="array" ref="C1111">_xlfn.IFS(Table2[[#This Row],[LIMIT_BAL]]&lt;=100000,"Low",Table2[[#This Row],[LIMIT_BAL]]&lt;=300000,"Medium",
TRUE,"High"
)</f>
        <v>Low</v>
      </c>
      <c r="D1111" t="s">
        <v>2041</v>
      </c>
      <c r="E1111" t="s">
        <v>2043</v>
      </c>
      <c r="F1111" t="s">
        <v>2029</v>
      </c>
      <c r="G1111">
        <v>33</v>
      </c>
      <c r="H1111" t="str" cm="1">
        <f t="array" ref="H1111">_xlfn.IFS(
Table2[[#This Row],[AGE]]&lt;30,"Young",
Table2[[#This Row],[AGE]]&lt;40,"Middle Age",
Table2[[#This Row],[AGE]]&lt;50,"Senior",
TRUE,"Super Senior"
)</f>
        <v>Middle Age</v>
      </c>
      <c r="I1111">
        <v>1</v>
      </c>
      <c r="J1111">
        <v>2</v>
      </c>
      <c r="K1111">
        <v>0</v>
      </c>
      <c r="L1111">
        <v>0</v>
      </c>
      <c r="M1111">
        <v>0</v>
      </c>
      <c r="N1111">
        <v>0</v>
      </c>
      <c r="O1111" s="1">
        <v>31089</v>
      </c>
      <c r="P1111" s="1">
        <v>10989</v>
      </c>
      <c r="Q1111" s="1">
        <v>11997</v>
      </c>
      <c r="R1111" s="1">
        <v>12397</v>
      </c>
      <c r="S1111" s="1">
        <v>13043</v>
      </c>
      <c r="T1111" s="1">
        <v>13325</v>
      </c>
      <c r="U1111" s="1">
        <v>0</v>
      </c>
      <c r="V1111" s="1">
        <v>1200</v>
      </c>
      <c r="W1111" s="1">
        <v>600</v>
      </c>
      <c r="X1111" s="1">
        <v>1000</v>
      </c>
      <c r="Y1111" s="1">
        <v>650</v>
      </c>
      <c r="Z1111" s="1">
        <v>650</v>
      </c>
      <c r="AA1111">
        <v>0</v>
      </c>
      <c r="AB1111" t="str">
        <f t="shared" si="17"/>
        <v>Not Defaulter</v>
      </c>
      <c r="AC1111" s="1">
        <f>Table2[[#This Row],[BILL_AMT1]]-Table2[[#This Row],[PAY_AMT1]]</f>
        <v>31089</v>
      </c>
      <c r="AD1111" s="1" t="str" cm="1">
        <f t="array" ref="AD1111">_xlfn.IFS(Table2[[#This Row],[PAYMENT GAP]]&lt;=0,"No Gap / Overpaid",Table2[[#This Row],[PAYMENT GAP]]&lt;=25000,"Low Gap",Table2[[#This Row],[PAYMENT GAP]]&lt;=100000,"Medium Gap",
TRUE,"High Gap"
)</f>
        <v>Medium Gap</v>
      </c>
    </row>
    <row r="1112" spans="1:30" x14ac:dyDescent="0.3">
      <c r="A1112">
        <v>1111</v>
      </c>
      <c r="B1112" s="1">
        <v>110000</v>
      </c>
      <c r="C1112" s="1" t="str" cm="1">
        <f t="array" ref="C1112">_xlfn.IFS(Table2[[#This Row],[LIMIT_BAL]]&lt;=100000,"Low",Table2[[#This Row],[LIMIT_BAL]]&lt;=300000,"Medium",
TRUE,"High"
)</f>
        <v>Medium</v>
      </c>
      <c r="D1112" t="s">
        <v>2042</v>
      </c>
      <c r="E1112" t="s">
        <v>2043</v>
      </c>
      <c r="F1112" t="s">
        <v>2029</v>
      </c>
      <c r="G1112">
        <v>29</v>
      </c>
      <c r="H1112" t="str" cm="1">
        <f t="array" ref="H1112">_xlfn.IFS(
Table2[[#This Row],[AGE]]&lt;30,"Young",
Table2[[#This Row],[AGE]]&lt;40,"Middle Age",
Table2[[#This Row],[AGE]]&lt;50,"Senior",
TRUE,"Super Senior"
)</f>
        <v>Young</v>
      </c>
      <c r="I1112">
        <v>1</v>
      </c>
      <c r="J1112">
        <v>2</v>
      </c>
      <c r="K1112">
        <v>2</v>
      </c>
      <c r="L1112">
        <v>2</v>
      </c>
      <c r="M1112">
        <v>0</v>
      </c>
      <c r="N1112">
        <v>0</v>
      </c>
      <c r="O1112" s="1">
        <v>83687</v>
      </c>
      <c r="P1112" s="1">
        <v>85360</v>
      </c>
      <c r="Q1112" s="1">
        <v>86274</v>
      </c>
      <c r="R1112" s="1">
        <v>84001</v>
      </c>
      <c r="S1112" s="1">
        <v>85897</v>
      </c>
      <c r="T1112" s="1">
        <v>88759</v>
      </c>
      <c r="U1112" s="1">
        <v>3900</v>
      </c>
      <c r="V1112" s="1">
        <v>3200</v>
      </c>
      <c r="W1112" s="1">
        <v>0</v>
      </c>
      <c r="X1112" s="1">
        <v>3400</v>
      </c>
      <c r="Y1112" s="1">
        <v>4500</v>
      </c>
      <c r="Z1112" s="1">
        <v>2600</v>
      </c>
      <c r="AA1112">
        <v>0</v>
      </c>
      <c r="AB1112" t="str">
        <f t="shared" si="17"/>
        <v>Not Defaulter</v>
      </c>
      <c r="AC1112" s="1">
        <f>Table2[[#This Row],[BILL_AMT1]]-Table2[[#This Row],[PAY_AMT1]]</f>
        <v>79787</v>
      </c>
      <c r="AD1112" s="1" t="str" cm="1">
        <f t="array" ref="AD1112">_xlfn.IFS(Table2[[#This Row],[PAYMENT GAP]]&lt;=0,"No Gap / Overpaid",Table2[[#This Row],[PAYMENT GAP]]&lt;=25000,"Low Gap",Table2[[#This Row],[PAYMENT GAP]]&lt;=100000,"Medium Gap",
TRUE,"High Gap"
)</f>
        <v>Medium Gap</v>
      </c>
    </row>
    <row r="1113" spans="1:30" x14ac:dyDescent="0.3">
      <c r="A1113">
        <v>1112</v>
      </c>
      <c r="B1113" s="1">
        <v>50000</v>
      </c>
      <c r="C1113" s="1" t="str" cm="1">
        <f t="array" ref="C1113">_xlfn.IFS(Table2[[#This Row],[LIMIT_BAL]]&lt;=100000,"Low",Table2[[#This Row],[LIMIT_BAL]]&lt;=300000,"Medium",
TRUE,"High"
)</f>
        <v>Low</v>
      </c>
      <c r="D1113" t="s">
        <v>2041</v>
      </c>
      <c r="E1113" t="s">
        <v>2027</v>
      </c>
      <c r="F1113" t="s">
        <v>2028</v>
      </c>
      <c r="G1113">
        <v>44</v>
      </c>
      <c r="H1113" t="str" cm="1">
        <f t="array" ref="H1113">_xlfn.IFS(
Table2[[#This Row],[AGE]]&lt;30,"Young",
Table2[[#This Row],[AGE]]&lt;40,"Middle Age",
Table2[[#This Row],[AGE]]&lt;50,"Senior",
TRUE,"Super Senior"
)</f>
        <v>Senior</v>
      </c>
      <c r="I1113">
        <v>-1</v>
      </c>
      <c r="J1113">
        <v>-1</v>
      </c>
      <c r="K1113">
        <v>-1</v>
      </c>
      <c r="L1113">
        <v>-1</v>
      </c>
      <c r="M1113">
        <v>-1</v>
      </c>
      <c r="N1113">
        <v>-1</v>
      </c>
      <c r="O1113" s="1">
        <v>3424</v>
      </c>
      <c r="P1113" s="1">
        <v>155</v>
      </c>
      <c r="Q1113" s="1">
        <v>1922</v>
      </c>
      <c r="R1113" s="1">
        <v>1473</v>
      </c>
      <c r="S1113" s="1">
        <v>1865</v>
      </c>
      <c r="T1113" s="1">
        <v>835</v>
      </c>
      <c r="U1113" s="1">
        <v>155</v>
      </c>
      <c r="V1113" s="1">
        <v>1922</v>
      </c>
      <c r="W1113" s="1">
        <v>1473</v>
      </c>
      <c r="X1113" s="1">
        <v>1865</v>
      </c>
      <c r="Y1113" s="1">
        <v>835</v>
      </c>
      <c r="Z1113" s="1">
        <v>1833</v>
      </c>
      <c r="AA1113">
        <v>0</v>
      </c>
      <c r="AB1113" t="str">
        <f t="shared" si="17"/>
        <v>Not Defaulter</v>
      </c>
      <c r="AC1113" s="1">
        <f>Table2[[#This Row],[BILL_AMT1]]-Table2[[#This Row],[PAY_AMT1]]</f>
        <v>3269</v>
      </c>
      <c r="AD1113" s="1" t="str" cm="1">
        <f t="array" ref="AD1113">_xlfn.IFS(Table2[[#This Row],[PAYMENT GAP]]&lt;=0,"No Gap / Overpaid",Table2[[#This Row],[PAYMENT GAP]]&lt;=25000,"Low Gap",Table2[[#This Row],[PAYMENT GAP]]&lt;=100000,"Medium Gap",
TRUE,"High Gap"
)</f>
        <v>Low Gap</v>
      </c>
    </row>
    <row r="1114" spans="1:30" x14ac:dyDescent="0.3">
      <c r="A1114">
        <v>1113</v>
      </c>
      <c r="B1114" s="1">
        <v>90000</v>
      </c>
      <c r="C1114" s="1" t="str" cm="1">
        <f t="array" ref="C1114">_xlfn.IFS(Table2[[#This Row],[LIMIT_BAL]]&lt;=100000,"Low",Table2[[#This Row],[LIMIT_BAL]]&lt;=300000,"Medium",
TRUE,"High"
)</f>
        <v>Low</v>
      </c>
      <c r="D1114" t="s">
        <v>2041</v>
      </c>
      <c r="E1114" t="s">
        <v>2043</v>
      </c>
      <c r="F1114" t="s">
        <v>2028</v>
      </c>
      <c r="G1114">
        <v>24</v>
      </c>
      <c r="H1114" t="str" cm="1">
        <f t="array" ref="H1114">_xlfn.IFS(
Table2[[#This Row],[AGE]]&lt;30,"Young",
Table2[[#This Row],[AGE]]&lt;40,"Middle Age",
Table2[[#This Row],[AGE]]&lt;50,"Senior",
TRUE,"Super Senior"
)</f>
        <v>Young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 s="1">
        <v>84148</v>
      </c>
      <c r="P1114" s="1">
        <v>79847</v>
      </c>
      <c r="Q1114" s="1">
        <v>75576</v>
      </c>
      <c r="R1114" s="1">
        <v>75266</v>
      </c>
      <c r="S1114" s="1">
        <v>74431</v>
      </c>
      <c r="T1114" s="1">
        <v>68399</v>
      </c>
      <c r="U1114" s="1">
        <v>5006</v>
      </c>
      <c r="V1114" s="1">
        <v>4007</v>
      </c>
      <c r="W1114" s="1">
        <v>5006</v>
      </c>
      <c r="X1114" s="1">
        <v>4003</v>
      </c>
      <c r="Y1114" s="1">
        <v>3014</v>
      </c>
      <c r="Z1114" s="1">
        <v>4007</v>
      </c>
      <c r="AA1114">
        <v>0</v>
      </c>
      <c r="AB1114" t="str">
        <f t="shared" si="17"/>
        <v>Not Defaulter</v>
      </c>
      <c r="AC1114" s="1">
        <f>Table2[[#This Row],[BILL_AMT1]]-Table2[[#This Row],[PAY_AMT1]]</f>
        <v>79142</v>
      </c>
      <c r="AD1114" s="1" t="str" cm="1">
        <f t="array" ref="AD1114">_xlfn.IFS(Table2[[#This Row],[PAYMENT GAP]]&lt;=0,"No Gap / Overpaid",Table2[[#This Row],[PAYMENT GAP]]&lt;=25000,"Low Gap",Table2[[#This Row],[PAYMENT GAP]]&lt;=100000,"Medium Gap",
TRUE,"High Gap"
)</f>
        <v>Medium Gap</v>
      </c>
    </row>
    <row r="1115" spans="1:30" x14ac:dyDescent="0.3">
      <c r="A1115">
        <v>1114</v>
      </c>
      <c r="B1115" s="1">
        <v>110000</v>
      </c>
      <c r="C1115" s="1" t="str" cm="1">
        <f t="array" ref="C1115">_xlfn.IFS(Table2[[#This Row],[LIMIT_BAL]]&lt;=100000,"Low",Table2[[#This Row],[LIMIT_BAL]]&lt;=300000,"Medium",
TRUE,"High"
)</f>
        <v>Medium</v>
      </c>
      <c r="D1115" t="s">
        <v>2042</v>
      </c>
      <c r="E1115" t="s">
        <v>2026</v>
      </c>
      <c r="F1115" t="s">
        <v>2029</v>
      </c>
      <c r="G1115">
        <v>33</v>
      </c>
      <c r="H1115" t="str" cm="1">
        <f t="array" ref="H1115">_xlfn.IFS(
Table2[[#This Row],[AGE]]&lt;30,"Young",
Table2[[#This Row],[AGE]]&lt;40,"Middle Age",
Table2[[#This Row],[AGE]]&lt;50,"Senior",
TRUE,"Super Senior"
)</f>
        <v>Middle Age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 s="1">
        <v>12633</v>
      </c>
      <c r="P1115" s="1">
        <v>88334</v>
      </c>
      <c r="Q1115" s="1">
        <v>53978</v>
      </c>
      <c r="R1115" s="1">
        <v>23687</v>
      </c>
      <c r="S1115" s="1">
        <v>26567</v>
      </c>
      <c r="T1115" s="1">
        <v>8435</v>
      </c>
      <c r="U1115" s="1">
        <v>80004</v>
      </c>
      <c r="V1115" s="1">
        <v>1500</v>
      </c>
      <c r="W1115" s="1">
        <v>12013</v>
      </c>
      <c r="X1115" s="1">
        <v>7000</v>
      </c>
      <c r="Y1115" s="1">
        <v>2000</v>
      </c>
      <c r="Z1115" s="1">
        <v>4000</v>
      </c>
      <c r="AA1115">
        <v>0</v>
      </c>
      <c r="AB1115" t="str">
        <f t="shared" si="17"/>
        <v>Not Defaulter</v>
      </c>
      <c r="AC1115" s="1">
        <f>Table2[[#This Row],[BILL_AMT1]]-Table2[[#This Row],[PAY_AMT1]]</f>
        <v>-67371</v>
      </c>
      <c r="AD1115" s="1" t="str" cm="1">
        <f t="array" ref="AD1115">_xlfn.IFS(Table2[[#This Row],[PAYMENT GAP]]&lt;=0,"No Gap / Overpaid",Table2[[#This Row],[PAYMENT GAP]]&lt;=25000,"Low Gap",Table2[[#This Row],[PAYMENT GAP]]&lt;=100000,"Medium Gap",
TRUE,"High Gap"
)</f>
        <v>No Gap / Overpaid</v>
      </c>
    </row>
    <row r="1116" spans="1:30" x14ac:dyDescent="0.3">
      <c r="A1116">
        <v>1115</v>
      </c>
      <c r="B1116" s="1">
        <v>50000</v>
      </c>
      <c r="C1116" s="1" t="str" cm="1">
        <f t="array" ref="C1116">_xlfn.IFS(Table2[[#This Row],[LIMIT_BAL]]&lt;=100000,"Low",Table2[[#This Row],[LIMIT_BAL]]&lt;=300000,"Medium",
TRUE,"High"
)</f>
        <v>Low</v>
      </c>
      <c r="D1116" t="s">
        <v>2042</v>
      </c>
      <c r="E1116" t="s">
        <v>2027</v>
      </c>
      <c r="F1116" t="s">
        <v>2028</v>
      </c>
      <c r="G1116">
        <v>54</v>
      </c>
      <c r="H1116" t="str" cm="1">
        <f t="array" ref="H1116">_xlfn.IFS(
Table2[[#This Row],[AGE]]&lt;30,"Young",
Table2[[#This Row],[AGE]]&lt;40,"Middle Age",
Table2[[#This Row],[AGE]]&lt;50,"Senior",
TRUE,"Super Senior"
)</f>
        <v>Super Senior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 s="1">
        <v>38607</v>
      </c>
      <c r="P1116" s="1">
        <v>39681</v>
      </c>
      <c r="Q1116" s="1">
        <v>40717</v>
      </c>
      <c r="R1116" s="1">
        <v>41682</v>
      </c>
      <c r="S1116" s="1">
        <v>42857</v>
      </c>
      <c r="T1116" s="1">
        <v>45581</v>
      </c>
      <c r="U1116" s="1">
        <v>2000</v>
      </c>
      <c r="V1116" s="1">
        <v>2000</v>
      </c>
      <c r="W1116" s="1">
        <v>1642</v>
      </c>
      <c r="X1116" s="1">
        <v>2000</v>
      </c>
      <c r="Y1116" s="1">
        <v>3600</v>
      </c>
      <c r="Z1116" s="1">
        <v>0</v>
      </c>
      <c r="AA1116">
        <v>0</v>
      </c>
      <c r="AB1116" t="str">
        <f t="shared" si="17"/>
        <v>Not Defaulter</v>
      </c>
      <c r="AC1116" s="1">
        <f>Table2[[#This Row],[BILL_AMT1]]-Table2[[#This Row],[PAY_AMT1]]</f>
        <v>36607</v>
      </c>
      <c r="AD1116" s="1" t="str" cm="1">
        <f t="array" ref="AD1116">_xlfn.IFS(Table2[[#This Row],[PAYMENT GAP]]&lt;=0,"No Gap / Overpaid",Table2[[#This Row],[PAYMENT GAP]]&lt;=25000,"Low Gap",Table2[[#This Row],[PAYMENT GAP]]&lt;=100000,"Medium Gap",
TRUE,"High Gap"
)</f>
        <v>Medium Gap</v>
      </c>
    </row>
    <row r="1117" spans="1:30" x14ac:dyDescent="0.3">
      <c r="A1117">
        <v>1116</v>
      </c>
      <c r="B1117" s="1">
        <v>60000</v>
      </c>
      <c r="C1117" s="1" t="str" cm="1">
        <f t="array" ref="C1117">_xlfn.IFS(Table2[[#This Row],[LIMIT_BAL]]&lt;=100000,"Low",Table2[[#This Row],[LIMIT_BAL]]&lt;=300000,"Medium",
TRUE,"High"
)</f>
        <v>Low</v>
      </c>
      <c r="D1117" t="s">
        <v>2042</v>
      </c>
      <c r="E1117" t="s">
        <v>2026</v>
      </c>
      <c r="F1117" t="s">
        <v>2029</v>
      </c>
      <c r="G1117">
        <v>27</v>
      </c>
      <c r="H1117" t="str" cm="1">
        <f t="array" ref="H1117">_xlfn.IFS(
Table2[[#This Row],[AGE]]&lt;30,"Young",
Table2[[#This Row],[AGE]]&lt;40,"Middle Age",
Table2[[#This Row],[AGE]]&lt;50,"Senior",
TRUE,"Super Senior"
)</f>
        <v>Young</v>
      </c>
      <c r="I1117">
        <v>-2</v>
      </c>
      <c r="J1117">
        <v>-2</v>
      </c>
      <c r="K1117">
        <v>-2</v>
      </c>
      <c r="L1117">
        <v>-2</v>
      </c>
      <c r="M1117">
        <v>-1</v>
      </c>
      <c r="N1117">
        <v>-1</v>
      </c>
      <c r="O1117" s="1">
        <v>11862</v>
      </c>
      <c r="P1117" s="1">
        <v>1856</v>
      </c>
      <c r="Q1117" s="1">
        <v>-14</v>
      </c>
      <c r="R1117" s="1">
        <v>4839</v>
      </c>
      <c r="S1117" s="1">
        <v>9567</v>
      </c>
      <c r="T1117" s="1">
        <v>11407</v>
      </c>
      <c r="U1117" s="1">
        <v>1861</v>
      </c>
      <c r="V1117" s="1">
        <v>0</v>
      </c>
      <c r="W1117" s="1">
        <v>4853</v>
      </c>
      <c r="X1117" s="1">
        <v>9567</v>
      </c>
      <c r="Y1117" s="1">
        <v>2000</v>
      </c>
      <c r="Z1117" s="1">
        <v>0</v>
      </c>
      <c r="AA1117">
        <v>0</v>
      </c>
      <c r="AB1117" t="str">
        <f t="shared" si="17"/>
        <v>Not Defaulter</v>
      </c>
      <c r="AC1117" s="1">
        <f>Table2[[#This Row],[BILL_AMT1]]-Table2[[#This Row],[PAY_AMT1]]</f>
        <v>10001</v>
      </c>
      <c r="AD1117" s="1" t="str" cm="1">
        <f t="array" ref="AD1117">_xlfn.IFS(Table2[[#This Row],[PAYMENT GAP]]&lt;=0,"No Gap / Overpaid",Table2[[#This Row],[PAYMENT GAP]]&lt;=25000,"Low Gap",Table2[[#This Row],[PAYMENT GAP]]&lt;=100000,"Medium Gap",
TRUE,"High Gap"
)</f>
        <v>Low Gap</v>
      </c>
    </row>
    <row r="1118" spans="1:30" x14ac:dyDescent="0.3">
      <c r="A1118">
        <v>1117</v>
      </c>
      <c r="B1118" s="1">
        <v>150000</v>
      </c>
      <c r="C1118" s="1" t="str" cm="1">
        <f t="array" ref="C1118">_xlfn.IFS(Table2[[#This Row],[LIMIT_BAL]]&lt;=100000,"Low",Table2[[#This Row],[LIMIT_BAL]]&lt;=300000,"Medium",
TRUE,"High"
)</f>
        <v>Medium</v>
      </c>
      <c r="D1118" t="s">
        <v>2041</v>
      </c>
      <c r="E1118" t="s">
        <v>2043</v>
      </c>
      <c r="F1118" t="s">
        <v>2029</v>
      </c>
      <c r="G1118">
        <v>37</v>
      </c>
      <c r="H1118" t="str" cm="1">
        <f t="array" ref="H1118">_xlfn.IFS(
Table2[[#This Row],[AGE]]&lt;30,"Young",
Table2[[#This Row],[AGE]]&lt;40,"Middle Age",
Table2[[#This Row],[AGE]]&lt;50,"Senior",
TRUE,"Super Senior"
)</f>
        <v>Middle Age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 s="1">
        <v>80463</v>
      </c>
      <c r="P1118" s="1">
        <v>82513</v>
      </c>
      <c r="Q1118" s="1">
        <v>84271</v>
      </c>
      <c r="R1118" s="1">
        <v>43832</v>
      </c>
      <c r="S1118" s="1">
        <v>33963</v>
      </c>
      <c r="T1118" s="1">
        <v>34638</v>
      </c>
      <c r="U1118" s="1">
        <v>3348</v>
      </c>
      <c r="V1118" s="1">
        <v>3490</v>
      </c>
      <c r="W1118" s="1">
        <v>1402</v>
      </c>
      <c r="X1118" s="1">
        <v>1233</v>
      </c>
      <c r="Y1118" s="1">
        <v>1240</v>
      </c>
      <c r="Z1118" s="1">
        <v>1284</v>
      </c>
      <c r="AA1118">
        <v>1</v>
      </c>
      <c r="AB1118" t="str">
        <f t="shared" si="17"/>
        <v>Defaulter</v>
      </c>
      <c r="AC1118" s="1">
        <f>Table2[[#This Row],[BILL_AMT1]]-Table2[[#This Row],[PAY_AMT1]]</f>
        <v>77115</v>
      </c>
      <c r="AD1118" s="1" t="str" cm="1">
        <f t="array" ref="AD1118">_xlfn.IFS(Table2[[#This Row],[PAYMENT GAP]]&lt;=0,"No Gap / Overpaid",Table2[[#This Row],[PAYMENT GAP]]&lt;=25000,"Low Gap",Table2[[#This Row],[PAYMENT GAP]]&lt;=100000,"Medium Gap",
TRUE,"High Gap"
)</f>
        <v>Medium Gap</v>
      </c>
    </row>
    <row r="1119" spans="1:30" x14ac:dyDescent="0.3">
      <c r="A1119">
        <v>1118</v>
      </c>
      <c r="B1119" s="1">
        <v>20000</v>
      </c>
      <c r="C1119" s="1" t="str" cm="1">
        <f t="array" ref="C1119">_xlfn.IFS(Table2[[#This Row],[LIMIT_BAL]]&lt;=100000,"Low",Table2[[#This Row],[LIMIT_BAL]]&lt;=300000,"Medium",
TRUE,"High"
)</f>
        <v>Low</v>
      </c>
      <c r="D1119" t="s">
        <v>2042</v>
      </c>
      <c r="E1119" t="s">
        <v>2026</v>
      </c>
      <c r="F1119" t="s">
        <v>2029</v>
      </c>
      <c r="G1119">
        <v>24</v>
      </c>
      <c r="H1119" t="str" cm="1">
        <f t="array" ref="H1119">_xlfn.IFS(
Table2[[#This Row],[AGE]]&lt;30,"Young",
Table2[[#This Row],[AGE]]&lt;40,"Middle Age",
Table2[[#This Row],[AGE]]&lt;50,"Senior",
TRUE,"Super Senior"
)</f>
        <v>Young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-2</v>
      </c>
      <c r="O1119" s="1">
        <v>18738</v>
      </c>
      <c r="P1119" s="1">
        <v>18016</v>
      </c>
      <c r="Q1119" s="1">
        <v>7190</v>
      </c>
      <c r="R1119" s="1">
        <v>7190</v>
      </c>
      <c r="S1119" s="1">
        <v>0</v>
      </c>
      <c r="T1119" s="1">
        <v>0</v>
      </c>
      <c r="U1119" s="1">
        <v>20</v>
      </c>
      <c r="V1119" s="1">
        <v>1500</v>
      </c>
      <c r="W1119" s="1">
        <v>0</v>
      </c>
      <c r="X1119" s="1">
        <v>0</v>
      </c>
      <c r="Y1119" s="1">
        <v>0</v>
      </c>
      <c r="Z1119" s="1">
        <v>0</v>
      </c>
      <c r="AA1119">
        <v>0</v>
      </c>
      <c r="AB1119" t="str">
        <f t="shared" si="17"/>
        <v>Not Defaulter</v>
      </c>
      <c r="AC1119" s="1">
        <f>Table2[[#This Row],[BILL_AMT1]]-Table2[[#This Row],[PAY_AMT1]]</f>
        <v>18718</v>
      </c>
      <c r="AD1119" s="1" t="str" cm="1">
        <f t="array" ref="AD1119">_xlfn.IFS(Table2[[#This Row],[PAYMENT GAP]]&lt;=0,"No Gap / Overpaid",Table2[[#This Row],[PAYMENT GAP]]&lt;=25000,"Low Gap",Table2[[#This Row],[PAYMENT GAP]]&lt;=100000,"Medium Gap",
TRUE,"High Gap"
)</f>
        <v>Low Gap</v>
      </c>
    </row>
    <row r="1120" spans="1:30" x14ac:dyDescent="0.3">
      <c r="A1120">
        <v>1119</v>
      </c>
      <c r="B1120" s="1">
        <v>140000</v>
      </c>
      <c r="C1120" s="1" t="str" cm="1">
        <f t="array" ref="C1120">_xlfn.IFS(Table2[[#This Row],[LIMIT_BAL]]&lt;=100000,"Low",Table2[[#This Row],[LIMIT_BAL]]&lt;=300000,"Medium",
TRUE,"High"
)</f>
        <v>Medium</v>
      </c>
      <c r="D1120" t="s">
        <v>2041</v>
      </c>
      <c r="E1120" t="s">
        <v>2027</v>
      </c>
      <c r="F1120" t="s">
        <v>2028</v>
      </c>
      <c r="G1120">
        <v>54</v>
      </c>
      <c r="H1120" t="str" cm="1">
        <f t="array" ref="H1120">_xlfn.IFS(
Table2[[#This Row],[AGE]]&lt;30,"Young",
Table2[[#This Row],[AGE]]&lt;40,"Middle Age",
Table2[[#This Row],[AGE]]&lt;50,"Senior",
TRUE,"Super Senior"
)</f>
        <v>Super Senior</v>
      </c>
      <c r="I1120">
        <v>1</v>
      </c>
      <c r="J1120">
        <v>-2</v>
      </c>
      <c r="K1120">
        <v>-2</v>
      </c>
      <c r="L1120">
        <v>-2</v>
      </c>
      <c r="M1120">
        <v>-2</v>
      </c>
      <c r="N1120">
        <v>-2</v>
      </c>
      <c r="O1120" s="1">
        <v>-150</v>
      </c>
      <c r="P1120" s="1">
        <v>-150</v>
      </c>
      <c r="Q1120" s="1">
        <v>-150</v>
      </c>
      <c r="R1120" s="1">
        <v>-150</v>
      </c>
      <c r="S1120" s="1">
        <v>-150</v>
      </c>
      <c r="T1120" s="1">
        <v>-150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>
        <v>1</v>
      </c>
      <c r="AB1120" t="str">
        <f t="shared" si="17"/>
        <v>Defaulter</v>
      </c>
      <c r="AC1120" s="1">
        <f>Table2[[#This Row],[BILL_AMT1]]-Table2[[#This Row],[PAY_AMT1]]</f>
        <v>-150</v>
      </c>
      <c r="AD1120" s="1" t="str" cm="1">
        <f t="array" ref="AD1120">_xlfn.IFS(Table2[[#This Row],[PAYMENT GAP]]&lt;=0,"No Gap / Overpaid",Table2[[#This Row],[PAYMENT GAP]]&lt;=25000,"Low Gap",Table2[[#This Row],[PAYMENT GAP]]&lt;=100000,"Medium Gap",
TRUE,"High Gap"
)</f>
        <v>No Gap / Overpaid</v>
      </c>
    </row>
    <row r="1121" spans="1:30" x14ac:dyDescent="0.3">
      <c r="A1121">
        <v>1120</v>
      </c>
      <c r="B1121" s="1">
        <v>120000</v>
      </c>
      <c r="C1121" s="1" t="str" cm="1">
        <f t="array" ref="C1121">_xlfn.IFS(Table2[[#This Row],[LIMIT_BAL]]&lt;=100000,"Low",Table2[[#This Row],[LIMIT_BAL]]&lt;=300000,"Medium",
TRUE,"High"
)</f>
        <v>Medium</v>
      </c>
      <c r="D1121" t="s">
        <v>2041</v>
      </c>
      <c r="E1121" t="s">
        <v>2043</v>
      </c>
      <c r="F1121" t="s">
        <v>2028</v>
      </c>
      <c r="G1121">
        <v>34</v>
      </c>
      <c r="H1121" t="str" cm="1">
        <f t="array" ref="H1121">_xlfn.IFS(
Table2[[#This Row],[AGE]]&lt;30,"Young",
Table2[[#This Row],[AGE]]&lt;40,"Middle Age",
Table2[[#This Row],[AGE]]&lt;50,"Senior",
TRUE,"Super Senior"
)</f>
        <v>Middle Age</v>
      </c>
      <c r="I1121">
        <v>1</v>
      </c>
      <c r="J1121">
        <v>-1</v>
      </c>
      <c r="K1121">
        <v>-1</v>
      </c>
      <c r="L1121">
        <v>-1</v>
      </c>
      <c r="M1121">
        <v>-1</v>
      </c>
      <c r="N1121">
        <v>-1</v>
      </c>
      <c r="O1121" s="1">
        <v>-9</v>
      </c>
      <c r="P1121" s="1">
        <v>898</v>
      </c>
      <c r="Q1121" s="1">
        <v>7752</v>
      </c>
      <c r="R1121" s="1">
        <v>4447</v>
      </c>
      <c r="S1121" s="1">
        <v>8495</v>
      </c>
      <c r="T1121" s="1">
        <v>0</v>
      </c>
      <c r="U1121" s="1">
        <v>907</v>
      </c>
      <c r="V1121" s="1">
        <v>7772</v>
      </c>
      <c r="W1121" s="1">
        <v>4447</v>
      </c>
      <c r="X1121" s="1">
        <v>8495</v>
      </c>
      <c r="Y1121" s="1">
        <v>0</v>
      </c>
      <c r="Z1121" s="1">
        <v>528</v>
      </c>
      <c r="AA1121">
        <v>0</v>
      </c>
      <c r="AB1121" t="str">
        <f t="shared" si="17"/>
        <v>Not Defaulter</v>
      </c>
      <c r="AC1121" s="1">
        <f>Table2[[#This Row],[BILL_AMT1]]-Table2[[#This Row],[PAY_AMT1]]</f>
        <v>-916</v>
      </c>
      <c r="AD1121" s="1" t="str" cm="1">
        <f t="array" ref="AD1121">_xlfn.IFS(Table2[[#This Row],[PAYMENT GAP]]&lt;=0,"No Gap / Overpaid",Table2[[#This Row],[PAYMENT GAP]]&lt;=25000,"Low Gap",Table2[[#This Row],[PAYMENT GAP]]&lt;=100000,"Medium Gap",
TRUE,"High Gap"
)</f>
        <v>No Gap / Overpaid</v>
      </c>
    </row>
    <row r="1122" spans="1:30" x14ac:dyDescent="0.3">
      <c r="A1122">
        <v>1121</v>
      </c>
      <c r="B1122" s="1">
        <v>200000</v>
      </c>
      <c r="C1122" s="1" t="str" cm="1">
        <f t="array" ref="C1122">_xlfn.IFS(Table2[[#This Row],[LIMIT_BAL]]&lt;=100000,"Low",Table2[[#This Row],[LIMIT_BAL]]&lt;=300000,"Medium",
TRUE,"High"
)</f>
        <v>Medium</v>
      </c>
      <c r="D1122" t="s">
        <v>2041</v>
      </c>
      <c r="E1122" t="s">
        <v>2043</v>
      </c>
      <c r="F1122" t="s">
        <v>2029</v>
      </c>
      <c r="G1122">
        <v>40</v>
      </c>
      <c r="H1122" t="str" cm="1">
        <f t="array" ref="H1122">_xlfn.IFS(
Table2[[#This Row],[AGE]]&lt;30,"Young",
Table2[[#This Row],[AGE]]&lt;40,"Middle Age",
Table2[[#This Row],[AGE]]&lt;50,"Senior",
TRUE,"Super Senior"
)</f>
        <v>Senior</v>
      </c>
      <c r="I1122">
        <v>2</v>
      </c>
      <c r="J1122">
        <v>0</v>
      </c>
      <c r="K1122">
        <v>0</v>
      </c>
      <c r="L1122">
        <v>0</v>
      </c>
      <c r="M1122">
        <v>0</v>
      </c>
      <c r="N1122">
        <v>0</v>
      </c>
      <c r="O1122" s="1">
        <v>176502</v>
      </c>
      <c r="P1122" s="1">
        <v>176297</v>
      </c>
      <c r="Q1122" s="1">
        <v>162826</v>
      </c>
      <c r="R1122" s="1">
        <v>160186</v>
      </c>
      <c r="S1122" s="1">
        <v>161965</v>
      </c>
      <c r="T1122" s="1">
        <v>152361</v>
      </c>
      <c r="U1122" s="1">
        <v>8000</v>
      </c>
      <c r="V1122" s="1">
        <v>7300</v>
      </c>
      <c r="W1122" s="1">
        <v>6000</v>
      </c>
      <c r="X1122" s="1">
        <v>6000</v>
      </c>
      <c r="Y1122" s="1">
        <v>6000</v>
      </c>
      <c r="Z1122" s="1">
        <v>6000</v>
      </c>
      <c r="AA1122">
        <v>1</v>
      </c>
      <c r="AB1122" t="str">
        <f t="shared" si="17"/>
        <v>Defaulter</v>
      </c>
      <c r="AC1122" s="1">
        <f>Table2[[#This Row],[BILL_AMT1]]-Table2[[#This Row],[PAY_AMT1]]</f>
        <v>168502</v>
      </c>
      <c r="AD1122" s="1" t="str" cm="1">
        <f t="array" ref="AD1122">_xlfn.IFS(Table2[[#This Row],[PAYMENT GAP]]&lt;=0,"No Gap / Overpaid",Table2[[#This Row],[PAYMENT GAP]]&lt;=25000,"Low Gap",Table2[[#This Row],[PAYMENT GAP]]&lt;=100000,"Medium Gap",
TRUE,"High Gap"
)</f>
        <v>High Gap</v>
      </c>
    </row>
    <row r="1123" spans="1:30" x14ac:dyDescent="0.3">
      <c r="A1123">
        <v>1122</v>
      </c>
      <c r="B1123" s="1">
        <v>20000</v>
      </c>
      <c r="C1123" s="1" t="str" cm="1">
        <f t="array" ref="C1123">_xlfn.IFS(Table2[[#This Row],[LIMIT_BAL]]&lt;=100000,"Low",Table2[[#This Row],[LIMIT_BAL]]&lt;=300000,"Medium",
TRUE,"High"
)</f>
        <v>Low</v>
      </c>
      <c r="D1123" t="s">
        <v>2042</v>
      </c>
      <c r="E1123" t="s">
        <v>2043</v>
      </c>
      <c r="F1123" t="s">
        <v>2029</v>
      </c>
      <c r="G1123">
        <v>30</v>
      </c>
      <c r="H1123" t="str" cm="1">
        <f t="array" ref="H1123">_xlfn.IFS(
Table2[[#This Row],[AGE]]&lt;30,"Young",
Table2[[#This Row],[AGE]]&lt;40,"Middle Age",
Table2[[#This Row],[AGE]]&lt;50,"Senior",
TRUE,"Super Senior"
)</f>
        <v>Middle Age</v>
      </c>
      <c r="I1123">
        <v>1</v>
      </c>
      <c r="J1123">
        <v>2</v>
      </c>
      <c r="K1123">
        <v>4</v>
      </c>
      <c r="L1123">
        <v>3</v>
      </c>
      <c r="M1123">
        <v>2</v>
      </c>
      <c r="N1123">
        <v>2</v>
      </c>
      <c r="O1123" s="1">
        <v>19977</v>
      </c>
      <c r="P1123" s="1">
        <v>21359</v>
      </c>
      <c r="Q1123" s="1">
        <v>20581</v>
      </c>
      <c r="R1123" s="1">
        <v>19860</v>
      </c>
      <c r="S1123" s="1">
        <v>19690</v>
      </c>
      <c r="T1123" s="1">
        <v>1735</v>
      </c>
      <c r="U1123" s="1">
        <v>2000</v>
      </c>
      <c r="V1123" s="1">
        <v>0</v>
      </c>
      <c r="W1123" s="1">
        <v>0</v>
      </c>
      <c r="X1123" s="1">
        <v>0</v>
      </c>
      <c r="Y1123" s="1">
        <v>500</v>
      </c>
      <c r="Z1123" s="1">
        <v>0</v>
      </c>
      <c r="AA1123">
        <v>1</v>
      </c>
      <c r="AB1123" t="str">
        <f t="shared" si="17"/>
        <v>Defaulter</v>
      </c>
      <c r="AC1123" s="1">
        <f>Table2[[#This Row],[BILL_AMT1]]-Table2[[#This Row],[PAY_AMT1]]</f>
        <v>17977</v>
      </c>
      <c r="AD1123" s="1" t="str" cm="1">
        <f t="array" ref="AD1123">_xlfn.IFS(Table2[[#This Row],[PAYMENT GAP]]&lt;=0,"No Gap / Overpaid",Table2[[#This Row],[PAYMENT GAP]]&lt;=25000,"Low Gap",Table2[[#This Row],[PAYMENT GAP]]&lt;=100000,"Medium Gap",
TRUE,"High Gap"
)</f>
        <v>Low Gap</v>
      </c>
    </row>
    <row r="1124" spans="1:30" x14ac:dyDescent="0.3">
      <c r="A1124">
        <v>1123</v>
      </c>
      <c r="B1124" s="1">
        <v>50000</v>
      </c>
      <c r="C1124" s="1" t="str" cm="1">
        <f t="array" ref="C1124">_xlfn.IFS(Table2[[#This Row],[LIMIT_BAL]]&lt;=100000,"Low",Table2[[#This Row],[LIMIT_BAL]]&lt;=300000,"Medium",
TRUE,"High"
)</f>
        <v>Low</v>
      </c>
      <c r="D1124" t="s">
        <v>2042</v>
      </c>
      <c r="E1124" t="s">
        <v>2043</v>
      </c>
      <c r="F1124" t="s">
        <v>2029</v>
      </c>
      <c r="G1124">
        <v>26</v>
      </c>
      <c r="H1124" t="str" cm="1">
        <f t="array" ref="H1124">_xlfn.IFS(
Table2[[#This Row],[AGE]]&lt;30,"Young",
Table2[[#This Row],[AGE]]&lt;40,"Middle Age",
Table2[[#This Row],[AGE]]&lt;50,"Senior",
TRUE,"Super Senior"
)</f>
        <v>Young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 s="1">
        <v>48221</v>
      </c>
      <c r="P1124" s="1">
        <v>49629</v>
      </c>
      <c r="Q1124" s="1">
        <v>48868</v>
      </c>
      <c r="R1124" s="1">
        <v>49668</v>
      </c>
      <c r="S1124" s="1">
        <v>49780</v>
      </c>
      <c r="T1124" s="1">
        <v>49980</v>
      </c>
      <c r="U1124" s="1">
        <v>2571</v>
      </c>
      <c r="V1124" s="1">
        <v>1200</v>
      </c>
      <c r="W1124" s="1">
        <v>1000</v>
      </c>
      <c r="X1124" s="1">
        <v>40000</v>
      </c>
      <c r="Y1124" s="1">
        <v>1000</v>
      </c>
      <c r="Z1124" s="1">
        <v>0</v>
      </c>
      <c r="AA1124">
        <v>0</v>
      </c>
      <c r="AB1124" t="str">
        <f t="shared" si="17"/>
        <v>Not Defaulter</v>
      </c>
      <c r="AC1124" s="1">
        <f>Table2[[#This Row],[BILL_AMT1]]-Table2[[#This Row],[PAY_AMT1]]</f>
        <v>45650</v>
      </c>
      <c r="AD1124" s="1" t="str" cm="1">
        <f t="array" ref="AD1124">_xlfn.IFS(Table2[[#This Row],[PAYMENT GAP]]&lt;=0,"No Gap / Overpaid",Table2[[#This Row],[PAYMENT GAP]]&lt;=25000,"Low Gap",Table2[[#This Row],[PAYMENT GAP]]&lt;=100000,"Medium Gap",
TRUE,"High Gap"
)</f>
        <v>Medium Gap</v>
      </c>
    </row>
    <row r="1125" spans="1:30" x14ac:dyDescent="0.3">
      <c r="A1125">
        <v>1124</v>
      </c>
      <c r="B1125" s="1">
        <v>200000</v>
      </c>
      <c r="C1125" s="1" t="str" cm="1">
        <f t="array" ref="C1125">_xlfn.IFS(Table2[[#This Row],[LIMIT_BAL]]&lt;=100000,"Low",Table2[[#This Row],[LIMIT_BAL]]&lt;=300000,"Medium",
TRUE,"High"
)</f>
        <v>Medium</v>
      </c>
      <c r="D1125" t="s">
        <v>2041</v>
      </c>
      <c r="E1125" t="s">
        <v>2043</v>
      </c>
      <c r="F1125" t="s">
        <v>2028</v>
      </c>
      <c r="G1125">
        <v>41</v>
      </c>
      <c r="H1125" t="str" cm="1">
        <f t="array" ref="H1125">_xlfn.IFS(
Table2[[#This Row],[AGE]]&lt;30,"Young",
Table2[[#This Row],[AGE]]&lt;40,"Middle Age",
Table2[[#This Row],[AGE]]&lt;50,"Senior",
TRUE,"Super Senior"
)</f>
        <v>Senior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-1</v>
      </c>
      <c r="O1125" s="1">
        <v>18012</v>
      </c>
      <c r="P1125" s="1">
        <v>18367</v>
      </c>
      <c r="Q1125" s="1">
        <v>16996</v>
      </c>
      <c r="R1125" s="1">
        <v>11461</v>
      </c>
      <c r="S1125" s="1">
        <v>8150</v>
      </c>
      <c r="T1125" s="1">
        <v>5584</v>
      </c>
      <c r="U1125" s="1">
        <v>1385</v>
      </c>
      <c r="V1125" s="1">
        <v>1020</v>
      </c>
      <c r="W1125" s="1">
        <v>229</v>
      </c>
      <c r="X1125" s="1">
        <v>183</v>
      </c>
      <c r="Y1125" s="1">
        <v>5584</v>
      </c>
      <c r="Z1125" s="1">
        <v>888</v>
      </c>
      <c r="AA1125">
        <v>0</v>
      </c>
      <c r="AB1125" t="str">
        <f t="shared" si="17"/>
        <v>Not Defaulter</v>
      </c>
      <c r="AC1125" s="1">
        <f>Table2[[#This Row],[BILL_AMT1]]-Table2[[#This Row],[PAY_AMT1]]</f>
        <v>16627</v>
      </c>
      <c r="AD1125" s="1" t="str" cm="1">
        <f t="array" ref="AD1125">_xlfn.IFS(Table2[[#This Row],[PAYMENT GAP]]&lt;=0,"No Gap / Overpaid",Table2[[#This Row],[PAYMENT GAP]]&lt;=25000,"Low Gap",Table2[[#This Row],[PAYMENT GAP]]&lt;=100000,"Medium Gap",
TRUE,"High Gap"
)</f>
        <v>Low Gap</v>
      </c>
    </row>
    <row r="1126" spans="1:30" x14ac:dyDescent="0.3">
      <c r="A1126">
        <v>1125</v>
      </c>
      <c r="B1126" s="1">
        <v>100000</v>
      </c>
      <c r="C1126" s="1" t="str" cm="1">
        <f t="array" ref="C1126">_xlfn.IFS(Table2[[#This Row],[LIMIT_BAL]]&lt;=100000,"Low",Table2[[#This Row],[LIMIT_BAL]]&lt;=300000,"Medium",
TRUE,"High"
)</f>
        <v>Low</v>
      </c>
      <c r="D1126" t="s">
        <v>2041</v>
      </c>
      <c r="E1126" t="s">
        <v>2043</v>
      </c>
      <c r="F1126" t="s">
        <v>2029</v>
      </c>
      <c r="G1126">
        <v>29</v>
      </c>
      <c r="H1126" t="str" cm="1">
        <f t="array" ref="H1126">_xlfn.IFS(
Table2[[#This Row],[AGE]]&lt;30,"Young",
Table2[[#This Row],[AGE]]&lt;40,"Middle Age",
Table2[[#This Row],[AGE]]&lt;50,"Senior",
TRUE,"Super Senior"
)</f>
        <v>Young</v>
      </c>
      <c r="I1126">
        <v>-2</v>
      </c>
      <c r="J1126">
        <v>-1</v>
      </c>
      <c r="K1126">
        <v>0</v>
      </c>
      <c r="L1126">
        <v>0</v>
      </c>
      <c r="M1126">
        <v>0</v>
      </c>
      <c r="N1126">
        <v>0</v>
      </c>
      <c r="O1126" s="1">
        <v>75912</v>
      </c>
      <c r="P1126" s="1">
        <v>85276</v>
      </c>
      <c r="Q1126" s="1">
        <v>88498</v>
      </c>
      <c r="R1126" s="1">
        <v>90289</v>
      </c>
      <c r="S1126" s="1">
        <v>92485</v>
      </c>
      <c r="T1126" s="1">
        <v>95630</v>
      </c>
      <c r="U1126" s="1">
        <v>10000</v>
      </c>
      <c r="V1126" s="1">
        <v>4000</v>
      </c>
      <c r="W1126" s="1">
        <v>2600</v>
      </c>
      <c r="X1126" s="1">
        <v>3000</v>
      </c>
      <c r="Y1126" s="1">
        <v>4000</v>
      </c>
      <c r="Z1126" s="1">
        <v>5000</v>
      </c>
      <c r="AA1126">
        <v>0</v>
      </c>
      <c r="AB1126" t="str">
        <f t="shared" si="17"/>
        <v>Not Defaulter</v>
      </c>
      <c r="AC1126" s="1">
        <f>Table2[[#This Row],[BILL_AMT1]]-Table2[[#This Row],[PAY_AMT1]]</f>
        <v>65912</v>
      </c>
      <c r="AD1126" s="1" t="str" cm="1">
        <f t="array" ref="AD1126">_xlfn.IFS(Table2[[#This Row],[PAYMENT GAP]]&lt;=0,"No Gap / Overpaid",Table2[[#This Row],[PAYMENT GAP]]&lt;=25000,"Low Gap",Table2[[#This Row],[PAYMENT GAP]]&lt;=100000,"Medium Gap",
TRUE,"High Gap"
)</f>
        <v>Medium Gap</v>
      </c>
    </row>
    <row r="1127" spans="1:30" x14ac:dyDescent="0.3">
      <c r="A1127">
        <v>1126</v>
      </c>
      <c r="B1127" s="1">
        <v>300000</v>
      </c>
      <c r="C1127" s="1" t="str" cm="1">
        <f t="array" ref="C1127">_xlfn.IFS(Table2[[#This Row],[LIMIT_BAL]]&lt;=100000,"Low",Table2[[#This Row],[LIMIT_BAL]]&lt;=300000,"Medium",
TRUE,"High"
)</f>
        <v>Medium</v>
      </c>
      <c r="D1127" t="s">
        <v>2042</v>
      </c>
      <c r="E1127" t="s">
        <v>2026</v>
      </c>
      <c r="F1127" t="s">
        <v>2028</v>
      </c>
      <c r="G1127">
        <v>38</v>
      </c>
      <c r="H1127" t="str" cm="1">
        <f t="array" ref="H1127">_xlfn.IFS(
Table2[[#This Row],[AGE]]&lt;30,"Young",
Table2[[#This Row],[AGE]]&lt;40,"Middle Age",
Table2[[#This Row],[AGE]]&lt;50,"Senior",
TRUE,"Super Senior"
)</f>
        <v>Middle Age</v>
      </c>
      <c r="I1127">
        <v>-1</v>
      </c>
      <c r="J1127">
        <v>-1</v>
      </c>
      <c r="K1127">
        <v>-2</v>
      </c>
      <c r="L1127">
        <v>-2</v>
      </c>
      <c r="M1127">
        <v>-2</v>
      </c>
      <c r="N1127">
        <v>-2</v>
      </c>
      <c r="O1127" s="1">
        <v>2285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0</v>
      </c>
      <c r="Y1127" s="1">
        <v>0</v>
      </c>
      <c r="Z1127" s="1">
        <v>0</v>
      </c>
      <c r="AA1127">
        <v>0</v>
      </c>
      <c r="AB1127" t="str">
        <f t="shared" si="17"/>
        <v>Not Defaulter</v>
      </c>
      <c r="AC1127" s="1">
        <f>Table2[[#This Row],[BILL_AMT1]]-Table2[[#This Row],[PAY_AMT1]]</f>
        <v>2285</v>
      </c>
      <c r="AD1127" s="1" t="str" cm="1">
        <f t="array" ref="AD1127">_xlfn.IFS(Table2[[#This Row],[PAYMENT GAP]]&lt;=0,"No Gap / Overpaid",Table2[[#This Row],[PAYMENT GAP]]&lt;=25000,"Low Gap",Table2[[#This Row],[PAYMENT GAP]]&lt;=100000,"Medium Gap",
TRUE,"High Gap"
)</f>
        <v>Low Gap</v>
      </c>
    </row>
    <row r="1128" spans="1:30" x14ac:dyDescent="0.3">
      <c r="A1128">
        <v>1127</v>
      </c>
      <c r="B1128" s="1">
        <v>500000</v>
      </c>
      <c r="C1128" s="1" t="str" cm="1">
        <f t="array" ref="C1128">_xlfn.IFS(Table2[[#This Row],[LIMIT_BAL]]&lt;=100000,"Low",Table2[[#This Row],[LIMIT_BAL]]&lt;=300000,"Medium",
TRUE,"High"
)</f>
        <v>High</v>
      </c>
      <c r="D1128" t="s">
        <v>2041</v>
      </c>
      <c r="E1128" t="s">
        <v>2026</v>
      </c>
      <c r="F1128" t="s">
        <v>2029</v>
      </c>
      <c r="G1128">
        <v>35</v>
      </c>
      <c r="H1128" t="str" cm="1">
        <f t="array" ref="H1128">_xlfn.IFS(
Table2[[#This Row],[AGE]]&lt;30,"Young",
Table2[[#This Row],[AGE]]&lt;40,"Middle Age",
Table2[[#This Row],[AGE]]&lt;50,"Senior",
TRUE,"Super Senior"
)</f>
        <v>Middle Age</v>
      </c>
      <c r="I1128">
        <v>-1</v>
      </c>
      <c r="J1128">
        <v>-1</v>
      </c>
      <c r="K1128">
        <v>-1</v>
      </c>
      <c r="L1128">
        <v>-1</v>
      </c>
      <c r="M1128">
        <v>0</v>
      </c>
      <c r="N1128">
        <v>-1</v>
      </c>
      <c r="O1128" s="1">
        <v>22369</v>
      </c>
      <c r="P1128" s="1">
        <v>14100</v>
      </c>
      <c r="Q1128" s="1">
        <v>24754</v>
      </c>
      <c r="R1128" s="1">
        <v>21443</v>
      </c>
      <c r="S1128" s="1">
        <v>13892</v>
      </c>
      <c r="T1128" s="1">
        <v>11241</v>
      </c>
      <c r="U1128" s="1">
        <v>14128</v>
      </c>
      <c r="V1128" s="1">
        <v>24902</v>
      </c>
      <c r="W1128" s="1">
        <v>21479</v>
      </c>
      <c r="X1128" s="1">
        <v>11465</v>
      </c>
      <c r="Y1128" s="1">
        <v>11356</v>
      </c>
      <c r="Z1128" s="1">
        <v>66710</v>
      </c>
      <c r="AA1128">
        <v>0</v>
      </c>
      <c r="AB1128" t="str">
        <f t="shared" si="17"/>
        <v>Not Defaulter</v>
      </c>
      <c r="AC1128" s="1">
        <f>Table2[[#This Row],[BILL_AMT1]]-Table2[[#This Row],[PAY_AMT1]]</f>
        <v>8241</v>
      </c>
      <c r="AD1128" s="1" t="str" cm="1">
        <f t="array" ref="AD1128">_xlfn.IFS(Table2[[#This Row],[PAYMENT GAP]]&lt;=0,"No Gap / Overpaid",Table2[[#This Row],[PAYMENT GAP]]&lt;=25000,"Low Gap",Table2[[#This Row],[PAYMENT GAP]]&lt;=100000,"Medium Gap",
TRUE,"High Gap"
)</f>
        <v>Low Gap</v>
      </c>
    </row>
    <row r="1129" spans="1:30" x14ac:dyDescent="0.3">
      <c r="A1129">
        <v>1128</v>
      </c>
      <c r="B1129" s="1">
        <v>360000</v>
      </c>
      <c r="C1129" s="1" t="str" cm="1">
        <f t="array" ref="C1129">_xlfn.IFS(Table2[[#This Row],[LIMIT_BAL]]&lt;=100000,"Low",Table2[[#This Row],[LIMIT_BAL]]&lt;=300000,"Medium",
TRUE,"High"
)</f>
        <v>High</v>
      </c>
      <c r="D1129" t="s">
        <v>2041</v>
      </c>
      <c r="E1129" t="s">
        <v>2043</v>
      </c>
      <c r="F1129" t="s">
        <v>2028</v>
      </c>
      <c r="G1129">
        <v>52</v>
      </c>
      <c r="H1129" t="str" cm="1">
        <f t="array" ref="H1129">_xlfn.IFS(
Table2[[#This Row],[AGE]]&lt;30,"Young",
Table2[[#This Row],[AGE]]&lt;40,"Middle Age",
Table2[[#This Row],[AGE]]&lt;50,"Senior",
TRUE,"Super Senior"
)</f>
        <v>Super Senior</v>
      </c>
      <c r="I1129">
        <v>-1</v>
      </c>
      <c r="J1129">
        <v>-1</v>
      </c>
      <c r="K1129">
        <v>-2</v>
      </c>
      <c r="L1129">
        <v>-2</v>
      </c>
      <c r="M1129">
        <v>-2</v>
      </c>
      <c r="N1129">
        <v>-2</v>
      </c>
      <c r="O1129" s="1">
        <v>2995</v>
      </c>
      <c r="P1129" s="1">
        <v>2401</v>
      </c>
      <c r="Q1129" s="1">
        <v>2277</v>
      </c>
      <c r="R1129" s="1">
        <v>500</v>
      </c>
      <c r="S1129" s="1">
        <v>3586</v>
      </c>
      <c r="T1129" s="1">
        <v>7399</v>
      </c>
      <c r="U1129" s="1">
        <v>2406</v>
      </c>
      <c r="V1129" s="1">
        <v>2282</v>
      </c>
      <c r="W1129" s="1">
        <v>500</v>
      </c>
      <c r="X1129" s="1">
        <v>3586</v>
      </c>
      <c r="Y1129" s="1">
        <v>7399</v>
      </c>
      <c r="Z1129" s="1">
        <v>600</v>
      </c>
      <c r="AA1129">
        <v>0</v>
      </c>
      <c r="AB1129" t="str">
        <f t="shared" si="17"/>
        <v>Not Defaulter</v>
      </c>
      <c r="AC1129" s="1">
        <f>Table2[[#This Row],[BILL_AMT1]]-Table2[[#This Row],[PAY_AMT1]]</f>
        <v>589</v>
      </c>
      <c r="AD1129" s="1" t="str" cm="1">
        <f t="array" ref="AD1129">_xlfn.IFS(Table2[[#This Row],[PAYMENT GAP]]&lt;=0,"No Gap / Overpaid",Table2[[#This Row],[PAYMENT GAP]]&lt;=25000,"Low Gap",Table2[[#This Row],[PAYMENT GAP]]&lt;=100000,"Medium Gap",
TRUE,"High Gap"
)</f>
        <v>Low Gap</v>
      </c>
    </row>
    <row r="1130" spans="1:30" x14ac:dyDescent="0.3">
      <c r="A1130">
        <v>1129</v>
      </c>
      <c r="B1130" s="1">
        <v>160000</v>
      </c>
      <c r="C1130" s="1" t="str" cm="1">
        <f t="array" ref="C1130">_xlfn.IFS(Table2[[#This Row],[LIMIT_BAL]]&lt;=100000,"Low",Table2[[#This Row],[LIMIT_BAL]]&lt;=300000,"Medium",
TRUE,"High"
)</f>
        <v>Medium</v>
      </c>
      <c r="D1130" t="s">
        <v>2041</v>
      </c>
      <c r="E1130" t="s">
        <v>2026</v>
      </c>
      <c r="F1130" t="s">
        <v>2029</v>
      </c>
      <c r="G1130">
        <v>29</v>
      </c>
      <c r="H1130" t="str" cm="1">
        <f t="array" ref="H1130">_xlfn.IFS(
Table2[[#This Row],[AGE]]&lt;30,"Young",
Table2[[#This Row],[AGE]]&lt;40,"Middle Age",
Table2[[#This Row],[AGE]]&lt;50,"Senior",
TRUE,"Super Senior"
)</f>
        <v>Young</v>
      </c>
      <c r="I1130">
        <v>1</v>
      </c>
      <c r="J1130">
        <v>-2</v>
      </c>
      <c r="K1130">
        <v>-2</v>
      </c>
      <c r="L1130">
        <v>-2</v>
      </c>
      <c r="M1130">
        <v>-2</v>
      </c>
      <c r="N1130">
        <v>-2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1">
        <v>0</v>
      </c>
      <c r="Y1130" s="1">
        <v>0</v>
      </c>
      <c r="Z1130" s="1">
        <v>0</v>
      </c>
      <c r="AA1130">
        <v>0</v>
      </c>
      <c r="AB1130" t="str">
        <f t="shared" si="17"/>
        <v>Not Defaulter</v>
      </c>
      <c r="AC1130" s="1">
        <f>Table2[[#This Row],[BILL_AMT1]]-Table2[[#This Row],[PAY_AMT1]]</f>
        <v>0</v>
      </c>
      <c r="AD1130" s="1" t="str" cm="1">
        <f t="array" ref="AD1130">_xlfn.IFS(Table2[[#This Row],[PAYMENT GAP]]&lt;=0,"No Gap / Overpaid",Table2[[#This Row],[PAYMENT GAP]]&lt;=25000,"Low Gap",Table2[[#This Row],[PAYMENT GAP]]&lt;=100000,"Medium Gap",
TRUE,"High Gap"
)</f>
        <v>No Gap / Overpaid</v>
      </c>
    </row>
    <row r="1131" spans="1:30" x14ac:dyDescent="0.3">
      <c r="A1131">
        <v>1130</v>
      </c>
      <c r="B1131" s="1">
        <v>50000</v>
      </c>
      <c r="C1131" s="1" t="str" cm="1">
        <f t="array" ref="C1131">_xlfn.IFS(Table2[[#This Row],[LIMIT_BAL]]&lt;=100000,"Low",Table2[[#This Row],[LIMIT_BAL]]&lt;=300000,"Medium",
TRUE,"High"
)</f>
        <v>Low</v>
      </c>
      <c r="D1131" t="s">
        <v>2041</v>
      </c>
      <c r="E1131" t="s">
        <v>2043</v>
      </c>
      <c r="F1131" t="s">
        <v>2029</v>
      </c>
      <c r="G1131">
        <v>23</v>
      </c>
      <c r="H1131" t="str" cm="1">
        <f t="array" ref="H1131">_xlfn.IFS(
Table2[[#This Row],[AGE]]&lt;30,"Young",
Table2[[#This Row],[AGE]]&lt;40,"Middle Age",
Table2[[#This Row],[AGE]]&lt;50,"Senior",
TRUE,"Super Senior"
)</f>
        <v>Young</v>
      </c>
      <c r="I1131">
        <v>0</v>
      </c>
      <c r="J1131">
        <v>0</v>
      </c>
      <c r="K1131">
        <v>0</v>
      </c>
      <c r="L1131">
        <v>2</v>
      </c>
      <c r="M1131">
        <v>2</v>
      </c>
      <c r="N1131">
        <v>2</v>
      </c>
      <c r="O1131" s="1">
        <v>47053</v>
      </c>
      <c r="P1131" s="1">
        <v>47835</v>
      </c>
      <c r="Q1131" s="1">
        <v>51109</v>
      </c>
      <c r="R1131" s="1">
        <v>51713</v>
      </c>
      <c r="S1131" s="1">
        <v>52738</v>
      </c>
      <c r="T1131" s="1">
        <v>48789</v>
      </c>
      <c r="U1131" s="1">
        <v>1842</v>
      </c>
      <c r="V1131" s="1">
        <v>4116</v>
      </c>
      <c r="W1131" s="1">
        <v>2000</v>
      </c>
      <c r="X1131" s="1">
        <v>1950</v>
      </c>
      <c r="Y1131" s="1">
        <v>0</v>
      </c>
      <c r="Z1131" s="1">
        <v>1885</v>
      </c>
      <c r="AA1131">
        <v>1</v>
      </c>
      <c r="AB1131" t="str">
        <f t="shared" si="17"/>
        <v>Defaulter</v>
      </c>
      <c r="AC1131" s="1">
        <f>Table2[[#This Row],[BILL_AMT1]]-Table2[[#This Row],[PAY_AMT1]]</f>
        <v>45211</v>
      </c>
      <c r="AD1131" s="1" t="str" cm="1">
        <f t="array" ref="AD1131">_xlfn.IFS(Table2[[#This Row],[PAYMENT GAP]]&lt;=0,"No Gap / Overpaid",Table2[[#This Row],[PAYMENT GAP]]&lt;=25000,"Low Gap",Table2[[#This Row],[PAYMENT GAP]]&lt;=100000,"Medium Gap",
TRUE,"High Gap"
)</f>
        <v>Medium Gap</v>
      </c>
    </row>
    <row r="1132" spans="1:30" x14ac:dyDescent="0.3">
      <c r="A1132">
        <v>1131</v>
      </c>
      <c r="B1132" s="1">
        <v>230000</v>
      </c>
      <c r="C1132" s="1" t="str" cm="1">
        <f t="array" ref="C1132">_xlfn.IFS(Table2[[#This Row],[LIMIT_BAL]]&lt;=100000,"Low",Table2[[#This Row],[LIMIT_BAL]]&lt;=300000,"Medium",
TRUE,"High"
)</f>
        <v>Medium</v>
      </c>
      <c r="D1132" t="s">
        <v>2041</v>
      </c>
      <c r="E1132" t="s">
        <v>2043</v>
      </c>
      <c r="F1132" t="s">
        <v>2028</v>
      </c>
      <c r="G1132">
        <v>34</v>
      </c>
      <c r="H1132" t="str" cm="1">
        <f t="array" ref="H1132">_xlfn.IFS(
Table2[[#This Row],[AGE]]&lt;30,"Young",
Table2[[#This Row],[AGE]]&lt;40,"Middle Age",
Table2[[#This Row],[AGE]]&lt;50,"Senior",
TRUE,"Super Senior"
)</f>
        <v>Middle Age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 s="1">
        <v>234328</v>
      </c>
      <c r="P1132" s="1">
        <v>234211</v>
      </c>
      <c r="Q1132" s="1">
        <v>157345</v>
      </c>
      <c r="R1132" s="1">
        <v>155335</v>
      </c>
      <c r="S1132" s="1">
        <v>153427</v>
      </c>
      <c r="T1132" s="1">
        <v>150514</v>
      </c>
      <c r="U1132" s="1">
        <v>8913</v>
      </c>
      <c r="V1132" s="1">
        <v>5449</v>
      </c>
      <c r="W1132" s="1">
        <v>5339</v>
      </c>
      <c r="X1132" s="1">
        <v>5370</v>
      </c>
      <c r="Y1132" s="1">
        <v>4435</v>
      </c>
      <c r="Z1132" s="1">
        <v>4432</v>
      </c>
      <c r="AA1132">
        <v>1</v>
      </c>
      <c r="AB1132" t="str">
        <f t="shared" si="17"/>
        <v>Defaulter</v>
      </c>
      <c r="AC1132" s="1">
        <f>Table2[[#This Row],[BILL_AMT1]]-Table2[[#This Row],[PAY_AMT1]]</f>
        <v>225415</v>
      </c>
      <c r="AD1132" s="1" t="str" cm="1">
        <f t="array" ref="AD1132">_xlfn.IFS(Table2[[#This Row],[PAYMENT GAP]]&lt;=0,"No Gap / Overpaid",Table2[[#This Row],[PAYMENT GAP]]&lt;=25000,"Low Gap",Table2[[#This Row],[PAYMENT GAP]]&lt;=100000,"Medium Gap",
TRUE,"High Gap"
)</f>
        <v>High Gap</v>
      </c>
    </row>
    <row r="1133" spans="1:30" x14ac:dyDescent="0.3">
      <c r="A1133">
        <v>1132</v>
      </c>
      <c r="B1133" s="1">
        <v>200000</v>
      </c>
      <c r="C1133" s="1" t="str" cm="1">
        <f t="array" ref="C1133">_xlfn.IFS(Table2[[#This Row],[LIMIT_BAL]]&lt;=100000,"Low",Table2[[#This Row],[LIMIT_BAL]]&lt;=300000,"Medium",
TRUE,"High"
)</f>
        <v>Medium</v>
      </c>
      <c r="D1133" t="s">
        <v>2041</v>
      </c>
      <c r="E1133" t="s">
        <v>2043</v>
      </c>
      <c r="F1133" t="s">
        <v>2029</v>
      </c>
      <c r="G1133">
        <v>34</v>
      </c>
      <c r="H1133" t="str" cm="1">
        <f t="array" ref="H1133">_xlfn.IFS(
Table2[[#This Row],[AGE]]&lt;30,"Young",
Table2[[#This Row],[AGE]]&lt;40,"Middle Age",
Table2[[#This Row],[AGE]]&lt;50,"Senior",
TRUE,"Super Senior"
)</f>
        <v>Middle Age</v>
      </c>
      <c r="I1133">
        <v>1</v>
      </c>
      <c r="J1133">
        <v>-1</v>
      </c>
      <c r="K1133">
        <v>-1</v>
      </c>
      <c r="L1133">
        <v>-1</v>
      </c>
      <c r="M1133">
        <v>-1</v>
      </c>
      <c r="N1133">
        <v>-1</v>
      </c>
      <c r="O1133" s="1">
        <v>0</v>
      </c>
      <c r="P1133" s="1">
        <v>3346</v>
      </c>
      <c r="Q1133" s="1">
        <v>0</v>
      </c>
      <c r="R1133" s="1">
        <v>465</v>
      </c>
      <c r="S1133" s="1">
        <v>1775</v>
      </c>
      <c r="T1133" s="1">
        <v>8722</v>
      </c>
      <c r="U1133" s="1">
        <v>3346</v>
      </c>
      <c r="V1133" s="1">
        <v>0</v>
      </c>
      <c r="W1133" s="1">
        <v>465</v>
      </c>
      <c r="X1133" s="1">
        <v>1775</v>
      </c>
      <c r="Y1133" s="1">
        <v>8722</v>
      </c>
      <c r="Z1133" s="1">
        <v>0</v>
      </c>
      <c r="AA1133">
        <v>0</v>
      </c>
      <c r="AB1133" t="str">
        <f t="shared" si="17"/>
        <v>Not Defaulter</v>
      </c>
      <c r="AC1133" s="1">
        <f>Table2[[#This Row],[BILL_AMT1]]-Table2[[#This Row],[PAY_AMT1]]</f>
        <v>-3346</v>
      </c>
      <c r="AD1133" s="1" t="str" cm="1">
        <f t="array" ref="AD1133">_xlfn.IFS(Table2[[#This Row],[PAYMENT GAP]]&lt;=0,"No Gap / Overpaid",Table2[[#This Row],[PAYMENT GAP]]&lt;=25000,"Low Gap",Table2[[#This Row],[PAYMENT GAP]]&lt;=100000,"Medium Gap",
TRUE,"High Gap"
)</f>
        <v>No Gap / Overpaid</v>
      </c>
    </row>
    <row r="1134" spans="1:30" x14ac:dyDescent="0.3">
      <c r="A1134">
        <v>1133</v>
      </c>
      <c r="B1134" s="1">
        <v>270000</v>
      </c>
      <c r="C1134" s="1" t="str" cm="1">
        <f t="array" ref="C1134">_xlfn.IFS(Table2[[#This Row],[LIMIT_BAL]]&lt;=100000,"Low",Table2[[#This Row],[LIMIT_BAL]]&lt;=300000,"Medium",
TRUE,"High"
)</f>
        <v>Medium</v>
      </c>
      <c r="D1134" t="s">
        <v>2042</v>
      </c>
      <c r="E1134" t="s">
        <v>2026</v>
      </c>
      <c r="F1134" t="s">
        <v>2028</v>
      </c>
      <c r="G1134">
        <v>44</v>
      </c>
      <c r="H1134" t="str" cm="1">
        <f t="array" ref="H1134">_xlfn.IFS(
Table2[[#This Row],[AGE]]&lt;30,"Young",
Table2[[#This Row],[AGE]]&lt;40,"Middle Age",
Table2[[#This Row],[AGE]]&lt;50,"Senior",
TRUE,"Super Senior"
)</f>
        <v>Senior</v>
      </c>
      <c r="I1134">
        <v>3</v>
      </c>
      <c r="J1134">
        <v>3</v>
      </c>
      <c r="K1134">
        <v>4</v>
      </c>
      <c r="L1134">
        <v>4</v>
      </c>
      <c r="M1134">
        <v>4</v>
      </c>
      <c r="N1134">
        <v>4</v>
      </c>
      <c r="O1134" s="1">
        <v>256402</v>
      </c>
      <c r="P1134" s="1">
        <v>264267</v>
      </c>
      <c r="Q1134" s="1">
        <v>271951</v>
      </c>
      <c r="R1134" s="1">
        <v>278509</v>
      </c>
      <c r="S1134" s="1">
        <v>283545</v>
      </c>
      <c r="T1134" s="1">
        <v>278436</v>
      </c>
      <c r="U1134" s="1">
        <v>17944</v>
      </c>
      <c r="V1134" s="1">
        <v>18112</v>
      </c>
      <c r="W1134" s="1">
        <v>15405</v>
      </c>
      <c r="X1134" s="1">
        <v>10000</v>
      </c>
      <c r="Y1134" s="1">
        <v>0</v>
      </c>
      <c r="Z1134" s="1">
        <v>0</v>
      </c>
      <c r="AA1134">
        <v>0</v>
      </c>
      <c r="AB1134" t="str">
        <f t="shared" si="17"/>
        <v>Not Defaulter</v>
      </c>
      <c r="AC1134" s="1">
        <f>Table2[[#This Row],[BILL_AMT1]]-Table2[[#This Row],[PAY_AMT1]]</f>
        <v>238458</v>
      </c>
      <c r="AD1134" s="1" t="str" cm="1">
        <f t="array" ref="AD1134">_xlfn.IFS(Table2[[#This Row],[PAYMENT GAP]]&lt;=0,"No Gap / Overpaid",Table2[[#This Row],[PAYMENT GAP]]&lt;=25000,"Low Gap",Table2[[#This Row],[PAYMENT GAP]]&lt;=100000,"Medium Gap",
TRUE,"High Gap"
)</f>
        <v>High Gap</v>
      </c>
    </row>
    <row r="1135" spans="1:30" x14ac:dyDescent="0.3">
      <c r="A1135">
        <v>1134</v>
      </c>
      <c r="B1135" s="1">
        <v>50000</v>
      </c>
      <c r="C1135" s="1" t="str" cm="1">
        <f t="array" ref="C1135">_xlfn.IFS(Table2[[#This Row],[LIMIT_BAL]]&lt;=100000,"Low",Table2[[#This Row],[LIMIT_BAL]]&lt;=300000,"Medium",
TRUE,"High"
)</f>
        <v>Low</v>
      </c>
      <c r="D1135" t="s">
        <v>2041</v>
      </c>
      <c r="E1135" t="s">
        <v>2043</v>
      </c>
      <c r="F1135" t="s">
        <v>2028</v>
      </c>
      <c r="G1135">
        <v>36</v>
      </c>
      <c r="H1135" t="str" cm="1">
        <f t="array" ref="H1135">_xlfn.IFS(
Table2[[#This Row],[AGE]]&lt;30,"Young",
Table2[[#This Row],[AGE]]&lt;40,"Middle Age",
Table2[[#This Row],[AGE]]&lt;50,"Senior",
TRUE,"Super Senior"
)</f>
        <v>Middle Age</v>
      </c>
      <c r="I1135">
        <v>2</v>
      </c>
      <c r="J1135">
        <v>2</v>
      </c>
      <c r="K1135">
        <v>2</v>
      </c>
      <c r="L1135">
        <v>0</v>
      </c>
      <c r="M1135">
        <v>0</v>
      </c>
      <c r="N1135">
        <v>2</v>
      </c>
      <c r="O1135" s="1">
        <v>45159</v>
      </c>
      <c r="P1135" s="1">
        <v>49125</v>
      </c>
      <c r="Q1135" s="1">
        <v>47956</v>
      </c>
      <c r="R1135" s="1">
        <v>43578</v>
      </c>
      <c r="S1135" s="1">
        <v>35126</v>
      </c>
      <c r="T1135" s="1">
        <v>34420</v>
      </c>
      <c r="U1135" s="1">
        <v>4700</v>
      </c>
      <c r="V1135" s="1">
        <v>0</v>
      </c>
      <c r="W1135" s="1">
        <v>2004</v>
      </c>
      <c r="X1135" s="1">
        <v>3500</v>
      </c>
      <c r="Y1135" s="1">
        <v>0</v>
      </c>
      <c r="Z1135" s="1">
        <v>1000</v>
      </c>
      <c r="AA1135">
        <v>0</v>
      </c>
      <c r="AB1135" t="str">
        <f t="shared" si="17"/>
        <v>Not Defaulter</v>
      </c>
      <c r="AC1135" s="1">
        <f>Table2[[#This Row],[BILL_AMT1]]-Table2[[#This Row],[PAY_AMT1]]</f>
        <v>40459</v>
      </c>
      <c r="AD1135" s="1" t="str" cm="1">
        <f t="array" ref="AD1135">_xlfn.IFS(Table2[[#This Row],[PAYMENT GAP]]&lt;=0,"No Gap / Overpaid",Table2[[#This Row],[PAYMENT GAP]]&lt;=25000,"Low Gap",Table2[[#This Row],[PAYMENT GAP]]&lt;=100000,"Medium Gap",
TRUE,"High Gap"
)</f>
        <v>Medium Gap</v>
      </c>
    </row>
    <row r="1136" spans="1:30" x14ac:dyDescent="0.3">
      <c r="A1136">
        <v>1135</v>
      </c>
      <c r="B1136" s="1">
        <v>20000</v>
      </c>
      <c r="C1136" s="1" t="str" cm="1">
        <f t="array" ref="C1136">_xlfn.IFS(Table2[[#This Row],[LIMIT_BAL]]&lt;=100000,"Low",Table2[[#This Row],[LIMIT_BAL]]&lt;=300000,"Medium",
TRUE,"High"
)</f>
        <v>Low</v>
      </c>
      <c r="D1136" t="s">
        <v>2042</v>
      </c>
      <c r="E1136" t="s">
        <v>2043</v>
      </c>
      <c r="F1136" t="s">
        <v>2029</v>
      </c>
      <c r="G1136">
        <v>28</v>
      </c>
      <c r="H1136" t="str" cm="1">
        <f t="array" ref="H1136">_xlfn.IFS(
Table2[[#This Row],[AGE]]&lt;30,"Young",
Table2[[#This Row],[AGE]]&lt;40,"Middle Age",
Table2[[#This Row],[AGE]]&lt;50,"Senior",
TRUE,"Super Senior"
)</f>
        <v>Young</v>
      </c>
      <c r="I1136">
        <v>1</v>
      </c>
      <c r="J1136">
        <v>2</v>
      </c>
      <c r="K1136">
        <v>2</v>
      </c>
      <c r="L1136">
        <v>2</v>
      </c>
      <c r="M1136">
        <v>0</v>
      </c>
      <c r="N1136">
        <v>0</v>
      </c>
      <c r="O1136" s="1">
        <v>15764</v>
      </c>
      <c r="P1136" s="1">
        <v>15718</v>
      </c>
      <c r="Q1136" s="1">
        <v>17164</v>
      </c>
      <c r="R1136" s="1">
        <v>16594</v>
      </c>
      <c r="S1136" s="1">
        <v>18158</v>
      </c>
      <c r="T1136" s="1">
        <v>19554</v>
      </c>
      <c r="U1136" s="1">
        <v>500</v>
      </c>
      <c r="V1136" s="1">
        <v>2000</v>
      </c>
      <c r="W1136" s="1">
        <v>0</v>
      </c>
      <c r="X1136" s="1">
        <v>2000</v>
      </c>
      <c r="Y1136" s="1">
        <v>1700</v>
      </c>
      <c r="Z1136" s="1">
        <v>0</v>
      </c>
      <c r="AA1136">
        <v>0</v>
      </c>
      <c r="AB1136" t="str">
        <f t="shared" si="17"/>
        <v>Not Defaulter</v>
      </c>
      <c r="AC1136" s="1">
        <f>Table2[[#This Row],[BILL_AMT1]]-Table2[[#This Row],[PAY_AMT1]]</f>
        <v>15264</v>
      </c>
      <c r="AD1136" s="1" t="str" cm="1">
        <f t="array" ref="AD1136">_xlfn.IFS(Table2[[#This Row],[PAYMENT GAP]]&lt;=0,"No Gap / Overpaid",Table2[[#This Row],[PAYMENT GAP]]&lt;=25000,"Low Gap",Table2[[#This Row],[PAYMENT GAP]]&lt;=100000,"Medium Gap",
TRUE,"High Gap"
)</f>
        <v>Low Gap</v>
      </c>
    </row>
    <row r="1137" spans="1:30" x14ac:dyDescent="0.3">
      <c r="A1137">
        <v>1136</v>
      </c>
      <c r="B1137" s="1">
        <v>60000</v>
      </c>
      <c r="C1137" s="1" t="str" cm="1">
        <f t="array" ref="C1137">_xlfn.IFS(Table2[[#This Row],[LIMIT_BAL]]&lt;=100000,"Low",Table2[[#This Row],[LIMIT_BAL]]&lt;=300000,"Medium",
TRUE,"High"
)</f>
        <v>Low</v>
      </c>
      <c r="D1137" t="s">
        <v>2041</v>
      </c>
      <c r="E1137" t="s">
        <v>2043</v>
      </c>
      <c r="F1137" t="s">
        <v>2029</v>
      </c>
      <c r="G1137">
        <v>31</v>
      </c>
      <c r="H1137" t="str" cm="1">
        <f t="array" ref="H1137">_xlfn.IFS(
Table2[[#This Row],[AGE]]&lt;30,"Young",
Table2[[#This Row],[AGE]]&lt;40,"Middle Age",
Table2[[#This Row],[AGE]]&lt;50,"Senior",
TRUE,"Super Senior"
)</f>
        <v>Middle Age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O1137" s="1">
        <v>59643</v>
      </c>
      <c r="P1137" s="1">
        <v>61279</v>
      </c>
      <c r="Q1137" s="1">
        <v>61017</v>
      </c>
      <c r="R1137" s="1">
        <v>30117</v>
      </c>
      <c r="S1137" s="1">
        <v>29526</v>
      </c>
      <c r="T1137" s="1">
        <v>29201</v>
      </c>
      <c r="U1137" s="1">
        <v>3200</v>
      </c>
      <c r="V1137" s="1">
        <v>2535</v>
      </c>
      <c r="W1137" s="1">
        <v>2331</v>
      </c>
      <c r="X1137" s="1">
        <v>0</v>
      </c>
      <c r="Y1137" s="1">
        <v>1073</v>
      </c>
      <c r="Z1137" s="1">
        <v>2134</v>
      </c>
      <c r="AA1137">
        <v>0</v>
      </c>
      <c r="AB1137" t="str">
        <f t="shared" si="17"/>
        <v>Not Defaulter</v>
      </c>
      <c r="AC1137" s="1">
        <f>Table2[[#This Row],[BILL_AMT1]]-Table2[[#This Row],[PAY_AMT1]]</f>
        <v>56443</v>
      </c>
      <c r="AD1137" s="1" t="str" cm="1">
        <f t="array" ref="AD1137">_xlfn.IFS(Table2[[#This Row],[PAYMENT GAP]]&lt;=0,"No Gap / Overpaid",Table2[[#This Row],[PAYMENT GAP]]&lt;=25000,"Low Gap",Table2[[#This Row],[PAYMENT GAP]]&lt;=100000,"Medium Gap",
TRUE,"High Gap"
)</f>
        <v>Medium Gap</v>
      </c>
    </row>
    <row r="1138" spans="1:30" x14ac:dyDescent="0.3">
      <c r="A1138">
        <v>1137</v>
      </c>
      <c r="B1138" s="1">
        <v>50000</v>
      </c>
      <c r="C1138" s="1" t="str" cm="1">
        <f t="array" ref="C1138">_xlfn.IFS(Table2[[#This Row],[LIMIT_BAL]]&lt;=100000,"Low",Table2[[#This Row],[LIMIT_BAL]]&lt;=300000,"Medium",
TRUE,"High"
)</f>
        <v>Low</v>
      </c>
      <c r="D1138" t="s">
        <v>2042</v>
      </c>
      <c r="E1138" t="s">
        <v>2043</v>
      </c>
      <c r="F1138" t="s">
        <v>2029</v>
      </c>
      <c r="G1138">
        <v>31</v>
      </c>
      <c r="H1138" t="str" cm="1">
        <f t="array" ref="H1138">_xlfn.IFS(
Table2[[#This Row],[AGE]]&lt;30,"Young",
Table2[[#This Row],[AGE]]&lt;40,"Middle Age",
Table2[[#This Row],[AGE]]&lt;50,"Senior",
TRUE,"Super Senior"
)</f>
        <v>Middle Age</v>
      </c>
      <c r="I1138">
        <v>-1</v>
      </c>
      <c r="J1138">
        <v>-1</v>
      </c>
      <c r="K1138">
        <v>-1</v>
      </c>
      <c r="L1138">
        <v>0</v>
      </c>
      <c r="M1138">
        <v>0</v>
      </c>
      <c r="N1138">
        <v>-1</v>
      </c>
      <c r="O1138" s="1">
        <v>2522</v>
      </c>
      <c r="P1138" s="1">
        <v>0</v>
      </c>
      <c r="Q1138" s="1">
        <v>18171</v>
      </c>
      <c r="R1138" s="1">
        <v>17051</v>
      </c>
      <c r="S1138" s="1">
        <v>390</v>
      </c>
      <c r="T1138" s="1">
        <v>16526</v>
      </c>
      <c r="U1138" s="1">
        <v>0</v>
      </c>
      <c r="V1138" s="1">
        <v>18171</v>
      </c>
      <c r="W1138" s="1">
        <v>341</v>
      </c>
      <c r="X1138" s="1">
        <v>0</v>
      </c>
      <c r="Y1138" s="1">
        <v>16526</v>
      </c>
      <c r="Z1138" s="1">
        <v>324</v>
      </c>
      <c r="AA1138">
        <v>0</v>
      </c>
      <c r="AB1138" t="str">
        <f t="shared" si="17"/>
        <v>Not Defaulter</v>
      </c>
      <c r="AC1138" s="1">
        <f>Table2[[#This Row],[BILL_AMT1]]-Table2[[#This Row],[PAY_AMT1]]</f>
        <v>2522</v>
      </c>
      <c r="AD1138" s="1" t="str" cm="1">
        <f t="array" ref="AD1138">_xlfn.IFS(Table2[[#This Row],[PAYMENT GAP]]&lt;=0,"No Gap / Overpaid",Table2[[#This Row],[PAYMENT GAP]]&lt;=25000,"Low Gap",Table2[[#This Row],[PAYMENT GAP]]&lt;=100000,"Medium Gap",
TRUE,"High Gap"
)</f>
        <v>Low Gap</v>
      </c>
    </row>
    <row r="1139" spans="1:30" x14ac:dyDescent="0.3">
      <c r="A1139">
        <v>1138</v>
      </c>
      <c r="B1139" s="1">
        <v>50000</v>
      </c>
      <c r="C1139" s="1" t="str" cm="1">
        <f t="array" ref="C1139">_xlfn.IFS(Table2[[#This Row],[LIMIT_BAL]]&lt;=100000,"Low",Table2[[#This Row],[LIMIT_BAL]]&lt;=300000,"Medium",
TRUE,"High"
)</f>
        <v>Low</v>
      </c>
      <c r="D1139" t="s">
        <v>2042</v>
      </c>
      <c r="E1139" t="s">
        <v>2043</v>
      </c>
      <c r="F1139" t="s">
        <v>2028</v>
      </c>
      <c r="G1139">
        <v>41</v>
      </c>
      <c r="H1139" t="str" cm="1">
        <f t="array" ref="H1139">_xlfn.IFS(
Table2[[#This Row],[AGE]]&lt;30,"Young",
Table2[[#This Row],[AGE]]&lt;40,"Middle Age",
Table2[[#This Row],[AGE]]&lt;50,"Senior",
TRUE,"Super Senior"
)</f>
        <v>Senior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s="1">
        <v>19339</v>
      </c>
      <c r="P1139" s="1">
        <v>20424</v>
      </c>
      <c r="Q1139" s="1">
        <v>20086</v>
      </c>
      <c r="R1139" s="1">
        <v>18600</v>
      </c>
      <c r="S1139" s="1">
        <v>19153</v>
      </c>
      <c r="T1139" s="1">
        <v>19289</v>
      </c>
      <c r="U1139" s="1">
        <v>1703</v>
      </c>
      <c r="V1139" s="1">
        <v>1306</v>
      </c>
      <c r="W1139" s="1">
        <v>810</v>
      </c>
      <c r="X1139" s="1">
        <v>1000</v>
      </c>
      <c r="Y1139" s="1">
        <v>900</v>
      </c>
      <c r="Z1139" s="1">
        <v>900</v>
      </c>
      <c r="AA1139">
        <v>0</v>
      </c>
      <c r="AB1139" t="str">
        <f t="shared" si="17"/>
        <v>Not Defaulter</v>
      </c>
      <c r="AC1139" s="1">
        <f>Table2[[#This Row],[BILL_AMT1]]-Table2[[#This Row],[PAY_AMT1]]</f>
        <v>17636</v>
      </c>
      <c r="AD1139" s="1" t="str" cm="1">
        <f t="array" ref="AD1139">_xlfn.IFS(Table2[[#This Row],[PAYMENT GAP]]&lt;=0,"No Gap / Overpaid",Table2[[#This Row],[PAYMENT GAP]]&lt;=25000,"Low Gap",Table2[[#This Row],[PAYMENT GAP]]&lt;=100000,"Medium Gap",
TRUE,"High Gap"
)</f>
        <v>Low Gap</v>
      </c>
    </row>
    <row r="1140" spans="1:30" x14ac:dyDescent="0.3">
      <c r="A1140">
        <v>1139</v>
      </c>
      <c r="B1140" s="1">
        <v>130000</v>
      </c>
      <c r="C1140" s="1" t="str" cm="1">
        <f t="array" ref="C1140">_xlfn.IFS(Table2[[#This Row],[LIMIT_BAL]]&lt;=100000,"Low",Table2[[#This Row],[LIMIT_BAL]]&lt;=300000,"Medium",
TRUE,"High"
)</f>
        <v>Medium</v>
      </c>
      <c r="D1140" t="s">
        <v>2041</v>
      </c>
      <c r="E1140" t="s">
        <v>2027</v>
      </c>
      <c r="F1140" t="s">
        <v>2028</v>
      </c>
      <c r="G1140">
        <v>44</v>
      </c>
      <c r="H1140" t="str" cm="1">
        <f t="array" ref="H1140">_xlfn.IFS(
Table2[[#This Row],[AGE]]&lt;30,"Young",
Table2[[#This Row],[AGE]]&lt;40,"Middle Age",
Table2[[#This Row],[AGE]]&lt;50,"Senior",
TRUE,"Super Senior"
)</f>
        <v>Senior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2</v>
      </c>
      <c r="O1140" s="1">
        <v>109006</v>
      </c>
      <c r="P1140" s="1">
        <v>110256</v>
      </c>
      <c r="Q1140" s="1">
        <v>113283</v>
      </c>
      <c r="R1140" s="1">
        <v>101247</v>
      </c>
      <c r="S1140" s="1">
        <v>96939</v>
      </c>
      <c r="T1140" s="1">
        <v>81977</v>
      </c>
      <c r="U1140" s="1">
        <v>4500</v>
      </c>
      <c r="V1140" s="1">
        <v>5000</v>
      </c>
      <c r="W1140" s="1">
        <v>4000</v>
      </c>
      <c r="X1140" s="1">
        <v>10600</v>
      </c>
      <c r="Y1140" s="1">
        <v>0</v>
      </c>
      <c r="Z1140" s="1">
        <v>2300</v>
      </c>
      <c r="AA1140">
        <v>0</v>
      </c>
      <c r="AB1140" t="str">
        <f t="shared" si="17"/>
        <v>Not Defaulter</v>
      </c>
      <c r="AC1140" s="1">
        <f>Table2[[#This Row],[BILL_AMT1]]-Table2[[#This Row],[PAY_AMT1]]</f>
        <v>104506</v>
      </c>
      <c r="AD1140" s="1" t="str" cm="1">
        <f t="array" ref="AD1140">_xlfn.IFS(Table2[[#This Row],[PAYMENT GAP]]&lt;=0,"No Gap / Overpaid",Table2[[#This Row],[PAYMENT GAP]]&lt;=25000,"Low Gap",Table2[[#This Row],[PAYMENT GAP]]&lt;=100000,"Medium Gap",
TRUE,"High Gap"
)</f>
        <v>High Gap</v>
      </c>
    </row>
    <row r="1141" spans="1:30" x14ac:dyDescent="0.3">
      <c r="A1141">
        <v>1140</v>
      </c>
      <c r="B1141" s="1">
        <v>230000</v>
      </c>
      <c r="C1141" s="1" t="str" cm="1">
        <f t="array" ref="C1141">_xlfn.IFS(Table2[[#This Row],[LIMIT_BAL]]&lt;=100000,"Low",Table2[[#This Row],[LIMIT_BAL]]&lt;=300000,"Medium",
TRUE,"High"
)</f>
        <v>Medium</v>
      </c>
      <c r="D1141" t="s">
        <v>2041</v>
      </c>
      <c r="E1141" t="s">
        <v>2027</v>
      </c>
      <c r="F1141" t="s">
        <v>2029</v>
      </c>
      <c r="G1141">
        <v>47</v>
      </c>
      <c r="H1141" t="str" cm="1">
        <f t="array" ref="H1141">_xlfn.IFS(
Table2[[#This Row],[AGE]]&lt;30,"Young",
Table2[[#This Row],[AGE]]&lt;40,"Middle Age",
Table2[[#This Row],[AGE]]&lt;50,"Senior",
TRUE,"Super Senior"
)</f>
        <v>Senior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 s="1">
        <v>147300</v>
      </c>
      <c r="P1141" s="1">
        <v>121855</v>
      </c>
      <c r="Q1141" s="1">
        <v>102074</v>
      </c>
      <c r="R1141" s="1">
        <v>94225</v>
      </c>
      <c r="S1141" s="1">
        <v>96616</v>
      </c>
      <c r="T1141" s="1">
        <v>95849</v>
      </c>
      <c r="U1141" s="1">
        <v>10000</v>
      </c>
      <c r="V1141" s="1">
        <v>5000</v>
      </c>
      <c r="W1141" s="1">
        <v>4000</v>
      </c>
      <c r="X1141" s="1">
        <v>4000</v>
      </c>
      <c r="Y1141" s="1">
        <v>5000</v>
      </c>
      <c r="Z1141" s="1">
        <v>4000</v>
      </c>
      <c r="AA1141">
        <v>0</v>
      </c>
      <c r="AB1141" t="str">
        <f t="shared" si="17"/>
        <v>Not Defaulter</v>
      </c>
      <c r="AC1141" s="1">
        <f>Table2[[#This Row],[BILL_AMT1]]-Table2[[#This Row],[PAY_AMT1]]</f>
        <v>137300</v>
      </c>
      <c r="AD1141" s="1" t="str" cm="1">
        <f t="array" ref="AD1141">_xlfn.IFS(Table2[[#This Row],[PAYMENT GAP]]&lt;=0,"No Gap / Overpaid",Table2[[#This Row],[PAYMENT GAP]]&lt;=25000,"Low Gap",Table2[[#This Row],[PAYMENT GAP]]&lt;=100000,"Medium Gap",
TRUE,"High Gap"
)</f>
        <v>High Gap</v>
      </c>
    </row>
    <row r="1142" spans="1:30" x14ac:dyDescent="0.3">
      <c r="A1142">
        <v>1141</v>
      </c>
      <c r="B1142" s="1">
        <v>20000</v>
      </c>
      <c r="C1142" s="1" t="str" cm="1">
        <f t="array" ref="C1142">_xlfn.IFS(Table2[[#This Row],[LIMIT_BAL]]&lt;=100000,"Low",Table2[[#This Row],[LIMIT_BAL]]&lt;=300000,"Medium",
TRUE,"High"
)</f>
        <v>Low</v>
      </c>
      <c r="D1142" t="s">
        <v>2042</v>
      </c>
      <c r="E1142" t="s">
        <v>2043</v>
      </c>
      <c r="F1142" t="s">
        <v>2029</v>
      </c>
      <c r="G1142">
        <v>25</v>
      </c>
      <c r="H1142" t="str" cm="1">
        <f t="array" ref="H1142">_xlfn.IFS(
Table2[[#This Row],[AGE]]&lt;30,"Young",
Table2[[#This Row],[AGE]]&lt;40,"Middle Age",
Table2[[#This Row],[AGE]]&lt;50,"Senior",
TRUE,"Super Senior"
)</f>
        <v>Young</v>
      </c>
      <c r="I1142">
        <v>0</v>
      </c>
      <c r="J1142">
        <v>0</v>
      </c>
      <c r="K1142">
        <v>0</v>
      </c>
      <c r="L1142">
        <v>-2</v>
      </c>
      <c r="M1142">
        <v>-1</v>
      </c>
      <c r="N1142">
        <v>0</v>
      </c>
      <c r="O1142" s="1">
        <v>3400</v>
      </c>
      <c r="P1142" s="1">
        <v>4129</v>
      </c>
      <c r="Q1142" s="1">
        <v>0</v>
      </c>
      <c r="R1142" s="1">
        <v>0</v>
      </c>
      <c r="S1142" s="1">
        <v>3244</v>
      </c>
      <c r="T1142" s="1">
        <v>3314</v>
      </c>
      <c r="U1142" s="1">
        <v>1000</v>
      </c>
      <c r="V1142" s="1">
        <v>0</v>
      </c>
      <c r="W1142" s="1">
        <v>0</v>
      </c>
      <c r="X1142" s="1">
        <v>3244</v>
      </c>
      <c r="Y1142" s="1">
        <v>124</v>
      </c>
      <c r="Z1142" s="1">
        <v>66</v>
      </c>
      <c r="AA1142">
        <v>0</v>
      </c>
      <c r="AB1142" t="str">
        <f t="shared" si="17"/>
        <v>Not Defaulter</v>
      </c>
      <c r="AC1142" s="1">
        <f>Table2[[#This Row],[BILL_AMT1]]-Table2[[#This Row],[PAY_AMT1]]</f>
        <v>2400</v>
      </c>
      <c r="AD1142" s="1" t="str" cm="1">
        <f t="array" ref="AD1142">_xlfn.IFS(Table2[[#This Row],[PAYMENT GAP]]&lt;=0,"No Gap / Overpaid",Table2[[#This Row],[PAYMENT GAP]]&lt;=25000,"Low Gap",Table2[[#This Row],[PAYMENT GAP]]&lt;=100000,"Medium Gap",
TRUE,"High Gap"
)</f>
        <v>Low Gap</v>
      </c>
    </row>
    <row r="1143" spans="1:30" x14ac:dyDescent="0.3">
      <c r="A1143">
        <v>1142</v>
      </c>
      <c r="B1143" s="1">
        <v>30000</v>
      </c>
      <c r="C1143" s="1" t="str" cm="1">
        <f t="array" ref="C1143">_xlfn.IFS(Table2[[#This Row],[LIMIT_BAL]]&lt;=100000,"Low",Table2[[#This Row],[LIMIT_BAL]]&lt;=300000,"Medium",
TRUE,"High"
)</f>
        <v>Low</v>
      </c>
      <c r="D1143" t="s">
        <v>2041</v>
      </c>
      <c r="E1143" t="s">
        <v>2026</v>
      </c>
      <c r="F1143" t="s">
        <v>2029</v>
      </c>
      <c r="G1143">
        <v>25</v>
      </c>
      <c r="H1143" t="str" cm="1">
        <f t="array" ref="H1143">_xlfn.IFS(
Table2[[#This Row],[AGE]]&lt;30,"Young",
Table2[[#This Row],[AGE]]&lt;40,"Middle Age",
Table2[[#This Row],[AGE]]&lt;50,"Senior",
TRUE,"Super Senior"
)</f>
        <v>Young</v>
      </c>
      <c r="I1143">
        <v>0</v>
      </c>
      <c r="J1143">
        <v>0</v>
      </c>
      <c r="K1143">
        <v>2</v>
      </c>
      <c r="L1143">
        <v>0</v>
      </c>
      <c r="M1143">
        <v>0</v>
      </c>
      <c r="N1143">
        <v>2</v>
      </c>
      <c r="O1143" s="1">
        <v>19801</v>
      </c>
      <c r="P1143" s="1">
        <v>20449</v>
      </c>
      <c r="Q1143" s="1">
        <v>19798</v>
      </c>
      <c r="R1143" s="1">
        <v>20217</v>
      </c>
      <c r="S1143" s="1">
        <v>21435</v>
      </c>
      <c r="T1143" s="1">
        <v>19239</v>
      </c>
      <c r="U1143" s="1">
        <v>3000</v>
      </c>
      <c r="V1143" s="1">
        <v>0</v>
      </c>
      <c r="W1143" s="1">
        <v>700</v>
      </c>
      <c r="X1143" s="1">
        <v>1500</v>
      </c>
      <c r="Y1143" s="1">
        <v>0</v>
      </c>
      <c r="Z1143" s="1">
        <v>323</v>
      </c>
      <c r="AA1143">
        <v>0</v>
      </c>
      <c r="AB1143" t="str">
        <f t="shared" si="17"/>
        <v>Not Defaulter</v>
      </c>
      <c r="AC1143" s="1">
        <f>Table2[[#This Row],[BILL_AMT1]]-Table2[[#This Row],[PAY_AMT1]]</f>
        <v>16801</v>
      </c>
      <c r="AD1143" s="1" t="str" cm="1">
        <f t="array" ref="AD1143">_xlfn.IFS(Table2[[#This Row],[PAYMENT GAP]]&lt;=0,"No Gap / Overpaid",Table2[[#This Row],[PAYMENT GAP]]&lt;=25000,"Low Gap",Table2[[#This Row],[PAYMENT GAP]]&lt;=100000,"Medium Gap",
TRUE,"High Gap"
)</f>
        <v>Low Gap</v>
      </c>
    </row>
    <row r="1144" spans="1:30" x14ac:dyDescent="0.3">
      <c r="A1144">
        <v>1143</v>
      </c>
      <c r="B1144" s="1">
        <v>200000</v>
      </c>
      <c r="C1144" s="1" t="str" cm="1">
        <f t="array" ref="C1144">_xlfn.IFS(Table2[[#This Row],[LIMIT_BAL]]&lt;=100000,"Low",Table2[[#This Row],[LIMIT_BAL]]&lt;=300000,"Medium",
TRUE,"High"
)</f>
        <v>Medium</v>
      </c>
      <c r="D1144" t="s">
        <v>2041</v>
      </c>
      <c r="E1144" t="s">
        <v>2026</v>
      </c>
      <c r="F1144" t="s">
        <v>2028</v>
      </c>
      <c r="G1144">
        <v>39</v>
      </c>
      <c r="H1144" t="str" cm="1">
        <f t="array" ref="H1144">_xlfn.IFS(
Table2[[#This Row],[AGE]]&lt;30,"Young",
Table2[[#This Row],[AGE]]&lt;40,"Middle Age",
Table2[[#This Row],[AGE]]&lt;50,"Senior",
TRUE,"Super Senior"
)</f>
        <v>Middle Age</v>
      </c>
      <c r="I1144">
        <v>-1</v>
      </c>
      <c r="J1144">
        <v>0</v>
      </c>
      <c r="K1144">
        <v>-1</v>
      </c>
      <c r="L1144">
        <v>0</v>
      </c>
      <c r="M1144">
        <v>0</v>
      </c>
      <c r="N1144">
        <v>0</v>
      </c>
      <c r="O1144" s="1">
        <v>8432</v>
      </c>
      <c r="P1144" s="1">
        <v>6977</v>
      </c>
      <c r="Q1144" s="1">
        <v>6727</v>
      </c>
      <c r="R1144" s="1">
        <v>6864</v>
      </c>
      <c r="S1144" s="1">
        <v>5253</v>
      </c>
      <c r="T1144" s="1">
        <v>3388</v>
      </c>
      <c r="U1144" s="1">
        <v>3746</v>
      </c>
      <c r="V1144" s="1">
        <v>6737</v>
      </c>
      <c r="W1144" s="1">
        <v>2013</v>
      </c>
      <c r="X1144" s="1">
        <v>10</v>
      </c>
      <c r="Y1144" s="1">
        <v>20</v>
      </c>
      <c r="Z1144" s="1">
        <v>10901</v>
      </c>
      <c r="AA1144">
        <v>0</v>
      </c>
      <c r="AB1144" t="str">
        <f t="shared" si="17"/>
        <v>Not Defaulter</v>
      </c>
      <c r="AC1144" s="1">
        <f>Table2[[#This Row],[BILL_AMT1]]-Table2[[#This Row],[PAY_AMT1]]</f>
        <v>4686</v>
      </c>
      <c r="AD1144" s="1" t="str" cm="1">
        <f t="array" ref="AD1144">_xlfn.IFS(Table2[[#This Row],[PAYMENT GAP]]&lt;=0,"No Gap / Overpaid",Table2[[#This Row],[PAYMENT GAP]]&lt;=25000,"Low Gap",Table2[[#This Row],[PAYMENT GAP]]&lt;=100000,"Medium Gap",
TRUE,"High Gap"
)</f>
        <v>Low Gap</v>
      </c>
    </row>
    <row r="1145" spans="1:30" x14ac:dyDescent="0.3">
      <c r="A1145">
        <v>1144</v>
      </c>
      <c r="B1145" s="1">
        <v>140000</v>
      </c>
      <c r="C1145" s="1" t="str" cm="1">
        <f t="array" ref="C1145">_xlfn.IFS(Table2[[#This Row],[LIMIT_BAL]]&lt;=100000,"Low",Table2[[#This Row],[LIMIT_BAL]]&lt;=300000,"Medium",
TRUE,"High"
)</f>
        <v>Medium</v>
      </c>
      <c r="D1145" t="s">
        <v>2041</v>
      </c>
      <c r="E1145" t="s">
        <v>2043</v>
      </c>
      <c r="F1145" t="s">
        <v>2028</v>
      </c>
      <c r="G1145">
        <v>24</v>
      </c>
      <c r="H1145" t="str" cm="1">
        <f t="array" ref="H1145">_xlfn.IFS(
Table2[[#This Row],[AGE]]&lt;30,"Young",
Table2[[#This Row],[AGE]]&lt;40,"Middle Age",
Table2[[#This Row],[AGE]]&lt;50,"Senior",
TRUE,"Super Senior"
)</f>
        <v>Young</v>
      </c>
      <c r="I1145">
        <v>-1</v>
      </c>
      <c r="J1145">
        <v>-1</v>
      </c>
      <c r="K1145">
        <v>-2</v>
      </c>
      <c r="L1145">
        <v>-2</v>
      </c>
      <c r="M1145">
        <v>-1</v>
      </c>
      <c r="N1145">
        <v>-1</v>
      </c>
      <c r="O1145" s="1">
        <v>2515</v>
      </c>
      <c r="P1145" s="1">
        <v>0</v>
      </c>
      <c r="Q1145" s="1">
        <v>0</v>
      </c>
      <c r="R1145" s="1">
        <v>0</v>
      </c>
      <c r="S1145" s="1">
        <v>2243</v>
      </c>
      <c r="T1145" s="1">
        <v>5530</v>
      </c>
      <c r="U1145" s="1">
        <v>0</v>
      </c>
      <c r="V1145" s="1">
        <v>0</v>
      </c>
      <c r="W1145" s="1">
        <v>0</v>
      </c>
      <c r="X1145" s="1">
        <v>2243</v>
      </c>
      <c r="Y1145" s="1">
        <v>5530</v>
      </c>
      <c r="Z1145" s="1">
        <v>4441</v>
      </c>
      <c r="AA1145">
        <v>0</v>
      </c>
      <c r="AB1145" t="str">
        <f t="shared" si="17"/>
        <v>Not Defaulter</v>
      </c>
      <c r="AC1145" s="1">
        <f>Table2[[#This Row],[BILL_AMT1]]-Table2[[#This Row],[PAY_AMT1]]</f>
        <v>2515</v>
      </c>
      <c r="AD1145" s="1" t="str" cm="1">
        <f t="array" ref="AD1145">_xlfn.IFS(Table2[[#This Row],[PAYMENT GAP]]&lt;=0,"No Gap / Overpaid",Table2[[#This Row],[PAYMENT GAP]]&lt;=25000,"Low Gap",Table2[[#This Row],[PAYMENT GAP]]&lt;=100000,"Medium Gap",
TRUE,"High Gap"
)</f>
        <v>Low Gap</v>
      </c>
    </row>
    <row r="1146" spans="1:30" x14ac:dyDescent="0.3">
      <c r="A1146">
        <v>1145</v>
      </c>
      <c r="B1146" s="1">
        <v>100000</v>
      </c>
      <c r="C1146" s="1" t="str" cm="1">
        <f t="array" ref="C1146">_xlfn.IFS(Table2[[#This Row],[LIMIT_BAL]]&lt;=100000,"Low",Table2[[#This Row],[LIMIT_BAL]]&lt;=300000,"Medium",
TRUE,"High"
)</f>
        <v>Low</v>
      </c>
      <c r="D1146" t="s">
        <v>2041</v>
      </c>
      <c r="E1146" t="s">
        <v>2043</v>
      </c>
      <c r="F1146" t="s">
        <v>2028</v>
      </c>
      <c r="G1146">
        <v>35</v>
      </c>
      <c r="H1146" t="str" cm="1">
        <f t="array" ref="H1146">_xlfn.IFS(
Table2[[#This Row],[AGE]]&lt;30,"Young",
Table2[[#This Row],[AGE]]&lt;40,"Middle Age",
Table2[[#This Row],[AGE]]&lt;50,"Senior",
TRUE,"Super Senior"
)</f>
        <v>Middle Age</v>
      </c>
      <c r="I1146">
        <v>2</v>
      </c>
      <c r="J1146">
        <v>0</v>
      </c>
      <c r="K1146">
        <v>0</v>
      </c>
      <c r="L1146">
        <v>2</v>
      </c>
      <c r="M1146">
        <v>2</v>
      </c>
      <c r="N1146">
        <v>0</v>
      </c>
      <c r="O1146" s="1">
        <v>98845</v>
      </c>
      <c r="P1146" s="1">
        <v>95265</v>
      </c>
      <c r="Q1146" s="1">
        <v>98571</v>
      </c>
      <c r="R1146" s="1">
        <v>99322</v>
      </c>
      <c r="S1146" s="1">
        <v>96661</v>
      </c>
      <c r="T1146" s="1">
        <v>95951</v>
      </c>
      <c r="U1146" s="1">
        <v>4600</v>
      </c>
      <c r="V1146" s="1">
        <v>8002</v>
      </c>
      <c r="W1146" s="1">
        <v>4003</v>
      </c>
      <c r="X1146" s="1">
        <v>2</v>
      </c>
      <c r="Y1146" s="1">
        <v>4005</v>
      </c>
      <c r="Z1146" s="1">
        <v>4000</v>
      </c>
      <c r="AA1146">
        <v>1</v>
      </c>
      <c r="AB1146" t="str">
        <f t="shared" si="17"/>
        <v>Defaulter</v>
      </c>
      <c r="AC1146" s="1">
        <f>Table2[[#This Row],[BILL_AMT1]]-Table2[[#This Row],[PAY_AMT1]]</f>
        <v>94245</v>
      </c>
      <c r="AD1146" s="1" t="str" cm="1">
        <f t="array" ref="AD1146">_xlfn.IFS(Table2[[#This Row],[PAYMENT GAP]]&lt;=0,"No Gap / Overpaid",Table2[[#This Row],[PAYMENT GAP]]&lt;=25000,"Low Gap",Table2[[#This Row],[PAYMENT GAP]]&lt;=100000,"Medium Gap",
TRUE,"High Gap"
)</f>
        <v>Medium Gap</v>
      </c>
    </row>
    <row r="1147" spans="1:30" x14ac:dyDescent="0.3">
      <c r="A1147">
        <v>1146</v>
      </c>
      <c r="B1147" s="1">
        <v>240000</v>
      </c>
      <c r="C1147" s="1" t="str" cm="1">
        <f t="array" ref="C1147">_xlfn.IFS(Table2[[#This Row],[LIMIT_BAL]]&lt;=100000,"Low",Table2[[#This Row],[LIMIT_BAL]]&lt;=300000,"Medium",
TRUE,"High"
)</f>
        <v>Medium</v>
      </c>
      <c r="D1147" t="s">
        <v>2042</v>
      </c>
      <c r="E1147" t="s">
        <v>2043</v>
      </c>
      <c r="F1147" t="s">
        <v>2028</v>
      </c>
      <c r="G1147">
        <v>32</v>
      </c>
      <c r="H1147" t="str" cm="1">
        <f t="array" ref="H1147">_xlfn.IFS(
Table2[[#This Row],[AGE]]&lt;30,"Young",
Table2[[#This Row],[AGE]]&lt;40,"Middle Age",
Table2[[#This Row],[AGE]]&lt;50,"Senior",
TRUE,"Super Senior"
)</f>
        <v>Middle Age</v>
      </c>
      <c r="I1147">
        <v>2</v>
      </c>
      <c r="J1147">
        <v>2</v>
      </c>
      <c r="K1147">
        <v>2</v>
      </c>
      <c r="L1147">
        <v>0</v>
      </c>
      <c r="M1147">
        <v>0</v>
      </c>
      <c r="N1147">
        <v>0</v>
      </c>
      <c r="O1147" s="1">
        <v>127418</v>
      </c>
      <c r="P1147" s="1">
        <v>135942</v>
      </c>
      <c r="Q1147" s="1">
        <v>132640</v>
      </c>
      <c r="R1147" s="1">
        <v>135320</v>
      </c>
      <c r="S1147" s="1">
        <v>138523</v>
      </c>
      <c r="T1147" s="1">
        <v>141618</v>
      </c>
      <c r="U1147" s="1">
        <v>10400</v>
      </c>
      <c r="V1147" s="1">
        <v>0</v>
      </c>
      <c r="W1147" s="1">
        <v>4500</v>
      </c>
      <c r="X1147" s="1">
        <v>5000</v>
      </c>
      <c r="Y1147" s="1">
        <v>5000</v>
      </c>
      <c r="Z1147" s="1">
        <v>5000</v>
      </c>
      <c r="AA1147">
        <v>1</v>
      </c>
      <c r="AB1147" t="str">
        <f t="shared" si="17"/>
        <v>Defaulter</v>
      </c>
      <c r="AC1147" s="1">
        <f>Table2[[#This Row],[BILL_AMT1]]-Table2[[#This Row],[PAY_AMT1]]</f>
        <v>117018</v>
      </c>
      <c r="AD1147" s="1" t="str" cm="1">
        <f t="array" ref="AD1147">_xlfn.IFS(Table2[[#This Row],[PAYMENT GAP]]&lt;=0,"No Gap / Overpaid",Table2[[#This Row],[PAYMENT GAP]]&lt;=25000,"Low Gap",Table2[[#This Row],[PAYMENT GAP]]&lt;=100000,"Medium Gap",
TRUE,"High Gap"
)</f>
        <v>High Gap</v>
      </c>
    </row>
    <row r="1148" spans="1:30" x14ac:dyDescent="0.3">
      <c r="A1148">
        <v>1147</v>
      </c>
      <c r="B1148" s="1">
        <v>70000</v>
      </c>
      <c r="C1148" s="1" t="str" cm="1">
        <f t="array" ref="C1148">_xlfn.IFS(Table2[[#This Row],[LIMIT_BAL]]&lt;=100000,"Low",Table2[[#This Row],[LIMIT_BAL]]&lt;=300000,"Medium",
TRUE,"High"
)</f>
        <v>Low</v>
      </c>
      <c r="D1148" t="s">
        <v>2041</v>
      </c>
      <c r="E1148" t="s">
        <v>2026</v>
      </c>
      <c r="F1148" t="s">
        <v>2029</v>
      </c>
      <c r="G1148">
        <v>31</v>
      </c>
      <c r="H1148" t="str" cm="1">
        <f t="array" ref="H1148">_xlfn.IFS(
Table2[[#This Row],[AGE]]&lt;30,"Young",
Table2[[#This Row],[AGE]]&lt;40,"Middle Age",
Table2[[#This Row],[AGE]]&lt;50,"Senior",
TRUE,"Super Senior"
)</f>
        <v>Middle Age</v>
      </c>
      <c r="I1148">
        <v>2</v>
      </c>
      <c r="J1148">
        <v>2</v>
      </c>
      <c r="K1148">
        <v>7</v>
      </c>
      <c r="L1148">
        <v>7</v>
      </c>
      <c r="M1148">
        <v>7</v>
      </c>
      <c r="N1148">
        <v>7</v>
      </c>
      <c r="O1148" s="1">
        <v>2400</v>
      </c>
      <c r="P1148" s="1">
        <v>2400</v>
      </c>
      <c r="Q1148" s="1">
        <v>2400</v>
      </c>
      <c r="R1148" s="1">
        <v>2400</v>
      </c>
      <c r="S1148" s="1">
        <v>2400</v>
      </c>
      <c r="T1148" s="1">
        <v>2400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>
        <v>1</v>
      </c>
      <c r="AB1148" t="str">
        <f t="shared" si="17"/>
        <v>Defaulter</v>
      </c>
      <c r="AC1148" s="1">
        <f>Table2[[#This Row],[BILL_AMT1]]-Table2[[#This Row],[PAY_AMT1]]</f>
        <v>2400</v>
      </c>
      <c r="AD1148" s="1" t="str" cm="1">
        <f t="array" ref="AD1148">_xlfn.IFS(Table2[[#This Row],[PAYMENT GAP]]&lt;=0,"No Gap / Overpaid",Table2[[#This Row],[PAYMENT GAP]]&lt;=25000,"Low Gap",Table2[[#This Row],[PAYMENT GAP]]&lt;=100000,"Medium Gap",
TRUE,"High Gap"
)</f>
        <v>Low Gap</v>
      </c>
    </row>
    <row r="1149" spans="1:30" x14ac:dyDescent="0.3">
      <c r="A1149">
        <v>1148</v>
      </c>
      <c r="B1149" s="1">
        <v>360000</v>
      </c>
      <c r="C1149" s="1" t="str" cm="1">
        <f t="array" ref="C1149">_xlfn.IFS(Table2[[#This Row],[LIMIT_BAL]]&lt;=100000,"Low",Table2[[#This Row],[LIMIT_BAL]]&lt;=300000,"Medium",
TRUE,"High"
)</f>
        <v>High</v>
      </c>
      <c r="D1149" t="s">
        <v>2042</v>
      </c>
      <c r="E1149" t="s">
        <v>2026</v>
      </c>
      <c r="F1149" t="s">
        <v>2029</v>
      </c>
      <c r="G1149">
        <v>33</v>
      </c>
      <c r="H1149" t="str" cm="1">
        <f t="array" ref="H1149">_xlfn.IFS(
Table2[[#This Row],[AGE]]&lt;30,"Young",
Table2[[#This Row],[AGE]]&lt;40,"Middle Age",
Table2[[#This Row],[AGE]]&lt;50,"Senior",
TRUE,"Super Senior"
)</f>
        <v>Middle Age</v>
      </c>
      <c r="I1149">
        <v>1</v>
      </c>
      <c r="J1149">
        <v>2</v>
      </c>
      <c r="K1149">
        <v>0</v>
      </c>
      <c r="L1149">
        <v>0</v>
      </c>
      <c r="M1149">
        <v>-1</v>
      </c>
      <c r="N1149">
        <v>-1</v>
      </c>
      <c r="O1149" s="1">
        <v>71195</v>
      </c>
      <c r="P1149" s="1">
        <v>60553</v>
      </c>
      <c r="Q1149" s="1">
        <v>60158</v>
      </c>
      <c r="R1149" s="1">
        <v>16672</v>
      </c>
      <c r="S1149" s="1">
        <v>35039</v>
      </c>
      <c r="T1149" s="1">
        <v>8320</v>
      </c>
      <c r="U1149" s="1">
        <v>0</v>
      </c>
      <c r="V1149" s="1">
        <v>1399</v>
      </c>
      <c r="W1149" s="1">
        <v>0</v>
      </c>
      <c r="X1149" s="1">
        <v>35039</v>
      </c>
      <c r="Y1149" s="1">
        <v>8320</v>
      </c>
      <c r="Z1149" s="1">
        <v>5169</v>
      </c>
      <c r="AA1149">
        <v>0</v>
      </c>
      <c r="AB1149" t="str">
        <f t="shared" si="17"/>
        <v>Not Defaulter</v>
      </c>
      <c r="AC1149" s="1">
        <f>Table2[[#This Row],[BILL_AMT1]]-Table2[[#This Row],[PAY_AMT1]]</f>
        <v>71195</v>
      </c>
      <c r="AD1149" s="1" t="str" cm="1">
        <f t="array" ref="AD1149">_xlfn.IFS(Table2[[#This Row],[PAYMENT GAP]]&lt;=0,"No Gap / Overpaid",Table2[[#This Row],[PAYMENT GAP]]&lt;=25000,"Low Gap",Table2[[#This Row],[PAYMENT GAP]]&lt;=100000,"Medium Gap",
TRUE,"High Gap"
)</f>
        <v>Medium Gap</v>
      </c>
    </row>
    <row r="1150" spans="1:30" x14ac:dyDescent="0.3">
      <c r="A1150">
        <v>1149</v>
      </c>
      <c r="B1150" s="1">
        <v>140000</v>
      </c>
      <c r="C1150" s="1" t="str" cm="1">
        <f t="array" ref="C1150">_xlfn.IFS(Table2[[#This Row],[LIMIT_BAL]]&lt;=100000,"Low",Table2[[#This Row],[LIMIT_BAL]]&lt;=300000,"Medium",
TRUE,"High"
)</f>
        <v>Medium</v>
      </c>
      <c r="D1150" t="s">
        <v>2041</v>
      </c>
      <c r="E1150" t="s">
        <v>2026</v>
      </c>
      <c r="F1150" t="s">
        <v>2029</v>
      </c>
      <c r="G1150">
        <v>30</v>
      </c>
      <c r="H1150" t="str" cm="1">
        <f t="array" ref="H1150">_xlfn.IFS(
Table2[[#This Row],[AGE]]&lt;30,"Young",
Table2[[#This Row],[AGE]]&lt;40,"Middle Age",
Table2[[#This Row],[AGE]]&lt;50,"Senior",
TRUE,"Super Senior"
)</f>
        <v>Middle Age</v>
      </c>
      <c r="I1150">
        <v>1</v>
      </c>
      <c r="J1150">
        <v>2</v>
      </c>
      <c r="K1150">
        <v>0</v>
      </c>
      <c r="L1150">
        <v>0</v>
      </c>
      <c r="M1150">
        <v>0</v>
      </c>
      <c r="N1150">
        <v>0</v>
      </c>
      <c r="O1150" s="1">
        <v>149389</v>
      </c>
      <c r="P1150" s="1">
        <v>145757</v>
      </c>
      <c r="Q1150" s="1">
        <v>144229</v>
      </c>
      <c r="R1150" s="1">
        <v>144470</v>
      </c>
      <c r="S1150" s="1">
        <v>144386</v>
      </c>
      <c r="T1150" s="1">
        <v>120586</v>
      </c>
      <c r="U1150" s="1">
        <v>0</v>
      </c>
      <c r="V1150" s="1">
        <v>5350</v>
      </c>
      <c r="W1150" s="1">
        <v>5555</v>
      </c>
      <c r="X1150" s="1">
        <v>5836</v>
      </c>
      <c r="Y1150" s="1">
        <v>4191</v>
      </c>
      <c r="Z1150" s="1">
        <v>4341</v>
      </c>
      <c r="AA1150">
        <v>0</v>
      </c>
      <c r="AB1150" t="str">
        <f t="shared" si="17"/>
        <v>Not Defaulter</v>
      </c>
      <c r="AC1150" s="1">
        <f>Table2[[#This Row],[BILL_AMT1]]-Table2[[#This Row],[PAY_AMT1]]</f>
        <v>149389</v>
      </c>
      <c r="AD1150" s="1" t="str" cm="1">
        <f t="array" ref="AD1150">_xlfn.IFS(Table2[[#This Row],[PAYMENT GAP]]&lt;=0,"No Gap / Overpaid",Table2[[#This Row],[PAYMENT GAP]]&lt;=25000,"Low Gap",Table2[[#This Row],[PAYMENT GAP]]&lt;=100000,"Medium Gap",
TRUE,"High Gap"
)</f>
        <v>High Gap</v>
      </c>
    </row>
    <row r="1151" spans="1:30" x14ac:dyDescent="0.3">
      <c r="A1151">
        <v>1150</v>
      </c>
      <c r="B1151" s="1">
        <v>50000</v>
      </c>
      <c r="C1151" s="1" t="str" cm="1">
        <f t="array" ref="C1151">_xlfn.IFS(Table2[[#This Row],[LIMIT_BAL]]&lt;=100000,"Low",Table2[[#This Row],[LIMIT_BAL]]&lt;=300000,"Medium",
TRUE,"High"
)</f>
        <v>Low</v>
      </c>
      <c r="D1151" t="s">
        <v>2042</v>
      </c>
      <c r="E1151" t="s">
        <v>2043</v>
      </c>
      <c r="F1151" t="s">
        <v>2028</v>
      </c>
      <c r="G1151">
        <v>52</v>
      </c>
      <c r="H1151" t="str" cm="1">
        <f t="array" ref="H1151">_xlfn.IFS(
Table2[[#This Row],[AGE]]&lt;30,"Young",
Table2[[#This Row],[AGE]]&lt;40,"Middle Age",
Table2[[#This Row],[AGE]]&lt;50,"Senior",
TRUE,"Super Senior"
)</f>
        <v>Super Senior</v>
      </c>
      <c r="I1151">
        <v>-1</v>
      </c>
      <c r="J1151">
        <v>2</v>
      </c>
      <c r="K1151">
        <v>0</v>
      </c>
      <c r="L1151">
        <v>0</v>
      </c>
      <c r="M1151">
        <v>0</v>
      </c>
      <c r="N1151">
        <v>0</v>
      </c>
      <c r="O1151" s="1">
        <v>2072</v>
      </c>
      <c r="P1151" s="1">
        <v>1532</v>
      </c>
      <c r="Q1151" s="1">
        <v>3106</v>
      </c>
      <c r="R1151" s="1">
        <v>2721</v>
      </c>
      <c r="S1151" s="1">
        <v>780</v>
      </c>
      <c r="T1151" s="1">
        <v>0</v>
      </c>
      <c r="U1151" s="1">
        <v>0</v>
      </c>
      <c r="V1151" s="1">
        <v>2000</v>
      </c>
      <c r="W1151" s="1">
        <v>5</v>
      </c>
      <c r="X1151" s="1">
        <v>0</v>
      </c>
      <c r="Y1151" s="1">
        <v>0</v>
      </c>
      <c r="Z1151" s="1">
        <v>0</v>
      </c>
      <c r="AA1151">
        <v>0</v>
      </c>
      <c r="AB1151" t="str">
        <f t="shared" si="17"/>
        <v>Not Defaulter</v>
      </c>
      <c r="AC1151" s="1">
        <f>Table2[[#This Row],[BILL_AMT1]]-Table2[[#This Row],[PAY_AMT1]]</f>
        <v>2072</v>
      </c>
      <c r="AD1151" s="1" t="str" cm="1">
        <f t="array" ref="AD1151">_xlfn.IFS(Table2[[#This Row],[PAYMENT GAP]]&lt;=0,"No Gap / Overpaid",Table2[[#This Row],[PAYMENT GAP]]&lt;=25000,"Low Gap",Table2[[#This Row],[PAYMENT GAP]]&lt;=100000,"Medium Gap",
TRUE,"High Gap"
)</f>
        <v>Low Gap</v>
      </c>
    </row>
    <row r="1152" spans="1:30" x14ac:dyDescent="0.3">
      <c r="A1152">
        <v>1151</v>
      </c>
      <c r="B1152" s="1">
        <v>210000</v>
      </c>
      <c r="C1152" s="1" t="str" cm="1">
        <f t="array" ref="C1152">_xlfn.IFS(Table2[[#This Row],[LIMIT_BAL]]&lt;=100000,"Low",Table2[[#This Row],[LIMIT_BAL]]&lt;=300000,"Medium",
TRUE,"High"
)</f>
        <v>Medium</v>
      </c>
      <c r="D1152" t="s">
        <v>2041</v>
      </c>
      <c r="E1152" t="s">
        <v>2043</v>
      </c>
      <c r="F1152" t="s">
        <v>2028</v>
      </c>
      <c r="G1152">
        <v>36</v>
      </c>
      <c r="H1152" t="str" cm="1">
        <f t="array" ref="H1152">_xlfn.IFS(
Table2[[#This Row],[AGE]]&lt;30,"Young",
Table2[[#This Row],[AGE]]&lt;40,"Middle Age",
Table2[[#This Row],[AGE]]&lt;50,"Senior",
TRUE,"Super Senior"
)</f>
        <v>Middle Age</v>
      </c>
      <c r="I1152">
        <v>-1</v>
      </c>
      <c r="J1152">
        <v>-1</v>
      </c>
      <c r="K1152">
        <v>-1</v>
      </c>
      <c r="L1152">
        <v>0</v>
      </c>
      <c r="M1152">
        <v>-1</v>
      </c>
      <c r="N1152">
        <v>-1</v>
      </c>
      <c r="O1152" s="1">
        <v>396</v>
      </c>
      <c r="P1152" s="1">
        <v>590</v>
      </c>
      <c r="Q1152" s="1">
        <v>2042</v>
      </c>
      <c r="R1152" s="1">
        <v>1646</v>
      </c>
      <c r="S1152" s="1">
        <v>396</v>
      </c>
      <c r="T1152" s="1">
        <v>396</v>
      </c>
      <c r="U1152" s="1">
        <v>590</v>
      </c>
      <c r="V1152" s="1">
        <v>2042</v>
      </c>
      <c r="W1152" s="1">
        <v>0</v>
      </c>
      <c r="X1152" s="1">
        <v>396</v>
      </c>
      <c r="Y1152" s="1">
        <v>396</v>
      </c>
      <c r="Z1152" s="1">
        <v>396</v>
      </c>
      <c r="AA1152">
        <v>0</v>
      </c>
      <c r="AB1152" t="str">
        <f t="shared" si="17"/>
        <v>Not Defaulter</v>
      </c>
      <c r="AC1152" s="1">
        <f>Table2[[#This Row],[BILL_AMT1]]-Table2[[#This Row],[PAY_AMT1]]</f>
        <v>-194</v>
      </c>
      <c r="AD1152" s="1" t="str" cm="1">
        <f t="array" ref="AD1152">_xlfn.IFS(Table2[[#This Row],[PAYMENT GAP]]&lt;=0,"No Gap / Overpaid",Table2[[#This Row],[PAYMENT GAP]]&lt;=25000,"Low Gap",Table2[[#This Row],[PAYMENT GAP]]&lt;=100000,"Medium Gap",
TRUE,"High Gap"
)</f>
        <v>No Gap / Overpaid</v>
      </c>
    </row>
    <row r="1153" spans="1:30" x14ac:dyDescent="0.3">
      <c r="A1153">
        <v>1152</v>
      </c>
      <c r="B1153" s="1">
        <v>280000</v>
      </c>
      <c r="C1153" s="1" t="str" cm="1">
        <f t="array" ref="C1153">_xlfn.IFS(Table2[[#This Row],[LIMIT_BAL]]&lt;=100000,"Low",Table2[[#This Row],[LIMIT_BAL]]&lt;=300000,"Medium",
TRUE,"High"
)</f>
        <v>Medium</v>
      </c>
      <c r="D1153" t="s">
        <v>2042</v>
      </c>
      <c r="E1153" t="s">
        <v>2026</v>
      </c>
      <c r="F1153" t="s">
        <v>2029</v>
      </c>
      <c r="G1153">
        <v>30</v>
      </c>
      <c r="H1153" t="str" cm="1">
        <f t="array" ref="H1153">_xlfn.IFS(
Table2[[#This Row],[AGE]]&lt;30,"Young",
Table2[[#This Row],[AGE]]&lt;40,"Middle Age",
Table2[[#This Row],[AGE]]&lt;50,"Senior",
TRUE,"Super Senior"
)</f>
        <v>Middle Age</v>
      </c>
      <c r="I1153">
        <v>1</v>
      </c>
      <c r="J1153">
        <v>2</v>
      </c>
      <c r="K1153">
        <v>2</v>
      </c>
      <c r="L1153">
        <v>0</v>
      </c>
      <c r="M1153">
        <v>0</v>
      </c>
      <c r="N1153">
        <v>0</v>
      </c>
      <c r="O1153" s="1">
        <v>191493</v>
      </c>
      <c r="P1153" s="1">
        <v>187913</v>
      </c>
      <c r="Q1153" s="1">
        <v>169223</v>
      </c>
      <c r="R1153" s="1">
        <v>153063</v>
      </c>
      <c r="S1153" s="1">
        <v>133490</v>
      </c>
      <c r="T1153" s="1">
        <v>130377</v>
      </c>
      <c r="U1153" s="1">
        <v>1000</v>
      </c>
      <c r="V1153" s="1">
        <v>7600</v>
      </c>
      <c r="W1153" s="1">
        <v>5949</v>
      </c>
      <c r="X1153" s="1">
        <v>6000</v>
      </c>
      <c r="Y1153" s="1">
        <v>5200</v>
      </c>
      <c r="Z1153" s="1">
        <v>5117</v>
      </c>
      <c r="AA1153">
        <v>0</v>
      </c>
      <c r="AB1153" t="str">
        <f t="shared" si="17"/>
        <v>Not Defaulter</v>
      </c>
      <c r="AC1153" s="1">
        <f>Table2[[#This Row],[BILL_AMT1]]-Table2[[#This Row],[PAY_AMT1]]</f>
        <v>190493</v>
      </c>
      <c r="AD1153" s="1" t="str" cm="1">
        <f t="array" ref="AD1153">_xlfn.IFS(Table2[[#This Row],[PAYMENT GAP]]&lt;=0,"No Gap / Overpaid",Table2[[#This Row],[PAYMENT GAP]]&lt;=25000,"Low Gap",Table2[[#This Row],[PAYMENT GAP]]&lt;=100000,"Medium Gap",
TRUE,"High Gap"
)</f>
        <v>High Gap</v>
      </c>
    </row>
    <row r="1154" spans="1:30" x14ac:dyDescent="0.3">
      <c r="A1154">
        <v>1153</v>
      </c>
      <c r="B1154" s="1">
        <v>180000</v>
      </c>
      <c r="C1154" s="1" t="str" cm="1">
        <f t="array" ref="C1154">_xlfn.IFS(Table2[[#This Row],[LIMIT_BAL]]&lt;=100000,"Low",Table2[[#This Row],[LIMIT_BAL]]&lt;=300000,"Medium",
TRUE,"High"
)</f>
        <v>Medium</v>
      </c>
      <c r="D1154" t="s">
        <v>2041</v>
      </c>
      <c r="E1154" t="s">
        <v>2043</v>
      </c>
      <c r="F1154" t="s">
        <v>2029</v>
      </c>
      <c r="G1154">
        <v>42</v>
      </c>
      <c r="H1154" t="str" cm="1">
        <f t="array" ref="H1154">_xlfn.IFS(
Table2[[#This Row],[AGE]]&lt;30,"Young",
Table2[[#This Row],[AGE]]&lt;40,"Middle Age",
Table2[[#This Row],[AGE]]&lt;50,"Senior",
TRUE,"Super Senior"
)</f>
        <v>Senior</v>
      </c>
      <c r="I1154">
        <v>2</v>
      </c>
      <c r="J1154">
        <v>2</v>
      </c>
      <c r="K1154">
        <v>2</v>
      </c>
      <c r="L1154">
        <v>2</v>
      </c>
      <c r="M1154">
        <v>2</v>
      </c>
      <c r="N1154">
        <v>2</v>
      </c>
      <c r="O1154" s="1">
        <v>50420</v>
      </c>
      <c r="P1154" s="1">
        <v>51818</v>
      </c>
      <c r="Q1154" s="1">
        <v>52372</v>
      </c>
      <c r="R1154" s="1">
        <v>52917</v>
      </c>
      <c r="S1154" s="1">
        <v>54123</v>
      </c>
      <c r="T1154" s="1">
        <v>55176</v>
      </c>
      <c r="U1154" s="1">
        <v>2500</v>
      </c>
      <c r="V1154" s="1">
        <v>2000</v>
      </c>
      <c r="W1154" s="1">
        <v>2000</v>
      </c>
      <c r="X1154" s="1">
        <v>2200</v>
      </c>
      <c r="Y1154" s="1">
        <v>2100</v>
      </c>
      <c r="Z1154" s="1">
        <v>2200</v>
      </c>
      <c r="AA1154">
        <v>1</v>
      </c>
      <c r="AB1154" t="str">
        <f t="shared" si="17"/>
        <v>Defaulter</v>
      </c>
      <c r="AC1154" s="1">
        <f>Table2[[#This Row],[BILL_AMT1]]-Table2[[#This Row],[PAY_AMT1]]</f>
        <v>47920</v>
      </c>
      <c r="AD1154" s="1" t="str" cm="1">
        <f t="array" ref="AD1154">_xlfn.IFS(Table2[[#This Row],[PAYMENT GAP]]&lt;=0,"No Gap / Overpaid",Table2[[#This Row],[PAYMENT GAP]]&lt;=25000,"Low Gap",Table2[[#This Row],[PAYMENT GAP]]&lt;=100000,"Medium Gap",
TRUE,"High Gap"
)</f>
        <v>Medium Gap</v>
      </c>
    </row>
    <row r="1155" spans="1:30" x14ac:dyDescent="0.3">
      <c r="A1155">
        <v>1154</v>
      </c>
      <c r="B1155" s="1">
        <v>150000</v>
      </c>
      <c r="C1155" s="1" t="str" cm="1">
        <f t="array" ref="C1155">_xlfn.IFS(Table2[[#This Row],[LIMIT_BAL]]&lt;=100000,"Low",Table2[[#This Row],[LIMIT_BAL]]&lt;=300000,"Medium",
TRUE,"High"
)</f>
        <v>Medium</v>
      </c>
      <c r="D1155" t="s">
        <v>2041</v>
      </c>
      <c r="E1155" t="s">
        <v>2026</v>
      </c>
      <c r="F1155" t="s">
        <v>2029</v>
      </c>
      <c r="G1155">
        <v>30</v>
      </c>
      <c r="H1155" t="str" cm="1">
        <f t="array" ref="H1155">_xlfn.IFS(
Table2[[#This Row],[AGE]]&lt;30,"Young",
Table2[[#This Row],[AGE]]&lt;40,"Middle Age",
Table2[[#This Row],[AGE]]&lt;50,"Senior",
TRUE,"Super Senior"
)</f>
        <v>Middle Age</v>
      </c>
      <c r="I1155">
        <v>-1</v>
      </c>
      <c r="J1155">
        <v>0</v>
      </c>
      <c r="K1155">
        <v>-1</v>
      </c>
      <c r="L1155">
        <v>0</v>
      </c>
      <c r="M1155">
        <v>-1</v>
      </c>
      <c r="N1155">
        <v>-1</v>
      </c>
      <c r="O1155" s="1">
        <v>10705</v>
      </c>
      <c r="P1155" s="1">
        <v>5416</v>
      </c>
      <c r="Q1155" s="1">
        <v>5162</v>
      </c>
      <c r="R1155" s="1">
        <v>4068</v>
      </c>
      <c r="S1155" s="1">
        <v>249</v>
      </c>
      <c r="T1155" s="1">
        <v>249</v>
      </c>
      <c r="U1155" s="1">
        <v>1000</v>
      </c>
      <c r="V1155" s="1">
        <v>5162</v>
      </c>
      <c r="W1155" s="1">
        <v>1000</v>
      </c>
      <c r="X1155" s="1">
        <v>249</v>
      </c>
      <c r="Y1155" s="1">
        <v>249</v>
      </c>
      <c r="Z1155" s="1">
        <v>5565</v>
      </c>
      <c r="AA1155">
        <v>0</v>
      </c>
      <c r="AB1155" t="str">
        <f t="shared" ref="AB1155:AB1218" si="18">IF(AA1155=1,"Defaulter","Not Defaulter")</f>
        <v>Not Defaulter</v>
      </c>
      <c r="AC1155" s="1">
        <f>Table2[[#This Row],[BILL_AMT1]]-Table2[[#This Row],[PAY_AMT1]]</f>
        <v>9705</v>
      </c>
      <c r="AD1155" s="1" t="str" cm="1">
        <f t="array" ref="AD1155">_xlfn.IFS(Table2[[#This Row],[PAYMENT GAP]]&lt;=0,"No Gap / Overpaid",Table2[[#This Row],[PAYMENT GAP]]&lt;=25000,"Low Gap",Table2[[#This Row],[PAYMENT GAP]]&lt;=100000,"Medium Gap",
TRUE,"High Gap"
)</f>
        <v>Low Gap</v>
      </c>
    </row>
    <row r="1156" spans="1:30" x14ac:dyDescent="0.3">
      <c r="A1156">
        <v>1155</v>
      </c>
      <c r="B1156" s="1">
        <v>20000</v>
      </c>
      <c r="C1156" s="1" t="str" cm="1">
        <f t="array" ref="C1156">_xlfn.IFS(Table2[[#This Row],[LIMIT_BAL]]&lt;=100000,"Low",Table2[[#This Row],[LIMIT_BAL]]&lt;=300000,"Medium",
TRUE,"High"
)</f>
        <v>Low</v>
      </c>
      <c r="D1156" t="s">
        <v>2042</v>
      </c>
      <c r="E1156" t="s">
        <v>2027</v>
      </c>
      <c r="F1156" t="s">
        <v>2028</v>
      </c>
      <c r="G1156">
        <v>47</v>
      </c>
      <c r="H1156" t="str" cm="1">
        <f t="array" ref="H1156">_xlfn.IFS(
Table2[[#This Row],[AGE]]&lt;30,"Young",
Table2[[#This Row],[AGE]]&lt;40,"Middle Age",
Table2[[#This Row],[AGE]]&lt;50,"Senior",
TRUE,"Super Senior"
)</f>
        <v>Senior</v>
      </c>
      <c r="I1156">
        <v>1</v>
      </c>
      <c r="J1156">
        <v>2</v>
      </c>
      <c r="K1156">
        <v>0</v>
      </c>
      <c r="L1156">
        <v>0</v>
      </c>
      <c r="M1156">
        <v>0</v>
      </c>
      <c r="N1156">
        <v>2</v>
      </c>
      <c r="O1156" s="1">
        <v>19739</v>
      </c>
      <c r="P1156" s="1">
        <v>19137</v>
      </c>
      <c r="Q1156" s="1">
        <v>19857</v>
      </c>
      <c r="R1156" s="1">
        <v>15422</v>
      </c>
      <c r="S1156" s="1">
        <v>19279</v>
      </c>
      <c r="T1156" s="1">
        <v>9537</v>
      </c>
      <c r="U1156" s="1">
        <v>0</v>
      </c>
      <c r="V1156" s="1">
        <v>1200</v>
      </c>
      <c r="W1156" s="1">
        <v>0</v>
      </c>
      <c r="X1156" s="1">
        <v>9537</v>
      </c>
      <c r="Y1156" s="1">
        <v>0</v>
      </c>
      <c r="Z1156" s="1">
        <v>0</v>
      </c>
      <c r="AA1156">
        <v>0</v>
      </c>
      <c r="AB1156" t="str">
        <f t="shared" si="18"/>
        <v>Not Defaulter</v>
      </c>
      <c r="AC1156" s="1">
        <f>Table2[[#This Row],[BILL_AMT1]]-Table2[[#This Row],[PAY_AMT1]]</f>
        <v>19739</v>
      </c>
      <c r="AD1156" s="1" t="str" cm="1">
        <f t="array" ref="AD1156">_xlfn.IFS(Table2[[#This Row],[PAYMENT GAP]]&lt;=0,"No Gap / Overpaid",Table2[[#This Row],[PAYMENT GAP]]&lt;=25000,"Low Gap",Table2[[#This Row],[PAYMENT GAP]]&lt;=100000,"Medium Gap",
TRUE,"High Gap"
)</f>
        <v>Low Gap</v>
      </c>
    </row>
    <row r="1157" spans="1:30" x14ac:dyDescent="0.3">
      <c r="A1157">
        <v>1156</v>
      </c>
      <c r="B1157" s="1">
        <v>350000</v>
      </c>
      <c r="C1157" s="1" t="str" cm="1">
        <f t="array" ref="C1157">_xlfn.IFS(Table2[[#This Row],[LIMIT_BAL]]&lt;=100000,"Low",Table2[[#This Row],[LIMIT_BAL]]&lt;=300000,"Medium",
TRUE,"High"
)</f>
        <v>High</v>
      </c>
      <c r="D1157" t="s">
        <v>2041</v>
      </c>
      <c r="E1157" t="s">
        <v>2043</v>
      </c>
      <c r="F1157" t="s">
        <v>2028</v>
      </c>
      <c r="G1157">
        <v>29</v>
      </c>
      <c r="H1157" t="str" cm="1">
        <f t="array" ref="H1157">_xlfn.IFS(
Table2[[#This Row],[AGE]]&lt;30,"Young",
Table2[[#This Row],[AGE]]&lt;40,"Middle Age",
Table2[[#This Row],[AGE]]&lt;50,"Senior",
TRUE,"Super Senior"
)</f>
        <v>Young</v>
      </c>
      <c r="I1157">
        <v>-1</v>
      </c>
      <c r="J1157">
        <v>-1</v>
      </c>
      <c r="K1157">
        <v>-1</v>
      </c>
      <c r="L1157">
        <v>-1</v>
      </c>
      <c r="M1157">
        <v>-1</v>
      </c>
      <c r="N1157">
        <v>-1</v>
      </c>
      <c r="O1157" s="1">
        <v>8760</v>
      </c>
      <c r="P1157" s="1">
        <v>5882</v>
      </c>
      <c r="Q1157" s="1">
        <v>9845</v>
      </c>
      <c r="R1157" s="1">
        <v>4677</v>
      </c>
      <c r="S1157" s="1">
        <v>5767</v>
      </c>
      <c r="T1157" s="1">
        <v>6532</v>
      </c>
      <c r="U1157" s="1">
        <v>5932</v>
      </c>
      <c r="V1157" s="1">
        <v>9908</v>
      </c>
      <c r="W1157" s="1">
        <v>4692</v>
      </c>
      <c r="X1157" s="1">
        <v>5787</v>
      </c>
      <c r="Y1157" s="1">
        <v>6548</v>
      </c>
      <c r="Z1157" s="1">
        <v>4863</v>
      </c>
      <c r="AA1157">
        <v>0</v>
      </c>
      <c r="AB1157" t="str">
        <f t="shared" si="18"/>
        <v>Not Defaulter</v>
      </c>
      <c r="AC1157" s="1">
        <f>Table2[[#This Row],[BILL_AMT1]]-Table2[[#This Row],[PAY_AMT1]]</f>
        <v>2828</v>
      </c>
      <c r="AD1157" s="1" t="str" cm="1">
        <f t="array" ref="AD1157">_xlfn.IFS(Table2[[#This Row],[PAYMENT GAP]]&lt;=0,"No Gap / Overpaid",Table2[[#This Row],[PAYMENT GAP]]&lt;=25000,"Low Gap",Table2[[#This Row],[PAYMENT GAP]]&lt;=100000,"Medium Gap",
TRUE,"High Gap"
)</f>
        <v>Low Gap</v>
      </c>
    </row>
    <row r="1158" spans="1:30" x14ac:dyDescent="0.3">
      <c r="A1158">
        <v>1157</v>
      </c>
      <c r="B1158" s="1">
        <v>130000</v>
      </c>
      <c r="C1158" s="1" t="str" cm="1">
        <f t="array" ref="C1158">_xlfn.IFS(Table2[[#This Row],[LIMIT_BAL]]&lt;=100000,"Low",Table2[[#This Row],[LIMIT_BAL]]&lt;=300000,"Medium",
TRUE,"High"
)</f>
        <v>Medium</v>
      </c>
      <c r="D1158" t="s">
        <v>2041</v>
      </c>
      <c r="E1158" t="s">
        <v>2026</v>
      </c>
      <c r="F1158" t="s">
        <v>2029</v>
      </c>
      <c r="G1158">
        <v>23</v>
      </c>
      <c r="H1158" t="str" cm="1">
        <f t="array" ref="H1158">_xlfn.IFS(
Table2[[#This Row],[AGE]]&lt;30,"Young",
Table2[[#This Row],[AGE]]&lt;40,"Middle Age",
Table2[[#This Row],[AGE]]&lt;50,"Senior",
TRUE,"Super Senior"
)</f>
        <v>Young</v>
      </c>
      <c r="I1158">
        <v>-1</v>
      </c>
      <c r="J1158">
        <v>-1</v>
      </c>
      <c r="K1158">
        <v>-1</v>
      </c>
      <c r="L1158">
        <v>0</v>
      </c>
      <c r="M1158">
        <v>-1</v>
      </c>
      <c r="N1158">
        <v>0</v>
      </c>
      <c r="O1158" s="1">
        <v>3820</v>
      </c>
      <c r="P1158" s="1">
        <v>2640</v>
      </c>
      <c r="Q1158" s="1">
        <v>30403</v>
      </c>
      <c r="R1158" s="1">
        <v>9630</v>
      </c>
      <c r="S1158" s="1">
        <v>7120</v>
      </c>
      <c r="T1158" s="1">
        <v>3940</v>
      </c>
      <c r="U1158" s="1">
        <v>2640</v>
      </c>
      <c r="V1158" s="1">
        <v>30403</v>
      </c>
      <c r="W1158" s="1">
        <v>193</v>
      </c>
      <c r="X1158" s="1">
        <v>7120</v>
      </c>
      <c r="Y1158" s="1">
        <v>79</v>
      </c>
      <c r="Z1158" s="1">
        <v>9589</v>
      </c>
      <c r="AA1158">
        <v>0</v>
      </c>
      <c r="AB1158" t="str">
        <f t="shared" si="18"/>
        <v>Not Defaulter</v>
      </c>
      <c r="AC1158" s="1">
        <f>Table2[[#This Row],[BILL_AMT1]]-Table2[[#This Row],[PAY_AMT1]]</f>
        <v>1180</v>
      </c>
      <c r="AD1158" s="1" t="str" cm="1">
        <f t="array" ref="AD1158">_xlfn.IFS(Table2[[#This Row],[PAYMENT GAP]]&lt;=0,"No Gap / Overpaid",Table2[[#This Row],[PAYMENT GAP]]&lt;=25000,"Low Gap",Table2[[#This Row],[PAYMENT GAP]]&lt;=100000,"Medium Gap",
TRUE,"High Gap"
)</f>
        <v>Low Gap</v>
      </c>
    </row>
    <row r="1159" spans="1:30" x14ac:dyDescent="0.3">
      <c r="A1159">
        <v>1158</v>
      </c>
      <c r="B1159" s="1">
        <v>470000</v>
      </c>
      <c r="C1159" s="1" t="str" cm="1">
        <f t="array" ref="C1159">_xlfn.IFS(Table2[[#This Row],[LIMIT_BAL]]&lt;=100000,"Low",Table2[[#This Row],[LIMIT_BAL]]&lt;=300000,"Medium",
TRUE,"High"
)</f>
        <v>High</v>
      </c>
      <c r="D1159" t="s">
        <v>2042</v>
      </c>
      <c r="E1159" t="s">
        <v>2027</v>
      </c>
      <c r="F1159" t="s">
        <v>2028</v>
      </c>
      <c r="G1159">
        <v>39</v>
      </c>
      <c r="H1159" t="str" cm="1">
        <f t="array" ref="H1159">_xlfn.IFS(
Table2[[#This Row],[AGE]]&lt;30,"Young",
Table2[[#This Row],[AGE]]&lt;40,"Middle Age",
Table2[[#This Row],[AGE]]&lt;50,"Senior",
TRUE,"Super Senior"
)</f>
        <v>Middle Age</v>
      </c>
      <c r="I1159">
        <v>1</v>
      </c>
      <c r="J1159">
        <v>-2</v>
      </c>
      <c r="K1159">
        <v>-2</v>
      </c>
      <c r="L1159">
        <v>-2</v>
      </c>
      <c r="M1159">
        <v>-2</v>
      </c>
      <c r="N1159">
        <v>-2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789</v>
      </c>
      <c r="AA1159">
        <v>0</v>
      </c>
      <c r="AB1159" t="str">
        <f t="shared" si="18"/>
        <v>Not Defaulter</v>
      </c>
      <c r="AC1159" s="1">
        <f>Table2[[#This Row],[BILL_AMT1]]-Table2[[#This Row],[PAY_AMT1]]</f>
        <v>0</v>
      </c>
      <c r="AD1159" s="1" t="str" cm="1">
        <f t="array" ref="AD1159">_xlfn.IFS(Table2[[#This Row],[PAYMENT GAP]]&lt;=0,"No Gap / Overpaid",Table2[[#This Row],[PAYMENT GAP]]&lt;=25000,"Low Gap",Table2[[#This Row],[PAYMENT GAP]]&lt;=100000,"Medium Gap",
TRUE,"High Gap"
)</f>
        <v>No Gap / Overpaid</v>
      </c>
    </row>
    <row r="1160" spans="1:30" x14ac:dyDescent="0.3">
      <c r="A1160">
        <v>1159</v>
      </c>
      <c r="B1160" s="1">
        <v>340000</v>
      </c>
      <c r="C1160" s="1" t="str" cm="1">
        <f t="array" ref="C1160">_xlfn.IFS(Table2[[#This Row],[LIMIT_BAL]]&lt;=100000,"Low",Table2[[#This Row],[LIMIT_BAL]]&lt;=300000,"Medium",
TRUE,"High"
)</f>
        <v>High</v>
      </c>
      <c r="D1160" t="s">
        <v>2041</v>
      </c>
      <c r="E1160" t="s">
        <v>2043</v>
      </c>
      <c r="F1160" t="s">
        <v>2028</v>
      </c>
      <c r="G1160">
        <v>48</v>
      </c>
      <c r="H1160" t="str" cm="1">
        <f t="array" ref="H1160">_xlfn.IFS(
Table2[[#This Row],[AGE]]&lt;30,"Young",
Table2[[#This Row],[AGE]]&lt;40,"Middle Age",
Table2[[#This Row],[AGE]]&lt;50,"Senior",
TRUE,"Super Senior"
)</f>
        <v>Senior</v>
      </c>
      <c r="I1160">
        <v>-1</v>
      </c>
      <c r="J1160">
        <v>-1</v>
      </c>
      <c r="K1160">
        <v>-1</v>
      </c>
      <c r="L1160">
        <v>0</v>
      </c>
      <c r="M1160">
        <v>0</v>
      </c>
      <c r="N1160">
        <v>-1</v>
      </c>
      <c r="O1160" s="1">
        <v>4052</v>
      </c>
      <c r="P1160" s="1">
        <v>0</v>
      </c>
      <c r="Q1160" s="1">
        <v>4105</v>
      </c>
      <c r="R1160" s="1">
        <v>2895</v>
      </c>
      <c r="S1160" s="1">
        <v>2895</v>
      </c>
      <c r="T1160" s="1">
        <v>2360</v>
      </c>
      <c r="U1160" s="1">
        <v>0</v>
      </c>
      <c r="V1160" s="1">
        <v>4105</v>
      </c>
      <c r="W1160" s="1">
        <v>0</v>
      </c>
      <c r="X1160" s="1">
        <v>0</v>
      </c>
      <c r="Y1160" s="1">
        <v>2360</v>
      </c>
      <c r="Z1160" s="1">
        <v>1090</v>
      </c>
      <c r="AA1160">
        <v>0</v>
      </c>
      <c r="AB1160" t="str">
        <f t="shared" si="18"/>
        <v>Not Defaulter</v>
      </c>
      <c r="AC1160" s="1">
        <f>Table2[[#This Row],[BILL_AMT1]]-Table2[[#This Row],[PAY_AMT1]]</f>
        <v>4052</v>
      </c>
      <c r="AD1160" s="1" t="str" cm="1">
        <f t="array" ref="AD1160">_xlfn.IFS(Table2[[#This Row],[PAYMENT GAP]]&lt;=0,"No Gap / Overpaid",Table2[[#This Row],[PAYMENT GAP]]&lt;=25000,"Low Gap",Table2[[#This Row],[PAYMENT GAP]]&lt;=100000,"Medium Gap",
TRUE,"High Gap"
)</f>
        <v>Low Gap</v>
      </c>
    </row>
    <row r="1161" spans="1:30" x14ac:dyDescent="0.3">
      <c r="A1161">
        <v>1160</v>
      </c>
      <c r="B1161" s="1">
        <v>80000</v>
      </c>
      <c r="C1161" s="1" t="str" cm="1">
        <f t="array" ref="C1161">_xlfn.IFS(Table2[[#This Row],[LIMIT_BAL]]&lt;=100000,"Low",Table2[[#This Row],[LIMIT_BAL]]&lt;=300000,"Medium",
TRUE,"High"
)</f>
        <v>Low</v>
      </c>
      <c r="D1161" t="s">
        <v>2042</v>
      </c>
      <c r="E1161" t="s">
        <v>2043</v>
      </c>
      <c r="F1161" t="s">
        <v>2029</v>
      </c>
      <c r="G1161">
        <v>26</v>
      </c>
      <c r="H1161" t="str" cm="1">
        <f t="array" ref="H1161">_xlfn.IFS(
Table2[[#This Row],[AGE]]&lt;30,"Young",
Table2[[#This Row],[AGE]]&lt;40,"Middle Age",
Table2[[#This Row],[AGE]]&lt;50,"Senior",
TRUE,"Super Senior"
)</f>
        <v>Young</v>
      </c>
      <c r="I1161">
        <v>1</v>
      </c>
      <c r="J1161">
        <v>2</v>
      </c>
      <c r="K1161">
        <v>2</v>
      </c>
      <c r="L1161">
        <v>2</v>
      </c>
      <c r="M1161">
        <v>0</v>
      </c>
      <c r="N1161">
        <v>0</v>
      </c>
      <c r="O1161" s="1">
        <v>77389</v>
      </c>
      <c r="P1161" s="1">
        <v>75585</v>
      </c>
      <c r="Q1161" s="1">
        <v>80300</v>
      </c>
      <c r="R1161" s="1">
        <v>75724</v>
      </c>
      <c r="S1161" s="1">
        <v>77504</v>
      </c>
      <c r="T1161" s="1">
        <v>79715</v>
      </c>
      <c r="U1161" s="1">
        <v>0</v>
      </c>
      <c r="V1161" s="1">
        <v>6000</v>
      </c>
      <c r="W1161" s="1">
        <v>0</v>
      </c>
      <c r="X1161" s="1">
        <v>3000</v>
      </c>
      <c r="Y1161" s="1">
        <v>3500</v>
      </c>
      <c r="Z1161" s="1">
        <v>3000</v>
      </c>
      <c r="AA1161">
        <v>0</v>
      </c>
      <c r="AB1161" t="str">
        <f t="shared" si="18"/>
        <v>Not Defaulter</v>
      </c>
      <c r="AC1161" s="1">
        <f>Table2[[#This Row],[BILL_AMT1]]-Table2[[#This Row],[PAY_AMT1]]</f>
        <v>77389</v>
      </c>
      <c r="AD1161" s="1" t="str" cm="1">
        <f t="array" ref="AD1161">_xlfn.IFS(Table2[[#This Row],[PAYMENT GAP]]&lt;=0,"No Gap / Overpaid",Table2[[#This Row],[PAYMENT GAP]]&lt;=25000,"Low Gap",Table2[[#This Row],[PAYMENT GAP]]&lt;=100000,"Medium Gap",
TRUE,"High Gap"
)</f>
        <v>Medium Gap</v>
      </c>
    </row>
    <row r="1162" spans="1:30" x14ac:dyDescent="0.3">
      <c r="A1162">
        <v>1161</v>
      </c>
      <c r="B1162" s="1">
        <v>70000</v>
      </c>
      <c r="C1162" s="1" t="str" cm="1">
        <f t="array" ref="C1162">_xlfn.IFS(Table2[[#This Row],[LIMIT_BAL]]&lt;=100000,"Low",Table2[[#This Row],[LIMIT_BAL]]&lt;=300000,"Medium",
TRUE,"High"
)</f>
        <v>Low</v>
      </c>
      <c r="D1162" t="s">
        <v>2042</v>
      </c>
      <c r="E1162" t="s">
        <v>2026</v>
      </c>
      <c r="F1162" t="s">
        <v>2029</v>
      </c>
      <c r="G1162">
        <v>33</v>
      </c>
      <c r="H1162" t="str" cm="1">
        <f t="array" ref="H1162">_xlfn.IFS(
Table2[[#This Row],[AGE]]&lt;30,"Young",
Table2[[#This Row],[AGE]]&lt;40,"Middle Age",
Table2[[#This Row],[AGE]]&lt;50,"Senior",
TRUE,"Super Senior"
)</f>
        <v>Middle Age</v>
      </c>
      <c r="I1162">
        <v>0</v>
      </c>
      <c r="J1162">
        <v>0</v>
      </c>
      <c r="K1162">
        <v>0</v>
      </c>
      <c r="L1162">
        <v>0</v>
      </c>
      <c r="M1162">
        <v>-2</v>
      </c>
      <c r="N1162">
        <v>-2</v>
      </c>
      <c r="O1162" s="1">
        <v>70524</v>
      </c>
      <c r="P1162" s="1">
        <v>70740</v>
      </c>
      <c r="Q1162" s="1">
        <v>46740</v>
      </c>
      <c r="R1162" s="1">
        <v>0</v>
      </c>
      <c r="S1162" s="1">
        <v>0</v>
      </c>
      <c r="T1162" s="1">
        <v>0</v>
      </c>
      <c r="U1162" s="1">
        <v>2500</v>
      </c>
      <c r="V1162" s="1">
        <v>2000</v>
      </c>
      <c r="W1162" s="1">
        <v>0</v>
      </c>
      <c r="X1162" s="1">
        <v>0</v>
      </c>
      <c r="Y1162" s="1">
        <v>0</v>
      </c>
      <c r="Z1162" s="1">
        <v>0</v>
      </c>
      <c r="AA1162">
        <v>0</v>
      </c>
      <c r="AB1162" t="str">
        <f t="shared" si="18"/>
        <v>Not Defaulter</v>
      </c>
      <c r="AC1162" s="1">
        <f>Table2[[#This Row],[BILL_AMT1]]-Table2[[#This Row],[PAY_AMT1]]</f>
        <v>68024</v>
      </c>
      <c r="AD1162" s="1" t="str" cm="1">
        <f t="array" ref="AD1162">_xlfn.IFS(Table2[[#This Row],[PAYMENT GAP]]&lt;=0,"No Gap / Overpaid",Table2[[#This Row],[PAYMENT GAP]]&lt;=25000,"Low Gap",Table2[[#This Row],[PAYMENT GAP]]&lt;=100000,"Medium Gap",
TRUE,"High Gap"
)</f>
        <v>Medium Gap</v>
      </c>
    </row>
    <row r="1163" spans="1:30" x14ac:dyDescent="0.3">
      <c r="A1163">
        <v>1162</v>
      </c>
      <c r="B1163" s="1">
        <v>230000</v>
      </c>
      <c r="C1163" s="1" t="str" cm="1">
        <f t="array" ref="C1163">_xlfn.IFS(Table2[[#This Row],[LIMIT_BAL]]&lt;=100000,"Low",Table2[[#This Row],[LIMIT_BAL]]&lt;=300000,"Medium",
TRUE,"High"
)</f>
        <v>Medium</v>
      </c>
      <c r="D1163" t="s">
        <v>2041</v>
      </c>
      <c r="E1163" t="s">
        <v>2043</v>
      </c>
      <c r="F1163" t="s">
        <v>2028</v>
      </c>
      <c r="G1163">
        <v>44</v>
      </c>
      <c r="H1163" t="str" cm="1">
        <f t="array" ref="H1163">_xlfn.IFS(
Table2[[#This Row],[AGE]]&lt;30,"Young",
Table2[[#This Row],[AGE]]&lt;40,"Middle Age",
Table2[[#This Row],[AGE]]&lt;50,"Senior",
TRUE,"Super Senior"
)</f>
        <v>Senior</v>
      </c>
      <c r="I1163">
        <v>-2</v>
      </c>
      <c r="J1163">
        <v>-2</v>
      </c>
      <c r="K1163">
        <v>-2</v>
      </c>
      <c r="L1163">
        <v>-2</v>
      </c>
      <c r="M1163">
        <v>-2</v>
      </c>
      <c r="N1163">
        <v>-2</v>
      </c>
      <c r="O1163" s="1">
        <v>5990</v>
      </c>
      <c r="P1163" s="1">
        <v>1677</v>
      </c>
      <c r="Q1163" s="1">
        <v>2920</v>
      </c>
      <c r="R1163" s="1">
        <v>2683</v>
      </c>
      <c r="S1163" s="1">
        <v>1674</v>
      </c>
      <c r="T1163" s="1">
        <v>3273</v>
      </c>
      <c r="U1163" s="1">
        <v>1677</v>
      </c>
      <c r="V1163" s="1">
        <v>2920</v>
      </c>
      <c r="W1163" s="1">
        <v>2683</v>
      </c>
      <c r="X1163" s="1">
        <v>1674</v>
      </c>
      <c r="Y1163" s="1">
        <v>3273</v>
      </c>
      <c r="Z1163" s="1">
        <v>2749</v>
      </c>
      <c r="AA1163">
        <v>0</v>
      </c>
      <c r="AB1163" t="str">
        <f t="shared" si="18"/>
        <v>Not Defaulter</v>
      </c>
      <c r="AC1163" s="1">
        <f>Table2[[#This Row],[BILL_AMT1]]-Table2[[#This Row],[PAY_AMT1]]</f>
        <v>4313</v>
      </c>
      <c r="AD1163" s="1" t="str" cm="1">
        <f t="array" ref="AD1163">_xlfn.IFS(Table2[[#This Row],[PAYMENT GAP]]&lt;=0,"No Gap / Overpaid",Table2[[#This Row],[PAYMENT GAP]]&lt;=25000,"Low Gap",Table2[[#This Row],[PAYMENT GAP]]&lt;=100000,"Medium Gap",
TRUE,"High Gap"
)</f>
        <v>Low Gap</v>
      </c>
    </row>
    <row r="1164" spans="1:30" x14ac:dyDescent="0.3">
      <c r="A1164">
        <v>1163</v>
      </c>
      <c r="B1164" s="1">
        <v>180000</v>
      </c>
      <c r="C1164" s="1" t="str" cm="1">
        <f t="array" ref="C1164">_xlfn.IFS(Table2[[#This Row],[LIMIT_BAL]]&lt;=100000,"Low",Table2[[#This Row],[LIMIT_BAL]]&lt;=300000,"Medium",
TRUE,"High"
)</f>
        <v>Medium</v>
      </c>
      <c r="D1164" t="s">
        <v>2041</v>
      </c>
      <c r="E1164" t="s">
        <v>2043</v>
      </c>
      <c r="F1164" t="s">
        <v>2028</v>
      </c>
      <c r="G1164">
        <v>36</v>
      </c>
      <c r="H1164" t="str" cm="1">
        <f t="array" ref="H1164">_xlfn.IFS(
Table2[[#This Row],[AGE]]&lt;30,"Young",
Table2[[#This Row],[AGE]]&lt;40,"Middle Age",
Table2[[#This Row],[AGE]]&lt;50,"Senior",
TRUE,"Super Senior"
)</f>
        <v>Middle Age</v>
      </c>
      <c r="I1164">
        <v>0</v>
      </c>
      <c r="J1164">
        <v>0</v>
      </c>
      <c r="K1164">
        <v>0</v>
      </c>
      <c r="L1164">
        <v>-2</v>
      </c>
      <c r="M1164">
        <v>-1</v>
      </c>
      <c r="N1164">
        <v>0</v>
      </c>
      <c r="O1164" s="1">
        <v>21494</v>
      </c>
      <c r="P1164" s="1">
        <v>25600</v>
      </c>
      <c r="Q1164" s="1">
        <v>0</v>
      </c>
      <c r="R1164" s="1">
        <v>0</v>
      </c>
      <c r="S1164" s="1">
        <v>36565</v>
      </c>
      <c r="T1164" s="1">
        <v>37353</v>
      </c>
      <c r="U1164" s="1">
        <v>5000</v>
      </c>
      <c r="V1164" s="1">
        <v>0</v>
      </c>
      <c r="W1164" s="1">
        <v>0</v>
      </c>
      <c r="X1164" s="1">
        <v>36565</v>
      </c>
      <c r="Y1164" s="1">
        <v>1548</v>
      </c>
      <c r="Z1164" s="1">
        <v>1000</v>
      </c>
      <c r="AA1164">
        <v>0</v>
      </c>
      <c r="AB1164" t="str">
        <f t="shared" si="18"/>
        <v>Not Defaulter</v>
      </c>
      <c r="AC1164" s="1">
        <f>Table2[[#This Row],[BILL_AMT1]]-Table2[[#This Row],[PAY_AMT1]]</f>
        <v>16494</v>
      </c>
      <c r="AD1164" s="1" t="str" cm="1">
        <f t="array" ref="AD1164">_xlfn.IFS(Table2[[#This Row],[PAYMENT GAP]]&lt;=0,"No Gap / Overpaid",Table2[[#This Row],[PAYMENT GAP]]&lt;=25000,"Low Gap",Table2[[#This Row],[PAYMENT GAP]]&lt;=100000,"Medium Gap",
TRUE,"High Gap"
)</f>
        <v>Low Gap</v>
      </c>
    </row>
    <row r="1165" spans="1:30" x14ac:dyDescent="0.3">
      <c r="A1165">
        <v>1164</v>
      </c>
      <c r="B1165" s="1">
        <v>210000</v>
      </c>
      <c r="C1165" s="1" t="str" cm="1">
        <f t="array" ref="C1165">_xlfn.IFS(Table2[[#This Row],[LIMIT_BAL]]&lt;=100000,"Low",Table2[[#This Row],[LIMIT_BAL]]&lt;=300000,"Medium",
TRUE,"High"
)</f>
        <v>Medium</v>
      </c>
      <c r="D1165" t="s">
        <v>2041</v>
      </c>
      <c r="E1165" t="s">
        <v>2043</v>
      </c>
      <c r="F1165" t="s">
        <v>2028</v>
      </c>
      <c r="G1165">
        <v>39</v>
      </c>
      <c r="H1165" t="str" cm="1">
        <f t="array" ref="H1165">_xlfn.IFS(
Table2[[#This Row],[AGE]]&lt;30,"Young",
Table2[[#This Row],[AGE]]&lt;40,"Middle Age",
Table2[[#This Row],[AGE]]&lt;50,"Senior",
TRUE,"Super Senior"
)</f>
        <v>Middle Age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-1</v>
      </c>
      <c r="O1165" s="1">
        <v>26749</v>
      </c>
      <c r="P1165" s="1">
        <v>34451</v>
      </c>
      <c r="Q1165" s="1">
        <v>25200</v>
      </c>
      <c r="R1165" s="1">
        <v>19850</v>
      </c>
      <c r="S1165" s="1">
        <v>15530</v>
      </c>
      <c r="T1165" s="1">
        <v>13021</v>
      </c>
      <c r="U1165" s="1">
        <v>14000</v>
      </c>
      <c r="V1165" s="1">
        <v>3007</v>
      </c>
      <c r="W1165" s="1">
        <v>5000</v>
      </c>
      <c r="X1165" s="1">
        <v>1000</v>
      </c>
      <c r="Y1165" s="1">
        <v>13021</v>
      </c>
      <c r="Z1165" s="1">
        <v>22171</v>
      </c>
      <c r="AA1165">
        <v>0</v>
      </c>
      <c r="AB1165" t="str">
        <f t="shared" si="18"/>
        <v>Not Defaulter</v>
      </c>
      <c r="AC1165" s="1">
        <f>Table2[[#This Row],[BILL_AMT1]]-Table2[[#This Row],[PAY_AMT1]]</f>
        <v>12749</v>
      </c>
      <c r="AD1165" s="1" t="str" cm="1">
        <f t="array" ref="AD1165">_xlfn.IFS(Table2[[#This Row],[PAYMENT GAP]]&lt;=0,"No Gap / Overpaid",Table2[[#This Row],[PAYMENT GAP]]&lt;=25000,"Low Gap",Table2[[#This Row],[PAYMENT GAP]]&lt;=100000,"Medium Gap",
TRUE,"High Gap"
)</f>
        <v>Low Gap</v>
      </c>
    </row>
    <row r="1166" spans="1:30" x14ac:dyDescent="0.3">
      <c r="A1166">
        <v>1165</v>
      </c>
      <c r="B1166" s="1">
        <v>20000</v>
      </c>
      <c r="C1166" s="1" t="str" cm="1">
        <f t="array" ref="C1166">_xlfn.IFS(Table2[[#This Row],[LIMIT_BAL]]&lt;=100000,"Low",Table2[[#This Row],[LIMIT_BAL]]&lt;=300000,"Medium",
TRUE,"High"
)</f>
        <v>Low</v>
      </c>
      <c r="D1166" t="s">
        <v>2042</v>
      </c>
      <c r="E1166" t="s">
        <v>2043</v>
      </c>
      <c r="F1166" t="s">
        <v>2029</v>
      </c>
      <c r="G1166">
        <v>24</v>
      </c>
      <c r="H1166" t="str" cm="1">
        <f t="array" ref="H1166">_xlfn.IFS(
Table2[[#This Row],[AGE]]&lt;30,"Young",
Table2[[#This Row],[AGE]]&lt;40,"Middle Age",
Table2[[#This Row],[AGE]]&lt;50,"Senior",
TRUE,"Super Senior"
)</f>
        <v>Young</v>
      </c>
      <c r="I1166">
        <v>-1</v>
      </c>
      <c r="J1166">
        <v>-1</v>
      </c>
      <c r="K1166">
        <v>-1</v>
      </c>
      <c r="L1166">
        <v>-1</v>
      </c>
      <c r="M1166">
        <v>-1</v>
      </c>
      <c r="N1166">
        <v>-1</v>
      </c>
      <c r="O1166" s="1">
        <v>780</v>
      </c>
      <c r="P1166" s="1">
        <v>0</v>
      </c>
      <c r="Q1166" s="1">
        <v>390</v>
      </c>
      <c r="R1166" s="1">
        <v>390</v>
      </c>
      <c r="S1166" s="1">
        <v>780</v>
      </c>
      <c r="T1166" s="1">
        <v>0</v>
      </c>
      <c r="U1166" s="1">
        <v>0</v>
      </c>
      <c r="V1166" s="1">
        <v>390</v>
      </c>
      <c r="W1166" s="1">
        <v>390</v>
      </c>
      <c r="X1166" s="1">
        <v>780</v>
      </c>
      <c r="Y1166" s="1">
        <v>0</v>
      </c>
      <c r="Z1166" s="1">
        <v>0</v>
      </c>
      <c r="AA1166">
        <v>0</v>
      </c>
      <c r="AB1166" t="str">
        <f t="shared" si="18"/>
        <v>Not Defaulter</v>
      </c>
      <c r="AC1166" s="1">
        <f>Table2[[#This Row],[BILL_AMT1]]-Table2[[#This Row],[PAY_AMT1]]</f>
        <v>780</v>
      </c>
      <c r="AD1166" s="1" t="str" cm="1">
        <f t="array" ref="AD1166">_xlfn.IFS(Table2[[#This Row],[PAYMENT GAP]]&lt;=0,"No Gap / Overpaid",Table2[[#This Row],[PAYMENT GAP]]&lt;=25000,"Low Gap",Table2[[#This Row],[PAYMENT GAP]]&lt;=100000,"Medium Gap",
TRUE,"High Gap"
)</f>
        <v>Low Gap</v>
      </c>
    </row>
    <row r="1167" spans="1:30" x14ac:dyDescent="0.3">
      <c r="A1167">
        <v>1166</v>
      </c>
      <c r="B1167" s="1">
        <v>140000</v>
      </c>
      <c r="C1167" s="1" t="str" cm="1">
        <f t="array" ref="C1167">_xlfn.IFS(Table2[[#This Row],[LIMIT_BAL]]&lt;=100000,"Low",Table2[[#This Row],[LIMIT_BAL]]&lt;=300000,"Medium",
TRUE,"High"
)</f>
        <v>Medium</v>
      </c>
      <c r="D1167" t="s">
        <v>2041</v>
      </c>
      <c r="E1167" t="s">
        <v>2043</v>
      </c>
      <c r="F1167" t="s">
        <v>2029</v>
      </c>
      <c r="G1167">
        <v>25</v>
      </c>
      <c r="H1167" t="str" cm="1">
        <f t="array" ref="H1167">_xlfn.IFS(
Table2[[#This Row],[AGE]]&lt;30,"Young",
Table2[[#This Row],[AGE]]&lt;40,"Middle Age",
Table2[[#This Row],[AGE]]&lt;50,"Senior",
TRUE,"Super Senior"
)</f>
        <v>Young</v>
      </c>
      <c r="I1167">
        <v>2</v>
      </c>
      <c r="J1167">
        <v>0</v>
      </c>
      <c r="K1167">
        <v>0</v>
      </c>
      <c r="L1167">
        <v>-1</v>
      </c>
      <c r="M1167">
        <v>-1</v>
      </c>
      <c r="N1167">
        <v>0</v>
      </c>
      <c r="O1167" s="1">
        <v>137606</v>
      </c>
      <c r="P1167" s="1">
        <v>140557</v>
      </c>
      <c r="Q1167" s="1">
        <v>111000</v>
      </c>
      <c r="R1167" s="1">
        <v>3238</v>
      </c>
      <c r="S1167" s="1">
        <v>89437</v>
      </c>
      <c r="T1167" s="1">
        <v>91136</v>
      </c>
      <c r="U1167" s="1">
        <v>6000</v>
      </c>
      <c r="V1167" s="1">
        <v>3200</v>
      </c>
      <c r="W1167" s="1">
        <v>3238</v>
      </c>
      <c r="X1167" s="1">
        <v>89437</v>
      </c>
      <c r="Y1167" s="1">
        <v>3228</v>
      </c>
      <c r="Z1167" s="1">
        <v>3000</v>
      </c>
      <c r="AA1167">
        <v>0</v>
      </c>
      <c r="AB1167" t="str">
        <f t="shared" si="18"/>
        <v>Not Defaulter</v>
      </c>
      <c r="AC1167" s="1">
        <f>Table2[[#This Row],[BILL_AMT1]]-Table2[[#This Row],[PAY_AMT1]]</f>
        <v>131606</v>
      </c>
      <c r="AD1167" s="1" t="str" cm="1">
        <f t="array" ref="AD1167">_xlfn.IFS(Table2[[#This Row],[PAYMENT GAP]]&lt;=0,"No Gap / Overpaid",Table2[[#This Row],[PAYMENT GAP]]&lt;=25000,"Low Gap",Table2[[#This Row],[PAYMENT GAP]]&lt;=100000,"Medium Gap",
TRUE,"High Gap"
)</f>
        <v>High Gap</v>
      </c>
    </row>
    <row r="1168" spans="1:30" x14ac:dyDescent="0.3">
      <c r="A1168">
        <v>1167</v>
      </c>
      <c r="B1168" s="1">
        <v>200000</v>
      </c>
      <c r="C1168" s="1" t="str" cm="1">
        <f t="array" ref="C1168">_xlfn.IFS(Table2[[#This Row],[LIMIT_BAL]]&lt;=100000,"Low",Table2[[#This Row],[LIMIT_BAL]]&lt;=300000,"Medium",
TRUE,"High"
)</f>
        <v>Medium</v>
      </c>
      <c r="D1168" t="s">
        <v>2042</v>
      </c>
      <c r="E1168" t="s">
        <v>2026</v>
      </c>
      <c r="F1168" t="s">
        <v>2029</v>
      </c>
      <c r="G1168">
        <v>52</v>
      </c>
      <c r="H1168" t="str" cm="1">
        <f t="array" ref="H1168">_xlfn.IFS(
Table2[[#This Row],[AGE]]&lt;30,"Young",
Table2[[#This Row],[AGE]]&lt;40,"Middle Age",
Table2[[#This Row],[AGE]]&lt;50,"Senior",
TRUE,"Super Senior"
)</f>
        <v>Super Senior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 s="1">
        <v>115702</v>
      </c>
      <c r="P1168" s="1">
        <v>113576</v>
      </c>
      <c r="Q1168" s="1">
        <v>109812</v>
      </c>
      <c r="R1168" s="1">
        <v>104567</v>
      </c>
      <c r="S1168" s="1">
        <v>100541</v>
      </c>
      <c r="T1168" s="1">
        <v>96495</v>
      </c>
      <c r="U1168" s="1">
        <v>5517</v>
      </c>
      <c r="V1168" s="1">
        <v>5381</v>
      </c>
      <c r="W1168" s="1">
        <v>3838</v>
      </c>
      <c r="X1168" s="1">
        <v>3589</v>
      </c>
      <c r="Y1168" s="1">
        <v>3397</v>
      </c>
      <c r="Z1168" s="1">
        <v>3296</v>
      </c>
      <c r="AA1168">
        <v>0</v>
      </c>
      <c r="AB1168" t="str">
        <f t="shared" si="18"/>
        <v>Not Defaulter</v>
      </c>
      <c r="AC1168" s="1">
        <f>Table2[[#This Row],[BILL_AMT1]]-Table2[[#This Row],[PAY_AMT1]]</f>
        <v>110185</v>
      </c>
      <c r="AD1168" s="1" t="str" cm="1">
        <f t="array" ref="AD1168">_xlfn.IFS(Table2[[#This Row],[PAYMENT GAP]]&lt;=0,"No Gap / Overpaid",Table2[[#This Row],[PAYMENT GAP]]&lt;=25000,"Low Gap",Table2[[#This Row],[PAYMENT GAP]]&lt;=100000,"Medium Gap",
TRUE,"High Gap"
)</f>
        <v>High Gap</v>
      </c>
    </row>
    <row r="1169" spans="1:30" x14ac:dyDescent="0.3">
      <c r="A1169">
        <v>1168</v>
      </c>
      <c r="B1169" s="1">
        <v>50000</v>
      </c>
      <c r="C1169" s="1" t="str" cm="1">
        <f t="array" ref="C1169">_xlfn.IFS(Table2[[#This Row],[LIMIT_BAL]]&lt;=100000,"Low",Table2[[#This Row],[LIMIT_BAL]]&lt;=300000,"Medium",
TRUE,"High"
)</f>
        <v>Low</v>
      </c>
      <c r="D1169" t="s">
        <v>2041</v>
      </c>
      <c r="E1169" t="s">
        <v>2027</v>
      </c>
      <c r="F1169" t="s">
        <v>2028</v>
      </c>
      <c r="G1169">
        <v>59</v>
      </c>
      <c r="H1169" t="str" cm="1">
        <f t="array" ref="H1169">_xlfn.IFS(
Table2[[#This Row],[AGE]]&lt;30,"Young",
Table2[[#This Row],[AGE]]&lt;40,"Middle Age",
Table2[[#This Row],[AGE]]&lt;50,"Senior",
TRUE,"Super Senior"
)</f>
        <v>Super Senior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 s="1">
        <v>47822</v>
      </c>
      <c r="P1169" s="1">
        <v>36488</v>
      </c>
      <c r="Q1169" s="1">
        <v>36811</v>
      </c>
      <c r="R1169" s="1">
        <v>13234</v>
      </c>
      <c r="S1169" s="1">
        <v>11543</v>
      </c>
      <c r="T1169" s="1">
        <v>10751</v>
      </c>
      <c r="U1169" s="1">
        <v>2009</v>
      </c>
      <c r="V1169" s="1">
        <v>2000</v>
      </c>
      <c r="W1169" s="1">
        <v>556</v>
      </c>
      <c r="X1169" s="1">
        <v>378</v>
      </c>
      <c r="Y1169" s="1">
        <v>619</v>
      </c>
      <c r="Z1169" s="1">
        <v>5000</v>
      </c>
      <c r="AA1169">
        <v>0</v>
      </c>
      <c r="AB1169" t="str">
        <f t="shared" si="18"/>
        <v>Not Defaulter</v>
      </c>
      <c r="AC1169" s="1">
        <f>Table2[[#This Row],[BILL_AMT1]]-Table2[[#This Row],[PAY_AMT1]]</f>
        <v>45813</v>
      </c>
      <c r="AD1169" s="1" t="str" cm="1">
        <f t="array" ref="AD1169">_xlfn.IFS(Table2[[#This Row],[PAYMENT GAP]]&lt;=0,"No Gap / Overpaid",Table2[[#This Row],[PAYMENT GAP]]&lt;=25000,"Low Gap",Table2[[#This Row],[PAYMENT GAP]]&lt;=100000,"Medium Gap",
TRUE,"High Gap"
)</f>
        <v>Medium Gap</v>
      </c>
    </row>
    <row r="1170" spans="1:30" x14ac:dyDescent="0.3">
      <c r="A1170">
        <v>1169</v>
      </c>
      <c r="B1170" s="1">
        <v>80000</v>
      </c>
      <c r="C1170" s="1" t="str" cm="1">
        <f t="array" ref="C1170">_xlfn.IFS(Table2[[#This Row],[LIMIT_BAL]]&lt;=100000,"Low",Table2[[#This Row],[LIMIT_BAL]]&lt;=300000,"Medium",
TRUE,"High"
)</f>
        <v>Low</v>
      </c>
      <c r="D1170" t="s">
        <v>2041</v>
      </c>
      <c r="E1170" t="s">
        <v>2026</v>
      </c>
      <c r="F1170" t="s">
        <v>2029</v>
      </c>
      <c r="G1170">
        <v>23</v>
      </c>
      <c r="H1170" t="str" cm="1">
        <f t="array" ref="H1170">_xlfn.IFS(
Table2[[#This Row],[AGE]]&lt;30,"Young",
Table2[[#This Row],[AGE]]&lt;40,"Middle Age",
Table2[[#This Row],[AGE]]&lt;50,"Senior",
TRUE,"Super Senior"
)</f>
        <v>Young</v>
      </c>
      <c r="I1170">
        <v>-1</v>
      </c>
      <c r="J1170">
        <v>-1</v>
      </c>
      <c r="K1170">
        <v>0</v>
      </c>
      <c r="L1170">
        <v>0</v>
      </c>
      <c r="M1170">
        <v>-1</v>
      </c>
      <c r="N1170">
        <v>-1</v>
      </c>
      <c r="O1170" s="1">
        <v>3526</v>
      </c>
      <c r="P1170" s="1">
        <v>6687</v>
      </c>
      <c r="Q1170" s="1">
        <v>4356</v>
      </c>
      <c r="R1170" s="1">
        <v>3450</v>
      </c>
      <c r="S1170" s="1">
        <v>4318</v>
      </c>
      <c r="T1170" s="1">
        <v>0</v>
      </c>
      <c r="U1170" s="1">
        <v>6687</v>
      </c>
      <c r="V1170" s="1">
        <v>1000</v>
      </c>
      <c r="W1170" s="1">
        <v>0</v>
      </c>
      <c r="X1170" s="1">
        <v>4318</v>
      </c>
      <c r="Y1170" s="1">
        <v>0</v>
      </c>
      <c r="Z1170" s="1">
        <v>254</v>
      </c>
      <c r="AA1170">
        <v>0</v>
      </c>
      <c r="AB1170" t="str">
        <f t="shared" si="18"/>
        <v>Not Defaulter</v>
      </c>
      <c r="AC1170" s="1">
        <f>Table2[[#This Row],[BILL_AMT1]]-Table2[[#This Row],[PAY_AMT1]]</f>
        <v>-3161</v>
      </c>
      <c r="AD1170" s="1" t="str" cm="1">
        <f t="array" ref="AD1170">_xlfn.IFS(Table2[[#This Row],[PAYMENT GAP]]&lt;=0,"No Gap / Overpaid",Table2[[#This Row],[PAYMENT GAP]]&lt;=25000,"Low Gap",Table2[[#This Row],[PAYMENT GAP]]&lt;=100000,"Medium Gap",
TRUE,"High Gap"
)</f>
        <v>No Gap / Overpaid</v>
      </c>
    </row>
    <row r="1171" spans="1:30" x14ac:dyDescent="0.3">
      <c r="A1171">
        <v>1170</v>
      </c>
      <c r="B1171" s="1">
        <v>30000</v>
      </c>
      <c r="C1171" s="1" t="str" cm="1">
        <f t="array" ref="C1171">_xlfn.IFS(Table2[[#This Row],[LIMIT_BAL]]&lt;=100000,"Low",Table2[[#This Row],[LIMIT_BAL]]&lt;=300000,"Medium",
TRUE,"High"
)</f>
        <v>Low</v>
      </c>
      <c r="D1171" t="s">
        <v>2041</v>
      </c>
      <c r="E1171" t="s">
        <v>2027</v>
      </c>
      <c r="F1171" t="s">
        <v>2029</v>
      </c>
      <c r="G1171">
        <v>48</v>
      </c>
      <c r="H1171" t="str" cm="1">
        <f t="array" ref="H1171">_xlfn.IFS(
Table2[[#This Row],[AGE]]&lt;30,"Young",
Table2[[#This Row],[AGE]]&lt;40,"Middle Age",
Table2[[#This Row],[AGE]]&lt;50,"Senior",
TRUE,"Super Senior"
)</f>
        <v>Senior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 s="1">
        <v>1445</v>
      </c>
      <c r="P1171" s="1">
        <v>3410</v>
      </c>
      <c r="Q1171" s="1">
        <v>5338</v>
      </c>
      <c r="R1171" s="1">
        <v>7239</v>
      </c>
      <c r="S1171" s="1">
        <v>9112</v>
      </c>
      <c r="T1171" s="1">
        <v>10949</v>
      </c>
      <c r="U1171" s="1">
        <v>2000</v>
      </c>
      <c r="V1171" s="1">
        <v>2000</v>
      </c>
      <c r="W1171" s="1">
        <v>2000</v>
      </c>
      <c r="X1171" s="1">
        <v>2000</v>
      </c>
      <c r="Y1171" s="1">
        <v>2000</v>
      </c>
      <c r="Z1171" s="1">
        <v>2000</v>
      </c>
      <c r="AA1171">
        <v>0</v>
      </c>
      <c r="AB1171" t="str">
        <f t="shared" si="18"/>
        <v>Not Defaulter</v>
      </c>
      <c r="AC1171" s="1">
        <f>Table2[[#This Row],[BILL_AMT1]]-Table2[[#This Row],[PAY_AMT1]]</f>
        <v>-555</v>
      </c>
      <c r="AD1171" s="1" t="str" cm="1">
        <f t="array" ref="AD1171">_xlfn.IFS(Table2[[#This Row],[PAYMENT GAP]]&lt;=0,"No Gap / Overpaid",Table2[[#This Row],[PAYMENT GAP]]&lt;=25000,"Low Gap",Table2[[#This Row],[PAYMENT GAP]]&lt;=100000,"Medium Gap",
TRUE,"High Gap"
)</f>
        <v>No Gap / Overpaid</v>
      </c>
    </row>
    <row r="1172" spans="1:30" x14ac:dyDescent="0.3">
      <c r="A1172">
        <v>1171</v>
      </c>
      <c r="B1172" s="1">
        <v>140000</v>
      </c>
      <c r="C1172" s="1" t="str" cm="1">
        <f t="array" ref="C1172">_xlfn.IFS(Table2[[#This Row],[LIMIT_BAL]]&lt;=100000,"Low",Table2[[#This Row],[LIMIT_BAL]]&lt;=300000,"Medium",
TRUE,"High"
)</f>
        <v>Medium</v>
      </c>
      <c r="D1172" t="s">
        <v>2041</v>
      </c>
      <c r="E1172" t="s">
        <v>2026</v>
      </c>
      <c r="F1172" t="s">
        <v>2029</v>
      </c>
      <c r="G1172">
        <v>28</v>
      </c>
      <c r="H1172" t="str" cm="1">
        <f t="array" ref="H1172">_xlfn.IFS(
Table2[[#This Row],[AGE]]&lt;30,"Young",
Table2[[#This Row],[AGE]]&lt;40,"Middle Age",
Table2[[#This Row],[AGE]]&lt;50,"Senior",
TRUE,"Super Senior"
)</f>
        <v>Young</v>
      </c>
      <c r="I1172">
        <v>0</v>
      </c>
      <c r="J1172">
        <v>0</v>
      </c>
      <c r="K1172">
        <v>2</v>
      </c>
      <c r="L1172">
        <v>0</v>
      </c>
      <c r="M1172">
        <v>0</v>
      </c>
      <c r="N1172">
        <v>0</v>
      </c>
      <c r="O1172" s="1">
        <v>9305</v>
      </c>
      <c r="P1172" s="1">
        <v>13614</v>
      </c>
      <c r="Q1172" s="1">
        <v>13103</v>
      </c>
      <c r="R1172" s="1">
        <v>14077</v>
      </c>
      <c r="S1172" s="1">
        <v>15189</v>
      </c>
      <c r="T1172" s="1">
        <v>16275</v>
      </c>
      <c r="U1172" s="1">
        <v>4800</v>
      </c>
      <c r="V1172" s="1">
        <v>0</v>
      </c>
      <c r="W1172" s="1">
        <v>1500</v>
      </c>
      <c r="X1172" s="1">
        <v>1500</v>
      </c>
      <c r="Y1172" s="1">
        <v>1500</v>
      </c>
      <c r="Z1172" s="1">
        <v>1500</v>
      </c>
      <c r="AA1172">
        <v>1</v>
      </c>
      <c r="AB1172" t="str">
        <f t="shared" si="18"/>
        <v>Defaulter</v>
      </c>
      <c r="AC1172" s="1">
        <f>Table2[[#This Row],[BILL_AMT1]]-Table2[[#This Row],[PAY_AMT1]]</f>
        <v>4505</v>
      </c>
      <c r="AD1172" s="1" t="str" cm="1">
        <f t="array" ref="AD1172">_xlfn.IFS(Table2[[#This Row],[PAYMENT GAP]]&lt;=0,"No Gap / Overpaid",Table2[[#This Row],[PAYMENT GAP]]&lt;=25000,"Low Gap",Table2[[#This Row],[PAYMENT GAP]]&lt;=100000,"Medium Gap",
TRUE,"High Gap"
)</f>
        <v>Low Gap</v>
      </c>
    </row>
    <row r="1173" spans="1:30" x14ac:dyDescent="0.3">
      <c r="A1173">
        <v>1172</v>
      </c>
      <c r="B1173" s="1">
        <v>80000</v>
      </c>
      <c r="C1173" s="1" t="str" cm="1">
        <f t="array" ref="C1173">_xlfn.IFS(Table2[[#This Row],[LIMIT_BAL]]&lt;=100000,"Low",Table2[[#This Row],[LIMIT_BAL]]&lt;=300000,"Medium",
TRUE,"High"
)</f>
        <v>Low</v>
      </c>
      <c r="D1173" t="s">
        <v>2042</v>
      </c>
      <c r="E1173" t="s">
        <v>2027</v>
      </c>
      <c r="F1173" t="s">
        <v>2028</v>
      </c>
      <c r="G1173">
        <v>62</v>
      </c>
      <c r="H1173" t="str" cm="1">
        <f t="array" ref="H1173">_xlfn.IFS(
Table2[[#This Row],[AGE]]&lt;30,"Young",
Table2[[#This Row],[AGE]]&lt;40,"Middle Age",
Table2[[#This Row],[AGE]]&lt;50,"Senior",
TRUE,"Super Senior"
)</f>
        <v>Super Senior</v>
      </c>
      <c r="I1173">
        <v>-1</v>
      </c>
      <c r="J1173">
        <v>-1</v>
      </c>
      <c r="K1173">
        <v>-1</v>
      </c>
      <c r="L1173">
        <v>-1</v>
      </c>
      <c r="M1173">
        <v>-1</v>
      </c>
      <c r="N1173">
        <v>-1</v>
      </c>
      <c r="O1173" s="1">
        <v>1262</v>
      </c>
      <c r="P1173" s="1">
        <v>1642</v>
      </c>
      <c r="Q1173" s="1">
        <v>1975</v>
      </c>
      <c r="R1173" s="1">
        <v>672</v>
      </c>
      <c r="S1173" s="1">
        <v>5112</v>
      </c>
      <c r="T1173" s="1">
        <v>3932</v>
      </c>
      <c r="U1173" s="1">
        <v>1642</v>
      </c>
      <c r="V1173" s="1">
        <v>1975</v>
      </c>
      <c r="W1173" s="1">
        <v>672</v>
      </c>
      <c r="X1173" s="1">
        <v>5112</v>
      </c>
      <c r="Y1173" s="1">
        <v>3932</v>
      </c>
      <c r="Z1173" s="1">
        <v>20289</v>
      </c>
      <c r="AA1173">
        <v>0</v>
      </c>
      <c r="AB1173" t="str">
        <f t="shared" si="18"/>
        <v>Not Defaulter</v>
      </c>
      <c r="AC1173" s="1">
        <f>Table2[[#This Row],[BILL_AMT1]]-Table2[[#This Row],[PAY_AMT1]]</f>
        <v>-380</v>
      </c>
      <c r="AD1173" s="1" t="str" cm="1">
        <f t="array" ref="AD1173">_xlfn.IFS(Table2[[#This Row],[PAYMENT GAP]]&lt;=0,"No Gap / Overpaid",Table2[[#This Row],[PAYMENT GAP]]&lt;=25000,"Low Gap",Table2[[#This Row],[PAYMENT GAP]]&lt;=100000,"Medium Gap",
TRUE,"High Gap"
)</f>
        <v>No Gap / Overpaid</v>
      </c>
    </row>
    <row r="1174" spans="1:30" x14ac:dyDescent="0.3">
      <c r="A1174">
        <v>1173</v>
      </c>
      <c r="B1174" s="1">
        <v>220000</v>
      </c>
      <c r="C1174" s="1" t="str" cm="1">
        <f t="array" ref="C1174">_xlfn.IFS(Table2[[#This Row],[LIMIT_BAL]]&lt;=100000,"Low",Table2[[#This Row],[LIMIT_BAL]]&lt;=300000,"Medium",
TRUE,"High"
)</f>
        <v>Medium</v>
      </c>
      <c r="D1174" t="s">
        <v>2041</v>
      </c>
      <c r="E1174" t="s">
        <v>2027</v>
      </c>
      <c r="F1174" t="s">
        <v>2028</v>
      </c>
      <c r="G1174">
        <v>38</v>
      </c>
      <c r="H1174" t="str" cm="1">
        <f t="array" ref="H1174">_xlfn.IFS(
Table2[[#This Row],[AGE]]&lt;30,"Young",
Table2[[#This Row],[AGE]]&lt;40,"Middle Age",
Table2[[#This Row],[AGE]]&lt;50,"Senior",
TRUE,"Super Senior"
)</f>
        <v>Middle Age</v>
      </c>
      <c r="I1174">
        <v>-1</v>
      </c>
      <c r="J1174">
        <v>-1</v>
      </c>
      <c r="K1174">
        <v>-1</v>
      </c>
      <c r="L1174">
        <v>-1</v>
      </c>
      <c r="M1174">
        <v>-1</v>
      </c>
      <c r="N1174">
        <v>-1</v>
      </c>
      <c r="O1174" s="1">
        <v>20000</v>
      </c>
      <c r="P1174" s="1">
        <v>3450</v>
      </c>
      <c r="Q1174" s="1">
        <v>5516</v>
      </c>
      <c r="R1174" s="1">
        <v>47619</v>
      </c>
      <c r="S1174" s="1">
        <v>28800</v>
      </c>
      <c r="T1174" s="1">
        <v>8561</v>
      </c>
      <c r="U1174" s="1">
        <v>3450</v>
      </c>
      <c r="V1174" s="1">
        <v>5549</v>
      </c>
      <c r="W1174" s="1">
        <v>50019</v>
      </c>
      <c r="X1174" s="1">
        <v>28800</v>
      </c>
      <c r="Y1174" s="1">
        <v>8561</v>
      </c>
      <c r="Z1174" s="1">
        <v>16599</v>
      </c>
      <c r="AA1174">
        <v>0</v>
      </c>
      <c r="AB1174" t="str">
        <f t="shared" si="18"/>
        <v>Not Defaulter</v>
      </c>
      <c r="AC1174" s="1">
        <f>Table2[[#This Row],[BILL_AMT1]]-Table2[[#This Row],[PAY_AMT1]]</f>
        <v>16550</v>
      </c>
      <c r="AD1174" s="1" t="str" cm="1">
        <f t="array" ref="AD1174">_xlfn.IFS(Table2[[#This Row],[PAYMENT GAP]]&lt;=0,"No Gap / Overpaid",Table2[[#This Row],[PAYMENT GAP]]&lt;=25000,"Low Gap",Table2[[#This Row],[PAYMENT GAP]]&lt;=100000,"Medium Gap",
TRUE,"High Gap"
)</f>
        <v>Low Gap</v>
      </c>
    </row>
    <row r="1175" spans="1:30" x14ac:dyDescent="0.3">
      <c r="A1175">
        <v>1174</v>
      </c>
      <c r="B1175" s="1">
        <v>180000</v>
      </c>
      <c r="C1175" s="1" t="str" cm="1">
        <f t="array" ref="C1175">_xlfn.IFS(Table2[[#This Row],[LIMIT_BAL]]&lt;=100000,"Low",Table2[[#This Row],[LIMIT_BAL]]&lt;=300000,"Medium",
TRUE,"High"
)</f>
        <v>Medium</v>
      </c>
      <c r="D1175" t="s">
        <v>2041</v>
      </c>
      <c r="E1175" t="s">
        <v>2026</v>
      </c>
      <c r="F1175" t="s">
        <v>2029</v>
      </c>
      <c r="G1175">
        <v>32</v>
      </c>
      <c r="H1175" t="str" cm="1">
        <f t="array" ref="H1175">_xlfn.IFS(
Table2[[#This Row],[AGE]]&lt;30,"Young",
Table2[[#This Row],[AGE]]&lt;40,"Middle Age",
Table2[[#This Row],[AGE]]&lt;50,"Senior",
TRUE,"Super Senior"
)</f>
        <v>Middle Age</v>
      </c>
      <c r="I1175">
        <v>-1</v>
      </c>
      <c r="J1175">
        <v>-1</v>
      </c>
      <c r="K1175">
        <v>-1</v>
      </c>
      <c r="L1175">
        <v>-1</v>
      </c>
      <c r="M1175">
        <v>-1</v>
      </c>
      <c r="N1175">
        <v>-1</v>
      </c>
      <c r="O1175" s="1">
        <v>666</v>
      </c>
      <c r="P1175" s="1">
        <v>666</v>
      </c>
      <c r="Q1175" s="1">
        <v>666</v>
      </c>
      <c r="R1175" s="1">
        <v>666</v>
      </c>
      <c r="S1175" s="1">
        <v>666</v>
      </c>
      <c r="T1175" s="1">
        <v>666</v>
      </c>
      <c r="U1175" s="1">
        <v>666</v>
      </c>
      <c r="V1175" s="1">
        <v>666</v>
      </c>
      <c r="W1175" s="1">
        <v>666</v>
      </c>
      <c r="X1175" s="1">
        <v>666</v>
      </c>
      <c r="Y1175" s="1">
        <v>666</v>
      </c>
      <c r="Z1175" s="1">
        <v>666</v>
      </c>
      <c r="AA1175">
        <v>0</v>
      </c>
      <c r="AB1175" t="str">
        <f t="shared" si="18"/>
        <v>Not Defaulter</v>
      </c>
      <c r="AC1175" s="1">
        <f>Table2[[#This Row],[BILL_AMT1]]-Table2[[#This Row],[PAY_AMT1]]</f>
        <v>0</v>
      </c>
      <c r="AD1175" s="1" t="str" cm="1">
        <f t="array" ref="AD1175">_xlfn.IFS(Table2[[#This Row],[PAYMENT GAP]]&lt;=0,"No Gap / Overpaid",Table2[[#This Row],[PAYMENT GAP]]&lt;=25000,"Low Gap",Table2[[#This Row],[PAYMENT GAP]]&lt;=100000,"Medium Gap",
TRUE,"High Gap"
)</f>
        <v>No Gap / Overpaid</v>
      </c>
    </row>
    <row r="1176" spans="1:30" x14ac:dyDescent="0.3">
      <c r="A1176">
        <v>1175</v>
      </c>
      <c r="B1176" s="1">
        <v>140000</v>
      </c>
      <c r="C1176" s="1" t="str" cm="1">
        <f t="array" ref="C1176">_xlfn.IFS(Table2[[#This Row],[LIMIT_BAL]]&lt;=100000,"Low",Table2[[#This Row],[LIMIT_BAL]]&lt;=300000,"Medium",
TRUE,"High"
)</f>
        <v>Medium</v>
      </c>
      <c r="D1176" t="s">
        <v>2041</v>
      </c>
      <c r="E1176" t="s">
        <v>2043</v>
      </c>
      <c r="F1176" t="s">
        <v>2028</v>
      </c>
      <c r="G1176">
        <v>29</v>
      </c>
      <c r="H1176" t="str" cm="1">
        <f t="array" ref="H1176">_xlfn.IFS(
Table2[[#This Row],[AGE]]&lt;30,"Young",
Table2[[#This Row],[AGE]]&lt;40,"Middle Age",
Table2[[#This Row],[AGE]]&lt;50,"Senior",
TRUE,"Super Senior"
)</f>
        <v>Young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 s="1">
        <v>81764</v>
      </c>
      <c r="P1176" s="1">
        <v>92071</v>
      </c>
      <c r="Q1176" s="1">
        <v>43777</v>
      </c>
      <c r="R1176" s="1">
        <v>22806</v>
      </c>
      <c r="S1176" s="1">
        <v>12643</v>
      </c>
      <c r="T1176" s="1">
        <v>29707</v>
      </c>
      <c r="U1176" s="1">
        <v>20167</v>
      </c>
      <c r="V1176" s="1">
        <v>5000</v>
      </c>
      <c r="W1176" s="1">
        <v>28800</v>
      </c>
      <c r="X1176" s="1">
        <v>2000</v>
      </c>
      <c r="Y1176" s="1">
        <v>20007</v>
      </c>
      <c r="Z1176" s="1">
        <v>10009</v>
      </c>
      <c r="AA1176">
        <v>1</v>
      </c>
      <c r="AB1176" t="str">
        <f t="shared" si="18"/>
        <v>Defaulter</v>
      </c>
      <c r="AC1176" s="1">
        <f>Table2[[#This Row],[BILL_AMT1]]-Table2[[#This Row],[PAY_AMT1]]</f>
        <v>61597</v>
      </c>
      <c r="AD1176" s="1" t="str" cm="1">
        <f t="array" ref="AD1176">_xlfn.IFS(Table2[[#This Row],[PAYMENT GAP]]&lt;=0,"No Gap / Overpaid",Table2[[#This Row],[PAYMENT GAP]]&lt;=25000,"Low Gap",Table2[[#This Row],[PAYMENT GAP]]&lt;=100000,"Medium Gap",
TRUE,"High Gap"
)</f>
        <v>Medium Gap</v>
      </c>
    </row>
    <row r="1177" spans="1:30" x14ac:dyDescent="0.3">
      <c r="A1177">
        <v>1176</v>
      </c>
      <c r="B1177" s="1">
        <v>180000</v>
      </c>
      <c r="C1177" s="1" t="str" cm="1">
        <f t="array" ref="C1177">_xlfn.IFS(Table2[[#This Row],[LIMIT_BAL]]&lt;=100000,"Low",Table2[[#This Row],[LIMIT_BAL]]&lt;=300000,"Medium",
TRUE,"High"
)</f>
        <v>Medium</v>
      </c>
      <c r="D1177" t="s">
        <v>2042</v>
      </c>
      <c r="E1177" t="s">
        <v>2043</v>
      </c>
      <c r="F1177" t="s">
        <v>2029</v>
      </c>
      <c r="G1177">
        <v>25</v>
      </c>
      <c r="H1177" t="str" cm="1">
        <f t="array" ref="H1177">_xlfn.IFS(
Table2[[#This Row],[AGE]]&lt;30,"Young",
Table2[[#This Row],[AGE]]&lt;40,"Middle Age",
Table2[[#This Row],[AGE]]&lt;50,"Senior",
TRUE,"Super Senior"
)</f>
        <v>Young</v>
      </c>
      <c r="I1177">
        <v>2</v>
      </c>
      <c r="J1177">
        <v>2</v>
      </c>
      <c r="K1177">
        <v>2</v>
      </c>
      <c r="L1177">
        <v>0</v>
      </c>
      <c r="M1177">
        <v>0</v>
      </c>
      <c r="N1177">
        <v>0</v>
      </c>
      <c r="O1177" s="1">
        <v>10022</v>
      </c>
      <c r="P1177" s="1">
        <v>12847</v>
      </c>
      <c r="Q1177" s="1">
        <v>12351</v>
      </c>
      <c r="R1177" s="1">
        <v>12350</v>
      </c>
      <c r="S1177" s="1">
        <v>12608</v>
      </c>
      <c r="T1177" s="1">
        <v>12892</v>
      </c>
      <c r="U1177" s="1">
        <v>3000</v>
      </c>
      <c r="V1177" s="1">
        <v>0</v>
      </c>
      <c r="W1177" s="1">
        <v>500</v>
      </c>
      <c r="X1177" s="1">
        <v>455</v>
      </c>
      <c r="Y1177" s="1">
        <v>491</v>
      </c>
      <c r="Z1177" s="1">
        <v>500</v>
      </c>
      <c r="AA1177">
        <v>1</v>
      </c>
      <c r="AB1177" t="str">
        <f t="shared" si="18"/>
        <v>Defaulter</v>
      </c>
      <c r="AC1177" s="1">
        <f>Table2[[#This Row],[BILL_AMT1]]-Table2[[#This Row],[PAY_AMT1]]</f>
        <v>7022</v>
      </c>
      <c r="AD1177" s="1" t="str" cm="1">
        <f t="array" ref="AD1177">_xlfn.IFS(Table2[[#This Row],[PAYMENT GAP]]&lt;=0,"No Gap / Overpaid",Table2[[#This Row],[PAYMENT GAP]]&lt;=25000,"Low Gap",Table2[[#This Row],[PAYMENT GAP]]&lt;=100000,"Medium Gap",
TRUE,"High Gap"
)</f>
        <v>Low Gap</v>
      </c>
    </row>
    <row r="1178" spans="1:30" x14ac:dyDescent="0.3">
      <c r="A1178">
        <v>1177</v>
      </c>
      <c r="B1178" s="1">
        <v>50000</v>
      </c>
      <c r="C1178" s="1" t="str" cm="1">
        <f t="array" ref="C1178">_xlfn.IFS(Table2[[#This Row],[LIMIT_BAL]]&lt;=100000,"Low",Table2[[#This Row],[LIMIT_BAL]]&lt;=300000,"Medium",
TRUE,"High"
)</f>
        <v>Low</v>
      </c>
      <c r="D1178" t="s">
        <v>2041</v>
      </c>
      <c r="E1178" t="s">
        <v>2043</v>
      </c>
      <c r="F1178" t="s">
        <v>2029</v>
      </c>
      <c r="G1178">
        <v>35</v>
      </c>
      <c r="H1178" t="str" cm="1">
        <f t="array" ref="H1178">_xlfn.IFS(
Table2[[#This Row],[AGE]]&lt;30,"Young",
Table2[[#This Row],[AGE]]&lt;40,"Middle Age",
Table2[[#This Row],[AGE]]&lt;50,"Senior",
TRUE,"Super Senior"
)</f>
        <v>Middle Age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 s="1">
        <v>14536</v>
      </c>
      <c r="P1178" s="1">
        <v>15694</v>
      </c>
      <c r="Q1178" s="1">
        <v>16431</v>
      </c>
      <c r="R1178" s="1">
        <v>17056</v>
      </c>
      <c r="S1178" s="1">
        <v>17581</v>
      </c>
      <c r="T1178" s="1">
        <v>18089</v>
      </c>
      <c r="U1178" s="1">
        <v>1700</v>
      </c>
      <c r="V1178" s="1">
        <v>1300</v>
      </c>
      <c r="W1178" s="1">
        <v>900</v>
      </c>
      <c r="X1178" s="1">
        <v>800</v>
      </c>
      <c r="Y1178" s="1">
        <v>800</v>
      </c>
      <c r="Z1178" s="1">
        <v>900</v>
      </c>
      <c r="AA1178">
        <v>0</v>
      </c>
      <c r="AB1178" t="str">
        <f t="shared" si="18"/>
        <v>Not Defaulter</v>
      </c>
      <c r="AC1178" s="1">
        <f>Table2[[#This Row],[BILL_AMT1]]-Table2[[#This Row],[PAY_AMT1]]</f>
        <v>12836</v>
      </c>
      <c r="AD1178" s="1" t="str" cm="1">
        <f t="array" ref="AD1178">_xlfn.IFS(Table2[[#This Row],[PAYMENT GAP]]&lt;=0,"No Gap / Overpaid",Table2[[#This Row],[PAYMENT GAP]]&lt;=25000,"Low Gap",Table2[[#This Row],[PAYMENT GAP]]&lt;=100000,"Medium Gap",
TRUE,"High Gap"
)</f>
        <v>Low Gap</v>
      </c>
    </row>
    <row r="1179" spans="1:30" x14ac:dyDescent="0.3">
      <c r="A1179">
        <v>1178</v>
      </c>
      <c r="B1179" s="1">
        <v>170000</v>
      </c>
      <c r="C1179" s="1" t="str" cm="1">
        <f t="array" ref="C1179">_xlfn.IFS(Table2[[#This Row],[LIMIT_BAL]]&lt;=100000,"Low",Table2[[#This Row],[LIMIT_BAL]]&lt;=300000,"Medium",
TRUE,"High"
)</f>
        <v>Medium</v>
      </c>
      <c r="D1179" t="s">
        <v>2041</v>
      </c>
      <c r="E1179" t="s">
        <v>2043</v>
      </c>
      <c r="F1179" t="s">
        <v>2029</v>
      </c>
      <c r="G1179">
        <v>27</v>
      </c>
      <c r="H1179" t="str" cm="1">
        <f t="array" ref="H1179">_xlfn.IFS(
Table2[[#This Row],[AGE]]&lt;30,"Young",
Table2[[#This Row],[AGE]]&lt;40,"Middle Age",
Table2[[#This Row],[AGE]]&lt;50,"Senior",
TRUE,"Super Senior"
)</f>
        <v>Young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 s="1">
        <v>97474</v>
      </c>
      <c r="P1179" s="1">
        <v>78520</v>
      </c>
      <c r="Q1179" s="1">
        <v>80131</v>
      </c>
      <c r="R1179" s="1">
        <v>70788</v>
      </c>
      <c r="S1179" s="1">
        <v>68927</v>
      </c>
      <c r="T1179" s="1">
        <v>70678</v>
      </c>
      <c r="U1179" s="1">
        <v>2932</v>
      </c>
      <c r="V1179" s="1">
        <v>3000</v>
      </c>
      <c r="W1179" s="1">
        <v>2500</v>
      </c>
      <c r="X1179" s="1">
        <v>3000</v>
      </c>
      <c r="Y1179" s="1">
        <v>2900</v>
      </c>
      <c r="Z1179" s="1">
        <v>2918</v>
      </c>
      <c r="AA1179">
        <v>0</v>
      </c>
      <c r="AB1179" t="str">
        <f t="shared" si="18"/>
        <v>Not Defaulter</v>
      </c>
      <c r="AC1179" s="1">
        <f>Table2[[#This Row],[BILL_AMT1]]-Table2[[#This Row],[PAY_AMT1]]</f>
        <v>94542</v>
      </c>
      <c r="AD1179" s="1" t="str" cm="1">
        <f t="array" ref="AD1179">_xlfn.IFS(Table2[[#This Row],[PAYMENT GAP]]&lt;=0,"No Gap / Overpaid",Table2[[#This Row],[PAYMENT GAP]]&lt;=25000,"Low Gap",Table2[[#This Row],[PAYMENT GAP]]&lt;=100000,"Medium Gap",
TRUE,"High Gap"
)</f>
        <v>Medium Gap</v>
      </c>
    </row>
    <row r="1180" spans="1:30" x14ac:dyDescent="0.3">
      <c r="A1180">
        <v>1179</v>
      </c>
      <c r="B1180" s="1">
        <v>50000</v>
      </c>
      <c r="C1180" s="1" t="str" cm="1">
        <f t="array" ref="C1180">_xlfn.IFS(Table2[[#This Row],[LIMIT_BAL]]&lt;=100000,"Low",Table2[[#This Row],[LIMIT_BAL]]&lt;=300000,"Medium",
TRUE,"High"
)</f>
        <v>Low</v>
      </c>
      <c r="D1180" t="s">
        <v>2042</v>
      </c>
      <c r="E1180" t="s">
        <v>2043</v>
      </c>
      <c r="F1180" t="s">
        <v>2029</v>
      </c>
      <c r="G1180">
        <v>38</v>
      </c>
      <c r="H1180" t="str" cm="1">
        <f t="array" ref="H1180">_xlfn.IFS(
Table2[[#This Row],[AGE]]&lt;30,"Young",
Table2[[#This Row],[AGE]]&lt;40,"Middle Age",
Table2[[#This Row],[AGE]]&lt;50,"Senior",
TRUE,"Super Senior"
)</f>
        <v>Middle Age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 s="1">
        <v>50958</v>
      </c>
      <c r="P1180" s="1">
        <v>50889</v>
      </c>
      <c r="Q1180" s="1">
        <v>49697</v>
      </c>
      <c r="R1180" s="1">
        <v>9176</v>
      </c>
      <c r="S1180" s="1">
        <v>9368</v>
      </c>
      <c r="T1180" s="1">
        <v>9554</v>
      </c>
      <c r="U1180" s="1">
        <v>2042</v>
      </c>
      <c r="V1180" s="1">
        <v>1150</v>
      </c>
      <c r="W1180" s="1">
        <v>329</v>
      </c>
      <c r="X1180" s="1">
        <v>340</v>
      </c>
      <c r="Y1180" s="1">
        <v>342</v>
      </c>
      <c r="Z1180" s="1">
        <v>354</v>
      </c>
      <c r="AA1180">
        <v>0</v>
      </c>
      <c r="AB1180" t="str">
        <f t="shared" si="18"/>
        <v>Not Defaulter</v>
      </c>
      <c r="AC1180" s="1">
        <f>Table2[[#This Row],[BILL_AMT1]]-Table2[[#This Row],[PAY_AMT1]]</f>
        <v>48916</v>
      </c>
      <c r="AD1180" s="1" t="str" cm="1">
        <f t="array" ref="AD1180">_xlfn.IFS(Table2[[#This Row],[PAYMENT GAP]]&lt;=0,"No Gap / Overpaid",Table2[[#This Row],[PAYMENT GAP]]&lt;=25000,"Low Gap",Table2[[#This Row],[PAYMENT GAP]]&lt;=100000,"Medium Gap",
TRUE,"High Gap"
)</f>
        <v>Medium Gap</v>
      </c>
    </row>
    <row r="1181" spans="1:30" x14ac:dyDescent="0.3">
      <c r="A1181">
        <v>1180</v>
      </c>
      <c r="B1181" s="1">
        <v>50000</v>
      </c>
      <c r="C1181" s="1" t="str" cm="1">
        <f t="array" ref="C1181">_xlfn.IFS(Table2[[#This Row],[LIMIT_BAL]]&lt;=100000,"Low",Table2[[#This Row],[LIMIT_BAL]]&lt;=300000,"Medium",
TRUE,"High"
)</f>
        <v>Low</v>
      </c>
      <c r="D1181" t="s">
        <v>2042</v>
      </c>
      <c r="E1181" t="s">
        <v>2043</v>
      </c>
      <c r="F1181" t="s">
        <v>2029</v>
      </c>
      <c r="G1181">
        <v>24</v>
      </c>
      <c r="H1181" t="str" cm="1">
        <f t="array" ref="H1181">_xlfn.IFS(
Table2[[#This Row],[AGE]]&lt;30,"Young",
Table2[[#This Row],[AGE]]&lt;40,"Middle Age",
Table2[[#This Row],[AGE]]&lt;50,"Senior",
TRUE,"Super Senior"
)</f>
        <v>Young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 s="1">
        <v>49144</v>
      </c>
      <c r="P1181" s="1">
        <v>20818</v>
      </c>
      <c r="Q1181" s="1">
        <v>17890</v>
      </c>
      <c r="R1181" s="1">
        <v>18310</v>
      </c>
      <c r="S1181" s="1">
        <v>17931</v>
      </c>
      <c r="T1181" s="1">
        <v>18633</v>
      </c>
      <c r="U1181" s="1">
        <v>1500</v>
      </c>
      <c r="V1181" s="1">
        <v>1300</v>
      </c>
      <c r="W1181" s="1">
        <v>700</v>
      </c>
      <c r="X1181" s="1">
        <v>1000</v>
      </c>
      <c r="Y1181" s="1">
        <v>1000</v>
      </c>
      <c r="Z1181" s="1">
        <v>1000</v>
      </c>
      <c r="AA1181">
        <v>0</v>
      </c>
      <c r="AB1181" t="str">
        <f t="shared" si="18"/>
        <v>Not Defaulter</v>
      </c>
      <c r="AC1181" s="1">
        <f>Table2[[#This Row],[BILL_AMT1]]-Table2[[#This Row],[PAY_AMT1]]</f>
        <v>47644</v>
      </c>
      <c r="AD1181" s="1" t="str" cm="1">
        <f t="array" ref="AD1181">_xlfn.IFS(Table2[[#This Row],[PAYMENT GAP]]&lt;=0,"No Gap / Overpaid",Table2[[#This Row],[PAYMENT GAP]]&lt;=25000,"Low Gap",Table2[[#This Row],[PAYMENT GAP]]&lt;=100000,"Medium Gap",
TRUE,"High Gap"
)</f>
        <v>Medium Gap</v>
      </c>
    </row>
    <row r="1182" spans="1:30" x14ac:dyDescent="0.3">
      <c r="A1182">
        <v>1181</v>
      </c>
      <c r="B1182" s="1">
        <v>300000</v>
      </c>
      <c r="C1182" s="1" t="str" cm="1">
        <f t="array" ref="C1182">_xlfn.IFS(Table2[[#This Row],[LIMIT_BAL]]&lt;=100000,"Low",Table2[[#This Row],[LIMIT_BAL]]&lt;=300000,"Medium",
TRUE,"High"
)</f>
        <v>Medium</v>
      </c>
      <c r="D1182" t="s">
        <v>2042</v>
      </c>
      <c r="E1182" t="s">
        <v>2043</v>
      </c>
      <c r="F1182" t="s">
        <v>2028</v>
      </c>
      <c r="G1182">
        <v>29</v>
      </c>
      <c r="H1182" t="str" cm="1">
        <f t="array" ref="H1182">_xlfn.IFS(
Table2[[#This Row],[AGE]]&lt;30,"Young",
Table2[[#This Row],[AGE]]&lt;40,"Middle Age",
Table2[[#This Row],[AGE]]&lt;50,"Senior",
TRUE,"Super Senior"
)</f>
        <v>Young</v>
      </c>
      <c r="I1182">
        <v>-1</v>
      </c>
      <c r="J1182">
        <v>-1</v>
      </c>
      <c r="K1182">
        <v>-2</v>
      </c>
      <c r="L1182">
        <v>-2</v>
      </c>
      <c r="M1182">
        <v>-2</v>
      </c>
      <c r="N1182">
        <v>-2</v>
      </c>
      <c r="O1182" s="1">
        <v>1874</v>
      </c>
      <c r="P1182" s="1">
        <v>-200</v>
      </c>
      <c r="Q1182" s="1">
        <v>-200</v>
      </c>
      <c r="R1182" s="1">
        <v>-200</v>
      </c>
      <c r="S1182" s="1">
        <v>-200</v>
      </c>
      <c r="T1182" s="1">
        <v>-200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>
        <v>0</v>
      </c>
      <c r="AB1182" t="str">
        <f t="shared" si="18"/>
        <v>Not Defaulter</v>
      </c>
      <c r="AC1182" s="1">
        <f>Table2[[#This Row],[BILL_AMT1]]-Table2[[#This Row],[PAY_AMT1]]</f>
        <v>1874</v>
      </c>
      <c r="AD1182" s="1" t="str" cm="1">
        <f t="array" ref="AD1182">_xlfn.IFS(Table2[[#This Row],[PAYMENT GAP]]&lt;=0,"No Gap / Overpaid",Table2[[#This Row],[PAYMENT GAP]]&lt;=25000,"Low Gap",Table2[[#This Row],[PAYMENT GAP]]&lt;=100000,"Medium Gap",
TRUE,"High Gap"
)</f>
        <v>Low Gap</v>
      </c>
    </row>
    <row r="1183" spans="1:30" x14ac:dyDescent="0.3">
      <c r="A1183">
        <v>1182</v>
      </c>
      <c r="B1183" s="1">
        <v>390000</v>
      </c>
      <c r="C1183" s="1" t="str" cm="1">
        <f t="array" ref="C1183">_xlfn.IFS(Table2[[#This Row],[LIMIT_BAL]]&lt;=100000,"Low",Table2[[#This Row],[LIMIT_BAL]]&lt;=300000,"Medium",
TRUE,"High"
)</f>
        <v>High</v>
      </c>
      <c r="D1183" t="s">
        <v>2041</v>
      </c>
      <c r="E1183" t="s">
        <v>2026</v>
      </c>
      <c r="F1183" t="s">
        <v>2029</v>
      </c>
      <c r="G1183">
        <v>27</v>
      </c>
      <c r="H1183" t="str" cm="1">
        <f t="array" ref="H1183">_xlfn.IFS(
Table2[[#This Row],[AGE]]&lt;30,"Young",
Table2[[#This Row],[AGE]]&lt;40,"Middle Age",
Table2[[#This Row],[AGE]]&lt;50,"Senior",
TRUE,"Super Senior"
)</f>
        <v>Young</v>
      </c>
      <c r="I1183">
        <v>2</v>
      </c>
      <c r="J1183">
        <v>0</v>
      </c>
      <c r="K1183">
        <v>0</v>
      </c>
      <c r="L1183">
        <v>0</v>
      </c>
      <c r="M1183">
        <v>0</v>
      </c>
      <c r="N1183">
        <v>0</v>
      </c>
      <c r="O1183" s="1">
        <v>386301</v>
      </c>
      <c r="P1183" s="1">
        <v>392458</v>
      </c>
      <c r="Q1183" s="1">
        <v>290201</v>
      </c>
      <c r="R1183" s="1">
        <v>295606</v>
      </c>
      <c r="S1183" s="1">
        <v>300709</v>
      </c>
      <c r="T1183" s="1">
        <v>305904</v>
      </c>
      <c r="U1183" s="1">
        <v>17000</v>
      </c>
      <c r="V1183" s="1">
        <v>11000</v>
      </c>
      <c r="W1183" s="1">
        <v>11000</v>
      </c>
      <c r="X1183" s="1">
        <v>10656</v>
      </c>
      <c r="Y1183" s="1">
        <v>11000</v>
      </c>
      <c r="Z1183" s="1">
        <v>12000</v>
      </c>
      <c r="AA1183">
        <v>0</v>
      </c>
      <c r="AB1183" t="str">
        <f t="shared" si="18"/>
        <v>Not Defaulter</v>
      </c>
      <c r="AC1183" s="1">
        <f>Table2[[#This Row],[BILL_AMT1]]-Table2[[#This Row],[PAY_AMT1]]</f>
        <v>369301</v>
      </c>
      <c r="AD1183" s="1" t="str" cm="1">
        <f t="array" ref="AD1183">_xlfn.IFS(Table2[[#This Row],[PAYMENT GAP]]&lt;=0,"No Gap / Overpaid",Table2[[#This Row],[PAYMENT GAP]]&lt;=25000,"Low Gap",Table2[[#This Row],[PAYMENT GAP]]&lt;=100000,"Medium Gap",
TRUE,"High Gap"
)</f>
        <v>High Gap</v>
      </c>
    </row>
    <row r="1184" spans="1:30" x14ac:dyDescent="0.3">
      <c r="A1184">
        <v>1183</v>
      </c>
      <c r="B1184" s="1">
        <v>90000</v>
      </c>
      <c r="C1184" s="1" t="str" cm="1">
        <f t="array" ref="C1184">_xlfn.IFS(Table2[[#This Row],[LIMIT_BAL]]&lt;=100000,"Low",Table2[[#This Row],[LIMIT_BAL]]&lt;=300000,"Medium",
TRUE,"High"
)</f>
        <v>Low</v>
      </c>
      <c r="D1184" t="s">
        <v>2041</v>
      </c>
      <c r="E1184" t="s">
        <v>2043</v>
      </c>
      <c r="F1184" t="s">
        <v>2028</v>
      </c>
      <c r="G1184">
        <v>55</v>
      </c>
      <c r="H1184" t="str" cm="1">
        <f t="array" ref="H1184">_xlfn.IFS(
Table2[[#This Row],[AGE]]&lt;30,"Young",
Table2[[#This Row],[AGE]]&lt;40,"Middle Age",
Table2[[#This Row],[AGE]]&lt;50,"Senior",
TRUE,"Super Senior"
)</f>
        <v>Super Senior</v>
      </c>
      <c r="I1184">
        <v>2</v>
      </c>
      <c r="J1184">
        <v>2</v>
      </c>
      <c r="K1184">
        <v>0</v>
      </c>
      <c r="L1184">
        <v>0</v>
      </c>
      <c r="M1184">
        <v>0</v>
      </c>
      <c r="N1184">
        <v>0</v>
      </c>
      <c r="O1184" s="1">
        <v>81998</v>
      </c>
      <c r="P1184" s="1">
        <v>83674</v>
      </c>
      <c r="Q1184" s="1">
        <v>80890</v>
      </c>
      <c r="R1184" s="1">
        <v>31565</v>
      </c>
      <c r="S1184" s="1">
        <v>33049</v>
      </c>
      <c r="T1184" s="1">
        <v>22694</v>
      </c>
      <c r="U1184" s="1">
        <v>4003</v>
      </c>
      <c r="V1184" s="1">
        <v>3000</v>
      </c>
      <c r="W1184" s="1">
        <v>3000</v>
      </c>
      <c r="X1184" s="1">
        <v>3000</v>
      </c>
      <c r="Y1184" s="1">
        <v>2000</v>
      </c>
      <c r="Z1184" s="1">
        <v>2000</v>
      </c>
      <c r="AA1184">
        <v>1</v>
      </c>
      <c r="AB1184" t="str">
        <f t="shared" si="18"/>
        <v>Defaulter</v>
      </c>
      <c r="AC1184" s="1">
        <f>Table2[[#This Row],[BILL_AMT1]]-Table2[[#This Row],[PAY_AMT1]]</f>
        <v>77995</v>
      </c>
      <c r="AD1184" s="1" t="str" cm="1">
        <f t="array" ref="AD1184">_xlfn.IFS(Table2[[#This Row],[PAYMENT GAP]]&lt;=0,"No Gap / Overpaid",Table2[[#This Row],[PAYMENT GAP]]&lt;=25000,"Low Gap",Table2[[#This Row],[PAYMENT GAP]]&lt;=100000,"Medium Gap",
TRUE,"High Gap"
)</f>
        <v>Medium Gap</v>
      </c>
    </row>
    <row r="1185" spans="1:30" x14ac:dyDescent="0.3">
      <c r="A1185">
        <v>1184</v>
      </c>
      <c r="B1185" s="1">
        <v>200000</v>
      </c>
      <c r="C1185" s="1" t="str" cm="1">
        <f t="array" ref="C1185">_xlfn.IFS(Table2[[#This Row],[LIMIT_BAL]]&lt;=100000,"Low",Table2[[#This Row],[LIMIT_BAL]]&lt;=300000,"Medium",
TRUE,"High"
)</f>
        <v>Medium</v>
      </c>
      <c r="D1185" t="s">
        <v>2041</v>
      </c>
      <c r="E1185" t="s">
        <v>2026</v>
      </c>
      <c r="F1185" t="s">
        <v>2029</v>
      </c>
      <c r="G1185">
        <v>29</v>
      </c>
      <c r="H1185" t="str" cm="1">
        <f t="array" ref="H1185">_xlfn.IFS(
Table2[[#This Row],[AGE]]&lt;30,"Young",
Table2[[#This Row],[AGE]]&lt;40,"Middle Age",
Table2[[#This Row],[AGE]]&lt;50,"Senior",
TRUE,"Super Senior"
)</f>
        <v>Young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 s="1">
        <v>194241</v>
      </c>
      <c r="P1185" s="1">
        <v>193425</v>
      </c>
      <c r="Q1185" s="1">
        <v>196537</v>
      </c>
      <c r="R1185" s="1">
        <v>195268</v>
      </c>
      <c r="S1185" s="1">
        <v>192829</v>
      </c>
      <c r="T1185" s="1">
        <v>192499</v>
      </c>
      <c r="U1185" s="1">
        <v>12000</v>
      </c>
      <c r="V1185" s="1">
        <v>8500</v>
      </c>
      <c r="W1185" s="1">
        <v>7000</v>
      </c>
      <c r="X1185" s="1">
        <v>10000</v>
      </c>
      <c r="Y1185" s="1">
        <v>10000</v>
      </c>
      <c r="Z1185" s="1">
        <v>10000</v>
      </c>
      <c r="AA1185">
        <v>0</v>
      </c>
      <c r="AB1185" t="str">
        <f t="shared" si="18"/>
        <v>Not Defaulter</v>
      </c>
      <c r="AC1185" s="1">
        <f>Table2[[#This Row],[BILL_AMT1]]-Table2[[#This Row],[PAY_AMT1]]</f>
        <v>182241</v>
      </c>
      <c r="AD1185" s="1" t="str" cm="1">
        <f t="array" ref="AD1185">_xlfn.IFS(Table2[[#This Row],[PAYMENT GAP]]&lt;=0,"No Gap / Overpaid",Table2[[#This Row],[PAYMENT GAP]]&lt;=25000,"Low Gap",Table2[[#This Row],[PAYMENT GAP]]&lt;=100000,"Medium Gap",
TRUE,"High Gap"
)</f>
        <v>High Gap</v>
      </c>
    </row>
    <row r="1186" spans="1:30" x14ac:dyDescent="0.3">
      <c r="A1186">
        <v>1185</v>
      </c>
      <c r="B1186" s="1">
        <v>460000</v>
      </c>
      <c r="C1186" s="1" t="str" cm="1">
        <f t="array" ref="C1186">_xlfn.IFS(Table2[[#This Row],[LIMIT_BAL]]&lt;=100000,"Low",Table2[[#This Row],[LIMIT_BAL]]&lt;=300000,"Medium",
TRUE,"High"
)</f>
        <v>High</v>
      </c>
      <c r="D1186" t="s">
        <v>2042</v>
      </c>
      <c r="E1186" t="s">
        <v>2026</v>
      </c>
      <c r="F1186" t="s">
        <v>2029</v>
      </c>
      <c r="G1186">
        <v>29</v>
      </c>
      <c r="H1186" t="str" cm="1">
        <f t="array" ref="H1186">_xlfn.IFS(
Table2[[#This Row],[AGE]]&lt;30,"Young",
Table2[[#This Row],[AGE]]&lt;40,"Middle Age",
Table2[[#This Row],[AGE]]&lt;50,"Senior",
TRUE,"Super Senior"
)</f>
        <v>Young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 s="1">
        <v>410033</v>
      </c>
      <c r="P1186" s="1">
        <v>385394</v>
      </c>
      <c r="Q1186" s="1">
        <v>325663</v>
      </c>
      <c r="R1186" s="1">
        <v>324067</v>
      </c>
      <c r="S1186" s="1">
        <v>324749</v>
      </c>
      <c r="T1186" s="1">
        <v>327929</v>
      </c>
      <c r="U1186" s="1">
        <v>16088</v>
      </c>
      <c r="V1186" s="1">
        <v>13039</v>
      </c>
      <c r="W1186" s="1">
        <v>11127</v>
      </c>
      <c r="X1186" s="1">
        <v>11017</v>
      </c>
      <c r="Y1186" s="1">
        <v>11110</v>
      </c>
      <c r="Z1186" s="1">
        <v>11113</v>
      </c>
      <c r="AA1186">
        <v>0</v>
      </c>
      <c r="AB1186" t="str">
        <f t="shared" si="18"/>
        <v>Not Defaulter</v>
      </c>
      <c r="AC1186" s="1">
        <f>Table2[[#This Row],[BILL_AMT1]]-Table2[[#This Row],[PAY_AMT1]]</f>
        <v>393945</v>
      </c>
      <c r="AD1186" s="1" t="str" cm="1">
        <f t="array" ref="AD1186">_xlfn.IFS(Table2[[#This Row],[PAYMENT GAP]]&lt;=0,"No Gap / Overpaid",Table2[[#This Row],[PAYMENT GAP]]&lt;=25000,"Low Gap",Table2[[#This Row],[PAYMENT GAP]]&lt;=100000,"Medium Gap",
TRUE,"High Gap"
)</f>
        <v>High Gap</v>
      </c>
    </row>
    <row r="1187" spans="1:30" x14ac:dyDescent="0.3">
      <c r="A1187">
        <v>1186</v>
      </c>
      <c r="B1187" s="1">
        <v>10000</v>
      </c>
      <c r="C1187" s="1" t="str" cm="1">
        <f t="array" ref="C1187">_xlfn.IFS(Table2[[#This Row],[LIMIT_BAL]]&lt;=100000,"Low",Table2[[#This Row],[LIMIT_BAL]]&lt;=300000,"Medium",
TRUE,"High"
)</f>
        <v>Low</v>
      </c>
      <c r="D1187" t="s">
        <v>2042</v>
      </c>
      <c r="E1187" t="s">
        <v>2043</v>
      </c>
      <c r="F1187" t="s">
        <v>2029</v>
      </c>
      <c r="G1187">
        <v>23</v>
      </c>
      <c r="H1187" t="str" cm="1">
        <f t="array" ref="H1187">_xlfn.IFS(
Table2[[#This Row],[AGE]]&lt;30,"Young",
Table2[[#This Row],[AGE]]&lt;40,"Middle Age",
Table2[[#This Row],[AGE]]&lt;50,"Senior",
TRUE,"Super Senior"
)</f>
        <v>Young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-2</v>
      </c>
      <c r="O1187" s="1">
        <v>3714</v>
      </c>
      <c r="P1187" s="1">
        <v>4158</v>
      </c>
      <c r="Q1187" s="1">
        <v>4654</v>
      </c>
      <c r="R1187" s="1">
        <v>3080</v>
      </c>
      <c r="S1187" s="1">
        <v>0</v>
      </c>
      <c r="T1187" s="1">
        <v>0</v>
      </c>
      <c r="U1187" s="1">
        <v>1104</v>
      </c>
      <c r="V1187" s="1">
        <v>1000</v>
      </c>
      <c r="W1187" s="1">
        <v>31</v>
      </c>
      <c r="X1187" s="1">
        <v>0</v>
      </c>
      <c r="Y1187" s="1">
        <v>0</v>
      </c>
      <c r="Z1187" s="1">
        <v>0</v>
      </c>
      <c r="AA1187">
        <v>0</v>
      </c>
      <c r="AB1187" t="str">
        <f t="shared" si="18"/>
        <v>Not Defaulter</v>
      </c>
      <c r="AC1187" s="1">
        <f>Table2[[#This Row],[BILL_AMT1]]-Table2[[#This Row],[PAY_AMT1]]</f>
        <v>2610</v>
      </c>
      <c r="AD1187" s="1" t="str" cm="1">
        <f t="array" ref="AD1187">_xlfn.IFS(Table2[[#This Row],[PAYMENT GAP]]&lt;=0,"No Gap / Overpaid",Table2[[#This Row],[PAYMENT GAP]]&lt;=25000,"Low Gap",Table2[[#This Row],[PAYMENT GAP]]&lt;=100000,"Medium Gap",
TRUE,"High Gap"
)</f>
        <v>Low Gap</v>
      </c>
    </row>
    <row r="1188" spans="1:30" x14ac:dyDescent="0.3">
      <c r="A1188">
        <v>1187</v>
      </c>
      <c r="B1188" s="1">
        <v>20000</v>
      </c>
      <c r="C1188" s="1" t="str" cm="1">
        <f t="array" ref="C1188">_xlfn.IFS(Table2[[#This Row],[LIMIT_BAL]]&lt;=100000,"Low",Table2[[#This Row],[LIMIT_BAL]]&lt;=300000,"Medium",
TRUE,"High"
)</f>
        <v>Low</v>
      </c>
      <c r="D1188" t="s">
        <v>2042</v>
      </c>
      <c r="E1188" t="s">
        <v>2043</v>
      </c>
      <c r="F1188" t="s">
        <v>2028</v>
      </c>
      <c r="G1188">
        <v>30</v>
      </c>
      <c r="H1188" t="str" cm="1">
        <f t="array" ref="H1188">_xlfn.IFS(
Table2[[#This Row],[AGE]]&lt;30,"Young",
Table2[[#This Row],[AGE]]&lt;40,"Middle Age",
Table2[[#This Row],[AGE]]&lt;50,"Senior",
TRUE,"Super Senior"
)</f>
        <v>Middle Age</v>
      </c>
      <c r="I1188">
        <v>-1</v>
      </c>
      <c r="J1188">
        <v>-1</v>
      </c>
      <c r="K1188">
        <v>0</v>
      </c>
      <c r="L1188">
        <v>0</v>
      </c>
      <c r="M1188">
        <v>-1</v>
      </c>
      <c r="N1188">
        <v>-1</v>
      </c>
      <c r="O1188" s="1">
        <v>1261</v>
      </c>
      <c r="P1188" s="1">
        <v>2835</v>
      </c>
      <c r="Q1188" s="1">
        <v>2522</v>
      </c>
      <c r="R1188" s="1">
        <v>1261</v>
      </c>
      <c r="S1188" s="1">
        <v>1261</v>
      </c>
      <c r="T1188" s="1">
        <v>930</v>
      </c>
      <c r="U1188" s="1">
        <v>2835</v>
      </c>
      <c r="V1188" s="1">
        <v>1000</v>
      </c>
      <c r="W1188" s="1">
        <v>0</v>
      </c>
      <c r="X1188" s="1">
        <v>1261</v>
      </c>
      <c r="Y1188" s="1">
        <v>930</v>
      </c>
      <c r="Z1188" s="1">
        <v>540</v>
      </c>
      <c r="AA1188">
        <v>1</v>
      </c>
      <c r="AB1188" t="str">
        <f t="shared" si="18"/>
        <v>Defaulter</v>
      </c>
      <c r="AC1188" s="1">
        <f>Table2[[#This Row],[BILL_AMT1]]-Table2[[#This Row],[PAY_AMT1]]</f>
        <v>-1574</v>
      </c>
      <c r="AD1188" s="1" t="str" cm="1">
        <f t="array" ref="AD1188">_xlfn.IFS(Table2[[#This Row],[PAYMENT GAP]]&lt;=0,"No Gap / Overpaid",Table2[[#This Row],[PAYMENT GAP]]&lt;=25000,"Low Gap",Table2[[#This Row],[PAYMENT GAP]]&lt;=100000,"Medium Gap",
TRUE,"High Gap"
)</f>
        <v>No Gap / Overpaid</v>
      </c>
    </row>
    <row r="1189" spans="1:30" x14ac:dyDescent="0.3">
      <c r="A1189">
        <v>1188</v>
      </c>
      <c r="B1189" s="1">
        <v>50000</v>
      </c>
      <c r="C1189" s="1" t="str" cm="1">
        <f t="array" ref="C1189">_xlfn.IFS(Table2[[#This Row],[LIMIT_BAL]]&lt;=100000,"Low",Table2[[#This Row],[LIMIT_BAL]]&lt;=300000,"Medium",
TRUE,"High"
)</f>
        <v>Low</v>
      </c>
      <c r="D1189" t="s">
        <v>2041</v>
      </c>
      <c r="E1189" t="s">
        <v>2043</v>
      </c>
      <c r="F1189" t="s">
        <v>2028</v>
      </c>
      <c r="G1189">
        <v>50</v>
      </c>
      <c r="H1189" t="str" cm="1">
        <f t="array" ref="H1189">_xlfn.IFS(
Table2[[#This Row],[AGE]]&lt;30,"Young",
Table2[[#This Row],[AGE]]&lt;40,"Middle Age",
Table2[[#This Row],[AGE]]&lt;50,"Senior",
TRUE,"Super Senior"
)</f>
        <v>Super Senior</v>
      </c>
      <c r="I1189">
        <v>-1</v>
      </c>
      <c r="J1189">
        <v>-1</v>
      </c>
      <c r="K1189">
        <v>-1</v>
      </c>
      <c r="L1189">
        <v>-1</v>
      </c>
      <c r="M1189">
        <v>-2</v>
      </c>
      <c r="N1189">
        <v>-1</v>
      </c>
      <c r="O1189" s="1">
        <v>1232</v>
      </c>
      <c r="P1189" s="1">
        <v>1846</v>
      </c>
      <c r="Q1189" s="1">
        <v>697</v>
      </c>
      <c r="R1189" s="1">
        <v>364</v>
      </c>
      <c r="S1189" s="1">
        <v>0</v>
      </c>
      <c r="T1189" s="1">
        <v>760</v>
      </c>
      <c r="U1189" s="1">
        <v>1846</v>
      </c>
      <c r="V1189" s="1">
        <v>697</v>
      </c>
      <c r="W1189" s="1">
        <v>364</v>
      </c>
      <c r="X1189" s="1">
        <v>0</v>
      </c>
      <c r="Y1189" s="1">
        <v>760</v>
      </c>
      <c r="Z1189" s="1">
        <v>5862</v>
      </c>
      <c r="AA1189">
        <v>0</v>
      </c>
      <c r="AB1189" t="str">
        <f t="shared" si="18"/>
        <v>Not Defaulter</v>
      </c>
      <c r="AC1189" s="1">
        <f>Table2[[#This Row],[BILL_AMT1]]-Table2[[#This Row],[PAY_AMT1]]</f>
        <v>-614</v>
      </c>
      <c r="AD1189" s="1" t="str" cm="1">
        <f t="array" ref="AD1189">_xlfn.IFS(Table2[[#This Row],[PAYMENT GAP]]&lt;=0,"No Gap / Overpaid",Table2[[#This Row],[PAYMENT GAP]]&lt;=25000,"Low Gap",Table2[[#This Row],[PAYMENT GAP]]&lt;=100000,"Medium Gap",
TRUE,"High Gap"
)</f>
        <v>No Gap / Overpaid</v>
      </c>
    </row>
    <row r="1190" spans="1:30" x14ac:dyDescent="0.3">
      <c r="A1190">
        <v>1189</v>
      </c>
      <c r="B1190" s="1">
        <v>480000</v>
      </c>
      <c r="C1190" s="1" t="str" cm="1">
        <f t="array" ref="C1190">_xlfn.IFS(Table2[[#This Row],[LIMIT_BAL]]&lt;=100000,"Low",Table2[[#This Row],[LIMIT_BAL]]&lt;=300000,"Medium",
TRUE,"High"
)</f>
        <v>High</v>
      </c>
      <c r="D1190" t="s">
        <v>2041</v>
      </c>
      <c r="E1190" t="s">
        <v>2043</v>
      </c>
      <c r="F1190" t="s">
        <v>2028</v>
      </c>
      <c r="G1190">
        <v>38</v>
      </c>
      <c r="H1190" t="str" cm="1">
        <f t="array" ref="H1190">_xlfn.IFS(
Table2[[#This Row],[AGE]]&lt;30,"Young",
Table2[[#This Row],[AGE]]&lt;40,"Middle Age",
Table2[[#This Row],[AGE]]&lt;50,"Senior",
TRUE,"Super Senior"
)</f>
        <v>Middle Age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 s="1">
        <v>90258</v>
      </c>
      <c r="P1190" s="1">
        <v>76099</v>
      </c>
      <c r="Q1190" s="1">
        <v>56776</v>
      </c>
      <c r="R1190" s="1">
        <v>37484</v>
      </c>
      <c r="S1190" s="1">
        <v>37906</v>
      </c>
      <c r="T1190" s="1">
        <v>18387</v>
      </c>
      <c r="U1190" s="1">
        <v>30000</v>
      </c>
      <c r="V1190" s="1">
        <v>1708</v>
      </c>
      <c r="W1190" s="1">
        <v>1292</v>
      </c>
      <c r="X1190" s="1">
        <v>1010</v>
      </c>
      <c r="Y1190" s="1">
        <v>772</v>
      </c>
      <c r="Z1190" s="1">
        <v>705</v>
      </c>
      <c r="AA1190">
        <v>0</v>
      </c>
      <c r="AB1190" t="str">
        <f t="shared" si="18"/>
        <v>Not Defaulter</v>
      </c>
      <c r="AC1190" s="1">
        <f>Table2[[#This Row],[BILL_AMT1]]-Table2[[#This Row],[PAY_AMT1]]</f>
        <v>60258</v>
      </c>
      <c r="AD1190" s="1" t="str" cm="1">
        <f t="array" ref="AD1190">_xlfn.IFS(Table2[[#This Row],[PAYMENT GAP]]&lt;=0,"No Gap / Overpaid",Table2[[#This Row],[PAYMENT GAP]]&lt;=25000,"Low Gap",Table2[[#This Row],[PAYMENT GAP]]&lt;=100000,"Medium Gap",
TRUE,"High Gap"
)</f>
        <v>Medium Gap</v>
      </c>
    </row>
    <row r="1191" spans="1:30" x14ac:dyDescent="0.3">
      <c r="A1191">
        <v>1190</v>
      </c>
      <c r="B1191" s="1">
        <v>180000</v>
      </c>
      <c r="C1191" s="1" t="str" cm="1">
        <f t="array" ref="C1191">_xlfn.IFS(Table2[[#This Row],[LIMIT_BAL]]&lt;=100000,"Low",Table2[[#This Row],[LIMIT_BAL]]&lt;=300000,"Medium",
TRUE,"High"
)</f>
        <v>Medium</v>
      </c>
      <c r="D1191" t="s">
        <v>2041</v>
      </c>
      <c r="E1191" t="s">
        <v>2026</v>
      </c>
      <c r="F1191" t="s">
        <v>2029</v>
      </c>
      <c r="G1191">
        <v>24</v>
      </c>
      <c r="H1191" t="str" cm="1">
        <f t="array" ref="H1191">_xlfn.IFS(
Table2[[#This Row],[AGE]]&lt;30,"Young",
Table2[[#This Row],[AGE]]&lt;40,"Middle Age",
Table2[[#This Row],[AGE]]&lt;50,"Senior",
TRUE,"Super Senior"
)</f>
        <v>Young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 s="1">
        <v>169263</v>
      </c>
      <c r="P1191" s="1">
        <v>174532</v>
      </c>
      <c r="Q1191" s="1">
        <v>176686</v>
      </c>
      <c r="R1191" s="1">
        <v>165491</v>
      </c>
      <c r="S1191" s="1">
        <v>169222</v>
      </c>
      <c r="T1191" s="1">
        <v>173246</v>
      </c>
      <c r="U1191" s="1">
        <v>8000</v>
      </c>
      <c r="V1191" s="1">
        <v>6700</v>
      </c>
      <c r="W1191" s="1">
        <v>6000</v>
      </c>
      <c r="X1191" s="1">
        <v>6400</v>
      </c>
      <c r="Y1191" s="1">
        <v>7000</v>
      </c>
      <c r="Z1191" s="1">
        <v>7000</v>
      </c>
      <c r="AA1191">
        <v>0</v>
      </c>
      <c r="AB1191" t="str">
        <f t="shared" si="18"/>
        <v>Not Defaulter</v>
      </c>
      <c r="AC1191" s="1">
        <f>Table2[[#This Row],[BILL_AMT1]]-Table2[[#This Row],[PAY_AMT1]]</f>
        <v>161263</v>
      </c>
      <c r="AD1191" s="1" t="str" cm="1">
        <f t="array" ref="AD1191">_xlfn.IFS(Table2[[#This Row],[PAYMENT GAP]]&lt;=0,"No Gap / Overpaid",Table2[[#This Row],[PAYMENT GAP]]&lt;=25000,"Low Gap",Table2[[#This Row],[PAYMENT GAP]]&lt;=100000,"Medium Gap",
TRUE,"High Gap"
)</f>
        <v>High Gap</v>
      </c>
    </row>
    <row r="1192" spans="1:30" x14ac:dyDescent="0.3">
      <c r="A1192">
        <v>1191</v>
      </c>
      <c r="B1192" s="1">
        <v>240000</v>
      </c>
      <c r="C1192" s="1" t="str" cm="1">
        <f t="array" ref="C1192">_xlfn.IFS(Table2[[#This Row],[LIMIT_BAL]]&lt;=100000,"Low",Table2[[#This Row],[LIMIT_BAL]]&lt;=300000,"Medium",
TRUE,"High"
)</f>
        <v>Medium</v>
      </c>
      <c r="D1192" t="s">
        <v>2041</v>
      </c>
      <c r="E1192" t="s">
        <v>2026</v>
      </c>
      <c r="F1192" t="s">
        <v>2029</v>
      </c>
      <c r="G1192">
        <v>29</v>
      </c>
      <c r="H1192" t="str" cm="1">
        <f t="array" ref="H1192">_xlfn.IFS(
Table2[[#This Row],[AGE]]&lt;30,"Young",
Table2[[#This Row],[AGE]]&lt;40,"Middle Age",
Table2[[#This Row],[AGE]]&lt;50,"Senior",
TRUE,"Super Senior"
)</f>
        <v>Young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-2</v>
      </c>
      <c r="O1192" s="1">
        <v>3093</v>
      </c>
      <c r="P1192" s="1">
        <v>2322</v>
      </c>
      <c r="Q1192" s="1">
        <v>8186</v>
      </c>
      <c r="R1192" s="1">
        <v>3980</v>
      </c>
      <c r="S1192" s="1">
        <v>0</v>
      </c>
      <c r="T1192" s="1">
        <v>0</v>
      </c>
      <c r="U1192" s="1">
        <v>2000</v>
      </c>
      <c r="V1192" s="1">
        <v>2020</v>
      </c>
      <c r="W1192" s="1">
        <v>2500</v>
      </c>
      <c r="X1192" s="1">
        <v>0</v>
      </c>
      <c r="Y1192" s="1">
        <v>0</v>
      </c>
      <c r="Z1192" s="1">
        <v>85</v>
      </c>
      <c r="AA1192">
        <v>0</v>
      </c>
      <c r="AB1192" t="str">
        <f t="shared" si="18"/>
        <v>Not Defaulter</v>
      </c>
      <c r="AC1192" s="1">
        <f>Table2[[#This Row],[BILL_AMT1]]-Table2[[#This Row],[PAY_AMT1]]</f>
        <v>1093</v>
      </c>
      <c r="AD1192" s="1" t="str" cm="1">
        <f t="array" ref="AD1192">_xlfn.IFS(Table2[[#This Row],[PAYMENT GAP]]&lt;=0,"No Gap / Overpaid",Table2[[#This Row],[PAYMENT GAP]]&lt;=25000,"Low Gap",Table2[[#This Row],[PAYMENT GAP]]&lt;=100000,"Medium Gap",
TRUE,"High Gap"
)</f>
        <v>Low Gap</v>
      </c>
    </row>
    <row r="1193" spans="1:30" x14ac:dyDescent="0.3">
      <c r="A1193">
        <v>1192</v>
      </c>
      <c r="B1193" s="1">
        <v>250000</v>
      </c>
      <c r="C1193" s="1" t="str" cm="1">
        <f t="array" ref="C1193">_xlfn.IFS(Table2[[#This Row],[LIMIT_BAL]]&lt;=100000,"Low",Table2[[#This Row],[LIMIT_BAL]]&lt;=300000,"Medium",
TRUE,"High"
)</f>
        <v>Medium</v>
      </c>
      <c r="D1193" t="s">
        <v>2042</v>
      </c>
      <c r="E1193" t="s">
        <v>2026</v>
      </c>
      <c r="F1193" t="s">
        <v>2029</v>
      </c>
      <c r="G1193">
        <v>38</v>
      </c>
      <c r="H1193" t="str" cm="1">
        <f t="array" ref="H1193">_xlfn.IFS(
Table2[[#This Row],[AGE]]&lt;30,"Young",
Table2[[#This Row],[AGE]]&lt;40,"Middle Age",
Table2[[#This Row],[AGE]]&lt;50,"Senior",
TRUE,"Super Senior"
)</f>
        <v>Middle Age</v>
      </c>
      <c r="I1193">
        <v>-2</v>
      </c>
      <c r="J1193">
        <v>-2</v>
      </c>
      <c r="K1193">
        <v>-2</v>
      </c>
      <c r="L1193">
        <v>-2</v>
      </c>
      <c r="M1193">
        <v>-2</v>
      </c>
      <c r="N1193">
        <v>-2</v>
      </c>
      <c r="O1193" s="1">
        <v>584</v>
      </c>
      <c r="P1193" s="1">
        <v>3291</v>
      </c>
      <c r="Q1193" s="1">
        <v>8660</v>
      </c>
      <c r="R1193" s="1">
        <v>7495</v>
      </c>
      <c r="S1193" s="1">
        <v>1120</v>
      </c>
      <c r="T1193" s="1">
        <v>62</v>
      </c>
      <c r="U1193" s="1">
        <v>3307</v>
      </c>
      <c r="V1193" s="1">
        <v>8703</v>
      </c>
      <c r="W1193" s="1">
        <v>7532</v>
      </c>
      <c r="X1193" s="1">
        <v>1125</v>
      </c>
      <c r="Y1193" s="1">
        <v>62</v>
      </c>
      <c r="Z1193" s="1">
        <v>7718</v>
      </c>
      <c r="AA1193">
        <v>0</v>
      </c>
      <c r="AB1193" t="str">
        <f t="shared" si="18"/>
        <v>Not Defaulter</v>
      </c>
      <c r="AC1193" s="1">
        <f>Table2[[#This Row],[BILL_AMT1]]-Table2[[#This Row],[PAY_AMT1]]</f>
        <v>-2723</v>
      </c>
      <c r="AD1193" s="1" t="str" cm="1">
        <f t="array" ref="AD1193">_xlfn.IFS(Table2[[#This Row],[PAYMENT GAP]]&lt;=0,"No Gap / Overpaid",Table2[[#This Row],[PAYMENT GAP]]&lt;=25000,"Low Gap",Table2[[#This Row],[PAYMENT GAP]]&lt;=100000,"Medium Gap",
TRUE,"High Gap"
)</f>
        <v>No Gap / Overpaid</v>
      </c>
    </row>
    <row r="1194" spans="1:30" x14ac:dyDescent="0.3">
      <c r="A1194">
        <v>1193</v>
      </c>
      <c r="B1194" s="1">
        <v>270000</v>
      </c>
      <c r="C1194" s="1" t="str" cm="1">
        <f t="array" ref="C1194">_xlfn.IFS(Table2[[#This Row],[LIMIT_BAL]]&lt;=100000,"Low",Table2[[#This Row],[LIMIT_BAL]]&lt;=300000,"Medium",
TRUE,"High"
)</f>
        <v>Medium</v>
      </c>
      <c r="D1194" t="s">
        <v>2041</v>
      </c>
      <c r="E1194" t="s">
        <v>2043</v>
      </c>
      <c r="F1194" t="s">
        <v>2029</v>
      </c>
      <c r="G1194">
        <v>34</v>
      </c>
      <c r="H1194" t="str" cm="1">
        <f t="array" ref="H1194">_xlfn.IFS(
Table2[[#This Row],[AGE]]&lt;30,"Young",
Table2[[#This Row],[AGE]]&lt;40,"Middle Age",
Table2[[#This Row],[AGE]]&lt;50,"Senior",
TRUE,"Super Senior"
)</f>
        <v>Middle Age</v>
      </c>
      <c r="I1194">
        <v>-1</v>
      </c>
      <c r="J1194">
        <v>-1</v>
      </c>
      <c r="K1194">
        <v>-1</v>
      </c>
      <c r="L1194">
        <v>-1</v>
      </c>
      <c r="M1194">
        <v>-1</v>
      </c>
      <c r="N1194">
        <v>-1</v>
      </c>
      <c r="O1194" s="1">
        <v>381</v>
      </c>
      <c r="P1194" s="1">
        <v>3376</v>
      </c>
      <c r="Q1194" s="1">
        <v>2958</v>
      </c>
      <c r="R1194" s="1">
        <v>4154</v>
      </c>
      <c r="S1194" s="1">
        <v>5885</v>
      </c>
      <c r="T1194" s="1">
        <v>3129</v>
      </c>
      <c r="U1194" s="1">
        <v>3406</v>
      </c>
      <c r="V1194" s="1">
        <v>2983</v>
      </c>
      <c r="W1194" s="1">
        <v>4172</v>
      </c>
      <c r="X1194" s="1">
        <v>5912</v>
      </c>
      <c r="Y1194" s="1">
        <v>3143</v>
      </c>
      <c r="Z1194" s="1">
        <v>0</v>
      </c>
      <c r="AA1194">
        <v>1</v>
      </c>
      <c r="AB1194" t="str">
        <f t="shared" si="18"/>
        <v>Defaulter</v>
      </c>
      <c r="AC1194" s="1">
        <f>Table2[[#This Row],[BILL_AMT1]]-Table2[[#This Row],[PAY_AMT1]]</f>
        <v>-3025</v>
      </c>
      <c r="AD1194" s="1" t="str" cm="1">
        <f t="array" ref="AD1194">_xlfn.IFS(Table2[[#This Row],[PAYMENT GAP]]&lt;=0,"No Gap / Overpaid",Table2[[#This Row],[PAYMENT GAP]]&lt;=25000,"Low Gap",Table2[[#This Row],[PAYMENT GAP]]&lt;=100000,"Medium Gap",
TRUE,"High Gap"
)</f>
        <v>No Gap / Overpaid</v>
      </c>
    </row>
    <row r="1195" spans="1:30" x14ac:dyDescent="0.3">
      <c r="A1195">
        <v>1194</v>
      </c>
      <c r="B1195" s="1">
        <v>200000</v>
      </c>
      <c r="C1195" s="1" t="str" cm="1">
        <f t="array" ref="C1195">_xlfn.IFS(Table2[[#This Row],[LIMIT_BAL]]&lt;=100000,"Low",Table2[[#This Row],[LIMIT_BAL]]&lt;=300000,"Medium",
TRUE,"High"
)</f>
        <v>Medium</v>
      </c>
      <c r="D1195" t="s">
        <v>2042</v>
      </c>
      <c r="E1195" t="s">
        <v>2026</v>
      </c>
      <c r="F1195" t="s">
        <v>2028</v>
      </c>
      <c r="G1195">
        <v>37</v>
      </c>
      <c r="H1195" t="str" cm="1">
        <f t="array" ref="H1195">_xlfn.IFS(
Table2[[#This Row],[AGE]]&lt;30,"Young",
Table2[[#This Row],[AGE]]&lt;40,"Middle Age",
Table2[[#This Row],[AGE]]&lt;50,"Senior",
TRUE,"Super Senior"
)</f>
        <v>Middle Age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 s="1">
        <v>123337</v>
      </c>
      <c r="P1195" s="1">
        <v>11148</v>
      </c>
      <c r="Q1195" s="1">
        <v>19165</v>
      </c>
      <c r="R1195" s="1">
        <v>21171</v>
      </c>
      <c r="S1195" s="1">
        <v>17762</v>
      </c>
      <c r="T1195" s="1">
        <v>23670</v>
      </c>
      <c r="U1195" s="1">
        <v>11202</v>
      </c>
      <c r="V1195" s="1">
        <v>19275</v>
      </c>
      <c r="W1195" s="1">
        <v>22304</v>
      </c>
      <c r="X1195" s="1">
        <v>23850</v>
      </c>
      <c r="Y1195" s="1">
        <v>23784</v>
      </c>
      <c r="Z1195" s="1">
        <v>84430</v>
      </c>
      <c r="AA1195">
        <v>0</v>
      </c>
      <c r="AB1195" t="str">
        <f t="shared" si="18"/>
        <v>Not Defaulter</v>
      </c>
      <c r="AC1195" s="1">
        <f>Table2[[#This Row],[BILL_AMT1]]-Table2[[#This Row],[PAY_AMT1]]</f>
        <v>112135</v>
      </c>
      <c r="AD1195" s="1" t="str" cm="1">
        <f t="array" ref="AD1195">_xlfn.IFS(Table2[[#This Row],[PAYMENT GAP]]&lt;=0,"No Gap / Overpaid",Table2[[#This Row],[PAYMENT GAP]]&lt;=25000,"Low Gap",Table2[[#This Row],[PAYMENT GAP]]&lt;=100000,"Medium Gap",
TRUE,"High Gap"
)</f>
        <v>High Gap</v>
      </c>
    </row>
    <row r="1196" spans="1:30" x14ac:dyDescent="0.3">
      <c r="A1196">
        <v>1195</v>
      </c>
      <c r="B1196" s="1">
        <v>100000</v>
      </c>
      <c r="C1196" s="1" t="str" cm="1">
        <f t="array" ref="C1196">_xlfn.IFS(Table2[[#This Row],[LIMIT_BAL]]&lt;=100000,"Low",Table2[[#This Row],[LIMIT_BAL]]&lt;=300000,"Medium",
TRUE,"High"
)</f>
        <v>Low</v>
      </c>
      <c r="D1196" t="s">
        <v>2041</v>
      </c>
      <c r="E1196" t="s">
        <v>2027</v>
      </c>
      <c r="F1196" t="s">
        <v>2028</v>
      </c>
      <c r="G1196">
        <v>66</v>
      </c>
      <c r="H1196" t="str" cm="1">
        <f t="array" ref="H1196">_xlfn.IFS(
Table2[[#This Row],[AGE]]&lt;30,"Young",
Table2[[#This Row],[AGE]]&lt;40,"Middle Age",
Table2[[#This Row],[AGE]]&lt;50,"Senior",
TRUE,"Super Senior"
)</f>
        <v>Super Senior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 s="1">
        <v>100036</v>
      </c>
      <c r="P1196" s="1">
        <v>100041</v>
      </c>
      <c r="Q1196" s="1">
        <v>100402</v>
      </c>
      <c r="R1196" s="1">
        <v>97141</v>
      </c>
      <c r="S1196" s="1">
        <v>97143</v>
      </c>
      <c r="T1196" s="1">
        <v>97532</v>
      </c>
      <c r="U1196" s="1">
        <v>4702</v>
      </c>
      <c r="V1196" s="1">
        <v>4617</v>
      </c>
      <c r="W1196" s="1">
        <v>3600</v>
      </c>
      <c r="X1196" s="1">
        <v>3865</v>
      </c>
      <c r="Y1196" s="1">
        <v>3850</v>
      </c>
      <c r="Z1196" s="1">
        <v>3705</v>
      </c>
      <c r="AA1196">
        <v>0</v>
      </c>
      <c r="AB1196" t="str">
        <f t="shared" si="18"/>
        <v>Not Defaulter</v>
      </c>
      <c r="AC1196" s="1">
        <f>Table2[[#This Row],[BILL_AMT1]]-Table2[[#This Row],[PAY_AMT1]]</f>
        <v>95334</v>
      </c>
      <c r="AD1196" s="1" t="str" cm="1">
        <f t="array" ref="AD1196">_xlfn.IFS(Table2[[#This Row],[PAYMENT GAP]]&lt;=0,"No Gap / Overpaid",Table2[[#This Row],[PAYMENT GAP]]&lt;=25000,"Low Gap",Table2[[#This Row],[PAYMENT GAP]]&lt;=100000,"Medium Gap",
TRUE,"High Gap"
)</f>
        <v>Medium Gap</v>
      </c>
    </row>
    <row r="1197" spans="1:30" x14ac:dyDescent="0.3">
      <c r="A1197">
        <v>1196</v>
      </c>
      <c r="B1197" s="1">
        <v>160000</v>
      </c>
      <c r="C1197" s="1" t="str" cm="1">
        <f t="array" ref="C1197">_xlfn.IFS(Table2[[#This Row],[LIMIT_BAL]]&lt;=100000,"Low",Table2[[#This Row],[LIMIT_BAL]]&lt;=300000,"Medium",
TRUE,"High"
)</f>
        <v>Medium</v>
      </c>
      <c r="D1197" t="s">
        <v>2041</v>
      </c>
      <c r="E1197" t="s">
        <v>2026</v>
      </c>
      <c r="F1197" t="s">
        <v>2028</v>
      </c>
      <c r="G1197">
        <v>39</v>
      </c>
      <c r="H1197" t="str" cm="1">
        <f t="array" ref="H1197">_xlfn.IFS(
Table2[[#This Row],[AGE]]&lt;30,"Young",
Table2[[#This Row],[AGE]]&lt;40,"Middle Age",
Table2[[#This Row],[AGE]]&lt;50,"Senior",
TRUE,"Super Senior"
)</f>
        <v>Middle Age</v>
      </c>
      <c r="I1197">
        <v>-2</v>
      </c>
      <c r="J1197">
        <v>-2</v>
      </c>
      <c r="K1197">
        <v>-2</v>
      </c>
      <c r="L1197">
        <v>-2</v>
      </c>
      <c r="M1197">
        <v>-2</v>
      </c>
      <c r="N1197">
        <v>-2</v>
      </c>
      <c r="O1197" s="1">
        <v>710</v>
      </c>
      <c r="P1197" s="1">
        <v>666</v>
      </c>
      <c r="Q1197" s="1">
        <v>403</v>
      </c>
      <c r="R1197" s="1">
        <v>1650</v>
      </c>
      <c r="S1197" s="1">
        <v>336</v>
      </c>
      <c r="T1197" s="1">
        <v>790</v>
      </c>
      <c r="U1197" s="1">
        <v>666</v>
      </c>
      <c r="V1197" s="1">
        <v>403</v>
      </c>
      <c r="W1197" s="1">
        <v>1650</v>
      </c>
      <c r="X1197" s="1">
        <v>336</v>
      </c>
      <c r="Y1197" s="1">
        <v>790</v>
      </c>
      <c r="Z1197" s="1">
        <v>1141</v>
      </c>
      <c r="AA1197">
        <v>0</v>
      </c>
      <c r="AB1197" t="str">
        <f t="shared" si="18"/>
        <v>Not Defaulter</v>
      </c>
      <c r="AC1197" s="1">
        <f>Table2[[#This Row],[BILL_AMT1]]-Table2[[#This Row],[PAY_AMT1]]</f>
        <v>44</v>
      </c>
      <c r="AD1197" s="1" t="str" cm="1">
        <f t="array" ref="AD1197">_xlfn.IFS(Table2[[#This Row],[PAYMENT GAP]]&lt;=0,"No Gap / Overpaid",Table2[[#This Row],[PAYMENT GAP]]&lt;=25000,"Low Gap",Table2[[#This Row],[PAYMENT GAP]]&lt;=100000,"Medium Gap",
TRUE,"High Gap"
)</f>
        <v>Low Gap</v>
      </c>
    </row>
    <row r="1198" spans="1:30" x14ac:dyDescent="0.3">
      <c r="A1198">
        <v>1197</v>
      </c>
      <c r="B1198" s="1">
        <v>80000</v>
      </c>
      <c r="C1198" s="1" t="str" cm="1">
        <f t="array" ref="C1198">_xlfn.IFS(Table2[[#This Row],[LIMIT_BAL]]&lt;=100000,"Low",Table2[[#This Row],[LIMIT_BAL]]&lt;=300000,"Medium",
TRUE,"High"
)</f>
        <v>Low</v>
      </c>
      <c r="D1198" t="s">
        <v>2041</v>
      </c>
      <c r="E1198" t="s">
        <v>2043</v>
      </c>
      <c r="F1198" t="s">
        <v>2028</v>
      </c>
      <c r="G1198">
        <v>45</v>
      </c>
      <c r="H1198" t="str" cm="1">
        <f t="array" ref="H1198">_xlfn.IFS(
Table2[[#This Row],[AGE]]&lt;30,"Young",
Table2[[#This Row],[AGE]]&lt;40,"Middle Age",
Table2[[#This Row],[AGE]]&lt;50,"Senior",
TRUE,"Super Senior"
)</f>
        <v>Senior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 s="1">
        <v>81841</v>
      </c>
      <c r="P1198" s="1">
        <v>74516</v>
      </c>
      <c r="Q1198" s="1">
        <v>69485</v>
      </c>
      <c r="R1198" s="1">
        <v>30396</v>
      </c>
      <c r="S1198" s="1">
        <v>30595</v>
      </c>
      <c r="T1198" s="1">
        <v>29033</v>
      </c>
      <c r="U1198" s="1">
        <v>4100</v>
      </c>
      <c r="V1198" s="1">
        <v>2507</v>
      </c>
      <c r="W1198" s="1">
        <v>2140</v>
      </c>
      <c r="X1198" s="1">
        <v>2000</v>
      </c>
      <c r="Y1198" s="1">
        <v>1500</v>
      </c>
      <c r="Z1198" s="1">
        <v>1000</v>
      </c>
      <c r="AA1198">
        <v>0</v>
      </c>
      <c r="AB1198" t="str">
        <f t="shared" si="18"/>
        <v>Not Defaulter</v>
      </c>
      <c r="AC1198" s="1">
        <f>Table2[[#This Row],[BILL_AMT1]]-Table2[[#This Row],[PAY_AMT1]]</f>
        <v>77741</v>
      </c>
      <c r="AD1198" s="1" t="str" cm="1">
        <f t="array" ref="AD1198">_xlfn.IFS(Table2[[#This Row],[PAYMENT GAP]]&lt;=0,"No Gap / Overpaid",Table2[[#This Row],[PAYMENT GAP]]&lt;=25000,"Low Gap",Table2[[#This Row],[PAYMENT GAP]]&lt;=100000,"Medium Gap",
TRUE,"High Gap"
)</f>
        <v>Medium Gap</v>
      </c>
    </row>
    <row r="1199" spans="1:30" x14ac:dyDescent="0.3">
      <c r="A1199">
        <v>1198</v>
      </c>
      <c r="B1199" s="1">
        <v>130000</v>
      </c>
      <c r="C1199" s="1" t="str" cm="1">
        <f t="array" ref="C1199">_xlfn.IFS(Table2[[#This Row],[LIMIT_BAL]]&lt;=100000,"Low",Table2[[#This Row],[LIMIT_BAL]]&lt;=300000,"Medium",
TRUE,"High"
)</f>
        <v>Medium</v>
      </c>
      <c r="D1199" t="s">
        <v>2042</v>
      </c>
      <c r="E1199" t="s">
        <v>2043</v>
      </c>
      <c r="F1199" t="s">
        <v>2028</v>
      </c>
      <c r="G1199">
        <v>44</v>
      </c>
      <c r="H1199" t="str" cm="1">
        <f t="array" ref="H1199">_xlfn.IFS(
Table2[[#This Row],[AGE]]&lt;30,"Young",
Table2[[#This Row],[AGE]]&lt;40,"Middle Age",
Table2[[#This Row],[AGE]]&lt;50,"Senior",
TRUE,"Super Senior"
)</f>
        <v>Senior</v>
      </c>
      <c r="I1199">
        <v>-1</v>
      </c>
      <c r="J1199">
        <v>2</v>
      </c>
      <c r="K1199">
        <v>0</v>
      </c>
      <c r="L1199">
        <v>0</v>
      </c>
      <c r="M1199">
        <v>0</v>
      </c>
      <c r="N1199">
        <v>0</v>
      </c>
      <c r="O1199" s="1">
        <v>29547</v>
      </c>
      <c r="P1199" s="1">
        <v>23154</v>
      </c>
      <c r="Q1199" s="1">
        <v>18637</v>
      </c>
      <c r="R1199" s="1">
        <v>14691</v>
      </c>
      <c r="S1199" s="1">
        <v>8769</v>
      </c>
      <c r="T1199" s="1">
        <v>4166</v>
      </c>
      <c r="U1199" s="1">
        <v>0</v>
      </c>
      <c r="V1199" s="1">
        <v>1500</v>
      </c>
      <c r="W1199" s="1">
        <v>486</v>
      </c>
      <c r="X1199" s="1">
        <v>303</v>
      </c>
      <c r="Y1199" s="1">
        <v>83</v>
      </c>
      <c r="Z1199" s="1">
        <v>780</v>
      </c>
      <c r="AA1199">
        <v>0</v>
      </c>
      <c r="AB1199" t="str">
        <f t="shared" si="18"/>
        <v>Not Defaulter</v>
      </c>
      <c r="AC1199" s="1">
        <f>Table2[[#This Row],[BILL_AMT1]]-Table2[[#This Row],[PAY_AMT1]]</f>
        <v>29547</v>
      </c>
      <c r="AD1199" s="1" t="str" cm="1">
        <f t="array" ref="AD1199">_xlfn.IFS(Table2[[#This Row],[PAYMENT GAP]]&lt;=0,"No Gap / Overpaid",Table2[[#This Row],[PAYMENT GAP]]&lt;=25000,"Low Gap",Table2[[#This Row],[PAYMENT GAP]]&lt;=100000,"Medium Gap",
TRUE,"High Gap"
)</f>
        <v>Medium Gap</v>
      </c>
    </row>
    <row r="1200" spans="1:30" x14ac:dyDescent="0.3">
      <c r="A1200">
        <v>1199</v>
      </c>
      <c r="B1200" s="1">
        <v>340000</v>
      </c>
      <c r="C1200" s="1" t="str" cm="1">
        <f t="array" ref="C1200">_xlfn.IFS(Table2[[#This Row],[LIMIT_BAL]]&lt;=100000,"Low",Table2[[#This Row],[LIMIT_BAL]]&lt;=300000,"Medium",
TRUE,"High"
)</f>
        <v>High</v>
      </c>
      <c r="D1200" t="s">
        <v>2041</v>
      </c>
      <c r="E1200" t="s">
        <v>2027</v>
      </c>
      <c r="F1200" t="s">
        <v>2029</v>
      </c>
      <c r="G1200">
        <v>44</v>
      </c>
      <c r="H1200" t="str" cm="1">
        <f t="array" ref="H1200">_xlfn.IFS(
Table2[[#This Row],[AGE]]&lt;30,"Young",
Table2[[#This Row],[AGE]]&lt;40,"Middle Age",
Table2[[#This Row],[AGE]]&lt;50,"Senior",
TRUE,"Super Senior"
)</f>
        <v>Senior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 s="1">
        <v>142836</v>
      </c>
      <c r="P1200" s="1">
        <v>145125</v>
      </c>
      <c r="Q1200" s="1">
        <v>146682</v>
      </c>
      <c r="R1200" s="1">
        <v>150407</v>
      </c>
      <c r="S1200" s="1">
        <v>147868</v>
      </c>
      <c r="T1200" s="1">
        <v>149349</v>
      </c>
      <c r="U1200" s="1">
        <v>7000</v>
      </c>
      <c r="V1200" s="1">
        <v>5500</v>
      </c>
      <c r="W1200" s="1">
        <v>6027</v>
      </c>
      <c r="X1200" s="1">
        <v>5328</v>
      </c>
      <c r="Y1200" s="1">
        <v>5390</v>
      </c>
      <c r="Z1200" s="1">
        <v>6047</v>
      </c>
      <c r="AA1200">
        <v>1</v>
      </c>
      <c r="AB1200" t="str">
        <f t="shared" si="18"/>
        <v>Defaulter</v>
      </c>
      <c r="AC1200" s="1">
        <f>Table2[[#This Row],[BILL_AMT1]]-Table2[[#This Row],[PAY_AMT1]]</f>
        <v>135836</v>
      </c>
      <c r="AD1200" s="1" t="str" cm="1">
        <f t="array" ref="AD1200">_xlfn.IFS(Table2[[#This Row],[PAYMENT GAP]]&lt;=0,"No Gap / Overpaid",Table2[[#This Row],[PAYMENT GAP]]&lt;=25000,"Low Gap",Table2[[#This Row],[PAYMENT GAP]]&lt;=100000,"Medium Gap",
TRUE,"High Gap"
)</f>
        <v>High Gap</v>
      </c>
    </row>
    <row r="1201" spans="1:30" x14ac:dyDescent="0.3">
      <c r="A1201">
        <v>1200</v>
      </c>
      <c r="B1201" s="1">
        <v>360000</v>
      </c>
      <c r="C1201" s="1" t="str" cm="1">
        <f t="array" ref="C1201">_xlfn.IFS(Table2[[#This Row],[LIMIT_BAL]]&lt;=100000,"Low",Table2[[#This Row],[LIMIT_BAL]]&lt;=300000,"Medium",
TRUE,"High"
)</f>
        <v>High</v>
      </c>
      <c r="D1201" t="s">
        <v>2042</v>
      </c>
      <c r="E1201" t="s">
        <v>2026</v>
      </c>
      <c r="F1201" t="s">
        <v>2028</v>
      </c>
      <c r="G1201">
        <v>36</v>
      </c>
      <c r="H1201" t="str" cm="1">
        <f t="array" ref="H1201">_xlfn.IFS(
Table2[[#This Row],[AGE]]&lt;30,"Young",
Table2[[#This Row],[AGE]]&lt;40,"Middle Age",
Table2[[#This Row],[AGE]]&lt;50,"Senior",
TRUE,"Super Senior"
)</f>
        <v>Middle Age</v>
      </c>
      <c r="I1201">
        <v>-2</v>
      </c>
      <c r="J1201">
        <v>-1</v>
      </c>
      <c r="K1201">
        <v>-1</v>
      </c>
      <c r="L1201">
        <v>-1</v>
      </c>
      <c r="M1201">
        <v>-2</v>
      </c>
      <c r="N1201">
        <v>-2</v>
      </c>
      <c r="O1201" s="1">
        <v>0</v>
      </c>
      <c r="P1201" s="1">
        <v>394</v>
      </c>
      <c r="Q1201" s="1">
        <v>11142</v>
      </c>
      <c r="R1201" s="1">
        <v>0</v>
      </c>
      <c r="S1201" s="1">
        <v>0</v>
      </c>
      <c r="T1201" s="1">
        <v>0</v>
      </c>
      <c r="U1201" s="1">
        <v>394</v>
      </c>
      <c r="V1201" s="1">
        <v>11253</v>
      </c>
      <c r="W1201" s="1">
        <v>0</v>
      </c>
      <c r="X1201" s="1">
        <v>0</v>
      </c>
      <c r="Y1201" s="1">
        <v>0</v>
      </c>
      <c r="Z1201" s="1">
        <v>0</v>
      </c>
      <c r="AA1201">
        <v>0</v>
      </c>
      <c r="AB1201" t="str">
        <f t="shared" si="18"/>
        <v>Not Defaulter</v>
      </c>
      <c r="AC1201" s="1">
        <f>Table2[[#This Row],[BILL_AMT1]]-Table2[[#This Row],[PAY_AMT1]]</f>
        <v>-394</v>
      </c>
      <c r="AD1201" s="1" t="str" cm="1">
        <f t="array" ref="AD1201">_xlfn.IFS(Table2[[#This Row],[PAYMENT GAP]]&lt;=0,"No Gap / Overpaid",Table2[[#This Row],[PAYMENT GAP]]&lt;=25000,"Low Gap",Table2[[#This Row],[PAYMENT GAP]]&lt;=100000,"Medium Gap",
TRUE,"High Gap"
)</f>
        <v>No Gap / Overpaid</v>
      </c>
    </row>
    <row r="1202" spans="1:30" x14ac:dyDescent="0.3">
      <c r="A1202">
        <v>1201</v>
      </c>
      <c r="B1202" s="1">
        <v>120000</v>
      </c>
      <c r="C1202" s="1" t="str" cm="1">
        <f t="array" ref="C1202">_xlfn.IFS(Table2[[#This Row],[LIMIT_BAL]]&lt;=100000,"Low",Table2[[#This Row],[LIMIT_BAL]]&lt;=300000,"Medium",
TRUE,"High"
)</f>
        <v>Medium</v>
      </c>
      <c r="D1202" t="s">
        <v>2041</v>
      </c>
      <c r="E1202" t="s">
        <v>2027</v>
      </c>
      <c r="F1202" t="s">
        <v>2028</v>
      </c>
      <c r="G1202">
        <v>40</v>
      </c>
      <c r="H1202" t="str" cm="1">
        <f t="array" ref="H1202">_xlfn.IFS(
Table2[[#This Row],[AGE]]&lt;30,"Young",
Table2[[#This Row],[AGE]]&lt;40,"Middle Age",
Table2[[#This Row],[AGE]]&lt;50,"Senior",
TRUE,"Super Senior"
)</f>
        <v>Senior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 s="1">
        <v>108300</v>
      </c>
      <c r="P1202" s="1">
        <v>108538</v>
      </c>
      <c r="Q1202" s="1">
        <v>94833</v>
      </c>
      <c r="R1202" s="1">
        <v>49078</v>
      </c>
      <c r="S1202" s="1">
        <v>40643</v>
      </c>
      <c r="T1202" s="1">
        <v>4200</v>
      </c>
      <c r="U1202" s="1">
        <v>5000</v>
      </c>
      <c r="V1202" s="1">
        <v>4121</v>
      </c>
      <c r="W1202" s="1">
        <v>2000</v>
      </c>
      <c r="X1202" s="1">
        <v>2000</v>
      </c>
      <c r="Y1202" s="1">
        <v>2000</v>
      </c>
      <c r="Z1202" s="1">
        <v>96583</v>
      </c>
      <c r="AA1202">
        <v>0</v>
      </c>
      <c r="AB1202" t="str">
        <f t="shared" si="18"/>
        <v>Not Defaulter</v>
      </c>
      <c r="AC1202" s="1">
        <f>Table2[[#This Row],[BILL_AMT1]]-Table2[[#This Row],[PAY_AMT1]]</f>
        <v>103300</v>
      </c>
      <c r="AD1202" s="1" t="str" cm="1">
        <f t="array" ref="AD1202">_xlfn.IFS(Table2[[#This Row],[PAYMENT GAP]]&lt;=0,"No Gap / Overpaid",Table2[[#This Row],[PAYMENT GAP]]&lt;=25000,"Low Gap",Table2[[#This Row],[PAYMENT GAP]]&lt;=100000,"Medium Gap",
TRUE,"High Gap"
)</f>
        <v>High Gap</v>
      </c>
    </row>
    <row r="1203" spans="1:30" x14ac:dyDescent="0.3">
      <c r="A1203">
        <v>1202</v>
      </c>
      <c r="B1203" s="1">
        <v>120000</v>
      </c>
      <c r="C1203" s="1" t="str" cm="1">
        <f t="array" ref="C1203">_xlfn.IFS(Table2[[#This Row],[LIMIT_BAL]]&lt;=100000,"Low",Table2[[#This Row],[LIMIT_BAL]]&lt;=300000,"Medium",
TRUE,"High"
)</f>
        <v>Medium</v>
      </c>
      <c r="D1203" t="s">
        <v>2042</v>
      </c>
      <c r="E1203" t="s">
        <v>2026</v>
      </c>
      <c r="F1203" t="s">
        <v>2029</v>
      </c>
      <c r="G1203">
        <v>29</v>
      </c>
      <c r="H1203" t="str" cm="1">
        <f t="array" ref="H1203">_xlfn.IFS(
Table2[[#This Row],[AGE]]&lt;30,"Young",
Table2[[#This Row],[AGE]]&lt;40,"Middle Age",
Table2[[#This Row],[AGE]]&lt;50,"Senior",
TRUE,"Super Senior"
)</f>
        <v>Young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 s="1">
        <v>30101</v>
      </c>
      <c r="P1203" s="1">
        <v>31281</v>
      </c>
      <c r="Q1203" s="1">
        <v>30180</v>
      </c>
      <c r="R1203" s="1">
        <v>30471</v>
      </c>
      <c r="S1203" s="1">
        <v>31110</v>
      </c>
      <c r="T1203" s="1">
        <v>31728</v>
      </c>
      <c r="U1203" s="1">
        <v>2000</v>
      </c>
      <c r="V1203" s="1">
        <v>2000</v>
      </c>
      <c r="W1203" s="1">
        <v>1090</v>
      </c>
      <c r="X1203" s="1">
        <v>1129</v>
      </c>
      <c r="Y1203" s="1">
        <v>1135</v>
      </c>
      <c r="Z1203" s="1">
        <v>1200</v>
      </c>
      <c r="AA1203">
        <v>0</v>
      </c>
      <c r="AB1203" t="str">
        <f t="shared" si="18"/>
        <v>Not Defaulter</v>
      </c>
      <c r="AC1203" s="1">
        <f>Table2[[#This Row],[BILL_AMT1]]-Table2[[#This Row],[PAY_AMT1]]</f>
        <v>28101</v>
      </c>
      <c r="AD1203" s="1" t="str" cm="1">
        <f t="array" ref="AD1203">_xlfn.IFS(Table2[[#This Row],[PAYMENT GAP]]&lt;=0,"No Gap / Overpaid",Table2[[#This Row],[PAYMENT GAP]]&lt;=25000,"Low Gap",Table2[[#This Row],[PAYMENT GAP]]&lt;=100000,"Medium Gap",
TRUE,"High Gap"
)</f>
        <v>Medium Gap</v>
      </c>
    </row>
    <row r="1204" spans="1:30" x14ac:dyDescent="0.3">
      <c r="A1204">
        <v>1203</v>
      </c>
      <c r="B1204" s="1">
        <v>300000</v>
      </c>
      <c r="C1204" s="1" t="str" cm="1">
        <f t="array" ref="C1204">_xlfn.IFS(Table2[[#This Row],[LIMIT_BAL]]&lt;=100000,"Low",Table2[[#This Row],[LIMIT_BAL]]&lt;=300000,"Medium",
TRUE,"High"
)</f>
        <v>Medium</v>
      </c>
      <c r="D1204" t="s">
        <v>2041</v>
      </c>
      <c r="E1204" t="s">
        <v>2026</v>
      </c>
      <c r="F1204" t="s">
        <v>2029</v>
      </c>
      <c r="G1204">
        <v>48</v>
      </c>
      <c r="H1204" t="str" cm="1">
        <f t="array" ref="H1204">_xlfn.IFS(
Table2[[#This Row],[AGE]]&lt;30,"Young",
Table2[[#This Row],[AGE]]&lt;40,"Middle Age",
Table2[[#This Row],[AGE]]&lt;50,"Senior",
TRUE,"Super Senior"
)</f>
        <v>Senior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 s="1">
        <v>247279</v>
      </c>
      <c r="P1204" s="1">
        <v>235093</v>
      </c>
      <c r="Q1204" s="1">
        <v>224062</v>
      </c>
      <c r="R1204" s="1">
        <v>212480</v>
      </c>
      <c r="S1204" s="1">
        <v>202148</v>
      </c>
      <c r="T1204" s="1">
        <v>186955</v>
      </c>
      <c r="U1204" s="1">
        <v>10005</v>
      </c>
      <c r="V1204" s="1">
        <v>9500</v>
      </c>
      <c r="W1204" s="1">
        <v>7500</v>
      </c>
      <c r="X1204" s="1">
        <v>6914</v>
      </c>
      <c r="Y1204" s="1">
        <v>6100</v>
      </c>
      <c r="Z1204" s="1">
        <v>5500</v>
      </c>
      <c r="AA1204">
        <v>0</v>
      </c>
      <c r="AB1204" t="str">
        <f t="shared" si="18"/>
        <v>Not Defaulter</v>
      </c>
      <c r="AC1204" s="1">
        <f>Table2[[#This Row],[BILL_AMT1]]-Table2[[#This Row],[PAY_AMT1]]</f>
        <v>237274</v>
      </c>
      <c r="AD1204" s="1" t="str" cm="1">
        <f t="array" ref="AD1204">_xlfn.IFS(Table2[[#This Row],[PAYMENT GAP]]&lt;=0,"No Gap / Overpaid",Table2[[#This Row],[PAYMENT GAP]]&lt;=25000,"Low Gap",Table2[[#This Row],[PAYMENT GAP]]&lt;=100000,"Medium Gap",
TRUE,"High Gap"
)</f>
        <v>High Gap</v>
      </c>
    </row>
    <row r="1205" spans="1:30" x14ac:dyDescent="0.3">
      <c r="A1205">
        <v>1204</v>
      </c>
      <c r="B1205" s="1">
        <v>60000</v>
      </c>
      <c r="C1205" s="1" t="str" cm="1">
        <f t="array" ref="C1205">_xlfn.IFS(Table2[[#This Row],[LIMIT_BAL]]&lt;=100000,"Low",Table2[[#This Row],[LIMIT_BAL]]&lt;=300000,"Medium",
TRUE,"High"
)</f>
        <v>Low</v>
      </c>
      <c r="D1205" t="s">
        <v>2041</v>
      </c>
      <c r="E1205" t="s">
        <v>2043</v>
      </c>
      <c r="F1205" t="s">
        <v>2029</v>
      </c>
      <c r="G1205">
        <v>23</v>
      </c>
      <c r="H1205" t="str" cm="1">
        <f t="array" ref="H1205">_xlfn.IFS(
Table2[[#This Row],[AGE]]&lt;30,"Young",
Table2[[#This Row],[AGE]]&lt;40,"Middle Age",
Table2[[#This Row],[AGE]]&lt;50,"Senior",
TRUE,"Super Senior"
)</f>
        <v>Young</v>
      </c>
      <c r="I1205">
        <v>2</v>
      </c>
      <c r="J1205">
        <v>2</v>
      </c>
      <c r="K1205">
        <v>-2</v>
      </c>
      <c r="L1205">
        <v>-2</v>
      </c>
      <c r="M1205">
        <v>-1</v>
      </c>
      <c r="N1205">
        <v>-1</v>
      </c>
      <c r="O1205" s="1">
        <v>2516</v>
      </c>
      <c r="P1205" s="1">
        <v>0</v>
      </c>
      <c r="Q1205" s="1">
        <v>0</v>
      </c>
      <c r="R1205" s="1">
        <v>0</v>
      </c>
      <c r="S1205" s="1">
        <v>1524</v>
      </c>
      <c r="T1205" s="1">
        <v>25421</v>
      </c>
      <c r="U1205" s="1">
        <v>0</v>
      </c>
      <c r="V1205" s="1">
        <v>0</v>
      </c>
      <c r="W1205" s="1">
        <v>0</v>
      </c>
      <c r="X1205" s="1">
        <v>1524</v>
      </c>
      <c r="Y1205" s="1">
        <v>25421</v>
      </c>
      <c r="Z1205" s="1">
        <v>1000</v>
      </c>
      <c r="AA1205">
        <v>0</v>
      </c>
      <c r="AB1205" t="str">
        <f t="shared" si="18"/>
        <v>Not Defaulter</v>
      </c>
      <c r="AC1205" s="1">
        <f>Table2[[#This Row],[BILL_AMT1]]-Table2[[#This Row],[PAY_AMT1]]</f>
        <v>2516</v>
      </c>
      <c r="AD1205" s="1" t="str" cm="1">
        <f t="array" ref="AD1205">_xlfn.IFS(Table2[[#This Row],[PAYMENT GAP]]&lt;=0,"No Gap / Overpaid",Table2[[#This Row],[PAYMENT GAP]]&lt;=25000,"Low Gap",Table2[[#This Row],[PAYMENT GAP]]&lt;=100000,"Medium Gap",
TRUE,"High Gap"
)</f>
        <v>Low Gap</v>
      </c>
    </row>
    <row r="1206" spans="1:30" x14ac:dyDescent="0.3">
      <c r="A1206">
        <v>1205</v>
      </c>
      <c r="B1206" s="1">
        <v>210000</v>
      </c>
      <c r="C1206" s="1" t="str" cm="1">
        <f t="array" ref="C1206">_xlfn.IFS(Table2[[#This Row],[LIMIT_BAL]]&lt;=100000,"Low",Table2[[#This Row],[LIMIT_BAL]]&lt;=300000,"Medium",
TRUE,"High"
)</f>
        <v>Medium</v>
      </c>
      <c r="D1206" t="s">
        <v>2041</v>
      </c>
      <c r="E1206" t="s">
        <v>2043</v>
      </c>
      <c r="F1206" t="s">
        <v>2028</v>
      </c>
      <c r="G1206">
        <v>50</v>
      </c>
      <c r="H1206" t="str" cm="1">
        <f t="array" ref="H1206">_xlfn.IFS(
Table2[[#This Row],[AGE]]&lt;30,"Young",
Table2[[#This Row],[AGE]]&lt;40,"Middle Age",
Table2[[#This Row],[AGE]]&lt;50,"Senior",
TRUE,"Super Senior"
)</f>
        <v>Super Senior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 s="1">
        <v>106724</v>
      </c>
      <c r="P1206" s="1">
        <v>109251</v>
      </c>
      <c r="Q1206" s="1">
        <v>103733</v>
      </c>
      <c r="R1206" s="1">
        <v>102027</v>
      </c>
      <c r="S1206" s="1">
        <v>103453</v>
      </c>
      <c r="T1206" s="1">
        <v>103651</v>
      </c>
      <c r="U1206" s="1">
        <v>4037</v>
      </c>
      <c r="V1206" s="1">
        <v>3519</v>
      </c>
      <c r="W1206" s="1">
        <v>3442</v>
      </c>
      <c r="X1206" s="1">
        <v>3553</v>
      </c>
      <c r="Y1206" s="1">
        <v>3625</v>
      </c>
      <c r="Z1206" s="1">
        <v>3470</v>
      </c>
      <c r="AA1206">
        <v>0</v>
      </c>
      <c r="AB1206" t="str">
        <f t="shared" si="18"/>
        <v>Not Defaulter</v>
      </c>
      <c r="AC1206" s="1">
        <f>Table2[[#This Row],[BILL_AMT1]]-Table2[[#This Row],[PAY_AMT1]]</f>
        <v>102687</v>
      </c>
      <c r="AD1206" s="1" t="str" cm="1">
        <f t="array" ref="AD1206">_xlfn.IFS(Table2[[#This Row],[PAYMENT GAP]]&lt;=0,"No Gap / Overpaid",Table2[[#This Row],[PAYMENT GAP]]&lt;=25000,"Low Gap",Table2[[#This Row],[PAYMENT GAP]]&lt;=100000,"Medium Gap",
TRUE,"High Gap"
)</f>
        <v>High Gap</v>
      </c>
    </row>
    <row r="1207" spans="1:30" x14ac:dyDescent="0.3">
      <c r="A1207">
        <v>1206</v>
      </c>
      <c r="B1207" s="1">
        <v>210000</v>
      </c>
      <c r="C1207" s="1" t="str" cm="1">
        <f t="array" ref="C1207">_xlfn.IFS(Table2[[#This Row],[LIMIT_BAL]]&lt;=100000,"Low",Table2[[#This Row],[LIMIT_BAL]]&lt;=300000,"Medium",
TRUE,"High"
)</f>
        <v>Medium</v>
      </c>
      <c r="D1207" t="s">
        <v>2041</v>
      </c>
      <c r="E1207" t="s">
        <v>2043</v>
      </c>
      <c r="F1207" t="s">
        <v>2028</v>
      </c>
      <c r="G1207">
        <v>29</v>
      </c>
      <c r="H1207" t="str" cm="1">
        <f t="array" ref="H1207">_xlfn.IFS(
Table2[[#This Row],[AGE]]&lt;30,"Young",
Table2[[#This Row],[AGE]]&lt;40,"Middle Age",
Table2[[#This Row],[AGE]]&lt;50,"Senior",
TRUE,"Super Senior"
)</f>
        <v>Young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 s="1">
        <v>209807</v>
      </c>
      <c r="P1207" s="1">
        <v>123664</v>
      </c>
      <c r="Q1207" s="1">
        <v>51353</v>
      </c>
      <c r="R1207" s="1">
        <v>43485</v>
      </c>
      <c r="S1207" s="1">
        <v>44784</v>
      </c>
      <c r="T1207" s="1">
        <v>45685</v>
      </c>
      <c r="U1207" s="1">
        <v>5088</v>
      </c>
      <c r="V1207" s="1">
        <v>2000</v>
      </c>
      <c r="W1207" s="1">
        <v>1600</v>
      </c>
      <c r="X1207" s="1">
        <v>2000</v>
      </c>
      <c r="Y1207" s="1">
        <v>1800</v>
      </c>
      <c r="Z1207" s="1">
        <v>1807</v>
      </c>
      <c r="AA1207">
        <v>1</v>
      </c>
      <c r="AB1207" t="str">
        <f t="shared" si="18"/>
        <v>Defaulter</v>
      </c>
      <c r="AC1207" s="1">
        <f>Table2[[#This Row],[BILL_AMT1]]-Table2[[#This Row],[PAY_AMT1]]</f>
        <v>204719</v>
      </c>
      <c r="AD1207" s="1" t="str" cm="1">
        <f t="array" ref="AD1207">_xlfn.IFS(Table2[[#This Row],[PAYMENT GAP]]&lt;=0,"No Gap / Overpaid",Table2[[#This Row],[PAYMENT GAP]]&lt;=25000,"Low Gap",Table2[[#This Row],[PAYMENT GAP]]&lt;=100000,"Medium Gap",
TRUE,"High Gap"
)</f>
        <v>High Gap</v>
      </c>
    </row>
    <row r="1208" spans="1:30" x14ac:dyDescent="0.3">
      <c r="A1208">
        <v>1207</v>
      </c>
      <c r="B1208" s="1">
        <v>70000</v>
      </c>
      <c r="C1208" s="1" t="str" cm="1">
        <f t="array" ref="C1208">_xlfn.IFS(Table2[[#This Row],[LIMIT_BAL]]&lt;=100000,"Low",Table2[[#This Row],[LIMIT_BAL]]&lt;=300000,"Medium",
TRUE,"High"
)</f>
        <v>Low</v>
      </c>
      <c r="D1208" t="s">
        <v>2041</v>
      </c>
      <c r="E1208" t="s">
        <v>2027</v>
      </c>
      <c r="F1208" t="s">
        <v>2028</v>
      </c>
      <c r="G1208">
        <v>49</v>
      </c>
      <c r="H1208" t="str" cm="1">
        <f t="array" ref="H1208">_xlfn.IFS(
Table2[[#This Row],[AGE]]&lt;30,"Young",
Table2[[#This Row],[AGE]]&lt;40,"Middle Age",
Table2[[#This Row],[AGE]]&lt;50,"Senior",
TRUE,"Super Senior"
)</f>
        <v>Senior</v>
      </c>
      <c r="I1208">
        <v>2</v>
      </c>
      <c r="J1208">
        <v>2</v>
      </c>
      <c r="K1208">
        <v>2</v>
      </c>
      <c r="L1208">
        <v>2</v>
      </c>
      <c r="M1208">
        <v>2</v>
      </c>
      <c r="N1208">
        <v>2</v>
      </c>
      <c r="O1208" s="1">
        <v>21024</v>
      </c>
      <c r="P1208" s="1">
        <v>21790</v>
      </c>
      <c r="Q1208" s="1">
        <v>21142</v>
      </c>
      <c r="R1208" s="1">
        <v>23772</v>
      </c>
      <c r="S1208" s="1">
        <v>24930</v>
      </c>
      <c r="T1208" s="1">
        <v>25709</v>
      </c>
      <c r="U1208" s="1">
        <v>1400</v>
      </c>
      <c r="V1208" s="1">
        <v>0</v>
      </c>
      <c r="W1208" s="1">
        <v>3000</v>
      </c>
      <c r="X1208" s="1">
        <v>1700</v>
      </c>
      <c r="Y1208" s="1">
        <v>1340</v>
      </c>
      <c r="Z1208" s="1">
        <v>1100</v>
      </c>
      <c r="AA1208">
        <v>1</v>
      </c>
      <c r="AB1208" t="str">
        <f t="shared" si="18"/>
        <v>Defaulter</v>
      </c>
      <c r="AC1208" s="1">
        <f>Table2[[#This Row],[BILL_AMT1]]-Table2[[#This Row],[PAY_AMT1]]</f>
        <v>19624</v>
      </c>
      <c r="AD1208" s="1" t="str" cm="1">
        <f t="array" ref="AD1208">_xlfn.IFS(Table2[[#This Row],[PAYMENT GAP]]&lt;=0,"No Gap / Overpaid",Table2[[#This Row],[PAYMENT GAP]]&lt;=25000,"Low Gap",Table2[[#This Row],[PAYMENT GAP]]&lt;=100000,"Medium Gap",
TRUE,"High Gap"
)</f>
        <v>Low Gap</v>
      </c>
    </row>
    <row r="1209" spans="1:30" x14ac:dyDescent="0.3">
      <c r="A1209">
        <v>1208</v>
      </c>
      <c r="B1209" s="1">
        <v>200000</v>
      </c>
      <c r="C1209" s="1" t="str" cm="1">
        <f t="array" ref="C1209">_xlfn.IFS(Table2[[#This Row],[LIMIT_BAL]]&lt;=100000,"Low",Table2[[#This Row],[LIMIT_BAL]]&lt;=300000,"Medium",
TRUE,"High"
)</f>
        <v>Medium</v>
      </c>
      <c r="D1209" t="s">
        <v>2042</v>
      </c>
      <c r="E1209" t="s">
        <v>2043</v>
      </c>
      <c r="F1209" t="s">
        <v>2028</v>
      </c>
      <c r="G1209">
        <v>33</v>
      </c>
      <c r="H1209" t="str" cm="1">
        <f t="array" ref="H1209">_xlfn.IFS(
Table2[[#This Row],[AGE]]&lt;30,"Young",
Table2[[#This Row],[AGE]]&lt;40,"Middle Age",
Table2[[#This Row],[AGE]]&lt;50,"Senior",
TRUE,"Super Senior"
)</f>
        <v>Middle Age</v>
      </c>
      <c r="I1209">
        <v>0</v>
      </c>
      <c r="J1209">
        <v>0</v>
      </c>
      <c r="K1209">
        <v>2</v>
      </c>
      <c r="L1209">
        <v>-1</v>
      </c>
      <c r="M1209">
        <v>-1</v>
      </c>
      <c r="N1209">
        <v>0</v>
      </c>
      <c r="O1209" s="1">
        <v>50612</v>
      </c>
      <c r="P1209" s="1">
        <v>10537</v>
      </c>
      <c r="Q1209" s="1">
        <v>5552</v>
      </c>
      <c r="R1209" s="1">
        <v>2506</v>
      </c>
      <c r="S1209" s="1">
        <v>9443</v>
      </c>
      <c r="T1209" s="1">
        <v>11818</v>
      </c>
      <c r="U1209" s="1">
        <v>10023</v>
      </c>
      <c r="V1209" s="1">
        <v>27</v>
      </c>
      <c r="W1209" s="1">
        <v>2614</v>
      </c>
      <c r="X1209" s="1">
        <v>9454</v>
      </c>
      <c r="Y1209" s="1">
        <v>5019</v>
      </c>
      <c r="Z1209" s="1">
        <v>5015</v>
      </c>
      <c r="AA1209">
        <v>0</v>
      </c>
      <c r="AB1209" t="str">
        <f t="shared" si="18"/>
        <v>Not Defaulter</v>
      </c>
      <c r="AC1209" s="1">
        <f>Table2[[#This Row],[BILL_AMT1]]-Table2[[#This Row],[PAY_AMT1]]</f>
        <v>40589</v>
      </c>
      <c r="AD1209" s="1" t="str" cm="1">
        <f t="array" ref="AD1209">_xlfn.IFS(Table2[[#This Row],[PAYMENT GAP]]&lt;=0,"No Gap / Overpaid",Table2[[#This Row],[PAYMENT GAP]]&lt;=25000,"Low Gap",Table2[[#This Row],[PAYMENT GAP]]&lt;=100000,"Medium Gap",
TRUE,"High Gap"
)</f>
        <v>Medium Gap</v>
      </c>
    </row>
    <row r="1210" spans="1:30" x14ac:dyDescent="0.3">
      <c r="A1210">
        <v>1209</v>
      </c>
      <c r="B1210" s="1">
        <v>230000</v>
      </c>
      <c r="C1210" s="1" t="str" cm="1">
        <f t="array" ref="C1210">_xlfn.IFS(Table2[[#This Row],[LIMIT_BAL]]&lt;=100000,"Low",Table2[[#This Row],[LIMIT_BAL]]&lt;=300000,"Medium",
TRUE,"High"
)</f>
        <v>Medium</v>
      </c>
      <c r="D1210" t="s">
        <v>2041</v>
      </c>
      <c r="E1210" t="s">
        <v>2043</v>
      </c>
      <c r="F1210" t="s">
        <v>2028</v>
      </c>
      <c r="G1210">
        <v>51</v>
      </c>
      <c r="H1210" t="str" cm="1">
        <f t="array" ref="H1210">_xlfn.IFS(
Table2[[#This Row],[AGE]]&lt;30,"Young",
Table2[[#This Row],[AGE]]&lt;40,"Middle Age",
Table2[[#This Row],[AGE]]&lt;50,"Senior",
TRUE,"Super Senior"
)</f>
        <v>Super Senior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 s="1">
        <v>51802</v>
      </c>
      <c r="P1210" s="1">
        <v>53956</v>
      </c>
      <c r="Q1210" s="1">
        <v>56968</v>
      </c>
      <c r="R1210" s="1">
        <v>58099</v>
      </c>
      <c r="S1210" s="1">
        <v>59318</v>
      </c>
      <c r="T1210" s="1">
        <v>60504</v>
      </c>
      <c r="U1210" s="1">
        <v>3000</v>
      </c>
      <c r="V1210" s="1">
        <v>3921</v>
      </c>
      <c r="W1210" s="1">
        <v>2079</v>
      </c>
      <c r="X1210" s="1">
        <v>2155</v>
      </c>
      <c r="Y1210" s="1">
        <v>2174</v>
      </c>
      <c r="Z1210" s="1">
        <v>2225</v>
      </c>
      <c r="AA1210">
        <v>1</v>
      </c>
      <c r="AB1210" t="str">
        <f t="shared" si="18"/>
        <v>Defaulter</v>
      </c>
      <c r="AC1210" s="1">
        <f>Table2[[#This Row],[BILL_AMT1]]-Table2[[#This Row],[PAY_AMT1]]</f>
        <v>48802</v>
      </c>
      <c r="AD1210" s="1" t="str" cm="1">
        <f t="array" ref="AD1210">_xlfn.IFS(Table2[[#This Row],[PAYMENT GAP]]&lt;=0,"No Gap / Overpaid",Table2[[#This Row],[PAYMENT GAP]]&lt;=25000,"Low Gap",Table2[[#This Row],[PAYMENT GAP]]&lt;=100000,"Medium Gap",
TRUE,"High Gap"
)</f>
        <v>Medium Gap</v>
      </c>
    </row>
    <row r="1211" spans="1:30" x14ac:dyDescent="0.3">
      <c r="A1211">
        <v>1210</v>
      </c>
      <c r="B1211" s="1">
        <v>20000</v>
      </c>
      <c r="C1211" s="1" t="str" cm="1">
        <f t="array" ref="C1211">_xlfn.IFS(Table2[[#This Row],[LIMIT_BAL]]&lt;=100000,"Low",Table2[[#This Row],[LIMIT_BAL]]&lt;=300000,"Medium",
TRUE,"High"
)</f>
        <v>Low</v>
      </c>
      <c r="D1211" t="s">
        <v>2042</v>
      </c>
      <c r="E1211" t="s">
        <v>2027</v>
      </c>
      <c r="F1211" t="s">
        <v>2028</v>
      </c>
      <c r="G1211">
        <v>23</v>
      </c>
      <c r="H1211" t="str" cm="1">
        <f t="array" ref="H1211">_xlfn.IFS(
Table2[[#This Row],[AGE]]&lt;30,"Young",
Table2[[#This Row],[AGE]]&lt;40,"Middle Age",
Table2[[#This Row],[AGE]]&lt;50,"Senior",
TRUE,"Super Senior"
)</f>
        <v>Young</v>
      </c>
      <c r="I1211">
        <v>-1</v>
      </c>
      <c r="J1211">
        <v>-1</v>
      </c>
      <c r="K1211">
        <v>0</v>
      </c>
      <c r="L1211">
        <v>0</v>
      </c>
      <c r="M1211">
        <v>0</v>
      </c>
      <c r="N1211">
        <v>0</v>
      </c>
      <c r="O1211" s="1">
        <v>3675</v>
      </c>
      <c r="P1211" s="1">
        <v>19316</v>
      </c>
      <c r="Q1211" s="1">
        <v>19844</v>
      </c>
      <c r="R1211" s="1">
        <v>19844</v>
      </c>
      <c r="S1211" s="1">
        <v>20388</v>
      </c>
      <c r="T1211" s="1">
        <v>19554</v>
      </c>
      <c r="U1211" s="1">
        <v>19316</v>
      </c>
      <c r="V1211" s="1">
        <v>1261</v>
      </c>
      <c r="W1211" s="1">
        <v>651</v>
      </c>
      <c r="X1211" s="1">
        <v>803</v>
      </c>
      <c r="Y1211" s="1">
        <v>747</v>
      </c>
      <c r="Z1211" s="1">
        <v>155</v>
      </c>
      <c r="AA1211">
        <v>1</v>
      </c>
      <c r="AB1211" t="str">
        <f t="shared" si="18"/>
        <v>Defaulter</v>
      </c>
      <c r="AC1211" s="1">
        <f>Table2[[#This Row],[BILL_AMT1]]-Table2[[#This Row],[PAY_AMT1]]</f>
        <v>-15641</v>
      </c>
      <c r="AD1211" s="1" t="str" cm="1">
        <f t="array" ref="AD1211">_xlfn.IFS(Table2[[#This Row],[PAYMENT GAP]]&lt;=0,"No Gap / Overpaid",Table2[[#This Row],[PAYMENT GAP]]&lt;=25000,"Low Gap",Table2[[#This Row],[PAYMENT GAP]]&lt;=100000,"Medium Gap",
TRUE,"High Gap"
)</f>
        <v>No Gap / Overpaid</v>
      </c>
    </row>
    <row r="1212" spans="1:30" x14ac:dyDescent="0.3">
      <c r="A1212">
        <v>1211</v>
      </c>
      <c r="B1212" s="1">
        <v>210000</v>
      </c>
      <c r="C1212" s="1" t="str" cm="1">
        <f t="array" ref="C1212">_xlfn.IFS(Table2[[#This Row],[LIMIT_BAL]]&lt;=100000,"Low",Table2[[#This Row],[LIMIT_BAL]]&lt;=300000,"Medium",
TRUE,"High"
)</f>
        <v>Medium</v>
      </c>
      <c r="D1212" t="s">
        <v>2041</v>
      </c>
      <c r="E1212" t="s">
        <v>2026</v>
      </c>
      <c r="F1212" t="s">
        <v>2028</v>
      </c>
      <c r="G1212">
        <v>37</v>
      </c>
      <c r="H1212" t="str" cm="1">
        <f t="array" ref="H1212">_xlfn.IFS(
Table2[[#This Row],[AGE]]&lt;30,"Young",
Table2[[#This Row],[AGE]]&lt;40,"Middle Age",
Table2[[#This Row],[AGE]]&lt;50,"Senior",
TRUE,"Super Senior"
)</f>
        <v>Middle Age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 s="1">
        <v>211749</v>
      </c>
      <c r="P1212" s="1">
        <v>205947</v>
      </c>
      <c r="Q1212" s="1">
        <v>201848</v>
      </c>
      <c r="R1212" s="1">
        <v>168664</v>
      </c>
      <c r="S1212" s="1">
        <v>172013</v>
      </c>
      <c r="T1212" s="1">
        <v>175557</v>
      </c>
      <c r="U1212" s="1">
        <v>7000</v>
      </c>
      <c r="V1212" s="1">
        <v>10015</v>
      </c>
      <c r="W1212" s="1">
        <v>10000</v>
      </c>
      <c r="X1212" s="1">
        <v>5331</v>
      </c>
      <c r="Y1212" s="1">
        <v>5748</v>
      </c>
      <c r="Z1212" s="1">
        <v>48061</v>
      </c>
      <c r="AA1212">
        <v>0</v>
      </c>
      <c r="AB1212" t="str">
        <f t="shared" si="18"/>
        <v>Not Defaulter</v>
      </c>
      <c r="AC1212" s="1">
        <f>Table2[[#This Row],[BILL_AMT1]]-Table2[[#This Row],[PAY_AMT1]]</f>
        <v>204749</v>
      </c>
      <c r="AD1212" s="1" t="str" cm="1">
        <f t="array" ref="AD1212">_xlfn.IFS(Table2[[#This Row],[PAYMENT GAP]]&lt;=0,"No Gap / Overpaid",Table2[[#This Row],[PAYMENT GAP]]&lt;=25000,"Low Gap",Table2[[#This Row],[PAYMENT GAP]]&lt;=100000,"Medium Gap",
TRUE,"High Gap"
)</f>
        <v>High Gap</v>
      </c>
    </row>
    <row r="1213" spans="1:30" x14ac:dyDescent="0.3">
      <c r="A1213">
        <v>1212</v>
      </c>
      <c r="B1213" s="1">
        <v>160000</v>
      </c>
      <c r="C1213" s="1" t="str" cm="1">
        <f t="array" ref="C1213">_xlfn.IFS(Table2[[#This Row],[LIMIT_BAL]]&lt;=100000,"Low",Table2[[#This Row],[LIMIT_BAL]]&lt;=300000,"Medium",
TRUE,"High"
)</f>
        <v>Medium</v>
      </c>
      <c r="D1213" t="s">
        <v>2041</v>
      </c>
      <c r="E1213" t="s">
        <v>2027</v>
      </c>
      <c r="F1213" t="s">
        <v>2029</v>
      </c>
      <c r="G1213">
        <v>26</v>
      </c>
      <c r="H1213" t="str" cm="1">
        <f t="array" ref="H1213">_xlfn.IFS(
Table2[[#This Row],[AGE]]&lt;30,"Young",
Table2[[#This Row],[AGE]]&lt;40,"Middle Age",
Table2[[#This Row],[AGE]]&lt;50,"Senior",
TRUE,"Super Senior"
)</f>
        <v>Young</v>
      </c>
      <c r="I1213">
        <v>-1</v>
      </c>
      <c r="J1213">
        <v>-1</v>
      </c>
      <c r="K1213">
        <v>-1</v>
      </c>
      <c r="L1213">
        <v>-1</v>
      </c>
      <c r="M1213">
        <v>-1</v>
      </c>
      <c r="N1213">
        <v>-1</v>
      </c>
      <c r="O1213" s="1">
        <v>390</v>
      </c>
      <c r="P1213" s="1">
        <v>390</v>
      </c>
      <c r="Q1213" s="1">
        <v>390</v>
      </c>
      <c r="R1213" s="1">
        <v>390</v>
      </c>
      <c r="S1213" s="1">
        <v>390</v>
      </c>
      <c r="T1213" s="1">
        <v>390</v>
      </c>
      <c r="U1213" s="1">
        <v>390</v>
      </c>
      <c r="V1213" s="1">
        <v>390</v>
      </c>
      <c r="W1213" s="1">
        <v>390</v>
      </c>
      <c r="X1213" s="1">
        <v>390</v>
      </c>
      <c r="Y1213" s="1">
        <v>390</v>
      </c>
      <c r="Z1213" s="1">
        <v>390</v>
      </c>
      <c r="AA1213">
        <v>0</v>
      </c>
      <c r="AB1213" t="str">
        <f t="shared" si="18"/>
        <v>Not Defaulter</v>
      </c>
      <c r="AC1213" s="1">
        <f>Table2[[#This Row],[BILL_AMT1]]-Table2[[#This Row],[PAY_AMT1]]</f>
        <v>0</v>
      </c>
      <c r="AD1213" s="1" t="str" cm="1">
        <f t="array" ref="AD1213">_xlfn.IFS(Table2[[#This Row],[PAYMENT GAP]]&lt;=0,"No Gap / Overpaid",Table2[[#This Row],[PAYMENT GAP]]&lt;=25000,"Low Gap",Table2[[#This Row],[PAYMENT GAP]]&lt;=100000,"Medium Gap",
TRUE,"High Gap"
)</f>
        <v>No Gap / Overpaid</v>
      </c>
    </row>
    <row r="1214" spans="1:30" x14ac:dyDescent="0.3">
      <c r="A1214">
        <v>1213</v>
      </c>
      <c r="B1214" s="1">
        <v>290000</v>
      </c>
      <c r="C1214" s="1" t="str" cm="1">
        <f t="array" ref="C1214">_xlfn.IFS(Table2[[#This Row],[LIMIT_BAL]]&lt;=100000,"Low",Table2[[#This Row],[LIMIT_BAL]]&lt;=300000,"Medium",
TRUE,"High"
)</f>
        <v>Medium</v>
      </c>
      <c r="D1214" t="s">
        <v>2041</v>
      </c>
      <c r="E1214" t="s">
        <v>2026</v>
      </c>
      <c r="F1214" t="s">
        <v>2028</v>
      </c>
      <c r="G1214">
        <v>30</v>
      </c>
      <c r="H1214" t="str" cm="1">
        <f t="array" ref="H1214">_xlfn.IFS(
Table2[[#This Row],[AGE]]&lt;30,"Young",
Table2[[#This Row],[AGE]]&lt;40,"Middle Age",
Table2[[#This Row],[AGE]]&lt;50,"Senior",
TRUE,"Super Senior"
)</f>
        <v>Middle Age</v>
      </c>
      <c r="I1214">
        <v>-1</v>
      </c>
      <c r="J1214">
        <v>-1</v>
      </c>
      <c r="K1214">
        <v>-1</v>
      </c>
      <c r="L1214">
        <v>-1</v>
      </c>
      <c r="M1214">
        <v>-1</v>
      </c>
      <c r="N1214">
        <v>-1</v>
      </c>
      <c r="O1214" s="1">
        <v>1312</v>
      </c>
      <c r="P1214" s="1">
        <v>1312</v>
      </c>
      <c r="Q1214" s="1">
        <v>1311</v>
      </c>
      <c r="R1214" s="1">
        <v>1486</v>
      </c>
      <c r="S1214" s="1">
        <v>1488</v>
      </c>
      <c r="T1214" s="1">
        <v>1650</v>
      </c>
      <c r="U1214" s="1">
        <v>1318</v>
      </c>
      <c r="V1214" s="1">
        <v>1317</v>
      </c>
      <c r="W1214" s="1">
        <v>1493</v>
      </c>
      <c r="X1214" s="1">
        <v>1495</v>
      </c>
      <c r="Y1214" s="1">
        <v>1657</v>
      </c>
      <c r="Z1214" s="1">
        <v>35267</v>
      </c>
      <c r="AA1214">
        <v>1</v>
      </c>
      <c r="AB1214" t="str">
        <f t="shared" si="18"/>
        <v>Defaulter</v>
      </c>
      <c r="AC1214" s="1">
        <f>Table2[[#This Row],[BILL_AMT1]]-Table2[[#This Row],[PAY_AMT1]]</f>
        <v>-6</v>
      </c>
      <c r="AD1214" s="1" t="str" cm="1">
        <f t="array" ref="AD1214">_xlfn.IFS(Table2[[#This Row],[PAYMENT GAP]]&lt;=0,"No Gap / Overpaid",Table2[[#This Row],[PAYMENT GAP]]&lt;=25000,"Low Gap",Table2[[#This Row],[PAYMENT GAP]]&lt;=100000,"Medium Gap",
TRUE,"High Gap"
)</f>
        <v>No Gap / Overpaid</v>
      </c>
    </row>
    <row r="1215" spans="1:30" x14ac:dyDescent="0.3">
      <c r="A1215">
        <v>1214</v>
      </c>
      <c r="B1215" s="1">
        <v>80000</v>
      </c>
      <c r="C1215" s="1" t="str" cm="1">
        <f t="array" ref="C1215">_xlfn.IFS(Table2[[#This Row],[LIMIT_BAL]]&lt;=100000,"Low",Table2[[#This Row],[LIMIT_BAL]]&lt;=300000,"Medium",
TRUE,"High"
)</f>
        <v>Low</v>
      </c>
      <c r="D1215" t="s">
        <v>2041</v>
      </c>
      <c r="E1215" t="s">
        <v>2027</v>
      </c>
      <c r="F1215" t="s">
        <v>2028</v>
      </c>
      <c r="G1215">
        <v>26</v>
      </c>
      <c r="H1215" t="str" cm="1">
        <f t="array" ref="H1215">_xlfn.IFS(
Table2[[#This Row],[AGE]]&lt;30,"Young",
Table2[[#This Row],[AGE]]&lt;40,"Middle Age",
Table2[[#This Row],[AGE]]&lt;50,"Senior",
TRUE,"Super Senior"
)</f>
        <v>Young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 s="1">
        <v>63677</v>
      </c>
      <c r="P1215" s="1">
        <v>64162</v>
      </c>
      <c r="Q1215" s="1">
        <v>38141</v>
      </c>
      <c r="R1215" s="1">
        <v>38190</v>
      </c>
      <c r="S1215" s="1">
        <v>38586</v>
      </c>
      <c r="T1215" s="1">
        <v>39962</v>
      </c>
      <c r="U1215" s="1">
        <v>2000</v>
      </c>
      <c r="V1215" s="1">
        <v>1905</v>
      </c>
      <c r="W1215" s="1">
        <v>1350</v>
      </c>
      <c r="X1215" s="1">
        <v>1388</v>
      </c>
      <c r="Y1215" s="1">
        <v>2401</v>
      </c>
      <c r="Z1215" s="1">
        <v>1410</v>
      </c>
      <c r="AA1215">
        <v>0</v>
      </c>
      <c r="AB1215" t="str">
        <f t="shared" si="18"/>
        <v>Not Defaulter</v>
      </c>
      <c r="AC1215" s="1">
        <f>Table2[[#This Row],[BILL_AMT1]]-Table2[[#This Row],[PAY_AMT1]]</f>
        <v>61677</v>
      </c>
      <c r="AD1215" s="1" t="str" cm="1">
        <f t="array" ref="AD1215">_xlfn.IFS(Table2[[#This Row],[PAYMENT GAP]]&lt;=0,"No Gap / Overpaid",Table2[[#This Row],[PAYMENT GAP]]&lt;=25000,"Low Gap",Table2[[#This Row],[PAYMENT GAP]]&lt;=100000,"Medium Gap",
TRUE,"High Gap"
)</f>
        <v>Medium Gap</v>
      </c>
    </row>
    <row r="1216" spans="1:30" x14ac:dyDescent="0.3">
      <c r="A1216">
        <v>1215</v>
      </c>
      <c r="B1216" s="1">
        <v>360000</v>
      </c>
      <c r="C1216" s="1" t="str" cm="1">
        <f t="array" ref="C1216">_xlfn.IFS(Table2[[#This Row],[LIMIT_BAL]]&lt;=100000,"Low",Table2[[#This Row],[LIMIT_BAL]]&lt;=300000,"Medium",
TRUE,"High"
)</f>
        <v>High</v>
      </c>
      <c r="D1216" t="s">
        <v>2042</v>
      </c>
      <c r="E1216" t="s">
        <v>2026</v>
      </c>
      <c r="F1216" t="s">
        <v>2029</v>
      </c>
      <c r="G1216">
        <v>43</v>
      </c>
      <c r="H1216" t="str" cm="1">
        <f t="array" ref="H1216">_xlfn.IFS(
Table2[[#This Row],[AGE]]&lt;30,"Young",
Table2[[#This Row],[AGE]]&lt;40,"Middle Age",
Table2[[#This Row],[AGE]]&lt;50,"Senior",
TRUE,"Super Senior"
)</f>
        <v>Senior</v>
      </c>
      <c r="I1216">
        <v>-1</v>
      </c>
      <c r="J1216">
        <v>-1</v>
      </c>
      <c r="K1216">
        <v>-2</v>
      </c>
      <c r="L1216">
        <v>-2</v>
      </c>
      <c r="M1216">
        <v>-2</v>
      </c>
      <c r="N1216">
        <v>-2</v>
      </c>
      <c r="O1216" s="1">
        <v>4134</v>
      </c>
      <c r="P1216" s="1">
        <v>2128</v>
      </c>
      <c r="Q1216" s="1">
        <v>960</v>
      </c>
      <c r="R1216" s="1">
        <v>6658</v>
      </c>
      <c r="S1216" s="1">
        <v>0</v>
      </c>
      <c r="T1216" s="1">
        <v>0</v>
      </c>
      <c r="U1216" s="1">
        <v>2134</v>
      </c>
      <c r="V1216" s="1">
        <v>982</v>
      </c>
      <c r="W1216" s="1">
        <v>6858</v>
      </c>
      <c r="X1216" s="1">
        <v>0</v>
      </c>
      <c r="Y1216" s="1">
        <v>0</v>
      </c>
      <c r="Z1216" s="1">
        <v>0</v>
      </c>
      <c r="AA1216">
        <v>0</v>
      </c>
      <c r="AB1216" t="str">
        <f t="shared" si="18"/>
        <v>Not Defaulter</v>
      </c>
      <c r="AC1216" s="1">
        <f>Table2[[#This Row],[BILL_AMT1]]-Table2[[#This Row],[PAY_AMT1]]</f>
        <v>2000</v>
      </c>
      <c r="AD1216" s="1" t="str" cm="1">
        <f t="array" ref="AD1216">_xlfn.IFS(Table2[[#This Row],[PAYMENT GAP]]&lt;=0,"No Gap / Overpaid",Table2[[#This Row],[PAYMENT GAP]]&lt;=25000,"Low Gap",Table2[[#This Row],[PAYMENT GAP]]&lt;=100000,"Medium Gap",
TRUE,"High Gap"
)</f>
        <v>Low Gap</v>
      </c>
    </row>
    <row r="1217" spans="1:30" x14ac:dyDescent="0.3">
      <c r="A1217">
        <v>1216</v>
      </c>
      <c r="B1217" s="1">
        <v>230000</v>
      </c>
      <c r="C1217" s="1" t="str" cm="1">
        <f t="array" ref="C1217">_xlfn.IFS(Table2[[#This Row],[LIMIT_BAL]]&lt;=100000,"Low",Table2[[#This Row],[LIMIT_BAL]]&lt;=300000,"Medium",
TRUE,"High"
)</f>
        <v>Medium</v>
      </c>
      <c r="D1217" t="s">
        <v>2042</v>
      </c>
      <c r="E1217" t="s">
        <v>2026</v>
      </c>
      <c r="F1217" t="s">
        <v>2029</v>
      </c>
      <c r="G1217">
        <v>32</v>
      </c>
      <c r="H1217" t="str" cm="1">
        <f t="array" ref="H1217">_xlfn.IFS(
Table2[[#This Row],[AGE]]&lt;30,"Young",
Table2[[#This Row],[AGE]]&lt;40,"Middle Age",
Table2[[#This Row],[AGE]]&lt;50,"Senior",
TRUE,"Super Senior"
)</f>
        <v>Middle Age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 s="1">
        <v>164634</v>
      </c>
      <c r="P1217" s="1">
        <v>166134</v>
      </c>
      <c r="Q1217" s="1">
        <v>142049</v>
      </c>
      <c r="R1217" s="1">
        <v>106677</v>
      </c>
      <c r="S1217" s="1">
        <v>88091</v>
      </c>
      <c r="T1217" s="1">
        <v>60929</v>
      </c>
      <c r="U1217" s="1">
        <v>7326</v>
      </c>
      <c r="V1217" s="1">
        <v>10000</v>
      </c>
      <c r="W1217" s="1">
        <v>10000</v>
      </c>
      <c r="X1217" s="1">
        <v>3000</v>
      </c>
      <c r="Y1217" s="1">
        <v>2000</v>
      </c>
      <c r="Z1217" s="1">
        <v>2000</v>
      </c>
      <c r="AA1217">
        <v>0</v>
      </c>
      <c r="AB1217" t="str">
        <f t="shared" si="18"/>
        <v>Not Defaulter</v>
      </c>
      <c r="AC1217" s="1">
        <f>Table2[[#This Row],[BILL_AMT1]]-Table2[[#This Row],[PAY_AMT1]]</f>
        <v>157308</v>
      </c>
      <c r="AD1217" s="1" t="str" cm="1">
        <f t="array" ref="AD1217">_xlfn.IFS(Table2[[#This Row],[PAYMENT GAP]]&lt;=0,"No Gap / Overpaid",Table2[[#This Row],[PAYMENT GAP]]&lt;=25000,"Low Gap",Table2[[#This Row],[PAYMENT GAP]]&lt;=100000,"Medium Gap",
TRUE,"High Gap"
)</f>
        <v>High Gap</v>
      </c>
    </row>
    <row r="1218" spans="1:30" x14ac:dyDescent="0.3">
      <c r="A1218">
        <v>1217</v>
      </c>
      <c r="B1218" s="1">
        <v>360000</v>
      </c>
      <c r="C1218" s="1" t="str" cm="1">
        <f t="array" ref="C1218">_xlfn.IFS(Table2[[#This Row],[LIMIT_BAL]]&lt;=100000,"Low",Table2[[#This Row],[LIMIT_BAL]]&lt;=300000,"Medium",
TRUE,"High"
)</f>
        <v>High</v>
      </c>
      <c r="D1218" t="s">
        <v>2042</v>
      </c>
      <c r="E1218" t="s">
        <v>2027</v>
      </c>
      <c r="F1218" t="s">
        <v>2028</v>
      </c>
      <c r="G1218">
        <v>54</v>
      </c>
      <c r="H1218" t="str" cm="1">
        <f t="array" ref="H1218">_xlfn.IFS(
Table2[[#This Row],[AGE]]&lt;30,"Young",
Table2[[#This Row],[AGE]]&lt;40,"Middle Age",
Table2[[#This Row],[AGE]]&lt;50,"Senior",
TRUE,"Super Senior"
)</f>
        <v>Super Senior</v>
      </c>
      <c r="I1218">
        <v>-2</v>
      </c>
      <c r="J1218">
        <v>-2</v>
      </c>
      <c r="K1218">
        <v>-2</v>
      </c>
      <c r="L1218">
        <v>-2</v>
      </c>
      <c r="M1218">
        <v>-2</v>
      </c>
      <c r="N1218">
        <v>-1</v>
      </c>
      <c r="O1218" s="1">
        <v>16230</v>
      </c>
      <c r="P1218" s="1">
        <v>-200</v>
      </c>
      <c r="Q1218" s="1">
        <v>0</v>
      </c>
      <c r="R1218" s="1">
        <v>0</v>
      </c>
      <c r="S1218" s="1">
        <v>69000</v>
      </c>
      <c r="T1218" s="1">
        <v>2500</v>
      </c>
      <c r="U1218" s="1">
        <v>0</v>
      </c>
      <c r="V1218" s="1">
        <v>200</v>
      </c>
      <c r="W1218" s="1">
        <v>0</v>
      </c>
      <c r="X1218" s="1">
        <v>69000</v>
      </c>
      <c r="Y1218" s="1">
        <v>2500</v>
      </c>
      <c r="Z1218" s="1">
        <v>0</v>
      </c>
      <c r="AA1218">
        <v>0</v>
      </c>
      <c r="AB1218" t="str">
        <f t="shared" si="18"/>
        <v>Not Defaulter</v>
      </c>
      <c r="AC1218" s="1">
        <f>Table2[[#This Row],[BILL_AMT1]]-Table2[[#This Row],[PAY_AMT1]]</f>
        <v>16230</v>
      </c>
      <c r="AD1218" s="1" t="str" cm="1">
        <f t="array" ref="AD1218">_xlfn.IFS(Table2[[#This Row],[PAYMENT GAP]]&lt;=0,"No Gap / Overpaid",Table2[[#This Row],[PAYMENT GAP]]&lt;=25000,"Low Gap",Table2[[#This Row],[PAYMENT GAP]]&lt;=100000,"Medium Gap",
TRUE,"High Gap"
)</f>
        <v>Low Gap</v>
      </c>
    </row>
    <row r="1219" spans="1:30" x14ac:dyDescent="0.3">
      <c r="A1219">
        <v>1218</v>
      </c>
      <c r="B1219" s="1">
        <v>340000</v>
      </c>
      <c r="C1219" s="1" t="str" cm="1">
        <f t="array" ref="C1219">_xlfn.IFS(Table2[[#This Row],[LIMIT_BAL]]&lt;=100000,"Low",Table2[[#This Row],[LIMIT_BAL]]&lt;=300000,"Medium",
TRUE,"High"
)</f>
        <v>High</v>
      </c>
      <c r="D1219" t="s">
        <v>2041</v>
      </c>
      <c r="E1219" t="s">
        <v>2026</v>
      </c>
      <c r="F1219" t="s">
        <v>2028</v>
      </c>
      <c r="G1219">
        <v>30</v>
      </c>
      <c r="H1219" t="str" cm="1">
        <f t="array" ref="H1219">_xlfn.IFS(
Table2[[#This Row],[AGE]]&lt;30,"Young",
Table2[[#This Row],[AGE]]&lt;40,"Middle Age",
Table2[[#This Row],[AGE]]&lt;50,"Senior",
TRUE,"Super Senior"
)</f>
        <v>Middle Age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 s="1">
        <v>351828</v>
      </c>
      <c r="P1219" s="1">
        <v>280067</v>
      </c>
      <c r="Q1219" s="1">
        <v>259651</v>
      </c>
      <c r="R1219" s="1">
        <v>243094</v>
      </c>
      <c r="S1219" s="1">
        <v>223907</v>
      </c>
      <c r="T1219" s="1">
        <v>216912</v>
      </c>
      <c r="U1219" s="1">
        <v>30076</v>
      </c>
      <c r="V1219" s="1">
        <v>25118</v>
      </c>
      <c r="W1219" s="1">
        <v>20085</v>
      </c>
      <c r="X1219" s="1">
        <v>10041</v>
      </c>
      <c r="Y1219" s="1">
        <v>8184</v>
      </c>
      <c r="Z1219" s="1">
        <v>6626</v>
      </c>
      <c r="AA1219">
        <v>0</v>
      </c>
      <c r="AB1219" t="str">
        <f t="shared" ref="AB1219:AB1282" si="19">IF(AA1219=1,"Defaulter","Not Defaulter")</f>
        <v>Not Defaulter</v>
      </c>
      <c r="AC1219" s="1">
        <f>Table2[[#This Row],[BILL_AMT1]]-Table2[[#This Row],[PAY_AMT1]]</f>
        <v>321752</v>
      </c>
      <c r="AD1219" s="1" t="str" cm="1">
        <f t="array" ref="AD1219">_xlfn.IFS(Table2[[#This Row],[PAYMENT GAP]]&lt;=0,"No Gap / Overpaid",Table2[[#This Row],[PAYMENT GAP]]&lt;=25000,"Low Gap",Table2[[#This Row],[PAYMENT GAP]]&lt;=100000,"Medium Gap",
TRUE,"High Gap"
)</f>
        <v>High Gap</v>
      </c>
    </row>
    <row r="1220" spans="1:30" x14ac:dyDescent="0.3">
      <c r="A1220">
        <v>1219</v>
      </c>
      <c r="B1220" s="1">
        <v>50000</v>
      </c>
      <c r="C1220" s="1" t="str" cm="1">
        <f t="array" ref="C1220">_xlfn.IFS(Table2[[#This Row],[LIMIT_BAL]]&lt;=100000,"Low",Table2[[#This Row],[LIMIT_BAL]]&lt;=300000,"Medium",
TRUE,"High"
)</f>
        <v>Low</v>
      </c>
      <c r="D1220" t="s">
        <v>2041</v>
      </c>
      <c r="E1220" t="s">
        <v>2026</v>
      </c>
      <c r="F1220" t="s">
        <v>2029</v>
      </c>
      <c r="G1220">
        <v>22</v>
      </c>
      <c r="H1220" t="str" cm="1">
        <f t="array" ref="H1220">_xlfn.IFS(
Table2[[#This Row],[AGE]]&lt;30,"Young",
Table2[[#This Row],[AGE]]&lt;40,"Middle Age",
Table2[[#This Row],[AGE]]&lt;50,"Senior",
TRUE,"Super Senior"
)</f>
        <v>Young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 s="1">
        <v>8537</v>
      </c>
      <c r="P1220" s="1">
        <v>9591</v>
      </c>
      <c r="Q1220" s="1">
        <v>10581</v>
      </c>
      <c r="R1220" s="1">
        <v>10818</v>
      </c>
      <c r="S1220" s="1">
        <v>11050</v>
      </c>
      <c r="T1220" s="1">
        <v>10880</v>
      </c>
      <c r="U1220" s="1">
        <v>1200</v>
      </c>
      <c r="V1220" s="1">
        <v>1163</v>
      </c>
      <c r="W1220" s="1">
        <v>400</v>
      </c>
      <c r="X1220" s="1">
        <v>790</v>
      </c>
      <c r="Y1220" s="1">
        <v>400</v>
      </c>
      <c r="Z1220" s="1">
        <v>380</v>
      </c>
      <c r="AA1220">
        <v>0</v>
      </c>
      <c r="AB1220" t="str">
        <f t="shared" si="19"/>
        <v>Not Defaulter</v>
      </c>
      <c r="AC1220" s="1">
        <f>Table2[[#This Row],[BILL_AMT1]]-Table2[[#This Row],[PAY_AMT1]]</f>
        <v>7337</v>
      </c>
      <c r="AD1220" s="1" t="str" cm="1">
        <f t="array" ref="AD1220">_xlfn.IFS(Table2[[#This Row],[PAYMENT GAP]]&lt;=0,"No Gap / Overpaid",Table2[[#This Row],[PAYMENT GAP]]&lt;=25000,"Low Gap",Table2[[#This Row],[PAYMENT GAP]]&lt;=100000,"Medium Gap",
TRUE,"High Gap"
)</f>
        <v>Low Gap</v>
      </c>
    </row>
    <row r="1221" spans="1:30" x14ac:dyDescent="0.3">
      <c r="A1221">
        <v>1220</v>
      </c>
      <c r="B1221" s="1">
        <v>80000</v>
      </c>
      <c r="C1221" s="1" t="str" cm="1">
        <f t="array" ref="C1221">_xlfn.IFS(Table2[[#This Row],[LIMIT_BAL]]&lt;=100000,"Low",Table2[[#This Row],[LIMIT_BAL]]&lt;=300000,"Medium",
TRUE,"High"
)</f>
        <v>Low</v>
      </c>
      <c r="D1221" t="s">
        <v>2042</v>
      </c>
      <c r="E1221" t="s">
        <v>2043</v>
      </c>
      <c r="F1221" t="s">
        <v>2029</v>
      </c>
      <c r="G1221">
        <v>38</v>
      </c>
      <c r="H1221" t="str" cm="1">
        <f t="array" ref="H1221">_xlfn.IFS(
Table2[[#This Row],[AGE]]&lt;30,"Young",
Table2[[#This Row],[AGE]]&lt;40,"Middle Age",
Table2[[#This Row],[AGE]]&lt;50,"Senior",
TRUE,"Super Senior"
)</f>
        <v>Middle Age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s="1">
        <v>89394</v>
      </c>
      <c r="P1221" s="1">
        <v>81223</v>
      </c>
      <c r="Q1221" s="1">
        <v>77198</v>
      </c>
      <c r="R1221" s="1">
        <v>29891</v>
      </c>
      <c r="S1221" s="1">
        <v>34528</v>
      </c>
      <c r="T1221" s="1">
        <v>35229</v>
      </c>
      <c r="U1221" s="1">
        <v>5000</v>
      </c>
      <c r="V1221" s="1">
        <v>19153</v>
      </c>
      <c r="W1221" s="1">
        <v>1500</v>
      </c>
      <c r="X1221" s="1">
        <v>10000</v>
      </c>
      <c r="Y1221" s="1">
        <v>1274</v>
      </c>
      <c r="Z1221" s="1">
        <v>1275</v>
      </c>
      <c r="AA1221">
        <v>0</v>
      </c>
      <c r="AB1221" t="str">
        <f t="shared" si="19"/>
        <v>Not Defaulter</v>
      </c>
      <c r="AC1221" s="1">
        <f>Table2[[#This Row],[BILL_AMT1]]-Table2[[#This Row],[PAY_AMT1]]</f>
        <v>84394</v>
      </c>
      <c r="AD1221" s="1" t="str" cm="1">
        <f t="array" ref="AD1221">_xlfn.IFS(Table2[[#This Row],[PAYMENT GAP]]&lt;=0,"No Gap / Overpaid",Table2[[#This Row],[PAYMENT GAP]]&lt;=25000,"Low Gap",Table2[[#This Row],[PAYMENT GAP]]&lt;=100000,"Medium Gap",
TRUE,"High Gap"
)</f>
        <v>Medium Gap</v>
      </c>
    </row>
    <row r="1222" spans="1:30" x14ac:dyDescent="0.3">
      <c r="A1222">
        <v>1221</v>
      </c>
      <c r="B1222" s="1">
        <v>50000</v>
      </c>
      <c r="C1222" s="1" t="str" cm="1">
        <f t="array" ref="C1222">_xlfn.IFS(Table2[[#This Row],[LIMIT_BAL]]&lt;=100000,"Low",Table2[[#This Row],[LIMIT_BAL]]&lt;=300000,"Medium",
TRUE,"High"
)</f>
        <v>Low</v>
      </c>
      <c r="D1222" t="s">
        <v>2041</v>
      </c>
      <c r="E1222" t="s">
        <v>2043</v>
      </c>
      <c r="F1222" t="s">
        <v>2029</v>
      </c>
      <c r="G1222">
        <v>24</v>
      </c>
      <c r="H1222" t="str" cm="1">
        <f t="array" ref="H1222">_xlfn.IFS(
Table2[[#This Row],[AGE]]&lt;30,"Young",
Table2[[#This Row],[AGE]]&lt;40,"Middle Age",
Table2[[#This Row],[AGE]]&lt;50,"Senior",
TRUE,"Super Senior"
)</f>
        <v>Young</v>
      </c>
      <c r="I1222">
        <v>0</v>
      </c>
      <c r="J1222">
        <v>0</v>
      </c>
      <c r="K1222">
        <v>-1</v>
      </c>
      <c r="L1222">
        <v>-1</v>
      </c>
      <c r="M1222">
        <v>0</v>
      </c>
      <c r="N1222">
        <v>0</v>
      </c>
      <c r="O1222" s="1">
        <v>97043</v>
      </c>
      <c r="P1222" s="1">
        <v>39837</v>
      </c>
      <c r="Q1222" s="1">
        <v>6928</v>
      </c>
      <c r="R1222" s="1">
        <v>17006</v>
      </c>
      <c r="S1222" s="1">
        <v>17363</v>
      </c>
      <c r="T1222" s="1">
        <v>17707</v>
      </c>
      <c r="U1222" s="1">
        <v>2000</v>
      </c>
      <c r="V1222" s="1">
        <v>6943</v>
      </c>
      <c r="W1222" s="1">
        <v>17006</v>
      </c>
      <c r="X1222" s="1">
        <v>630</v>
      </c>
      <c r="Y1222" s="1">
        <v>633</v>
      </c>
      <c r="Z1222" s="1">
        <v>657</v>
      </c>
      <c r="AA1222">
        <v>0</v>
      </c>
      <c r="AB1222" t="str">
        <f t="shared" si="19"/>
        <v>Not Defaulter</v>
      </c>
      <c r="AC1222" s="1">
        <f>Table2[[#This Row],[BILL_AMT1]]-Table2[[#This Row],[PAY_AMT1]]</f>
        <v>95043</v>
      </c>
      <c r="AD1222" s="1" t="str" cm="1">
        <f t="array" ref="AD1222">_xlfn.IFS(Table2[[#This Row],[PAYMENT GAP]]&lt;=0,"No Gap / Overpaid",Table2[[#This Row],[PAYMENT GAP]]&lt;=25000,"Low Gap",Table2[[#This Row],[PAYMENT GAP]]&lt;=100000,"Medium Gap",
TRUE,"High Gap"
)</f>
        <v>Medium Gap</v>
      </c>
    </row>
    <row r="1223" spans="1:30" x14ac:dyDescent="0.3">
      <c r="A1223">
        <v>1222</v>
      </c>
      <c r="B1223" s="1">
        <v>30000</v>
      </c>
      <c r="C1223" s="1" t="str" cm="1">
        <f t="array" ref="C1223">_xlfn.IFS(Table2[[#This Row],[LIMIT_BAL]]&lt;=100000,"Low",Table2[[#This Row],[LIMIT_BAL]]&lt;=300000,"Medium",
TRUE,"High"
)</f>
        <v>Low</v>
      </c>
      <c r="D1223" t="s">
        <v>2041</v>
      </c>
      <c r="E1223" t="s">
        <v>2026</v>
      </c>
      <c r="F1223" t="s">
        <v>2029</v>
      </c>
      <c r="G1223">
        <v>24</v>
      </c>
      <c r="H1223" t="str" cm="1">
        <f t="array" ref="H1223">_xlfn.IFS(
Table2[[#This Row],[AGE]]&lt;30,"Young",
Table2[[#This Row],[AGE]]&lt;40,"Middle Age",
Table2[[#This Row],[AGE]]&lt;50,"Senior",
TRUE,"Super Senior"
)</f>
        <v>Young</v>
      </c>
      <c r="I1223">
        <v>-1</v>
      </c>
      <c r="J1223">
        <v>-1</v>
      </c>
      <c r="K1223">
        <v>-1</v>
      </c>
      <c r="L1223">
        <v>0</v>
      </c>
      <c r="M1223">
        <v>0</v>
      </c>
      <c r="N1223">
        <v>0</v>
      </c>
      <c r="O1223" s="1">
        <v>3019</v>
      </c>
      <c r="P1223" s="1">
        <v>1479</v>
      </c>
      <c r="Q1223" s="1">
        <v>18860</v>
      </c>
      <c r="R1223" s="1">
        <v>950</v>
      </c>
      <c r="S1223" s="1">
        <v>5660</v>
      </c>
      <c r="T1223" s="1">
        <v>0</v>
      </c>
      <c r="U1223" s="1">
        <v>1479</v>
      </c>
      <c r="V1223" s="1">
        <v>18881</v>
      </c>
      <c r="W1223" s="1">
        <v>0</v>
      </c>
      <c r="X1223" s="1">
        <v>4710</v>
      </c>
      <c r="Y1223" s="1">
        <v>0</v>
      </c>
      <c r="Z1223" s="1">
        <v>7153</v>
      </c>
      <c r="AA1223">
        <v>0</v>
      </c>
      <c r="AB1223" t="str">
        <f t="shared" si="19"/>
        <v>Not Defaulter</v>
      </c>
      <c r="AC1223" s="1">
        <f>Table2[[#This Row],[BILL_AMT1]]-Table2[[#This Row],[PAY_AMT1]]</f>
        <v>1540</v>
      </c>
      <c r="AD1223" s="1" t="str" cm="1">
        <f t="array" ref="AD1223">_xlfn.IFS(Table2[[#This Row],[PAYMENT GAP]]&lt;=0,"No Gap / Overpaid",Table2[[#This Row],[PAYMENT GAP]]&lt;=25000,"Low Gap",Table2[[#This Row],[PAYMENT GAP]]&lt;=100000,"Medium Gap",
TRUE,"High Gap"
)</f>
        <v>Low Gap</v>
      </c>
    </row>
    <row r="1224" spans="1:30" x14ac:dyDescent="0.3">
      <c r="A1224">
        <v>1223</v>
      </c>
      <c r="B1224" s="1">
        <v>210000</v>
      </c>
      <c r="C1224" s="1" t="str" cm="1">
        <f t="array" ref="C1224">_xlfn.IFS(Table2[[#This Row],[LIMIT_BAL]]&lt;=100000,"Low",Table2[[#This Row],[LIMIT_BAL]]&lt;=300000,"Medium",
TRUE,"High"
)</f>
        <v>Medium</v>
      </c>
      <c r="D1224" t="s">
        <v>2042</v>
      </c>
      <c r="E1224" t="s">
        <v>2026</v>
      </c>
      <c r="F1224" t="s">
        <v>2029</v>
      </c>
      <c r="G1224">
        <v>26</v>
      </c>
      <c r="H1224" t="str" cm="1">
        <f t="array" ref="H1224">_xlfn.IFS(
Table2[[#This Row],[AGE]]&lt;30,"Young",
Table2[[#This Row],[AGE]]&lt;40,"Middle Age",
Table2[[#This Row],[AGE]]&lt;50,"Senior",
TRUE,"Super Senior"
)</f>
        <v>Young</v>
      </c>
      <c r="I1224">
        <v>-1</v>
      </c>
      <c r="J1224">
        <v>-1</v>
      </c>
      <c r="K1224">
        <v>-2</v>
      </c>
      <c r="L1224">
        <v>-1</v>
      </c>
      <c r="M1224">
        <v>-1</v>
      </c>
      <c r="N1224">
        <v>-2</v>
      </c>
      <c r="O1224" s="1">
        <v>1360</v>
      </c>
      <c r="P1224" s="1">
        <v>0</v>
      </c>
      <c r="Q1224" s="1">
        <v>0</v>
      </c>
      <c r="R1224" s="1">
        <v>3620</v>
      </c>
      <c r="S1224" s="1">
        <v>0</v>
      </c>
      <c r="T1224" s="1">
        <v>0</v>
      </c>
      <c r="U1224" s="1">
        <v>0</v>
      </c>
      <c r="V1224" s="1">
        <v>0</v>
      </c>
      <c r="W1224" s="1">
        <v>3620</v>
      </c>
      <c r="X1224" s="1">
        <v>0</v>
      </c>
      <c r="Y1224" s="1">
        <v>0</v>
      </c>
      <c r="Z1224" s="1">
        <v>15513</v>
      </c>
      <c r="AA1224">
        <v>0</v>
      </c>
      <c r="AB1224" t="str">
        <f t="shared" si="19"/>
        <v>Not Defaulter</v>
      </c>
      <c r="AC1224" s="1">
        <f>Table2[[#This Row],[BILL_AMT1]]-Table2[[#This Row],[PAY_AMT1]]</f>
        <v>1360</v>
      </c>
      <c r="AD1224" s="1" t="str" cm="1">
        <f t="array" ref="AD1224">_xlfn.IFS(Table2[[#This Row],[PAYMENT GAP]]&lt;=0,"No Gap / Overpaid",Table2[[#This Row],[PAYMENT GAP]]&lt;=25000,"Low Gap",Table2[[#This Row],[PAYMENT GAP]]&lt;=100000,"Medium Gap",
TRUE,"High Gap"
)</f>
        <v>Low Gap</v>
      </c>
    </row>
    <row r="1225" spans="1:30" x14ac:dyDescent="0.3">
      <c r="A1225">
        <v>1224</v>
      </c>
      <c r="B1225" s="1">
        <v>150000</v>
      </c>
      <c r="C1225" s="1" t="str" cm="1">
        <f t="array" ref="C1225">_xlfn.IFS(Table2[[#This Row],[LIMIT_BAL]]&lt;=100000,"Low",Table2[[#This Row],[LIMIT_BAL]]&lt;=300000,"Medium",
TRUE,"High"
)</f>
        <v>Medium</v>
      </c>
      <c r="D1225" t="s">
        <v>2041</v>
      </c>
      <c r="E1225" t="s">
        <v>2043</v>
      </c>
      <c r="F1225" t="s">
        <v>2028</v>
      </c>
      <c r="G1225">
        <v>42</v>
      </c>
      <c r="H1225" t="str" cm="1">
        <f t="array" ref="H1225">_xlfn.IFS(
Table2[[#This Row],[AGE]]&lt;30,"Young",
Table2[[#This Row],[AGE]]&lt;40,"Middle Age",
Table2[[#This Row],[AGE]]&lt;50,"Senior",
TRUE,"Super Senior"
)</f>
        <v>Senior</v>
      </c>
      <c r="I1225">
        <v>-1</v>
      </c>
      <c r="J1225">
        <v>-1</v>
      </c>
      <c r="K1225">
        <v>-1</v>
      </c>
      <c r="L1225">
        <v>-1</v>
      </c>
      <c r="M1225">
        <v>-1</v>
      </c>
      <c r="N1225">
        <v>-1</v>
      </c>
      <c r="O1225" s="1">
        <v>3260</v>
      </c>
      <c r="P1225" s="1">
        <v>2270</v>
      </c>
      <c r="Q1225" s="1">
        <v>5887</v>
      </c>
      <c r="R1225" s="1">
        <v>3935</v>
      </c>
      <c r="S1225" s="1">
        <v>3935</v>
      </c>
      <c r="T1225" s="1">
        <v>3935</v>
      </c>
      <c r="U1225" s="1">
        <v>2270</v>
      </c>
      <c r="V1225" s="1">
        <v>5887</v>
      </c>
      <c r="W1225" s="1">
        <v>3935</v>
      </c>
      <c r="X1225" s="1">
        <v>3935</v>
      </c>
      <c r="Y1225" s="1">
        <v>3935</v>
      </c>
      <c r="Z1225" s="1">
        <v>3935</v>
      </c>
      <c r="AA1225">
        <v>1</v>
      </c>
      <c r="AB1225" t="str">
        <f t="shared" si="19"/>
        <v>Defaulter</v>
      </c>
      <c r="AC1225" s="1">
        <f>Table2[[#This Row],[BILL_AMT1]]-Table2[[#This Row],[PAY_AMT1]]</f>
        <v>990</v>
      </c>
      <c r="AD1225" s="1" t="str" cm="1">
        <f t="array" ref="AD1225">_xlfn.IFS(Table2[[#This Row],[PAYMENT GAP]]&lt;=0,"No Gap / Overpaid",Table2[[#This Row],[PAYMENT GAP]]&lt;=25000,"Low Gap",Table2[[#This Row],[PAYMENT GAP]]&lt;=100000,"Medium Gap",
TRUE,"High Gap"
)</f>
        <v>Low Gap</v>
      </c>
    </row>
    <row r="1226" spans="1:30" x14ac:dyDescent="0.3">
      <c r="A1226">
        <v>1225</v>
      </c>
      <c r="B1226" s="1">
        <v>20000</v>
      </c>
      <c r="C1226" s="1" t="str" cm="1">
        <f t="array" ref="C1226">_xlfn.IFS(Table2[[#This Row],[LIMIT_BAL]]&lt;=100000,"Low",Table2[[#This Row],[LIMIT_BAL]]&lt;=300000,"Medium",
TRUE,"High"
)</f>
        <v>Low</v>
      </c>
      <c r="D1226" t="s">
        <v>2042</v>
      </c>
      <c r="E1226" t="s">
        <v>2043</v>
      </c>
      <c r="F1226" t="s">
        <v>2029</v>
      </c>
      <c r="G1226">
        <v>21</v>
      </c>
      <c r="H1226" t="str" cm="1">
        <f t="array" ref="H1226">_xlfn.IFS(
Table2[[#This Row],[AGE]]&lt;30,"Young",
Table2[[#This Row],[AGE]]&lt;40,"Middle Age",
Table2[[#This Row],[AGE]]&lt;50,"Senior",
TRUE,"Super Senior"
)</f>
        <v>Young</v>
      </c>
      <c r="I1226">
        <v>0</v>
      </c>
      <c r="J1226">
        <v>0</v>
      </c>
      <c r="K1226">
        <v>-1</v>
      </c>
      <c r="L1226">
        <v>0</v>
      </c>
      <c r="M1226">
        <v>0</v>
      </c>
      <c r="N1226">
        <v>-2</v>
      </c>
      <c r="O1226" s="1">
        <v>20297</v>
      </c>
      <c r="P1226" s="1">
        <v>17054</v>
      </c>
      <c r="Q1226" s="1">
        <v>2333</v>
      </c>
      <c r="R1226" s="1">
        <v>1300</v>
      </c>
      <c r="S1226" s="1">
        <v>0</v>
      </c>
      <c r="T1226" s="1">
        <v>0</v>
      </c>
      <c r="U1226" s="1">
        <v>1240</v>
      </c>
      <c r="V1226" s="1">
        <v>2333</v>
      </c>
      <c r="W1226" s="1">
        <v>0</v>
      </c>
      <c r="X1226" s="1">
        <v>0</v>
      </c>
      <c r="Y1226" s="1">
        <v>0</v>
      </c>
      <c r="Z1226" s="1">
        <v>0</v>
      </c>
      <c r="AA1226">
        <v>0</v>
      </c>
      <c r="AB1226" t="str">
        <f t="shared" si="19"/>
        <v>Not Defaulter</v>
      </c>
      <c r="AC1226" s="1">
        <f>Table2[[#This Row],[BILL_AMT1]]-Table2[[#This Row],[PAY_AMT1]]</f>
        <v>19057</v>
      </c>
      <c r="AD1226" s="1" t="str" cm="1">
        <f t="array" ref="AD1226">_xlfn.IFS(Table2[[#This Row],[PAYMENT GAP]]&lt;=0,"No Gap / Overpaid",Table2[[#This Row],[PAYMENT GAP]]&lt;=25000,"Low Gap",Table2[[#This Row],[PAYMENT GAP]]&lt;=100000,"Medium Gap",
TRUE,"High Gap"
)</f>
        <v>Low Gap</v>
      </c>
    </row>
    <row r="1227" spans="1:30" x14ac:dyDescent="0.3">
      <c r="A1227">
        <v>1226</v>
      </c>
      <c r="B1227" s="1">
        <v>20000</v>
      </c>
      <c r="C1227" s="1" t="str" cm="1">
        <f t="array" ref="C1227">_xlfn.IFS(Table2[[#This Row],[LIMIT_BAL]]&lt;=100000,"Low",Table2[[#This Row],[LIMIT_BAL]]&lt;=300000,"Medium",
TRUE,"High"
)</f>
        <v>Low</v>
      </c>
      <c r="D1227" t="s">
        <v>2042</v>
      </c>
      <c r="E1227" t="s">
        <v>2027</v>
      </c>
      <c r="F1227" t="s">
        <v>2029</v>
      </c>
      <c r="G1227">
        <v>22</v>
      </c>
      <c r="H1227" t="str" cm="1">
        <f t="array" ref="H1227">_xlfn.IFS(
Table2[[#This Row],[AGE]]&lt;30,"Young",
Table2[[#This Row],[AGE]]&lt;40,"Middle Age",
Table2[[#This Row],[AGE]]&lt;50,"Senior",
TRUE,"Super Senior"
)</f>
        <v>Young</v>
      </c>
      <c r="I1227">
        <v>0</v>
      </c>
      <c r="J1227">
        <v>0</v>
      </c>
      <c r="K1227">
        <v>0</v>
      </c>
      <c r="L1227">
        <v>-2</v>
      </c>
      <c r="M1227">
        <v>-2</v>
      </c>
      <c r="N1227">
        <v>-2</v>
      </c>
      <c r="O1227" s="1">
        <v>19624</v>
      </c>
      <c r="P1227" s="1">
        <v>16972</v>
      </c>
      <c r="Q1227" s="1">
        <v>0</v>
      </c>
      <c r="R1227" s="1">
        <v>0</v>
      </c>
      <c r="S1227" s="1">
        <v>0</v>
      </c>
      <c r="T1227" s="1">
        <v>0</v>
      </c>
      <c r="U1227" s="1">
        <v>1000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>
        <v>1</v>
      </c>
      <c r="AB1227" t="str">
        <f t="shared" si="19"/>
        <v>Defaulter</v>
      </c>
      <c r="AC1227" s="1">
        <f>Table2[[#This Row],[BILL_AMT1]]-Table2[[#This Row],[PAY_AMT1]]</f>
        <v>18624</v>
      </c>
      <c r="AD1227" s="1" t="str" cm="1">
        <f t="array" ref="AD1227">_xlfn.IFS(Table2[[#This Row],[PAYMENT GAP]]&lt;=0,"No Gap / Overpaid",Table2[[#This Row],[PAYMENT GAP]]&lt;=25000,"Low Gap",Table2[[#This Row],[PAYMENT GAP]]&lt;=100000,"Medium Gap",
TRUE,"High Gap"
)</f>
        <v>Low Gap</v>
      </c>
    </row>
    <row r="1228" spans="1:30" x14ac:dyDescent="0.3">
      <c r="A1228">
        <v>1227</v>
      </c>
      <c r="B1228" s="1">
        <v>240000</v>
      </c>
      <c r="C1228" s="1" t="str" cm="1">
        <f t="array" ref="C1228">_xlfn.IFS(Table2[[#This Row],[LIMIT_BAL]]&lt;=100000,"Low",Table2[[#This Row],[LIMIT_BAL]]&lt;=300000,"Medium",
TRUE,"High"
)</f>
        <v>Medium</v>
      </c>
      <c r="D1228" t="s">
        <v>2041</v>
      </c>
      <c r="E1228" t="s">
        <v>2027</v>
      </c>
      <c r="F1228" t="s">
        <v>2028</v>
      </c>
      <c r="G1228">
        <v>41</v>
      </c>
      <c r="H1228" t="str" cm="1">
        <f t="array" ref="H1228">_xlfn.IFS(
Table2[[#This Row],[AGE]]&lt;30,"Young",
Table2[[#This Row],[AGE]]&lt;40,"Middle Age",
Table2[[#This Row],[AGE]]&lt;50,"Senior",
TRUE,"Super Senior"
)</f>
        <v>Senior</v>
      </c>
      <c r="I1228">
        <v>-1</v>
      </c>
      <c r="J1228">
        <v>-1</v>
      </c>
      <c r="K1228">
        <v>-2</v>
      </c>
      <c r="L1228">
        <v>-1</v>
      </c>
      <c r="M1228">
        <v>-1</v>
      </c>
      <c r="N1228">
        <v>-1</v>
      </c>
      <c r="O1228" s="1">
        <v>5325</v>
      </c>
      <c r="P1228" s="1">
        <v>-5</v>
      </c>
      <c r="Q1228" s="1">
        <v>-5</v>
      </c>
      <c r="R1228" s="1">
        <v>1074</v>
      </c>
      <c r="S1228" s="1">
        <v>1972</v>
      </c>
      <c r="T1228" s="1">
        <v>1876</v>
      </c>
      <c r="U1228" s="1">
        <v>5</v>
      </c>
      <c r="V1228" s="1">
        <v>0</v>
      </c>
      <c r="W1228" s="1">
        <v>1079</v>
      </c>
      <c r="X1228" s="1">
        <v>1977</v>
      </c>
      <c r="Y1228" s="1">
        <v>1885</v>
      </c>
      <c r="Z1228" s="1">
        <v>1211</v>
      </c>
      <c r="AA1228">
        <v>0</v>
      </c>
      <c r="AB1228" t="str">
        <f t="shared" si="19"/>
        <v>Not Defaulter</v>
      </c>
      <c r="AC1228" s="1">
        <f>Table2[[#This Row],[BILL_AMT1]]-Table2[[#This Row],[PAY_AMT1]]</f>
        <v>5320</v>
      </c>
      <c r="AD1228" s="1" t="str" cm="1">
        <f t="array" ref="AD1228">_xlfn.IFS(Table2[[#This Row],[PAYMENT GAP]]&lt;=0,"No Gap / Overpaid",Table2[[#This Row],[PAYMENT GAP]]&lt;=25000,"Low Gap",Table2[[#This Row],[PAYMENT GAP]]&lt;=100000,"Medium Gap",
TRUE,"High Gap"
)</f>
        <v>Low Gap</v>
      </c>
    </row>
    <row r="1229" spans="1:30" x14ac:dyDescent="0.3">
      <c r="A1229">
        <v>1228</v>
      </c>
      <c r="B1229" s="1">
        <v>500000</v>
      </c>
      <c r="C1229" s="1" t="str" cm="1">
        <f t="array" ref="C1229">_xlfn.IFS(Table2[[#This Row],[LIMIT_BAL]]&lt;=100000,"Low",Table2[[#This Row],[LIMIT_BAL]]&lt;=300000,"Medium",
TRUE,"High"
)</f>
        <v>High</v>
      </c>
      <c r="D1229" t="s">
        <v>2041</v>
      </c>
      <c r="E1229" t="s">
        <v>2043</v>
      </c>
      <c r="F1229" t="s">
        <v>2028</v>
      </c>
      <c r="G1229">
        <v>50</v>
      </c>
      <c r="H1229" t="str" cm="1">
        <f t="array" ref="H1229">_xlfn.IFS(
Table2[[#This Row],[AGE]]&lt;30,"Young",
Table2[[#This Row],[AGE]]&lt;40,"Middle Age",
Table2[[#This Row],[AGE]]&lt;50,"Senior",
TRUE,"Super Senior"
)</f>
        <v>Super Senior</v>
      </c>
      <c r="I1229">
        <v>-2</v>
      </c>
      <c r="J1229">
        <v>-1</v>
      </c>
      <c r="K1229">
        <v>-1</v>
      </c>
      <c r="L1229">
        <v>-1</v>
      </c>
      <c r="M1229">
        <v>-1</v>
      </c>
      <c r="N1229">
        <v>-1</v>
      </c>
      <c r="O1229" s="1">
        <v>16984</v>
      </c>
      <c r="P1229" s="1">
        <v>86772</v>
      </c>
      <c r="Q1229" s="1">
        <v>53170</v>
      </c>
      <c r="R1229" s="1">
        <v>28622</v>
      </c>
      <c r="S1229" s="1">
        <v>19140</v>
      </c>
      <c r="T1229" s="1">
        <v>0</v>
      </c>
      <c r="U1229" s="1">
        <v>87004</v>
      </c>
      <c r="V1229" s="1">
        <v>53192</v>
      </c>
      <c r="W1229" s="1">
        <v>28622</v>
      </c>
      <c r="X1229" s="1">
        <v>19140</v>
      </c>
      <c r="Y1229" s="1">
        <v>0</v>
      </c>
      <c r="Z1229" s="1">
        <v>20211</v>
      </c>
      <c r="AA1229">
        <v>0</v>
      </c>
      <c r="AB1229" t="str">
        <f t="shared" si="19"/>
        <v>Not Defaulter</v>
      </c>
      <c r="AC1229" s="1">
        <f>Table2[[#This Row],[BILL_AMT1]]-Table2[[#This Row],[PAY_AMT1]]</f>
        <v>-70020</v>
      </c>
      <c r="AD1229" s="1" t="str" cm="1">
        <f t="array" ref="AD1229">_xlfn.IFS(Table2[[#This Row],[PAYMENT GAP]]&lt;=0,"No Gap / Overpaid",Table2[[#This Row],[PAYMENT GAP]]&lt;=25000,"Low Gap",Table2[[#This Row],[PAYMENT GAP]]&lt;=100000,"Medium Gap",
TRUE,"High Gap"
)</f>
        <v>No Gap / Overpaid</v>
      </c>
    </row>
    <row r="1230" spans="1:30" x14ac:dyDescent="0.3">
      <c r="A1230">
        <v>1229</v>
      </c>
      <c r="B1230" s="1">
        <v>90000</v>
      </c>
      <c r="C1230" s="1" t="str" cm="1">
        <f t="array" ref="C1230">_xlfn.IFS(Table2[[#This Row],[LIMIT_BAL]]&lt;=100000,"Low",Table2[[#This Row],[LIMIT_BAL]]&lt;=300000,"Medium",
TRUE,"High"
)</f>
        <v>Low</v>
      </c>
      <c r="D1230" t="s">
        <v>2041</v>
      </c>
      <c r="E1230" t="s">
        <v>2043</v>
      </c>
      <c r="F1230" t="s">
        <v>2028</v>
      </c>
      <c r="G1230">
        <v>23</v>
      </c>
      <c r="H1230" t="str" cm="1">
        <f t="array" ref="H1230">_xlfn.IFS(
Table2[[#This Row],[AGE]]&lt;30,"Young",
Table2[[#This Row],[AGE]]&lt;40,"Middle Age",
Table2[[#This Row],[AGE]]&lt;50,"Senior",
TRUE,"Super Senior"
)</f>
        <v>Young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 s="1">
        <v>12770</v>
      </c>
      <c r="P1230" s="1">
        <v>14241</v>
      </c>
      <c r="Q1230" s="1">
        <v>14895</v>
      </c>
      <c r="R1230" s="1">
        <v>25195</v>
      </c>
      <c r="S1230" s="1">
        <v>23769</v>
      </c>
      <c r="T1230" s="1">
        <v>2269</v>
      </c>
      <c r="U1230" s="1">
        <v>2500</v>
      </c>
      <c r="V1230" s="1">
        <v>1200</v>
      </c>
      <c r="W1230" s="1">
        <v>10500</v>
      </c>
      <c r="X1230" s="1">
        <v>7000</v>
      </c>
      <c r="Y1230" s="1">
        <v>1000</v>
      </c>
      <c r="Z1230" s="1">
        <v>0</v>
      </c>
      <c r="AA1230">
        <v>1</v>
      </c>
      <c r="AB1230" t="str">
        <f t="shared" si="19"/>
        <v>Defaulter</v>
      </c>
      <c r="AC1230" s="1">
        <f>Table2[[#This Row],[BILL_AMT1]]-Table2[[#This Row],[PAY_AMT1]]</f>
        <v>10270</v>
      </c>
      <c r="AD1230" s="1" t="str" cm="1">
        <f t="array" ref="AD1230">_xlfn.IFS(Table2[[#This Row],[PAYMENT GAP]]&lt;=0,"No Gap / Overpaid",Table2[[#This Row],[PAYMENT GAP]]&lt;=25000,"Low Gap",Table2[[#This Row],[PAYMENT GAP]]&lt;=100000,"Medium Gap",
TRUE,"High Gap"
)</f>
        <v>Low Gap</v>
      </c>
    </row>
    <row r="1231" spans="1:30" x14ac:dyDescent="0.3">
      <c r="A1231">
        <v>1230</v>
      </c>
      <c r="B1231" s="1">
        <v>50000</v>
      </c>
      <c r="C1231" s="1" t="str" cm="1">
        <f t="array" ref="C1231">_xlfn.IFS(Table2[[#This Row],[LIMIT_BAL]]&lt;=100000,"Low",Table2[[#This Row],[LIMIT_BAL]]&lt;=300000,"Medium",
TRUE,"High"
)</f>
        <v>Low</v>
      </c>
      <c r="D1231" t="s">
        <v>2042</v>
      </c>
      <c r="E1231" t="s">
        <v>2027</v>
      </c>
      <c r="F1231" t="s">
        <v>2029</v>
      </c>
      <c r="G1231">
        <v>46</v>
      </c>
      <c r="H1231" t="str" cm="1">
        <f t="array" ref="H1231">_xlfn.IFS(
Table2[[#This Row],[AGE]]&lt;30,"Young",
Table2[[#This Row],[AGE]]&lt;40,"Middle Age",
Table2[[#This Row],[AGE]]&lt;50,"Senior",
TRUE,"Super Senior"
)</f>
        <v>Senior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 s="1">
        <v>50131</v>
      </c>
      <c r="P1231" s="1">
        <v>28152</v>
      </c>
      <c r="Q1231" s="1">
        <v>20746</v>
      </c>
      <c r="R1231" s="1">
        <v>27624</v>
      </c>
      <c r="S1231" s="1">
        <v>16015</v>
      </c>
      <c r="T1231" s="1">
        <v>16746</v>
      </c>
      <c r="U1231" s="1">
        <v>1388</v>
      </c>
      <c r="V1231" s="1">
        <v>2011</v>
      </c>
      <c r="W1231" s="1">
        <v>1006</v>
      </c>
      <c r="X1231" s="1">
        <v>1000</v>
      </c>
      <c r="Y1231" s="1">
        <v>1000</v>
      </c>
      <c r="Z1231" s="1">
        <v>1000</v>
      </c>
      <c r="AA1231">
        <v>0</v>
      </c>
      <c r="AB1231" t="str">
        <f t="shared" si="19"/>
        <v>Not Defaulter</v>
      </c>
      <c r="AC1231" s="1">
        <f>Table2[[#This Row],[BILL_AMT1]]-Table2[[#This Row],[PAY_AMT1]]</f>
        <v>48743</v>
      </c>
      <c r="AD1231" s="1" t="str" cm="1">
        <f t="array" ref="AD1231">_xlfn.IFS(Table2[[#This Row],[PAYMENT GAP]]&lt;=0,"No Gap / Overpaid",Table2[[#This Row],[PAYMENT GAP]]&lt;=25000,"Low Gap",Table2[[#This Row],[PAYMENT GAP]]&lt;=100000,"Medium Gap",
TRUE,"High Gap"
)</f>
        <v>Medium Gap</v>
      </c>
    </row>
    <row r="1232" spans="1:30" x14ac:dyDescent="0.3">
      <c r="A1232">
        <v>1231</v>
      </c>
      <c r="B1232" s="1">
        <v>50000</v>
      </c>
      <c r="C1232" s="1" t="str" cm="1">
        <f t="array" ref="C1232">_xlfn.IFS(Table2[[#This Row],[LIMIT_BAL]]&lt;=100000,"Low",Table2[[#This Row],[LIMIT_BAL]]&lt;=300000,"Medium",
TRUE,"High"
)</f>
        <v>Low</v>
      </c>
      <c r="D1232" t="s">
        <v>2041</v>
      </c>
      <c r="E1232" t="s">
        <v>2043</v>
      </c>
      <c r="F1232" t="s">
        <v>2029</v>
      </c>
      <c r="G1232">
        <v>22</v>
      </c>
      <c r="H1232" t="str" cm="1">
        <f t="array" ref="H1232">_xlfn.IFS(
Table2[[#This Row],[AGE]]&lt;30,"Young",
Table2[[#This Row],[AGE]]&lt;40,"Middle Age",
Table2[[#This Row],[AGE]]&lt;50,"Senior",
TRUE,"Super Senior"
)</f>
        <v>Young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 s="1">
        <v>50834</v>
      </c>
      <c r="P1232" s="1">
        <v>50770</v>
      </c>
      <c r="Q1232" s="1">
        <v>50215</v>
      </c>
      <c r="R1232" s="1">
        <v>29386</v>
      </c>
      <c r="S1232" s="1">
        <v>29527</v>
      </c>
      <c r="T1232" s="1">
        <v>30125</v>
      </c>
      <c r="U1232" s="1">
        <v>2200</v>
      </c>
      <c r="V1232" s="1">
        <v>1517</v>
      </c>
      <c r="W1232" s="1">
        <v>1000</v>
      </c>
      <c r="X1232" s="1">
        <v>1500</v>
      </c>
      <c r="Y1232" s="1">
        <v>2005</v>
      </c>
      <c r="Z1232" s="1">
        <v>1305</v>
      </c>
      <c r="AA1232">
        <v>1</v>
      </c>
      <c r="AB1232" t="str">
        <f t="shared" si="19"/>
        <v>Defaulter</v>
      </c>
      <c r="AC1232" s="1">
        <f>Table2[[#This Row],[BILL_AMT1]]-Table2[[#This Row],[PAY_AMT1]]</f>
        <v>48634</v>
      </c>
      <c r="AD1232" s="1" t="str" cm="1">
        <f t="array" ref="AD1232">_xlfn.IFS(Table2[[#This Row],[PAYMENT GAP]]&lt;=0,"No Gap / Overpaid",Table2[[#This Row],[PAYMENT GAP]]&lt;=25000,"Low Gap",Table2[[#This Row],[PAYMENT GAP]]&lt;=100000,"Medium Gap",
TRUE,"High Gap"
)</f>
        <v>Medium Gap</v>
      </c>
    </row>
    <row r="1233" spans="1:30" x14ac:dyDescent="0.3">
      <c r="A1233">
        <v>1232</v>
      </c>
      <c r="B1233" s="1">
        <v>680000</v>
      </c>
      <c r="C1233" s="1" t="str" cm="1">
        <f t="array" ref="C1233">_xlfn.IFS(Table2[[#This Row],[LIMIT_BAL]]&lt;=100000,"Low",Table2[[#This Row],[LIMIT_BAL]]&lt;=300000,"Medium",
TRUE,"High"
)</f>
        <v>High</v>
      </c>
      <c r="D1233" t="s">
        <v>2042</v>
      </c>
      <c r="E1233" t="s">
        <v>2026</v>
      </c>
      <c r="F1233" t="s">
        <v>2029</v>
      </c>
      <c r="G1233">
        <v>37</v>
      </c>
      <c r="H1233" t="str" cm="1">
        <f t="array" ref="H1233">_xlfn.IFS(
Table2[[#This Row],[AGE]]&lt;30,"Young",
Table2[[#This Row],[AGE]]&lt;40,"Middle Age",
Table2[[#This Row],[AGE]]&lt;50,"Senior",
TRUE,"Super Senior"
)</f>
        <v>Middle Age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 s="1">
        <v>18314</v>
      </c>
      <c r="P1233" s="1">
        <v>16088</v>
      </c>
      <c r="Q1233" s="1">
        <v>17806</v>
      </c>
      <c r="R1233" s="1">
        <v>15498</v>
      </c>
      <c r="S1233" s="1">
        <v>13810</v>
      </c>
      <c r="T1233" s="1">
        <v>164969</v>
      </c>
      <c r="U1233" s="1">
        <v>2700</v>
      </c>
      <c r="V1233" s="1">
        <v>2400</v>
      </c>
      <c r="W1233" s="1">
        <v>600</v>
      </c>
      <c r="X1233" s="1">
        <v>400</v>
      </c>
      <c r="Y1233" s="1">
        <v>161000</v>
      </c>
      <c r="Z1233" s="1">
        <v>5800</v>
      </c>
      <c r="AA1233">
        <v>0</v>
      </c>
      <c r="AB1233" t="str">
        <f t="shared" si="19"/>
        <v>Not Defaulter</v>
      </c>
      <c r="AC1233" s="1">
        <f>Table2[[#This Row],[BILL_AMT1]]-Table2[[#This Row],[PAY_AMT1]]</f>
        <v>15614</v>
      </c>
      <c r="AD1233" s="1" t="str" cm="1">
        <f t="array" ref="AD1233">_xlfn.IFS(Table2[[#This Row],[PAYMENT GAP]]&lt;=0,"No Gap / Overpaid",Table2[[#This Row],[PAYMENT GAP]]&lt;=25000,"Low Gap",Table2[[#This Row],[PAYMENT GAP]]&lt;=100000,"Medium Gap",
TRUE,"High Gap"
)</f>
        <v>Low Gap</v>
      </c>
    </row>
    <row r="1234" spans="1:30" x14ac:dyDescent="0.3">
      <c r="A1234">
        <v>1233</v>
      </c>
      <c r="B1234" s="1">
        <v>50000</v>
      </c>
      <c r="C1234" s="1" t="str" cm="1">
        <f t="array" ref="C1234">_xlfn.IFS(Table2[[#This Row],[LIMIT_BAL]]&lt;=100000,"Low",Table2[[#This Row],[LIMIT_BAL]]&lt;=300000,"Medium",
TRUE,"High"
)</f>
        <v>Low</v>
      </c>
      <c r="D1234" t="s">
        <v>2042</v>
      </c>
      <c r="E1234" t="s">
        <v>2026</v>
      </c>
      <c r="F1234" t="s">
        <v>2028</v>
      </c>
      <c r="G1234">
        <v>47</v>
      </c>
      <c r="H1234" t="str" cm="1">
        <f t="array" ref="H1234">_xlfn.IFS(
Table2[[#This Row],[AGE]]&lt;30,"Young",
Table2[[#This Row],[AGE]]&lt;40,"Middle Age",
Table2[[#This Row],[AGE]]&lt;50,"Senior",
TRUE,"Super Senior"
)</f>
        <v>Senior</v>
      </c>
      <c r="I1234">
        <v>0</v>
      </c>
      <c r="J1234">
        <v>0</v>
      </c>
      <c r="K1234">
        <v>2</v>
      </c>
      <c r="L1234">
        <v>2</v>
      </c>
      <c r="M1234">
        <v>2</v>
      </c>
      <c r="N1234">
        <v>2</v>
      </c>
      <c r="O1234" s="1">
        <v>45717</v>
      </c>
      <c r="P1234" s="1">
        <v>47974</v>
      </c>
      <c r="Q1234" s="1">
        <v>49837</v>
      </c>
      <c r="R1234" s="1">
        <v>50807</v>
      </c>
      <c r="S1234" s="1">
        <v>49947</v>
      </c>
      <c r="T1234" s="1">
        <v>50424</v>
      </c>
      <c r="U1234" s="1">
        <v>3000</v>
      </c>
      <c r="V1234" s="1">
        <v>3000</v>
      </c>
      <c r="W1234" s="1">
        <v>2000</v>
      </c>
      <c r="X1234" s="1">
        <v>0</v>
      </c>
      <c r="Y1234" s="1">
        <v>5000</v>
      </c>
      <c r="Z1234" s="1">
        <v>0</v>
      </c>
      <c r="AA1234">
        <v>0</v>
      </c>
      <c r="AB1234" t="str">
        <f t="shared" si="19"/>
        <v>Not Defaulter</v>
      </c>
      <c r="AC1234" s="1">
        <f>Table2[[#This Row],[BILL_AMT1]]-Table2[[#This Row],[PAY_AMT1]]</f>
        <v>42717</v>
      </c>
      <c r="AD1234" s="1" t="str" cm="1">
        <f t="array" ref="AD1234">_xlfn.IFS(Table2[[#This Row],[PAYMENT GAP]]&lt;=0,"No Gap / Overpaid",Table2[[#This Row],[PAYMENT GAP]]&lt;=25000,"Low Gap",Table2[[#This Row],[PAYMENT GAP]]&lt;=100000,"Medium Gap",
TRUE,"High Gap"
)</f>
        <v>Medium Gap</v>
      </c>
    </row>
    <row r="1235" spans="1:30" x14ac:dyDescent="0.3">
      <c r="A1235">
        <v>1234</v>
      </c>
      <c r="B1235" s="1">
        <v>100000</v>
      </c>
      <c r="C1235" s="1" t="str" cm="1">
        <f t="array" ref="C1235">_xlfn.IFS(Table2[[#This Row],[LIMIT_BAL]]&lt;=100000,"Low",Table2[[#This Row],[LIMIT_BAL]]&lt;=300000,"Medium",
TRUE,"High"
)</f>
        <v>Low</v>
      </c>
      <c r="D1235" t="s">
        <v>2041</v>
      </c>
      <c r="E1235" t="s">
        <v>2043</v>
      </c>
      <c r="F1235" t="s">
        <v>2028</v>
      </c>
      <c r="G1235">
        <v>40</v>
      </c>
      <c r="H1235" t="str" cm="1">
        <f t="array" ref="H1235">_xlfn.IFS(
Table2[[#This Row],[AGE]]&lt;30,"Young",
Table2[[#This Row],[AGE]]&lt;40,"Middle Age",
Table2[[#This Row],[AGE]]&lt;50,"Senior",
TRUE,"Super Senior"
)</f>
        <v>Senior</v>
      </c>
      <c r="I1235">
        <v>-1</v>
      </c>
      <c r="J1235">
        <v>-1</v>
      </c>
      <c r="K1235">
        <v>-1</v>
      </c>
      <c r="L1235">
        <v>0</v>
      </c>
      <c r="M1235">
        <v>-1</v>
      </c>
      <c r="N1235">
        <v>-1</v>
      </c>
      <c r="O1235" s="1">
        <v>326</v>
      </c>
      <c r="P1235" s="1">
        <v>326</v>
      </c>
      <c r="Q1235" s="1">
        <v>652</v>
      </c>
      <c r="R1235" s="1">
        <v>326</v>
      </c>
      <c r="S1235" s="1">
        <v>326</v>
      </c>
      <c r="T1235" s="1">
        <v>326</v>
      </c>
      <c r="U1235" s="1">
        <v>326</v>
      </c>
      <c r="V1235" s="1">
        <v>652</v>
      </c>
      <c r="W1235" s="1">
        <v>0</v>
      </c>
      <c r="X1235" s="1">
        <v>326</v>
      </c>
      <c r="Y1235" s="1">
        <v>326</v>
      </c>
      <c r="Z1235" s="1">
        <v>652</v>
      </c>
      <c r="AA1235">
        <v>0</v>
      </c>
      <c r="AB1235" t="str">
        <f t="shared" si="19"/>
        <v>Not Defaulter</v>
      </c>
      <c r="AC1235" s="1">
        <f>Table2[[#This Row],[BILL_AMT1]]-Table2[[#This Row],[PAY_AMT1]]</f>
        <v>0</v>
      </c>
      <c r="AD1235" s="1" t="str" cm="1">
        <f t="array" ref="AD1235">_xlfn.IFS(Table2[[#This Row],[PAYMENT GAP]]&lt;=0,"No Gap / Overpaid",Table2[[#This Row],[PAYMENT GAP]]&lt;=25000,"Low Gap",Table2[[#This Row],[PAYMENT GAP]]&lt;=100000,"Medium Gap",
TRUE,"High Gap"
)</f>
        <v>No Gap / Overpaid</v>
      </c>
    </row>
    <row r="1236" spans="1:30" x14ac:dyDescent="0.3">
      <c r="A1236">
        <v>1235</v>
      </c>
      <c r="B1236" s="1">
        <v>280000</v>
      </c>
      <c r="C1236" s="1" t="str" cm="1">
        <f t="array" ref="C1236">_xlfn.IFS(Table2[[#This Row],[LIMIT_BAL]]&lt;=100000,"Low",Table2[[#This Row],[LIMIT_BAL]]&lt;=300000,"Medium",
TRUE,"High"
)</f>
        <v>Medium</v>
      </c>
      <c r="D1236" t="s">
        <v>2041</v>
      </c>
      <c r="E1236" t="s">
        <v>2026</v>
      </c>
      <c r="F1236" t="s">
        <v>2029</v>
      </c>
      <c r="G1236">
        <v>30</v>
      </c>
      <c r="H1236" t="str" cm="1">
        <f t="array" ref="H1236">_xlfn.IFS(
Table2[[#This Row],[AGE]]&lt;30,"Young",
Table2[[#This Row],[AGE]]&lt;40,"Middle Age",
Table2[[#This Row],[AGE]]&lt;50,"Senior",
TRUE,"Super Senior"
)</f>
        <v>Middle Age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 s="1">
        <v>270276</v>
      </c>
      <c r="P1236" s="1">
        <v>506260</v>
      </c>
      <c r="Q1236" s="1">
        <v>263734</v>
      </c>
      <c r="R1236" s="1">
        <v>268216</v>
      </c>
      <c r="S1236" s="1">
        <v>262895</v>
      </c>
      <c r="T1236" s="1">
        <v>264508</v>
      </c>
      <c r="U1236" s="1">
        <v>11000</v>
      </c>
      <c r="V1236" s="1">
        <v>10000</v>
      </c>
      <c r="W1236" s="1">
        <v>10004</v>
      </c>
      <c r="X1236" s="1">
        <v>10020</v>
      </c>
      <c r="Y1236" s="1">
        <v>10100</v>
      </c>
      <c r="Z1236" s="1">
        <v>10000</v>
      </c>
      <c r="AA1236">
        <v>0</v>
      </c>
      <c r="AB1236" t="str">
        <f t="shared" si="19"/>
        <v>Not Defaulter</v>
      </c>
      <c r="AC1236" s="1">
        <f>Table2[[#This Row],[BILL_AMT1]]-Table2[[#This Row],[PAY_AMT1]]</f>
        <v>259276</v>
      </c>
      <c r="AD1236" s="1" t="str" cm="1">
        <f t="array" ref="AD1236">_xlfn.IFS(Table2[[#This Row],[PAYMENT GAP]]&lt;=0,"No Gap / Overpaid",Table2[[#This Row],[PAYMENT GAP]]&lt;=25000,"Low Gap",Table2[[#This Row],[PAYMENT GAP]]&lt;=100000,"Medium Gap",
TRUE,"High Gap"
)</f>
        <v>High Gap</v>
      </c>
    </row>
    <row r="1237" spans="1:30" x14ac:dyDescent="0.3">
      <c r="A1237">
        <v>1236</v>
      </c>
      <c r="B1237" s="1">
        <v>30000</v>
      </c>
      <c r="C1237" s="1" t="str" cm="1">
        <f t="array" ref="C1237">_xlfn.IFS(Table2[[#This Row],[LIMIT_BAL]]&lt;=100000,"Low",Table2[[#This Row],[LIMIT_BAL]]&lt;=300000,"Medium",
TRUE,"High"
)</f>
        <v>Low</v>
      </c>
      <c r="D1237" t="s">
        <v>2042</v>
      </c>
      <c r="E1237" t="s">
        <v>2043</v>
      </c>
      <c r="F1237" t="s">
        <v>2029</v>
      </c>
      <c r="G1237">
        <v>54</v>
      </c>
      <c r="H1237" t="str" cm="1">
        <f t="array" ref="H1237">_xlfn.IFS(
Table2[[#This Row],[AGE]]&lt;30,"Young",
Table2[[#This Row],[AGE]]&lt;40,"Middle Age",
Table2[[#This Row],[AGE]]&lt;50,"Senior",
TRUE,"Super Senior"
)</f>
        <v>Super Senior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 s="1">
        <v>26278</v>
      </c>
      <c r="P1237" s="1">
        <v>24767</v>
      </c>
      <c r="Q1237" s="1">
        <v>27533</v>
      </c>
      <c r="R1237" s="1">
        <v>26400</v>
      </c>
      <c r="S1237" s="1">
        <v>25620</v>
      </c>
      <c r="T1237" s="1">
        <v>390</v>
      </c>
      <c r="U1237" s="1">
        <v>1700</v>
      </c>
      <c r="V1237" s="1">
        <v>3400</v>
      </c>
      <c r="W1237" s="1">
        <v>2528</v>
      </c>
      <c r="X1237" s="1">
        <v>0</v>
      </c>
      <c r="Y1237" s="1">
        <v>390</v>
      </c>
      <c r="Z1237" s="1">
        <v>780</v>
      </c>
      <c r="AA1237">
        <v>1</v>
      </c>
      <c r="AB1237" t="str">
        <f t="shared" si="19"/>
        <v>Defaulter</v>
      </c>
      <c r="AC1237" s="1">
        <f>Table2[[#This Row],[BILL_AMT1]]-Table2[[#This Row],[PAY_AMT1]]</f>
        <v>24578</v>
      </c>
      <c r="AD1237" s="1" t="str" cm="1">
        <f t="array" ref="AD1237">_xlfn.IFS(Table2[[#This Row],[PAYMENT GAP]]&lt;=0,"No Gap / Overpaid",Table2[[#This Row],[PAYMENT GAP]]&lt;=25000,"Low Gap",Table2[[#This Row],[PAYMENT GAP]]&lt;=100000,"Medium Gap",
TRUE,"High Gap"
)</f>
        <v>Low Gap</v>
      </c>
    </row>
    <row r="1238" spans="1:30" x14ac:dyDescent="0.3">
      <c r="A1238">
        <v>1237</v>
      </c>
      <c r="B1238" s="1">
        <v>50000</v>
      </c>
      <c r="C1238" s="1" t="str" cm="1">
        <f t="array" ref="C1238">_xlfn.IFS(Table2[[#This Row],[LIMIT_BAL]]&lt;=100000,"Low",Table2[[#This Row],[LIMIT_BAL]]&lt;=300000,"Medium",
TRUE,"High"
)</f>
        <v>Low</v>
      </c>
      <c r="D1238" t="s">
        <v>2042</v>
      </c>
      <c r="E1238" t="s">
        <v>2043</v>
      </c>
      <c r="F1238" t="s">
        <v>2029</v>
      </c>
      <c r="G1238">
        <v>27</v>
      </c>
      <c r="H1238" t="str" cm="1">
        <f t="array" ref="H1238">_xlfn.IFS(
Table2[[#This Row],[AGE]]&lt;30,"Young",
Table2[[#This Row],[AGE]]&lt;40,"Middle Age",
Table2[[#This Row],[AGE]]&lt;50,"Senior",
TRUE,"Super Senior"
)</f>
        <v>Young</v>
      </c>
      <c r="I1238">
        <v>2</v>
      </c>
      <c r="J1238">
        <v>2</v>
      </c>
      <c r="K1238">
        <v>0</v>
      </c>
      <c r="L1238">
        <v>0</v>
      </c>
      <c r="M1238">
        <v>0</v>
      </c>
      <c r="N1238">
        <v>0</v>
      </c>
      <c r="O1238" s="1">
        <v>23901</v>
      </c>
      <c r="P1238" s="1">
        <v>13262</v>
      </c>
      <c r="Q1238" s="1">
        <v>8643</v>
      </c>
      <c r="R1238" s="1">
        <v>7382</v>
      </c>
      <c r="S1238" s="1">
        <v>1975</v>
      </c>
      <c r="T1238" s="1">
        <v>50514</v>
      </c>
      <c r="U1238" s="1">
        <v>4146</v>
      </c>
      <c r="V1238" s="1">
        <v>1200</v>
      </c>
      <c r="W1238" s="1">
        <v>0</v>
      </c>
      <c r="X1238" s="1">
        <v>0</v>
      </c>
      <c r="Y1238" s="1">
        <v>49800</v>
      </c>
      <c r="Z1238" s="1">
        <v>0</v>
      </c>
      <c r="AA1238">
        <v>1</v>
      </c>
      <c r="AB1238" t="str">
        <f t="shared" si="19"/>
        <v>Defaulter</v>
      </c>
      <c r="AC1238" s="1">
        <f>Table2[[#This Row],[BILL_AMT1]]-Table2[[#This Row],[PAY_AMT1]]</f>
        <v>19755</v>
      </c>
      <c r="AD1238" s="1" t="str" cm="1">
        <f t="array" ref="AD1238">_xlfn.IFS(Table2[[#This Row],[PAYMENT GAP]]&lt;=0,"No Gap / Overpaid",Table2[[#This Row],[PAYMENT GAP]]&lt;=25000,"Low Gap",Table2[[#This Row],[PAYMENT GAP]]&lt;=100000,"Medium Gap",
TRUE,"High Gap"
)</f>
        <v>Low Gap</v>
      </c>
    </row>
    <row r="1239" spans="1:30" x14ac:dyDescent="0.3">
      <c r="A1239">
        <v>1238</v>
      </c>
      <c r="B1239" s="1">
        <v>60000</v>
      </c>
      <c r="C1239" s="1" t="str" cm="1">
        <f t="array" ref="C1239">_xlfn.IFS(Table2[[#This Row],[LIMIT_BAL]]&lt;=100000,"Low",Table2[[#This Row],[LIMIT_BAL]]&lt;=300000,"Medium",
TRUE,"High"
)</f>
        <v>Low</v>
      </c>
      <c r="D1239" t="s">
        <v>2042</v>
      </c>
      <c r="E1239" t="s">
        <v>2026</v>
      </c>
      <c r="F1239" t="s">
        <v>2028</v>
      </c>
      <c r="G1239">
        <v>33</v>
      </c>
      <c r="H1239" t="str" cm="1">
        <f t="array" ref="H1239">_xlfn.IFS(
Table2[[#This Row],[AGE]]&lt;30,"Young",
Table2[[#This Row],[AGE]]&lt;40,"Middle Age",
Table2[[#This Row],[AGE]]&lt;50,"Senior",
TRUE,"Super Senior"
)</f>
        <v>Middle Age</v>
      </c>
      <c r="I1239">
        <v>-1</v>
      </c>
      <c r="J1239">
        <v>-1</v>
      </c>
      <c r="K1239">
        <v>-1</v>
      </c>
      <c r="L1239">
        <v>-1</v>
      </c>
      <c r="M1239">
        <v>-1</v>
      </c>
      <c r="N1239">
        <v>-1</v>
      </c>
      <c r="O1239" s="1">
        <v>8308</v>
      </c>
      <c r="P1239" s="1">
        <v>7565</v>
      </c>
      <c r="Q1239" s="1">
        <v>8373</v>
      </c>
      <c r="R1239" s="1">
        <v>7565</v>
      </c>
      <c r="S1239" s="1">
        <v>7565</v>
      </c>
      <c r="T1239" s="1">
        <v>7565</v>
      </c>
      <c r="U1239" s="1">
        <v>7565</v>
      </c>
      <c r="V1239" s="1">
        <v>8373</v>
      </c>
      <c r="W1239" s="1">
        <v>7565</v>
      </c>
      <c r="X1239" s="1">
        <v>7565</v>
      </c>
      <c r="Y1239" s="1">
        <v>7565</v>
      </c>
      <c r="Z1239" s="1">
        <v>7565</v>
      </c>
      <c r="AA1239">
        <v>0</v>
      </c>
      <c r="AB1239" t="str">
        <f t="shared" si="19"/>
        <v>Not Defaulter</v>
      </c>
      <c r="AC1239" s="1">
        <f>Table2[[#This Row],[BILL_AMT1]]-Table2[[#This Row],[PAY_AMT1]]</f>
        <v>743</v>
      </c>
      <c r="AD1239" s="1" t="str" cm="1">
        <f t="array" ref="AD1239">_xlfn.IFS(Table2[[#This Row],[PAYMENT GAP]]&lt;=0,"No Gap / Overpaid",Table2[[#This Row],[PAYMENT GAP]]&lt;=25000,"Low Gap",Table2[[#This Row],[PAYMENT GAP]]&lt;=100000,"Medium Gap",
TRUE,"High Gap"
)</f>
        <v>Low Gap</v>
      </c>
    </row>
    <row r="1240" spans="1:30" x14ac:dyDescent="0.3">
      <c r="A1240">
        <v>1239</v>
      </c>
      <c r="B1240" s="1">
        <v>120000</v>
      </c>
      <c r="C1240" s="1" t="str" cm="1">
        <f t="array" ref="C1240">_xlfn.IFS(Table2[[#This Row],[LIMIT_BAL]]&lt;=100000,"Low",Table2[[#This Row],[LIMIT_BAL]]&lt;=300000,"Medium",
TRUE,"High"
)</f>
        <v>Medium</v>
      </c>
      <c r="D1240" t="s">
        <v>2042</v>
      </c>
      <c r="E1240" t="s">
        <v>2043</v>
      </c>
      <c r="F1240" t="s">
        <v>2028</v>
      </c>
      <c r="G1240">
        <v>57</v>
      </c>
      <c r="H1240" t="str" cm="1">
        <f t="array" ref="H1240">_xlfn.IFS(
Table2[[#This Row],[AGE]]&lt;30,"Young",
Table2[[#This Row],[AGE]]&lt;40,"Middle Age",
Table2[[#This Row],[AGE]]&lt;50,"Senior",
TRUE,"Super Senior"
)</f>
        <v>Super Senior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 s="1">
        <v>118709</v>
      </c>
      <c r="P1240" s="1">
        <v>120580</v>
      </c>
      <c r="Q1240" s="1">
        <v>118684</v>
      </c>
      <c r="R1240" s="1">
        <v>88557</v>
      </c>
      <c r="S1240" s="1">
        <v>91124</v>
      </c>
      <c r="T1240" s="1">
        <v>88094</v>
      </c>
      <c r="U1240" s="1">
        <v>5000</v>
      </c>
      <c r="V1240" s="1">
        <v>5007</v>
      </c>
      <c r="W1240" s="1">
        <v>4000</v>
      </c>
      <c r="X1240" s="1">
        <v>4003</v>
      </c>
      <c r="Y1240" s="1">
        <v>4003</v>
      </c>
      <c r="Z1240" s="1">
        <v>4000</v>
      </c>
      <c r="AA1240">
        <v>1</v>
      </c>
      <c r="AB1240" t="str">
        <f t="shared" si="19"/>
        <v>Defaulter</v>
      </c>
      <c r="AC1240" s="1">
        <f>Table2[[#This Row],[BILL_AMT1]]-Table2[[#This Row],[PAY_AMT1]]</f>
        <v>113709</v>
      </c>
      <c r="AD1240" s="1" t="str" cm="1">
        <f t="array" ref="AD1240">_xlfn.IFS(Table2[[#This Row],[PAYMENT GAP]]&lt;=0,"No Gap / Overpaid",Table2[[#This Row],[PAYMENT GAP]]&lt;=25000,"Low Gap",Table2[[#This Row],[PAYMENT GAP]]&lt;=100000,"Medium Gap",
TRUE,"High Gap"
)</f>
        <v>High Gap</v>
      </c>
    </row>
    <row r="1241" spans="1:30" x14ac:dyDescent="0.3">
      <c r="A1241">
        <v>1240</v>
      </c>
      <c r="B1241" s="1">
        <v>80000</v>
      </c>
      <c r="C1241" s="1" t="str" cm="1">
        <f t="array" ref="C1241">_xlfn.IFS(Table2[[#This Row],[LIMIT_BAL]]&lt;=100000,"Low",Table2[[#This Row],[LIMIT_BAL]]&lt;=300000,"Medium",
TRUE,"High"
)</f>
        <v>Low</v>
      </c>
      <c r="D1241" t="s">
        <v>2041</v>
      </c>
      <c r="E1241" t="s">
        <v>2043</v>
      </c>
      <c r="F1241" t="s">
        <v>2028</v>
      </c>
      <c r="G1241">
        <v>35</v>
      </c>
      <c r="H1241" t="str" cm="1">
        <f t="array" ref="H1241">_xlfn.IFS(
Table2[[#This Row],[AGE]]&lt;30,"Young",
Table2[[#This Row],[AGE]]&lt;40,"Middle Age",
Table2[[#This Row],[AGE]]&lt;50,"Senior",
TRUE,"Super Senior"
)</f>
        <v>Middle Age</v>
      </c>
      <c r="I1241">
        <v>-1</v>
      </c>
      <c r="J1241">
        <v>-1</v>
      </c>
      <c r="K1241">
        <v>-1</v>
      </c>
      <c r="L1241">
        <v>-1</v>
      </c>
      <c r="M1241">
        <v>-1</v>
      </c>
      <c r="N1241">
        <v>0</v>
      </c>
      <c r="O1241" s="1">
        <v>2890</v>
      </c>
      <c r="P1241" s="1">
        <v>9796</v>
      </c>
      <c r="Q1241" s="1">
        <v>13443</v>
      </c>
      <c r="R1241" s="1">
        <v>396</v>
      </c>
      <c r="S1241" s="1">
        <v>396</v>
      </c>
      <c r="T1241" s="1">
        <v>396</v>
      </c>
      <c r="U1241" s="1">
        <v>9796</v>
      </c>
      <c r="V1241" s="1">
        <v>13443</v>
      </c>
      <c r="W1241" s="1">
        <v>396</v>
      </c>
      <c r="X1241" s="1">
        <v>396</v>
      </c>
      <c r="Y1241" s="1">
        <v>0</v>
      </c>
      <c r="Z1241" s="1">
        <v>396</v>
      </c>
      <c r="AA1241">
        <v>0</v>
      </c>
      <c r="AB1241" t="str">
        <f t="shared" si="19"/>
        <v>Not Defaulter</v>
      </c>
      <c r="AC1241" s="1">
        <f>Table2[[#This Row],[BILL_AMT1]]-Table2[[#This Row],[PAY_AMT1]]</f>
        <v>-6906</v>
      </c>
      <c r="AD1241" s="1" t="str" cm="1">
        <f t="array" ref="AD1241">_xlfn.IFS(Table2[[#This Row],[PAYMENT GAP]]&lt;=0,"No Gap / Overpaid",Table2[[#This Row],[PAYMENT GAP]]&lt;=25000,"Low Gap",Table2[[#This Row],[PAYMENT GAP]]&lt;=100000,"Medium Gap",
TRUE,"High Gap"
)</f>
        <v>No Gap / Overpaid</v>
      </c>
    </row>
    <row r="1242" spans="1:30" x14ac:dyDescent="0.3">
      <c r="A1242">
        <v>1241</v>
      </c>
      <c r="B1242" s="1">
        <v>500000</v>
      </c>
      <c r="C1242" s="1" t="str" cm="1">
        <f t="array" ref="C1242">_xlfn.IFS(Table2[[#This Row],[LIMIT_BAL]]&lt;=100000,"Low",Table2[[#This Row],[LIMIT_BAL]]&lt;=300000,"Medium",
TRUE,"High"
)</f>
        <v>High</v>
      </c>
      <c r="D1242" t="s">
        <v>2042</v>
      </c>
      <c r="E1242" t="s">
        <v>2026</v>
      </c>
      <c r="F1242" t="s">
        <v>2028</v>
      </c>
      <c r="G1242">
        <v>45</v>
      </c>
      <c r="H1242" t="str" cm="1">
        <f t="array" ref="H1242">_xlfn.IFS(
Table2[[#This Row],[AGE]]&lt;30,"Young",
Table2[[#This Row],[AGE]]&lt;40,"Middle Age",
Table2[[#This Row],[AGE]]&lt;50,"Senior",
TRUE,"Super Senior"
)</f>
        <v>Senior</v>
      </c>
      <c r="I1242">
        <v>-1</v>
      </c>
      <c r="J1242">
        <v>-1</v>
      </c>
      <c r="K1242">
        <v>-1</v>
      </c>
      <c r="L1242">
        <v>-1</v>
      </c>
      <c r="M1242">
        <v>-1</v>
      </c>
      <c r="N1242">
        <v>-2</v>
      </c>
      <c r="O1242" s="1">
        <v>140</v>
      </c>
      <c r="P1242" s="1">
        <v>94</v>
      </c>
      <c r="Q1242" s="1">
        <v>39</v>
      </c>
      <c r="R1242" s="1">
        <v>44</v>
      </c>
      <c r="S1242" s="1">
        <v>0</v>
      </c>
      <c r="T1242" s="1">
        <v>0</v>
      </c>
      <c r="U1242" s="1">
        <v>94</v>
      </c>
      <c r="V1242" s="1">
        <v>39</v>
      </c>
      <c r="W1242" s="1">
        <v>44</v>
      </c>
      <c r="X1242" s="1">
        <v>0</v>
      </c>
      <c r="Y1242" s="1">
        <v>0</v>
      </c>
      <c r="Z1242" s="1">
        <v>790</v>
      </c>
      <c r="AA1242">
        <v>0</v>
      </c>
      <c r="AB1242" t="str">
        <f t="shared" si="19"/>
        <v>Not Defaulter</v>
      </c>
      <c r="AC1242" s="1">
        <f>Table2[[#This Row],[BILL_AMT1]]-Table2[[#This Row],[PAY_AMT1]]</f>
        <v>46</v>
      </c>
      <c r="AD1242" s="1" t="str" cm="1">
        <f t="array" ref="AD1242">_xlfn.IFS(Table2[[#This Row],[PAYMENT GAP]]&lt;=0,"No Gap / Overpaid",Table2[[#This Row],[PAYMENT GAP]]&lt;=25000,"Low Gap",Table2[[#This Row],[PAYMENT GAP]]&lt;=100000,"Medium Gap",
TRUE,"High Gap"
)</f>
        <v>Low Gap</v>
      </c>
    </row>
    <row r="1243" spans="1:30" x14ac:dyDescent="0.3">
      <c r="A1243">
        <v>1242</v>
      </c>
      <c r="B1243" s="1">
        <v>70000</v>
      </c>
      <c r="C1243" s="1" t="str" cm="1">
        <f t="array" ref="C1243">_xlfn.IFS(Table2[[#This Row],[LIMIT_BAL]]&lt;=100000,"Low",Table2[[#This Row],[LIMIT_BAL]]&lt;=300000,"Medium",
TRUE,"High"
)</f>
        <v>Low</v>
      </c>
      <c r="D1243" t="s">
        <v>2041</v>
      </c>
      <c r="E1243" t="s">
        <v>2027</v>
      </c>
      <c r="F1243" t="s">
        <v>2028</v>
      </c>
      <c r="G1243">
        <v>32</v>
      </c>
      <c r="H1243" t="str" cm="1">
        <f t="array" ref="H1243">_xlfn.IFS(
Table2[[#This Row],[AGE]]&lt;30,"Young",
Table2[[#This Row],[AGE]]&lt;40,"Middle Age",
Table2[[#This Row],[AGE]]&lt;50,"Senior",
TRUE,"Super Senior"
)</f>
        <v>Middle Age</v>
      </c>
      <c r="I1243">
        <v>2</v>
      </c>
      <c r="J1243">
        <v>2</v>
      </c>
      <c r="K1243">
        <v>0</v>
      </c>
      <c r="L1243">
        <v>0</v>
      </c>
      <c r="M1243">
        <v>0</v>
      </c>
      <c r="N1243">
        <v>-1</v>
      </c>
      <c r="O1243" s="1">
        <v>18317</v>
      </c>
      <c r="P1243" s="1">
        <v>17330</v>
      </c>
      <c r="Q1243" s="1">
        <v>11400</v>
      </c>
      <c r="R1243" s="1">
        <v>11120</v>
      </c>
      <c r="S1243" s="1">
        <v>10914</v>
      </c>
      <c r="T1243" s="1">
        <v>11315</v>
      </c>
      <c r="U1243" s="1">
        <v>0</v>
      </c>
      <c r="V1243" s="1">
        <v>1000</v>
      </c>
      <c r="W1243" s="1">
        <v>110</v>
      </c>
      <c r="X1243" s="1">
        <v>500</v>
      </c>
      <c r="Y1243" s="1">
        <v>18963</v>
      </c>
      <c r="Z1243" s="1">
        <v>1000</v>
      </c>
      <c r="AA1243">
        <v>0</v>
      </c>
      <c r="AB1243" t="str">
        <f t="shared" si="19"/>
        <v>Not Defaulter</v>
      </c>
      <c r="AC1243" s="1">
        <f>Table2[[#This Row],[BILL_AMT1]]-Table2[[#This Row],[PAY_AMT1]]</f>
        <v>18317</v>
      </c>
      <c r="AD1243" s="1" t="str" cm="1">
        <f t="array" ref="AD1243">_xlfn.IFS(Table2[[#This Row],[PAYMENT GAP]]&lt;=0,"No Gap / Overpaid",Table2[[#This Row],[PAYMENT GAP]]&lt;=25000,"Low Gap",Table2[[#This Row],[PAYMENT GAP]]&lt;=100000,"Medium Gap",
TRUE,"High Gap"
)</f>
        <v>Low Gap</v>
      </c>
    </row>
    <row r="1244" spans="1:30" x14ac:dyDescent="0.3">
      <c r="A1244">
        <v>1243</v>
      </c>
      <c r="B1244" s="1">
        <v>160000</v>
      </c>
      <c r="C1244" s="1" t="str" cm="1">
        <f t="array" ref="C1244">_xlfn.IFS(Table2[[#This Row],[LIMIT_BAL]]&lt;=100000,"Low",Table2[[#This Row],[LIMIT_BAL]]&lt;=300000,"Medium",
TRUE,"High"
)</f>
        <v>Medium</v>
      </c>
      <c r="D1244" t="s">
        <v>2041</v>
      </c>
      <c r="E1244" t="s">
        <v>2043</v>
      </c>
      <c r="F1244" t="s">
        <v>2028</v>
      </c>
      <c r="G1244">
        <v>45</v>
      </c>
      <c r="H1244" t="str" cm="1">
        <f t="array" ref="H1244">_xlfn.IFS(
Table2[[#This Row],[AGE]]&lt;30,"Young",
Table2[[#This Row],[AGE]]&lt;40,"Middle Age",
Table2[[#This Row],[AGE]]&lt;50,"Senior",
TRUE,"Super Senior"
)</f>
        <v>Senior</v>
      </c>
      <c r="I1244">
        <v>-2</v>
      </c>
      <c r="J1244">
        <v>-2</v>
      </c>
      <c r="K1244">
        <v>-2</v>
      </c>
      <c r="L1244">
        <v>-2</v>
      </c>
      <c r="M1244">
        <v>-2</v>
      </c>
      <c r="N1244">
        <v>-2</v>
      </c>
      <c r="O1244" s="1">
        <v>0</v>
      </c>
      <c r="P1244" s="1">
        <v>0</v>
      </c>
      <c r="Q1244" s="1">
        <v>0</v>
      </c>
      <c r="R1244" s="1">
        <v>1468</v>
      </c>
      <c r="S1244" s="1">
        <v>0</v>
      </c>
      <c r="T1244" s="1">
        <v>0</v>
      </c>
      <c r="U1244" s="1">
        <v>0</v>
      </c>
      <c r="V1244" s="1">
        <v>0</v>
      </c>
      <c r="W1244" s="1">
        <v>1468</v>
      </c>
      <c r="X1244" s="1">
        <v>0</v>
      </c>
      <c r="Y1244" s="1">
        <v>0</v>
      </c>
      <c r="Z1244" s="1">
        <v>0</v>
      </c>
      <c r="AA1244">
        <v>0</v>
      </c>
      <c r="AB1244" t="str">
        <f t="shared" si="19"/>
        <v>Not Defaulter</v>
      </c>
      <c r="AC1244" s="1">
        <f>Table2[[#This Row],[BILL_AMT1]]-Table2[[#This Row],[PAY_AMT1]]</f>
        <v>0</v>
      </c>
      <c r="AD1244" s="1" t="str" cm="1">
        <f t="array" ref="AD1244">_xlfn.IFS(Table2[[#This Row],[PAYMENT GAP]]&lt;=0,"No Gap / Overpaid",Table2[[#This Row],[PAYMENT GAP]]&lt;=25000,"Low Gap",Table2[[#This Row],[PAYMENT GAP]]&lt;=100000,"Medium Gap",
TRUE,"High Gap"
)</f>
        <v>No Gap / Overpaid</v>
      </c>
    </row>
    <row r="1245" spans="1:30" x14ac:dyDescent="0.3">
      <c r="A1245">
        <v>1244</v>
      </c>
      <c r="B1245" s="1">
        <v>100000</v>
      </c>
      <c r="C1245" s="1" t="str" cm="1">
        <f t="array" ref="C1245">_xlfn.IFS(Table2[[#This Row],[LIMIT_BAL]]&lt;=100000,"Low",Table2[[#This Row],[LIMIT_BAL]]&lt;=300000,"Medium",
TRUE,"High"
)</f>
        <v>Low</v>
      </c>
      <c r="D1245" t="s">
        <v>2041</v>
      </c>
      <c r="E1245" t="s">
        <v>2027</v>
      </c>
      <c r="F1245" t="s">
        <v>2028</v>
      </c>
      <c r="G1245">
        <v>50</v>
      </c>
      <c r="H1245" t="str" cm="1">
        <f t="array" ref="H1245">_xlfn.IFS(
Table2[[#This Row],[AGE]]&lt;30,"Young",
Table2[[#This Row],[AGE]]&lt;40,"Middle Age",
Table2[[#This Row],[AGE]]&lt;50,"Senior",
TRUE,"Super Senior"
)</f>
        <v>Super Senior</v>
      </c>
      <c r="I1245">
        <v>2</v>
      </c>
      <c r="J1245">
        <v>2</v>
      </c>
      <c r="K1245">
        <v>2</v>
      </c>
      <c r="L1245">
        <v>-1</v>
      </c>
      <c r="M1245">
        <v>0</v>
      </c>
      <c r="N1245">
        <v>0</v>
      </c>
      <c r="O1245" s="1">
        <v>110537</v>
      </c>
      <c r="P1245" s="1">
        <v>99734</v>
      </c>
      <c r="Q1245" s="1">
        <v>99973</v>
      </c>
      <c r="R1245" s="1">
        <v>71008</v>
      </c>
      <c r="S1245" s="1">
        <v>66735</v>
      </c>
      <c r="T1245" s="1">
        <v>68621</v>
      </c>
      <c r="U1245" s="1">
        <v>0</v>
      </c>
      <c r="V1245" s="1">
        <v>3000</v>
      </c>
      <c r="W1245" s="1">
        <v>103000</v>
      </c>
      <c r="X1245" s="1">
        <v>2500</v>
      </c>
      <c r="Y1245" s="1">
        <v>3000</v>
      </c>
      <c r="Z1245" s="1">
        <v>3000</v>
      </c>
      <c r="AA1245">
        <v>1</v>
      </c>
      <c r="AB1245" t="str">
        <f t="shared" si="19"/>
        <v>Defaulter</v>
      </c>
      <c r="AC1245" s="1">
        <f>Table2[[#This Row],[BILL_AMT1]]-Table2[[#This Row],[PAY_AMT1]]</f>
        <v>110537</v>
      </c>
      <c r="AD1245" s="1" t="str" cm="1">
        <f t="array" ref="AD1245">_xlfn.IFS(Table2[[#This Row],[PAYMENT GAP]]&lt;=0,"No Gap / Overpaid",Table2[[#This Row],[PAYMENT GAP]]&lt;=25000,"Low Gap",Table2[[#This Row],[PAYMENT GAP]]&lt;=100000,"Medium Gap",
TRUE,"High Gap"
)</f>
        <v>High Gap</v>
      </c>
    </row>
    <row r="1246" spans="1:30" x14ac:dyDescent="0.3">
      <c r="A1246">
        <v>1245</v>
      </c>
      <c r="B1246" s="1">
        <v>10000</v>
      </c>
      <c r="C1246" s="1" t="str" cm="1">
        <f t="array" ref="C1246">_xlfn.IFS(Table2[[#This Row],[LIMIT_BAL]]&lt;=100000,"Low",Table2[[#This Row],[LIMIT_BAL]]&lt;=300000,"Medium",
TRUE,"High"
)</f>
        <v>Low</v>
      </c>
      <c r="D1246" t="s">
        <v>2042</v>
      </c>
      <c r="E1246" t="s">
        <v>2027</v>
      </c>
      <c r="F1246" t="s">
        <v>2029</v>
      </c>
      <c r="G1246">
        <v>35</v>
      </c>
      <c r="H1246" t="str" cm="1">
        <f t="array" ref="H1246">_xlfn.IFS(
Table2[[#This Row],[AGE]]&lt;30,"Young",
Table2[[#This Row],[AGE]]&lt;40,"Middle Age",
Table2[[#This Row],[AGE]]&lt;50,"Senior",
TRUE,"Super Senior"
)</f>
        <v>Middle Age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 s="1">
        <v>7877</v>
      </c>
      <c r="P1246" s="1">
        <v>8918</v>
      </c>
      <c r="Q1246" s="1">
        <v>9864</v>
      </c>
      <c r="R1246" s="1">
        <v>9673</v>
      </c>
      <c r="S1246" s="1">
        <v>9414</v>
      </c>
      <c r="T1246" s="1">
        <v>9156</v>
      </c>
      <c r="U1246" s="1">
        <v>1174</v>
      </c>
      <c r="V1246" s="1">
        <v>1120</v>
      </c>
      <c r="W1246" s="1">
        <v>310</v>
      </c>
      <c r="X1246" s="1">
        <v>316</v>
      </c>
      <c r="Y1246" s="1">
        <v>1000</v>
      </c>
      <c r="Z1246" s="1">
        <v>2000</v>
      </c>
      <c r="AA1246">
        <v>0</v>
      </c>
      <c r="AB1246" t="str">
        <f t="shared" si="19"/>
        <v>Not Defaulter</v>
      </c>
      <c r="AC1246" s="1">
        <f>Table2[[#This Row],[BILL_AMT1]]-Table2[[#This Row],[PAY_AMT1]]</f>
        <v>6703</v>
      </c>
      <c r="AD1246" s="1" t="str" cm="1">
        <f t="array" ref="AD1246">_xlfn.IFS(Table2[[#This Row],[PAYMENT GAP]]&lt;=0,"No Gap / Overpaid",Table2[[#This Row],[PAYMENT GAP]]&lt;=25000,"Low Gap",Table2[[#This Row],[PAYMENT GAP]]&lt;=100000,"Medium Gap",
TRUE,"High Gap"
)</f>
        <v>Low Gap</v>
      </c>
    </row>
    <row r="1247" spans="1:30" x14ac:dyDescent="0.3">
      <c r="A1247">
        <v>1246</v>
      </c>
      <c r="B1247" s="1">
        <v>90000</v>
      </c>
      <c r="C1247" s="1" t="str" cm="1">
        <f t="array" ref="C1247">_xlfn.IFS(Table2[[#This Row],[LIMIT_BAL]]&lt;=100000,"Low",Table2[[#This Row],[LIMIT_BAL]]&lt;=300000,"Medium",
TRUE,"High"
)</f>
        <v>Low</v>
      </c>
      <c r="D1247" t="s">
        <v>2042</v>
      </c>
      <c r="E1247" t="s">
        <v>2026</v>
      </c>
      <c r="F1247" t="s">
        <v>2029</v>
      </c>
      <c r="G1247">
        <v>26</v>
      </c>
      <c r="H1247" t="str" cm="1">
        <f t="array" ref="H1247">_xlfn.IFS(
Table2[[#This Row],[AGE]]&lt;30,"Young",
Table2[[#This Row],[AGE]]&lt;40,"Middle Age",
Table2[[#This Row],[AGE]]&lt;50,"Senior",
TRUE,"Super Senior"
)</f>
        <v>Young</v>
      </c>
      <c r="I1247">
        <v>-1</v>
      </c>
      <c r="J1247">
        <v>-1</v>
      </c>
      <c r="K1247">
        <v>-1</v>
      </c>
      <c r="L1247">
        <v>-1</v>
      </c>
      <c r="M1247">
        <v>-1</v>
      </c>
      <c r="N1247">
        <v>0</v>
      </c>
      <c r="O1247" s="1">
        <v>10750</v>
      </c>
      <c r="P1247" s="1">
        <v>100</v>
      </c>
      <c r="Q1247" s="1">
        <v>200</v>
      </c>
      <c r="R1247" s="1">
        <v>100</v>
      </c>
      <c r="S1247" s="1">
        <v>9894</v>
      </c>
      <c r="T1247" s="1">
        <v>20699</v>
      </c>
      <c r="U1247" s="1">
        <v>100</v>
      </c>
      <c r="V1247" s="1">
        <v>200</v>
      </c>
      <c r="W1247" s="1">
        <v>0</v>
      </c>
      <c r="X1247" s="1">
        <v>9894</v>
      </c>
      <c r="Y1247" s="1">
        <v>20000</v>
      </c>
      <c r="Z1247" s="1">
        <v>4100</v>
      </c>
      <c r="AA1247">
        <v>0</v>
      </c>
      <c r="AB1247" t="str">
        <f t="shared" si="19"/>
        <v>Not Defaulter</v>
      </c>
      <c r="AC1247" s="1">
        <f>Table2[[#This Row],[BILL_AMT1]]-Table2[[#This Row],[PAY_AMT1]]</f>
        <v>10650</v>
      </c>
      <c r="AD1247" s="1" t="str" cm="1">
        <f t="array" ref="AD1247">_xlfn.IFS(Table2[[#This Row],[PAYMENT GAP]]&lt;=0,"No Gap / Overpaid",Table2[[#This Row],[PAYMENT GAP]]&lt;=25000,"Low Gap",Table2[[#This Row],[PAYMENT GAP]]&lt;=100000,"Medium Gap",
TRUE,"High Gap"
)</f>
        <v>Low Gap</v>
      </c>
    </row>
    <row r="1248" spans="1:30" x14ac:dyDescent="0.3">
      <c r="A1248">
        <v>1247</v>
      </c>
      <c r="B1248" s="1">
        <v>170000</v>
      </c>
      <c r="C1248" s="1" t="str" cm="1">
        <f t="array" ref="C1248">_xlfn.IFS(Table2[[#This Row],[LIMIT_BAL]]&lt;=100000,"Low",Table2[[#This Row],[LIMIT_BAL]]&lt;=300000,"Medium",
TRUE,"High"
)</f>
        <v>Medium</v>
      </c>
      <c r="D1248" t="s">
        <v>2042</v>
      </c>
      <c r="E1248" t="s">
        <v>2026</v>
      </c>
      <c r="F1248" t="s">
        <v>2028</v>
      </c>
      <c r="G1248">
        <v>39</v>
      </c>
      <c r="H1248" t="str" cm="1">
        <f t="array" ref="H1248">_xlfn.IFS(
Table2[[#This Row],[AGE]]&lt;30,"Young",
Table2[[#This Row],[AGE]]&lt;40,"Middle Age",
Table2[[#This Row],[AGE]]&lt;50,"Senior",
TRUE,"Super Senior"
)</f>
        <v>Middle Age</v>
      </c>
      <c r="I1248">
        <v>2</v>
      </c>
      <c r="J1248">
        <v>2</v>
      </c>
      <c r="K1248">
        <v>2</v>
      </c>
      <c r="L1248">
        <v>2</v>
      </c>
      <c r="M1248">
        <v>4</v>
      </c>
      <c r="N1248">
        <v>3</v>
      </c>
      <c r="O1248" s="1">
        <v>74298</v>
      </c>
      <c r="P1248" s="1">
        <v>80073</v>
      </c>
      <c r="Q1248" s="1">
        <v>81959</v>
      </c>
      <c r="R1248" s="1">
        <v>89991</v>
      </c>
      <c r="S1248" s="1">
        <v>88018</v>
      </c>
      <c r="T1248" s="1">
        <v>86299</v>
      </c>
      <c r="U1248" s="1">
        <v>7000</v>
      </c>
      <c r="V1248" s="1">
        <v>3800</v>
      </c>
      <c r="W1248" s="1">
        <v>10000</v>
      </c>
      <c r="X1248" s="1">
        <v>0</v>
      </c>
      <c r="Y1248" s="1">
        <v>0</v>
      </c>
      <c r="Z1248" s="1">
        <v>3100</v>
      </c>
      <c r="AA1248">
        <v>1</v>
      </c>
      <c r="AB1248" t="str">
        <f t="shared" si="19"/>
        <v>Defaulter</v>
      </c>
      <c r="AC1248" s="1">
        <f>Table2[[#This Row],[BILL_AMT1]]-Table2[[#This Row],[PAY_AMT1]]</f>
        <v>67298</v>
      </c>
      <c r="AD1248" s="1" t="str" cm="1">
        <f t="array" ref="AD1248">_xlfn.IFS(Table2[[#This Row],[PAYMENT GAP]]&lt;=0,"No Gap / Overpaid",Table2[[#This Row],[PAYMENT GAP]]&lt;=25000,"Low Gap",Table2[[#This Row],[PAYMENT GAP]]&lt;=100000,"Medium Gap",
TRUE,"High Gap"
)</f>
        <v>Medium Gap</v>
      </c>
    </row>
    <row r="1249" spans="1:30" x14ac:dyDescent="0.3">
      <c r="A1249">
        <v>1248</v>
      </c>
      <c r="B1249" s="1">
        <v>90000</v>
      </c>
      <c r="C1249" s="1" t="str" cm="1">
        <f t="array" ref="C1249">_xlfn.IFS(Table2[[#This Row],[LIMIT_BAL]]&lt;=100000,"Low",Table2[[#This Row],[LIMIT_BAL]]&lt;=300000,"Medium",
TRUE,"High"
)</f>
        <v>Low</v>
      </c>
      <c r="D1249" t="s">
        <v>2041</v>
      </c>
      <c r="E1249" t="s">
        <v>2043</v>
      </c>
      <c r="F1249" t="s">
        <v>2029</v>
      </c>
      <c r="G1249">
        <v>35</v>
      </c>
      <c r="H1249" t="str" cm="1">
        <f t="array" ref="H1249">_xlfn.IFS(
Table2[[#This Row],[AGE]]&lt;30,"Young",
Table2[[#This Row],[AGE]]&lt;40,"Middle Age",
Table2[[#This Row],[AGE]]&lt;50,"Senior",
TRUE,"Super Senior"
)</f>
        <v>Middle Age</v>
      </c>
      <c r="I1249">
        <v>-1</v>
      </c>
      <c r="J1249">
        <v>-1</v>
      </c>
      <c r="K1249">
        <v>-1</v>
      </c>
      <c r="L1249">
        <v>-2</v>
      </c>
      <c r="M1249">
        <v>-2</v>
      </c>
      <c r="N1249">
        <v>-2</v>
      </c>
      <c r="O1249" s="1">
        <v>2667</v>
      </c>
      <c r="P1249" s="1">
        <v>2667</v>
      </c>
      <c r="Q1249" s="1">
        <v>0</v>
      </c>
      <c r="R1249" s="1">
        <v>0</v>
      </c>
      <c r="S1249" s="1">
        <v>0</v>
      </c>
      <c r="T1249" s="1">
        <v>0</v>
      </c>
      <c r="U1249" s="1">
        <v>2667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>
        <v>0</v>
      </c>
      <c r="AB1249" t="str">
        <f t="shared" si="19"/>
        <v>Not Defaulter</v>
      </c>
      <c r="AC1249" s="1">
        <f>Table2[[#This Row],[BILL_AMT1]]-Table2[[#This Row],[PAY_AMT1]]</f>
        <v>0</v>
      </c>
      <c r="AD1249" s="1" t="str" cm="1">
        <f t="array" ref="AD1249">_xlfn.IFS(Table2[[#This Row],[PAYMENT GAP]]&lt;=0,"No Gap / Overpaid",Table2[[#This Row],[PAYMENT GAP]]&lt;=25000,"Low Gap",Table2[[#This Row],[PAYMENT GAP]]&lt;=100000,"Medium Gap",
TRUE,"High Gap"
)</f>
        <v>No Gap / Overpaid</v>
      </c>
    </row>
    <row r="1250" spans="1:30" x14ac:dyDescent="0.3">
      <c r="A1250">
        <v>1249</v>
      </c>
      <c r="B1250" s="1">
        <v>180000</v>
      </c>
      <c r="C1250" s="1" t="str" cm="1">
        <f t="array" ref="C1250">_xlfn.IFS(Table2[[#This Row],[LIMIT_BAL]]&lt;=100000,"Low",Table2[[#This Row],[LIMIT_BAL]]&lt;=300000,"Medium",
TRUE,"High"
)</f>
        <v>Medium</v>
      </c>
      <c r="D1250" t="s">
        <v>2041</v>
      </c>
      <c r="E1250" t="s">
        <v>2027</v>
      </c>
      <c r="F1250" t="s">
        <v>2029</v>
      </c>
      <c r="G1250">
        <v>42</v>
      </c>
      <c r="H1250" t="str" cm="1">
        <f t="array" ref="H1250">_xlfn.IFS(
Table2[[#This Row],[AGE]]&lt;30,"Young",
Table2[[#This Row],[AGE]]&lt;40,"Middle Age",
Table2[[#This Row],[AGE]]&lt;50,"Senior",
TRUE,"Super Senior"
)</f>
        <v>Senior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 s="1">
        <v>67414</v>
      </c>
      <c r="P1250" s="1">
        <v>61256</v>
      </c>
      <c r="Q1250" s="1">
        <v>66668</v>
      </c>
      <c r="R1250" s="1">
        <v>83568</v>
      </c>
      <c r="S1250" s="1">
        <v>90418</v>
      </c>
      <c r="T1250" s="1">
        <v>88898</v>
      </c>
      <c r="U1250" s="1">
        <v>10000</v>
      </c>
      <c r="V1250" s="1">
        <v>10000</v>
      </c>
      <c r="W1250" s="1">
        <v>17500</v>
      </c>
      <c r="X1250" s="1">
        <v>7000</v>
      </c>
      <c r="Y1250" s="1">
        <v>25000</v>
      </c>
      <c r="Z1250" s="1">
        <v>33600</v>
      </c>
      <c r="AA1250">
        <v>0</v>
      </c>
      <c r="AB1250" t="str">
        <f t="shared" si="19"/>
        <v>Not Defaulter</v>
      </c>
      <c r="AC1250" s="1">
        <f>Table2[[#This Row],[BILL_AMT1]]-Table2[[#This Row],[PAY_AMT1]]</f>
        <v>57414</v>
      </c>
      <c r="AD1250" s="1" t="str" cm="1">
        <f t="array" ref="AD1250">_xlfn.IFS(Table2[[#This Row],[PAYMENT GAP]]&lt;=0,"No Gap / Overpaid",Table2[[#This Row],[PAYMENT GAP]]&lt;=25000,"Low Gap",Table2[[#This Row],[PAYMENT GAP]]&lt;=100000,"Medium Gap",
TRUE,"High Gap"
)</f>
        <v>Medium Gap</v>
      </c>
    </row>
    <row r="1251" spans="1:30" x14ac:dyDescent="0.3">
      <c r="A1251">
        <v>1250</v>
      </c>
      <c r="B1251" s="1">
        <v>350000</v>
      </c>
      <c r="C1251" s="1" t="str" cm="1">
        <f t="array" ref="C1251">_xlfn.IFS(Table2[[#This Row],[LIMIT_BAL]]&lt;=100000,"Low",Table2[[#This Row],[LIMIT_BAL]]&lt;=300000,"Medium",
TRUE,"High"
)</f>
        <v>High</v>
      </c>
      <c r="D1251" t="s">
        <v>2041</v>
      </c>
      <c r="E1251" t="s">
        <v>2026</v>
      </c>
      <c r="F1251" t="s">
        <v>2028</v>
      </c>
      <c r="G1251">
        <v>52</v>
      </c>
      <c r="H1251" t="str" cm="1">
        <f t="array" ref="H1251">_xlfn.IFS(
Table2[[#This Row],[AGE]]&lt;30,"Young",
Table2[[#This Row],[AGE]]&lt;40,"Middle Age",
Table2[[#This Row],[AGE]]&lt;50,"Senior",
TRUE,"Super Senior"
)</f>
        <v>Super Senior</v>
      </c>
      <c r="I1251">
        <v>2</v>
      </c>
      <c r="J1251">
        <v>2</v>
      </c>
      <c r="K1251">
        <v>7</v>
      </c>
      <c r="L1251">
        <v>7</v>
      </c>
      <c r="M1251">
        <v>7</v>
      </c>
      <c r="N1251">
        <v>7</v>
      </c>
      <c r="O1251" s="1">
        <v>2400</v>
      </c>
      <c r="P1251" s="1">
        <v>2400</v>
      </c>
      <c r="Q1251" s="1">
        <v>2400</v>
      </c>
      <c r="R1251" s="1">
        <v>2400</v>
      </c>
      <c r="S1251" s="1">
        <v>2400</v>
      </c>
      <c r="T1251" s="1">
        <v>2400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>
        <v>1</v>
      </c>
      <c r="AB1251" t="str">
        <f t="shared" si="19"/>
        <v>Defaulter</v>
      </c>
      <c r="AC1251" s="1">
        <f>Table2[[#This Row],[BILL_AMT1]]-Table2[[#This Row],[PAY_AMT1]]</f>
        <v>2400</v>
      </c>
      <c r="AD1251" s="1" t="str" cm="1">
        <f t="array" ref="AD1251">_xlfn.IFS(Table2[[#This Row],[PAYMENT GAP]]&lt;=0,"No Gap / Overpaid",Table2[[#This Row],[PAYMENT GAP]]&lt;=25000,"Low Gap",Table2[[#This Row],[PAYMENT GAP]]&lt;=100000,"Medium Gap",
TRUE,"High Gap"
)</f>
        <v>Low Gap</v>
      </c>
    </row>
    <row r="1252" spans="1:30" x14ac:dyDescent="0.3">
      <c r="A1252">
        <v>1251</v>
      </c>
      <c r="B1252" s="1">
        <v>270000</v>
      </c>
      <c r="C1252" s="1" t="str" cm="1">
        <f t="array" ref="C1252">_xlfn.IFS(Table2[[#This Row],[LIMIT_BAL]]&lt;=100000,"Low",Table2[[#This Row],[LIMIT_BAL]]&lt;=300000,"Medium",
TRUE,"High"
)</f>
        <v>Medium</v>
      </c>
      <c r="D1252" t="s">
        <v>2042</v>
      </c>
      <c r="E1252" t="s">
        <v>2043</v>
      </c>
      <c r="F1252" t="s">
        <v>2029</v>
      </c>
      <c r="G1252">
        <v>35</v>
      </c>
      <c r="H1252" t="str" cm="1">
        <f t="array" ref="H1252">_xlfn.IFS(
Table2[[#This Row],[AGE]]&lt;30,"Young",
Table2[[#This Row],[AGE]]&lt;40,"Middle Age",
Table2[[#This Row],[AGE]]&lt;50,"Senior",
TRUE,"Super Senior"
)</f>
        <v>Middle Age</v>
      </c>
      <c r="I1252">
        <v>0</v>
      </c>
      <c r="J1252">
        <v>0</v>
      </c>
      <c r="K1252">
        <v>0</v>
      </c>
      <c r="L1252">
        <v>-1</v>
      </c>
      <c r="M1252">
        <v>-1</v>
      </c>
      <c r="N1252">
        <v>-1</v>
      </c>
      <c r="O1252" s="1">
        <v>225400</v>
      </c>
      <c r="P1252" s="1">
        <v>220202</v>
      </c>
      <c r="Q1252" s="1">
        <v>215056</v>
      </c>
      <c r="R1252" s="1">
        <v>10506</v>
      </c>
      <c r="S1252" s="1">
        <v>10224</v>
      </c>
      <c r="T1252" s="1">
        <v>9233</v>
      </c>
      <c r="U1252" s="1">
        <v>9000</v>
      </c>
      <c r="V1252" s="1">
        <v>9348</v>
      </c>
      <c r="W1252" s="1">
        <v>10600</v>
      </c>
      <c r="X1252" s="1">
        <v>10300</v>
      </c>
      <c r="Y1252" s="1">
        <v>9300</v>
      </c>
      <c r="Z1252" s="1">
        <v>1000</v>
      </c>
      <c r="AA1252">
        <v>0</v>
      </c>
      <c r="AB1252" t="str">
        <f t="shared" si="19"/>
        <v>Not Defaulter</v>
      </c>
      <c r="AC1252" s="1">
        <f>Table2[[#This Row],[BILL_AMT1]]-Table2[[#This Row],[PAY_AMT1]]</f>
        <v>216400</v>
      </c>
      <c r="AD1252" s="1" t="str" cm="1">
        <f t="array" ref="AD1252">_xlfn.IFS(Table2[[#This Row],[PAYMENT GAP]]&lt;=0,"No Gap / Overpaid",Table2[[#This Row],[PAYMENT GAP]]&lt;=25000,"Low Gap",Table2[[#This Row],[PAYMENT GAP]]&lt;=100000,"Medium Gap",
TRUE,"High Gap"
)</f>
        <v>High Gap</v>
      </c>
    </row>
    <row r="1253" spans="1:30" x14ac:dyDescent="0.3">
      <c r="A1253">
        <v>1252</v>
      </c>
      <c r="B1253" s="1">
        <v>200000</v>
      </c>
      <c r="C1253" s="1" t="str" cm="1">
        <f t="array" ref="C1253">_xlfn.IFS(Table2[[#This Row],[LIMIT_BAL]]&lt;=100000,"Low",Table2[[#This Row],[LIMIT_BAL]]&lt;=300000,"Medium",
TRUE,"High"
)</f>
        <v>Medium</v>
      </c>
      <c r="D1253" t="s">
        <v>2041</v>
      </c>
      <c r="E1253" t="s">
        <v>2026</v>
      </c>
      <c r="F1253" t="s">
        <v>2029</v>
      </c>
      <c r="G1253">
        <v>29</v>
      </c>
      <c r="H1253" t="str" cm="1">
        <f t="array" ref="H1253">_xlfn.IFS(
Table2[[#This Row],[AGE]]&lt;30,"Young",
Table2[[#This Row],[AGE]]&lt;40,"Middle Age",
Table2[[#This Row],[AGE]]&lt;50,"Senior",
TRUE,"Super Senior"
)</f>
        <v>Young</v>
      </c>
      <c r="I1253">
        <v>0</v>
      </c>
      <c r="J1253">
        <v>0</v>
      </c>
      <c r="K1253">
        <v>-1</v>
      </c>
      <c r="L1253">
        <v>0</v>
      </c>
      <c r="M1253">
        <v>0</v>
      </c>
      <c r="N1253">
        <v>-2</v>
      </c>
      <c r="O1253" s="1">
        <v>65935</v>
      </c>
      <c r="P1253" s="1">
        <v>25574</v>
      </c>
      <c r="Q1253" s="1">
        <v>28727</v>
      </c>
      <c r="R1253" s="1">
        <v>19164</v>
      </c>
      <c r="S1253" s="1">
        <v>0</v>
      </c>
      <c r="T1253" s="1">
        <v>0</v>
      </c>
      <c r="U1253" s="1">
        <v>1011</v>
      </c>
      <c r="V1253" s="1">
        <v>31209</v>
      </c>
      <c r="W1253" s="1">
        <v>383</v>
      </c>
      <c r="X1253" s="1">
        <v>0</v>
      </c>
      <c r="Y1253" s="1">
        <v>0</v>
      </c>
      <c r="Z1253" s="1">
        <v>0</v>
      </c>
      <c r="AA1253">
        <v>1</v>
      </c>
      <c r="AB1253" t="str">
        <f t="shared" si="19"/>
        <v>Defaulter</v>
      </c>
      <c r="AC1253" s="1">
        <f>Table2[[#This Row],[BILL_AMT1]]-Table2[[#This Row],[PAY_AMT1]]</f>
        <v>64924</v>
      </c>
      <c r="AD1253" s="1" t="str" cm="1">
        <f t="array" ref="AD1253">_xlfn.IFS(Table2[[#This Row],[PAYMENT GAP]]&lt;=0,"No Gap / Overpaid",Table2[[#This Row],[PAYMENT GAP]]&lt;=25000,"Low Gap",Table2[[#This Row],[PAYMENT GAP]]&lt;=100000,"Medium Gap",
TRUE,"High Gap"
)</f>
        <v>Medium Gap</v>
      </c>
    </row>
    <row r="1254" spans="1:30" x14ac:dyDescent="0.3">
      <c r="A1254">
        <v>1253</v>
      </c>
      <c r="B1254" s="1">
        <v>20000</v>
      </c>
      <c r="C1254" s="1" t="str" cm="1">
        <f t="array" ref="C1254">_xlfn.IFS(Table2[[#This Row],[LIMIT_BAL]]&lt;=100000,"Low",Table2[[#This Row],[LIMIT_BAL]]&lt;=300000,"Medium",
TRUE,"High"
)</f>
        <v>Low</v>
      </c>
      <c r="D1254" t="s">
        <v>2041</v>
      </c>
      <c r="E1254" t="s">
        <v>2026</v>
      </c>
      <c r="F1254" t="s">
        <v>2029</v>
      </c>
      <c r="G1254">
        <v>22</v>
      </c>
      <c r="H1254" t="str" cm="1">
        <f t="array" ref="H1254">_xlfn.IFS(
Table2[[#This Row],[AGE]]&lt;30,"Young",
Table2[[#This Row],[AGE]]&lt;40,"Middle Age",
Table2[[#This Row],[AGE]]&lt;50,"Senior",
TRUE,"Super Senior"
)</f>
        <v>Young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 s="1">
        <v>15829</v>
      </c>
      <c r="P1254" s="1">
        <v>15299</v>
      </c>
      <c r="Q1254" s="1">
        <v>16262</v>
      </c>
      <c r="R1254" s="1">
        <v>16749</v>
      </c>
      <c r="S1254" s="1">
        <v>13764</v>
      </c>
      <c r="T1254" s="1">
        <v>18732</v>
      </c>
      <c r="U1254" s="1">
        <v>1600</v>
      </c>
      <c r="V1254" s="1">
        <v>1550</v>
      </c>
      <c r="W1254" s="1">
        <v>1000</v>
      </c>
      <c r="X1254" s="1">
        <v>1000</v>
      </c>
      <c r="Y1254" s="1">
        <v>5283</v>
      </c>
      <c r="Z1254" s="1">
        <v>0</v>
      </c>
      <c r="AA1254">
        <v>0</v>
      </c>
      <c r="AB1254" t="str">
        <f t="shared" si="19"/>
        <v>Not Defaulter</v>
      </c>
      <c r="AC1254" s="1">
        <f>Table2[[#This Row],[BILL_AMT1]]-Table2[[#This Row],[PAY_AMT1]]</f>
        <v>14229</v>
      </c>
      <c r="AD1254" s="1" t="str" cm="1">
        <f t="array" ref="AD1254">_xlfn.IFS(Table2[[#This Row],[PAYMENT GAP]]&lt;=0,"No Gap / Overpaid",Table2[[#This Row],[PAYMENT GAP]]&lt;=25000,"Low Gap",Table2[[#This Row],[PAYMENT GAP]]&lt;=100000,"Medium Gap",
TRUE,"High Gap"
)</f>
        <v>Low Gap</v>
      </c>
    </row>
    <row r="1255" spans="1:30" x14ac:dyDescent="0.3">
      <c r="A1255">
        <v>1254</v>
      </c>
      <c r="B1255" s="1">
        <v>100000</v>
      </c>
      <c r="C1255" s="1" t="str" cm="1">
        <f t="array" ref="C1255">_xlfn.IFS(Table2[[#This Row],[LIMIT_BAL]]&lt;=100000,"Low",Table2[[#This Row],[LIMIT_BAL]]&lt;=300000,"Medium",
TRUE,"High"
)</f>
        <v>Low</v>
      </c>
      <c r="D1255" t="s">
        <v>2042</v>
      </c>
      <c r="E1255" t="s">
        <v>2043</v>
      </c>
      <c r="F1255" t="s">
        <v>2029</v>
      </c>
      <c r="G1255">
        <v>30</v>
      </c>
      <c r="H1255" t="str" cm="1">
        <f t="array" ref="H1255">_xlfn.IFS(
Table2[[#This Row],[AGE]]&lt;30,"Young",
Table2[[#This Row],[AGE]]&lt;40,"Middle Age",
Table2[[#This Row],[AGE]]&lt;50,"Senior",
TRUE,"Super Senior"
)</f>
        <v>Middle Age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 s="1">
        <v>44953</v>
      </c>
      <c r="P1255" s="1">
        <v>46922</v>
      </c>
      <c r="Q1255" s="1">
        <v>48677</v>
      </c>
      <c r="R1255" s="1">
        <v>49496</v>
      </c>
      <c r="S1255" s="1">
        <v>51010</v>
      </c>
      <c r="T1255" s="1">
        <v>32630</v>
      </c>
      <c r="U1255" s="1">
        <v>3000</v>
      </c>
      <c r="V1255" s="1">
        <v>3000</v>
      </c>
      <c r="W1255" s="1">
        <v>2000</v>
      </c>
      <c r="X1255" s="1">
        <v>2000</v>
      </c>
      <c r="Y1255" s="1">
        <v>2000</v>
      </c>
      <c r="Z1255" s="1">
        <v>2000</v>
      </c>
      <c r="AA1255">
        <v>0</v>
      </c>
      <c r="AB1255" t="str">
        <f t="shared" si="19"/>
        <v>Not Defaulter</v>
      </c>
      <c r="AC1255" s="1">
        <f>Table2[[#This Row],[BILL_AMT1]]-Table2[[#This Row],[PAY_AMT1]]</f>
        <v>41953</v>
      </c>
      <c r="AD1255" s="1" t="str" cm="1">
        <f t="array" ref="AD1255">_xlfn.IFS(Table2[[#This Row],[PAYMENT GAP]]&lt;=0,"No Gap / Overpaid",Table2[[#This Row],[PAYMENT GAP]]&lt;=25000,"Low Gap",Table2[[#This Row],[PAYMENT GAP]]&lt;=100000,"Medium Gap",
TRUE,"High Gap"
)</f>
        <v>Medium Gap</v>
      </c>
    </row>
    <row r="1256" spans="1:30" x14ac:dyDescent="0.3">
      <c r="A1256">
        <v>1255</v>
      </c>
      <c r="B1256" s="1">
        <v>290000</v>
      </c>
      <c r="C1256" s="1" t="str" cm="1">
        <f t="array" ref="C1256">_xlfn.IFS(Table2[[#This Row],[LIMIT_BAL]]&lt;=100000,"Low",Table2[[#This Row],[LIMIT_BAL]]&lt;=300000,"Medium",
TRUE,"High"
)</f>
        <v>Medium</v>
      </c>
      <c r="D1256" t="s">
        <v>2042</v>
      </c>
      <c r="E1256" t="s">
        <v>2026</v>
      </c>
      <c r="F1256" t="s">
        <v>2028</v>
      </c>
      <c r="G1256">
        <v>46</v>
      </c>
      <c r="H1256" t="str" cm="1">
        <f t="array" ref="H1256">_xlfn.IFS(
Table2[[#This Row],[AGE]]&lt;30,"Young",
Table2[[#This Row],[AGE]]&lt;40,"Middle Age",
Table2[[#This Row],[AGE]]&lt;50,"Senior",
TRUE,"Super Senior"
)</f>
        <v>Senior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 s="1">
        <v>194301</v>
      </c>
      <c r="P1256" s="1">
        <v>199451</v>
      </c>
      <c r="Q1256" s="1">
        <v>198684</v>
      </c>
      <c r="R1256" s="1">
        <v>87700</v>
      </c>
      <c r="S1256" s="1">
        <v>88621</v>
      </c>
      <c r="T1256" s="1">
        <v>53243</v>
      </c>
      <c r="U1256" s="1">
        <v>10744</v>
      </c>
      <c r="V1256" s="1">
        <v>6000</v>
      </c>
      <c r="W1256" s="1">
        <v>1573</v>
      </c>
      <c r="X1256" s="1">
        <v>1629</v>
      </c>
      <c r="Y1256" s="1">
        <v>3129</v>
      </c>
      <c r="Z1256" s="1">
        <v>105423</v>
      </c>
      <c r="AA1256">
        <v>0</v>
      </c>
      <c r="AB1256" t="str">
        <f t="shared" si="19"/>
        <v>Not Defaulter</v>
      </c>
      <c r="AC1256" s="1">
        <f>Table2[[#This Row],[BILL_AMT1]]-Table2[[#This Row],[PAY_AMT1]]</f>
        <v>183557</v>
      </c>
      <c r="AD1256" s="1" t="str" cm="1">
        <f t="array" ref="AD1256">_xlfn.IFS(Table2[[#This Row],[PAYMENT GAP]]&lt;=0,"No Gap / Overpaid",Table2[[#This Row],[PAYMENT GAP]]&lt;=25000,"Low Gap",Table2[[#This Row],[PAYMENT GAP]]&lt;=100000,"Medium Gap",
TRUE,"High Gap"
)</f>
        <v>High Gap</v>
      </c>
    </row>
    <row r="1257" spans="1:30" x14ac:dyDescent="0.3">
      <c r="A1257">
        <v>1256</v>
      </c>
      <c r="B1257" s="1">
        <v>70000</v>
      </c>
      <c r="C1257" s="1" t="str" cm="1">
        <f t="array" ref="C1257">_xlfn.IFS(Table2[[#This Row],[LIMIT_BAL]]&lt;=100000,"Low",Table2[[#This Row],[LIMIT_BAL]]&lt;=300000,"Medium",
TRUE,"High"
)</f>
        <v>Low</v>
      </c>
      <c r="D1257" t="s">
        <v>2042</v>
      </c>
      <c r="E1257" t="s">
        <v>2027</v>
      </c>
      <c r="F1257" t="s">
        <v>2029</v>
      </c>
      <c r="G1257">
        <v>28</v>
      </c>
      <c r="H1257" t="str" cm="1">
        <f t="array" ref="H1257">_xlfn.IFS(
Table2[[#This Row],[AGE]]&lt;30,"Young",
Table2[[#This Row],[AGE]]&lt;40,"Middle Age",
Table2[[#This Row],[AGE]]&lt;50,"Senior",
TRUE,"Super Senior"
)</f>
        <v>Young</v>
      </c>
      <c r="I1257">
        <v>1</v>
      </c>
      <c r="J1257">
        <v>2</v>
      </c>
      <c r="K1257">
        <v>0</v>
      </c>
      <c r="L1257">
        <v>0</v>
      </c>
      <c r="M1257">
        <v>0</v>
      </c>
      <c r="N1257">
        <v>0</v>
      </c>
      <c r="O1257" s="1">
        <v>68970</v>
      </c>
      <c r="P1257" s="1">
        <v>67308</v>
      </c>
      <c r="Q1257" s="1">
        <v>68582</v>
      </c>
      <c r="R1257" s="1">
        <v>68361</v>
      </c>
      <c r="S1257" s="1">
        <v>68060</v>
      </c>
      <c r="T1257" s="1">
        <v>68223</v>
      </c>
      <c r="U1257" s="1">
        <v>0</v>
      </c>
      <c r="V1257" s="1">
        <v>3005</v>
      </c>
      <c r="W1257" s="1">
        <v>2546</v>
      </c>
      <c r="X1257" s="1">
        <v>2602</v>
      </c>
      <c r="Y1257" s="1">
        <v>2430</v>
      </c>
      <c r="Z1257" s="1">
        <v>2659</v>
      </c>
      <c r="AA1257">
        <v>0</v>
      </c>
      <c r="AB1257" t="str">
        <f t="shared" si="19"/>
        <v>Not Defaulter</v>
      </c>
      <c r="AC1257" s="1">
        <f>Table2[[#This Row],[BILL_AMT1]]-Table2[[#This Row],[PAY_AMT1]]</f>
        <v>68970</v>
      </c>
      <c r="AD1257" s="1" t="str" cm="1">
        <f t="array" ref="AD1257">_xlfn.IFS(Table2[[#This Row],[PAYMENT GAP]]&lt;=0,"No Gap / Overpaid",Table2[[#This Row],[PAYMENT GAP]]&lt;=25000,"Low Gap",Table2[[#This Row],[PAYMENT GAP]]&lt;=100000,"Medium Gap",
TRUE,"High Gap"
)</f>
        <v>Medium Gap</v>
      </c>
    </row>
    <row r="1258" spans="1:30" x14ac:dyDescent="0.3">
      <c r="A1258">
        <v>1257</v>
      </c>
      <c r="B1258" s="1">
        <v>230000</v>
      </c>
      <c r="C1258" s="1" t="str" cm="1">
        <f t="array" ref="C1258">_xlfn.IFS(Table2[[#This Row],[LIMIT_BAL]]&lt;=100000,"Low",Table2[[#This Row],[LIMIT_BAL]]&lt;=300000,"Medium",
TRUE,"High"
)</f>
        <v>Medium</v>
      </c>
      <c r="D1258" t="s">
        <v>2042</v>
      </c>
      <c r="E1258" t="s">
        <v>2026</v>
      </c>
      <c r="F1258" t="s">
        <v>2029</v>
      </c>
      <c r="G1258">
        <v>26</v>
      </c>
      <c r="H1258" t="str" cm="1">
        <f t="array" ref="H1258">_xlfn.IFS(
Table2[[#This Row],[AGE]]&lt;30,"Young",
Table2[[#This Row],[AGE]]&lt;40,"Middle Age",
Table2[[#This Row],[AGE]]&lt;50,"Senior",
TRUE,"Super Senior"
)</f>
        <v>Young</v>
      </c>
      <c r="I1258">
        <v>-2</v>
      </c>
      <c r="J1258">
        <v>-2</v>
      </c>
      <c r="K1258">
        <v>-2</v>
      </c>
      <c r="L1258">
        <v>-2</v>
      </c>
      <c r="M1258">
        <v>-2</v>
      </c>
      <c r="N1258">
        <v>-2</v>
      </c>
      <c r="O1258" s="1">
        <v>416</v>
      </c>
      <c r="P1258" s="1">
        <v>371</v>
      </c>
      <c r="Q1258" s="1">
        <v>416</v>
      </c>
      <c r="R1258" s="1">
        <v>416</v>
      </c>
      <c r="S1258" s="1">
        <v>566</v>
      </c>
      <c r="T1258" s="1">
        <v>416</v>
      </c>
      <c r="U1258" s="1">
        <v>371</v>
      </c>
      <c r="V1258" s="1">
        <v>461</v>
      </c>
      <c r="W1258" s="1">
        <v>416</v>
      </c>
      <c r="X1258" s="1">
        <v>566</v>
      </c>
      <c r="Y1258" s="1">
        <v>416</v>
      </c>
      <c r="Z1258" s="1">
        <v>0</v>
      </c>
      <c r="AA1258">
        <v>0</v>
      </c>
      <c r="AB1258" t="str">
        <f t="shared" si="19"/>
        <v>Not Defaulter</v>
      </c>
      <c r="AC1258" s="1">
        <f>Table2[[#This Row],[BILL_AMT1]]-Table2[[#This Row],[PAY_AMT1]]</f>
        <v>45</v>
      </c>
      <c r="AD1258" s="1" t="str" cm="1">
        <f t="array" ref="AD1258">_xlfn.IFS(Table2[[#This Row],[PAYMENT GAP]]&lt;=0,"No Gap / Overpaid",Table2[[#This Row],[PAYMENT GAP]]&lt;=25000,"Low Gap",Table2[[#This Row],[PAYMENT GAP]]&lt;=100000,"Medium Gap",
TRUE,"High Gap"
)</f>
        <v>Low Gap</v>
      </c>
    </row>
    <row r="1259" spans="1:30" x14ac:dyDescent="0.3">
      <c r="A1259">
        <v>1258</v>
      </c>
      <c r="B1259" s="1">
        <v>180000</v>
      </c>
      <c r="C1259" s="1" t="str" cm="1">
        <f t="array" ref="C1259">_xlfn.IFS(Table2[[#This Row],[LIMIT_BAL]]&lt;=100000,"Low",Table2[[#This Row],[LIMIT_BAL]]&lt;=300000,"Medium",
TRUE,"High"
)</f>
        <v>Medium</v>
      </c>
      <c r="D1259" t="s">
        <v>2041</v>
      </c>
      <c r="E1259" t="s">
        <v>2026</v>
      </c>
      <c r="F1259" t="s">
        <v>2029</v>
      </c>
      <c r="G1259">
        <v>28</v>
      </c>
      <c r="H1259" t="str" cm="1">
        <f t="array" ref="H1259">_xlfn.IFS(
Table2[[#This Row],[AGE]]&lt;30,"Young",
Table2[[#This Row],[AGE]]&lt;40,"Middle Age",
Table2[[#This Row],[AGE]]&lt;50,"Senior",
TRUE,"Super Senior"
)</f>
        <v>Young</v>
      </c>
      <c r="I1259">
        <v>-1</v>
      </c>
      <c r="J1259">
        <v>-1</v>
      </c>
      <c r="K1259">
        <v>-1</v>
      </c>
      <c r="L1259">
        <v>-1</v>
      </c>
      <c r="M1259">
        <v>-1</v>
      </c>
      <c r="N1259">
        <v>0</v>
      </c>
      <c r="O1259" s="1">
        <v>950</v>
      </c>
      <c r="P1259" s="1">
        <v>4369</v>
      </c>
      <c r="Q1259" s="1">
        <v>9673</v>
      </c>
      <c r="R1259" s="1">
        <v>2861</v>
      </c>
      <c r="S1259" s="1">
        <v>12338</v>
      </c>
      <c r="T1259" s="1">
        <v>9124</v>
      </c>
      <c r="U1259" s="1">
        <v>4369</v>
      </c>
      <c r="V1259" s="1">
        <v>9673</v>
      </c>
      <c r="W1259" s="1">
        <v>3260</v>
      </c>
      <c r="X1259" s="1">
        <v>13959</v>
      </c>
      <c r="Y1259" s="1">
        <v>3000</v>
      </c>
      <c r="Z1259" s="1">
        <v>18396</v>
      </c>
      <c r="AA1259">
        <v>0</v>
      </c>
      <c r="AB1259" t="str">
        <f t="shared" si="19"/>
        <v>Not Defaulter</v>
      </c>
      <c r="AC1259" s="1">
        <f>Table2[[#This Row],[BILL_AMT1]]-Table2[[#This Row],[PAY_AMT1]]</f>
        <v>-3419</v>
      </c>
      <c r="AD1259" s="1" t="str" cm="1">
        <f t="array" ref="AD1259">_xlfn.IFS(Table2[[#This Row],[PAYMENT GAP]]&lt;=0,"No Gap / Overpaid",Table2[[#This Row],[PAYMENT GAP]]&lt;=25000,"Low Gap",Table2[[#This Row],[PAYMENT GAP]]&lt;=100000,"Medium Gap",
TRUE,"High Gap"
)</f>
        <v>No Gap / Overpaid</v>
      </c>
    </row>
    <row r="1260" spans="1:30" x14ac:dyDescent="0.3">
      <c r="A1260">
        <v>1259</v>
      </c>
      <c r="B1260" s="1">
        <v>210000</v>
      </c>
      <c r="C1260" s="1" t="str" cm="1">
        <f t="array" ref="C1260">_xlfn.IFS(Table2[[#This Row],[LIMIT_BAL]]&lt;=100000,"Low",Table2[[#This Row],[LIMIT_BAL]]&lt;=300000,"Medium",
TRUE,"High"
)</f>
        <v>Medium</v>
      </c>
      <c r="D1260" t="s">
        <v>2042</v>
      </c>
      <c r="E1260" t="s">
        <v>2026</v>
      </c>
      <c r="F1260" t="s">
        <v>2029</v>
      </c>
      <c r="G1260">
        <v>33</v>
      </c>
      <c r="H1260" t="str" cm="1">
        <f t="array" ref="H1260">_xlfn.IFS(
Table2[[#This Row],[AGE]]&lt;30,"Young",
Table2[[#This Row],[AGE]]&lt;40,"Middle Age",
Table2[[#This Row],[AGE]]&lt;50,"Senior",
TRUE,"Super Senior"
)</f>
        <v>Middle Age</v>
      </c>
      <c r="I1260">
        <v>-1</v>
      </c>
      <c r="J1260">
        <v>-1</v>
      </c>
      <c r="K1260">
        <v>-1</v>
      </c>
      <c r="L1260">
        <v>-1</v>
      </c>
      <c r="M1260">
        <v>-1</v>
      </c>
      <c r="N1260">
        <v>-1</v>
      </c>
      <c r="O1260" s="1">
        <v>291</v>
      </c>
      <c r="P1260" s="1">
        <v>291</v>
      </c>
      <c r="Q1260" s="1">
        <v>291</v>
      </c>
      <c r="R1260" s="1">
        <v>291</v>
      </c>
      <c r="S1260" s="1">
        <v>441</v>
      </c>
      <c r="T1260" s="1">
        <v>291</v>
      </c>
      <c r="U1260" s="1">
        <v>291</v>
      </c>
      <c r="V1260" s="1">
        <v>291</v>
      </c>
      <c r="W1260" s="1">
        <v>291</v>
      </c>
      <c r="X1260" s="1">
        <v>441</v>
      </c>
      <c r="Y1260" s="1">
        <v>291</v>
      </c>
      <c r="Z1260" s="1">
        <v>291</v>
      </c>
      <c r="AA1260">
        <v>0</v>
      </c>
      <c r="AB1260" t="str">
        <f t="shared" si="19"/>
        <v>Not Defaulter</v>
      </c>
      <c r="AC1260" s="1">
        <f>Table2[[#This Row],[BILL_AMT1]]-Table2[[#This Row],[PAY_AMT1]]</f>
        <v>0</v>
      </c>
      <c r="AD1260" s="1" t="str" cm="1">
        <f t="array" ref="AD1260">_xlfn.IFS(Table2[[#This Row],[PAYMENT GAP]]&lt;=0,"No Gap / Overpaid",Table2[[#This Row],[PAYMENT GAP]]&lt;=25000,"Low Gap",Table2[[#This Row],[PAYMENT GAP]]&lt;=100000,"Medium Gap",
TRUE,"High Gap"
)</f>
        <v>No Gap / Overpaid</v>
      </c>
    </row>
    <row r="1261" spans="1:30" x14ac:dyDescent="0.3">
      <c r="A1261">
        <v>1260</v>
      </c>
      <c r="B1261" s="1">
        <v>50000</v>
      </c>
      <c r="C1261" s="1" t="str" cm="1">
        <f t="array" ref="C1261">_xlfn.IFS(Table2[[#This Row],[LIMIT_BAL]]&lt;=100000,"Low",Table2[[#This Row],[LIMIT_BAL]]&lt;=300000,"Medium",
TRUE,"High"
)</f>
        <v>Low</v>
      </c>
      <c r="D1261" t="s">
        <v>2042</v>
      </c>
      <c r="E1261" t="s">
        <v>2026</v>
      </c>
      <c r="F1261" t="s">
        <v>2029</v>
      </c>
      <c r="G1261">
        <v>24</v>
      </c>
      <c r="H1261" t="str" cm="1">
        <f t="array" ref="H1261">_xlfn.IFS(
Table2[[#This Row],[AGE]]&lt;30,"Young",
Table2[[#This Row],[AGE]]&lt;40,"Middle Age",
Table2[[#This Row],[AGE]]&lt;50,"Senior",
TRUE,"Super Senior"
)</f>
        <v>Young</v>
      </c>
      <c r="I1261">
        <v>2</v>
      </c>
      <c r="J1261">
        <v>2</v>
      </c>
      <c r="K1261">
        <v>0</v>
      </c>
      <c r="L1261">
        <v>0</v>
      </c>
      <c r="M1261">
        <v>0</v>
      </c>
      <c r="N1261">
        <v>0</v>
      </c>
      <c r="O1261" s="1">
        <v>49946</v>
      </c>
      <c r="P1261" s="1">
        <v>48808</v>
      </c>
      <c r="Q1261" s="1">
        <v>45469</v>
      </c>
      <c r="R1261" s="1">
        <v>20228</v>
      </c>
      <c r="S1261" s="1">
        <v>18900</v>
      </c>
      <c r="T1261" s="1">
        <v>19066</v>
      </c>
      <c r="U1261" s="1">
        <v>0</v>
      </c>
      <c r="V1261" s="1">
        <v>2079</v>
      </c>
      <c r="W1261" s="1">
        <v>693</v>
      </c>
      <c r="X1261" s="1">
        <v>1080</v>
      </c>
      <c r="Y1261" s="1">
        <v>700</v>
      </c>
      <c r="Z1261" s="1">
        <v>1004</v>
      </c>
      <c r="AA1261">
        <v>0</v>
      </c>
      <c r="AB1261" t="str">
        <f t="shared" si="19"/>
        <v>Not Defaulter</v>
      </c>
      <c r="AC1261" s="1">
        <f>Table2[[#This Row],[BILL_AMT1]]-Table2[[#This Row],[PAY_AMT1]]</f>
        <v>49946</v>
      </c>
      <c r="AD1261" s="1" t="str" cm="1">
        <f t="array" ref="AD1261">_xlfn.IFS(Table2[[#This Row],[PAYMENT GAP]]&lt;=0,"No Gap / Overpaid",Table2[[#This Row],[PAYMENT GAP]]&lt;=25000,"Low Gap",Table2[[#This Row],[PAYMENT GAP]]&lt;=100000,"Medium Gap",
TRUE,"High Gap"
)</f>
        <v>Medium Gap</v>
      </c>
    </row>
    <row r="1262" spans="1:30" x14ac:dyDescent="0.3">
      <c r="A1262">
        <v>1261</v>
      </c>
      <c r="B1262" s="1">
        <v>150000</v>
      </c>
      <c r="C1262" s="1" t="str" cm="1">
        <f t="array" ref="C1262">_xlfn.IFS(Table2[[#This Row],[LIMIT_BAL]]&lt;=100000,"Low",Table2[[#This Row],[LIMIT_BAL]]&lt;=300000,"Medium",
TRUE,"High"
)</f>
        <v>Medium</v>
      </c>
      <c r="D1262" t="s">
        <v>2042</v>
      </c>
      <c r="E1262" t="s">
        <v>2026</v>
      </c>
      <c r="F1262" t="s">
        <v>2029</v>
      </c>
      <c r="G1262">
        <v>37</v>
      </c>
      <c r="H1262" t="str" cm="1">
        <f t="array" ref="H1262">_xlfn.IFS(
Table2[[#This Row],[AGE]]&lt;30,"Young",
Table2[[#This Row],[AGE]]&lt;40,"Middle Age",
Table2[[#This Row],[AGE]]&lt;50,"Senior",
TRUE,"Super Senior"
)</f>
        <v>Middle Age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 s="1">
        <v>45000</v>
      </c>
      <c r="P1262" s="1">
        <v>44386</v>
      </c>
      <c r="Q1262" s="1">
        <v>46505</v>
      </c>
      <c r="R1262" s="1">
        <v>49103</v>
      </c>
      <c r="S1262" s="1">
        <v>51698</v>
      </c>
      <c r="T1262" s="1">
        <v>52549</v>
      </c>
      <c r="U1262" s="1">
        <v>3000</v>
      </c>
      <c r="V1262" s="1">
        <v>2500</v>
      </c>
      <c r="W1262" s="1">
        <v>3000</v>
      </c>
      <c r="X1262" s="1">
        <v>3000</v>
      </c>
      <c r="Y1262" s="1">
        <v>1546</v>
      </c>
      <c r="Z1262" s="1">
        <v>2000</v>
      </c>
      <c r="AA1262">
        <v>0</v>
      </c>
      <c r="AB1262" t="str">
        <f t="shared" si="19"/>
        <v>Not Defaulter</v>
      </c>
      <c r="AC1262" s="1">
        <f>Table2[[#This Row],[BILL_AMT1]]-Table2[[#This Row],[PAY_AMT1]]</f>
        <v>42000</v>
      </c>
      <c r="AD1262" s="1" t="str" cm="1">
        <f t="array" ref="AD1262">_xlfn.IFS(Table2[[#This Row],[PAYMENT GAP]]&lt;=0,"No Gap / Overpaid",Table2[[#This Row],[PAYMENT GAP]]&lt;=25000,"Low Gap",Table2[[#This Row],[PAYMENT GAP]]&lt;=100000,"Medium Gap",
TRUE,"High Gap"
)</f>
        <v>Medium Gap</v>
      </c>
    </row>
    <row r="1263" spans="1:30" x14ac:dyDescent="0.3">
      <c r="A1263">
        <v>1262</v>
      </c>
      <c r="B1263" s="1">
        <v>380000</v>
      </c>
      <c r="C1263" s="1" t="str" cm="1">
        <f t="array" ref="C1263">_xlfn.IFS(Table2[[#This Row],[LIMIT_BAL]]&lt;=100000,"Low",Table2[[#This Row],[LIMIT_BAL]]&lt;=300000,"Medium",
TRUE,"High"
)</f>
        <v>High</v>
      </c>
      <c r="D1263" t="s">
        <v>2042</v>
      </c>
      <c r="E1263" t="s">
        <v>2043</v>
      </c>
      <c r="F1263" t="s">
        <v>2028</v>
      </c>
      <c r="G1263">
        <v>50</v>
      </c>
      <c r="H1263" t="str" cm="1">
        <f t="array" ref="H1263">_xlfn.IFS(
Table2[[#This Row],[AGE]]&lt;30,"Young",
Table2[[#This Row],[AGE]]&lt;40,"Middle Age",
Table2[[#This Row],[AGE]]&lt;50,"Senior",
TRUE,"Super Senior"
)</f>
        <v>Super Senior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 s="1">
        <v>385662</v>
      </c>
      <c r="P1263" s="1">
        <v>294826</v>
      </c>
      <c r="Q1263" s="1">
        <v>220022</v>
      </c>
      <c r="R1263" s="1">
        <v>154283</v>
      </c>
      <c r="S1263" s="1">
        <v>35270</v>
      </c>
      <c r="T1263" s="1">
        <v>332270</v>
      </c>
      <c r="U1263" s="1">
        <v>12020</v>
      </c>
      <c r="V1263" s="1">
        <v>9009</v>
      </c>
      <c r="W1263" s="1">
        <v>6109</v>
      </c>
      <c r="X1263" s="1">
        <v>3000</v>
      </c>
      <c r="Y1263" s="1">
        <v>332000</v>
      </c>
      <c r="Z1263" s="1">
        <v>12000</v>
      </c>
      <c r="AA1263">
        <v>1</v>
      </c>
      <c r="AB1263" t="str">
        <f t="shared" si="19"/>
        <v>Defaulter</v>
      </c>
      <c r="AC1263" s="1">
        <f>Table2[[#This Row],[BILL_AMT1]]-Table2[[#This Row],[PAY_AMT1]]</f>
        <v>373642</v>
      </c>
      <c r="AD1263" s="1" t="str" cm="1">
        <f t="array" ref="AD1263">_xlfn.IFS(Table2[[#This Row],[PAYMENT GAP]]&lt;=0,"No Gap / Overpaid",Table2[[#This Row],[PAYMENT GAP]]&lt;=25000,"Low Gap",Table2[[#This Row],[PAYMENT GAP]]&lt;=100000,"Medium Gap",
TRUE,"High Gap"
)</f>
        <v>High Gap</v>
      </c>
    </row>
    <row r="1264" spans="1:30" x14ac:dyDescent="0.3">
      <c r="A1264">
        <v>1263</v>
      </c>
      <c r="B1264" s="1">
        <v>50000</v>
      </c>
      <c r="C1264" s="1" t="str" cm="1">
        <f t="array" ref="C1264">_xlfn.IFS(Table2[[#This Row],[LIMIT_BAL]]&lt;=100000,"Low",Table2[[#This Row],[LIMIT_BAL]]&lt;=300000,"Medium",
TRUE,"High"
)</f>
        <v>Low</v>
      </c>
      <c r="D1264" t="s">
        <v>2042</v>
      </c>
      <c r="E1264" t="s">
        <v>2043</v>
      </c>
      <c r="F1264" t="s">
        <v>2028</v>
      </c>
      <c r="G1264">
        <v>44</v>
      </c>
      <c r="H1264" t="str" cm="1">
        <f t="array" ref="H1264">_xlfn.IFS(
Table2[[#This Row],[AGE]]&lt;30,"Young",
Table2[[#This Row],[AGE]]&lt;40,"Middle Age",
Table2[[#This Row],[AGE]]&lt;50,"Senior",
TRUE,"Super Senior"
)</f>
        <v>Senior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 s="1">
        <v>45335</v>
      </c>
      <c r="P1264" s="1">
        <v>46027</v>
      </c>
      <c r="Q1264" s="1">
        <v>30286</v>
      </c>
      <c r="R1264" s="1">
        <v>26275</v>
      </c>
      <c r="S1264" s="1">
        <v>26823</v>
      </c>
      <c r="T1264" s="1">
        <v>27371</v>
      </c>
      <c r="U1264" s="1">
        <v>1524</v>
      </c>
      <c r="V1264" s="1">
        <v>1427</v>
      </c>
      <c r="W1264" s="1">
        <v>941</v>
      </c>
      <c r="X1264" s="1">
        <v>972</v>
      </c>
      <c r="Y1264" s="1">
        <v>992</v>
      </c>
      <c r="Z1264" s="1">
        <v>1000</v>
      </c>
      <c r="AA1264">
        <v>0</v>
      </c>
      <c r="AB1264" t="str">
        <f t="shared" si="19"/>
        <v>Not Defaulter</v>
      </c>
      <c r="AC1264" s="1">
        <f>Table2[[#This Row],[BILL_AMT1]]-Table2[[#This Row],[PAY_AMT1]]</f>
        <v>43811</v>
      </c>
      <c r="AD1264" s="1" t="str" cm="1">
        <f t="array" ref="AD1264">_xlfn.IFS(Table2[[#This Row],[PAYMENT GAP]]&lt;=0,"No Gap / Overpaid",Table2[[#This Row],[PAYMENT GAP]]&lt;=25000,"Low Gap",Table2[[#This Row],[PAYMENT GAP]]&lt;=100000,"Medium Gap",
TRUE,"High Gap"
)</f>
        <v>Medium Gap</v>
      </c>
    </row>
    <row r="1265" spans="1:30" x14ac:dyDescent="0.3">
      <c r="A1265">
        <v>1264</v>
      </c>
      <c r="B1265" s="1">
        <v>150000</v>
      </c>
      <c r="C1265" s="1" t="str" cm="1">
        <f t="array" ref="C1265">_xlfn.IFS(Table2[[#This Row],[LIMIT_BAL]]&lt;=100000,"Low",Table2[[#This Row],[LIMIT_BAL]]&lt;=300000,"Medium",
TRUE,"High"
)</f>
        <v>Medium</v>
      </c>
      <c r="D1265" t="s">
        <v>2041</v>
      </c>
      <c r="E1265" t="s">
        <v>2027</v>
      </c>
      <c r="F1265" t="s">
        <v>2028</v>
      </c>
      <c r="G1265">
        <v>43</v>
      </c>
      <c r="H1265" t="str" cm="1">
        <f t="array" ref="H1265">_xlfn.IFS(
Table2[[#This Row],[AGE]]&lt;30,"Young",
Table2[[#This Row],[AGE]]&lt;40,"Middle Age",
Table2[[#This Row],[AGE]]&lt;50,"Senior",
TRUE,"Super Senior"
)</f>
        <v>Senior</v>
      </c>
      <c r="I1265">
        <v>-1</v>
      </c>
      <c r="J1265">
        <v>-1</v>
      </c>
      <c r="K1265">
        <v>2</v>
      </c>
      <c r="L1265">
        <v>0</v>
      </c>
      <c r="M1265">
        <v>-1</v>
      </c>
      <c r="N1265">
        <v>-1</v>
      </c>
      <c r="O1265" s="1">
        <v>264</v>
      </c>
      <c r="P1265" s="1">
        <v>948</v>
      </c>
      <c r="Q1265" s="1">
        <v>632</v>
      </c>
      <c r="R1265" s="1">
        <v>316</v>
      </c>
      <c r="S1265" s="1">
        <v>316</v>
      </c>
      <c r="T1265" s="1">
        <v>1414</v>
      </c>
      <c r="U1265" s="1">
        <v>1000</v>
      </c>
      <c r="V1265" s="1">
        <v>0</v>
      </c>
      <c r="W1265" s="1">
        <v>0</v>
      </c>
      <c r="X1265" s="1">
        <v>316</v>
      </c>
      <c r="Y1265" s="1">
        <v>1414</v>
      </c>
      <c r="Z1265" s="1">
        <v>0</v>
      </c>
      <c r="AA1265">
        <v>1</v>
      </c>
      <c r="AB1265" t="str">
        <f t="shared" si="19"/>
        <v>Defaulter</v>
      </c>
      <c r="AC1265" s="1">
        <f>Table2[[#This Row],[BILL_AMT1]]-Table2[[#This Row],[PAY_AMT1]]</f>
        <v>-736</v>
      </c>
      <c r="AD1265" s="1" t="str" cm="1">
        <f t="array" ref="AD1265">_xlfn.IFS(Table2[[#This Row],[PAYMENT GAP]]&lt;=0,"No Gap / Overpaid",Table2[[#This Row],[PAYMENT GAP]]&lt;=25000,"Low Gap",Table2[[#This Row],[PAYMENT GAP]]&lt;=100000,"Medium Gap",
TRUE,"High Gap"
)</f>
        <v>No Gap / Overpaid</v>
      </c>
    </row>
    <row r="1266" spans="1:30" x14ac:dyDescent="0.3">
      <c r="A1266">
        <v>1265</v>
      </c>
      <c r="B1266" s="1">
        <v>220000</v>
      </c>
      <c r="C1266" s="1" t="str" cm="1">
        <f t="array" ref="C1266">_xlfn.IFS(Table2[[#This Row],[LIMIT_BAL]]&lt;=100000,"Low",Table2[[#This Row],[LIMIT_BAL]]&lt;=300000,"Medium",
TRUE,"High"
)</f>
        <v>Medium</v>
      </c>
      <c r="D1266" t="s">
        <v>2042</v>
      </c>
      <c r="E1266" t="s">
        <v>2043</v>
      </c>
      <c r="F1266" t="s">
        <v>2029</v>
      </c>
      <c r="G1266">
        <v>29</v>
      </c>
      <c r="H1266" t="str" cm="1">
        <f t="array" ref="H1266">_xlfn.IFS(
Table2[[#This Row],[AGE]]&lt;30,"Young",
Table2[[#This Row],[AGE]]&lt;40,"Middle Age",
Table2[[#This Row],[AGE]]&lt;50,"Senior",
TRUE,"Super Senior"
)</f>
        <v>Young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 s="1">
        <v>122286</v>
      </c>
      <c r="P1266" s="1">
        <v>122839</v>
      </c>
      <c r="Q1266" s="1">
        <v>123035</v>
      </c>
      <c r="R1266" s="1">
        <v>114385</v>
      </c>
      <c r="S1266" s="1">
        <v>115903</v>
      </c>
      <c r="T1266" s="1">
        <v>118528</v>
      </c>
      <c r="U1266" s="1">
        <v>5008</v>
      </c>
      <c r="V1266" s="1">
        <v>5007</v>
      </c>
      <c r="W1266" s="1">
        <v>6007</v>
      </c>
      <c r="X1266" s="1">
        <v>5000</v>
      </c>
      <c r="Y1266" s="1">
        <v>4700</v>
      </c>
      <c r="Z1266" s="1">
        <v>5503</v>
      </c>
      <c r="AA1266">
        <v>0</v>
      </c>
      <c r="AB1266" t="str">
        <f t="shared" si="19"/>
        <v>Not Defaulter</v>
      </c>
      <c r="AC1266" s="1">
        <f>Table2[[#This Row],[BILL_AMT1]]-Table2[[#This Row],[PAY_AMT1]]</f>
        <v>117278</v>
      </c>
      <c r="AD1266" s="1" t="str" cm="1">
        <f t="array" ref="AD1266">_xlfn.IFS(Table2[[#This Row],[PAYMENT GAP]]&lt;=0,"No Gap / Overpaid",Table2[[#This Row],[PAYMENT GAP]]&lt;=25000,"Low Gap",Table2[[#This Row],[PAYMENT GAP]]&lt;=100000,"Medium Gap",
TRUE,"High Gap"
)</f>
        <v>High Gap</v>
      </c>
    </row>
    <row r="1267" spans="1:30" x14ac:dyDescent="0.3">
      <c r="A1267">
        <v>1266</v>
      </c>
      <c r="B1267" s="1">
        <v>80000</v>
      </c>
      <c r="C1267" s="1" t="str" cm="1">
        <f t="array" ref="C1267">_xlfn.IFS(Table2[[#This Row],[LIMIT_BAL]]&lt;=100000,"Low",Table2[[#This Row],[LIMIT_BAL]]&lt;=300000,"Medium",
TRUE,"High"
)</f>
        <v>Low</v>
      </c>
      <c r="D1267" t="s">
        <v>2041</v>
      </c>
      <c r="E1267" t="s">
        <v>2044</v>
      </c>
      <c r="F1267" t="s">
        <v>2029</v>
      </c>
      <c r="G1267">
        <v>27</v>
      </c>
      <c r="H1267" t="str" cm="1">
        <f t="array" ref="H1267">_xlfn.IFS(
Table2[[#This Row],[AGE]]&lt;30,"Young",
Table2[[#This Row],[AGE]]&lt;40,"Middle Age",
Table2[[#This Row],[AGE]]&lt;50,"Senior",
TRUE,"Super Senior"
)</f>
        <v>Young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 s="1">
        <v>45268</v>
      </c>
      <c r="P1267" s="1">
        <v>47140</v>
      </c>
      <c r="Q1267" s="1">
        <v>47411</v>
      </c>
      <c r="R1267" s="1">
        <v>48443</v>
      </c>
      <c r="S1267" s="1">
        <v>49478</v>
      </c>
      <c r="T1267" s="1">
        <v>43264</v>
      </c>
      <c r="U1267" s="1">
        <v>2600</v>
      </c>
      <c r="V1267" s="1">
        <v>1800</v>
      </c>
      <c r="W1267" s="1">
        <v>1700</v>
      </c>
      <c r="X1267" s="1">
        <v>1700</v>
      </c>
      <c r="Y1267" s="1">
        <v>1700</v>
      </c>
      <c r="Z1267" s="1">
        <v>1300</v>
      </c>
      <c r="AA1267">
        <v>0</v>
      </c>
      <c r="AB1267" t="str">
        <f t="shared" si="19"/>
        <v>Not Defaulter</v>
      </c>
      <c r="AC1267" s="1">
        <f>Table2[[#This Row],[BILL_AMT1]]-Table2[[#This Row],[PAY_AMT1]]</f>
        <v>42668</v>
      </c>
      <c r="AD1267" s="1" t="str" cm="1">
        <f t="array" ref="AD1267">_xlfn.IFS(Table2[[#This Row],[PAYMENT GAP]]&lt;=0,"No Gap / Overpaid",Table2[[#This Row],[PAYMENT GAP]]&lt;=25000,"Low Gap",Table2[[#This Row],[PAYMENT GAP]]&lt;=100000,"Medium Gap",
TRUE,"High Gap"
)</f>
        <v>Medium Gap</v>
      </c>
    </row>
    <row r="1268" spans="1:30" x14ac:dyDescent="0.3">
      <c r="A1268">
        <v>1267</v>
      </c>
      <c r="B1268" s="1">
        <v>220000</v>
      </c>
      <c r="C1268" s="1" t="str" cm="1">
        <f t="array" ref="C1268">_xlfn.IFS(Table2[[#This Row],[LIMIT_BAL]]&lt;=100000,"Low",Table2[[#This Row],[LIMIT_BAL]]&lt;=300000,"Medium",
TRUE,"High"
)</f>
        <v>Medium</v>
      </c>
      <c r="D1268" t="s">
        <v>2041</v>
      </c>
      <c r="E1268" t="s">
        <v>2043</v>
      </c>
      <c r="F1268" t="s">
        <v>2028</v>
      </c>
      <c r="G1268">
        <v>32</v>
      </c>
      <c r="H1268" t="str" cm="1">
        <f t="array" ref="H1268">_xlfn.IFS(
Table2[[#This Row],[AGE]]&lt;30,"Young",
Table2[[#This Row],[AGE]]&lt;40,"Middle Age",
Table2[[#This Row],[AGE]]&lt;50,"Senior",
TRUE,"Super Senior"
)</f>
        <v>Middle Age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 s="1">
        <v>194961</v>
      </c>
      <c r="P1268" s="1">
        <v>197536</v>
      </c>
      <c r="Q1268" s="1">
        <v>203251</v>
      </c>
      <c r="R1268" s="1">
        <v>208355</v>
      </c>
      <c r="S1268" s="1">
        <v>213015</v>
      </c>
      <c r="T1268" s="1">
        <v>217475</v>
      </c>
      <c r="U1268" s="1">
        <v>7200</v>
      </c>
      <c r="V1268" s="1">
        <v>9000</v>
      </c>
      <c r="W1268" s="1">
        <v>10000</v>
      </c>
      <c r="X1268" s="1">
        <v>8000</v>
      </c>
      <c r="Y1268" s="1">
        <v>8010</v>
      </c>
      <c r="Z1268" s="1">
        <v>8500</v>
      </c>
      <c r="AA1268">
        <v>0</v>
      </c>
      <c r="AB1268" t="str">
        <f t="shared" si="19"/>
        <v>Not Defaulter</v>
      </c>
      <c r="AC1268" s="1">
        <f>Table2[[#This Row],[BILL_AMT1]]-Table2[[#This Row],[PAY_AMT1]]</f>
        <v>187761</v>
      </c>
      <c r="AD1268" s="1" t="str" cm="1">
        <f t="array" ref="AD1268">_xlfn.IFS(Table2[[#This Row],[PAYMENT GAP]]&lt;=0,"No Gap / Overpaid",Table2[[#This Row],[PAYMENT GAP]]&lt;=25000,"Low Gap",Table2[[#This Row],[PAYMENT GAP]]&lt;=100000,"Medium Gap",
TRUE,"High Gap"
)</f>
        <v>High Gap</v>
      </c>
    </row>
    <row r="1269" spans="1:30" x14ac:dyDescent="0.3">
      <c r="A1269">
        <v>1268</v>
      </c>
      <c r="B1269" s="1">
        <v>70000</v>
      </c>
      <c r="C1269" s="1" t="str" cm="1">
        <f t="array" ref="C1269">_xlfn.IFS(Table2[[#This Row],[LIMIT_BAL]]&lt;=100000,"Low",Table2[[#This Row],[LIMIT_BAL]]&lt;=300000,"Medium",
TRUE,"High"
)</f>
        <v>Low</v>
      </c>
      <c r="D1269" t="s">
        <v>2041</v>
      </c>
      <c r="E1269" t="s">
        <v>2043</v>
      </c>
      <c r="F1269" t="s">
        <v>2029</v>
      </c>
      <c r="G1269">
        <v>34</v>
      </c>
      <c r="H1269" t="str" cm="1">
        <f t="array" ref="H1269">_xlfn.IFS(
Table2[[#This Row],[AGE]]&lt;30,"Young",
Table2[[#This Row],[AGE]]&lt;40,"Middle Age",
Table2[[#This Row],[AGE]]&lt;50,"Senior",
TRUE,"Super Senior"
)</f>
        <v>Middle Age</v>
      </c>
      <c r="I1269">
        <v>1</v>
      </c>
      <c r="J1269">
        <v>2</v>
      </c>
      <c r="K1269">
        <v>2</v>
      </c>
      <c r="L1269">
        <v>2</v>
      </c>
      <c r="M1269">
        <v>0</v>
      </c>
      <c r="N1269">
        <v>0</v>
      </c>
      <c r="O1269" s="1">
        <v>24208</v>
      </c>
      <c r="P1269" s="1">
        <v>25015</v>
      </c>
      <c r="Q1269" s="1">
        <v>27189</v>
      </c>
      <c r="R1269" s="1">
        <v>26456</v>
      </c>
      <c r="S1269" s="1">
        <v>28361</v>
      </c>
      <c r="T1269" s="1">
        <v>31873</v>
      </c>
      <c r="U1269" s="1">
        <v>1500</v>
      </c>
      <c r="V1269" s="1">
        <v>2900</v>
      </c>
      <c r="W1269" s="1">
        <v>0</v>
      </c>
      <c r="X1269" s="1">
        <v>2500</v>
      </c>
      <c r="Y1269" s="1">
        <v>4000</v>
      </c>
      <c r="Z1269" s="1">
        <v>0</v>
      </c>
      <c r="AA1269">
        <v>0</v>
      </c>
      <c r="AB1269" t="str">
        <f t="shared" si="19"/>
        <v>Not Defaulter</v>
      </c>
      <c r="AC1269" s="1">
        <f>Table2[[#This Row],[BILL_AMT1]]-Table2[[#This Row],[PAY_AMT1]]</f>
        <v>22708</v>
      </c>
      <c r="AD1269" s="1" t="str" cm="1">
        <f t="array" ref="AD1269">_xlfn.IFS(Table2[[#This Row],[PAYMENT GAP]]&lt;=0,"No Gap / Overpaid",Table2[[#This Row],[PAYMENT GAP]]&lt;=25000,"Low Gap",Table2[[#This Row],[PAYMENT GAP]]&lt;=100000,"Medium Gap",
TRUE,"High Gap"
)</f>
        <v>Low Gap</v>
      </c>
    </row>
    <row r="1270" spans="1:30" x14ac:dyDescent="0.3">
      <c r="A1270">
        <v>1269</v>
      </c>
      <c r="B1270" s="1">
        <v>120000</v>
      </c>
      <c r="C1270" s="1" t="str" cm="1">
        <f t="array" ref="C1270">_xlfn.IFS(Table2[[#This Row],[LIMIT_BAL]]&lt;=100000,"Low",Table2[[#This Row],[LIMIT_BAL]]&lt;=300000,"Medium",
TRUE,"High"
)</f>
        <v>Medium</v>
      </c>
      <c r="D1270" t="s">
        <v>2042</v>
      </c>
      <c r="E1270" t="s">
        <v>2043</v>
      </c>
      <c r="F1270" t="s">
        <v>2029</v>
      </c>
      <c r="G1270">
        <v>37</v>
      </c>
      <c r="H1270" t="str" cm="1">
        <f t="array" ref="H1270">_xlfn.IFS(
Table2[[#This Row],[AGE]]&lt;30,"Young",
Table2[[#This Row],[AGE]]&lt;40,"Middle Age",
Table2[[#This Row],[AGE]]&lt;50,"Senior",
TRUE,"Super Senior"
)</f>
        <v>Middle Age</v>
      </c>
      <c r="I1270">
        <v>-1</v>
      </c>
      <c r="J1270">
        <v>2</v>
      </c>
      <c r="K1270">
        <v>0</v>
      </c>
      <c r="L1270">
        <v>0</v>
      </c>
      <c r="M1270">
        <v>0</v>
      </c>
      <c r="N1270">
        <v>2</v>
      </c>
      <c r="O1270" s="1">
        <v>16241</v>
      </c>
      <c r="P1270" s="1">
        <v>16680</v>
      </c>
      <c r="Q1270" s="1">
        <v>17695</v>
      </c>
      <c r="R1270" s="1">
        <v>17901</v>
      </c>
      <c r="S1270" s="1">
        <v>19608</v>
      </c>
      <c r="T1270" s="1">
        <v>19143</v>
      </c>
      <c r="U1270" s="1">
        <v>1000</v>
      </c>
      <c r="V1270" s="1">
        <v>1600</v>
      </c>
      <c r="W1270" s="1">
        <v>800</v>
      </c>
      <c r="X1270" s="1">
        <v>2000</v>
      </c>
      <c r="Y1270" s="1">
        <v>0</v>
      </c>
      <c r="Z1270" s="1">
        <v>1600</v>
      </c>
      <c r="AA1270">
        <v>1</v>
      </c>
      <c r="AB1270" t="str">
        <f t="shared" si="19"/>
        <v>Defaulter</v>
      </c>
      <c r="AC1270" s="1">
        <f>Table2[[#This Row],[BILL_AMT1]]-Table2[[#This Row],[PAY_AMT1]]</f>
        <v>15241</v>
      </c>
      <c r="AD1270" s="1" t="str" cm="1">
        <f t="array" ref="AD1270">_xlfn.IFS(Table2[[#This Row],[PAYMENT GAP]]&lt;=0,"No Gap / Overpaid",Table2[[#This Row],[PAYMENT GAP]]&lt;=25000,"Low Gap",Table2[[#This Row],[PAYMENT GAP]]&lt;=100000,"Medium Gap",
TRUE,"High Gap"
)</f>
        <v>Low Gap</v>
      </c>
    </row>
    <row r="1271" spans="1:30" x14ac:dyDescent="0.3">
      <c r="A1271">
        <v>1270</v>
      </c>
      <c r="B1271" s="1">
        <v>180000</v>
      </c>
      <c r="C1271" s="1" t="str" cm="1">
        <f t="array" ref="C1271">_xlfn.IFS(Table2[[#This Row],[LIMIT_BAL]]&lt;=100000,"Low",Table2[[#This Row],[LIMIT_BAL]]&lt;=300000,"Medium",
TRUE,"High"
)</f>
        <v>Medium</v>
      </c>
      <c r="D1271" t="s">
        <v>2041</v>
      </c>
      <c r="E1271" t="s">
        <v>2043</v>
      </c>
      <c r="F1271" t="s">
        <v>2029</v>
      </c>
      <c r="G1271">
        <v>32</v>
      </c>
      <c r="H1271" t="str" cm="1">
        <f t="array" ref="H1271">_xlfn.IFS(
Table2[[#This Row],[AGE]]&lt;30,"Young",
Table2[[#This Row],[AGE]]&lt;40,"Middle Age",
Table2[[#This Row],[AGE]]&lt;50,"Senior",
TRUE,"Super Senior"
)</f>
        <v>Middle Age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 s="1">
        <v>20730</v>
      </c>
      <c r="P1271" s="1">
        <v>17107</v>
      </c>
      <c r="Q1271" s="1">
        <v>35884</v>
      </c>
      <c r="R1271" s="1">
        <v>31057</v>
      </c>
      <c r="S1271" s="1">
        <v>29052</v>
      </c>
      <c r="T1271" s="1">
        <v>25933</v>
      </c>
      <c r="U1271" s="1">
        <v>1582</v>
      </c>
      <c r="V1271" s="1">
        <v>30000</v>
      </c>
      <c r="W1271" s="1">
        <v>1000</v>
      </c>
      <c r="X1271" s="1">
        <v>1000</v>
      </c>
      <c r="Y1271" s="1">
        <v>1000</v>
      </c>
      <c r="Z1271" s="1">
        <v>1000</v>
      </c>
      <c r="AA1271">
        <v>0</v>
      </c>
      <c r="AB1271" t="str">
        <f t="shared" si="19"/>
        <v>Not Defaulter</v>
      </c>
      <c r="AC1271" s="1">
        <f>Table2[[#This Row],[BILL_AMT1]]-Table2[[#This Row],[PAY_AMT1]]</f>
        <v>19148</v>
      </c>
      <c r="AD1271" s="1" t="str" cm="1">
        <f t="array" ref="AD1271">_xlfn.IFS(Table2[[#This Row],[PAYMENT GAP]]&lt;=0,"No Gap / Overpaid",Table2[[#This Row],[PAYMENT GAP]]&lt;=25000,"Low Gap",Table2[[#This Row],[PAYMENT GAP]]&lt;=100000,"Medium Gap",
TRUE,"High Gap"
)</f>
        <v>Low Gap</v>
      </c>
    </row>
    <row r="1272" spans="1:30" x14ac:dyDescent="0.3">
      <c r="A1272">
        <v>1271</v>
      </c>
      <c r="B1272" s="1">
        <v>50000</v>
      </c>
      <c r="C1272" s="1" t="str" cm="1">
        <f t="array" ref="C1272">_xlfn.IFS(Table2[[#This Row],[LIMIT_BAL]]&lt;=100000,"Low",Table2[[#This Row],[LIMIT_BAL]]&lt;=300000,"Medium",
TRUE,"High"
)</f>
        <v>Low</v>
      </c>
      <c r="D1272" t="s">
        <v>2041</v>
      </c>
      <c r="E1272" t="s">
        <v>2027</v>
      </c>
      <c r="F1272" t="s">
        <v>2028</v>
      </c>
      <c r="G1272">
        <v>57</v>
      </c>
      <c r="H1272" t="str" cm="1">
        <f t="array" ref="H1272">_xlfn.IFS(
Table2[[#This Row],[AGE]]&lt;30,"Young",
Table2[[#This Row],[AGE]]&lt;40,"Middle Age",
Table2[[#This Row],[AGE]]&lt;50,"Senior",
TRUE,"Super Senior"
)</f>
        <v>Super Senior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 s="1">
        <v>49017</v>
      </c>
      <c r="P1272" s="1">
        <v>50690</v>
      </c>
      <c r="Q1272" s="1">
        <v>47487</v>
      </c>
      <c r="R1272" s="1">
        <v>48319</v>
      </c>
      <c r="S1272" s="1">
        <v>48449</v>
      </c>
      <c r="T1272" s="1">
        <v>49656</v>
      </c>
      <c r="U1272" s="1">
        <v>2500</v>
      </c>
      <c r="V1272" s="1">
        <v>2000</v>
      </c>
      <c r="W1272" s="1">
        <v>2000</v>
      </c>
      <c r="X1272" s="1">
        <v>1746</v>
      </c>
      <c r="Y1272" s="1">
        <v>2000</v>
      </c>
      <c r="Z1272" s="1">
        <v>1800</v>
      </c>
      <c r="AA1272">
        <v>0</v>
      </c>
      <c r="AB1272" t="str">
        <f t="shared" si="19"/>
        <v>Not Defaulter</v>
      </c>
      <c r="AC1272" s="1">
        <f>Table2[[#This Row],[BILL_AMT1]]-Table2[[#This Row],[PAY_AMT1]]</f>
        <v>46517</v>
      </c>
      <c r="AD1272" s="1" t="str" cm="1">
        <f t="array" ref="AD1272">_xlfn.IFS(Table2[[#This Row],[PAYMENT GAP]]&lt;=0,"No Gap / Overpaid",Table2[[#This Row],[PAYMENT GAP]]&lt;=25000,"Low Gap",Table2[[#This Row],[PAYMENT GAP]]&lt;=100000,"Medium Gap",
TRUE,"High Gap"
)</f>
        <v>Medium Gap</v>
      </c>
    </row>
    <row r="1273" spans="1:30" x14ac:dyDescent="0.3">
      <c r="A1273">
        <v>1272</v>
      </c>
      <c r="B1273" s="1">
        <v>10000</v>
      </c>
      <c r="C1273" s="1" t="str" cm="1">
        <f t="array" ref="C1273">_xlfn.IFS(Table2[[#This Row],[LIMIT_BAL]]&lt;=100000,"Low",Table2[[#This Row],[LIMIT_BAL]]&lt;=300000,"Medium",
TRUE,"High"
)</f>
        <v>Low</v>
      </c>
      <c r="D1273" t="s">
        <v>2041</v>
      </c>
      <c r="E1273" t="s">
        <v>2043</v>
      </c>
      <c r="F1273" t="s">
        <v>2055</v>
      </c>
      <c r="G1273">
        <v>46</v>
      </c>
      <c r="H1273" t="str" cm="1">
        <f t="array" ref="H1273">_xlfn.IFS(
Table2[[#This Row],[AGE]]&lt;30,"Young",
Table2[[#This Row],[AGE]]&lt;40,"Middle Age",
Table2[[#This Row],[AGE]]&lt;50,"Senior",
TRUE,"Super Senior"
)</f>
        <v>Senior</v>
      </c>
      <c r="I1273">
        <v>1</v>
      </c>
      <c r="J1273">
        <v>2</v>
      </c>
      <c r="K1273">
        <v>0</v>
      </c>
      <c r="L1273">
        <v>0</v>
      </c>
      <c r="M1273">
        <v>0</v>
      </c>
      <c r="N1273">
        <v>0</v>
      </c>
      <c r="O1273" s="1">
        <v>9532</v>
      </c>
      <c r="P1273" s="1">
        <v>9236</v>
      </c>
      <c r="Q1273" s="1">
        <v>10047</v>
      </c>
      <c r="R1273" s="1">
        <v>8775</v>
      </c>
      <c r="S1273" s="1">
        <v>8984</v>
      </c>
      <c r="T1273" s="1">
        <v>7628</v>
      </c>
      <c r="U1273" s="1">
        <v>0</v>
      </c>
      <c r="V1273" s="1">
        <v>1006</v>
      </c>
      <c r="W1273" s="1">
        <v>1390</v>
      </c>
      <c r="X1273" s="1">
        <v>1000</v>
      </c>
      <c r="Y1273" s="1">
        <v>1000</v>
      </c>
      <c r="Z1273" s="1">
        <v>2000</v>
      </c>
      <c r="AA1273">
        <v>0</v>
      </c>
      <c r="AB1273" t="str">
        <f t="shared" si="19"/>
        <v>Not Defaulter</v>
      </c>
      <c r="AC1273" s="1">
        <f>Table2[[#This Row],[BILL_AMT1]]-Table2[[#This Row],[PAY_AMT1]]</f>
        <v>9532</v>
      </c>
      <c r="AD1273" s="1" t="str" cm="1">
        <f t="array" ref="AD1273">_xlfn.IFS(Table2[[#This Row],[PAYMENT GAP]]&lt;=0,"No Gap / Overpaid",Table2[[#This Row],[PAYMENT GAP]]&lt;=25000,"Low Gap",Table2[[#This Row],[PAYMENT GAP]]&lt;=100000,"Medium Gap",
TRUE,"High Gap"
)</f>
        <v>Low Gap</v>
      </c>
    </row>
    <row r="1274" spans="1:30" x14ac:dyDescent="0.3">
      <c r="A1274">
        <v>1273</v>
      </c>
      <c r="B1274" s="1">
        <v>370000</v>
      </c>
      <c r="C1274" s="1" t="str" cm="1">
        <f t="array" ref="C1274">_xlfn.IFS(Table2[[#This Row],[LIMIT_BAL]]&lt;=100000,"Low",Table2[[#This Row],[LIMIT_BAL]]&lt;=300000,"Medium",
TRUE,"High"
)</f>
        <v>High</v>
      </c>
      <c r="D1274" t="s">
        <v>2041</v>
      </c>
      <c r="E1274" t="s">
        <v>2026</v>
      </c>
      <c r="F1274" t="s">
        <v>2028</v>
      </c>
      <c r="G1274">
        <v>53</v>
      </c>
      <c r="H1274" t="str" cm="1">
        <f t="array" ref="H1274">_xlfn.IFS(
Table2[[#This Row],[AGE]]&lt;30,"Young",
Table2[[#This Row],[AGE]]&lt;40,"Middle Age",
Table2[[#This Row],[AGE]]&lt;50,"Senior",
TRUE,"Super Senior"
)</f>
        <v>Super Senior</v>
      </c>
      <c r="I1274">
        <v>-1</v>
      </c>
      <c r="J1274">
        <v>-1</v>
      </c>
      <c r="K1274">
        <v>-1</v>
      </c>
      <c r="L1274">
        <v>-1</v>
      </c>
      <c r="M1274">
        <v>-1</v>
      </c>
      <c r="N1274">
        <v>0</v>
      </c>
      <c r="O1274" s="1">
        <v>21160</v>
      </c>
      <c r="P1274" s="1">
        <v>8153</v>
      </c>
      <c r="Q1274" s="1">
        <v>12094</v>
      </c>
      <c r="R1274" s="1">
        <v>30751</v>
      </c>
      <c r="S1274" s="1">
        <v>30131</v>
      </c>
      <c r="T1274" s="1">
        <v>9630</v>
      </c>
      <c r="U1274" s="1">
        <v>8162</v>
      </c>
      <c r="V1274" s="1">
        <v>12294</v>
      </c>
      <c r="W1274" s="1">
        <v>30751</v>
      </c>
      <c r="X1274" s="1">
        <v>30131</v>
      </c>
      <c r="Y1274" s="1">
        <v>0</v>
      </c>
      <c r="Z1274" s="1">
        <v>0</v>
      </c>
      <c r="AA1274">
        <v>0</v>
      </c>
      <c r="AB1274" t="str">
        <f t="shared" si="19"/>
        <v>Not Defaulter</v>
      </c>
      <c r="AC1274" s="1">
        <f>Table2[[#This Row],[BILL_AMT1]]-Table2[[#This Row],[PAY_AMT1]]</f>
        <v>12998</v>
      </c>
      <c r="AD1274" s="1" t="str" cm="1">
        <f t="array" ref="AD1274">_xlfn.IFS(Table2[[#This Row],[PAYMENT GAP]]&lt;=0,"No Gap / Overpaid",Table2[[#This Row],[PAYMENT GAP]]&lt;=25000,"Low Gap",Table2[[#This Row],[PAYMENT GAP]]&lt;=100000,"Medium Gap",
TRUE,"High Gap"
)</f>
        <v>Low Gap</v>
      </c>
    </row>
    <row r="1275" spans="1:30" x14ac:dyDescent="0.3">
      <c r="A1275">
        <v>1274</v>
      </c>
      <c r="B1275" s="1">
        <v>20000</v>
      </c>
      <c r="C1275" s="1" t="str" cm="1">
        <f t="array" ref="C1275">_xlfn.IFS(Table2[[#This Row],[LIMIT_BAL]]&lt;=100000,"Low",Table2[[#This Row],[LIMIT_BAL]]&lt;=300000,"Medium",
TRUE,"High"
)</f>
        <v>Low</v>
      </c>
      <c r="D1275" t="s">
        <v>2041</v>
      </c>
      <c r="E1275" t="s">
        <v>2026</v>
      </c>
      <c r="F1275" t="s">
        <v>2029</v>
      </c>
      <c r="G1275">
        <v>26</v>
      </c>
      <c r="H1275" t="str" cm="1">
        <f t="array" ref="H1275">_xlfn.IFS(
Table2[[#This Row],[AGE]]&lt;30,"Young",
Table2[[#This Row],[AGE]]&lt;40,"Middle Age",
Table2[[#This Row],[AGE]]&lt;50,"Senior",
TRUE,"Super Senior"
)</f>
        <v>Young</v>
      </c>
      <c r="I1275">
        <v>-1</v>
      </c>
      <c r="J1275">
        <v>0</v>
      </c>
      <c r="K1275">
        <v>-1</v>
      </c>
      <c r="L1275">
        <v>-1</v>
      </c>
      <c r="M1275">
        <v>-1</v>
      </c>
      <c r="N1275">
        <v>-1</v>
      </c>
      <c r="O1275" s="1">
        <v>10658</v>
      </c>
      <c r="P1275" s="1">
        <v>9288</v>
      </c>
      <c r="Q1275" s="1">
        <v>390</v>
      </c>
      <c r="R1275" s="1">
        <v>390</v>
      </c>
      <c r="S1275" s="1">
        <v>390</v>
      </c>
      <c r="T1275" s="1">
        <v>0</v>
      </c>
      <c r="U1275" s="1">
        <v>1072</v>
      </c>
      <c r="V1275" s="1">
        <v>390</v>
      </c>
      <c r="W1275" s="1">
        <v>390</v>
      </c>
      <c r="X1275" s="1">
        <v>390</v>
      </c>
      <c r="Y1275" s="1">
        <v>0</v>
      </c>
      <c r="Z1275" s="1">
        <v>780</v>
      </c>
      <c r="AA1275">
        <v>0</v>
      </c>
      <c r="AB1275" t="str">
        <f t="shared" si="19"/>
        <v>Not Defaulter</v>
      </c>
      <c r="AC1275" s="1">
        <f>Table2[[#This Row],[BILL_AMT1]]-Table2[[#This Row],[PAY_AMT1]]</f>
        <v>9586</v>
      </c>
      <c r="AD1275" s="1" t="str" cm="1">
        <f t="array" ref="AD1275">_xlfn.IFS(Table2[[#This Row],[PAYMENT GAP]]&lt;=0,"No Gap / Overpaid",Table2[[#This Row],[PAYMENT GAP]]&lt;=25000,"Low Gap",Table2[[#This Row],[PAYMENT GAP]]&lt;=100000,"Medium Gap",
TRUE,"High Gap"
)</f>
        <v>Low Gap</v>
      </c>
    </row>
    <row r="1276" spans="1:30" x14ac:dyDescent="0.3">
      <c r="A1276">
        <v>1275</v>
      </c>
      <c r="B1276" s="1">
        <v>150000</v>
      </c>
      <c r="C1276" s="1" t="str" cm="1">
        <f t="array" ref="C1276">_xlfn.IFS(Table2[[#This Row],[LIMIT_BAL]]&lt;=100000,"Low",Table2[[#This Row],[LIMIT_BAL]]&lt;=300000,"Medium",
TRUE,"High"
)</f>
        <v>Medium</v>
      </c>
      <c r="D1276" t="s">
        <v>2042</v>
      </c>
      <c r="E1276" t="s">
        <v>2043</v>
      </c>
      <c r="F1276" t="s">
        <v>2028</v>
      </c>
      <c r="G1276">
        <v>34</v>
      </c>
      <c r="H1276" t="str" cm="1">
        <f t="array" ref="H1276">_xlfn.IFS(
Table2[[#This Row],[AGE]]&lt;30,"Young",
Table2[[#This Row],[AGE]]&lt;40,"Middle Age",
Table2[[#This Row],[AGE]]&lt;50,"Senior",
TRUE,"Super Senior"
)</f>
        <v>Middle Age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 s="1">
        <v>132214</v>
      </c>
      <c r="P1276" s="1">
        <v>135140</v>
      </c>
      <c r="Q1276" s="1">
        <v>135263</v>
      </c>
      <c r="R1276" s="1">
        <v>137540</v>
      </c>
      <c r="S1276" s="1">
        <v>144786</v>
      </c>
      <c r="T1276" s="1">
        <v>146379</v>
      </c>
      <c r="U1276" s="1">
        <v>4414</v>
      </c>
      <c r="V1276" s="1">
        <v>4700</v>
      </c>
      <c r="W1276" s="1">
        <v>4306</v>
      </c>
      <c r="X1276" s="1">
        <v>10006</v>
      </c>
      <c r="Y1276" s="1">
        <v>4822</v>
      </c>
      <c r="Z1276" s="1">
        <v>4112</v>
      </c>
      <c r="AA1276">
        <v>0</v>
      </c>
      <c r="AB1276" t="str">
        <f t="shared" si="19"/>
        <v>Not Defaulter</v>
      </c>
      <c r="AC1276" s="1">
        <f>Table2[[#This Row],[BILL_AMT1]]-Table2[[#This Row],[PAY_AMT1]]</f>
        <v>127800</v>
      </c>
      <c r="AD1276" s="1" t="str" cm="1">
        <f t="array" ref="AD1276">_xlfn.IFS(Table2[[#This Row],[PAYMENT GAP]]&lt;=0,"No Gap / Overpaid",Table2[[#This Row],[PAYMENT GAP]]&lt;=25000,"Low Gap",Table2[[#This Row],[PAYMENT GAP]]&lt;=100000,"Medium Gap",
TRUE,"High Gap"
)</f>
        <v>High Gap</v>
      </c>
    </row>
    <row r="1277" spans="1:30" x14ac:dyDescent="0.3">
      <c r="A1277">
        <v>1276</v>
      </c>
      <c r="B1277" s="1">
        <v>20000</v>
      </c>
      <c r="C1277" s="1" t="str" cm="1">
        <f t="array" ref="C1277">_xlfn.IFS(Table2[[#This Row],[LIMIT_BAL]]&lt;=100000,"Low",Table2[[#This Row],[LIMIT_BAL]]&lt;=300000,"Medium",
TRUE,"High"
)</f>
        <v>Low</v>
      </c>
      <c r="D1277" t="s">
        <v>2042</v>
      </c>
      <c r="E1277" t="s">
        <v>2026</v>
      </c>
      <c r="F1277" t="s">
        <v>2029</v>
      </c>
      <c r="G1277">
        <v>26</v>
      </c>
      <c r="H1277" t="str" cm="1">
        <f t="array" ref="H1277">_xlfn.IFS(
Table2[[#This Row],[AGE]]&lt;30,"Young",
Table2[[#This Row],[AGE]]&lt;40,"Middle Age",
Table2[[#This Row],[AGE]]&lt;50,"Senior",
TRUE,"Super Senior"
)</f>
        <v>Young</v>
      </c>
      <c r="I1277">
        <v>-1</v>
      </c>
      <c r="J1277">
        <v>-1</v>
      </c>
      <c r="K1277">
        <v>-1</v>
      </c>
      <c r="L1277">
        <v>-1</v>
      </c>
      <c r="M1277">
        <v>-1</v>
      </c>
      <c r="N1277">
        <v>-1</v>
      </c>
      <c r="O1277" s="1">
        <v>416</v>
      </c>
      <c r="P1277" s="1">
        <v>416</v>
      </c>
      <c r="Q1277" s="1">
        <v>416</v>
      </c>
      <c r="R1277" s="1">
        <v>416</v>
      </c>
      <c r="S1277" s="1">
        <v>416</v>
      </c>
      <c r="T1277" s="1">
        <v>982</v>
      </c>
      <c r="U1277" s="1">
        <v>416</v>
      </c>
      <c r="V1277" s="1">
        <v>416</v>
      </c>
      <c r="W1277" s="1">
        <v>416</v>
      </c>
      <c r="X1277" s="1">
        <v>416</v>
      </c>
      <c r="Y1277" s="1">
        <v>982</v>
      </c>
      <c r="Z1277" s="1">
        <v>0</v>
      </c>
      <c r="AA1277">
        <v>1</v>
      </c>
      <c r="AB1277" t="str">
        <f t="shared" si="19"/>
        <v>Defaulter</v>
      </c>
      <c r="AC1277" s="1">
        <f>Table2[[#This Row],[BILL_AMT1]]-Table2[[#This Row],[PAY_AMT1]]</f>
        <v>0</v>
      </c>
      <c r="AD1277" s="1" t="str" cm="1">
        <f t="array" ref="AD1277">_xlfn.IFS(Table2[[#This Row],[PAYMENT GAP]]&lt;=0,"No Gap / Overpaid",Table2[[#This Row],[PAYMENT GAP]]&lt;=25000,"Low Gap",Table2[[#This Row],[PAYMENT GAP]]&lt;=100000,"Medium Gap",
TRUE,"High Gap"
)</f>
        <v>No Gap / Overpaid</v>
      </c>
    </row>
    <row r="1278" spans="1:30" x14ac:dyDescent="0.3">
      <c r="A1278">
        <v>1277</v>
      </c>
      <c r="B1278" s="1">
        <v>480000</v>
      </c>
      <c r="C1278" s="1" t="str" cm="1">
        <f t="array" ref="C1278">_xlfn.IFS(Table2[[#This Row],[LIMIT_BAL]]&lt;=100000,"Low",Table2[[#This Row],[LIMIT_BAL]]&lt;=300000,"Medium",
TRUE,"High"
)</f>
        <v>High</v>
      </c>
      <c r="D1278" t="s">
        <v>2041</v>
      </c>
      <c r="E1278" t="s">
        <v>2043</v>
      </c>
      <c r="F1278" t="s">
        <v>2028</v>
      </c>
      <c r="G1278">
        <v>54</v>
      </c>
      <c r="H1278" t="str" cm="1">
        <f t="array" ref="H1278">_xlfn.IFS(
Table2[[#This Row],[AGE]]&lt;30,"Young",
Table2[[#This Row],[AGE]]&lt;40,"Middle Age",
Table2[[#This Row],[AGE]]&lt;50,"Senior",
TRUE,"Super Senior"
)</f>
        <v>Super Senior</v>
      </c>
      <c r="I1278">
        <v>-2</v>
      </c>
      <c r="J1278">
        <v>-2</v>
      </c>
      <c r="K1278">
        <v>-2</v>
      </c>
      <c r="L1278">
        <v>-2</v>
      </c>
      <c r="M1278">
        <v>-2</v>
      </c>
      <c r="N1278">
        <v>-2</v>
      </c>
      <c r="O1278" s="1">
        <v>17189</v>
      </c>
      <c r="P1278" s="1">
        <v>6013</v>
      </c>
      <c r="Q1278" s="1">
        <v>1717</v>
      </c>
      <c r="R1278" s="1">
        <v>1385</v>
      </c>
      <c r="S1278" s="1">
        <v>0</v>
      </c>
      <c r="T1278" s="1">
        <v>0</v>
      </c>
      <c r="U1278" s="1">
        <v>6026</v>
      </c>
      <c r="V1278" s="1">
        <v>1717</v>
      </c>
      <c r="W1278" s="1">
        <v>1390</v>
      </c>
      <c r="X1278" s="1">
        <v>0</v>
      </c>
      <c r="Y1278" s="1">
        <v>0</v>
      </c>
      <c r="Z1278" s="1">
        <v>2300</v>
      </c>
      <c r="AA1278">
        <v>0</v>
      </c>
      <c r="AB1278" t="str">
        <f t="shared" si="19"/>
        <v>Not Defaulter</v>
      </c>
      <c r="AC1278" s="1">
        <f>Table2[[#This Row],[BILL_AMT1]]-Table2[[#This Row],[PAY_AMT1]]</f>
        <v>11163</v>
      </c>
      <c r="AD1278" s="1" t="str" cm="1">
        <f t="array" ref="AD1278">_xlfn.IFS(Table2[[#This Row],[PAYMENT GAP]]&lt;=0,"No Gap / Overpaid",Table2[[#This Row],[PAYMENT GAP]]&lt;=25000,"Low Gap",Table2[[#This Row],[PAYMENT GAP]]&lt;=100000,"Medium Gap",
TRUE,"High Gap"
)</f>
        <v>Low Gap</v>
      </c>
    </row>
    <row r="1279" spans="1:30" x14ac:dyDescent="0.3">
      <c r="A1279">
        <v>1278</v>
      </c>
      <c r="B1279" s="1">
        <v>50000</v>
      </c>
      <c r="C1279" s="1" t="str" cm="1">
        <f t="array" ref="C1279">_xlfn.IFS(Table2[[#This Row],[LIMIT_BAL]]&lt;=100000,"Low",Table2[[#This Row],[LIMIT_BAL]]&lt;=300000,"Medium",
TRUE,"High"
)</f>
        <v>Low</v>
      </c>
      <c r="D1279" t="s">
        <v>2042</v>
      </c>
      <c r="E1279" t="s">
        <v>2027</v>
      </c>
      <c r="F1279" t="s">
        <v>2029</v>
      </c>
      <c r="G1279">
        <v>26</v>
      </c>
      <c r="H1279" t="str" cm="1">
        <f t="array" ref="H1279">_xlfn.IFS(
Table2[[#This Row],[AGE]]&lt;30,"Young",
Table2[[#This Row],[AGE]]&lt;40,"Middle Age",
Table2[[#This Row],[AGE]]&lt;50,"Senior",
TRUE,"Super Senior"
)</f>
        <v>Young</v>
      </c>
      <c r="I1279">
        <v>0</v>
      </c>
      <c r="J1279">
        <v>0</v>
      </c>
      <c r="K1279">
        <v>0</v>
      </c>
      <c r="L1279">
        <v>0</v>
      </c>
      <c r="M1279">
        <v>2</v>
      </c>
      <c r="N1279">
        <v>0</v>
      </c>
      <c r="O1279" s="1">
        <v>25060</v>
      </c>
      <c r="P1279" s="1">
        <v>26649</v>
      </c>
      <c r="Q1279" s="1">
        <v>28202</v>
      </c>
      <c r="R1279" s="1">
        <v>30727</v>
      </c>
      <c r="S1279" s="1">
        <v>30098</v>
      </c>
      <c r="T1279" s="1">
        <v>32580</v>
      </c>
      <c r="U1279" s="1">
        <v>2000</v>
      </c>
      <c r="V1279" s="1">
        <v>2000</v>
      </c>
      <c r="W1279" s="1">
        <v>3000</v>
      </c>
      <c r="X1279" s="1">
        <v>0</v>
      </c>
      <c r="Y1279" s="1">
        <v>3000</v>
      </c>
      <c r="Z1279" s="1">
        <v>3000</v>
      </c>
      <c r="AA1279">
        <v>0</v>
      </c>
      <c r="AB1279" t="str">
        <f t="shared" si="19"/>
        <v>Not Defaulter</v>
      </c>
      <c r="AC1279" s="1">
        <f>Table2[[#This Row],[BILL_AMT1]]-Table2[[#This Row],[PAY_AMT1]]</f>
        <v>23060</v>
      </c>
      <c r="AD1279" s="1" t="str" cm="1">
        <f t="array" ref="AD1279">_xlfn.IFS(Table2[[#This Row],[PAYMENT GAP]]&lt;=0,"No Gap / Overpaid",Table2[[#This Row],[PAYMENT GAP]]&lt;=25000,"Low Gap",Table2[[#This Row],[PAYMENT GAP]]&lt;=100000,"Medium Gap",
TRUE,"High Gap"
)</f>
        <v>Low Gap</v>
      </c>
    </row>
    <row r="1280" spans="1:30" x14ac:dyDescent="0.3">
      <c r="A1280">
        <v>1279</v>
      </c>
      <c r="B1280" s="1">
        <v>170000</v>
      </c>
      <c r="C1280" s="1" t="str" cm="1">
        <f t="array" ref="C1280">_xlfn.IFS(Table2[[#This Row],[LIMIT_BAL]]&lt;=100000,"Low",Table2[[#This Row],[LIMIT_BAL]]&lt;=300000,"Medium",
TRUE,"High"
)</f>
        <v>Medium</v>
      </c>
      <c r="D1280" t="s">
        <v>2042</v>
      </c>
      <c r="E1280" t="s">
        <v>2043</v>
      </c>
      <c r="F1280" t="s">
        <v>2029</v>
      </c>
      <c r="G1280">
        <v>31</v>
      </c>
      <c r="H1280" t="str" cm="1">
        <f t="array" ref="H1280">_xlfn.IFS(
Table2[[#This Row],[AGE]]&lt;30,"Young",
Table2[[#This Row],[AGE]]&lt;40,"Middle Age",
Table2[[#This Row],[AGE]]&lt;50,"Senior",
TRUE,"Super Senior"
)</f>
        <v>Middle Age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 s="1">
        <v>24581</v>
      </c>
      <c r="P1280" s="1">
        <v>25611</v>
      </c>
      <c r="Q1280" s="1">
        <v>26631</v>
      </c>
      <c r="R1280" s="1">
        <v>27383</v>
      </c>
      <c r="S1280" s="1">
        <v>27801</v>
      </c>
      <c r="T1280" s="1">
        <v>31337</v>
      </c>
      <c r="U1280" s="1">
        <v>1728</v>
      </c>
      <c r="V1280" s="1">
        <v>1748</v>
      </c>
      <c r="W1280" s="1">
        <v>1500</v>
      </c>
      <c r="X1280" s="1">
        <v>1011</v>
      </c>
      <c r="Y1280" s="1">
        <v>4000</v>
      </c>
      <c r="Z1280" s="1">
        <v>0</v>
      </c>
      <c r="AA1280">
        <v>0</v>
      </c>
      <c r="AB1280" t="str">
        <f t="shared" si="19"/>
        <v>Not Defaulter</v>
      </c>
      <c r="AC1280" s="1">
        <f>Table2[[#This Row],[BILL_AMT1]]-Table2[[#This Row],[PAY_AMT1]]</f>
        <v>22853</v>
      </c>
      <c r="AD1280" s="1" t="str" cm="1">
        <f t="array" ref="AD1280">_xlfn.IFS(Table2[[#This Row],[PAYMENT GAP]]&lt;=0,"No Gap / Overpaid",Table2[[#This Row],[PAYMENT GAP]]&lt;=25000,"Low Gap",Table2[[#This Row],[PAYMENT GAP]]&lt;=100000,"Medium Gap",
TRUE,"High Gap"
)</f>
        <v>Low Gap</v>
      </c>
    </row>
    <row r="1281" spans="1:30" x14ac:dyDescent="0.3">
      <c r="A1281">
        <v>1280</v>
      </c>
      <c r="B1281" s="1">
        <v>400000</v>
      </c>
      <c r="C1281" s="1" t="str" cm="1">
        <f t="array" ref="C1281">_xlfn.IFS(Table2[[#This Row],[LIMIT_BAL]]&lt;=100000,"Low",Table2[[#This Row],[LIMIT_BAL]]&lt;=300000,"Medium",
TRUE,"High"
)</f>
        <v>High</v>
      </c>
      <c r="D1281" t="s">
        <v>2041</v>
      </c>
      <c r="E1281" t="s">
        <v>2043</v>
      </c>
      <c r="F1281" t="s">
        <v>2029</v>
      </c>
      <c r="G1281">
        <v>30</v>
      </c>
      <c r="H1281" t="str" cm="1">
        <f t="array" ref="H1281">_xlfn.IFS(
Table2[[#This Row],[AGE]]&lt;30,"Young",
Table2[[#This Row],[AGE]]&lt;40,"Middle Age",
Table2[[#This Row],[AGE]]&lt;50,"Senior",
TRUE,"Super Senior"
)</f>
        <v>Middle Age</v>
      </c>
      <c r="I1281">
        <v>-2</v>
      </c>
      <c r="J1281">
        <v>-2</v>
      </c>
      <c r="K1281">
        <v>-2</v>
      </c>
      <c r="L1281">
        <v>-2</v>
      </c>
      <c r="M1281">
        <v>-2</v>
      </c>
      <c r="N1281">
        <v>-2</v>
      </c>
      <c r="O1281" s="1">
        <v>-200</v>
      </c>
      <c r="P1281" s="1">
        <v>-200</v>
      </c>
      <c r="Q1281" s="1">
        <v>-200</v>
      </c>
      <c r="R1281" s="1">
        <v>746</v>
      </c>
      <c r="S1281" s="1">
        <v>3956</v>
      </c>
      <c r="T1281" s="1">
        <v>2500</v>
      </c>
      <c r="U1281" s="1">
        <v>0</v>
      </c>
      <c r="V1281" s="1">
        <v>0</v>
      </c>
      <c r="W1281" s="1">
        <v>946</v>
      </c>
      <c r="X1281" s="1">
        <v>3956</v>
      </c>
      <c r="Y1281" s="1">
        <v>2500</v>
      </c>
      <c r="Z1281" s="1">
        <v>0</v>
      </c>
      <c r="AA1281">
        <v>0</v>
      </c>
      <c r="AB1281" t="str">
        <f t="shared" si="19"/>
        <v>Not Defaulter</v>
      </c>
      <c r="AC1281" s="1">
        <f>Table2[[#This Row],[BILL_AMT1]]-Table2[[#This Row],[PAY_AMT1]]</f>
        <v>-200</v>
      </c>
      <c r="AD1281" s="1" t="str" cm="1">
        <f t="array" ref="AD1281">_xlfn.IFS(Table2[[#This Row],[PAYMENT GAP]]&lt;=0,"No Gap / Overpaid",Table2[[#This Row],[PAYMENT GAP]]&lt;=25000,"Low Gap",Table2[[#This Row],[PAYMENT GAP]]&lt;=100000,"Medium Gap",
TRUE,"High Gap"
)</f>
        <v>No Gap / Overpaid</v>
      </c>
    </row>
    <row r="1282" spans="1:30" x14ac:dyDescent="0.3">
      <c r="A1282">
        <v>1281</v>
      </c>
      <c r="B1282" s="1">
        <v>200000</v>
      </c>
      <c r="C1282" s="1" t="str" cm="1">
        <f t="array" ref="C1282">_xlfn.IFS(Table2[[#This Row],[LIMIT_BAL]]&lt;=100000,"Low",Table2[[#This Row],[LIMIT_BAL]]&lt;=300000,"Medium",
TRUE,"High"
)</f>
        <v>Medium</v>
      </c>
      <c r="D1282" t="s">
        <v>2041</v>
      </c>
      <c r="E1282" t="s">
        <v>2026</v>
      </c>
      <c r="F1282" t="s">
        <v>2029</v>
      </c>
      <c r="G1282">
        <v>31</v>
      </c>
      <c r="H1282" t="str" cm="1">
        <f t="array" ref="H1282">_xlfn.IFS(
Table2[[#This Row],[AGE]]&lt;30,"Young",
Table2[[#This Row],[AGE]]&lt;40,"Middle Age",
Table2[[#This Row],[AGE]]&lt;50,"Senior",
TRUE,"Super Senior"
)</f>
        <v>Middle Age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 s="1">
        <v>38635</v>
      </c>
      <c r="P1282" s="1">
        <v>41031</v>
      </c>
      <c r="Q1282" s="1">
        <v>45929</v>
      </c>
      <c r="R1282" s="1">
        <v>48661</v>
      </c>
      <c r="S1282" s="1">
        <v>49723</v>
      </c>
      <c r="T1282" s="1">
        <v>50896</v>
      </c>
      <c r="U1282" s="1">
        <v>3031</v>
      </c>
      <c r="V1282" s="1">
        <v>5929</v>
      </c>
      <c r="W1282" s="1">
        <v>3500</v>
      </c>
      <c r="X1282" s="1">
        <v>2000</v>
      </c>
      <c r="Y1282" s="1">
        <v>2000</v>
      </c>
      <c r="Z1282" s="1">
        <v>11028</v>
      </c>
      <c r="AA1282">
        <v>0</v>
      </c>
      <c r="AB1282" t="str">
        <f t="shared" si="19"/>
        <v>Not Defaulter</v>
      </c>
      <c r="AC1282" s="1">
        <f>Table2[[#This Row],[BILL_AMT1]]-Table2[[#This Row],[PAY_AMT1]]</f>
        <v>35604</v>
      </c>
      <c r="AD1282" s="1" t="str" cm="1">
        <f t="array" ref="AD1282">_xlfn.IFS(Table2[[#This Row],[PAYMENT GAP]]&lt;=0,"No Gap / Overpaid",Table2[[#This Row],[PAYMENT GAP]]&lt;=25000,"Low Gap",Table2[[#This Row],[PAYMENT GAP]]&lt;=100000,"Medium Gap",
TRUE,"High Gap"
)</f>
        <v>Medium Gap</v>
      </c>
    </row>
    <row r="1283" spans="1:30" x14ac:dyDescent="0.3">
      <c r="A1283">
        <v>1282</v>
      </c>
      <c r="B1283" s="1">
        <v>360000</v>
      </c>
      <c r="C1283" s="1" t="str" cm="1">
        <f t="array" ref="C1283">_xlfn.IFS(Table2[[#This Row],[LIMIT_BAL]]&lt;=100000,"Low",Table2[[#This Row],[LIMIT_BAL]]&lt;=300000,"Medium",
TRUE,"High"
)</f>
        <v>High</v>
      </c>
      <c r="D1283" t="s">
        <v>2042</v>
      </c>
      <c r="E1283" t="s">
        <v>2026</v>
      </c>
      <c r="F1283" t="s">
        <v>2029</v>
      </c>
      <c r="G1283">
        <v>34</v>
      </c>
      <c r="H1283" t="str" cm="1">
        <f t="array" ref="H1283">_xlfn.IFS(
Table2[[#This Row],[AGE]]&lt;30,"Young",
Table2[[#This Row],[AGE]]&lt;40,"Middle Age",
Table2[[#This Row],[AGE]]&lt;50,"Senior",
TRUE,"Super Senior"
)</f>
        <v>Middle Age</v>
      </c>
      <c r="I1283">
        <v>1</v>
      </c>
      <c r="J1283">
        <v>-2</v>
      </c>
      <c r="K1283">
        <v>-2</v>
      </c>
      <c r="L1283">
        <v>-2</v>
      </c>
      <c r="M1283">
        <v>-2</v>
      </c>
      <c r="N1283">
        <v>-1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150</v>
      </c>
      <c r="U1283" s="1">
        <v>0</v>
      </c>
      <c r="V1283" s="1">
        <v>0</v>
      </c>
      <c r="W1283" s="1">
        <v>0</v>
      </c>
      <c r="X1283" s="1">
        <v>0</v>
      </c>
      <c r="Y1283" s="1">
        <v>150</v>
      </c>
      <c r="Z1283" s="1">
        <v>59</v>
      </c>
      <c r="AA1283">
        <v>0</v>
      </c>
      <c r="AB1283" t="str">
        <f t="shared" ref="AB1283:AB1346" si="20">IF(AA1283=1,"Defaulter","Not Defaulter")</f>
        <v>Not Defaulter</v>
      </c>
      <c r="AC1283" s="1">
        <f>Table2[[#This Row],[BILL_AMT1]]-Table2[[#This Row],[PAY_AMT1]]</f>
        <v>0</v>
      </c>
      <c r="AD1283" s="1" t="str" cm="1">
        <f t="array" ref="AD1283">_xlfn.IFS(Table2[[#This Row],[PAYMENT GAP]]&lt;=0,"No Gap / Overpaid",Table2[[#This Row],[PAYMENT GAP]]&lt;=25000,"Low Gap",Table2[[#This Row],[PAYMENT GAP]]&lt;=100000,"Medium Gap",
TRUE,"High Gap"
)</f>
        <v>No Gap / Overpaid</v>
      </c>
    </row>
    <row r="1284" spans="1:30" x14ac:dyDescent="0.3">
      <c r="A1284">
        <v>1283</v>
      </c>
      <c r="B1284" s="1">
        <v>140000</v>
      </c>
      <c r="C1284" s="1" t="str" cm="1">
        <f t="array" ref="C1284">_xlfn.IFS(Table2[[#This Row],[LIMIT_BAL]]&lt;=100000,"Low",Table2[[#This Row],[LIMIT_BAL]]&lt;=300000,"Medium",
TRUE,"High"
)</f>
        <v>Medium</v>
      </c>
      <c r="D1284" t="s">
        <v>2041</v>
      </c>
      <c r="E1284" t="s">
        <v>2044</v>
      </c>
      <c r="F1284" t="s">
        <v>2029</v>
      </c>
      <c r="G1284">
        <v>36</v>
      </c>
      <c r="H1284" t="str" cm="1">
        <f t="array" ref="H1284">_xlfn.IFS(
Table2[[#This Row],[AGE]]&lt;30,"Young",
Table2[[#This Row],[AGE]]&lt;40,"Middle Age",
Table2[[#This Row],[AGE]]&lt;50,"Senior",
TRUE,"Super Senior"
)</f>
        <v>Middle Age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 s="1">
        <v>91226</v>
      </c>
      <c r="P1284" s="1">
        <v>83650</v>
      </c>
      <c r="Q1284" s="1">
        <v>80037</v>
      </c>
      <c r="R1284" s="1">
        <v>53055</v>
      </c>
      <c r="S1284" s="1">
        <v>102587</v>
      </c>
      <c r="T1284" s="1">
        <v>98251</v>
      </c>
      <c r="U1284" s="1">
        <v>4182</v>
      </c>
      <c r="V1284" s="1">
        <v>4000</v>
      </c>
      <c r="W1284" s="1">
        <v>4000</v>
      </c>
      <c r="X1284" s="1">
        <v>98000</v>
      </c>
      <c r="Y1284" s="1">
        <v>4000</v>
      </c>
      <c r="Z1284" s="1">
        <v>3500</v>
      </c>
      <c r="AA1284">
        <v>0</v>
      </c>
      <c r="AB1284" t="str">
        <f t="shared" si="20"/>
        <v>Not Defaulter</v>
      </c>
      <c r="AC1284" s="1">
        <f>Table2[[#This Row],[BILL_AMT1]]-Table2[[#This Row],[PAY_AMT1]]</f>
        <v>87044</v>
      </c>
      <c r="AD1284" s="1" t="str" cm="1">
        <f t="array" ref="AD1284">_xlfn.IFS(Table2[[#This Row],[PAYMENT GAP]]&lt;=0,"No Gap / Overpaid",Table2[[#This Row],[PAYMENT GAP]]&lt;=25000,"Low Gap",Table2[[#This Row],[PAYMENT GAP]]&lt;=100000,"Medium Gap",
TRUE,"High Gap"
)</f>
        <v>Medium Gap</v>
      </c>
    </row>
    <row r="1285" spans="1:30" x14ac:dyDescent="0.3">
      <c r="A1285">
        <v>1284</v>
      </c>
      <c r="B1285" s="1">
        <v>260000</v>
      </c>
      <c r="C1285" s="1" t="str" cm="1">
        <f t="array" ref="C1285">_xlfn.IFS(Table2[[#This Row],[LIMIT_BAL]]&lt;=100000,"Low",Table2[[#This Row],[LIMIT_BAL]]&lt;=300000,"Medium",
TRUE,"High"
)</f>
        <v>Medium</v>
      </c>
      <c r="D1285" t="s">
        <v>2042</v>
      </c>
      <c r="E1285" t="s">
        <v>2027</v>
      </c>
      <c r="F1285" t="s">
        <v>2028</v>
      </c>
      <c r="G1285">
        <v>34</v>
      </c>
      <c r="H1285" t="str" cm="1">
        <f t="array" ref="H1285">_xlfn.IFS(
Table2[[#This Row],[AGE]]&lt;30,"Young",
Table2[[#This Row],[AGE]]&lt;40,"Middle Age",
Table2[[#This Row],[AGE]]&lt;50,"Senior",
TRUE,"Super Senior"
)</f>
        <v>Middle Age</v>
      </c>
      <c r="I1285">
        <v>-2</v>
      </c>
      <c r="J1285">
        <v>-2</v>
      </c>
      <c r="K1285">
        <v>-2</v>
      </c>
      <c r="L1285">
        <v>-2</v>
      </c>
      <c r="M1285">
        <v>-2</v>
      </c>
      <c r="N1285">
        <v>-2</v>
      </c>
      <c r="O1285" s="1">
        <v>12071</v>
      </c>
      <c r="P1285" s="1">
        <v>12497</v>
      </c>
      <c r="Q1285" s="1">
        <v>1027</v>
      </c>
      <c r="R1285" s="1">
        <v>-103</v>
      </c>
      <c r="S1285" s="1">
        <v>-103</v>
      </c>
      <c r="T1285" s="1">
        <v>1047</v>
      </c>
      <c r="U1285" s="1">
        <v>2114</v>
      </c>
      <c r="V1285" s="1">
        <v>1027</v>
      </c>
      <c r="W1285" s="1">
        <v>103</v>
      </c>
      <c r="X1285" s="1">
        <v>0</v>
      </c>
      <c r="Y1285" s="1">
        <v>1150</v>
      </c>
      <c r="Z1285" s="1">
        <v>2503</v>
      </c>
      <c r="AA1285">
        <v>0</v>
      </c>
      <c r="AB1285" t="str">
        <f t="shared" si="20"/>
        <v>Not Defaulter</v>
      </c>
      <c r="AC1285" s="1">
        <f>Table2[[#This Row],[BILL_AMT1]]-Table2[[#This Row],[PAY_AMT1]]</f>
        <v>9957</v>
      </c>
      <c r="AD1285" s="1" t="str" cm="1">
        <f t="array" ref="AD1285">_xlfn.IFS(Table2[[#This Row],[PAYMENT GAP]]&lt;=0,"No Gap / Overpaid",Table2[[#This Row],[PAYMENT GAP]]&lt;=25000,"Low Gap",Table2[[#This Row],[PAYMENT GAP]]&lt;=100000,"Medium Gap",
TRUE,"High Gap"
)</f>
        <v>Low Gap</v>
      </c>
    </row>
    <row r="1286" spans="1:30" x14ac:dyDescent="0.3">
      <c r="A1286">
        <v>1285</v>
      </c>
      <c r="B1286" s="1">
        <v>440000</v>
      </c>
      <c r="C1286" s="1" t="str" cm="1">
        <f t="array" ref="C1286">_xlfn.IFS(Table2[[#This Row],[LIMIT_BAL]]&lt;=100000,"Low",Table2[[#This Row],[LIMIT_BAL]]&lt;=300000,"Medium",
TRUE,"High"
)</f>
        <v>High</v>
      </c>
      <c r="D1286" t="s">
        <v>2041</v>
      </c>
      <c r="E1286" t="s">
        <v>2043</v>
      </c>
      <c r="F1286" t="s">
        <v>2029</v>
      </c>
      <c r="G1286">
        <v>26</v>
      </c>
      <c r="H1286" t="str" cm="1">
        <f t="array" ref="H1286">_xlfn.IFS(
Table2[[#This Row],[AGE]]&lt;30,"Young",
Table2[[#This Row],[AGE]]&lt;40,"Middle Age",
Table2[[#This Row],[AGE]]&lt;50,"Senior",
TRUE,"Super Senior"
)</f>
        <v>Young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 s="1">
        <v>96190</v>
      </c>
      <c r="P1286" s="1">
        <v>90462</v>
      </c>
      <c r="Q1286" s="1">
        <v>78267</v>
      </c>
      <c r="R1286" s="1">
        <v>71795</v>
      </c>
      <c r="S1286" s="1">
        <v>51812</v>
      </c>
      <c r="T1286" s="1">
        <v>25064</v>
      </c>
      <c r="U1286" s="1">
        <v>3513</v>
      </c>
      <c r="V1286" s="1">
        <v>3017</v>
      </c>
      <c r="W1286" s="1">
        <v>2037</v>
      </c>
      <c r="X1286" s="1">
        <v>2019</v>
      </c>
      <c r="Y1286" s="1">
        <v>3010</v>
      </c>
      <c r="Z1286" s="1">
        <v>3004</v>
      </c>
      <c r="AA1286">
        <v>0</v>
      </c>
      <c r="AB1286" t="str">
        <f t="shared" si="20"/>
        <v>Not Defaulter</v>
      </c>
      <c r="AC1286" s="1">
        <f>Table2[[#This Row],[BILL_AMT1]]-Table2[[#This Row],[PAY_AMT1]]</f>
        <v>92677</v>
      </c>
      <c r="AD1286" s="1" t="str" cm="1">
        <f t="array" ref="AD1286">_xlfn.IFS(Table2[[#This Row],[PAYMENT GAP]]&lt;=0,"No Gap / Overpaid",Table2[[#This Row],[PAYMENT GAP]]&lt;=25000,"Low Gap",Table2[[#This Row],[PAYMENT GAP]]&lt;=100000,"Medium Gap",
TRUE,"High Gap"
)</f>
        <v>Medium Gap</v>
      </c>
    </row>
    <row r="1287" spans="1:30" x14ac:dyDescent="0.3">
      <c r="A1287">
        <v>1286</v>
      </c>
      <c r="B1287" s="1">
        <v>500000</v>
      </c>
      <c r="C1287" s="1" t="str" cm="1">
        <f t="array" ref="C1287">_xlfn.IFS(Table2[[#This Row],[LIMIT_BAL]]&lt;=100000,"Low",Table2[[#This Row],[LIMIT_BAL]]&lt;=300000,"Medium",
TRUE,"High"
)</f>
        <v>High</v>
      </c>
      <c r="D1287" t="s">
        <v>2042</v>
      </c>
      <c r="E1287" t="s">
        <v>2043</v>
      </c>
      <c r="F1287" t="s">
        <v>2028</v>
      </c>
      <c r="G1287">
        <v>43</v>
      </c>
      <c r="H1287" t="str" cm="1">
        <f t="array" ref="H1287">_xlfn.IFS(
Table2[[#This Row],[AGE]]&lt;30,"Young",
Table2[[#This Row],[AGE]]&lt;40,"Middle Age",
Table2[[#This Row],[AGE]]&lt;50,"Senior",
TRUE,"Super Senior"
)</f>
        <v>Senior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 s="1">
        <v>12200</v>
      </c>
      <c r="P1287" s="1">
        <v>8140</v>
      </c>
      <c r="Q1287" s="1">
        <v>10176</v>
      </c>
      <c r="R1287" s="1">
        <v>20719</v>
      </c>
      <c r="S1287" s="1">
        <v>15665</v>
      </c>
      <c r="T1287" s="1">
        <v>8074</v>
      </c>
      <c r="U1287" s="1">
        <v>1518</v>
      </c>
      <c r="V1287" s="1">
        <v>5019</v>
      </c>
      <c r="W1287" s="1">
        <v>15027</v>
      </c>
      <c r="X1287" s="1">
        <v>639</v>
      </c>
      <c r="Y1287" s="1">
        <v>547</v>
      </c>
      <c r="Z1287" s="1">
        <v>50274</v>
      </c>
      <c r="AA1287">
        <v>0</v>
      </c>
      <c r="AB1287" t="str">
        <f t="shared" si="20"/>
        <v>Not Defaulter</v>
      </c>
      <c r="AC1287" s="1">
        <f>Table2[[#This Row],[BILL_AMT1]]-Table2[[#This Row],[PAY_AMT1]]</f>
        <v>10682</v>
      </c>
      <c r="AD1287" s="1" t="str" cm="1">
        <f t="array" ref="AD1287">_xlfn.IFS(Table2[[#This Row],[PAYMENT GAP]]&lt;=0,"No Gap / Overpaid",Table2[[#This Row],[PAYMENT GAP]]&lt;=25000,"Low Gap",Table2[[#This Row],[PAYMENT GAP]]&lt;=100000,"Medium Gap",
TRUE,"High Gap"
)</f>
        <v>Low Gap</v>
      </c>
    </row>
    <row r="1288" spans="1:30" x14ac:dyDescent="0.3">
      <c r="A1288">
        <v>1287</v>
      </c>
      <c r="B1288" s="1">
        <v>230000</v>
      </c>
      <c r="C1288" s="1" t="str" cm="1">
        <f t="array" ref="C1288">_xlfn.IFS(Table2[[#This Row],[LIMIT_BAL]]&lt;=100000,"Low",Table2[[#This Row],[LIMIT_BAL]]&lt;=300000,"Medium",
TRUE,"High"
)</f>
        <v>Medium</v>
      </c>
      <c r="D1288" t="s">
        <v>2041</v>
      </c>
      <c r="E1288" t="s">
        <v>2043</v>
      </c>
      <c r="F1288" t="s">
        <v>2028</v>
      </c>
      <c r="G1288">
        <v>29</v>
      </c>
      <c r="H1288" t="str" cm="1">
        <f t="array" ref="H1288">_xlfn.IFS(
Table2[[#This Row],[AGE]]&lt;30,"Young",
Table2[[#This Row],[AGE]]&lt;40,"Middle Age",
Table2[[#This Row],[AGE]]&lt;50,"Senior",
TRUE,"Super Senior"
)</f>
        <v>Young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 s="1">
        <v>64982</v>
      </c>
      <c r="P1288" s="1">
        <v>44908</v>
      </c>
      <c r="Q1288" s="1">
        <v>51535</v>
      </c>
      <c r="R1288" s="1">
        <v>24607</v>
      </c>
      <c r="S1288" s="1">
        <v>28279</v>
      </c>
      <c r="T1288" s="1">
        <v>48934</v>
      </c>
      <c r="U1288" s="1">
        <v>3000</v>
      </c>
      <c r="V1288" s="1">
        <v>11000</v>
      </c>
      <c r="W1288" s="1">
        <v>15000</v>
      </c>
      <c r="X1288" s="1">
        <v>13000</v>
      </c>
      <c r="Y1288" s="1">
        <v>36000</v>
      </c>
      <c r="Z1288" s="1">
        <v>3000</v>
      </c>
      <c r="AA1288">
        <v>0</v>
      </c>
      <c r="AB1288" t="str">
        <f t="shared" si="20"/>
        <v>Not Defaulter</v>
      </c>
      <c r="AC1288" s="1">
        <f>Table2[[#This Row],[BILL_AMT1]]-Table2[[#This Row],[PAY_AMT1]]</f>
        <v>61982</v>
      </c>
      <c r="AD1288" s="1" t="str" cm="1">
        <f t="array" ref="AD1288">_xlfn.IFS(Table2[[#This Row],[PAYMENT GAP]]&lt;=0,"No Gap / Overpaid",Table2[[#This Row],[PAYMENT GAP]]&lt;=25000,"Low Gap",Table2[[#This Row],[PAYMENT GAP]]&lt;=100000,"Medium Gap",
TRUE,"High Gap"
)</f>
        <v>Medium Gap</v>
      </c>
    </row>
    <row r="1289" spans="1:30" x14ac:dyDescent="0.3">
      <c r="A1289">
        <v>1288</v>
      </c>
      <c r="B1289" s="1">
        <v>470000</v>
      </c>
      <c r="C1289" s="1" t="str" cm="1">
        <f t="array" ref="C1289">_xlfn.IFS(Table2[[#This Row],[LIMIT_BAL]]&lt;=100000,"Low",Table2[[#This Row],[LIMIT_BAL]]&lt;=300000,"Medium",
TRUE,"High"
)</f>
        <v>High</v>
      </c>
      <c r="D1289" t="s">
        <v>2042</v>
      </c>
      <c r="E1289" t="s">
        <v>2043</v>
      </c>
      <c r="F1289" t="s">
        <v>2028</v>
      </c>
      <c r="G1289">
        <v>41</v>
      </c>
      <c r="H1289" t="str" cm="1">
        <f t="array" ref="H1289">_xlfn.IFS(
Table2[[#This Row],[AGE]]&lt;30,"Young",
Table2[[#This Row],[AGE]]&lt;40,"Middle Age",
Table2[[#This Row],[AGE]]&lt;50,"Senior",
TRUE,"Super Senior"
)</f>
        <v>Senior</v>
      </c>
      <c r="I1289">
        <v>-2</v>
      </c>
      <c r="J1289">
        <v>-2</v>
      </c>
      <c r="K1289">
        <v>-2</v>
      </c>
      <c r="L1289">
        <v>-2</v>
      </c>
      <c r="M1289">
        <v>-2</v>
      </c>
      <c r="N1289">
        <v>-1</v>
      </c>
      <c r="O1289" s="1">
        <v>13780</v>
      </c>
      <c r="P1289" s="1">
        <v>12242</v>
      </c>
      <c r="Q1289" s="1">
        <v>32463</v>
      </c>
      <c r="R1289" s="1">
        <v>20621</v>
      </c>
      <c r="S1289" s="1">
        <v>13711</v>
      </c>
      <c r="T1289" s="1">
        <v>8294</v>
      </c>
      <c r="U1289" s="1">
        <v>12300</v>
      </c>
      <c r="V1289" s="1">
        <v>32520</v>
      </c>
      <c r="W1289" s="1">
        <v>34</v>
      </c>
      <c r="X1289" s="1">
        <v>68</v>
      </c>
      <c r="Y1289" s="1">
        <v>8334</v>
      </c>
      <c r="Z1289" s="1">
        <v>45684</v>
      </c>
      <c r="AA1289">
        <v>0</v>
      </c>
      <c r="AB1289" t="str">
        <f t="shared" si="20"/>
        <v>Not Defaulter</v>
      </c>
      <c r="AC1289" s="1">
        <f>Table2[[#This Row],[BILL_AMT1]]-Table2[[#This Row],[PAY_AMT1]]</f>
        <v>1480</v>
      </c>
      <c r="AD1289" s="1" t="str" cm="1">
        <f t="array" ref="AD1289">_xlfn.IFS(Table2[[#This Row],[PAYMENT GAP]]&lt;=0,"No Gap / Overpaid",Table2[[#This Row],[PAYMENT GAP]]&lt;=25000,"Low Gap",Table2[[#This Row],[PAYMENT GAP]]&lt;=100000,"Medium Gap",
TRUE,"High Gap"
)</f>
        <v>Low Gap</v>
      </c>
    </row>
    <row r="1290" spans="1:30" x14ac:dyDescent="0.3">
      <c r="A1290">
        <v>1289</v>
      </c>
      <c r="B1290" s="1">
        <v>20000</v>
      </c>
      <c r="C1290" s="1" t="str" cm="1">
        <f t="array" ref="C1290">_xlfn.IFS(Table2[[#This Row],[LIMIT_BAL]]&lt;=100000,"Low",Table2[[#This Row],[LIMIT_BAL]]&lt;=300000,"Medium",
TRUE,"High"
)</f>
        <v>Low</v>
      </c>
      <c r="D1290" t="s">
        <v>2041</v>
      </c>
      <c r="E1290" t="s">
        <v>2027</v>
      </c>
      <c r="F1290" t="s">
        <v>2028</v>
      </c>
      <c r="G1290">
        <v>48</v>
      </c>
      <c r="H1290" t="str" cm="1">
        <f t="array" ref="H1290">_xlfn.IFS(
Table2[[#This Row],[AGE]]&lt;30,"Young",
Table2[[#This Row],[AGE]]&lt;40,"Middle Age",
Table2[[#This Row],[AGE]]&lt;50,"Senior",
TRUE,"Super Senior"
)</f>
        <v>Senior</v>
      </c>
      <c r="I1290">
        <v>1</v>
      </c>
      <c r="J1290">
        <v>2</v>
      </c>
      <c r="K1290">
        <v>2</v>
      </c>
      <c r="L1290">
        <v>3</v>
      </c>
      <c r="M1290">
        <v>2</v>
      </c>
      <c r="N1290">
        <v>2</v>
      </c>
      <c r="O1290" s="1">
        <v>14589</v>
      </c>
      <c r="P1290" s="1">
        <v>16743</v>
      </c>
      <c r="Q1290" s="1">
        <v>17522</v>
      </c>
      <c r="R1290" s="1">
        <v>17055</v>
      </c>
      <c r="S1290" s="1">
        <v>10400</v>
      </c>
      <c r="T1290" s="1">
        <v>0</v>
      </c>
      <c r="U1290" s="1">
        <v>2700</v>
      </c>
      <c r="V1290" s="1">
        <v>1400</v>
      </c>
      <c r="W1290" s="1">
        <v>0</v>
      </c>
      <c r="X1290" s="1">
        <v>0</v>
      </c>
      <c r="Y1290" s="1">
        <v>0</v>
      </c>
      <c r="Z1290" s="1">
        <v>0</v>
      </c>
      <c r="AA1290">
        <v>1</v>
      </c>
      <c r="AB1290" t="str">
        <f t="shared" si="20"/>
        <v>Defaulter</v>
      </c>
      <c r="AC1290" s="1">
        <f>Table2[[#This Row],[BILL_AMT1]]-Table2[[#This Row],[PAY_AMT1]]</f>
        <v>11889</v>
      </c>
      <c r="AD1290" s="1" t="str" cm="1">
        <f t="array" ref="AD1290">_xlfn.IFS(Table2[[#This Row],[PAYMENT GAP]]&lt;=0,"No Gap / Overpaid",Table2[[#This Row],[PAYMENT GAP]]&lt;=25000,"Low Gap",Table2[[#This Row],[PAYMENT GAP]]&lt;=100000,"Medium Gap",
TRUE,"High Gap"
)</f>
        <v>Low Gap</v>
      </c>
    </row>
    <row r="1291" spans="1:30" x14ac:dyDescent="0.3">
      <c r="A1291">
        <v>1290</v>
      </c>
      <c r="B1291" s="1">
        <v>210000</v>
      </c>
      <c r="C1291" s="1" t="str" cm="1">
        <f t="array" ref="C1291">_xlfn.IFS(Table2[[#This Row],[LIMIT_BAL]]&lt;=100000,"Low",Table2[[#This Row],[LIMIT_BAL]]&lt;=300000,"Medium",
TRUE,"High"
)</f>
        <v>Medium</v>
      </c>
      <c r="D1291" t="s">
        <v>2041</v>
      </c>
      <c r="E1291" t="s">
        <v>2043</v>
      </c>
      <c r="F1291" t="s">
        <v>2029</v>
      </c>
      <c r="G1291">
        <v>24</v>
      </c>
      <c r="H1291" t="str" cm="1">
        <f t="array" ref="H1291">_xlfn.IFS(
Table2[[#This Row],[AGE]]&lt;30,"Young",
Table2[[#This Row],[AGE]]&lt;40,"Middle Age",
Table2[[#This Row],[AGE]]&lt;50,"Senior",
TRUE,"Super Senior"
)</f>
        <v>Young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 s="1">
        <v>108491</v>
      </c>
      <c r="P1291" s="1">
        <v>111046</v>
      </c>
      <c r="Q1291" s="1">
        <v>110716</v>
      </c>
      <c r="R1291" s="1">
        <v>97168</v>
      </c>
      <c r="S1291" s="1">
        <v>94524</v>
      </c>
      <c r="T1291" s="1">
        <v>96777</v>
      </c>
      <c r="U1291" s="1">
        <v>5800</v>
      </c>
      <c r="V1291" s="1">
        <v>3700</v>
      </c>
      <c r="W1291" s="1">
        <v>3505</v>
      </c>
      <c r="X1291" s="1">
        <v>3400</v>
      </c>
      <c r="Y1291" s="1">
        <v>3769</v>
      </c>
      <c r="Z1291" s="1">
        <v>3229</v>
      </c>
      <c r="AA1291">
        <v>0</v>
      </c>
      <c r="AB1291" t="str">
        <f t="shared" si="20"/>
        <v>Not Defaulter</v>
      </c>
      <c r="AC1291" s="1">
        <f>Table2[[#This Row],[BILL_AMT1]]-Table2[[#This Row],[PAY_AMT1]]</f>
        <v>102691</v>
      </c>
      <c r="AD1291" s="1" t="str" cm="1">
        <f t="array" ref="AD1291">_xlfn.IFS(Table2[[#This Row],[PAYMENT GAP]]&lt;=0,"No Gap / Overpaid",Table2[[#This Row],[PAYMENT GAP]]&lt;=25000,"Low Gap",Table2[[#This Row],[PAYMENT GAP]]&lt;=100000,"Medium Gap",
TRUE,"High Gap"
)</f>
        <v>High Gap</v>
      </c>
    </row>
    <row r="1292" spans="1:30" x14ac:dyDescent="0.3">
      <c r="A1292">
        <v>1291</v>
      </c>
      <c r="B1292" s="1">
        <v>20000</v>
      </c>
      <c r="C1292" s="1" t="str" cm="1">
        <f t="array" ref="C1292">_xlfn.IFS(Table2[[#This Row],[LIMIT_BAL]]&lt;=100000,"Low",Table2[[#This Row],[LIMIT_BAL]]&lt;=300000,"Medium",
TRUE,"High"
)</f>
        <v>Low</v>
      </c>
      <c r="D1292" t="s">
        <v>2041</v>
      </c>
      <c r="E1292" t="s">
        <v>2026</v>
      </c>
      <c r="F1292" t="s">
        <v>2029</v>
      </c>
      <c r="G1292">
        <v>23</v>
      </c>
      <c r="H1292" t="str" cm="1">
        <f t="array" ref="H1292">_xlfn.IFS(
Table2[[#This Row],[AGE]]&lt;30,"Young",
Table2[[#This Row],[AGE]]&lt;40,"Middle Age",
Table2[[#This Row],[AGE]]&lt;50,"Senior",
TRUE,"Super Senior"
)</f>
        <v>Young</v>
      </c>
      <c r="I1292">
        <v>0</v>
      </c>
      <c r="J1292">
        <v>0</v>
      </c>
      <c r="K1292">
        <v>-2</v>
      </c>
      <c r="L1292">
        <v>-1</v>
      </c>
      <c r="M1292">
        <v>0</v>
      </c>
      <c r="N1292">
        <v>0</v>
      </c>
      <c r="O1292" s="1">
        <v>6733</v>
      </c>
      <c r="P1292" s="1">
        <v>0</v>
      </c>
      <c r="Q1292" s="1">
        <v>0</v>
      </c>
      <c r="R1292" s="1">
        <v>19132</v>
      </c>
      <c r="S1292" s="1">
        <v>19533</v>
      </c>
      <c r="T1292" s="1">
        <v>20235</v>
      </c>
      <c r="U1292" s="1">
        <v>0</v>
      </c>
      <c r="V1292" s="1">
        <v>0</v>
      </c>
      <c r="W1292" s="1">
        <v>19132</v>
      </c>
      <c r="X1292" s="1">
        <v>709</v>
      </c>
      <c r="Y1292" s="1">
        <v>1027</v>
      </c>
      <c r="Z1292" s="1">
        <v>600</v>
      </c>
      <c r="AA1292">
        <v>0</v>
      </c>
      <c r="AB1292" t="str">
        <f t="shared" si="20"/>
        <v>Not Defaulter</v>
      </c>
      <c r="AC1292" s="1">
        <f>Table2[[#This Row],[BILL_AMT1]]-Table2[[#This Row],[PAY_AMT1]]</f>
        <v>6733</v>
      </c>
      <c r="AD1292" s="1" t="str" cm="1">
        <f t="array" ref="AD1292">_xlfn.IFS(Table2[[#This Row],[PAYMENT GAP]]&lt;=0,"No Gap / Overpaid",Table2[[#This Row],[PAYMENT GAP]]&lt;=25000,"Low Gap",Table2[[#This Row],[PAYMENT GAP]]&lt;=100000,"Medium Gap",
TRUE,"High Gap"
)</f>
        <v>Low Gap</v>
      </c>
    </row>
    <row r="1293" spans="1:30" x14ac:dyDescent="0.3">
      <c r="A1293">
        <v>1292</v>
      </c>
      <c r="B1293" s="1">
        <v>20000</v>
      </c>
      <c r="C1293" s="1" t="str" cm="1">
        <f t="array" ref="C1293">_xlfn.IFS(Table2[[#This Row],[LIMIT_BAL]]&lt;=100000,"Low",Table2[[#This Row],[LIMIT_BAL]]&lt;=300000,"Medium",
TRUE,"High"
)</f>
        <v>Low</v>
      </c>
      <c r="D1293" t="s">
        <v>2041</v>
      </c>
      <c r="E1293" t="s">
        <v>2027</v>
      </c>
      <c r="F1293" t="s">
        <v>2028</v>
      </c>
      <c r="G1293">
        <v>53</v>
      </c>
      <c r="H1293" t="str" cm="1">
        <f t="array" ref="H1293">_xlfn.IFS(
Table2[[#This Row],[AGE]]&lt;30,"Young",
Table2[[#This Row],[AGE]]&lt;40,"Middle Age",
Table2[[#This Row],[AGE]]&lt;50,"Senior",
TRUE,"Super Senior"
)</f>
        <v>Super Senior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 s="1">
        <v>12197</v>
      </c>
      <c r="P1293" s="1">
        <v>13292</v>
      </c>
      <c r="Q1293" s="1">
        <v>14362</v>
      </c>
      <c r="R1293" s="1">
        <v>14821</v>
      </c>
      <c r="S1293" s="1">
        <v>15143</v>
      </c>
      <c r="T1293" s="1">
        <v>15737</v>
      </c>
      <c r="U1293" s="1">
        <v>1600</v>
      </c>
      <c r="V1293" s="1">
        <v>1600</v>
      </c>
      <c r="W1293" s="1">
        <v>1000</v>
      </c>
      <c r="X1293" s="1">
        <v>710</v>
      </c>
      <c r="Y1293" s="1">
        <v>1000</v>
      </c>
      <c r="Z1293" s="1">
        <v>1000</v>
      </c>
      <c r="AA1293">
        <v>0</v>
      </c>
      <c r="AB1293" t="str">
        <f t="shared" si="20"/>
        <v>Not Defaulter</v>
      </c>
      <c r="AC1293" s="1">
        <f>Table2[[#This Row],[BILL_AMT1]]-Table2[[#This Row],[PAY_AMT1]]</f>
        <v>10597</v>
      </c>
      <c r="AD1293" s="1" t="str" cm="1">
        <f t="array" ref="AD1293">_xlfn.IFS(Table2[[#This Row],[PAYMENT GAP]]&lt;=0,"No Gap / Overpaid",Table2[[#This Row],[PAYMENT GAP]]&lt;=25000,"Low Gap",Table2[[#This Row],[PAYMENT GAP]]&lt;=100000,"Medium Gap",
TRUE,"High Gap"
)</f>
        <v>Low Gap</v>
      </c>
    </row>
    <row r="1294" spans="1:30" x14ac:dyDescent="0.3">
      <c r="A1294">
        <v>1293</v>
      </c>
      <c r="B1294" s="1">
        <v>200000</v>
      </c>
      <c r="C1294" s="1" t="str" cm="1">
        <f t="array" ref="C1294">_xlfn.IFS(Table2[[#This Row],[LIMIT_BAL]]&lt;=100000,"Low",Table2[[#This Row],[LIMIT_BAL]]&lt;=300000,"Medium",
TRUE,"High"
)</f>
        <v>Medium</v>
      </c>
      <c r="D1294" t="s">
        <v>2041</v>
      </c>
      <c r="E1294" t="s">
        <v>2043</v>
      </c>
      <c r="F1294" t="s">
        <v>2028</v>
      </c>
      <c r="G1294">
        <v>34</v>
      </c>
      <c r="H1294" t="str" cm="1">
        <f t="array" ref="H1294">_xlfn.IFS(
Table2[[#This Row],[AGE]]&lt;30,"Young",
Table2[[#This Row],[AGE]]&lt;40,"Middle Age",
Table2[[#This Row],[AGE]]&lt;50,"Senior",
TRUE,"Super Senior"
)</f>
        <v>Middle Age</v>
      </c>
      <c r="I1294">
        <v>1</v>
      </c>
      <c r="J1294">
        <v>-1</v>
      </c>
      <c r="K1294">
        <v>-1</v>
      </c>
      <c r="L1294">
        <v>-1</v>
      </c>
      <c r="M1294">
        <v>-1</v>
      </c>
      <c r="N1294">
        <v>-1</v>
      </c>
      <c r="O1294" s="1">
        <v>-2</v>
      </c>
      <c r="P1294" s="1">
        <v>758</v>
      </c>
      <c r="Q1294" s="1">
        <v>998</v>
      </c>
      <c r="R1294" s="1">
        <v>668</v>
      </c>
      <c r="S1294" s="1">
        <v>9815</v>
      </c>
      <c r="T1294" s="1">
        <v>36870</v>
      </c>
      <c r="U1294" s="1">
        <v>760</v>
      </c>
      <c r="V1294" s="1">
        <v>1000</v>
      </c>
      <c r="W1294" s="1">
        <v>670</v>
      </c>
      <c r="X1294" s="1">
        <v>9852</v>
      </c>
      <c r="Y1294" s="1">
        <v>40063</v>
      </c>
      <c r="Z1294" s="1">
        <v>1049</v>
      </c>
      <c r="AA1294">
        <v>0</v>
      </c>
      <c r="AB1294" t="str">
        <f t="shared" si="20"/>
        <v>Not Defaulter</v>
      </c>
      <c r="AC1294" s="1">
        <f>Table2[[#This Row],[BILL_AMT1]]-Table2[[#This Row],[PAY_AMT1]]</f>
        <v>-762</v>
      </c>
      <c r="AD1294" s="1" t="str" cm="1">
        <f t="array" ref="AD1294">_xlfn.IFS(Table2[[#This Row],[PAYMENT GAP]]&lt;=0,"No Gap / Overpaid",Table2[[#This Row],[PAYMENT GAP]]&lt;=25000,"Low Gap",Table2[[#This Row],[PAYMENT GAP]]&lt;=100000,"Medium Gap",
TRUE,"High Gap"
)</f>
        <v>No Gap / Overpaid</v>
      </c>
    </row>
    <row r="1295" spans="1:30" x14ac:dyDescent="0.3">
      <c r="A1295">
        <v>1294</v>
      </c>
      <c r="B1295" s="1">
        <v>250000</v>
      </c>
      <c r="C1295" s="1" t="str" cm="1">
        <f t="array" ref="C1295">_xlfn.IFS(Table2[[#This Row],[LIMIT_BAL]]&lt;=100000,"Low",Table2[[#This Row],[LIMIT_BAL]]&lt;=300000,"Medium",
TRUE,"High"
)</f>
        <v>Medium</v>
      </c>
      <c r="D1295" t="s">
        <v>2041</v>
      </c>
      <c r="E1295" t="s">
        <v>2043</v>
      </c>
      <c r="F1295" t="s">
        <v>2029</v>
      </c>
      <c r="G1295">
        <v>36</v>
      </c>
      <c r="H1295" t="str" cm="1">
        <f t="array" ref="H1295">_xlfn.IFS(
Table2[[#This Row],[AGE]]&lt;30,"Young",
Table2[[#This Row],[AGE]]&lt;40,"Middle Age",
Table2[[#This Row],[AGE]]&lt;50,"Senior",
TRUE,"Super Senior"
)</f>
        <v>Middle Age</v>
      </c>
      <c r="I1295">
        <v>0</v>
      </c>
      <c r="J1295">
        <v>-1</v>
      </c>
      <c r="K1295">
        <v>-1</v>
      </c>
      <c r="L1295">
        <v>0</v>
      </c>
      <c r="M1295">
        <v>0</v>
      </c>
      <c r="N1295">
        <v>0</v>
      </c>
      <c r="O1295" s="1">
        <v>6220</v>
      </c>
      <c r="P1295" s="1">
        <v>27217</v>
      </c>
      <c r="Q1295" s="1">
        <v>6149</v>
      </c>
      <c r="R1295" s="1">
        <v>26202</v>
      </c>
      <c r="S1295" s="1">
        <v>6906</v>
      </c>
      <c r="T1295" s="1">
        <v>3855</v>
      </c>
      <c r="U1295" s="1">
        <v>27225</v>
      </c>
      <c r="V1295" s="1">
        <v>6159</v>
      </c>
      <c r="W1295" s="1">
        <v>25846</v>
      </c>
      <c r="X1295" s="1">
        <v>0</v>
      </c>
      <c r="Y1295" s="1">
        <v>3855</v>
      </c>
      <c r="Z1295" s="1">
        <v>3876</v>
      </c>
      <c r="AA1295">
        <v>1</v>
      </c>
      <c r="AB1295" t="str">
        <f t="shared" si="20"/>
        <v>Defaulter</v>
      </c>
      <c r="AC1295" s="1">
        <f>Table2[[#This Row],[BILL_AMT1]]-Table2[[#This Row],[PAY_AMT1]]</f>
        <v>-21005</v>
      </c>
      <c r="AD1295" s="1" t="str" cm="1">
        <f t="array" ref="AD1295">_xlfn.IFS(Table2[[#This Row],[PAYMENT GAP]]&lt;=0,"No Gap / Overpaid",Table2[[#This Row],[PAYMENT GAP]]&lt;=25000,"Low Gap",Table2[[#This Row],[PAYMENT GAP]]&lt;=100000,"Medium Gap",
TRUE,"High Gap"
)</f>
        <v>No Gap / Overpaid</v>
      </c>
    </row>
    <row r="1296" spans="1:30" x14ac:dyDescent="0.3">
      <c r="A1296">
        <v>1295</v>
      </c>
      <c r="B1296" s="1">
        <v>300000</v>
      </c>
      <c r="C1296" s="1" t="str" cm="1">
        <f t="array" ref="C1296">_xlfn.IFS(Table2[[#This Row],[LIMIT_BAL]]&lt;=100000,"Low",Table2[[#This Row],[LIMIT_BAL]]&lt;=300000,"Medium",
TRUE,"High"
)</f>
        <v>Medium</v>
      </c>
      <c r="D1296" t="s">
        <v>2042</v>
      </c>
      <c r="E1296" t="s">
        <v>2043</v>
      </c>
      <c r="F1296" t="s">
        <v>2029</v>
      </c>
      <c r="G1296">
        <v>41</v>
      </c>
      <c r="H1296" t="str" cm="1">
        <f t="array" ref="H1296">_xlfn.IFS(
Table2[[#This Row],[AGE]]&lt;30,"Young",
Table2[[#This Row],[AGE]]&lt;40,"Middle Age",
Table2[[#This Row],[AGE]]&lt;50,"Senior",
TRUE,"Super Senior"
)</f>
        <v>Senior</v>
      </c>
      <c r="I1296">
        <v>0</v>
      </c>
      <c r="J1296">
        <v>0</v>
      </c>
      <c r="K1296">
        <v>0</v>
      </c>
      <c r="L1296">
        <v>-1</v>
      </c>
      <c r="M1296">
        <v>-1</v>
      </c>
      <c r="N1296">
        <v>2</v>
      </c>
      <c r="O1296" s="1">
        <v>34480</v>
      </c>
      <c r="P1296" s="1">
        <v>31159</v>
      </c>
      <c r="Q1296" s="1">
        <v>18580</v>
      </c>
      <c r="R1296" s="1">
        <v>1400</v>
      </c>
      <c r="S1296" s="1">
        <v>6297</v>
      </c>
      <c r="T1296" s="1">
        <v>977</v>
      </c>
      <c r="U1296" s="1">
        <v>1472</v>
      </c>
      <c r="V1296" s="1">
        <v>1000</v>
      </c>
      <c r="W1296" s="1">
        <v>1410</v>
      </c>
      <c r="X1296" s="1">
        <v>6297</v>
      </c>
      <c r="Y1296" s="1">
        <v>0</v>
      </c>
      <c r="Z1296" s="1">
        <v>19480</v>
      </c>
      <c r="AA1296">
        <v>0</v>
      </c>
      <c r="AB1296" t="str">
        <f t="shared" si="20"/>
        <v>Not Defaulter</v>
      </c>
      <c r="AC1296" s="1">
        <f>Table2[[#This Row],[BILL_AMT1]]-Table2[[#This Row],[PAY_AMT1]]</f>
        <v>33008</v>
      </c>
      <c r="AD1296" s="1" t="str" cm="1">
        <f t="array" ref="AD1296">_xlfn.IFS(Table2[[#This Row],[PAYMENT GAP]]&lt;=0,"No Gap / Overpaid",Table2[[#This Row],[PAYMENT GAP]]&lt;=25000,"Low Gap",Table2[[#This Row],[PAYMENT GAP]]&lt;=100000,"Medium Gap",
TRUE,"High Gap"
)</f>
        <v>Medium Gap</v>
      </c>
    </row>
    <row r="1297" spans="1:30" x14ac:dyDescent="0.3">
      <c r="A1297">
        <v>1296</v>
      </c>
      <c r="B1297" s="1">
        <v>320000</v>
      </c>
      <c r="C1297" s="1" t="str" cm="1">
        <f t="array" ref="C1297">_xlfn.IFS(Table2[[#This Row],[LIMIT_BAL]]&lt;=100000,"Low",Table2[[#This Row],[LIMIT_BAL]]&lt;=300000,"Medium",
TRUE,"High"
)</f>
        <v>High</v>
      </c>
      <c r="D1297" t="s">
        <v>2041</v>
      </c>
      <c r="E1297" t="s">
        <v>2026</v>
      </c>
      <c r="F1297" t="s">
        <v>2029</v>
      </c>
      <c r="G1297">
        <v>30</v>
      </c>
      <c r="H1297" t="str" cm="1">
        <f t="array" ref="H1297">_xlfn.IFS(
Table2[[#This Row],[AGE]]&lt;30,"Young",
Table2[[#This Row],[AGE]]&lt;40,"Middle Age",
Table2[[#This Row],[AGE]]&lt;50,"Senior",
TRUE,"Super Senior"
)</f>
        <v>Middle Age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 s="1">
        <v>113801</v>
      </c>
      <c r="P1297" s="1">
        <v>90354</v>
      </c>
      <c r="Q1297" s="1">
        <v>88467</v>
      </c>
      <c r="R1297" s="1">
        <v>79241</v>
      </c>
      <c r="S1297" s="1">
        <v>83530</v>
      </c>
      <c r="T1297" s="1">
        <v>90573</v>
      </c>
      <c r="U1297" s="1">
        <v>5017</v>
      </c>
      <c r="V1297" s="1">
        <v>4057</v>
      </c>
      <c r="W1297" s="1">
        <v>4014</v>
      </c>
      <c r="X1297" s="1">
        <v>8531</v>
      </c>
      <c r="Y1297" s="1">
        <v>15005</v>
      </c>
      <c r="Z1297" s="1">
        <v>5033</v>
      </c>
      <c r="AA1297">
        <v>0</v>
      </c>
      <c r="AB1297" t="str">
        <f t="shared" si="20"/>
        <v>Not Defaulter</v>
      </c>
      <c r="AC1297" s="1">
        <f>Table2[[#This Row],[BILL_AMT1]]-Table2[[#This Row],[PAY_AMT1]]</f>
        <v>108784</v>
      </c>
      <c r="AD1297" s="1" t="str" cm="1">
        <f t="array" ref="AD1297">_xlfn.IFS(Table2[[#This Row],[PAYMENT GAP]]&lt;=0,"No Gap / Overpaid",Table2[[#This Row],[PAYMENT GAP]]&lt;=25000,"Low Gap",Table2[[#This Row],[PAYMENT GAP]]&lt;=100000,"Medium Gap",
TRUE,"High Gap"
)</f>
        <v>High Gap</v>
      </c>
    </row>
    <row r="1298" spans="1:30" x14ac:dyDescent="0.3">
      <c r="A1298">
        <v>1297</v>
      </c>
      <c r="B1298" s="1">
        <v>50000</v>
      </c>
      <c r="C1298" s="1" t="str" cm="1">
        <f t="array" ref="C1298">_xlfn.IFS(Table2[[#This Row],[LIMIT_BAL]]&lt;=100000,"Low",Table2[[#This Row],[LIMIT_BAL]]&lt;=300000,"Medium",
TRUE,"High"
)</f>
        <v>Low</v>
      </c>
      <c r="D1298" t="s">
        <v>2042</v>
      </c>
      <c r="E1298" t="s">
        <v>2043</v>
      </c>
      <c r="F1298" t="s">
        <v>2029</v>
      </c>
      <c r="G1298">
        <v>29</v>
      </c>
      <c r="H1298" t="str" cm="1">
        <f t="array" ref="H1298">_xlfn.IFS(
Table2[[#This Row],[AGE]]&lt;30,"Young",
Table2[[#This Row],[AGE]]&lt;40,"Middle Age",
Table2[[#This Row],[AGE]]&lt;50,"Senior",
TRUE,"Super Senior"
)</f>
        <v>Young</v>
      </c>
      <c r="I1298">
        <v>1</v>
      </c>
      <c r="J1298">
        <v>2</v>
      </c>
      <c r="K1298">
        <v>2</v>
      </c>
      <c r="L1298">
        <v>2</v>
      </c>
      <c r="M1298">
        <v>0</v>
      </c>
      <c r="N1298">
        <v>0</v>
      </c>
      <c r="O1298" s="1">
        <v>37170</v>
      </c>
      <c r="P1298" s="1">
        <v>36297</v>
      </c>
      <c r="Q1298" s="1">
        <v>39863</v>
      </c>
      <c r="R1298" s="1">
        <v>38924</v>
      </c>
      <c r="S1298" s="1">
        <v>39744</v>
      </c>
      <c r="T1298" s="1">
        <v>40533</v>
      </c>
      <c r="U1298" s="1">
        <v>0</v>
      </c>
      <c r="V1298" s="1">
        <v>4500</v>
      </c>
      <c r="W1298" s="1">
        <v>0</v>
      </c>
      <c r="X1298" s="1">
        <v>1600</v>
      </c>
      <c r="Y1298" s="1">
        <v>1600</v>
      </c>
      <c r="Z1298" s="1">
        <v>1600</v>
      </c>
      <c r="AA1298">
        <v>0</v>
      </c>
      <c r="AB1298" t="str">
        <f t="shared" si="20"/>
        <v>Not Defaulter</v>
      </c>
      <c r="AC1298" s="1">
        <f>Table2[[#This Row],[BILL_AMT1]]-Table2[[#This Row],[PAY_AMT1]]</f>
        <v>37170</v>
      </c>
      <c r="AD1298" s="1" t="str" cm="1">
        <f t="array" ref="AD1298">_xlfn.IFS(Table2[[#This Row],[PAYMENT GAP]]&lt;=0,"No Gap / Overpaid",Table2[[#This Row],[PAYMENT GAP]]&lt;=25000,"Low Gap",Table2[[#This Row],[PAYMENT GAP]]&lt;=100000,"Medium Gap",
TRUE,"High Gap"
)</f>
        <v>Medium Gap</v>
      </c>
    </row>
    <row r="1299" spans="1:30" x14ac:dyDescent="0.3">
      <c r="A1299">
        <v>1298</v>
      </c>
      <c r="B1299" s="1">
        <v>200000</v>
      </c>
      <c r="C1299" s="1" t="str" cm="1">
        <f t="array" ref="C1299">_xlfn.IFS(Table2[[#This Row],[LIMIT_BAL]]&lt;=100000,"Low",Table2[[#This Row],[LIMIT_BAL]]&lt;=300000,"Medium",
TRUE,"High"
)</f>
        <v>Medium</v>
      </c>
      <c r="D1299" t="s">
        <v>2041</v>
      </c>
      <c r="E1299" t="s">
        <v>2043</v>
      </c>
      <c r="F1299" t="s">
        <v>2028</v>
      </c>
      <c r="G1299">
        <v>34</v>
      </c>
      <c r="H1299" t="str" cm="1">
        <f t="array" ref="H1299">_xlfn.IFS(
Table2[[#This Row],[AGE]]&lt;30,"Young",
Table2[[#This Row],[AGE]]&lt;40,"Middle Age",
Table2[[#This Row],[AGE]]&lt;50,"Senior",
TRUE,"Super Senior"
)</f>
        <v>Middle Age</v>
      </c>
      <c r="I1299">
        <v>-2</v>
      </c>
      <c r="J1299">
        <v>-2</v>
      </c>
      <c r="K1299">
        <v>-2</v>
      </c>
      <c r="L1299">
        <v>-1</v>
      </c>
      <c r="M1299">
        <v>-1</v>
      </c>
      <c r="N1299">
        <v>-1</v>
      </c>
      <c r="O1299" s="1">
        <v>6626</v>
      </c>
      <c r="P1299" s="1">
        <v>2469</v>
      </c>
      <c r="Q1299" s="1">
        <v>3760</v>
      </c>
      <c r="R1299" s="1">
        <v>4273</v>
      </c>
      <c r="S1299" s="1">
        <v>3015</v>
      </c>
      <c r="T1299" s="1">
        <v>5076</v>
      </c>
      <c r="U1299" s="1">
        <v>2476</v>
      </c>
      <c r="V1299" s="1">
        <v>3771</v>
      </c>
      <c r="W1299" s="1">
        <v>4285</v>
      </c>
      <c r="X1299" s="1">
        <v>3023</v>
      </c>
      <c r="Y1299" s="1">
        <v>5088</v>
      </c>
      <c r="Z1299" s="1">
        <v>6282</v>
      </c>
      <c r="AA1299">
        <v>0</v>
      </c>
      <c r="AB1299" t="str">
        <f t="shared" si="20"/>
        <v>Not Defaulter</v>
      </c>
      <c r="AC1299" s="1">
        <f>Table2[[#This Row],[BILL_AMT1]]-Table2[[#This Row],[PAY_AMT1]]</f>
        <v>4150</v>
      </c>
      <c r="AD1299" s="1" t="str" cm="1">
        <f t="array" ref="AD1299">_xlfn.IFS(Table2[[#This Row],[PAYMENT GAP]]&lt;=0,"No Gap / Overpaid",Table2[[#This Row],[PAYMENT GAP]]&lt;=25000,"Low Gap",Table2[[#This Row],[PAYMENT GAP]]&lt;=100000,"Medium Gap",
TRUE,"High Gap"
)</f>
        <v>Low Gap</v>
      </c>
    </row>
    <row r="1300" spans="1:30" x14ac:dyDescent="0.3">
      <c r="A1300">
        <v>1299</v>
      </c>
      <c r="B1300" s="1">
        <v>80000</v>
      </c>
      <c r="C1300" s="1" t="str" cm="1">
        <f t="array" ref="C1300">_xlfn.IFS(Table2[[#This Row],[LIMIT_BAL]]&lt;=100000,"Low",Table2[[#This Row],[LIMIT_BAL]]&lt;=300000,"Medium",
TRUE,"High"
)</f>
        <v>Low</v>
      </c>
      <c r="D1300" t="s">
        <v>2041</v>
      </c>
      <c r="E1300" t="s">
        <v>2026</v>
      </c>
      <c r="F1300" t="s">
        <v>2029</v>
      </c>
      <c r="G1300">
        <v>29</v>
      </c>
      <c r="H1300" t="str" cm="1">
        <f t="array" ref="H1300">_xlfn.IFS(
Table2[[#This Row],[AGE]]&lt;30,"Young",
Table2[[#This Row],[AGE]]&lt;40,"Middle Age",
Table2[[#This Row],[AGE]]&lt;50,"Senior",
TRUE,"Super Senior"
)</f>
        <v>Young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 s="1">
        <v>16936</v>
      </c>
      <c r="P1300" s="1">
        <v>17963</v>
      </c>
      <c r="Q1300" s="1">
        <v>18976</v>
      </c>
      <c r="R1300" s="1">
        <v>19660</v>
      </c>
      <c r="S1300" s="1">
        <v>20343</v>
      </c>
      <c r="T1300" s="1">
        <v>21003</v>
      </c>
      <c r="U1300" s="1">
        <v>1303</v>
      </c>
      <c r="V1300" s="1">
        <v>1316</v>
      </c>
      <c r="W1300" s="1">
        <v>1000</v>
      </c>
      <c r="X1300" s="1">
        <v>1000</v>
      </c>
      <c r="Y1300" s="1">
        <v>1000</v>
      </c>
      <c r="Z1300" s="1">
        <v>933</v>
      </c>
      <c r="AA1300">
        <v>1</v>
      </c>
      <c r="AB1300" t="str">
        <f t="shared" si="20"/>
        <v>Defaulter</v>
      </c>
      <c r="AC1300" s="1">
        <f>Table2[[#This Row],[BILL_AMT1]]-Table2[[#This Row],[PAY_AMT1]]</f>
        <v>15633</v>
      </c>
      <c r="AD1300" s="1" t="str" cm="1">
        <f t="array" ref="AD1300">_xlfn.IFS(Table2[[#This Row],[PAYMENT GAP]]&lt;=0,"No Gap / Overpaid",Table2[[#This Row],[PAYMENT GAP]]&lt;=25000,"Low Gap",Table2[[#This Row],[PAYMENT GAP]]&lt;=100000,"Medium Gap",
TRUE,"High Gap"
)</f>
        <v>Low Gap</v>
      </c>
    </row>
    <row r="1301" spans="1:30" x14ac:dyDescent="0.3">
      <c r="A1301">
        <v>1300</v>
      </c>
      <c r="B1301" s="1">
        <v>70000</v>
      </c>
      <c r="C1301" s="1" t="str" cm="1">
        <f t="array" ref="C1301">_xlfn.IFS(Table2[[#This Row],[LIMIT_BAL]]&lt;=100000,"Low",Table2[[#This Row],[LIMIT_BAL]]&lt;=300000,"Medium",
TRUE,"High"
)</f>
        <v>Low</v>
      </c>
      <c r="D1301" t="s">
        <v>2042</v>
      </c>
      <c r="E1301" t="s">
        <v>2043</v>
      </c>
      <c r="F1301" t="s">
        <v>2028</v>
      </c>
      <c r="G1301">
        <v>37</v>
      </c>
      <c r="H1301" t="str" cm="1">
        <f t="array" ref="H1301">_xlfn.IFS(
Table2[[#This Row],[AGE]]&lt;30,"Young",
Table2[[#This Row],[AGE]]&lt;40,"Middle Age",
Table2[[#This Row],[AGE]]&lt;50,"Senior",
TRUE,"Super Senior"
)</f>
        <v>Middle Age</v>
      </c>
      <c r="I1301">
        <v>-1</v>
      </c>
      <c r="J1301">
        <v>2</v>
      </c>
      <c r="K1301">
        <v>0</v>
      </c>
      <c r="L1301">
        <v>0</v>
      </c>
      <c r="M1301">
        <v>-1</v>
      </c>
      <c r="N1301">
        <v>-1</v>
      </c>
      <c r="O1301" s="1">
        <v>10323</v>
      </c>
      <c r="P1301" s="1">
        <v>6659</v>
      </c>
      <c r="Q1301" s="1">
        <v>6740</v>
      </c>
      <c r="R1301" s="1">
        <v>3559</v>
      </c>
      <c r="S1301" s="1">
        <v>7086</v>
      </c>
      <c r="T1301" s="1">
        <v>6979</v>
      </c>
      <c r="U1301" s="1">
        <v>0</v>
      </c>
      <c r="V1301" s="1">
        <v>3559</v>
      </c>
      <c r="W1301" s="1">
        <v>189</v>
      </c>
      <c r="X1301" s="1">
        <v>7086</v>
      </c>
      <c r="Y1301" s="1">
        <v>3370</v>
      </c>
      <c r="Z1301" s="1">
        <v>0</v>
      </c>
      <c r="AA1301">
        <v>1</v>
      </c>
      <c r="AB1301" t="str">
        <f t="shared" si="20"/>
        <v>Defaulter</v>
      </c>
      <c r="AC1301" s="1">
        <f>Table2[[#This Row],[BILL_AMT1]]-Table2[[#This Row],[PAY_AMT1]]</f>
        <v>10323</v>
      </c>
      <c r="AD1301" s="1" t="str" cm="1">
        <f t="array" ref="AD1301">_xlfn.IFS(Table2[[#This Row],[PAYMENT GAP]]&lt;=0,"No Gap / Overpaid",Table2[[#This Row],[PAYMENT GAP]]&lt;=25000,"Low Gap",Table2[[#This Row],[PAYMENT GAP]]&lt;=100000,"Medium Gap",
TRUE,"High Gap"
)</f>
        <v>Low Gap</v>
      </c>
    </row>
    <row r="1302" spans="1:30" x14ac:dyDescent="0.3">
      <c r="A1302">
        <v>1301</v>
      </c>
      <c r="B1302" s="1">
        <v>60000</v>
      </c>
      <c r="C1302" s="1" t="str" cm="1">
        <f t="array" ref="C1302">_xlfn.IFS(Table2[[#This Row],[LIMIT_BAL]]&lt;=100000,"Low",Table2[[#This Row],[LIMIT_BAL]]&lt;=300000,"Medium",
TRUE,"High"
)</f>
        <v>Low</v>
      </c>
      <c r="D1302" t="s">
        <v>2042</v>
      </c>
      <c r="E1302" t="s">
        <v>2027</v>
      </c>
      <c r="F1302" t="s">
        <v>2029</v>
      </c>
      <c r="G1302">
        <v>36</v>
      </c>
      <c r="H1302" t="str" cm="1">
        <f t="array" ref="H1302">_xlfn.IFS(
Table2[[#This Row],[AGE]]&lt;30,"Young",
Table2[[#This Row],[AGE]]&lt;40,"Middle Age",
Table2[[#This Row],[AGE]]&lt;50,"Senior",
TRUE,"Super Senior"
)</f>
        <v>Middle Age</v>
      </c>
      <c r="I1302">
        <v>3</v>
      </c>
      <c r="J1302">
        <v>2</v>
      </c>
      <c r="K1302">
        <v>0</v>
      </c>
      <c r="L1302">
        <v>0</v>
      </c>
      <c r="M1302">
        <v>0</v>
      </c>
      <c r="N1302">
        <v>0</v>
      </c>
      <c r="O1302" s="1">
        <v>56807</v>
      </c>
      <c r="P1302" s="1">
        <v>55339</v>
      </c>
      <c r="Q1302" s="1">
        <v>55751</v>
      </c>
      <c r="R1302" s="1">
        <v>37851</v>
      </c>
      <c r="S1302" s="1">
        <v>34195</v>
      </c>
      <c r="T1302" s="1">
        <v>33499</v>
      </c>
      <c r="U1302" s="1">
        <v>0</v>
      </c>
      <c r="V1302" s="1">
        <v>2141</v>
      </c>
      <c r="W1302" s="1">
        <v>2000</v>
      </c>
      <c r="X1302" s="1">
        <v>2000</v>
      </c>
      <c r="Y1302" s="1">
        <v>2000</v>
      </c>
      <c r="Z1302" s="1">
        <v>2000</v>
      </c>
      <c r="AA1302">
        <v>0</v>
      </c>
      <c r="AB1302" t="str">
        <f t="shared" si="20"/>
        <v>Not Defaulter</v>
      </c>
      <c r="AC1302" s="1">
        <f>Table2[[#This Row],[BILL_AMT1]]-Table2[[#This Row],[PAY_AMT1]]</f>
        <v>56807</v>
      </c>
      <c r="AD1302" s="1" t="str" cm="1">
        <f t="array" ref="AD1302">_xlfn.IFS(Table2[[#This Row],[PAYMENT GAP]]&lt;=0,"No Gap / Overpaid",Table2[[#This Row],[PAYMENT GAP]]&lt;=25000,"Low Gap",Table2[[#This Row],[PAYMENT GAP]]&lt;=100000,"Medium Gap",
TRUE,"High Gap"
)</f>
        <v>Medium Gap</v>
      </c>
    </row>
    <row r="1303" spans="1:30" x14ac:dyDescent="0.3">
      <c r="A1303">
        <v>1302</v>
      </c>
      <c r="B1303" s="1">
        <v>10000</v>
      </c>
      <c r="C1303" s="1" t="str" cm="1">
        <f t="array" ref="C1303">_xlfn.IFS(Table2[[#This Row],[LIMIT_BAL]]&lt;=100000,"Low",Table2[[#This Row],[LIMIT_BAL]]&lt;=300000,"Medium",
TRUE,"High"
)</f>
        <v>Low</v>
      </c>
      <c r="D1303" t="s">
        <v>2041</v>
      </c>
      <c r="E1303" t="s">
        <v>2027</v>
      </c>
      <c r="F1303" t="s">
        <v>2029</v>
      </c>
      <c r="G1303">
        <v>22</v>
      </c>
      <c r="H1303" t="str" cm="1">
        <f t="array" ref="H1303">_xlfn.IFS(
Table2[[#This Row],[AGE]]&lt;30,"Young",
Table2[[#This Row],[AGE]]&lt;40,"Middle Age",
Table2[[#This Row],[AGE]]&lt;50,"Senior",
TRUE,"Super Senior"
)</f>
        <v>Young</v>
      </c>
      <c r="I1303">
        <v>0</v>
      </c>
      <c r="J1303">
        <v>0</v>
      </c>
      <c r="K1303">
        <v>2</v>
      </c>
      <c r="L1303">
        <v>0</v>
      </c>
      <c r="M1303">
        <v>0</v>
      </c>
      <c r="N1303">
        <v>0</v>
      </c>
      <c r="O1303" s="1">
        <v>10012</v>
      </c>
      <c r="P1303" s="1">
        <v>9784</v>
      </c>
      <c r="Q1303" s="1">
        <v>9473</v>
      </c>
      <c r="R1303" s="1">
        <v>8947</v>
      </c>
      <c r="S1303" s="1">
        <v>9135</v>
      </c>
      <c r="T1303" s="1">
        <v>8613</v>
      </c>
      <c r="U1303" s="1">
        <v>2452</v>
      </c>
      <c r="V1303" s="1">
        <v>7</v>
      </c>
      <c r="W1303" s="1">
        <v>308</v>
      </c>
      <c r="X1303" s="1">
        <v>320</v>
      </c>
      <c r="Y1303" s="1">
        <v>328</v>
      </c>
      <c r="Z1303" s="1">
        <v>1000</v>
      </c>
      <c r="AA1303">
        <v>1</v>
      </c>
      <c r="AB1303" t="str">
        <f t="shared" si="20"/>
        <v>Defaulter</v>
      </c>
      <c r="AC1303" s="1">
        <f>Table2[[#This Row],[BILL_AMT1]]-Table2[[#This Row],[PAY_AMT1]]</f>
        <v>7560</v>
      </c>
      <c r="AD1303" s="1" t="str" cm="1">
        <f t="array" ref="AD1303">_xlfn.IFS(Table2[[#This Row],[PAYMENT GAP]]&lt;=0,"No Gap / Overpaid",Table2[[#This Row],[PAYMENT GAP]]&lt;=25000,"Low Gap",Table2[[#This Row],[PAYMENT GAP]]&lt;=100000,"Medium Gap",
TRUE,"High Gap"
)</f>
        <v>Low Gap</v>
      </c>
    </row>
    <row r="1304" spans="1:30" x14ac:dyDescent="0.3">
      <c r="A1304">
        <v>1303</v>
      </c>
      <c r="B1304" s="1">
        <v>50000</v>
      </c>
      <c r="C1304" s="1" t="str" cm="1">
        <f t="array" ref="C1304">_xlfn.IFS(Table2[[#This Row],[LIMIT_BAL]]&lt;=100000,"Low",Table2[[#This Row],[LIMIT_BAL]]&lt;=300000,"Medium",
TRUE,"High"
)</f>
        <v>Low</v>
      </c>
      <c r="D1304" t="s">
        <v>2041</v>
      </c>
      <c r="E1304" t="s">
        <v>2027</v>
      </c>
      <c r="F1304" t="s">
        <v>2029</v>
      </c>
      <c r="G1304">
        <v>30</v>
      </c>
      <c r="H1304" t="str" cm="1">
        <f t="array" ref="H1304">_xlfn.IFS(
Table2[[#This Row],[AGE]]&lt;30,"Young",
Table2[[#This Row],[AGE]]&lt;40,"Middle Age",
Table2[[#This Row],[AGE]]&lt;50,"Senior",
TRUE,"Super Senior"
)</f>
        <v>Middle Age</v>
      </c>
      <c r="I1304">
        <v>0</v>
      </c>
      <c r="J1304">
        <v>0</v>
      </c>
      <c r="K1304">
        <v>2</v>
      </c>
      <c r="L1304">
        <v>0</v>
      </c>
      <c r="M1304">
        <v>0</v>
      </c>
      <c r="N1304">
        <v>0</v>
      </c>
      <c r="O1304" s="1">
        <v>50332</v>
      </c>
      <c r="P1304" s="1">
        <v>51247</v>
      </c>
      <c r="Q1304" s="1">
        <v>50073</v>
      </c>
      <c r="R1304" s="1">
        <v>26550</v>
      </c>
      <c r="S1304" s="1">
        <v>25842</v>
      </c>
      <c r="T1304" s="1">
        <v>25996</v>
      </c>
      <c r="U1304" s="1">
        <v>4210</v>
      </c>
      <c r="V1304" s="1">
        <v>0</v>
      </c>
      <c r="W1304" s="1">
        <v>1500</v>
      </c>
      <c r="X1304" s="1">
        <v>1090</v>
      </c>
      <c r="Y1304" s="1">
        <v>2000</v>
      </c>
      <c r="Z1304" s="1">
        <v>2000</v>
      </c>
      <c r="AA1304">
        <v>0</v>
      </c>
      <c r="AB1304" t="str">
        <f t="shared" si="20"/>
        <v>Not Defaulter</v>
      </c>
      <c r="AC1304" s="1">
        <f>Table2[[#This Row],[BILL_AMT1]]-Table2[[#This Row],[PAY_AMT1]]</f>
        <v>46122</v>
      </c>
      <c r="AD1304" s="1" t="str" cm="1">
        <f t="array" ref="AD1304">_xlfn.IFS(Table2[[#This Row],[PAYMENT GAP]]&lt;=0,"No Gap / Overpaid",Table2[[#This Row],[PAYMENT GAP]]&lt;=25000,"Low Gap",Table2[[#This Row],[PAYMENT GAP]]&lt;=100000,"Medium Gap",
TRUE,"High Gap"
)</f>
        <v>Medium Gap</v>
      </c>
    </row>
    <row r="1305" spans="1:30" x14ac:dyDescent="0.3">
      <c r="A1305">
        <v>1304</v>
      </c>
      <c r="B1305" s="1">
        <v>140000</v>
      </c>
      <c r="C1305" s="1" t="str" cm="1">
        <f t="array" ref="C1305">_xlfn.IFS(Table2[[#This Row],[LIMIT_BAL]]&lt;=100000,"Low",Table2[[#This Row],[LIMIT_BAL]]&lt;=300000,"Medium",
TRUE,"High"
)</f>
        <v>Medium</v>
      </c>
      <c r="D1305" t="s">
        <v>2042</v>
      </c>
      <c r="E1305" t="s">
        <v>2043</v>
      </c>
      <c r="F1305" t="s">
        <v>2029</v>
      </c>
      <c r="G1305">
        <v>26</v>
      </c>
      <c r="H1305" t="str" cm="1">
        <f t="array" ref="H1305">_xlfn.IFS(
Table2[[#This Row],[AGE]]&lt;30,"Young",
Table2[[#This Row],[AGE]]&lt;40,"Middle Age",
Table2[[#This Row],[AGE]]&lt;50,"Senior",
TRUE,"Super Senior"
)</f>
        <v>Young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 s="1">
        <v>133572</v>
      </c>
      <c r="P1305" s="1">
        <v>135367</v>
      </c>
      <c r="Q1305" s="1">
        <v>113272</v>
      </c>
      <c r="R1305" s="1">
        <v>115685</v>
      </c>
      <c r="S1305" s="1">
        <v>118171</v>
      </c>
      <c r="T1305" s="1">
        <v>120550</v>
      </c>
      <c r="U1305" s="1">
        <v>6169</v>
      </c>
      <c r="V1305" s="1">
        <v>4500</v>
      </c>
      <c r="W1305" s="1">
        <v>4287</v>
      </c>
      <c r="X1305" s="1">
        <v>4500</v>
      </c>
      <c r="Y1305" s="1">
        <v>4500</v>
      </c>
      <c r="Z1305" s="1">
        <v>9500</v>
      </c>
      <c r="AA1305">
        <v>1</v>
      </c>
      <c r="AB1305" t="str">
        <f t="shared" si="20"/>
        <v>Defaulter</v>
      </c>
      <c r="AC1305" s="1">
        <f>Table2[[#This Row],[BILL_AMT1]]-Table2[[#This Row],[PAY_AMT1]]</f>
        <v>127403</v>
      </c>
      <c r="AD1305" s="1" t="str" cm="1">
        <f t="array" ref="AD1305">_xlfn.IFS(Table2[[#This Row],[PAYMENT GAP]]&lt;=0,"No Gap / Overpaid",Table2[[#This Row],[PAYMENT GAP]]&lt;=25000,"Low Gap",Table2[[#This Row],[PAYMENT GAP]]&lt;=100000,"Medium Gap",
TRUE,"High Gap"
)</f>
        <v>High Gap</v>
      </c>
    </row>
    <row r="1306" spans="1:30" x14ac:dyDescent="0.3">
      <c r="A1306">
        <v>1305</v>
      </c>
      <c r="B1306" s="1">
        <v>30000</v>
      </c>
      <c r="C1306" s="1" t="str" cm="1">
        <f t="array" ref="C1306">_xlfn.IFS(Table2[[#This Row],[LIMIT_BAL]]&lt;=100000,"Low",Table2[[#This Row],[LIMIT_BAL]]&lt;=300000,"Medium",
TRUE,"High"
)</f>
        <v>Low</v>
      </c>
      <c r="D1306" t="s">
        <v>2042</v>
      </c>
      <c r="E1306" t="s">
        <v>2043</v>
      </c>
      <c r="F1306" t="s">
        <v>2029</v>
      </c>
      <c r="G1306">
        <v>25</v>
      </c>
      <c r="H1306" t="str" cm="1">
        <f t="array" ref="H1306">_xlfn.IFS(
Table2[[#This Row],[AGE]]&lt;30,"Young",
Table2[[#This Row],[AGE]]&lt;40,"Middle Age",
Table2[[#This Row],[AGE]]&lt;50,"Senior",
TRUE,"Super Senior"
)</f>
        <v>Young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 s="1">
        <v>7160</v>
      </c>
      <c r="P1306" s="1">
        <v>8185</v>
      </c>
      <c r="Q1306" s="1">
        <v>9286</v>
      </c>
      <c r="R1306" s="1">
        <v>9483</v>
      </c>
      <c r="S1306" s="1">
        <v>9780</v>
      </c>
      <c r="T1306" s="1">
        <v>10068</v>
      </c>
      <c r="U1306" s="1">
        <v>1300</v>
      </c>
      <c r="V1306" s="1">
        <v>1400</v>
      </c>
      <c r="W1306" s="1">
        <v>500</v>
      </c>
      <c r="X1306" s="1">
        <v>600</v>
      </c>
      <c r="Y1306" s="1">
        <v>600</v>
      </c>
      <c r="Z1306" s="1">
        <v>600</v>
      </c>
      <c r="AA1306">
        <v>0</v>
      </c>
      <c r="AB1306" t="str">
        <f t="shared" si="20"/>
        <v>Not Defaulter</v>
      </c>
      <c r="AC1306" s="1">
        <f>Table2[[#This Row],[BILL_AMT1]]-Table2[[#This Row],[PAY_AMT1]]</f>
        <v>5860</v>
      </c>
      <c r="AD1306" s="1" t="str" cm="1">
        <f t="array" ref="AD1306">_xlfn.IFS(Table2[[#This Row],[PAYMENT GAP]]&lt;=0,"No Gap / Overpaid",Table2[[#This Row],[PAYMENT GAP]]&lt;=25000,"Low Gap",Table2[[#This Row],[PAYMENT GAP]]&lt;=100000,"Medium Gap",
TRUE,"High Gap"
)</f>
        <v>Low Gap</v>
      </c>
    </row>
    <row r="1307" spans="1:30" x14ac:dyDescent="0.3">
      <c r="A1307">
        <v>1306</v>
      </c>
      <c r="B1307" s="1">
        <v>190000</v>
      </c>
      <c r="C1307" s="1" t="str" cm="1">
        <f t="array" ref="C1307">_xlfn.IFS(Table2[[#This Row],[LIMIT_BAL]]&lt;=100000,"Low",Table2[[#This Row],[LIMIT_BAL]]&lt;=300000,"Medium",
TRUE,"High"
)</f>
        <v>Medium</v>
      </c>
      <c r="D1307" t="s">
        <v>2042</v>
      </c>
      <c r="E1307" t="s">
        <v>2043</v>
      </c>
      <c r="F1307" t="s">
        <v>2028</v>
      </c>
      <c r="G1307">
        <v>49</v>
      </c>
      <c r="H1307" t="str" cm="1">
        <f t="array" ref="H1307">_xlfn.IFS(
Table2[[#This Row],[AGE]]&lt;30,"Young",
Table2[[#This Row],[AGE]]&lt;40,"Middle Age",
Table2[[#This Row],[AGE]]&lt;50,"Senior",
TRUE,"Super Senior"
)</f>
        <v>Senior</v>
      </c>
      <c r="I1307">
        <v>-1</v>
      </c>
      <c r="J1307">
        <v>-1</v>
      </c>
      <c r="K1307">
        <v>-1</v>
      </c>
      <c r="L1307">
        <v>-1</v>
      </c>
      <c r="M1307">
        <v>-1</v>
      </c>
      <c r="N1307">
        <v>0</v>
      </c>
      <c r="O1307" s="1">
        <v>435</v>
      </c>
      <c r="P1307" s="1">
        <v>435</v>
      </c>
      <c r="Q1307" s="1">
        <v>635</v>
      </c>
      <c r="R1307" s="1">
        <v>2084</v>
      </c>
      <c r="S1307" s="1">
        <v>161110</v>
      </c>
      <c r="T1307" s="1">
        <v>149941</v>
      </c>
      <c r="U1307" s="1">
        <v>435</v>
      </c>
      <c r="V1307" s="1">
        <v>635</v>
      </c>
      <c r="W1307" s="1">
        <v>2084</v>
      </c>
      <c r="X1307" s="1">
        <v>161110</v>
      </c>
      <c r="Y1307" s="1">
        <v>5800</v>
      </c>
      <c r="Z1307" s="1">
        <v>4138</v>
      </c>
      <c r="AA1307">
        <v>0</v>
      </c>
      <c r="AB1307" t="str">
        <f t="shared" si="20"/>
        <v>Not Defaulter</v>
      </c>
      <c r="AC1307" s="1">
        <f>Table2[[#This Row],[BILL_AMT1]]-Table2[[#This Row],[PAY_AMT1]]</f>
        <v>0</v>
      </c>
      <c r="AD1307" s="1" t="str" cm="1">
        <f t="array" ref="AD1307">_xlfn.IFS(Table2[[#This Row],[PAYMENT GAP]]&lt;=0,"No Gap / Overpaid",Table2[[#This Row],[PAYMENT GAP]]&lt;=25000,"Low Gap",Table2[[#This Row],[PAYMENT GAP]]&lt;=100000,"Medium Gap",
TRUE,"High Gap"
)</f>
        <v>No Gap / Overpaid</v>
      </c>
    </row>
    <row r="1308" spans="1:30" x14ac:dyDescent="0.3">
      <c r="A1308">
        <v>1307</v>
      </c>
      <c r="B1308" s="1">
        <v>70000</v>
      </c>
      <c r="C1308" s="1" t="str" cm="1">
        <f t="array" ref="C1308">_xlfn.IFS(Table2[[#This Row],[LIMIT_BAL]]&lt;=100000,"Low",Table2[[#This Row],[LIMIT_BAL]]&lt;=300000,"Medium",
TRUE,"High"
)</f>
        <v>Low</v>
      </c>
      <c r="D1308" t="s">
        <v>2041</v>
      </c>
      <c r="E1308" t="s">
        <v>2026</v>
      </c>
      <c r="F1308" t="s">
        <v>2029</v>
      </c>
      <c r="G1308">
        <v>23</v>
      </c>
      <c r="H1308" t="str" cm="1">
        <f t="array" ref="H1308">_xlfn.IFS(
Table2[[#This Row],[AGE]]&lt;30,"Young",
Table2[[#This Row],[AGE]]&lt;40,"Middle Age",
Table2[[#This Row],[AGE]]&lt;50,"Senior",
TRUE,"Super Senior"
)</f>
        <v>Young</v>
      </c>
      <c r="I1308">
        <v>-1</v>
      </c>
      <c r="J1308">
        <v>-1</v>
      </c>
      <c r="K1308">
        <v>-1</v>
      </c>
      <c r="L1308">
        <v>-1</v>
      </c>
      <c r="M1308">
        <v>-1</v>
      </c>
      <c r="N1308">
        <v>-1</v>
      </c>
      <c r="O1308" s="1">
        <v>853</v>
      </c>
      <c r="P1308" s="1">
        <v>3128</v>
      </c>
      <c r="Q1308" s="1">
        <v>4719</v>
      </c>
      <c r="R1308" s="1">
        <v>100</v>
      </c>
      <c r="S1308" s="1">
        <v>1610</v>
      </c>
      <c r="T1308" s="1">
        <v>690</v>
      </c>
      <c r="U1308" s="1">
        <v>3128</v>
      </c>
      <c r="V1308" s="1">
        <v>4722</v>
      </c>
      <c r="W1308" s="1">
        <v>0</v>
      </c>
      <c r="X1308" s="1">
        <v>1610</v>
      </c>
      <c r="Y1308" s="1">
        <v>0</v>
      </c>
      <c r="Z1308" s="1">
        <v>10909</v>
      </c>
      <c r="AA1308">
        <v>0</v>
      </c>
      <c r="AB1308" t="str">
        <f t="shared" si="20"/>
        <v>Not Defaulter</v>
      </c>
      <c r="AC1308" s="1">
        <f>Table2[[#This Row],[BILL_AMT1]]-Table2[[#This Row],[PAY_AMT1]]</f>
        <v>-2275</v>
      </c>
      <c r="AD1308" s="1" t="str" cm="1">
        <f t="array" ref="AD1308">_xlfn.IFS(Table2[[#This Row],[PAYMENT GAP]]&lt;=0,"No Gap / Overpaid",Table2[[#This Row],[PAYMENT GAP]]&lt;=25000,"Low Gap",Table2[[#This Row],[PAYMENT GAP]]&lt;=100000,"Medium Gap",
TRUE,"High Gap"
)</f>
        <v>No Gap / Overpaid</v>
      </c>
    </row>
    <row r="1309" spans="1:30" x14ac:dyDescent="0.3">
      <c r="A1309">
        <v>1308</v>
      </c>
      <c r="B1309" s="1">
        <v>330000</v>
      </c>
      <c r="C1309" s="1" t="str" cm="1">
        <f t="array" ref="C1309">_xlfn.IFS(Table2[[#This Row],[LIMIT_BAL]]&lt;=100000,"Low",Table2[[#This Row],[LIMIT_BAL]]&lt;=300000,"Medium",
TRUE,"High"
)</f>
        <v>High</v>
      </c>
      <c r="D1309" t="s">
        <v>2041</v>
      </c>
      <c r="E1309" t="s">
        <v>2043</v>
      </c>
      <c r="F1309" t="s">
        <v>2028</v>
      </c>
      <c r="G1309">
        <v>28</v>
      </c>
      <c r="H1309" t="str" cm="1">
        <f t="array" ref="H1309">_xlfn.IFS(
Table2[[#This Row],[AGE]]&lt;30,"Young",
Table2[[#This Row],[AGE]]&lt;40,"Middle Age",
Table2[[#This Row],[AGE]]&lt;50,"Senior",
TRUE,"Super Senior"
)</f>
        <v>Young</v>
      </c>
      <c r="I1309">
        <v>-1</v>
      </c>
      <c r="J1309">
        <v>-1</v>
      </c>
      <c r="K1309">
        <v>-1</v>
      </c>
      <c r="L1309">
        <v>-1</v>
      </c>
      <c r="M1309">
        <v>-1</v>
      </c>
      <c r="N1309">
        <v>-1</v>
      </c>
      <c r="O1309" s="1">
        <v>390</v>
      </c>
      <c r="P1309" s="1">
        <v>0</v>
      </c>
      <c r="Q1309" s="1">
        <v>780</v>
      </c>
      <c r="R1309" s="1">
        <v>150</v>
      </c>
      <c r="S1309" s="1">
        <v>320</v>
      </c>
      <c r="T1309" s="1">
        <v>780</v>
      </c>
      <c r="U1309" s="1">
        <v>0</v>
      </c>
      <c r="V1309" s="1">
        <v>780</v>
      </c>
      <c r="W1309" s="1">
        <v>150</v>
      </c>
      <c r="X1309" s="1">
        <v>320</v>
      </c>
      <c r="Y1309" s="1">
        <v>1000</v>
      </c>
      <c r="Z1309" s="1">
        <v>0</v>
      </c>
      <c r="AA1309">
        <v>0</v>
      </c>
      <c r="AB1309" t="str">
        <f t="shared" si="20"/>
        <v>Not Defaulter</v>
      </c>
      <c r="AC1309" s="1">
        <f>Table2[[#This Row],[BILL_AMT1]]-Table2[[#This Row],[PAY_AMT1]]</f>
        <v>390</v>
      </c>
      <c r="AD1309" s="1" t="str" cm="1">
        <f t="array" ref="AD1309">_xlfn.IFS(Table2[[#This Row],[PAYMENT GAP]]&lt;=0,"No Gap / Overpaid",Table2[[#This Row],[PAYMENT GAP]]&lt;=25000,"Low Gap",Table2[[#This Row],[PAYMENT GAP]]&lt;=100000,"Medium Gap",
TRUE,"High Gap"
)</f>
        <v>Low Gap</v>
      </c>
    </row>
    <row r="1310" spans="1:30" x14ac:dyDescent="0.3">
      <c r="A1310">
        <v>1309</v>
      </c>
      <c r="B1310" s="1">
        <v>110000</v>
      </c>
      <c r="C1310" s="1" t="str" cm="1">
        <f t="array" ref="C1310">_xlfn.IFS(Table2[[#This Row],[LIMIT_BAL]]&lt;=100000,"Low",Table2[[#This Row],[LIMIT_BAL]]&lt;=300000,"Medium",
TRUE,"High"
)</f>
        <v>Medium</v>
      </c>
      <c r="D1310" t="s">
        <v>2041</v>
      </c>
      <c r="E1310" t="s">
        <v>2043</v>
      </c>
      <c r="F1310" t="s">
        <v>2029</v>
      </c>
      <c r="G1310">
        <v>24</v>
      </c>
      <c r="H1310" t="str" cm="1">
        <f t="array" ref="H1310">_xlfn.IFS(
Table2[[#This Row],[AGE]]&lt;30,"Young",
Table2[[#This Row],[AGE]]&lt;40,"Middle Age",
Table2[[#This Row],[AGE]]&lt;50,"Senior",
TRUE,"Super Senior"
)</f>
        <v>Young</v>
      </c>
      <c r="I1310">
        <v>0</v>
      </c>
      <c r="J1310">
        <v>0</v>
      </c>
      <c r="K1310">
        <v>0</v>
      </c>
      <c r="L1310">
        <v>2</v>
      </c>
      <c r="M1310">
        <v>0</v>
      </c>
      <c r="N1310">
        <v>0</v>
      </c>
      <c r="O1310" s="1">
        <v>6470</v>
      </c>
      <c r="P1310" s="1">
        <v>8610</v>
      </c>
      <c r="Q1310" s="1">
        <v>15123</v>
      </c>
      <c r="R1310" s="1">
        <v>9761</v>
      </c>
      <c r="S1310" s="1">
        <v>9717</v>
      </c>
      <c r="T1310" s="1">
        <v>8046</v>
      </c>
      <c r="U1310" s="1">
        <v>2654</v>
      </c>
      <c r="V1310" s="1">
        <v>7230</v>
      </c>
      <c r="W1310" s="1">
        <v>0</v>
      </c>
      <c r="X1310" s="1">
        <v>463</v>
      </c>
      <c r="Y1310" s="1">
        <v>393</v>
      </c>
      <c r="Z1310" s="1">
        <v>151</v>
      </c>
      <c r="AA1310">
        <v>0</v>
      </c>
      <c r="AB1310" t="str">
        <f t="shared" si="20"/>
        <v>Not Defaulter</v>
      </c>
      <c r="AC1310" s="1">
        <f>Table2[[#This Row],[BILL_AMT1]]-Table2[[#This Row],[PAY_AMT1]]</f>
        <v>3816</v>
      </c>
      <c r="AD1310" s="1" t="str" cm="1">
        <f t="array" ref="AD1310">_xlfn.IFS(Table2[[#This Row],[PAYMENT GAP]]&lt;=0,"No Gap / Overpaid",Table2[[#This Row],[PAYMENT GAP]]&lt;=25000,"Low Gap",Table2[[#This Row],[PAYMENT GAP]]&lt;=100000,"Medium Gap",
TRUE,"High Gap"
)</f>
        <v>Low Gap</v>
      </c>
    </row>
    <row r="1311" spans="1:30" x14ac:dyDescent="0.3">
      <c r="A1311">
        <v>1310</v>
      </c>
      <c r="B1311" s="1">
        <v>270000</v>
      </c>
      <c r="C1311" s="1" t="str" cm="1">
        <f t="array" ref="C1311">_xlfn.IFS(Table2[[#This Row],[LIMIT_BAL]]&lt;=100000,"Low",Table2[[#This Row],[LIMIT_BAL]]&lt;=300000,"Medium",
TRUE,"High"
)</f>
        <v>Medium</v>
      </c>
      <c r="D1311" t="s">
        <v>2042</v>
      </c>
      <c r="E1311" t="s">
        <v>2027</v>
      </c>
      <c r="F1311" t="s">
        <v>2028</v>
      </c>
      <c r="G1311">
        <v>47</v>
      </c>
      <c r="H1311" t="str" cm="1">
        <f t="array" ref="H1311">_xlfn.IFS(
Table2[[#This Row],[AGE]]&lt;30,"Young",
Table2[[#This Row],[AGE]]&lt;40,"Middle Age",
Table2[[#This Row],[AGE]]&lt;50,"Senior",
TRUE,"Super Senior"
)</f>
        <v>Senior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 s="1">
        <v>165303</v>
      </c>
      <c r="P1311" s="1">
        <v>168837</v>
      </c>
      <c r="Q1311" s="1">
        <v>172281</v>
      </c>
      <c r="R1311" s="1">
        <v>175705</v>
      </c>
      <c r="S1311" s="1">
        <v>179582</v>
      </c>
      <c r="T1311" s="1">
        <v>184650</v>
      </c>
      <c r="U1311" s="1">
        <v>6200</v>
      </c>
      <c r="V1311" s="1">
        <v>6254</v>
      </c>
      <c r="W1311" s="1">
        <v>6290</v>
      </c>
      <c r="X1311" s="1">
        <v>6710</v>
      </c>
      <c r="Y1311" s="1">
        <v>8250</v>
      </c>
      <c r="Z1311" s="1">
        <v>0</v>
      </c>
      <c r="AA1311">
        <v>0</v>
      </c>
      <c r="AB1311" t="str">
        <f t="shared" si="20"/>
        <v>Not Defaulter</v>
      </c>
      <c r="AC1311" s="1">
        <f>Table2[[#This Row],[BILL_AMT1]]-Table2[[#This Row],[PAY_AMT1]]</f>
        <v>159103</v>
      </c>
      <c r="AD1311" s="1" t="str" cm="1">
        <f t="array" ref="AD1311">_xlfn.IFS(Table2[[#This Row],[PAYMENT GAP]]&lt;=0,"No Gap / Overpaid",Table2[[#This Row],[PAYMENT GAP]]&lt;=25000,"Low Gap",Table2[[#This Row],[PAYMENT GAP]]&lt;=100000,"Medium Gap",
TRUE,"High Gap"
)</f>
        <v>High Gap</v>
      </c>
    </row>
    <row r="1312" spans="1:30" x14ac:dyDescent="0.3">
      <c r="A1312">
        <v>1311</v>
      </c>
      <c r="B1312" s="1">
        <v>160000</v>
      </c>
      <c r="C1312" s="1" t="str" cm="1">
        <f t="array" ref="C1312">_xlfn.IFS(Table2[[#This Row],[LIMIT_BAL]]&lt;=100000,"Low",Table2[[#This Row],[LIMIT_BAL]]&lt;=300000,"Medium",
TRUE,"High"
)</f>
        <v>Medium</v>
      </c>
      <c r="D1312" t="s">
        <v>2042</v>
      </c>
      <c r="E1312" t="s">
        <v>2043</v>
      </c>
      <c r="F1312" t="s">
        <v>2028</v>
      </c>
      <c r="G1312">
        <v>31</v>
      </c>
      <c r="H1312" t="str" cm="1">
        <f t="array" ref="H1312">_xlfn.IFS(
Table2[[#This Row],[AGE]]&lt;30,"Young",
Table2[[#This Row],[AGE]]&lt;40,"Middle Age",
Table2[[#This Row],[AGE]]&lt;50,"Senior",
TRUE,"Super Senior"
)</f>
        <v>Middle Age</v>
      </c>
      <c r="I1312">
        <v>3</v>
      </c>
      <c r="J1312">
        <v>2</v>
      </c>
      <c r="K1312">
        <v>0</v>
      </c>
      <c r="L1312">
        <v>0</v>
      </c>
      <c r="M1312">
        <v>0</v>
      </c>
      <c r="N1312">
        <v>0</v>
      </c>
      <c r="O1312" s="1">
        <v>26295</v>
      </c>
      <c r="P1312" s="1">
        <v>27074</v>
      </c>
      <c r="Q1312" s="1">
        <v>28314</v>
      </c>
      <c r="R1312" s="1">
        <v>29341</v>
      </c>
      <c r="S1312" s="1">
        <v>31690</v>
      </c>
      <c r="T1312" s="1">
        <v>33993</v>
      </c>
      <c r="U1312" s="1">
        <v>1500</v>
      </c>
      <c r="V1312" s="1">
        <v>2000</v>
      </c>
      <c r="W1312" s="1">
        <v>1500</v>
      </c>
      <c r="X1312" s="1">
        <v>3000</v>
      </c>
      <c r="Y1312" s="1">
        <v>3000</v>
      </c>
      <c r="Z1312" s="1">
        <v>1500</v>
      </c>
      <c r="AA1312">
        <v>1</v>
      </c>
      <c r="AB1312" t="str">
        <f t="shared" si="20"/>
        <v>Defaulter</v>
      </c>
      <c r="AC1312" s="1">
        <f>Table2[[#This Row],[BILL_AMT1]]-Table2[[#This Row],[PAY_AMT1]]</f>
        <v>24795</v>
      </c>
      <c r="AD1312" s="1" t="str" cm="1">
        <f t="array" ref="AD1312">_xlfn.IFS(Table2[[#This Row],[PAYMENT GAP]]&lt;=0,"No Gap / Overpaid",Table2[[#This Row],[PAYMENT GAP]]&lt;=25000,"Low Gap",Table2[[#This Row],[PAYMENT GAP]]&lt;=100000,"Medium Gap",
TRUE,"High Gap"
)</f>
        <v>Low Gap</v>
      </c>
    </row>
    <row r="1313" spans="1:30" x14ac:dyDescent="0.3">
      <c r="A1313">
        <v>1312</v>
      </c>
      <c r="B1313" s="1">
        <v>20000</v>
      </c>
      <c r="C1313" s="1" t="str" cm="1">
        <f t="array" ref="C1313">_xlfn.IFS(Table2[[#This Row],[LIMIT_BAL]]&lt;=100000,"Low",Table2[[#This Row],[LIMIT_BAL]]&lt;=300000,"Medium",
TRUE,"High"
)</f>
        <v>Low</v>
      </c>
      <c r="D1313" t="s">
        <v>2042</v>
      </c>
      <c r="E1313" t="s">
        <v>2043</v>
      </c>
      <c r="F1313" t="s">
        <v>2029</v>
      </c>
      <c r="G1313">
        <v>24</v>
      </c>
      <c r="H1313" t="str" cm="1">
        <f t="array" ref="H1313">_xlfn.IFS(
Table2[[#This Row],[AGE]]&lt;30,"Young",
Table2[[#This Row],[AGE]]&lt;40,"Middle Age",
Table2[[#This Row],[AGE]]&lt;50,"Senior",
TRUE,"Super Senior"
)</f>
        <v>Young</v>
      </c>
      <c r="I1313">
        <v>3</v>
      </c>
      <c r="J1313">
        <v>2</v>
      </c>
      <c r="K1313">
        <v>0</v>
      </c>
      <c r="L1313">
        <v>0</v>
      </c>
      <c r="M1313">
        <v>-1</v>
      </c>
      <c r="N1313">
        <v>-1</v>
      </c>
      <c r="O1313" s="1">
        <v>18937</v>
      </c>
      <c r="P1313" s="1">
        <v>18350</v>
      </c>
      <c r="Q1313" s="1">
        <v>18918</v>
      </c>
      <c r="R1313" s="1">
        <v>19323</v>
      </c>
      <c r="S1313" s="1">
        <v>13180</v>
      </c>
      <c r="T1313" s="1">
        <v>5200</v>
      </c>
      <c r="U1313" s="1">
        <v>0</v>
      </c>
      <c r="V1313" s="1">
        <v>1251</v>
      </c>
      <c r="W1313" s="1">
        <v>656</v>
      </c>
      <c r="X1313" s="1">
        <v>13180</v>
      </c>
      <c r="Y1313" s="1">
        <v>5200</v>
      </c>
      <c r="Z1313" s="1">
        <v>0</v>
      </c>
      <c r="AA1313">
        <v>0</v>
      </c>
      <c r="AB1313" t="str">
        <f t="shared" si="20"/>
        <v>Not Defaulter</v>
      </c>
      <c r="AC1313" s="1">
        <f>Table2[[#This Row],[BILL_AMT1]]-Table2[[#This Row],[PAY_AMT1]]</f>
        <v>18937</v>
      </c>
      <c r="AD1313" s="1" t="str" cm="1">
        <f t="array" ref="AD1313">_xlfn.IFS(Table2[[#This Row],[PAYMENT GAP]]&lt;=0,"No Gap / Overpaid",Table2[[#This Row],[PAYMENT GAP]]&lt;=25000,"Low Gap",Table2[[#This Row],[PAYMENT GAP]]&lt;=100000,"Medium Gap",
TRUE,"High Gap"
)</f>
        <v>Low Gap</v>
      </c>
    </row>
    <row r="1314" spans="1:30" x14ac:dyDescent="0.3">
      <c r="A1314">
        <v>1313</v>
      </c>
      <c r="B1314" s="1">
        <v>320000</v>
      </c>
      <c r="C1314" s="1" t="str" cm="1">
        <f t="array" ref="C1314">_xlfn.IFS(Table2[[#This Row],[LIMIT_BAL]]&lt;=100000,"Low",Table2[[#This Row],[LIMIT_BAL]]&lt;=300000,"Medium",
TRUE,"High"
)</f>
        <v>High</v>
      </c>
      <c r="D1314" t="s">
        <v>2042</v>
      </c>
      <c r="E1314" t="s">
        <v>2043</v>
      </c>
      <c r="F1314" t="s">
        <v>2029</v>
      </c>
      <c r="G1314">
        <v>32</v>
      </c>
      <c r="H1314" t="str" cm="1">
        <f t="array" ref="H1314">_xlfn.IFS(
Table2[[#This Row],[AGE]]&lt;30,"Young",
Table2[[#This Row],[AGE]]&lt;40,"Middle Age",
Table2[[#This Row],[AGE]]&lt;50,"Senior",
TRUE,"Super Senior"
)</f>
        <v>Middle Age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 s="1">
        <v>21460</v>
      </c>
      <c r="P1314" s="1">
        <v>23412</v>
      </c>
      <c r="Q1314" s="1">
        <v>25331</v>
      </c>
      <c r="R1314" s="1">
        <v>25741</v>
      </c>
      <c r="S1314" s="1">
        <v>26800</v>
      </c>
      <c r="T1314" s="1">
        <v>28817</v>
      </c>
      <c r="U1314" s="1">
        <v>3000</v>
      </c>
      <c r="V1314" s="1">
        <v>3000</v>
      </c>
      <c r="W1314" s="1">
        <v>1500</v>
      </c>
      <c r="X1314" s="1">
        <v>2000</v>
      </c>
      <c r="Y1314" s="1">
        <v>3000</v>
      </c>
      <c r="Z1314" s="1">
        <v>2000</v>
      </c>
      <c r="AA1314">
        <v>0</v>
      </c>
      <c r="AB1314" t="str">
        <f t="shared" si="20"/>
        <v>Not Defaulter</v>
      </c>
      <c r="AC1314" s="1">
        <f>Table2[[#This Row],[BILL_AMT1]]-Table2[[#This Row],[PAY_AMT1]]</f>
        <v>18460</v>
      </c>
      <c r="AD1314" s="1" t="str" cm="1">
        <f t="array" ref="AD1314">_xlfn.IFS(Table2[[#This Row],[PAYMENT GAP]]&lt;=0,"No Gap / Overpaid",Table2[[#This Row],[PAYMENT GAP]]&lt;=25000,"Low Gap",Table2[[#This Row],[PAYMENT GAP]]&lt;=100000,"Medium Gap",
TRUE,"High Gap"
)</f>
        <v>Low Gap</v>
      </c>
    </row>
    <row r="1315" spans="1:30" x14ac:dyDescent="0.3">
      <c r="A1315">
        <v>1314</v>
      </c>
      <c r="B1315" s="1">
        <v>430000</v>
      </c>
      <c r="C1315" s="1" t="str" cm="1">
        <f t="array" ref="C1315">_xlfn.IFS(Table2[[#This Row],[LIMIT_BAL]]&lt;=100000,"Low",Table2[[#This Row],[LIMIT_BAL]]&lt;=300000,"Medium",
TRUE,"High"
)</f>
        <v>High</v>
      </c>
      <c r="D1315" t="s">
        <v>2042</v>
      </c>
      <c r="E1315" t="s">
        <v>2026</v>
      </c>
      <c r="F1315" t="s">
        <v>2029</v>
      </c>
      <c r="G1315">
        <v>31</v>
      </c>
      <c r="H1315" t="str" cm="1">
        <f t="array" ref="H1315">_xlfn.IFS(
Table2[[#This Row],[AGE]]&lt;30,"Young",
Table2[[#This Row],[AGE]]&lt;40,"Middle Age",
Table2[[#This Row],[AGE]]&lt;50,"Senior",
TRUE,"Super Senior"
)</f>
        <v>Middle Age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 s="1">
        <v>29860</v>
      </c>
      <c r="P1315" s="1">
        <v>39305</v>
      </c>
      <c r="Q1315" s="1">
        <v>43020</v>
      </c>
      <c r="R1315" s="1">
        <v>45540</v>
      </c>
      <c r="S1315" s="1">
        <v>8342</v>
      </c>
      <c r="T1315" s="1">
        <v>8310</v>
      </c>
      <c r="U1315" s="1">
        <v>10000</v>
      </c>
      <c r="V1315" s="1">
        <v>5000</v>
      </c>
      <c r="W1315" s="1">
        <v>5540</v>
      </c>
      <c r="X1315" s="1">
        <v>8310</v>
      </c>
      <c r="Y1315" s="1">
        <v>5640</v>
      </c>
      <c r="Z1315" s="1">
        <v>2820</v>
      </c>
      <c r="AA1315">
        <v>0</v>
      </c>
      <c r="AB1315" t="str">
        <f t="shared" si="20"/>
        <v>Not Defaulter</v>
      </c>
      <c r="AC1315" s="1">
        <f>Table2[[#This Row],[BILL_AMT1]]-Table2[[#This Row],[PAY_AMT1]]</f>
        <v>19860</v>
      </c>
      <c r="AD1315" s="1" t="str" cm="1">
        <f t="array" ref="AD1315">_xlfn.IFS(Table2[[#This Row],[PAYMENT GAP]]&lt;=0,"No Gap / Overpaid",Table2[[#This Row],[PAYMENT GAP]]&lt;=25000,"Low Gap",Table2[[#This Row],[PAYMENT GAP]]&lt;=100000,"Medium Gap",
TRUE,"High Gap"
)</f>
        <v>Low Gap</v>
      </c>
    </row>
    <row r="1316" spans="1:30" x14ac:dyDescent="0.3">
      <c r="A1316">
        <v>1315</v>
      </c>
      <c r="B1316" s="1">
        <v>50000</v>
      </c>
      <c r="C1316" s="1" t="str" cm="1">
        <f t="array" ref="C1316">_xlfn.IFS(Table2[[#This Row],[LIMIT_BAL]]&lt;=100000,"Low",Table2[[#This Row],[LIMIT_BAL]]&lt;=300000,"Medium",
TRUE,"High"
)</f>
        <v>Low</v>
      </c>
      <c r="D1316" t="s">
        <v>2041</v>
      </c>
      <c r="E1316" t="s">
        <v>2026</v>
      </c>
      <c r="F1316" t="s">
        <v>2028</v>
      </c>
      <c r="G1316">
        <v>37</v>
      </c>
      <c r="H1316" t="str" cm="1">
        <f t="array" ref="H1316">_xlfn.IFS(
Table2[[#This Row],[AGE]]&lt;30,"Young",
Table2[[#This Row],[AGE]]&lt;40,"Middle Age",
Table2[[#This Row],[AGE]]&lt;50,"Senior",
TRUE,"Super Senior"
)</f>
        <v>Middle Age</v>
      </c>
      <c r="I1316">
        <v>2</v>
      </c>
      <c r="J1316">
        <v>0</v>
      </c>
      <c r="K1316">
        <v>0</v>
      </c>
      <c r="L1316">
        <v>0</v>
      </c>
      <c r="M1316">
        <v>-1</v>
      </c>
      <c r="N1316">
        <v>2</v>
      </c>
      <c r="O1316" s="1">
        <v>8014</v>
      </c>
      <c r="P1316" s="1">
        <v>7668</v>
      </c>
      <c r="Q1316" s="1">
        <v>7081</v>
      </c>
      <c r="R1316" s="1">
        <v>5738</v>
      </c>
      <c r="S1316" s="1">
        <v>6461</v>
      </c>
      <c r="T1316" s="1">
        <v>4822</v>
      </c>
      <c r="U1316" s="1">
        <v>1200</v>
      </c>
      <c r="V1316" s="1">
        <v>1000</v>
      </c>
      <c r="W1316" s="1">
        <v>91</v>
      </c>
      <c r="X1316" s="1">
        <v>11283</v>
      </c>
      <c r="Y1316" s="1">
        <v>0</v>
      </c>
      <c r="Z1316" s="1">
        <v>1000</v>
      </c>
      <c r="AA1316">
        <v>0</v>
      </c>
      <c r="AB1316" t="str">
        <f t="shared" si="20"/>
        <v>Not Defaulter</v>
      </c>
      <c r="AC1316" s="1">
        <f>Table2[[#This Row],[BILL_AMT1]]-Table2[[#This Row],[PAY_AMT1]]</f>
        <v>6814</v>
      </c>
      <c r="AD1316" s="1" t="str" cm="1">
        <f t="array" ref="AD1316">_xlfn.IFS(Table2[[#This Row],[PAYMENT GAP]]&lt;=0,"No Gap / Overpaid",Table2[[#This Row],[PAYMENT GAP]]&lt;=25000,"Low Gap",Table2[[#This Row],[PAYMENT GAP]]&lt;=100000,"Medium Gap",
TRUE,"High Gap"
)</f>
        <v>Low Gap</v>
      </c>
    </row>
    <row r="1317" spans="1:30" x14ac:dyDescent="0.3">
      <c r="A1317">
        <v>1316</v>
      </c>
      <c r="B1317" s="1">
        <v>140000</v>
      </c>
      <c r="C1317" s="1" t="str" cm="1">
        <f t="array" ref="C1317">_xlfn.IFS(Table2[[#This Row],[LIMIT_BAL]]&lt;=100000,"Low",Table2[[#This Row],[LIMIT_BAL]]&lt;=300000,"Medium",
TRUE,"High"
)</f>
        <v>Medium</v>
      </c>
      <c r="D1317" t="s">
        <v>2042</v>
      </c>
      <c r="E1317" t="s">
        <v>2043</v>
      </c>
      <c r="F1317" t="s">
        <v>2028</v>
      </c>
      <c r="G1317">
        <v>48</v>
      </c>
      <c r="H1317" t="str" cm="1">
        <f t="array" ref="H1317">_xlfn.IFS(
Table2[[#This Row],[AGE]]&lt;30,"Young",
Table2[[#This Row],[AGE]]&lt;40,"Middle Age",
Table2[[#This Row],[AGE]]&lt;50,"Senior",
TRUE,"Super Senior"
)</f>
        <v>Senior</v>
      </c>
      <c r="I1317">
        <v>-1</v>
      </c>
      <c r="J1317">
        <v>-1</v>
      </c>
      <c r="K1317">
        <v>2</v>
      </c>
      <c r="L1317">
        <v>0</v>
      </c>
      <c r="M1317">
        <v>0</v>
      </c>
      <c r="N1317">
        <v>-2</v>
      </c>
      <c r="O1317" s="1">
        <v>1600</v>
      </c>
      <c r="P1317" s="1">
        <v>5012</v>
      </c>
      <c r="Q1317" s="1">
        <v>4739</v>
      </c>
      <c r="R1317" s="1">
        <v>4739</v>
      </c>
      <c r="S1317" s="1">
        <v>0</v>
      </c>
      <c r="T1317" s="1">
        <v>0</v>
      </c>
      <c r="U1317" s="1">
        <v>5012</v>
      </c>
      <c r="V1317" s="1">
        <v>0</v>
      </c>
      <c r="W1317" s="1">
        <v>0</v>
      </c>
      <c r="X1317" s="1">
        <v>0</v>
      </c>
      <c r="Y1317" s="1">
        <v>0</v>
      </c>
      <c r="Z1317" s="1">
        <v>2770</v>
      </c>
      <c r="AA1317">
        <v>1</v>
      </c>
      <c r="AB1317" t="str">
        <f t="shared" si="20"/>
        <v>Defaulter</v>
      </c>
      <c r="AC1317" s="1">
        <f>Table2[[#This Row],[BILL_AMT1]]-Table2[[#This Row],[PAY_AMT1]]</f>
        <v>-3412</v>
      </c>
      <c r="AD1317" s="1" t="str" cm="1">
        <f t="array" ref="AD1317">_xlfn.IFS(Table2[[#This Row],[PAYMENT GAP]]&lt;=0,"No Gap / Overpaid",Table2[[#This Row],[PAYMENT GAP]]&lt;=25000,"Low Gap",Table2[[#This Row],[PAYMENT GAP]]&lt;=100000,"Medium Gap",
TRUE,"High Gap"
)</f>
        <v>No Gap / Overpaid</v>
      </c>
    </row>
    <row r="1318" spans="1:30" x14ac:dyDescent="0.3">
      <c r="A1318">
        <v>1317</v>
      </c>
      <c r="B1318" s="1">
        <v>500000</v>
      </c>
      <c r="C1318" s="1" t="str" cm="1">
        <f t="array" ref="C1318">_xlfn.IFS(Table2[[#This Row],[LIMIT_BAL]]&lt;=100000,"Low",Table2[[#This Row],[LIMIT_BAL]]&lt;=300000,"Medium",
TRUE,"High"
)</f>
        <v>High</v>
      </c>
      <c r="D1318" t="s">
        <v>2042</v>
      </c>
      <c r="E1318" t="s">
        <v>2043</v>
      </c>
      <c r="F1318" t="s">
        <v>2028</v>
      </c>
      <c r="G1318">
        <v>49</v>
      </c>
      <c r="H1318" t="str" cm="1">
        <f t="array" ref="H1318">_xlfn.IFS(
Table2[[#This Row],[AGE]]&lt;30,"Young",
Table2[[#This Row],[AGE]]&lt;40,"Middle Age",
Table2[[#This Row],[AGE]]&lt;50,"Senior",
TRUE,"Super Senior"
)</f>
        <v>Senior</v>
      </c>
      <c r="I1318">
        <v>-2</v>
      </c>
      <c r="J1318">
        <v>-2</v>
      </c>
      <c r="K1318">
        <v>-2</v>
      </c>
      <c r="L1318">
        <v>-2</v>
      </c>
      <c r="M1318">
        <v>-2</v>
      </c>
      <c r="N1318">
        <v>-2</v>
      </c>
      <c r="O1318" s="1">
        <v>4214</v>
      </c>
      <c r="P1318" s="1">
        <v>6378</v>
      </c>
      <c r="Q1318" s="1">
        <v>4074</v>
      </c>
      <c r="R1318" s="1">
        <v>116446</v>
      </c>
      <c r="S1318" s="1">
        <v>9335</v>
      </c>
      <c r="T1318" s="1">
        <v>3312</v>
      </c>
      <c r="U1318" s="1">
        <v>6378</v>
      </c>
      <c r="V1318" s="1">
        <v>4074</v>
      </c>
      <c r="W1318" s="1">
        <v>116446</v>
      </c>
      <c r="X1318" s="1">
        <v>9335</v>
      </c>
      <c r="Y1318" s="1">
        <v>3312</v>
      </c>
      <c r="Z1318" s="1">
        <v>43664</v>
      </c>
      <c r="AA1318">
        <v>0</v>
      </c>
      <c r="AB1318" t="str">
        <f t="shared" si="20"/>
        <v>Not Defaulter</v>
      </c>
      <c r="AC1318" s="1">
        <f>Table2[[#This Row],[BILL_AMT1]]-Table2[[#This Row],[PAY_AMT1]]</f>
        <v>-2164</v>
      </c>
      <c r="AD1318" s="1" t="str" cm="1">
        <f t="array" ref="AD1318">_xlfn.IFS(Table2[[#This Row],[PAYMENT GAP]]&lt;=0,"No Gap / Overpaid",Table2[[#This Row],[PAYMENT GAP]]&lt;=25000,"Low Gap",Table2[[#This Row],[PAYMENT GAP]]&lt;=100000,"Medium Gap",
TRUE,"High Gap"
)</f>
        <v>No Gap / Overpaid</v>
      </c>
    </row>
    <row r="1319" spans="1:30" x14ac:dyDescent="0.3">
      <c r="A1319">
        <v>1318</v>
      </c>
      <c r="B1319" s="1">
        <v>80000</v>
      </c>
      <c r="C1319" s="1" t="str" cm="1">
        <f t="array" ref="C1319">_xlfn.IFS(Table2[[#This Row],[LIMIT_BAL]]&lt;=100000,"Low",Table2[[#This Row],[LIMIT_BAL]]&lt;=300000,"Medium",
TRUE,"High"
)</f>
        <v>Low</v>
      </c>
      <c r="D1319" t="s">
        <v>2042</v>
      </c>
      <c r="E1319" t="s">
        <v>2027</v>
      </c>
      <c r="F1319" t="s">
        <v>2028</v>
      </c>
      <c r="G1319">
        <v>45</v>
      </c>
      <c r="H1319" t="str" cm="1">
        <f t="array" ref="H1319">_xlfn.IFS(
Table2[[#This Row],[AGE]]&lt;30,"Young",
Table2[[#This Row],[AGE]]&lt;40,"Middle Age",
Table2[[#This Row],[AGE]]&lt;50,"Senior",
TRUE,"Super Senior"
)</f>
        <v>Senior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 s="1">
        <v>26637</v>
      </c>
      <c r="P1319" s="1">
        <v>26437</v>
      </c>
      <c r="Q1319" s="1">
        <v>26686</v>
      </c>
      <c r="R1319" s="1">
        <v>28372</v>
      </c>
      <c r="S1319" s="1">
        <v>28345</v>
      </c>
      <c r="T1319" s="1">
        <v>27279</v>
      </c>
      <c r="U1319" s="1">
        <v>1490</v>
      </c>
      <c r="V1319" s="1">
        <v>2000</v>
      </c>
      <c r="W1319" s="1">
        <v>2000</v>
      </c>
      <c r="X1319" s="1">
        <v>3000</v>
      </c>
      <c r="Y1319" s="1">
        <v>5000</v>
      </c>
      <c r="Z1319" s="1">
        <v>865</v>
      </c>
      <c r="AA1319">
        <v>0</v>
      </c>
      <c r="AB1319" t="str">
        <f t="shared" si="20"/>
        <v>Not Defaulter</v>
      </c>
      <c r="AC1319" s="1">
        <f>Table2[[#This Row],[BILL_AMT1]]-Table2[[#This Row],[PAY_AMT1]]</f>
        <v>25147</v>
      </c>
      <c r="AD1319" s="1" t="str" cm="1">
        <f t="array" ref="AD1319">_xlfn.IFS(Table2[[#This Row],[PAYMENT GAP]]&lt;=0,"No Gap / Overpaid",Table2[[#This Row],[PAYMENT GAP]]&lt;=25000,"Low Gap",Table2[[#This Row],[PAYMENT GAP]]&lt;=100000,"Medium Gap",
TRUE,"High Gap"
)</f>
        <v>Medium Gap</v>
      </c>
    </row>
    <row r="1320" spans="1:30" x14ac:dyDescent="0.3">
      <c r="A1320">
        <v>1319</v>
      </c>
      <c r="B1320" s="1">
        <v>390000</v>
      </c>
      <c r="C1320" s="1" t="str" cm="1">
        <f t="array" ref="C1320">_xlfn.IFS(Table2[[#This Row],[LIMIT_BAL]]&lt;=100000,"Low",Table2[[#This Row],[LIMIT_BAL]]&lt;=300000,"Medium",
TRUE,"High"
)</f>
        <v>High</v>
      </c>
      <c r="D1320" t="s">
        <v>2041</v>
      </c>
      <c r="E1320" t="s">
        <v>2026</v>
      </c>
      <c r="F1320" t="s">
        <v>2028</v>
      </c>
      <c r="G1320">
        <v>34</v>
      </c>
      <c r="H1320" t="str" cm="1">
        <f t="array" ref="H1320">_xlfn.IFS(
Table2[[#This Row],[AGE]]&lt;30,"Young",
Table2[[#This Row],[AGE]]&lt;40,"Middle Age",
Table2[[#This Row],[AGE]]&lt;50,"Senior",
TRUE,"Super Senior"
)</f>
        <v>Middle Age</v>
      </c>
      <c r="I1320">
        <v>1</v>
      </c>
      <c r="J1320">
        <v>-2</v>
      </c>
      <c r="K1320">
        <v>-1</v>
      </c>
      <c r="L1320">
        <v>-1</v>
      </c>
      <c r="M1320">
        <v>-2</v>
      </c>
      <c r="N1320">
        <v>-2</v>
      </c>
      <c r="O1320" s="1">
        <v>0</v>
      </c>
      <c r="P1320" s="1">
        <v>0</v>
      </c>
      <c r="Q1320" s="1">
        <v>1266</v>
      </c>
      <c r="R1320" s="1">
        <v>0</v>
      </c>
      <c r="S1320" s="1">
        <v>0</v>
      </c>
      <c r="T1320" s="1">
        <v>0</v>
      </c>
      <c r="U1320" s="1">
        <v>0</v>
      </c>
      <c r="V1320" s="1">
        <v>1266</v>
      </c>
      <c r="W1320" s="1">
        <v>0</v>
      </c>
      <c r="X1320" s="1">
        <v>0</v>
      </c>
      <c r="Y1320" s="1">
        <v>0</v>
      </c>
      <c r="Z1320" s="1">
        <v>0</v>
      </c>
      <c r="AA1320">
        <v>0</v>
      </c>
      <c r="AB1320" t="str">
        <f t="shared" si="20"/>
        <v>Not Defaulter</v>
      </c>
      <c r="AC1320" s="1">
        <f>Table2[[#This Row],[BILL_AMT1]]-Table2[[#This Row],[PAY_AMT1]]</f>
        <v>0</v>
      </c>
      <c r="AD1320" s="1" t="str" cm="1">
        <f t="array" ref="AD1320">_xlfn.IFS(Table2[[#This Row],[PAYMENT GAP]]&lt;=0,"No Gap / Overpaid",Table2[[#This Row],[PAYMENT GAP]]&lt;=25000,"Low Gap",Table2[[#This Row],[PAYMENT GAP]]&lt;=100000,"Medium Gap",
TRUE,"High Gap"
)</f>
        <v>No Gap / Overpaid</v>
      </c>
    </row>
    <row r="1321" spans="1:30" x14ac:dyDescent="0.3">
      <c r="A1321">
        <v>1320</v>
      </c>
      <c r="B1321" s="1">
        <v>250000</v>
      </c>
      <c r="C1321" s="1" t="str" cm="1">
        <f t="array" ref="C1321">_xlfn.IFS(Table2[[#This Row],[LIMIT_BAL]]&lt;=100000,"Low",Table2[[#This Row],[LIMIT_BAL]]&lt;=300000,"Medium",
TRUE,"High"
)</f>
        <v>Medium</v>
      </c>
      <c r="D1321" t="s">
        <v>2041</v>
      </c>
      <c r="E1321" t="s">
        <v>2026</v>
      </c>
      <c r="F1321" t="s">
        <v>2028</v>
      </c>
      <c r="G1321">
        <v>43</v>
      </c>
      <c r="H1321" t="str" cm="1">
        <f t="array" ref="H1321">_xlfn.IFS(
Table2[[#This Row],[AGE]]&lt;30,"Young",
Table2[[#This Row],[AGE]]&lt;40,"Middle Age",
Table2[[#This Row],[AGE]]&lt;50,"Senior",
TRUE,"Super Senior"
)</f>
        <v>Senior</v>
      </c>
      <c r="I1321">
        <v>-1</v>
      </c>
      <c r="J1321">
        <v>-1</v>
      </c>
      <c r="K1321">
        <v>-1</v>
      </c>
      <c r="L1321">
        <v>0</v>
      </c>
      <c r="M1321">
        <v>0</v>
      </c>
      <c r="N1321">
        <v>-1</v>
      </c>
      <c r="O1321" s="1">
        <v>17454</v>
      </c>
      <c r="P1321" s="1">
        <v>-50</v>
      </c>
      <c r="Q1321" s="1">
        <v>45297</v>
      </c>
      <c r="R1321" s="1">
        <v>17371</v>
      </c>
      <c r="S1321" s="1">
        <v>11481</v>
      </c>
      <c r="T1321" s="1">
        <v>5922</v>
      </c>
      <c r="U1321" s="1">
        <v>24890</v>
      </c>
      <c r="V1321" s="1">
        <v>48394</v>
      </c>
      <c r="W1321" s="1">
        <v>0</v>
      </c>
      <c r="X1321" s="1">
        <v>5461</v>
      </c>
      <c r="Y1321" s="1">
        <v>15000</v>
      </c>
      <c r="Z1321" s="1">
        <v>6000</v>
      </c>
      <c r="AA1321">
        <v>0</v>
      </c>
      <c r="AB1321" t="str">
        <f t="shared" si="20"/>
        <v>Not Defaulter</v>
      </c>
      <c r="AC1321" s="1">
        <f>Table2[[#This Row],[BILL_AMT1]]-Table2[[#This Row],[PAY_AMT1]]</f>
        <v>-7436</v>
      </c>
      <c r="AD1321" s="1" t="str" cm="1">
        <f t="array" ref="AD1321">_xlfn.IFS(Table2[[#This Row],[PAYMENT GAP]]&lt;=0,"No Gap / Overpaid",Table2[[#This Row],[PAYMENT GAP]]&lt;=25000,"Low Gap",Table2[[#This Row],[PAYMENT GAP]]&lt;=100000,"Medium Gap",
TRUE,"High Gap"
)</f>
        <v>No Gap / Overpaid</v>
      </c>
    </row>
    <row r="1322" spans="1:30" x14ac:dyDescent="0.3">
      <c r="A1322">
        <v>1321</v>
      </c>
      <c r="B1322" s="1">
        <v>390000</v>
      </c>
      <c r="C1322" s="1" t="str" cm="1">
        <f t="array" ref="C1322">_xlfn.IFS(Table2[[#This Row],[LIMIT_BAL]]&lt;=100000,"Low",Table2[[#This Row],[LIMIT_BAL]]&lt;=300000,"Medium",
TRUE,"High"
)</f>
        <v>High</v>
      </c>
      <c r="D1322" t="s">
        <v>2041</v>
      </c>
      <c r="E1322" t="s">
        <v>2026</v>
      </c>
      <c r="F1322" t="s">
        <v>2029</v>
      </c>
      <c r="G1322">
        <v>31</v>
      </c>
      <c r="H1322" t="str" cm="1">
        <f t="array" ref="H1322">_xlfn.IFS(
Table2[[#This Row],[AGE]]&lt;30,"Young",
Table2[[#This Row],[AGE]]&lt;40,"Middle Age",
Table2[[#This Row],[AGE]]&lt;50,"Senior",
TRUE,"Super Senior"
)</f>
        <v>Middle Age</v>
      </c>
      <c r="I1322">
        <v>-2</v>
      </c>
      <c r="J1322">
        <v>-2</v>
      </c>
      <c r="K1322">
        <v>-2</v>
      </c>
      <c r="L1322">
        <v>-2</v>
      </c>
      <c r="M1322">
        <v>-2</v>
      </c>
      <c r="N1322">
        <v>-2</v>
      </c>
      <c r="O1322" s="1">
        <v>6466</v>
      </c>
      <c r="P1322" s="1">
        <v>6266</v>
      </c>
      <c r="Q1322" s="1">
        <v>12578</v>
      </c>
      <c r="R1322" s="1">
        <v>7650</v>
      </c>
      <c r="S1322" s="1">
        <v>48090</v>
      </c>
      <c r="T1322" s="1">
        <v>17013</v>
      </c>
      <c r="U1322" s="1">
        <v>6266</v>
      </c>
      <c r="V1322" s="1">
        <v>12581</v>
      </c>
      <c r="W1322" s="1">
        <v>7650</v>
      </c>
      <c r="X1322" s="1">
        <v>48090</v>
      </c>
      <c r="Y1322" s="1">
        <v>28973</v>
      </c>
      <c r="Z1322" s="1">
        <v>17271</v>
      </c>
      <c r="AA1322">
        <v>0</v>
      </c>
      <c r="AB1322" t="str">
        <f t="shared" si="20"/>
        <v>Not Defaulter</v>
      </c>
      <c r="AC1322" s="1">
        <f>Table2[[#This Row],[BILL_AMT1]]-Table2[[#This Row],[PAY_AMT1]]</f>
        <v>200</v>
      </c>
      <c r="AD1322" s="1" t="str" cm="1">
        <f t="array" ref="AD1322">_xlfn.IFS(Table2[[#This Row],[PAYMENT GAP]]&lt;=0,"No Gap / Overpaid",Table2[[#This Row],[PAYMENT GAP]]&lt;=25000,"Low Gap",Table2[[#This Row],[PAYMENT GAP]]&lt;=100000,"Medium Gap",
TRUE,"High Gap"
)</f>
        <v>Low Gap</v>
      </c>
    </row>
    <row r="1323" spans="1:30" x14ac:dyDescent="0.3">
      <c r="A1323">
        <v>1322</v>
      </c>
      <c r="B1323" s="1">
        <v>100000</v>
      </c>
      <c r="C1323" s="1" t="str" cm="1">
        <f t="array" ref="C1323">_xlfn.IFS(Table2[[#This Row],[LIMIT_BAL]]&lt;=100000,"Low",Table2[[#This Row],[LIMIT_BAL]]&lt;=300000,"Medium",
TRUE,"High"
)</f>
        <v>Low</v>
      </c>
      <c r="D1323" t="s">
        <v>2041</v>
      </c>
      <c r="E1323" t="s">
        <v>2026</v>
      </c>
      <c r="F1323" t="s">
        <v>2028</v>
      </c>
      <c r="G1323">
        <v>35</v>
      </c>
      <c r="H1323" t="str" cm="1">
        <f t="array" ref="H1323">_xlfn.IFS(
Table2[[#This Row],[AGE]]&lt;30,"Young",
Table2[[#This Row],[AGE]]&lt;40,"Middle Age",
Table2[[#This Row],[AGE]]&lt;50,"Senior",
TRUE,"Super Senior"
)</f>
        <v>Middle Age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 s="1">
        <v>57612</v>
      </c>
      <c r="P1323" s="1">
        <v>58818</v>
      </c>
      <c r="Q1323" s="1">
        <v>60841</v>
      </c>
      <c r="R1323" s="1">
        <v>61434</v>
      </c>
      <c r="S1323" s="1">
        <v>62743</v>
      </c>
      <c r="T1323" s="1">
        <v>66677</v>
      </c>
      <c r="U1323" s="1">
        <v>2134</v>
      </c>
      <c r="V1323" s="1">
        <v>3000</v>
      </c>
      <c r="W1323" s="1">
        <v>2200</v>
      </c>
      <c r="X1323" s="1">
        <v>2300</v>
      </c>
      <c r="Y1323" s="1">
        <v>5000</v>
      </c>
      <c r="Z1323" s="1">
        <v>3000</v>
      </c>
      <c r="AA1323">
        <v>0</v>
      </c>
      <c r="AB1323" t="str">
        <f t="shared" si="20"/>
        <v>Not Defaulter</v>
      </c>
      <c r="AC1323" s="1">
        <f>Table2[[#This Row],[BILL_AMT1]]-Table2[[#This Row],[PAY_AMT1]]</f>
        <v>55478</v>
      </c>
      <c r="AD1323" s="1" t="str" cm="1">
        <f t="array" ref="AD1323">_xlfn.IFS(Table2[[#This Row],[PAYMENT GAP]]&lt;=0,"No Gap / Overpaid",Table2[[#This Row],[PAYMENT GAP]]&lt;=25000,"Low Gap",Table2[[#This Row],[PAYMENT GAP]]&lt;=100000,"Medium Gap",
TRUE,"High Gap"
)</f>
        <v>Medium Gap</v>
      </c>
    </row>
    <row r="1324" spans="1:30" x14ac:dyDescent="0.3">
      <c r="A1324">
        <v>1323</v>
      </c>
      <c r="B1324" s="1">
        <v>360000</v>
      </c>
      <c r="C1324" s="1" t="str" cm="1">
        <f t="array" ref="C1324">_xlfn.IFS(Table2[[#This Row],[LIMIT_BAL]]&lt;=100000,"Low",Table2[[#This Row],[LIMIT_BAL]]&lt;=300000,"Medium",
TRUE,"High"
)</f>
        <v>High</v>
      </c>
      <c r="D1324" t="s">
        <v>2041</v>
      </c>
      <c r="E1324" t="s">
        <v>2026</v>
      </c>
      <c r="F1324" t="s">
        <v>2028</v>
      </c>
      <c r="G1324">
        <v>42</v>
      </c>
      <c r="H1324" t="str" cm="1">
        <f t="array" ref="H1324">_xlfn.IFS(
Table2[[#This Row],[AGE]]&lt;30,"Young",
Table2[[#This Row],[AGE]]&lt;40,"Middle Age",
Table2[[#This Row],[AGE]]&lt;50,"Senior",
TRUE,"Super Senior"
)</f>
        <v>Senior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 s="1">
        <v>179851</v>
      </c>
      <c r="P1324" s="1">
        <v>186961</v>
      </c>
      <c r="Q1324" s="1">
        <v>201703</v>
      </c>
      <c r="R1324" s="1">
        <v>189455</v>
      </c>
      <c r="S1324" s="1">
        <v>194373</v>
      </c>
      <c r="T1324" s="1">
        <v>207022</v>
      </c>
      <c r="U1324" s="1">
        <v>10005</v>
      </c>
      <c r="V1324" s="1">
        <v>20117</v>
      </c>
      <c r="W1324" s="1">
        <v>15018</v>
      </c>
      <c r="X1324" s="1">
        <v>10027</v>
      </c>
      <c r="Y1324" s="1">
        <v>20057</v>
      </c>
      <c r="Z1324" s="1">
        <v>17000</v>
      </c>
      <c r="AA1324">
        <v>0</v>
      </c>
      <c r="AB1324" t="str">
        <f t="shared" si="20"/>
        <v>Not Defaulter</v>
      </c>
      <c r="AC1324" s="1">
        <f>Table2[[#This Row],[BILL_AMT1]]-Table2[[#This Row],[PAY_AMT1]]</f>
        <v>169846</v>
      </c>
      <c r="AD1324" s="1" t="str" cm="1">
        <f t="array" ref="AD1324">_xlfn.IFS(Table2[[#This Row],[PAYMENT GAP]]&lt;=0,"No Gap / Overpaid",Table2[[#This Row],[PAYMENT GAP]]&lt;=25000,"Low Gap",Table2[[#This Row],[PAYMENT GAP]]&lt;=100000,"Medium Gap",
TRUE,"High Gap"
)</f>
        <v>High Gap</v>
      </c>
    </row>
    <row r="1325" spans="1:30" x14ac:dyDescent="0.3">
      <c r="A1325">
        <v>1324</v>
      </c>
      <c r="B1325" s="1">
        <v>140000</v>
      </c>
      <c r="C1325" s="1" t="str" cm="1">
        <f t="array" ref="C1325">_xlfn.IFS(Table2[[#This Row],[LIMIT_BAL]]&lt;=100000,"Low",Table2[[#This Row],[LIMIT_BAL]]&lt;=300000,"Medium",
TRUE,"High"
)</f>
        <v>Medium</v>
      </c>
      <c r="D1325" t="s">
        <v>2042</v>
      </c>
      <c r="E1325" t="s">
        <v>2026</v>
      </c>
      <c r="F1325" t="s">
        <v>2029</v>
      </c>
      <c r="G1325">
        <v>36</v>
      </c>
      <c r="H1325" t="str" cm="1">
        <f t="array" ref="H1325">_xlfn.IFS(
Table2[[#This Row],[AGE]]&lt;30,"Young",
Table2[[#This Row],[AGE]]&lt;40,"Middle Age",
Table2[[#This Row],[AGE]]&lt;50,"Senior",
TRUE,"Super Senior"
)</f>
        <v>Middle Age</v>
      </c>
      <c r="I1325">
        <v>1</v>
      </c>
      <c r="J1325">
        <v>-1</v>
      </c>
      <c r="K1325">
        <v>-1</v>
      </c>
      <c r="L1325">
        <v>0</v>
      </c>
      <c r="M1325">
        <v>0</v>
      </c>
      <c r="N1325">
        <v>-1</v>
      </c>
      <c r="O1325" s="1">
        <v>-5</v>
      </c>
      <c r="P1325" s="1">
        <v>1135</v>
      </c>
      <c r="Q1325" s="1">
        <v>17227</v>
      </c>
      <c r="R1325" s="1">
        <v>12918</v>
      </c>
      <c r="S1325" s="1">
        <v>10898</v>
      </c>
      <c r="T1325" s="1">
        <v>823</v>
      </c>
      <c r="U1325" s="1">
        <v>1140</v>
      </c>
      <c r="V1325" s="1">
        <v>17227</v>
      </c>
      <c r="W1325" s="1">
        <v>0</v>
      </c>
      <c r="X1325" s="1">
        <v>365</v>
      </c>
      <c r="Y1325" s="1">
        <v>840</v>
      </c>
      <c r="Z1325" s="1">
        <v>4507</v>
      </c>
      <c r="AA1325">
        <v>0</v>
      </c>
      <c r="AB1325" t="str">
        <f t="shared" si="20"/>
        <v>Not Defaulter</v>
      </c>
      <c r="AC1325" s="1">
        <f>Table2[[#This Row],[BILL_AMT1]]-Table2[[#This Row],[PAY_AMT1]]</f>
        <v>-1145</v>
      </c>
      <c r="AD1325" s="1" t="str" cm="1">
        <f t="array" ref="AD1325">_xlfn.IFS(Table2[[#This Row],[PAYMENT GAP]]&lt;=0,"No Gap / Overpaid",Table2[[#This Row],[PAYMENT GAP]]&lt;=25000,"Low Gap",Table2[[#This Row],[PAYMENT GAP]]&lt;=100000,"Medium Gap",
TRUE,"High Gap"
)</f>
        <v>No Gap / Overpaid</v>
      </c>
    </row>
    <row r="1326" spans="1:30" x14ac:dyDescent="0.3">
      <c r="A1326">
        <v>1325</v>
      </c>
      <c r="B1326" s="1">
        <v>110000</v>
      </c>
      <c r="C1326" s="1" t="str" cm="1">
        <f t="array" ref="C1326">_xlfn.IFS(Table2[[#This Row],[LIMIT_BAL]]&lt;=100000,"Low",Table2[[#This Row],[LIMIT_BAL]]&lt;=300000,"Medium",
TRUE,"High"
)</f>
        <v>Medium</v>
      </c>
      <c r="D1326" t="s">
        <v>2042</v>
      </c>
      <c r="E1326" t="s">
        <v>2043</v>
      </c>
      <c r="F1326" t="s">
        <v>2028</v>
      </c>
      <c r="G1326">
        <v>51</v>
      </c>
      <c r="H1326" t="str" cm="1">
        <f t="array" ref="H1326">_xlfn.IFS(
Table2[[#This Row],[AGE]]&lt;30,"Young",
Table2[[#This Row],[AGE]]&lt;40,"Middle Age",
Table2[[#This Row],[AGE]]&lt;50,"Senior",
TRUE,"Super Senior"
)</f>
        <v>Super Senior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 s="1">
        <v>45964</v>
      </c>
      <c r="P1326" s="1">
        <v>46922</v>
      </c>
      <c r="Q1326" s="1">
        <v>48140</v>
      </c>
      <c r="R1326" s="1">
        <v>49339</v>
      </c>
      <c r="S1326" s="1">
        <v>50542</v>
      </c>
      <c r="T1326" s="1">
        <v>52689</v>
      </c>
      <c r="U1326" s="1">
        <v>2000</v>
      </c>
      <c r="V1326" s="1">
        <v>2000</v>
      </c>
      <c r="W1326" s="1">
        <v>2000</v>
      </c>
      <c r="X1326" s="1">
        <v>2000</v>
      </c>
      <c r="Y1326" s="1">
        <v>3000</v>
      </c>
      <c r="Z1326" s="1">
        <v>2000</v>
      </c>
      <c r="AA1326">
        <v>0</v>
      </c>
      <c r="AB1326" t="str">
        <f t="shared" si="20"/>
        <v>Not Defaulter</v>
      </c>
      <c r="AC1326" s="1">
        <f>Table2[[#This Row],[BILL_AMT1]]-Table2[[#This Row],[PAY_AMT1]]</f>
        <v>43964</v>
      </c>
      <c r="AD1326" s="1" t="str" cm="1">
        <f t="array" ref="AD1326">_xlfn.IFS(Table2[[#This Row],[PAYMENT GAP]]&lt;=0,"No Gap / Overpaid",Table2[[#This Row],[PAYMENT GAP]]&lt;=25000,"Low Gap",Table2[[#This Row],[PAYMENT GAP]]&lt;=100000,"Medium Gap",
TRUE,"High Gap"
)</f>
        <v>Medium Gap</v>
      </c>
    </row>
    <row r="1327" spans="1:30" x14ac:dyDescent="0.3">
      <c r="A1327">
        <v>1326</v>
      </c>
      <c r="B1327" s="1">
        <v>170000</v>
      </c>
      <c r="C1327" s="1" t="str" cm="1">
        <f t="array" ref="C1327">_xlfn.IFS(Table2[[#This Row],[LIMIT_BAL]]&lt;=100000,"Low",Table2[[#This Row],[LIMIT_BAL]]&lt;=300000,"Medium",
TRUE,"High"
)</f>
        <v>Medium</v>
      </c>
      <c r="D1327" t="s">
        <v>2042</v>
      </c>
      <c r="E1327" t="s">
        <v>2027</v>
      </c>
      <c r="F1327" t="s">
        <v>2028</v>
      </c>
      <c r="G1327">
        <v>48</v>
      </c>
      <c r="H1327" t="str" cm="1">
        <f t="array" ref="H1327">_xlfn.IFS(
Table2[[#This Row],[AGE]]&lt;30,"Young",
Table2[[#This Row],[AGE]]&lt;40,"Middle Age",
Table2[[#This Row],[AGE]]&lt;50,"Senior",
TRUE,"Super Senior"
)</f>
        <v>Senior</v>
      </c>
      <c r="I1327">
        <v>2</v>
      </c>
      <c r="J1327">
        <v>-1</v>
      </c>
      <c r="K1327">
        <v>-1</v>
      </c>
      <c r="L1327">
        <v>0</v>
      </c>
      <c r="M1327">
        <v>-1</v>
      </c>
      <c r="N1327">
        <v>-1</v>
      </c>
      <c r="O1327" s="1">
        <v>316</v>
      </c>
      <c r="P1327" s="1">
        <v>316</v>
      </c>
      <c r="Q1327" s="1">
        <v>632</v>
      </c>
      <c r="R1327" s="1">
        <v>316</v>
      </c>
      <c r="S1327" s="1">
        <v>466</v>
      </c>
      <c r="T1327" s="1">
        <v>316</v>
      </c>
      <c r="U1327" s="1">
        <v>316</v>
      </c>
      <c r="V1327" s="1">
        <v>632</v>
      </c>
      <c r="W1327" s="1">
        <v>0</v>
      </c>
      <c r="X1327" s="1">
        <v>466</v>
      </c>
      <c r="Y1327" s="1">
        <v>316</v>
      </c>
      <c r="Z1327" s="1">
        <v>0</v>
      </c>
      <c r="AA1327">
        <v>0</v>
      </c>
      <c r="AB1327" t="str">
        <f t="shared" si="20"/>
        <v>Not Defaulter</v>
      </c>
      <c r="AC1327" s="1">
        <f>Table2[[#This Row],[BILL_AMT1]]-Table2[[#This Row],[PAY_AMT1]]</f>
        <v>0</v>
      </c>
      <c r="AD1327" s="1" t="str" cm="1">
        <f t="array" ref="AD1327">_xlfn.IFS(Table2[[#This Row],[PAYMENT GAP]]&lt;=0,"No Gap / Overpaid",Table2[[#This Row],[PAYMENT GAP]]&lt;=25000,"Low Gap",Table2[[#This Row],[PAYMENT GAP]]&lt;=100000,"Medium Gap",
TRUE,"High Gap"
)</f>
        <v>No Gap / Overpaid</v>
      </c>
    </row>
    <row r="1328" spans="1:30" x14ac:dyDescent="0.3">
      <c r="A1328">
        <v>1327</v>
      </c>
      <c r="B1328" s="1">
        <v>170000</v>
      </c>
      <c r="C1328" s="1" t="str" cm="1">
        <f t="array" ref="C1328">_xlfn.IFS(Table2[[#This Row],[LIMIT_BAL]]&lt;=100000,"Low",Table2[[#This Row],[LIMIT_BAL]]&lt;=300000,"Medium",
TRUE,"High"
)</f>
        <v>Medium</v>
      </c>
      <c r="D1328" t="s">
        <v>2042</v>
      </c>
      <c r="E1328" t="s">
        <v>2043</v>
      </c>
      <c r="F1328" t="s">
        <v>2028</v>
      </c>
      <c r="G1328">
        <v>48</v>
      </c>
      <c r="H1328" t="str" cm="1">
        <f t="array" ref="H1328">_xlfn.IFS(
Table2[[#This Row],[AGE]]&lt;30,"Young",
Table2[[#This Row],[AGE]]&lt;40,"Middle Age",
Table2[[#This Row],[AGE]]&lt;50,"Senior",
TRUE,"Super Senior"
)</f>
        <v>Senior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 s="1">
        <v>137823</v>
      </c>
      <c r="P1328" s="1">
        <v>137199</v>
      </c>
      <c r="Q1328" s="1">
        <v>136331</v>
      </c>
      <c r="R1328" s="1">
        <v>123913</v>
      </c>
      <c r="S1328" s="1">
        <v>122657</v>
      </c>
      <c r="T1328" s="1">
        <v>122225</v>
      </c>
      <c r="U1328" s="1">
        <v>5396</v>
      </c>
      <c r="V1328" s="1">
        <v>5000</v>
      </c>
      <c r="W1328" s="1">
        <v>5000</v>
      </c>
      <c r="X1328" s="1">
        <v>5000</v>
      </c>
      <c r="Y1328" s="1">
        <v>5000</v>
      </c>
      <c r="Z1328" s="1">
        <v>4000</v>
      </c>
      <c r="AA1328">
        <v>0</v>
      </c>
      <c r="AB1328" t="str">
        <f t="shared" si="20"/>
        <v>Not Defaulter</v>
      </c>
      <c r="AC1328" s="1">
        <f>Table2[[#This Row],[BILL_AMT1]]-Table2[[#This Row],[PAY_AMT1]]</f>
        <v>132427</v>
      </c>
      <c r="AD1328" s="1" t="str" cm="1">
        <f t="array" ref="AD1328">_xlfn.IFS(Table2[[#This Row],[PAYMENT GAP]]&lt;=0,"No Gap / Overpaid",Table2[[#This Row],[PAYMENT GAP]]&lt;=25000,"Low Gap",Table2[[#This Row],[PAYMENT GAP]]&lt;=100000,"Medium Gap",
TRUE,"High Gap"
)</f>
        <v>High Gap</v>
      </c>
    </row>
    <row r="1329" spans="1:30" x14ac:dyDescent="0.3">
      <c r="A1329">
        <v>1328</v>
      </c>
      <c r="B1329" s="1">
        <v>180000</v>
      </c>
      <c r="C1329" s="1" t="str" cm="1">
        <f t="array" ref="C1329">_xlfn.IFS(Table2[[#This Row],[LIMIT_BAL]]&lt;=100000,"Low",Table2[[#This Row],[LIMIT_BAL]]&lt;=300000,"Medium",
TRUE,"High"
)</f>
        <v>Medium</v>
      </c>
      <c r="D1329" t="s">
        <v>2041</v>
      </c>
      <c r="E1329" t="s">
        <v>2043</v>
      </c>
      <c r="F1329" t="s">
        <v>2029</v>
      </c>
      <c r="G1329">
        <v>25</v>
      </c>
      <c r="H1329" t="str" cm="1">
        <f t="array" ref="H1329">_xlfn.IFS(
Table2[[#This Row],[AGE]]&lt;30,"Young",
Table2[[#This Row],[AGE]]&lt;40,"Middle Age",
Table2[[#This Row],[AGE]]&lt;50,"Senior",
TRUE,"Super Senior"
)</f>
        <v>Young</v>
      </c>
      <c r="I1329">
        <v>0</v>
      </c>
      <c r="J1329">
        <v>0</v>
      </c>
      <c r="K1329">
        <v>0</v>
      </c>
      <c r="L1329">
        <v>0</v>
      </c>
      <c r="M1329">
        <v>2</v>
      </c>
      <c r="N1329">
        <v>2</v>
      </c>
      <c r="O1329" s="1">
        <v>4745</v>
      </c>
      <c r="P1329" s="1">
        <v>5765</v>
      </c>
      <c r="Q1329" s="1">
        <v>6631</v>
      </c>
      <c r="R1329" s="1">
        <v>8386</v>
      </c>
      <c r="S1329" s="1">
        <v>8109</v>
      </c>
      <c r="T1329" s="1">
        <v>8820</v>
      </c>
      <c r="U1329" s="1">
        <v>1257</v>
      </c>
      <c r="V1329" s="1">
        <v>1123</v>
      </c>
      <c r="W1329" s="1">
        <v>1878</v>
      </c>
      <c r="X1329" s="1">
        <v>0</v>
      </c>
      <c r="Y1329" s="1">
        <v>1000</v>
      </c>
      <c r="Z1329" s="1">
        <v>0</v>
      </c>
      <c r="AA1329">
        <v>0</v>
      </c>
      <c r="AB1329" t="str">
        <f t="shared" si="20"/>
        <v>Not Defaulter</v>
      </c>
      <c r="AC1329" s="1">
        <f>Table2[[#This Row],[BILL_AMT1]]-Table2[[#This Row],[PAY_AMT1]]</f>
        <v>3488</v>
      </c>
      <c r="AD1329" s="1" t="str" cm="1">
        <f t="array" ref="AD1329">_xlfn.IFS(Table2[[#This Row],[PAYMENT GAP]]&lt;=0,"No Gap / Overpaid",Table2[[#This Row],[PAYMENT GAP]]&lt;=25000,"Low Gap",Table2[[#This Row],[PAYMENT GAP]]&lt;=100000,"Medium Gap",
TRUE,"High Gap"
)</f>
        <v>Low Gap</v>
      </c>
    </row>
    <row r="1330" spans="1:30" x14ac:dyDescent="0.3">
      <c r="A1330">
        <v>1329</v>
      </c>
      <c r="B1330" s="1">
        <v>140000</v>
      </c>
      <c r="C1330" s="1" t="str" cm="1">
        <f t="array" ref="C1330">_xlfn.IFS(Table2[[#This Row],[LIMIT_BAL]]&lt;=100000,"Low",Table2[[#This Row],[LIMIT_BAL]]&lt;=300000,"Medium",
TRUE,"High"
)</f>
        <v>Medium</v>
      </c>
      <c r="D1330" t="s">
        <v>2042</v>
      </c>
      <c r="E1330" t="s">
        <v>2043</v>
      </c>
      <c r="F1330" t="s">
        <v>2028</v>
      </c>
      <c r="G1330">
        <v>41</v>
      </c>
      <c r="H1330" t="str" cm="1">
        <f t="array" ref="H1330">_xlfn.IFS(
Table2[[#This Row],[AGE]]&lt;30,"Young",
Table2[[#This Row],[AGE]]&lt;40,"Middle Age",
Table2[[#This Row],[AGE]]&lt;50,"Senior",
TRUE,"Super Senior"
)</f>
        <v>Senior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 s="1">
        <v>109326</v>
      </c>
      <c r="P1330" s="1">
        <v>111679</v>
      </c>
      <c r="Q1330" s="1">
        <v>113921</v>
      </c>
      <c r="R1330" s="1">
        <v>114348</v>
      </c>
      <c r="S1330" s="1">
        <v>111382</v>
      </c>
      <c r="T1330" s="1">
        <v>112458</v>
      </c>
      <c r="U1330" s="1">
        <v>5600</v>
      </c>
      <c r="V1330" s="1">
        <v>5600</v>
      </c>
      <c r="W1330" s="1">
        <v>4500</v>
      </c>
      <c r="X1330" s="1">
        <v>4200</v>
      </c>
      <c r="Y1330" s="1">
        <v>4500</v>
      </c>
      <c r="Z1330" s="1">
        <v>4500</v>
      </c>
      <c r="AA1330">
        <v>0</v>
      </c>
      <c r="AB1330" t="str">
        <f t="shared" si="20"/>
        <v>Not Defaulter</v>
      </c>
      <c r="AC1330" s="1">
        <f>Table2[[#This Row],[BILL_AMT1]]-Table2[[#This Row],[PAY_AMT1]]</f>
        <v>103726</v>
      </c>
      <c r="AD1330" s="1" t="str" cm="1">
        <f t="array" ref="AD1330">_xlfn.IFS(Table2[[#This Row],[PAYMENT GAP]]&lt;=0,"No Gap / Overpaid",Table2[[#This Row],[PAYMENT GAP]]&lt;=25000,"Low Gap",Table2[[#This Row],[PAYMENT GAP]]&lt;=100000,"Medium Gap",
TRUE,"High Gap"
)</f>
        <v>High Gap</v>
      </c>
    </row>
    <row r="1331" spans="1:30" x14ac:dyDescent="0.3">
      <c r="A1331">
        <v>1330</v>
      </c>
      <c r="B1331" s="1">
        <v>20000</v>
      </c>
      <c r="C1331" s="1" t="str" cm="1">
        <f t="array" ref="C1331">_xlfn.IFS(Table2[[#This Row],[LIMIT_BAL]]&lt;=100000,"Low",Table2[[#This Row],[LIMIT_BAL]]&lt;=300000,"Medium",
TRUE,"High"
)</f>
        <v>Low</v>
      </c>
      <c r="D1331" t="s">
        <v>2041</v>
      </c>
      <c r="E1331" t="s">
        <v>2043</v>
      </c>
      <c r="F1331" t="s">
        <v>2028</v>
      </c>
      <c r="G1331">
        <v>49</v>
      </c>
      <c r="H1331" t="str" cm="1">
        <f t="array" ref="H1331">_xlfn.IFS(
Table2[[#This Row],[AGE]]&lt;30,"Young",
Table2[[#This Row],[AGE]]&lt;40,"Middle Age",
Table2[[#This Row],[AGE]]&lt;50,"Senior",
TRUE,"Super Senior"
)</f>
        <v>Senior</v>
      </c>
      <c r="I1331">
        <v>0</v>
      </c>
      <c r="J1331">
        <v>0</v>
      </c>
      <c r="K1331">
        <v>-1</v>
      </c>
      <c r="L1331">
        <v>-1</v>
      </c>
      <c r="M1331">
        <v>0</v>
      </c>
      <c r="N1331">
        <v>0</v>
      </c>
      <c r="O1331" s="1">
        <v>13882</v>
      </c>
      <c r="P1331" s="1">
        <v>13342</v>
      </c>
      <c r="Q1331" s="1">
        <v>808</v>
      </c>
      <c r="R1331" s="1">
        <v>18910</v>
      </c>
      <c r="S1331" s="1">
        <v>19306</v>
      </c>
      <c r="T1331" s="1">
        <v>19809</v>
      </c>
      <c r="U1331" s="1">
        <v>2018</v>
      </c>
      <c r="V1331" s="1">
        <v>404</v>
      </c>
      <c r="W1331" s="1">
        <v>19000</v>
      </c>
      <c r="X1331" s="1">
        <v>677</v>
      </c>
      <c r="Y1331" s="1">
        <v>800</v>
      </c>
      <c r="Z1331" s="1">
        <v>601</v>
      </c>
      <c r="AA1331">
        <v>0</v>
      </c>
      <c r="AB1331" t="str">
        <f t="shared" si="20"/>
        <v>Not Defaulter</v>
      </c>
      <c r="AC1331" s="1">
        <f>Table2[[#This Row],[BILL_AMT1]]-Table2[[#This Row],[PAY_AMT1]]</f>
        <v>11864</v>
      </c>
      <c r="AD1331" s="1" t="str" cm="1">
        <f t="array" ref="AD1331">_xlfn.IFS(Table2[[#This Row],[PAYMENT GAP]]&lt;=0,"No Gap / Overpaid",Table2[[#This Row],[PAYMENT GAP]]&lt;=25000,"Low Gap",Table2[[#This Row],[PAYMENT GAP]]&lt;=100000,"Medium Gap",
TRUE,"High Gap"
)</f>
        <v>Low Gap</v>
      </c>
    </row>
    <row r="1332" spans="1:30" x14ac:dyDescent="0.3">
      <c r="A1332">
        <v>1331</v>
      </c>
      <c r="B1332" s="1">
        <v>150000</v>
      </c>
      <c r="C1332" s="1" t="str" cm="1">
        <f t="array" ref="C1332">_xlfn.IFS(Table2[[#This Row],[LIMIT_BAL]]&lt;=100000,"Low",Table2[[#This Row],[LIMIT_BAL]]&lt;=300000,"Medium",
TRUE,"High"
)</f>
        <v>Medium</v>
      </c>
      <c r="D1332" t="s">
        <v>2042</v>
      </c>
      <c r="E1332" t="s">
        <v>2026</v>
      </c>
      <c r="F1332" t="s">
        <v>2029</v>
      </c>
      <c r="G1332">
        <v>28</v>
      </c>
      <c r="H1332" t="str" cm="1">
        <f t="array" ref="H1332">_xlfn.IFS(
Table2[[#This Row],[AGE]]&lt;30,"Young",
Table2[[#This Row],[AGE]]&lt;40,"Middle Age",
Table2[[#This Row],[AGE]]&lt;50,"Senior",
TRUE,"Super Senior"
)</f>
        <v>Young</v>
      </c>
      <c r="I1332">
        <v>-2</v>
      </c>
      <c r="J1332">
        <v>-2</v>
      </c>
      <c r="K1332">
        <v>-2</v>
      </c>
      <c r="L1332">
        <v>-2</v>
      </c>
      <c r="M1332">
        <v>-2</v>
      </c>
      <c r="N1332">
        <v>-2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>
        <v>0</v>
      </c>
      <c r="AB1332" t="str">
        <f t="shared" si="20"/>
        <v>Not Defaulter</v>
      </c>
      <c r="AC1332" s="1">
        <f>Table2[[#This Row],[BILL_AMT1]]-Table2[[#This Row],[PAY_AMT1]]</f>
        <v>0</v>
      </c>
      <c r="AD1332" s="1" t="str" cm="1">
        <f t="array" ref="AD1332">_xlfn.IFS(Table2[[#This Row],[PAYMENT GAP]]&lt;=0,"No Gap / Overpaid",Table2[[#This Row],[PAYMENT GAP]]&lt;=25000,"Low Gap",Table2[[#This Row],[PAYMENT GAP]]&lt;=100000,"Medium Gap",
TRUE,"High Gap"
)</f>
        <v>No Gap / Overpaid</v>
      </c>
    </row>
    <row r="1333" spans="1:30" x14ac:dyDescent="0.3">
      <c r="A1333">
        <v>1332</v>
      </c>
      <c r="B1333" s="1">
        <v>50000</v>
      </c>
      <c r="C1333" s="1" t="str" cm="1">
        <f t="array" ref="C1333">_xlfn.IFS(Table2[[#This Row],[LIMIT_BAL]]&lt;=100000,"Low",Table2[[#This Row],[LIMIT_BAL]]&lt;=300000,"Medium",
TRUE,"High"
)</f>
        <v>Low</v>
      </c>
      <c r="D1333" t="s">
        <v>2041</v>
      </c>
      <c r="E1333" t="s">
        <v>2043</v>
      </c>
      <c r="F1333" t="s">
        <v>2029</v>
      </c>
      <c r="G1333">
        <v>28</v>
      </c>
      <c r="H1333" t="str" cm="1">
        <f t="array" ref="H1333">_xlfn.IFS(
Table2[[#This Row],[AGE]]&lt;30,"Young",
Table2[[#This Row],[AGE]]&lt;40,"Middle Age",
Table2[[#This Row],[AGE]]&lt;50,"Senior",
TRUE,"Super Senior"
)</f>
        <v>Young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 s="1">
        <v>48072</v>
      </c>
      <c r="P1333" s="1">
        <v>49518</v>
      </c>
      <c r="Q1333" s="1">
        <v>49500</v>
      </c>
      <c r="R1333" s="1">
        <v>19600</v>
      </c>
      <c r="S1333" s="1">
        <v>20000</v>
      </c>
      <c r="T1333" s="1">
        <v>0</v>
      </c>
      <c r="U1333" s="1">
        <v>2518</v>
      </c>
      <c r="V1333" s="1">
        <v>1500</v>
      </c>
      <c r="W1333" s="1">
        <v>500</v>
      </c>
      <c r="X1333" s="1">
        <v>400</v>
      </c>
      <c r="Y1333" s="1">
        <v>0</v>
      </c>
      <c r="Z1333" s="1">
        <v>0</v>
      </c>
      <c r="AA1333">
        <v>0</v>
      </c>
      <c r="AB1333" t="str">
        <f t="shared" si="20"/>
        <v>Not Defaulter</v>
      </c>
      <c r="AC1333" s="1">
        <f>Table2[[#This Row],[BILL_AMT1]]-Table2[[#This Row],[PAY_AMT1]]</f>
        <v>45554</v>
      </c>
      <c r="AD1333" s="1" t="str" cm="1">
        <f t="array" ref="AD1333">_xlfn.IFS(Table2[[#This Row],[PAYMENT GAP]]&lt;=0,"No Gap / Overpaid",Table2[[#This Row],[PAYMENT GAP]]&lt;=25000,"Low Gap",Table2[[#This Row],[PAYMENT GAP]]&lt;=100000,"Medium Gap",
TRUE,"High Gap"
)</f>
        <v>Medium Gap</v>
      </c>
    </row>
    <row r="1334" spans="1:30" x14ac:dyDescent="0.3">
      <c r="A1334">
        <v>1333</v>
      </c>
      <c r="B1334" s="1">
        <v>160000</v>
      </c>
      <c r="C1334" s="1" t="str" cm="1">
        <f t="array" ref="C1334">_xlfn.IFS(Table2[[#This Row],[LIMIT_BAL]]&lt;=100000,"Low",Table2[[#This Row],[LIMIT_BAL]]&lt;=300000,"Medium",
TRUE,"High"
)</f>
        <v>Medium</v>
      </c>
      <c r="D1334" t="s">
        <v>2041</v>
      </c>
      <c r="E1334" t="s">
        <v>2043</v>
      </c>
      <c r="F1334" t="s">
        <v>2028</v>
      </c>
      <c r="G1334">
        <v>38</v>
      </c>
      <c r="H1334" t="str" cm="1">
        <f t="array" ref="H1334">_xlfn.IFS(
Table2[[#This Row],[AGE]]&lt;30,"Young",
Table2[[#This Row],[AGE]]&lt;40,"Middle Age",
Table2[[#This Row],[AGE]]&lt;50,"Senior",
TRUE,"Super Senior"
)</f>
        <v>Middle Age</v>
      </c>
      <c r="I1334">
        <v>1</v>
      </c>
      <c r="J1334">
        <v>-2</v>
      </c>
      <c r="K1334">
        <v>-2</v>
      </c>
      <c r="L1334">
        <v>-2</v>
      </c>
      <c r="M1334">
        <v>-2</v>
      </c>
      <c r="N1334">
        <v>-2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>
        <v>1</v>
      </c>
      <c r="AB1334" t="str">
        <f t="shared" si="20"/>
        <v>Defaulter</v>
      </c>
      <c r="AC1334" s="1">
        <f>Table2[[#This Row],[BILL_AMT1]]-Table2[[#This Row],[PAY_AMT1]]</f>
        <v>0</v>
      </c>
      <c r="AD1334" s="1" t="str" cm="1">
        <f t="array" ref="AD1334">_xlfn.IFS(Table2[[#This Row],[PAYMENT GAP]]&lt;=0,"No Gap / Overpaid",Table2[[#This Row],[PAYMENT GAP]]&lt;=25000,"Low Gap",Table2[[#This Row],[PAYMENT GAP]]&lt;=100000,"Medium Gap",
TRUE,"High Gap"
)</f>
        <v>No Gap / Overpaid</v>
      </c>
    </row>
    <row r="1335" spans="1:30" x14ac:dyDescent="0.3">
      <c r="A1335">
        <v>1334</v>
      </c>
      <c r="B1335" s="1">
        <v>80000</v>
      </c>
      <c r="C1335" s="1" t="str" cm="1">
        <f t="array" ref="C1335">_xlfn.IFS(Table2[[#This Row],[LIMIT_BAL]]&lt;=100000,"Low",Table2[[#This Row],[LIMIT_BAL]]&lt;=300000,"Medium",
TRUE,"High"
)</f>
        <v>Low</v>
      </c>
      <c r="D1335" t="s">
        <v>2042</v>
      </c>
      <c r="E1335" t="s">
        <v>2043</v>
      </c>
      <c r="F1335" t="s">
        <v>2028</v>
      </c>
      <c r="G1335">
        <v>41</v>
      </c>
      <c r="H1335" t="str" cm="1">
        <f t="array" ref="H1335">_xlfn.IFS(
Table2[[#This Row],[AGE]]&lt;30,"Young",
Table2[[#This Row],[AGE]]&lt;40,"Middle Age",
Table2[[#This Row],[AGE]]&lt;50,"Senior",
TRUE,"Super Senior"
)</f>
        <v>Senior</v>
      </c>
      <c r="I1335">
        <v>-2</v>
      </c>
      <c r="J1335">
        <v>-2</v>
      </c>
      <c r="K1335">
        <v>-2</v>
      </c>
      <c r="L1335">
        <v>-2</v>
      </c>
      <c r="M1335">
        <v>-2</v>
      </c>
      <c r="N1335">
        <v>-1</v>
      </c>
      <c r="O1335" s="1">
        <v>3153</v>
      </c>
      <c r="P1335" s="1">
        <v>1013</v>
      </c>
      <c r="Q1335" s="1">
        <v>0</v>
      </c>
      <c r="R1335" s="1">
        <v>0</v>
      </c>
      <c r="S1335" s="1">
        <v>2115</v>
      </c>
      <c r="T1335" s="1">
        <v>4264</v>
      </c>
      <c r="U1335" s="1">
        <v>1013</v>
      </c>
      <c r="V1335" s="1">
        <v>0</v>
      </c>
      <c r="W1335" s="1">
        <v>0</v>
      </c>
      <c r="X1335" s="1">
        <v>2115</v>
      </c>
      <c r="Y1335" s="1">
        <v>4264</v>
      </c>
      <c r="Z1335" s="1">
        <v>0</v>
      </c>
      <c r="AA1335">
        <v>0</v>
      </c>
      <c r="AB1335" t="str">
        <f t="shared" si="20"/>
        <v>Not Defaulter</v>
      </c>
      <c r="AC1335" s="1">
        <f>Table2[[#This Row],[BILL_AMT1]]-Table2[[#This Row],[PAY_AMT1]]</f>
        <v>2140</v>
      </c>
      <c r="AD1335" s="1" t="str" cm="1">
        <f t="array" ref="AD1335">_xlfn.IFS(Table2[[#This Row],[PAYMENT GAP]]&lt;=0,"No Gap / Overpaid",Table2[[#This Row],[PAYMENT GAP]]&lt;=25000,"Low Gap",Table2[[#This Row],[PAYMENT GAP]]&lt;=100000,"Medium Gap",
TRUE,"High Gap"
)</f>
        <v>Low Gap</v>
      </c>
    </row>
    <row r="1336" spans="1:30" x14ac:dyDescent="0.3">
      <c r="A1336">
        <v>1335</v>
      </c>
      <c r="B1336" s="1">
        <v>300000</v>
      </c>
      <c r="C1336" s="1" t="str" cm="1">
        <f t="array" ref="C1336">_xlfn.IFS(Table2[[#This Row],[LIMIT_BAL]]&lt;=100000,"Low",Table2[[#This Row],[LIMIT_BAL]]&lt;=300000,"Medium",
TRUE,"High"
)</f>
        <v>Medium</v>
      </c>
      <c r="D1336" t="s">
        <v>2041</v>
      </c>
      <c r="E1336" t="s">
        <v>2027</v>
      </c>
      <c r="F1336" t="s">
        <v>2029</v>
      </c>
      <c r="G1336">
        <v>29</v>
      </c>
      <c r="H1336" t="str" cm="1">
        <f t="array" ref="H1336">_xlfn.IFS(
Table2[[#This Row],[AGE]]&lt;30,"Young",
Table2[[#This Row],[AGE]]&lt;40,"Middle Age",
Table2[[#This Row],[AGE]]&lt;50,"Senior",
TRUE,"Super Senior"
)</f>
        <v>Young</v>
      </c>
      <c r="I1336">
        <v>-2</v>
      </c>
      <c r="J1336">
        <v>-2</v>
      </c>
      <c r="K1336">
        <v>-2</v>
      </c>
      <c r="L1336">
        <v>-2</v>
      </c>
      <c r="M1336">
        <v>-2</v>
      </c>
      <c r="N1336">
        <v>-2</v>
      </c>
      <c r="O1336" s="1">
        <v>-140</v>
      </c>
      <c r="P1336" s="1">
        <v>28092</v>
      </c>
      <c r="Q1336" s="1">
        <v>3572</v>
      </c>
      <c r="R1336" s="1">
        <v>195</v>
      </c>
      <c r="S1336" s="1">
        <v>209</v>
      </c>
      <c r="T1336" s="1">
        <v>990</v>
      </c>
      <c r="U1336" s="1">
        <v>28232</v>
      </c>
      <c r="V1336" s="1">
        <v>3589</v>
      </c>
      <c r="W1336" s="1">
        <v>195</v>
      </c>
      <c r="X1336" s="1">
        <v>210</v>
      </c>
      <c r="Y1336" s="1">
        <v>994</v>
      </c>
      <c r="Z1336" s="1">
        <v>0</v>
      </c>
      <c r="AA1336">
        <v>1</v>
      </c>
      <c r="AB1336" t="str">
        <f t="shared" si="20"/>
        <v>Defaulter</v>
      </c>
      <c r="AC1336" s="1">
        <f>Table2[[#This Row],[BILL_AMT1]]-Table2[[#This Row],[PAY_AMT1]]</f>
        <v>-28372</v>
      </c>
      <c r="AD1336" s="1" t="str" cm="1">
        <f t="array" ref="AD1336">_xlfn.IFS(Table2[[#This Row],[PAYMENT GAP]]&lt;=0,"No Gap / Overpaid",Table2[[#This Row],[PAYMENT GAP]]&lt;=25000,"Low Gap",Table2[[#This Row],[PAYMENT GAP]]&lt;=100000,"Medium Gap",
TRUE,"High Gap"
)</f>
        <v>No Gap / Overpaid</v>
      </c>
    </row>
    <row r="1337" spans="1:30" x14ac:dyDescent="0.3">
      <c r="A1337">
        <v>1336</v>
      </c>
      <c r="B1337" s="1">
        <v>60000</v>
      </c>
      <c r="C1337" s="1" t="str" cm="1">
        <f t="array" ref="C1337">_xlfn.IFS(Table2[[#This Row],[LIMIT_BAL]]&lt;=100000,"Low",Table2[[#This Row],[LIMIT_BAL]]&lt;=300000,"Medium",
TRUE,"High"
)</f>
        <v>Low</v>
      </c>
      <c r="D1337" t="s">
        <v>2041</v>
      </c>
      <c r="E1337" t="s">
        <v>2027</v>
      </c>
      <c r="F1337" t="s">
        <v>2029</v>
      </c>
      <c r="G1337">
        <v>32</v>
      </c>
      <c r="H1337" t="str" cm="1">
        <f t="array" ref="H1337">_xlfn.IFS(
Table2[[#This Row],[AGE]]&lt;30,"Young",
Table2[[#This Row],[AGE]]&lt;40,"Middle Age",
Table2[[#This Row],[AGE]]&lt;50,"Senior",
TRUE,"Super Senior"
)</f>
        <v>Middle Age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 s="1">
        <v>62552</v>
      </c>
      <c r="P1337" s="1">
        <v>26929</v>
      </c>
      <c r="Q1337" s="1">
        <v>27967</v>
      </c>
      <c r="R1337" s="1">
        <v>28526</v>
      </c>
      <c r="S1337" s="1">
        <v>28275</v>
      </c>
      <c r="T1337" s="1">
        <v>29151</v>
      </c>
      <c r="U1337" s="1">
        <v>1500</v>
      </c>
      <c r="V1337" s="1">
        <v>1500</v>
      </c>
      <c r="W1337" s="1">
        <v>1003</v>
      </c>
      <c r="X1337" s="1">
        <v>1500</v>
      </c>
      <c r="Y1337" s="1">
        <v>1500</v>
      </c>
      <c r="Z1337" s="1">
        <v>1044</v>
      </c>
      <c r="AA1337">
        <v>0</v>
      </c>
      <c r="AB1337" t="str">
        <f t="shared" si="20"/>
        <v>Not Defaulter</v>
      </c>
      <c r="AC1337" s="1">
        <f>Table2[[#This Row],[BILL_AMT1]]-Table2[[#This Row],[PAY_AMT1]]</f>
        <v>61052</v>
      </c>
      <c r="AD1337" s="1" t="str" cm="1">
        <f t="array" ref="AD1337">_xlfn.IFS(Table2[[#This Row],[PAYMENT GAP]]&lt;=0,"No Gap / Overpaid",Table2[[#This Row],[PAYMENT GAP]]&lt;=25000,"Low Gap",Table2[[#This Row],[PAYMENT GAP]]&lt;=100000,"Medium Gap",
TRUE,"High Gap"
)</f>
        <v>Medium Gap</v>
      </c>
    </row>
    <row r="1338" spans="1:30" x14ac:dyDescent="0.3">
      <c r="A1338">
        <v>1337</v>
      </c>
      <c r="B1338" s="1">
        <v>70000</v>
      </c>
      <c r="C1338" s="1" t="str" cm="1">
        <f t="array" ref="C1338">_xlfn.IFS(Table2[[#This Row],[LIMIT_BAL]]&lt;=100000,"Low",Table2[[#This Row],[LIMIT_BAL]]&lt;=300000,"Medium",
TRUE,"High"
)</f>
        <v>Low</v>
      </c>
      <c r="D1338" t="s">
        <v>2041</v>
      </c>
      <c r="E1338" t="s">
        <v>2043</v>
      </c>
      <c r="F1338" t="s">
        <v>2029</v>
      </c>
      <c r="G1338">
        <v>26</v>
      </c>
      <c r="H1338" t="str" cm="1">
        <f t="array" ref="H1338">_xlfn.IFS(
Table2[[#This Row],[AGE]]&lt;30,"Young",
Table2[[#This Row],[AGE]]&lt;40,"Middle Age",
Table2[[#This Row],[AGE]]&lt;50,"Senior",
TRUE,"Super Senior"
)</f>
        <v>Young</v>
      </c>
      <c r="I1338">
        <v>2</v>
      </c>
      <c r="J1338">
        <v>2</v>
      </c>
      <c r="K1338">
        <v>2</v>
      </c>
      <c r="L1338">
        <v>3</v>
      </c>
      <c r="M1338">
        <v>2</v>
      </c>
      <c r="N1338">
        <v>2</v>
      </c>
      <c r="O1338" s="1">
        <v>42583</v>
      </c>
      <c r="P1338" s="1">
        <v>43600</v>
      </c>
      <c r="Q1338" s="1">
        <v>47550</v>
      </c>
      <c r="R1338" s="1">
        <v>46487</v>
      </c>
      <c r="S1338" s="1">
        <v>47298</v>
      </c>
      <c r="T1338" s="1">
        <v>46384</v>
      </c>
      <c r="U1338" s="1">
        <v>2000</v>
      </c>
      <c r="V1338" s="1">
        <v>5000</v>
      </c>
      <c r="W1338" s="1">
        <v>0</v>
      </c>
      <c r="X1338" s="1">
        <v>1700</v>
      </c>
      <c r="Y1338" s="1">
        <v>0</v>
      </c>
      <c r="Z1338" s="1">
        <v>3700</v>
      </c>
      <c r="AA1338">
        <v>1</v>
      </c>
      <c r="AB1338" t="str">
        <f t="shared" si="20"/>
        <v>Defaulter</v>
      </c>
      <c r="AC1338" s="1">
        <f>Table2[[#This Row],[BILL_AMT1]]-Table2[[#This Row],[PAY_AMT1]]</f>
        <v>40583</v>
      </c>
      <c r="AD1338" s="1" t="str" cm="1">
        <f t="array" ref="AD1338">_xlfn.IFS(Table2[[#This Row],[PAYMENT GAP]]&lt;=0,"No Gap / Overpaid",Table2[[#This Row],[PAYMENT GAP]]&lt;=25000,"Low Gap",Table2[[#This Row],[PAYMENT GAP]]&lt;=100000,"Medium Gap",
TRUE,"High Gap"
)</f>
        <v>Medium Gap</v>
      </c>
    </row>
    <row r="1339" spans="1:30" x14ac:dyDescent="0.3">
      <c r="A1339">
        <v>1338</v>
      </c>
      <c r="B1339" s="1">
        <v>290000</v>
      </c>
      <c r="C1339" s="1" t="str" cm="1">
        <f t="array" ref="C1339">_xlfn.IFS(Table2[[#This Row],[LIMIT_BAL]]&lt;=100000,"Low",Table2[[#This Row],[LIMIT_BAL]]&lt;=300000,"Medium",
TRUE,"High"
)</f>
        <v>Medium</v>
      </c>
      <c r="D1339" t="s">
        <v>2041</v>
      </c>
      <c r="E1339" t="s">
        <v>2026</v>
      </c>
      <c r="F1339" t="s">
        <v>2029</v>
      </c>
      <c r="G1339">
        <v>31</v>
      </c>
      <c r="H1339" t="str" cm="1">
        <f t="array" ref="H1339">_xlfn.IFS(
Table2[[#This Row],[AGE]]&lt;30,"Young",
Table2[[#This Row],[AGE]]&lt;40,"Middle Age",
Table2[[#This Row],[AGE]]&lt;50,"Senior",
TRUE,"Super Senior"
)</f>
        <v>Middle Age</v>
      </c>
      <c r="I1339">
        <v>-1</v>
      </c>
      <c r="J1339">
        <v>-1</v>
      </c>
      <c r="K1339">
        <v>-1</v>
      </c>
      <c r="L1339">
        <v>-1</v>
      </c>
      <c r="M1339">
        <v>-1</v>
      </c>
      <c r="N1339">
        <v>0</v>
      </c>
      <c r="O1339" s="1">
        <v>632</v>
      </c>
      <c r="P1339" s="1">
        <v>0</v>
      </c>
      <c r="Q1339" s="1">
        <v>480</v>
      </c>
      <c r="R1339" s="1">
        <v>-150</v>
      </c>
      <c r="S1339" s="1">
        <v>66675</v>
      </c>
      <c r="T1339" s="1">
        <v>68071</v>
      </c>
      <c r="U1339" s="1">
        <v>0</v>
      </c>
      <c r="V1339" s="1">
        <v>480</v>
      </c>
      <c r="W1339" s="1">
        <v>4</v>
      </c>
      <c r="X1339" s="1">
        <v>69001</v>
      </c>
      <c r="Y1339" s="1">
        <v>2500</v>
      </c>
      <c r="Z1339" s="1">
        <v>3000</v>
      </c>
      <c r="AA1339">
        <v>0</v>
      </c>
      <c r="AB1339" t="str">
        <f t="shared" si="20"/>
        <v>Not Defaulter</v>
      </c>
      <c r="AC1339" s="1">
        <f>Table2[[#This Row],[BILL_AMT1]]-Table2[[#This Row],[PAY_AMT1]]</f>
        <v>632</v>
      </c>
      <c r="AD1339" s="1" t="str" cm="1">
        <f t="array" ref="AD1339">_xlfn.IFS(Table2[[#This Row],[PAYMENT GAP]]&lt;=0,"No Gap / Overpaid",Table2[[#This Row],[PAYMENT GAP]]&lt;=25000,"Low Gap",Table2[[#This Row],[PAYMENT GAP]]&lt;=100000,"Medium Gap",
TRUE,"High Gap"
)</f>
        <v>Low Gap</v>
      </c>
    </row>
    <row r="1340" spans="1:30" x14ac:dyDescent="0.3">
      <c r="A1340">
        <v>1339</v>
      </c>
      <c r="B1340" s="1">
        <v>80000</v>
      </c>
      <c r="C1340" s="1" t="str" cm="1">
        <f t="array" ref="C1340">_xlfn.IFS(Table2[[#This Row],[LIMIT_BAL]]&lt;=100000,"Low",Table2[[#This Row],[LIMIT_BAL]]&lt;=300000,"Medium",
TRUE,"High"
)</f>
        <v>Low</v>
      </c>
      <c r="D1340" t="s">
        <v>2041</v>
      </c>
      <c r="E1340" t="s">
        <v>2026</v>
      </c>
      <c r="F1340" t="s">
        <v>2029</v>
      </c>
      <c r="G1340">
        <v>23</v>
      </c>
      <c r="H1340" t="str" cm="1">
        <f t="array" ref="H1340">_xlfn.IFS(
Table2[[#This Row],[AGE]]&lt;30,"Young",
Table2[[#This Row],[AGE]]&lt;40,"Middle Age",
Table2[[#This Row],[AGE]]&lt;50,"Senior",
TRUE,"Super Senior"
)</f>
        <v>Young</v>
      </c>
      <c r="I1340">
        <v>0</v>
      </c>
      <c r="J1340">
        <v>0</v>
      </c>
      <c r="K1340">
        <v>0</v>
      </c>
      <c r="L1340">
        <v>-2</v>
      </c>
      <c r="M1340">
        <v>-2</v>
      </c>
      <c r="N1340">
        <v>-2</v>
      </c>
      <c r="O1340" s="1">
        <v>8766</v>
      </c>
      <c r="P1340" s="1">
        <v>4777</v>
      </c>
      <c r="Q1340" s="1">
        <v>0</v>
      </c>
      <c r="R1340" s="1">
        <v>0</v>
      </c>
      <c r="S1340" s="1">
        <v>0</v>
      </c>
      <c r="T1340" s="1">
        <v>0</v>
      </c>
      <c r="U1340" s="1">
        <v>1600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>
        <v>0</v>
      </c>
      <c r="AB1340" t="str">
        <f t="shared" si="20"/>
        <v>Not Defaulter</v>
      </c>
      <c r="AC1340" s="1">
        <f>Table2[[#This Row],[BILL_AMT1]]-Table2[[#This Row],[PAY_AMT1]]</f>
        <v>7166</v>
      </c>
      <c r="AD1340" s="1" t="str" cm="1">
        <f t="array" ref="AD1340">_xlfn.IFS(Table2[[#This Row],[PAYMENT GAP]]&lt;=0,"No Gap / Overpaid",Table2[[#This Row],[PAYMENT GAP]]&lt;=25000,"Low Gap",Table2[[#This Row],[PAYMENT GAP]]&lt;=100000,"Medium Gap",
TRUE,"High Gap"
)</f>
        <v>Low Gap</v>
      </c>
    </row>
    <row r="1341" spans="1:30" x14ac:dyDescent="0.3">
      <c r="A1341">
        <v>1340</v>
      </c>
      <c r="B1341" s="1">
        <v>50000</v>
      </c>
      <c r="C1341" s="1" t="str" cm="1">
        <f t="array" ref="C1341">_xlfn.IFS(Table2[[#This Row],[LIMIT_BAL]]&lt;=100000,"Low",Table2[[#This Row],[LIMIT_BAL]]&lt;=300000,"Medium",
TRUE,"High"
)</f>
        <v>Low</v>
      </c>
      <c r="D1341" t="s">
        <v>2041</v>
      </c>
      <c r="E1341" t="s">
        <v>2027</v>
      </c>
      <c r="F1341" t="s">
        <v>2028</v>
      </c>
      <c r="G1341">
        <v>53</v>
      </c>
      <c r="H1341" t="str" cm="1">
        <f t="array" ref="H1341">_xlfn.IFS(
Table2[[#This Row],[AGE]]&lt;30,"Young",
Table2[[#This Row],[AGE]]&lt;40,"Middle Age",
Table2[[#This Row],[AGE]]&lt;50,"Senior",
TRUE,"Super Senior"
)</f>
        <v>Super Senior</v>
      </c>
      <c r="I1341">
        <v>1</v>
      </c>
      <c r="J1341">
        <v>-2</v>
      </c>
      <c r="K1341">
        <v>-2</v>
      </c>
      <c r="L1341">
        <v>-2</v>
      </c>
      <c r="M1341">
        <v>-2</v>
      </c>
      <c r="N1341">
        <v>-2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>
        <v>1</v>
      </c>
      <c r="AB1341" t="str">
        <f t="shared" si="20"/>
        <v>Defaulter</v>
      </c>
      <c r="AC1341" s="1">
        <f>Table2[[#This Row],[BILL_AMT1]]-Table2[[#This Row],[PAY_AMT1]]</f>
        <v>0</v>
      </c>
      <c r="AD1341" s="1" t="str" cm="1">
        <f t="array" ref="AD1341">_xlfn.IFS(Table2[[#This Row],[PAYMENT GAP]]&lt;=0,"No Gap / Overpaid",Table2[[#This Row],[PAYMENT GAP]]&lt;=25000,"Low Gap",Table2[[#This Row],[PAYMENT GAP]]&lt;=100000,"Medium Gap",
TRUE,"High Gap"
)</f>
        <v>No Gap / Overpaid</v>
      </c>
    </row>
    <row r="1342" spans="1:30" x14ac:dyDescent="0.3">
      <c r="A1342">
        <v>1341</v>
      </c>
      <c r="B1342" s="1">
        <v>200000</v>
      </c>
      <c r="C1342" s="1" t="str" cm="1">
        <f t="array" ref="C1342">_xlfn.IFS(Table2[[#This Row],[LIMIT_BAL]]&lt;=100000,"Low",Table2[[#This Row],[LIMIT_BAL]]&lt;=300000,"Medium",
TRUE,"High"
)</f>
        <v>Medium</v>
      </c>
      <c r="D1342" t="s">
        <v>2041</v>
      </c>
      <c r="E1342" t="s">
        <v>2027</v>
      </c>
      <c r="F1342" t="s">
        <v>2029</v>
      </c>
      <c r="G1342">
        <v>49</v>
      </c>
      <c r="H1342" t="str" cm="1">
        <f t="array" ref="H1342">_xlfn.IFS(
Table2[[#This Row],[AGE]]&lt;30,"Young",
Table2[[#This Row],[AGE]]&lt;40,"Middle Age",
Table2[[#This Row],[AGE]]&lt;50,"Senior",
TRUE,"Super Senior"
)</f>
        <v>Senior</v>
      </c>
      <c r="I1342">
        <v>-1</v>
      </c>
      <c r="J1342">
        <v>-1</v>
      </c>
      <c r="K1342">
        <v>0</v>
      </c>
      <c r="L1342">
        <v>0</v>
      </c>
      <c r="M1342">
        <v>0</v>
      </c>
      <c r="N1342">
        <v>-1</v>
      </c>
      <c r="O1342" s="1">
        <v>7697</v>
      </c>
      <c r="P1342" s="1">
        <v>18951</v>
      </c>
      <c r="Q1342" s="1">
        <v>27974</v>
      </c>
      <c r="R1342" s="1">
        <v>30596</v>
      </c>
      <c r="S1342" s="1">
        <v>38109</v>
      </c>
      <c r="T1342" s="1">
        <v>22170</v>
      </c>
      <c r="U1342" s="1">
        <v>20071</v>
      </c>
      <c r="V1342" s="1">
        <v>20036</v>
      </c>
      <c r="W1342" s="1">
        <v>15022</v>
      </c>
      <c r="X1342" s="1">
        <v>15113</v>
      </c>
      <c r="Y1342" s="1">
        <v>22235</v>
      </c>
      <c r="Z1342" s="1">
        <v>3919</v>
      </c>
      <c r="AA1342">
        <v>0</v>
      </c>
      <c r="AB1342" t="str">
        <f t="shared" si="20"/>
        <v>Not Defaulter</v>
      </c>
      <c r="AC1342" s="1">
        <f>Table2[[#This Row],[BILL_AMT1]]-Table2[[#This Row],[PAY_AMT1]]</f>
        <v>-12374</v>
      </c>
      <c r="AD1342" s="1" t="str" cm="1">
        <f t="array" ref="AD1342">_xlfn.IFS(Table2[[#This Row],[PAYMENT GAP]]&lt;=0,"No Gap / Overpaid",Table2[[#This Row],[PAYMENT GAP]]&lt;=25000,"Low Gap",Table2[[#This Row],[PAYMENT GAP]]&lt;=100000,"Medium Gap",
TRUE,"High Gap"
)</f>
        <v>No Gap / Overpaid</v>
      </c>
    </row>
    <row r="1343" spans="1:30" x14ac:dyDescent="0.3">
      <c r="A1343">
        <v>1342</v>
      </c>
      <c r="B1343" s="1">
        <v>200000</v>
      </c>
      <c r="C1343" s="1" t="str" cm="1">
        <f t="array" ref="C1343">_xlfn.IFS(Table2[[#This Row],[LIMIT_BAL]]&lt;=100000,"Low",Table2[[#This Row],[LIMIT_BAL]]&lt;=300000,"Medium",
TRUE,"High"
)</f>
        <v>Medium</v>
      </c>
      <c r="D1343" t="s">
        <v>2041</v>
      </c>
      <c r="E1343" t="s">
        <v>2026</v>
      </c>
      <c r="F1343" t="s">
        <v>2028</v>
      </c>
      <c r="G1343">
        <v>34</v>
      </c>
      <c r="H1343" t="str" cm="1">
        <f t="array" ref="H1343">_xlfn.IFS(
Table2[[#This Row],[AGE]]&lt;30,"Young",
Table2[[#This Row],[AGE]]&lt;40,"Middle Age",
Table2[[#This Row],[AGE]]&lt;50,"Senior",
TRUE,"Super Senior"
)</f>
        <v>Middle Age</v>
      </c>
      <c r="I1343">
        <v>-2</v>
      </c>
      <c r="J1343">
        <v>-2</v>
      </c>
      <c r="K1343">
        <v>-2</v>
      </c>
      <c r="L1343">
        <v>-2</v>
      </c>
      <c r="M1343">
        <v>-2</v>
      </c>
      <c r="N1343">
        <v>-2</v>
      </c>
      <c r="O1343" s="1">
        <v>267</v>
      </c>
      <c r="P1343" s="1">
        <v>6794</v>
      </c>
      <c r="Q1343" s="1">
        <v>10430</v>
      </c>
      <c r="R1343" s="1">
        <v>3576</v>
      </c>
      <c r="S1343" s="1">
        <v>2522</v>
      </c>
      <c r="T1343" s="1">
        <v>934</v>
      </c>
      <c r="U1343" s="1">
        <v>6817</v>
      </c>
      <c r="V1343" s="1">
        <v>10671</v>
      </c>
      <c r="W1343" s="1">
        <v>3576</v>
      </c>
      <c r="X1343" s="1">
        <v>2522</v>
      </c>
      <c r="Y1343" s="1">
        <v>934</v>
      </c>
      <c r="Z1343" s="1">
        <v>7764</v>
      </c>
      <c r="AA1343">
        <v>0</v>
      </c>
      <c r="AB1343" t="str">
        <f t="shared" si="20"/>
        <v>Not Defaulter</v>
      </c>
      <c r="AC1343" s="1">
        <f>Table2[[#This Row],[BILL_AMT1]]-Table2[[#This Row],[PAY_AMT1]]</f>
        <v>-6550</v>
      </c>
      <c r="AD1343" s="1" t="str" cm="1">
        <f t="array" ref="AD1343">_xlfn.IFS(Table2[[#This Row],[PAYMENT GAP]]&lt;=0,"No Gap / Overpaid",Table2[[#This Row],[PAYMENT GAP]]&lt;=25000,"Low Gap",Table2[[#This Row],[PAYMENT GAP]]&lt;=100000,"Medium Gap",
TRUE,"High Gap"
)</f>
        <v>No Gap / Overpaid</v>
      </c>
    </row>
    <row r="1344" spans="1:30" x14ac:dyDescent="0.3">
      <c r="A1344">
        <v>1343</v>
      </c>
      <c r="B1344" s="1">
        <v>50000</v>
      </c>
      <c r="C1344" s="1" t="str" cm="1">
        <f t="array" ref="C1344">_xlfn.IFS(Table2[[#This Row],[LIMIT_BAL]]&lt;=100000,"Low",Table2[[#This Row],[LIMIT_BAL]]&lt;=300000,"Medium",
TRUE,"High"
)</f>
        <v>Low</v>
      </c>
      <c r="D1344" t="s">
        <v>2041</v>
      </c>
      <c r="E1344" t="s">
        <v>2026</v>
      </c>
      <c r="F1344" t="s">
        <v>2029</v>
      </c>
      <c r="G1344">
        <v>22</v>
      </c>
      <c r="H1344" t="str" cm="1">
        <f t="array" ref="H1344">_xlfn.IFS(
Table2[[#This Row],[AGE]]&lt;30,"Young",
Table2[[#This Row],[AGE]]&lt;40,"Middle Age",
Table2[[#This Row],[AGE]]&lt;50,"Senior",
TRUE,"Super Senior"
)</f>
        <v>Young</v>
      </c>
      <c r="I1344">
        <v>-1</v>
      </c>
      <c r="J1344">
        <v>-1</v>
      </c>
      <c r="K1344">
        <v>-1</v>
      </c>
      <c r="L1344">
        <v>-1</v>
      </c>
      <c r="M1344">
        <v>-1</v>
      </c>
      <c r="N1344">
        <v>-1</v>
      </c>
      <c r="O1344" s="1">
        <v>586</v>
      </c>
      <c r="P1344" s="1">
        <v>297</v>
      </c>
      <c r="Q1344" s="1">
        <v>3674</v>
      </c>
      <c r="R1344" s="1">
        <v>1392</v>
      </c>
      <c r="S1344" s="1">
        <v>3085</v>
      </c>
      <c r="T1344" s="1">
        <v>3450</v>
      </c>
      <c r="U1344" s="1">
        <v>297</v>
      </c>
      <c r="V1344" s="1">
        <v>3675</v>
      </c>
      <c r="W1344" s="1">
        <v>1392</v>
      </c>
      <c r="X1344" s="1">
        <v>3086</v>
      </c>
      <c r="Y1344" s="1">
        <v>3492</v>
      </c>
      <c r="Z1344" s="1">
        <v>3721</v>
      </c>
      <c r="AA1344">
        <v>1</v>
      </c>
      <c r="AB1344" t="str">
        <f t="shared" si="20"/>
        <v>Defaulter</v>
      </c>
      <c r="AC1344" s="1">
        <f>Table2[[#This Row],[BILL_AMT1]]-Table2[[#This Row],[PAY_AMT1]]</f>
        <v>289</v>
      </c>
      <c r="AD1344" s="1" t="str" cm="1">
        <f t="array" ref="AD1344">_xlfn.IFS(Table2[[#This Row],[PAYMENT GAP]]&lt;=0,"No Gap / Overpaid",Table2[[#This Row],[PAYMENT GAP]]&lt;=25000,"Low Gap",Table2[[#This Row],[PAYMENT GAP]]&lt;=100000,"Medium Gap",
TRUE,"High Gap"
)</f>
        <v>Low Gap</v>
      </c>
    </row>
    <row r="1345" spans="1:30" x14ac:dyDescent="0.3">
      <c r="A1345">
        <v>1344</v>
      </c>
      <c r="B1345" s="1">
        <v>20000</v>
      </c>
      <c r="C1345" s="1" t="str" cm="1">
        <f t="array" ref="C1345">_xlfn.IFS(Table2[[#This Row],[LIMIT_BAL]]&lt;=100000,"Low",Table2[[#This Row],[LIMIT_BAL]]&lt;=300000,"Medium",
TRUE,"High"
)</f>
        <v>Low</v>
      </c>
      <c r="D1345" t="s">
        <v>2041</v>
      </c>
      <c r="E1345" t="s">
        <v>2043</v>
      </c>
      <c r="F1345" t="s">
        <v>2029</v>
      </c>
      <c r="G1345">
        <v>26</v>
      </c>
      <c r="H1345" t="str" cm="1">
        <f t="array" ref="H1345">_xlfn.IFS(
Table2[[#This Row],[AGE]]&lt;30,"Young",
Table2[[#This Row],[AGE]]&lt;40,"Middle Age",
Table2[[#This Row],[AGE]]&lt;50,"Senior",
TRUE,"Super Senior"
)</f>
        <v>Young</v>
      </c>
      <c r="I1345">
        <v>2</v>
      </c>
      <c r="J1345">
        <v>-1</v>
      </c>
      <c r="K1345">
        <v>0</v>
      </c>
      <c r="L1345">
        <v>0</v>
      </c>
      <c r="M1345">
        <v>0</v>
      </c>
      <c r="N1345">
        <v>0</v>
      </c>
      <c r="O1345" s="1">
        <v>1041</v>
      </c>
      <c r="P1345" s="1">
        <v>10757</v>
      </c>
      <c r="Q1345" s="1">
        <v>11094</v>
      </c>
      <c r="R1345" s="1">
        <v>9351</v>
      </c>
      <c r="S1345" s="1">
        <v>8562</v>
      </c>
      <c r="T1345" s="1">
        <v>8058</v>
      </c>
      <c r="U1345" s="1">
        <v>10758</v>
      </c>
      <c r="V1345" s="1">
        <v>2679</v>
      </c>
      <c r="W1345" s="1">
        <v>502</v>
      </c>
      <c r="X1345" s="1">
        <v>224</v>
      </c>
      <c r="Y1345" s="1">
        <v>513</v>
      </c>
      <c r="Z1345" s="1">
        <v>9</v>
      </c>
      <c r="AA1345">
        <v>0</v>
      </c>
      <c r="AB1345" t="str">
        <f t="shared" si="20"/>
        <v>Not Defaulter</v>
      </c>
      <c r="AC1345" s="1">
        <f>Table2[[#This Row],[BILL_AMT1]]-Table2[[#This Row],[PAY_AMT1]]</f>
        <v>-9717</v>
      </c>
      <c r="AD1345" s="1" t="str" cm="1">
        <f t="array" ref="AD1345">_xlfn.IFS(Table2[[#This Row],[PAYMENT GAP]]&lt;=0,"No Gap / Overpaid",Table2[[#This Row],[PAYMENT GAP]]&lt;=25000,"Low Gap",Table2[[#This Row],[PAYMENT GAP]]&lt;=100000,"Medium Gap",
TRUE,"High Gap"
)</f>
        <v>No Gap / Overpaid</v>
      </c>
    </row>
    <row r="1346" spans="1:30" x14ac:dyDescent="0.3">
      <c r="A1346">
        <v>1345</v>
      </c>
      <c r="B1346" s="1">
        <v>200000</v>
      </c>
      <c r="C1346" s="1" t="str" cm="1">
        <f t="array" ref="C1346">_xlfn.IFS(Table2[[#This Row],[LIMIT_BAL]]&lt;=100000,"Low",Table2[[#This Row],[LIMIT_BAL]]&lt;=300000,"Medium",
TRUE,"High"
)</f>
        <v>Medium</v>
      </c>
      <c r="D1346" t="s">
        <v>2042</v>
      </c>
      <c r="E1346" t="s">
        <v>2026</v>
      </c>
      <c r="F1346" t="s">
        <v>2028</v>
      </c>
      <c r="G1346">
        <v>38</v>
      </c>
      <c r="H1346" t="str" cm="1">
        <f t="array" ref="H1346">_xlfn.IFS(
Table2[[#This Row],[AGE]]&lt;30,"Young",
Table2[[#This Row],[AGE]]&lt;40,"Middle Age",
Table2[[#This Row],[AGE]]&lt;50,"Senior",
TRUE,"Super Senior"
)</f>
        <v>Middle Age</v>
      </c>
      <c r="I1346">
        <v>-1</v>
      </c>
      <c r="J1346">
        <v>-1</v>
      </c>
      <c r="K1346">
        <v>-1</v>
      </c>
      <c r="L1346">
        <v>-1</v>
      </c>
      <c r="M1346">
        <v>-1</v>
      </c>
      <c r="N1346">
        <v>-1</v>
      </c>
      <c r="O1346" s="1">
        <v>6186</v>
      </c>
      <c r="P1346" s="1">
        <v>735</v>
      </c>
      <c r="Q1346" s="1">
        <v>1463</v>
      </c>
      <c r="R1346" s="1">
        <v>15550</v>
      </c>
      <c r="S1346" s="1">
        <v>5045</v>
      </c>
      <c r="T1346" s="1">
        <v>6709</v>
      </c>
      <c r="U1346" s="1">
        <v>735</v>
      </c>
      <c r="V1346" s="1">
        <v>1463</v>
      </c>
      <c r="W1346" s="1">
        <v>15550</v>
      </c>
      <c r="X1346" s="1">
        <v>5045</v>
      </c>
      <c r="Y1346" s="1">
        <v>6709</v>
      </c>
      <c r="Z1346" s="1">
        <v>3021</v>
      </c>
      <c r="AA1346">
        <v>1</v>
      </c>
      <c r="AB1346" t="str">
        <f t="shared" si="20"/>
        <v>Defaulter</v>
      </c>
      <c r="AC1346" s="1">
        <f>Table2[[#This Row],[BILL_AMT1]]-Table2[[#This Row],[PAY_AMT1]]</f>
        <v>5451</v>
      </c>
      <c r="AD1346" s="1" t="str" cm="1">
        <f t="array" ref="AD1346">_xlfn.IFS(Table2[[#This Row],[PAYMENT GAP]]&lt;=0,"No Gap / Overpaid",Table2[[#This Row],[PAYMENT GAP]]&lt;=25000,"Low Gap",Table2[[#This Row],[PAYMENT GAP]]&lt;=100000,"Medium Gap",
TRUE,"High Gap"
)</f>
        <v>Low Gap</v>
      </c>
    </row>
    <row r="1347" spans="1:30" x14ac:dyDescent="0.3">
      <c r="A1347">
        <v>1346</v>
      </c>
      <c r="B1347" s="1">
        <v>120000</v>
      </c>
      <c r="C1347" s="1" t="str" cm="1">
        <f t="array" ref="C1347">_xlfn.IFS(Table2[[#This Row],[LIMIT_BAL]]&lt;=100000,"Low",Table2[[#This Row],[LIMIT_BAL]]&lt;=300000,"Medium",
TRUE,"High"
)</f>
        <v>Medium</v>
      </c>
      <c r="D1347" t="s">
        <v>2041</v>
      </c>
      <c r="E1347" t="s">
        <v>2026</v>
      </c>
      <c r="F1347" t="s">
        <v>2029</v>
      </c>
      <c r="G1347">
        <v>35</v>
      </c>
      <c r="H1347" t="str" cm="1">
        <f t="array" ref="H1347">_xlfn.IFS(
Table2[[#This Row],[AGE]]&lt;30,"Young",
Table2[[#This Row],[AGE]]&lt;40,"Middle Age",
Table2[[#This Row],[AGE]]&lt;50,"Senior",
TRUE,"Super Senior"
)</f>
        <v>Middle Age</v>
      </c>
      <c r="I1347">
        <v>1</v>
      </c>
      <c r="J1347">
        <v>2</v>
      </c>
      <c r="K1347">
        <v>0</v>
      </c>
      <c r="L1347">
        <v>0</v>
      </c>
      <c r="M1347">
        <v>0</v>
      </c>
      <c r="N1347">
        <v>0</v>
      </c>
      <c r="O1347" s="1">
        <v>77785</v>
      </c>
      <c r="P1347" s="1">
        <v>75984</v>
      </c>
      <c r="Q1347" s="1">
        <v>78109</v>
      </c>
      <c r="R1347" s="1">
        <v>79198</v>
      </c>
      <c r="S1347" s="1">
        <v>80865</v>
      </c>
      <c r="T1347" s="1">
        <v>82859</v>
      </c>
      <c r="U1347" s="1">
        <v>0</v>
      </c>
      <c r="V1347" s="1">
        <v>4000</v>
      </c>
      <c r="W1347" s="1">
        <v>2988</v>
      </c>
      <c r="X1347" s="1">
        <v>3100</v>
      </c>
      <c r="Y1347" s="1">
        <v>3500</v>
      </c>
      <c r="Z1347" s="1">
        <v>6382</v>
      </c>
      <c r="AA1347">
        <v>0</v>
      </c>
      <c r="AB1347" t="str">
        <f t="shared" ref="AB1347:AB1410" si="21">IF(AA1347=1,"Defaulter","Not Defaulter")</f>
        <v>Not Defaulter</v>
      </c>
      <c r="AC1347" s="1">
        <f>Table2[[#This Row],[BILL_AMT1]]-Table2[[#This Row],[PAY_AMT1]]</f>
        <v>77785</v>
      </c>
      <c r="AD1347" s="1" t="str" cm="1">
        <f t="array" ref="AD1347">_xlfn.IFS(Table2[[#This Row],[PAYMENT GAP]]&lt;=0,"No Gap / Overpaid",Table2[[#This Row],[PAYMENT GAP]]&lt;=25000,"Low Gap",Table2[[#This Row],[PAYMENT GAP]]&lt;=100000,"Medium Gap",
TRUE,"High Gap"
)</f>
        <v>Medium Gap</v>
      </c>
    </row>
    <row r="1348" spans="1:30" x14ac:dyDescent="0.3">
      <c r="A1348">
        <v>1347</v>
      </c>
      <c r="B1348" s="1">
        <v>220000</v>
      </c>
      <c r="C1348" s="1" t="str" cm="1">
        <f t="array" ref="C1348">_xlfn.IFS(Table2[[#This Row],[LIMIT_BAL]]&lt;=100000,"Low",Table2[[#This Row],[LIMIT_BAL]]&lt;=300000,"Medium",
TRUE,"High"
)</f>
        <v>Medium</v>
      </c>
      <c r="D1348" t="s">
        <v>2041</v>
      </c>
      <c r="E1348" t="s">
        <v>2043</v>
      </c>
      <c r="F1348" t="s">
        <v>2028</v>
      </c>
      <c r="G1348">
        <v>49</v>
      </c>
      <c r="H1348" t="str" cm="1">
        <f t="array" ref="H1348">_xlfn.IFS(
Table2[[#This Row],[AGE]]&lt;30,"Young",
Table2[[#This Row],[AGE]]&lt;40,"Middle Age",
Table2[[#This Row],[AGE]]&lt;50,"Senior",
TRUE,"Super Senior"
)</f>
        <v>Senior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 s="1">
        <v>172184</v>
      </c>
      <c r="P1348" s="1">
        <v>170697</v>
      </c>
      <c r="Q1348" s="1">
        <v>168041</v>
      </c>
      <c r="R1348" s="1">
        <v>163783</v>
      </c>
      <c r="S1348" s="1">
        <v>160806</v>
      </c>
      <c r="T1348" s="1">
        <v>158866</v>
      </c>
      <c r="U1348" s="1">
        <v>7583</v>
      </c>
      <c r="V1348" s="1">
        <v>7461</v>
      </c>
      <c r="W1348" s="1">
        <v>5809</v>
      </c>
      <c r="X1348" s="1">
        <v>5608</v>
      </c>
      <c r="Y1348" s="1">
        <v>6500</v>
      </c>
      <c r="Z1348" s="1">
        <v>6100</v>
      </c>
      <c r="AA1348">
        <v>0</v>
      </c>
      <c r="AB1348" t="str">
        <f t="shared" si="21"/>
        <v>Not Defaulter</v>
      </c>
      <c r="AC1348" s="1">
        <f>Table2[[#This Row],[BILL_AMT1]]-Table2[[#This Row],[PAY_AMT1]]</f>
        <v>164601</v>
      </c>
      <c r="AD1348" s="1" t="str" cm="1">
        <f t="array" ref="AD1348">_xlfn.IFS(Table2[[#This Row],[PAYMENT GAP]]&lt;=0,"No Gap / Overpaid",Table2[[#This Row],[PAYMENT GAP]]&lt;=25000,"Low Gap",Table2[[#This Row],[PAYMENT GAP]]&lt;=100000,"Medium Gap",
TRUE,"High Gap"
)</f>
        <v>High Gap</v>
      </c>
    </row>
    <row r="1349" spans="1:30" x14ac:dyDescent="0.3">
      <c r="A1349">
        <v>1348</v>
      </c>
      <c r="B1349" s="1">
        <v>630000</v>
      </c>
      <c r="C1349" s="1" t="str" cm="1">
        <f t="array" ref="C1349">_xlfn.IFS(Table2[[#This Row],[LIMIT_BAL]]&lt;=100000,"Low",Table2[[#This Row],[LIMIT_BAL]]&lt;=300000,"Medium",
TRUE,"High"
)</f>
        <v>High</v>
      </c>
      <c r="D1349" t="s">
        <v>2042</v>
      </c>
      <c r="E1349" t="s">
        <v>2026</v>
      </c>
      <c r="F1349" t="s">
        <v>2029</v>
      </c>
      <c r="G1349">
        <v>40</v>
      </c>
      <c r="H1349" t="str" cm="1">
        <f t="array" ref="H1349">_xlfn.IFS(
Table2[[#This Row],[AGE]]&lt;30,"Young",
Table2[[#This Row],[AGE]]&lt;40,"Middle Age",
Table2[[#This Row],[AGE]]&lt;50,"Senior",
TRUE,"Super Senior"
)</f>
        <v>Senior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 s="1">
        <v>440474</v>
      </c>
      <c r="P1349" s="1">
        <v>444370</v>
      </c>
      <c r="Q1349" s="1">
        <v>455286</v>
      </c>
      <c r="R1349" s="1">
        <v>327021</v>
      </c>
      <c r="S1349" s="1">
        <v>334558</v>
      </c>
      <c r="T1349" s="1">
        <v>341439</v>
      </c>
      <c r="U1349" s="1">
        <v>18000</v>
      </c>
      <c r="V1349" s="1">
        <v>20000</v>
      </c>
      <c r="W1349" s="1">
        <v>12000</v>
      </c>
      <c r="X1349" s="1">
        <v>13000</v>
      </c>
      <c r="Y1349" s="1">
        <v>13022</v>
      </c>
      <c r="Z1349" s="1">
        <v>13016</v>
      </c>
      <c r="AA1349">
        <v>0</v>
      </c>
      <c r="AB1349" t="str">
        <f t="shared" si="21"/>
        <v>Not Defaulter</v>
      </c>
      <c r="AC1349" s="1">
        <f>Table2[[#This Row],[BILL_AMT1]]-Table2[[#This Row],[PAY_AMT1]]</f>
        <v>422474</v>
      </c>
      <c r="AD1349" s="1" t="str" cm="1">
        <f t="array" ref="AD1349">_xlfn.IFS(Table2[[#This Row],[PAYMENT GAP]]&lt;=0,"No Gap / Overpaid",Table2[[#This Row],[PAYMENT GAP]]&lt;=25000,"Low Gap",Table2[[#This Row],[PAYMENT GAP]]&lt;=100000,"Medium Gap",
TRUE,"High Gap"
)</f>
        <v>High Gap</v>
      </c>
    </row>
    <row r="1350" spans="1:30" x14ac:dyDescent="0.3">
      <c r="A1350">
        <v>1349</v>
      </c>
      <c r="B1350" s="1">
        <v>300000</v>
      </c>
      <c r="C1350" s="1" t="str" cm="1">
        <f t="array" ref="C1350">_xlfn.IFS(Table2[[#This Row],[LIMIT_BAL]]&lt;=100000,"Low",Table2[[#This Row],[LIMIT_BAL]]&lt;=300000,"Medium",
TRUE,"High"
)</f>
        <v>Medium</v>
      </c>
      <c r="D1350" t="s">
        <v>2041</v>
      </c>
      <c r="E1350" t="s">
        <v>2026</v>
      </c>
      <c r="F1350" t="s">
        <v>2029</v>
      </c>
      <c r="G1350">
        <v>34</v>
      </c>
      <c r="H1350" t="str" cm="1">
        <f t="array" ref="H1350">_xlfn.IFS(
Table2[[#This Row],[AGE]]&lt;30,"Young",
Table2[[#This Row],[AGE]]&lt;40,"Middle Age",
Table2[[#This Row],[AGE]]&lt;50,"Senior",
TRUE,"Super Senior"
)</f>
        <v>Middle Age</v>
      </c>
      <c r="I1350">
        <v>-1</v>
      </c>
      <c r="J1350">
        <v>-1</v>
      </c>
      <c r="K1350">
        <v>-1</v>
      </c>
      <c r="L1350">
        <v>-1</v>
      </c>
      <c r="M1350">
        <v>-1</v>
      </c>
      <c r="N1350">
        <v>-1</v>
      </c>
      <c r="O1350" s="1">
        <v>19357</v>
      </c>
      <c r="P1350" s="1">
        <v>5000</v>
      </c>
      <c r="Q1350" s="1">
        <v>3744</v>
      </c>
      <c r="R1350" s="1">
        <v>8059</v>
      </c>
      <c r="S1350" s="1">
        <v>3425</v>
      </c>
      <c r="T1350" s="1">
        <v>11860</v>
      </c>
      <c r="U1350" s="1">
        <v>5032</v>
      </c>
      <c r="V1350" s="1">
        <v>3744</v>
      </c>
      <c r="W1350" s="1">
        <v>8059</v>
      </c>
      <c r="X1350" s="1">
        <v>3425</v>
      </c>
      <c r="Y1350" s="1">
        <v>11860</v>
      </c>
      <c r="Z1350" s="1">
        <v>7595</v>
      </c>
      <c r="AA1350">
        <v>0</v>
      </c>
      <c r="AB1350" t="str">
        <f t="shared" si="21"/>
        <v>Not Defaulter</v>
      </c>
      <c r="AC1350" s="1">
        <f>Table2[[#This Row],[BILL_AMT1]]-Table2[[#This Row],[PAY_AMT1]]</f>
        <v>14325</v>
      </c>
      <c r="AD1350" s="1" t="str" cm="1">
        <f t="array" ref="AD1350">_xlfn.IFS(Table2[[#This Row],[PAYMENT GAP]]&lt;=0,"No Gap / Overpaid",Table2[[#This Row],[PAYMENT GAP]]&lt;=25000,"Low Gap",Table2[[#This Row],[PAYMENT GAP]]&lt;=100000,"Medium Gap",
TRUE,"High Gap"
)</f>
        <v>Low Gap</v>
      </c>
    </row>
    <row r="1351" spans="1:30" x14ac:dyDescent="0.3">
      <c r="A1351">
        <v>1350</v>
      </c>
      <c r="B1351" s="1">
        <v>10000</v>
      </c>
      <c r="C1351" s="1" t="str" cm="1">
        <f t="array" ref="C1351">_xlfn.IFS(Table2[[#This Row],[LIMIT_BAL]]&lt;=100000,"Low",Table2[[#This Row],[LIMIT_BAL]]&lt;=300000,"Medium",
TRUE,"High"
)</f>
        <v>Low</v>
      </c>
      <c r="D1351" t="s">
        <v>2041</v>
      </c>
      <c r="E1351" t="s">
        <v>2043</v>
      </c>
      <c r="F1351" t="s">
        <v>2029</v>
      </c>
      <c r="G1351">
        <v>49</v>
      </c>
      <c r="H1351" t="str" cm="1">
        <f t="array" ref="H1351">_xlfn.IFS(
Table2[[#This Row],[AGE]]&lt;30,"Young",
Table2[[#This Row],[AGE]]&lt;40,"Middle Age",
Table2[[#This Row],[AGE]]&lt;50,"Senior",
TRUE,"Super Senior"
)</f>
        <v>Senior</v>
      </c>
      <c r="I1351">
        <v>1</v>
      </c>
      <c r="J1351">
        <v>2</v>
      </c>
      <c r="K1351">
        <v>0</v>
      </c>
      <c r="L1351">
        <v>0</v>
      </c>
      <c r="M1351">
        <v>0</v>
      </c>
      <c r="N1351">
        <v>0</v>
      </c>
      <c r="O1351" s="1">
        <v>8184</v>
      </c>
      <c r="P1351" s="1">
        <v>5011</v>
      </c>
      <c r="Q1351" s="1">
        <v>5728</v>
      </c>
      <c r="R1351" s="1">
        <v>4255</v>
      </c>
      <c r="S1351" s="1">
        <v>2782</v>
      </c>
      <c r="T1351" s="1">
        <v>1309</v>
      </c>
      <c r="U1351" s="1">
        <v>0</v>
      </c>
      <c r="V1351" s="1">
        <v>1000</v>
      </c>
      <c r="W1351" s="1">
        <v>0</v>
      </c>
      <c r="X1351" s="1">
        <v>0</v>
      </c>
      <c r="Y1351" s="1">
        <v>0</v>
      </c>
      <c r="Z1351" s="1">
        <v>0</v>
      </c>
      <c r="AA1351">
        <v>1</v>
      </c>
      <c r="AB1351" t="str">
        <f t="shared" si="21"/>
        <v>Defaulter</v>
      </c>
      <c r="AC1351" s="1">
        <f>Table2[[#This Row],[BILL_AMT1]]-Table2[[#This Row],[PAY_AMT1]]</f>
        <v>8184</v>
      </c>
      <c r="AD1351" s="1" t="str" cm="1">
        <f t="array" ref="AD1351">_xlfn.IFS(Table2[[#This Row],[PAYMENT GAP]]&lt;=0,"No Gap / Overpaid",Table2[[#This Row],[PAYMENT GAP]]&lt;=25000,"Low Gap",Table2[[#This Row],[PAYMENT GAP]]&lt;=100000,"Medium Gap",
TRUE,"High Gap"
)</f>
        <v>Low Gap</v>
      </c>
    </row>
    <row r="1352" spans="1:30" x14ac:dyDescent="0.3">
      <c r="A1352">
        <v>1351</v>
      </c>
      <c r="B1352" s="1">
        <v>50000</v>
      </c>
      <c r="C1352" s="1" t="str" cm="1">
        <f t="array" ref="C1352">_xlfn.IFS(Table2[[#This Row],[LIMIT_BAL]]&lt;=100000,"Low",Table2[[#This Row],[LIMIT_BAL]]&lt;=300000,"Medium",
TRUE,"High"
)</f>
        <v>Low</v>
      </c>
      <c r="D1352" t="s">
        <v>2042</v>
      </c>
      <c r="E1352" t="s">
        <v>2043</v>
      </c>
      <c r="F1352" t="s">
        <v>2029</v>
      </c>
      <c r="G1352">
        <v>29</v>
      </c>
      <c r="H1352" t="str" cm="1">
        <f t="array" ref="H1352">_xlfn.IFS(
Table2[[#This Row],[AGE]]&lt;30,"Young",
Table2[[#This Row],[AGE]]&lt;40,"Middle Age",
Table2[[#This Row],[AGE]]&lt;50,"Senior",
TRUE,"Super Senior"
)</f>
        <v>Young</v>
      </c>
      <c r="I1352">
        <v>1</v>
      </c>
      <c r="J1352">
        <v>-2</v>
      </c>
      <c r="K1352">
        <v>-2</v>
      </c>
      <c r="L1352">
        <v>-2</v>
      </c>
      <c r="M1352">
        <v>-2</v>
      </c>
      <c r="N1352">
        <v>-2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1">
        <v>0</v>
      </c>
      <c r="Y1352" s="1">
        <v>0</v>
      </c>
      <c r="Z1352" s="1">
        <v>0</v>
      </c>
      <c r="AA1352">
        <v>0</v>
      </c>
      <c r="AB1352" t="str">
        <f t="shared" si="21"/>
        <v>Not Defaulter</v>
      </c>
      <c r="AC1352" s="1">
        <f>Table2[[#This Row],[BILL_AMT1]]-Table2[[#This Row],[PAY_AMT1]]</f>
        <v>0</v>
      </c>
      <c r="AD1352" s="1" t="str" cm="1">
        <f t="array" ref="AD1352">_xlfn.IFS(Table2[[#This Row],[PAYMENT GAP]]&lt;=0,"No Gap / Overpaid",Table2[[#This Row],[PAYMENT GAP]]&lt;=25000,"Low Gap",Table2[[#This Row],[PAYMENT GAP]]&lt;=100000,"Medium Gap",
TRUE,"High Gap"
)</f>
        <v>No Gap / Overpaid</v>
      </c>
    </row>
    <row r="1353" spans="1:30" x14ac:dyDescent="0.3">
      <c r="A1353">
        <v>1352</v>
      </c>
      <c r="B1353" s="1">
        <v>280000</v>
      </c>
      <c r="C1353" s="1" t="str" cm="1">
        <f t="array" ref="C1353">_xlfn.IFS(Table2[[#This Row],[LIMIT_BAL]]&lt;=100000,"Low",Table2[[#This Row],[LIMIT_BAL]]&lt;=300000,"Medium",
TRUE,"High"
)</f>
        <v>Medium</v>
      </c>
      <c r="D1353" t="s">
        <v>2041</v>
      </c>
      <c r="E1353" t="s">
        <v>2026</v>
      </c>
      <c r="F1353" t="s">
        <v>2028</v>
      </c>
      <c r="G1353">
        <v>39</v>
      </c>
      <c r="H1353" t="str" cm="1">
        <f t="array" ref="H1353">_xlfn.IFS(
Table2[[#This Row],[AGE]]&lt;30,"Young",
Table2[[#This Row],[AGE]]&lt;40,"Middle Age",
Table2[[#This Row],[AGE]]&lt;50,"Senior",
TRUE,"Super Senior"
)</f>
        <v>Middle Age</v>
      </c>
      <c r="I1353">
        <v>-1</v>
      </c>
      <c r="J1353">
        <v>0</v>
      </c>
      <c r="K1353">
        <v>-1</v>
      </c>
      <c r="L1353">
        <v>-1</v>
      </c>
      <c r="M1353">
        <v>-1</v>
      </c>
      <c r="N1353">
        <v>-1</v>
      </c>
      <c r="O1353" s="1">
        <v>7791</v>
      </c>
      <c r="P1353" s="1">
        <v>5851</v>
      </c>
      <c r="Q1353" s="1">
        <v>430</v>
      </c>
      <c r="R1353" s="1">
        <v>2041</v>
      </c>
      <c r="S1353" s="1">
        <v>775</v>
      </c>
      <c r="T1353" s="1">
        <v>580</v>
      </c>
      <c r="U1353" s="1">
        <v>1000</v>
      </c>
      <c r="V1353" s="1">
        <v>430</v>
      </c>
      <c r="W1353" s="1">
        <v>2041</v>
      </c>
      <c r="X1353" s="1">
        <v>775</v>
      </c>
      <c r="Y1353" s="1">
        <v>580</v>
      </c>
      <c r="Z1353" s="1">
        <v>1029</v>
      </c>
      <c r="AA1353">
        <v>1</v>
      </c>
      <c r="AB1353" t="str">
        <f t="shared" si="21"/>
        <v>Defaulter</v>
      </c>
      <c r="AC1353" s="1">
        <f>Table2[[#This Row],[BILL_AMT1]]-Table2[[#This Row],[PAY_AMT1]]</f>
        <v>6791</v>
      </c>
      <c r="AD1353" s="1" t="str" cm="1">
        <f t="array" ref="AD1353">_xlfn.IFS(Table2[[#This Row],[PAYMENT GAP]]&lt;=0,"No Gap / Overpaid",Table2[[#This Row],[PAYMENT GAP]]&lt;=25000,"Low Gap",Table2[[#This Row],[PAYMENT GAP]]&lt;=100000,"Medium Gap",
TRUE,"High Gap"
)</f>
        <v>Low Gap</v>
      </c>
    </row>
    <row r="1354" spans="1:30" x14ac:dyDescent="0.3">
      <c r="A1354">
        <v>1353</v>
      </c>
      <c r="B1354" s="1">
        <v>130000</v>
      </c>
      <c r="C1354" s="1" t="str" cm="1">
        <f t="array" ref="C1354">_xlfn.IFS(Table2[[#This Row],[LIMIT_BAL]]&lt;=100000,"Low",Table2[[#This Row],[LIMIT_BAL]]&lt;=300000,"Medium",
TRUE,"High"
)</f>
        <v>Medium</v>
      </c>
      <c r="D1354" t="s">
        <v>2042</v>
      </c>
      <c r="E1354" t="s">
        <v>2026</v>
      </c>
      <c r="F1354" t="s">
        <v>2029</v>
      </c>
      <c r="G1354">
        <v>30</v>
      </c>
      <c r="H1354" t="str" cm="1">
        <f t="array" ref="H1354">_xlfn.IFS(
Table2[[#This Row],[AGE]]&lt;30,"Young",
Table2[[#This Row],[AGE]]&lt;40,"Middle Age",
Table2[[#This Row],[AGE]]&lt;50,"Senior",
TRUE,"Super Senior"
)</f>
        <v>Middle Age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 s="1">
        <v>4536</v>
      </c>
      <c r="P1354" s="1">
        <v>5616</v>
      </c>
      <c r="Q1354" s="1">
        <v>6455</v>
      </c>
      <c r="R1354" s="1">
        <v>6791</v>
      </c>
      <c r="S1354" s="1">
        <v>6991</v>
      </c>
      <c r="T1354" s="1">
        <v>0</v>
      </c>
      <c r="U1354" s="1">
        <v>1161</v>
      </c>
      <c r="V1354" s="1">
        <v>1000</v>
      </c>
      <c r="W1354" s="1">
        <v>336</v>
      </c>
      <c r="X1354" s="1">
        <v>200</v>
      </c>
      <c r="Y1354" s="1">
        <v>0</v>
      </c>
      <c r="Z1354" s="1">
        <v>0</v>
      </c>
      <c r="AA1354">
        <v>0</v>
      </c>
      <c r="AB1354" t="str">
        <f t="shared" si="21"/>
        <v>Not Defaulter</v>
      </c>
      <c r="AC1354" s="1">
        <f>Table2[[#This Row],[BILL_AMT1]]-Table2[[#This Row],[PAY_AMT1]]</f>
        <v>3375</v>
      </c>
      <c r="AD1354" s="1" t="str" cm="1">
        <f t="array" ref="AD1354">_xlfn.IFS(Table2[[#This Row],[PAYMENT GAP]]&lt;=0,"No Gap / Overpaid",Table2[[#This Row],[PAYMENT GAP]]&lt;=25000,"Low Gap",Table2[[#This Row],[PAYMENT GAP]]&lt;=100000,"Medium Gap",
TRUE,"High Gap"
)</f>
        <v>Low Gap</v>
      </c>
    </row>
    <row r="1355" spans="1:30" x14ac:dyDescent="0.3">
      <c r="A1355">
        <v>1354</v>
      </c>
      <c r="B1355" s="1">
        <v>30000</v>
      </c>
      <c r="C1355" s="1" t="str" cm="1">
        <f t="array" ref="C1355">_xlfn.IFS(Table2[[#This Row],[LIMIT_BAL]]&lt;=100000,"Low",Table2[[#This Row],[LIMIT_BAL]]&lt;=300000,"Medium",
TRUE,"High"
)</f>
        <v>Low</v>
      </c>
      <c r="D1355" t="s">
        <v>2041</v>
      </c>
      <c r="E1355" t="s">
        <v>2027</v>
      </c>
      <c r="F1355" t="s">
        <v>2028</v>
      </c>
      <c r="G1355">
        <v>28</v>
      </c>
      <c r="H1355" t="str" cm="1">
        <f t="array" ref="H1355">_xlfn.IFS(
Table2[[#This Row],[AGE]]&lt;30,"Young",
Table2[[#This Row],[AGE]]&lt;40,"Middle Age",
Table2[[#This Row],[AGE]]&lt;50,"Senior",
TRUE,"Super Senior"
)</f>
        <v>Young</v>
      </c>
      <c r="I1355">
        <v>0</v>
      </c>
      <c r="J1355">
        <v>0</v>
      </c>
      <c r="K1355">
        <v>0</v>
      </c>
      <c r="L1355">
        <v>2</v>
      </c>
      <c r="M1355">
        <v>0</v>
      </c>
      <c r="N1355">
        <v>0</v>
      </c>
      <c r="O1355" s="1">
        <v>23182</v>
      </c>
      <c r="P1355" s="1">
        <v>19083</v>
      </c>
      <c r="Q1355" s="1">
        <v>19632</v>
      </c>
      <c r="R1355" s="1">
        <v>15252</v>
      </c>
      <c r="S1355" s="1">
        <v>14021</v>
      </c>
      <c r="T1355" s="1">
        <v>13793</v>
      </c>
      <c r="U1355" s="1">
        <v>2000</v>
      </c>
      <c r="V1355" s="1">
        <v>2000</v>
      </c>
      <c r="W1355" s="1">
        <v>0</v>
      </c>
      <c r="X1355" s="1">
        <v>1500</v>
      </c>
      <c r="Y1355" s="1">
        <v>1353</v>
      </c>
      <c r="Z1355" s="1">
        <v>0</v>
      </c>
      <c r="AA1355">
        <v>0</v>
      </c>
      <c r="AB1355" t="str">
        <f t="shared" si="21"/>
        <v>Not Defaulter</v>
      </c>
      <c r="AC1355" s="1">
        <f>Table2[[#This Row],[BILL_AMT1]]-Table2[[#This Row],[PAY_AMT1]]</f>
        <v>21182</v>
      </c>
      <c r="AD1355" s="1" t="str" cm="1">
        <f t="array" ref="AD1355">_xlfn.IFS(Table2[[#This Row],[PAYMENT GAP]]&lt;=0,"No Gap / Overpaid",Table2[[#This Row],[PAYMENT GAP]]&lt;=25000,"Low Gap",Table2[[#This Row],[PAYMENT GAP]]&lt;=100000,"Medium Gap",
TRUE,"High Gap"
)</f>
        <v>Low Gap</v>
      </c>
    </row>
    <row r="1356" spans="1:30" x14ac:dyDescent="0.3">
      <c r="A1356">
        <v>1355</v>
      </c>
      <c r="B1356" s="1">
        <v>50000</v>
      </c>
      <c r="C1356" s="1" t="str" cm="1">
        <f t="array" ref="C1356">_xlfn.IFS(Table2[[#This Row],[LIMIT_BAL]]&lt;=100000,"Low",Table2[[#This Row],[LIMIT_BAL]]&lt;=300000,"Medium",
TRUE,"High"
)</f>
        <v>Low</v>
      </c>
      <c r="D1356" t="s">
        <v>2041</v>
      </c>
      <c r="E1356" t="s">
        <v>2043</v>
      </c>
      <c r="F1356" t="s">
        <v>2028</v>
      </c>
      <c r="G1356">
        <v>27</v>
      </c>
      <c r="H1356" t="str" cm="1">
        <f t="array" ref="H1356">_xlfn.IFS(
Table2[[#This Row],[AGE]]&lt;30,"Young",
Table2[[#This Row],[AGE]]&lt;40,"Middle Age",
Table2[[#This Row],[AGE]]&lt;50,"Senior",
TRUE,"Super Senior"
)</f>
        <v>Young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 s="1">
        <v>9877</v>
      </c>
      <c r="P1356" s="1">
        <v>10800</v>
      </c>
      <c r="Q1356" s="1">
        <v>5921</v>
      </c>
      <c r="R1356" s="1">
        <v>6042</v>
      </c>
      <c r="S1356" s="1">
        <v>4012</v>
      </c>
      <c r="T1356" s="1">
        <v>0</v>
      </c>
      <c r="U1356" s="1">
        <v>1140</v>
      </c>
      <c r="V1356" s="1">
        <v>1000</v>
      </c>
      <c r="W1356" s="1">
        <v>121</v>
      </c>
      <c r="X1356" s="1">
        <v>0</v>
      </c>
      <c r="Y1356" s="1">
        <v>0</v>
      </c>
      <c r="Z1356" s="1">
        <v>10620</v>
      </c>
      <c r="AA1356">
        <v>0</v>
      </c>
      <c r="AB1356" t="str">
        <f t="shared" si="21"/>
        <v>Not Defaulter</v>
      </c>
      <c r="AC1356" s="1">
        <f>Table2[[#This Row],[BILL_AMT1]]-Table2[[#This Row],[PAY_AMT1]]</f>
        <v>8737</v>
      </c>
      <c r="AD1356" s="1" t="str" cm="1">
        <f t="array" ref="AD1356">_xlfn.IFS(Table2[[#This Row],[PAYMENT GAP]]&lt;=0,"No Gap / Overpaid",Table2[[#This Row],[PAYMENT GAP]]&lt;=25000,"Low Gap",Table2[[#This Row],[PAYMENT GAP]]&lt;=100000,"Medium Gap",
TRUE,"High Gap"
)</f>
        <v>Low Gap</v>
      </c>
    </row>
    <row r="1357" spans="1:30" x14ac:dyDescent="0.3">
      <c r="A1357">
        <v>1356</v>
      </c>
      <c r="B1357" s="1">
        <v>70000</v>
      </c>
      <c r="C1357" s="1" t="str" cm="1">
        <f t="array" ref="C1357">_xlfn.IFS(Table2[[#This Row],[LIMIT_BAL]]&lt;=100000,"Low",Table2[[#This Row],[LIMIT_BAL]]&lt;=300000,"Medium",
TRUE,"High"
)</f>
        <v>Low</v>
      </c>
      <c r="D1357" t="s">
        <v>2041</v>
      </c>
      <c r="E1357" t="s">
        <v>2027</v>
      </c>
      <c r="F1357" t="s">
        <v>2028</v>
      </c>
      <c r="G1357">
        <v>38</v>
      </c>
      <c r="H1357" t="str" cm="1">
        <f t="array" ref="H1357">_xlfn.IFS(
Table2[[#This Row],[AGE]]&lt;30,"Young",
Table2[[#This Row],[AGE]]&lt;40,"Middle Age",
Table2[[#This Row],[AGE]]&lt;50,"Senior",
TRUE,"Super Senior"
)</f>
        <v>Middle Age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 s="1">
        <v>24758</v>
      </c>
      <c r="P1357" s="1">
        <v>25581</v>
      </c>
      <c r="Q1357" s="1">
        <v>16105</v>
      </c>
      <c r="R1357" s="1">
        <v>17571</v>
      </c>
      <c r="S1357" s="1">
        <v>18330</v>
      </c>
      <c r="T1357" s="1">
        <v>16268</v>
      </c>
      <c r="U1357" s="1">
        <v>1273</v>
      </c>
      <c r="V1357" s="1">
        <v>1534</v>
      </c>
      <c r="W1357" s="1">
        <v>2000</v>
      </c>
      <c r="X1357" s="1">
        <v>1000</v>
      </c>
      <c r="Y1357" s="1">
        <v>1000</v>
      </c>
      <c r="Z1357" s="1">
        <v>1000</v>
      </c>
      <c r="AA1357">
        <v>0</v>
      </c>
      <c r="AB1357" t="str">
        <f t="shared" si="21"/>
        <v>Not Defaulter</v>
      </c>
      <c r="AC1357" s="1">
        <f>Table2[[#This Row],[BILL_AMT1]]-Table2[[#This Row],[PAY_AMT1]]</f>
        <v>23485</v>
      </c>
      <c r="AD1357" s="1" t="str" cm="1">
        <f t="array" ref="AD1357">_xlfn.IFS(Table2[[#This Row],[PAYMENT GAP]]&lt;=0,"No Gap / Overpaid",Table2[[#This Row],[PAYMENT GAP]]&lt;=25000,"Low Gap",Table2[[#This Row],[PAYMENT GAP]]&lt;=100000,"Medium Gap",
TRUE,"High Gap"
)</f>
        <v>Low Gap</v>
      </c>
    </row>
    <row r="1358" spans="1:30" x14ac:dyDescent="0.3">
      <c r="A1358">
        <v>1357</v>
      </c>
      <c r="B1358" s="1">
        <v>80000</v>
      </c>
      <c r="C1358" s="1" t="str" cm="1">
        <f t="array" ref="C1358">_xlfn.IFS(Table2[[#This Row],[LIMIT_BAL]]&lt;=100000,"Low",Table2[[#This Row],[LIMIT_BAL]]&lt;=300000,"Medium",
TRUE,"High"
)</f>
        <v>Low</v>
      </c>
      <c r="D1358" t="s">
        <v>2042</v>
      </c>
      <c r="E1358" t="s">
        <v>2043</v>
      </c>
      <c r="F1358" t="s">
        <v>2029</v>
      </c>
      <c r="G1358">
        <v>29</v>
      </c>
      <c r="H1358" t="str" cm="1">
        <f t="array" ref="H1358">_xlfn.IFS(
Table2[[#This Row],[AGE]]&lt;30,"Young",
Table2[[#This Row],[AGE]]&lt;40,"Middle Age",
Table2[[#This Row],[AGE]]&lt;50,"Senior",
TRUE,"Super Senior"
)</f>
        <v>Young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 s="1">
        <v>41815</v>
      </c>
      <c r="P1358" s="1">
        <v>42938</v>
      </c>
      <c r="Q1358" s="1">
        <v>44022</v>
      </c>
      <c r="R1358" s="1">
        <v>44792</v>
      </c>
      <c r="S1358" s="1">
        <v>45915</v>
      </c>
      <c r="T1358" s="1">
        <v>46998</v>
      </c>
      <c r="U1358" s="1">
        <v>2100</v>
      </c>
      <c r="V1358" s="1">
        <v>2100</v>
      </c>
      <c r="W1358" s="1">
        <v>1800</v>
      </c>
      <c r="X1358" s="1">
        <v>2000</v>
      </c>
      <c r="Y1358" s="1">
        <v>2000</v>
      </c>
      <c r="Z1358" s="1">
        <v>2500</v>
      </c>
      <c r="AA1358">
        <v>0</v>
      </c>
      <c r="AB1358" t="str">
        <f t="shared" si="21"/>
        <v>Not Defaulter</v>
      </c>
      <c r="AC1358" s="1">
        <f>Table2[[#This Row],[BILL_AMT1]]-Table2[[#This Row],[PAY_AMT1]]</f>
        <v>39715</v>
      </c>
      <c r="AD1358" s="1" t="str" cm="1">
        <f t="array" ref="AD1358">_xlfn.IFS(Table2[[#This Row],[PAYMENT GAP]]&lt;=0,"No Gap / Overpaid",Table2[[#This Row],[PAYMENT GAP]]&lt;=25000,"Low Gap",Table2[[#This Row],[PAYMENT GAP]]&lt;=100000,"Medium Gap",
TRUE,"High Gap"
)</f>
        <v>Medium Gap</v>
      </c>
    </row>
    <row r="1359" spans="1:30" x14ac:dyDescent="0.3">
      <c r="A1359">
        <v>1358</v>
      </c>
      <c r="B1359" s="1">
        <v>20000</v>
      </c>
      <c r="C1359" s="1" t="str" cm="1">
        <f t="array" ref="C1359">_xlfn.IFS(Table2[[#This Row],[LIMIT_BAL]]&lt;=100000,"Low",Table2[[#This Row],[LIMIT_BAL]]&lt;=300000,"Medium",
TRUE,"High"
)</f>
        <v>Low</v>
      </c>
      <c r="D1359" t="s">
        <v>2041</v>
      </c>
      <c r="E1359" t="s">
        <v>2043</v>
      </c>
      <c r="F1359" t="s">
        <v>2028</v>
      </c>
      <c r="G1359">
        <v>22</v>
      </c>
      <c r="H1359" t="str" cm="1">
        <f t="array" ref="H1359">_xlfn.IFS(
Table2[[#This Row],[AGE]]&lt;30,"Young",
Table2[[#This Row],[AGE]]&lt;40,"Middle Age",
Table2[[#This Row],[AGE]]&lt;50,"Senior",
TRUE,"Super Senior"
)</f>
        <v>Young</v>
      </c>
      <c r="I1359">
        <v>2</v>
      </c>
      <c r="J1359">
        <v>2</v>
      </c>
      <c r="K1359">
        <v>2</v>
      </c>
      <c r="L1359">
        <v>0</v>
      </c>
      <c r="M1359">
        <v>0</v>
      </c>
      <c r="N1359">
        <v>0</v>
      </c>
      <c r="O1359" s="1">
        <v>16726</v>
      </c>
      <c r="P1359" s="1">
        <v>19143</v>
      </c>
      <c r="Q1359" s="1">
        <v>18391</v>
      </c>
      <c r="R1359" s="1">
        <v>18562</v>
      </c>
      <c r="S1359" s="1">
        <v>11798</v>
      </c>
      <c r="T1359" s="1">
        <v>0</v>
      </c>
      <c r="U1359" s="1">
        <v>3000</v>
      </c>
      <c r="V1359" s="1">
        <v>0</v>
      </c>
      <c r="W1359" s="1">
        <v>371</v>
      </c>
      <c r="X1359" s="1">
        <v>1236</v>
      </c>
      <c r="Y1359" s="1">
        <v>0</v>
      </c>
      <c r="Z1359" s="1">
        <v>0</v>
      </c>
      <c r="AA1359">
        <v>1</v>
      </c>
      <c r="AB1359" t="str">
        <f t="shared" si="21"/>
        <v>Defaulter</v>
      </c>
      <c r="AC1359" s="1">
        <f>Table2[[#This Row],[BILL_AMT1]]-Table2[[#This Row],[PAY_AMT1]]</f>
        <v>13726</v>
      </c>
      <c r="AD1359" s="1" t="str" cm="1">
        <f t="array" ref="AD1359">_xlfn.IFS(Table2[[#This Row],[PAYMENT GAP]]&lt;=0,"No Gap / Overpaid",Table2[[#This Row],[PAYMENT GAP]]&lt;=25000,"Low Gap",Table2[[#This Row],[PAYMENT GAP]]&lt;=100000,"Medium Gap",
TRUE,"High Gap"
)</f>
        <v>Low Gap</v>
      </c>
    </row>
    <row r="1360" spans="1:30" x14ac:dyDescent="0.3">
      <c r="A1360">
        <v>1359</v>
      </c>
      <c r="B1360" s="1">
        <v>390000</v>
      </c>
      <c r="C1360" s="1" t="str" cm="1">
        <f t="array" ref="C1360">_xlfn.IFS(Table2[[#This Row],[LIMIT_BAL]]&lt;=100000,"Low",Table2[[#This Row],[LIMIT_BAL]]&lt;=300000,"Medium",
TRUE,"High"
)</f>
        <v>High</v>
      </c>
      <c r="D1360" t="s">
        <v>2042</v>
      </c>
      <c r="E1360" t="s">
        <v>2026</v>
      </c>
      <c r="F1360" t="s">
        <v>2028</v>
      </c>
      <c r="G1360">
        <v>41</v>
      </c>
      <c r="H1360" t="str" cm="1">
        <f t="array" ref="H1360">_xlfn.IFS(
Table2[[#This Row],[AGE]]&lt;30,"Young",
Table2[[#This Row],[AGE]]&lt;40,"Middle Age",
Table2[[#This Row],[AGE]]&lt;50,"Senior",
TRUE,"Super Senior"
)</f>
        <v>Senior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 s="1">
        <v>495559</v>
      </c>
      <c r="P1360" s="1">
        <v>248821</v>
      </c>
      <c r="Q1360" s="1">
        <v>216051</v>
      </c>
      <c r="R1360" s="1">
        <v>208373</v>
      </c>
      <c r="S1360" s="1">
        <v>199727</v>
      </c>
      <c r="T1360" s="1">
        <v>186332</v>
      </c>
      <c r="U1360" s="1">
        <v>10218</v>
      </c>
      <c r="V1360" s="1">
        <v>8035</v>
      </c>
      <c r="W1360" s="1">
        <v>7035</v>
      </c>
      <c r="X1360" s="1">
        <v>6056</v>
      </c>
      <c r="Y1360" s="1">
        <v>8053</v>
      </c>
      <c r="Z1360" s="1">
        <v>5603</v>
      </c>
      <c r="AA1360">
        <v>0</v>
      </c>
      <c r="AB1360" t="str">
        <f t="shared" si="21"/>
        <v>Not Defaulter</v>
      </c>
      <c r="AC1360" s="1">
        <f>Table2[[#This Row],[BILL_AMT1]]-Table2[[#This Row],[PAY_AMT1]]</f>
        <v>485341</v>
      </c>
      <c r="AD1360" s="1" t="str" cm="1">
        <f t="array" ref="AD1360">_xlfn.IFS(Table2[[#This Row],[PAYMENT GAP]]&lt;=0,"No Gap / Overpaid",Table2[[#This Row],[PAYMENT GAP]]&lt;=25000,"Low Gap",Table2[[#This Row],[PAYMENT GAP]]&lt;=100000,"Medium Gap",
TRUE,"High Gap"
)</f>
        <v>High Gap</v>
      </c>
    </row>
    <row r="1361" spans="1:30" x14ac:dyDescent="0.3">
      <c r="A1361">
        <v>1360</v>
      </c>
      <c r="B1361" s="1">
        <v>470000</v>
      </c>
      <c r="C1361" s="1" t="str" cm="1">
        <f t="array" ref="C1361">_xlfn.IFS(Table2[[#This Row],[LIMIT_BAL]]&lt;=100000,"Low",Table2[[#This Row],[LIMIT_BAL]]&lt;=300000,"Medium",
TRUE,"High"
)</f>
        <v>High</v>
      </c>
      <c r="D1361" t="s">
        <v>2041</v>
      </c>
      <c r="E1361" t="s">
        <v>2043</v>
      </c>
      <c r="F1361" t="s">
        <v>2029</v>
      </c>
      <c r="G1361">
        <v>32</v>
      </c>
      <c r="H1361" t="str" cm="1">
        <f t="array" ref="H1361">_xlfn.IFS(
Table2[[#This Row],[AGE]]&lt;30,"Young",
Table2[[#This Row],[AGE]]&lt;40,"Middle Age",
Table2[[#This Row],[AGE]]&lt;50,"Senior",
TRUE,"Super Senior"
)</f>
        <v>Middle Age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 s="1">
        <v>147113</v>
      </c>
      <c r="P1361" s="1">
        <v>133486</v>
      </c>
      <c r="Q1361" s="1">
        <v>125159</v>
      </c>
      <c r="R1361" s="1">
        <v>120869</v>
      </c>
      <c r="S1361" s="1">
        <v>60507</v>
      </c>
      <c r="T1361" s="1">
        <v>53100</v>
      </c>
      <c r="U1361" s="1">
        <v>5000</v>
      </c>
      <c r="V1361" s="1">
        <v>4500</v>
      </c>
      <c r="W1361" s="1">
        <v>2505</v>
      </c>
      <c r="X1361" s="1">
        <v>50000</v>
      </c>
      <c r="Y1361" s="1">
        <v>3000</v>
      </c>
      <c r="Z1361" s="1">
        <v>3000</v>
      </c>
      <c r="AA1361">
        <v>0</v>
      </c>
      <c r="AB1361" t="str">
        <f t="shared" si="21"/>
        <v>Not Defaulter</v>
      </c>
      <c r="AC1361" s="1">
        <f>Table2[[#This Row],[BILL_AMT1]]-Table2[[#This Row],[PAY_AMT1]]</f>
        <v>142113</v>
      </c>
      <c r="AD1361" s="1" t="str" cm="1">
        <f t="array" ref="AD1361">_xlfn.IFS(Table2[[#This Row],[PAYMENT GAP]]&lt;=0,"No Gap / Overpaid",Table2[[#This Row],[PAYMENT GAP]]&lt;=25000,"Low Gap",Table2[[#This Row],[PAYMENT GAP]]&lt;=100000,"Medium Gap",
TRUE,"High Gap"
)</f>
        <v>High Gap</v>
      </c>
    </row>
    <row r="1362" spans="1:30" x14ac:dyDescent="0.3">
      <c r="A1362">
        <v>1361</v>
      </c>
      <c r="B1362" s="1">
        <v>240000</v>
      </c>
      <c r="C1362" s="1" t="str" cm="1">
        <f t="array" ref="C1362">_xlfn.IFS(Table2[[#This Row],[LIMIT_BAL]]&lt;=100000,"Low",Table2[[#This Row],[LIMIT_BAL]]&lt;=300000,"Medium",
TRUE,"High"
)</f>
        <v>Medium</v>
      </c>
      <c r="D1362" t="s">
        <v>2041</v>
      </c>
      <c r="E1362" t="s">
        <v>2043</v>
      </c>
      <c r="F1362" t="s">
        <v>2029</v>
      </c>
      <c r="G1362">
        <v>30</v>
      </c>
      <c r="H1362" t="str" cm="1">
        <f t="array" ref="H1362">_xlfn.IFS(
Table2[[#This Row],[AGE]]&lt;30,"Young",
Table2[[#This Row],[AGE]]&lt;40,"Middle Age",
Table2[[#This Row],[AGE]]&lt;50,"Senior",
TRUE,"Super Senior"
)</f>
        <v>Middle Age</v>
      </c>
      <c r="I1362">
        <v>0</v>
      </c>
      <c r="J1362">
        <v>-1</v>
      </c>
      <c r="K1362">
        <v>-1</v>
      </c>
      <c r="L1362">
        <v>-2</v>
      </c>
      <c r="M1362">
        <v>-2</v>
      </c>
      <c r="N1362">
        <v>-2</v>
      </c>
      <c r="O1362" s="1">
        <v>7818</v>
      </c>
      <c r="P1362" s="1">
        <v>9363</v>
      </c>
      <c r="Q1362" s="1">
        <v>0</v>
      </c>
      <c r="R1362" s="1">
        <v>0</v>
      </c>
      <c r="S1362" s="1">
        <v>0</v>
      </c>
      <c r="T1362" s="1">
        <v>0</v>
      </c>
      <c r="U1362" s="1">
        <v>9434</v>
      </c>
      <c r="V1362" s="1">
        <v>0</v>
      </c>
      <c r="W1362" s="1">
        <v>0</v>
      </c>
      <c r="X1362" s="1">
        <v>0</v>
      </c>
      <c r="Y1362" s="1">
        <v>0</v>
      </c>
      <c r="Z1362" s="1">
        <v>178</v>
      </c>
      <c r="AA1362">
        <v>0</v>
      </c>
      <c r="AB1362" t="str">
        <f t="shared" si="21"/>
        <v>Not Defaulter</v>
      </c>
      <c r="AC1362" s="1">
        <f>Table2[[#This Row],[BILL_AMT1]]-Table2[[#This Row],[PAY_AMT1]]</f>
        <v>-1616</v>
      </c>
      <c r="AD1362" s="1" t="str" cm="1">
        <f t="array" ref="AD1362">_xlfn.IFS(Table2[[#This Row],[PAYMENT GAP]]&lt;=0,"No Gap / Overpaid",Table2[[#This Row],[PAYMENT GAP]]&lt;=25000,"Low Gap",Table2[[#This Row],[PAYMENT GAP]]&lt;=100000,"Medium Gap",
TRUE,"High Gap"
)</f>
        <v>No Gap / Overpaid</v>
      </c>
    </row>
    <row r="1363" spans="1:30" x14ac:dyDescent="0.3">
      <c r="A1363">
        <v>1362</v>
      </c>
      <c r="B1363" s="1">
        <v>140000</v>
      </c>
      <c r="C1363" s="1" t="str" cm="1">
        <f t="array" ref="C1363">_xlfn.IFS(Table2[[#This Row],[LIMIT_BAL]]&lt;=100000,"Low",Table2[[#This Row],[LIMIT_BAL]]&lt;=300000,"Medium",
TRUE,"High"
)</f>
        <v>Medium</v>
      </c>
      <c r="D1363" t="s">
        <v>2041</v>
      </c>
      <c r="E1363" t="s">
        <v>2026</v>
      </c>
      <c r="F1363" t="s">
        <v>2029</v>
      </c>
      <c r="G1363">
        <v>29</v>
      </c>
      <c r="H1363" t="str" cm="1">
        <f t="array" ref="H1363">_xlfn.IFS(
Table2[[#This Row],[AGE]]&lt;30,"Young",
Table2[[#This Row],[AGE]]&lt;40,"Middle Age",
Table2[[#This Row],[AGE]]&lt;50,"Senior",
TRUE,"Super Senior"
)</f>
        <v>Young</v>
      </c>
      <c r="I1363">
        <v>-1</v>
      </c>
      <c r="J1363">
        <v>-1</v>
      </c>
      <c r="K1363">
        <v>-1</v>
      </c>
      <c r="L1363">
        <v>-2</v>
      </c>
      <c r="M1363">
        <v>-2</v>
      </c>
      <c r="N1363">
        <v>-2</v>
      </c>
      <c r="O1363" s="1">
        <v>14943</v>
      </c>
      <c r="P1363" s="1">
        <v>2888</v>
      </c>
      <c r="Q1363" s="1">
        <v>0</v>
      </c>
      <c r="R1363" s="1">
        <v>0</v>
      </c>
      <c r="S1363" s="1">
        <v>0</v>
      </c>
      <c r="T1363" s="1">
        <v>0</v>
      </c>
      <c r="U1363" s="1">
        <v>2888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>
        <v>0</v>
      </c>
      <c r="AB1363" t="str">
        <f t="shared" si="21"/>
        <v>Not Defaulter</v>
      </c>
      <c r="AC1363" s="1">
        <f>Table2[[#This Row],[BILL_AMT1]]-Table2[[#This Row],[PAY_AMT1]]</f>
        <v>12055</v>
      </c>
      <c r="AD1363" s="1" t="str" cm="1">
        <f t="array" ref="AD1363">_xlfn.IFS(Table2[[#This Row],[PAYMENT GAP]]&lt;=0,"No Gap / Overpaid",Table2[[#This Row],[PAYMENT GAP]]&lt;=25000,"Low Gap",Table2[[#This Row],[PAYMENT GAP]]&lt;=100000,"Medium Gap",
TRUE,"High Gap"
)</f>
        <v>Low Gap</v>
      </c>
    </row>
    <row r="1364" spans="1:30" x14ac:dyDescent="0.3">
      <c r="A1364">
        <v>1363</v>
      </c>
      <c r="B1364" s="1">
        <v>260000</v>
      </c>
      <c r="C1364" s="1" t="str" cm="1">
        <f t="array" ref="C1364">_xlfn.IFS(Table2[[#This Row],[LIMIT_BAL]]&lt;=100000,"Low",Table2[[#This Row],[LIMIT_BAL]]&lt;=300000,"Medium",
TRUE,"High"
)</f>
        <v>Medium</v>
      </c>
      <c r="D1364" t="s">
        <v>2041</v>
      </c>
      <c r="E1364" t="s">
        <v>2043</v>
      </c>
      <c r="F1364" t="s">
        <v>2028</v>
      </c>
      <c r="G1364">
        <v>37</v>
      </c>
      <c r="H1364" t="str" cm="1">
        <f t="array" ref="H1364">_xlfn.IFS(
Table2[[#This Row],[AGE]]&lt;30,"Young",
Table2[[#This Row],[AGE]]&lt;40,"Middle Age",
Table2[[#This Row],[AGE]]&lt;50,"Senior",
TRUE,"Super Senior"
)</f>
        <v>Middle Age</v>
      </c>
      <c r="I1364">
        <v>2</v>
      </c>
      <c r="J1364">
        <v>2</v>
      </c>
      <c r="K1364">
        <v>2</v>
      </c>
      <c r="L1364">
        <v>0</v>
      </c>
      <c r="M1364">
        <v>0</v>
      </c>
      <c r="N1364">
        <v>0</v>
      </c>
      <c r="O1364" s="1">
        <v>244738</v>
      </c>
      <c r="P1364" s="1">
        <v>251351</v>
      </c>
      <c r="Q1364" s="1">
        <v>244949</v>
      </c>
      <c r="R1364" s="1">
        <v>248273</v>
      </c>
      <c r="S1364" s="1">
        <v>119124</v>
      </c>
      <c r="T1364" s="1">
        <v>132619</v>
      </c>
      <c r="U1364" s="1">
        <v>12000</v>
      </c>
      <c r="V1364" s="1">
        <v>0</v>
      </c>
      <c r="W1364" s="1">
        <v>11000</v>
      </c>
      <c r="X1364" s="1">
        <v>4321</v>
      </c>
      <c r="Y1364" s="1">
        <v>20000</v>
      </c>
      <c r="Z1364" s="1">
        <v>27</v>
      </c>
      <c r="AA1364">
        <v>1</v>
      </c>
      <c r="AB1364" t="str">
        <f t="shared" si="21"/>
        <v>Defaulter</v>
      </c>
      <c r="AC1364" s="1">
        <f>Table2[[#This Row],[BILL_AMT1]]-Table2[[#This Row],[PAY_AMT1]]</f>
        <v>232738</v>
      </c>
      <c r="AD1364" s="1" t="str" cm="1">
        <f t="array" ref="AD1364">_xlfn.IFS(Table2[[#This Row],[PAYMENT GAP]]&lt;=0,"No Gap / Overpaid",Table2[[#This Row],[PAYMENT GAP]]&lt;=25000,"Low Gap",Table2[[#This Row],[PAYMENT GAP]]&lt;=100000,"Medium Gap",
TRUE,"High Gap"
)</f>
        <v>High Gap</v>
      </c>
    </row>
    <row r="1365" spans="1:30" x14ac:dyDescent="0.3">
      <c r="A1365">
        <v>1364</v>
      </c>
      <c r="B1365" s="1">
        <v>150000</v>
      </c>
      <c r="C1365" s="1" t="str" cm="1">
        <f t="array" ref="C1365">_xlfn.IFS(Table2[[#This Row],[LIMIT_BAL]]&lt;=100000,"Low",Table2[[#This Row],[LIMIT_BAL]]&lt;=300000,"Medium",
TRUE,"High"
)</f>
        <v>Medium</v>
      </c>
      <c r="D1365" t="s">
        <v>2041</v>
      </c>
      <c r="E1365" t="s">
        <v>2026</v>
      </c>
      <c r="F1365" t="s">
        <v>2029</v>
      </c>
      <c r="G1365">
        <v>25</v>
      </c>
      <c r="H1365" t="str" cm="1">
        <f t="array" ref="H1365">_xlfn.IFS(
Table2[[#This Row],[AGE]]&lt;30,"Young",
Table2[[#This Row],[AGE]]&lt;40,"Middle Age",
Table2[[#This Row],[AGE]]&lt;50,"Senior",
TRUE,"Super Senior"
)</f>
        <v>Young</v>
      </c>
      <c r="I1365">
        <v>1</v>
      </c>
      <c r="J1365">
        <v>-2</v>
      </c>
      <c r="K1365">
        <v>-1</v>
      </c>
      <c r="L1365">
        <v>-1</v>
      </c>
      <c r="M1365">
        <v>-1</v>
      </c>
      <c r="N1365">
        <v>-1</v>
      </c>
      <c r="O1365" s="1">
        <v>191</v>
      </c>
      <c r="P1365" s="1">
        <v>1963</v>
      </c>
      <c r="Q1365" s="1">
        <v>4729</v>
      </c>
      <c r="R1365" s="1">
        <v>1568</v>
      </c>
      <c r="S1365" s="1">
        <v>4295</v>
      </c>
      <c r="T1365" s="1">
        <v>0</v>
      </c>
      <c r="U1365" s="1">
        <v>1964</v>
      </c>
      <c r="V1365" s="1">
        <v>4729</v>
      </c>
      <c r="W1365" s="1">
        <v>1568</v>
      </c>
      <c r="X1365" s="1">
        <v>4295</v>
      </c>
      <c r="Y1365" s="1">
        <v>0</v>
      </c>
      <c r="Z1365" s="1">
        <v>1895</v>
      </c>
      <c r="AA1365">
        <v>0</v>
      </c>
      <c r="AB1365" t="str">
        <f t="shared" si="21"/>
        <v>Not Defaulter</v>
      </c>
      <c r="AC1365" s="1">
        <f>Table2[[#This Row],[BILL_AMT1]]-Table2[[#This Row],[PAY_AMT1]]</f>
        <v>-1773</v>
      </c>
      <c r="AD1365" s="1" t="str" cm="1">
        <f t="array" ref="AD1365">_xlfn.IFS(Table2[[#This Row],[PAYMENT GAP]]&lt;=0,"No Gap / Overpaid",Table2[[#This Row],[PAYMENT GAP]]&lt;=25000,"Low Gap",Table2[[#This Row],[PAYMENT GAP]]&lt;=100000,"Medium Gap",
TRUE,"High Gap"
)</f>
        <v>No Gap / Overpaid</v>
      </c>
    </row>
    <row r="1366" spans="1:30" x14ac:dyDescent="0.3">
      <c r="A1366">
        <v>1365</v>
      </c>
      <c r="B1366" s="1">
        <v>120000</v>
      </c>
      <c r="C1366" s="1" t="str" cm="1">
        <f t="array" ref="C1366">_xlfn.IFS(Table2[[#This Row],[LIMIT_BAL]]&lt;=100000,"Low",Table2[[#This Row],[LIMIT_BAL]]&lt;=300000,"Medium",
TRUE,"High"
)</f>
        <v>Medium</v>
      </c>
      <c r="D1366" t="s">
        <v>2042</v>
      </c>
      <c r="E1366" t="s">
        <v>2026</v>
      </c>
      <c r="F1366" t="s">
        <v>2028</v>
      </c>
      <c r="G1366">
        <v>46</v>
      </c>
      <c r="H1366" t="str" cm="1">
        <f t="array" ref="H1366">_xlfn.IFS(
Table2[[#This Row],[AGE]]&lt;30,"Young",
Table2[[#This Row],[AGE]]&lt;40,"Middle Age",
Table2[[#This Row],[AGE]]&lt;50,"Senior",
TRUE,"Super Senior"
)</f>
        <v>Senior</v>
      </c>
      <c r="I1366">
        <v>0</v>
      </c>
      <c r="J1366">
        <v>0</v>
      </c>
      <c r="K1366">
        <v>2</v>
      </c>
      <c r="L1366">
        <v>2</v>
      </c>
      <c r="M1366">
        <v>2</v>
      </c>
      <c r="N1366">
        <v>2</v>
      </c>
      <c r="O1366" s="1">
        <v>14682</v>
      </c>
      <c r="P1366" s="1">
        <v>17325</v>
      </c>
      <c r="Q1366" s="1">
        <v>17936</v>
      </c>
      <c r="R1366" s="1">
        <v>18536</v>
      </c>
      <c r="S1366" s="1">
        <v>19091</v>
      </c>
      <c r="T1366" s="1">
        <v>19629</v>
      </c>
      <c r="U1366" s="1">
        <v>3200</v>
      </c>
      <c r="V1366" s="1">
        <v>1200</v>
      </c>
      <c r="W1366" s="1">
        <v>1200</v>
      </c>
      <c r="X1366" s="1">
        <v>1000</v>
      </c>
      <c r="Y1366" s="1">
        <v>1000</v>
      </c>
      <c r="Z1366" s="1">
        <v>0</v>
      </c>
      <c r="AA1366">
        <v>0</v>
      </c>
      <c r="AB1366" t="str">
        <f t="shared" si="21"/>
        <v>Not Defaulter</v>
      </c>
      <c r="AC1366" s="1">
        <f>Table2[[#This Row],[BILL_AMT1]]-Table2[[#This Row],[PAY_AMT1]]</f>
        <v>11482</v>
      </c>
      <c r="AD1366" s="1" t="str" cm="1">
        <f t="array" ref="AD1366">_xlfn.IFS(Table2[[#This Row],[PAYMENT GAP]]&lt;=0,"No Gap / Overpaid",Table2[[#This Row],[PAYMENT GAP]]&lt;=25000,"Low Gap",Table2[[#This Row],[PAYMENT GAP]]&lt;=100000,"Medium Gap",
TRUE,"High Gap"
)</f>
        <v>Low Gap</v>
      </c>
    </row>
    <row r="1367" spans="1:30" x14ac:dyDescent="0.3">
      <c r="A1367">
        <v>1366</v>
      </c>
      <c r="B1367" s="1">
        <v>20000</v>
      </c>
      <c r="C1367" s="1" t="str" cm="1">
        <f t="array" ref="C1367">_xlfn.IFS(Table2[[#This Row],[LIMIT_BAL]]&lt;=100000,"Low",Table2[[#This Row],[LIMIT_BAL]]&lt;=300000,"Medium",
TRUE,"High"
)</f>
        <v>Low</v>
      </c>
      <c r="D1367" t="s">
        <v>2041</v>
      </c>
      <c r="E1367" t="s">
        <v>2043</v>
      </c>
      <c r="F1367" t="s">
        <v>2028</v>
      </c>
      <c r="G1367">
        <v>47</v>
      </c>
      <c r="H1367" t="str" cm="1">
        <f t="array" ref="H1367">_xlfn.IFS(
Table2[[#This Row],[AGE]]&lt;30,"Young",
Table2[[#This Row],[AGE]]&lt;40,"Middle Age",
Table2[[#This Row],[AGE]]&lt;50,"Senior",
TRUE,"Super Senior"
)</f>
        <v>Senior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2</v>
      </c>
      <c r="O1367" s="1">
        <v>18021</v>
      </c>
      <c r="P1367" s="1">
        <v>17352</v>
      </c>
      <c r="Q1367" s="1">
        <v>17667</v>
      </c>
      <c r="R1367" s="1">
        <v>18187</v>
      </c>
      <c r="S1367" s="1">
        <v>20499</v>
      </c>
      <c r="T1367" s="1">
        <v>20718</v>
      </c>
      <c r="U1367" s="1">
        <v>1280</v>
      </c>
      <c r="V1367" s="1">
        <v>1293</v>
      </c>
      <c r="W1367" s="1">
        <v>813</v>
      </c>
      <c r="X1367" s="1">
        <v>2770</v>
      </c>
      <c r="Y1367" s="1">
        <v>703</v>
      </c>
      <c r="Z1367" s="1">
        <v>0</v>
      </c>
      <c r="AA1367">
        <v>0</v>
      </c>
      <c r="AB1367" t="str">
        <f t="shared" si="21"/>
        <v>Not Defaulter</v>
      </c>
      <c r="AC1367" s="1">
        <f>Table2[[#This Row],[BILL_AMT1]]-Table2[[#This Row],[PAY_AMT1]]</f>
        <v>16741</v>
      </c>
      <c r="AD1367" s="1" t="str" cm="1">
        <f t="array" ref="AD1367">_xlfn.IFS(Table2[[#This Row],[PAYMENT GAP]]&lt;=0,"No Gap / Overpaid",Table2[[#This Row],[PAYMENT GAP]]&lt;=25000,"Low Gap",Table2[[#This Row],[PAYMENT GAP]]&lt;=100000,"Medium Gap",
TRUE,"High Gap"
)</f>
        <v>Low Gap</v>
      </c>
    </row>
    <row r="1368" spans="1:30" x14ac:dyDescent="0.3">
      <c r="A1368">
        <v>1367</v>
      </c>
      <c r="B1368" s="1">
        <v>260000</v>
      </c>
      <c r="C1368" s="1" t="str" cm="1">
        <f t="array" ref="C1368">_xlfn.IFS(Table2[[#This Row],[LIMIT_BAL]]&lt;=100000,"Low",Table2[[#This Row],[LIMIT_BAL]]&lt;=300000,"Medium",
TRUE,"High"
)</f>
        <v>Medium</v>
      </c>
      <c r="D1368" t="s">
        <v>2041</v>
      </c>
      <c r="E1368" t="s">
        <v>2044</v>
      </c>
      <c r="F1368" t="s">
        <v>2029</v>
      </c>
      <c r="G1368">
        <v>42</v>
      </c>
      <c r="H1368" t="str" cm="1">
        <f t="array" ref="H1368">_xlfn.IFS(
Table2[[#This Row],[AGE]]&lt;30,"Young",
Table2[[#This Row],[AGE]]&lt;40,"Middle Age",
Table2[[#This Row],[AGE]]&lt;50,"Senior",
TRUE,"Super Senior"
)</f>
        <v>Senior</v>
      </c>
      <c r="I1368">
        <v>-1</v>
      </c>
      <c r="J1368">
        <v>-1</v>
      </c>
      <c r="K1368">
        <v>-1</v>
      </c>
      <c r="L1368">
        <v>-1</v>
      </c>
      <c r="M1368">
        <v>-1</v>
      </c>
      <c r="N1368">
        <v>-1</v>
      </c>
      <c r="O1368" s="1">
        <v>399</v>
      </c>
      <c r="P1368" s="1">
        <v>2101</v>
      </c>
      <c r="Q1368" s="1">
        <v>577</v>
      </c>
      <c r="R1368" s="1">
        <v>0</v>
      </c>
      <c r="S1368" s="1">
        <v>200</v>
      </c>
      <c r="T1368" s="1">
        <v>0</v>
      </c>
      <c r="U1368" s="1">
        <v>2101</v>
      </c>
      <c r="V1368" s="1">
        <v>577</v>
      </c>
      <c r="W1368" s="1">
        <v>0</v>
      </c>
      <c r="X1368" s="1">
        <v>200</v>
      </c>
      <c r="Y1368" s="1">
        <v>0</v>
      </c>
      <c r="Z1368" s="1">
        <v>664</v>
      </c>
      <c r="AA1368">
        <v>0</v>
      </c>
      <c r="AB1368" t="str">
        <f t="shared" si="21"/>
        <v>Not Defaulter</v>
      </c>
      <c r="AC1368" s="1">
        <f>Table2[[#This Row],[BILL_AMT1]]-Table2[[#This Row],[PAY_AMT1]]</f>
        <v>-1702</v>
      </c>
      <c r="AD1368" s="1" t="str" cm="1">
        <f t="array" ref="AD1368">_xlfn.IFS(Table2[[#This Row],[PAYMENT GAP]]&lt;=0,"No Gap / Overpaid",Table2[[#This Row],[PAYMENT GAP]]&lt;=25000,"Low Gap",Table2[[#This Row],[PAYMENT GAP]]&lt;=100000,"Medium Gap",
TRUE,"High Gap"
)</f>
        <v>No Gap / Overpaid</v>
      </c>
    </row>
    <row r="1369" spans="1:30" x14ac:dyDescent="0.3">
      <c r="A1369">
        <v>1368</v>
      </c>
      <c r="B1369" s="1">
        <v>50000</v>
      </c>
      <c r="C1369" s="1" t="str" cm="1">
        <f t="array" ref="C1369">_xlfn.IFS(Table2[[#This Row],[LIMIT_BAL]]&lt;=100000,"Low",Table2[[#This Row],[LIMIT_BAL]]&lt;=300000,"Medium",
TRUE,"High"
)</f>
        <v>Low</v>
      </c>
      <c r="D1369" t="s">
        <v>2042</v>
      </c>
      <c r="E1369" t="s">
        <v>2027</v>
      </c>
      <c r="F1369" t="s">
        <v>2029</v>
      </c>
      <c r="G1369">
        <v>22</v>
      </c>
      <c r="H1369" t="str" cm="1">
        <f t="array" ref="H1369">_xlfn.IFS(
Table2[[#This Row],[AGE]]&lt;30,"Young",
Table2[[#This Row],[AGE]]&lt;40,"Middle Age",
Table2[[#This Row],[AGE]]&lt;50,"Senior",
TRUE,"Super Senior"
)</f>
        <v>Young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 s="1">
        <v>42678</v>
      </c>
      <c r="P1369" s="1">
        <v>38239</v>
      </c>
      <c r="Q1369" s="1">
        <v>22691</v>
      </c>
      <c r="R1369" s="1">
        <v>8807</v>
      </c>
      <c r="S1369" s="1">
        <v>7143</v>
      </c>
      <c r="T1369" s="1">
        <v>6967</v>
      </c>
      <c r="U1369" s="1">
        <v>1500</v>
      </c>
      <c r="V1369" s="1">
        <v>1100</v>
      </c>
      <c r="W1369" s="1">
        <v>1000</v>
      </c>
      <c r="X1369" s="1">
        <v>500</v>
      </c>
      <c r="Y1369" s="1">
        <v>500</v>
      </c>
      <c r="Z1369" s="1">
        <v>1000</v>
      </c>
      <c r="AA1369">
        <v>1</v>
      </c>
      <c r="AB1369" t="str">
        <f t="shared" si="21"/>
        <v>Defaulter</v>
      </c>
      <c r="AC1369" s="1">
        <f>Table2[[#This Row],[BILL_AMT1]]-Table2[[#This Row],[PAY_AMT1]]</f>
        <v>41178</v>
      </c>
      <c r="AD1369" s="1" t="str" cm="1">
        <f t="array" ref="AD1369">_xlfn.IFS(Table2[[#This Row],[PAYMENT GAP]]&lt;=0,"No Gap / Overpaid",Table2[[#This Row],[PAYMENT GAP]]&lt;=25000,"Low Gap",Table2[[#This Row],[PAYMENT GAP]]&lt;=100000,"Medium Gap",
TRUE,"High Gap"
)</f>
        <v>Medium Gap</v>
      </c>
    </row>
    <row r="1370" spans="1:30" x14ac:dyDescent="0.3">
      <c r="A1370">
        <v>1369</v>
      </c>
      <c r="B1370" s="1">
        <v>180000</v>
      </c>
      <c r="C1370" s="1" t="str" cm="1">
        <f t="array" ref="C1370">_xlfn.IFS(Table2[[#This Row],[LIMIT_BAL]]&lt;=100000,"Low",Table2[[#This Row],[LIMIT_BAL]]&lt;=300000,"Medium",
TRUE,"High"
)</f>
        <v>Medium</v>
      </c>
      <c r="D1370" t="s">
        <v>2041</v>
      </c>
      <c r="E1370" t="s">
        <v>2043</v>
      </c>
      <c r="F1370" t="s">
        <v>2029</v>
      </c>
      <c r="G1370">
        <v>27</v>
      </c>
      <c r="H1370" t="str" cm="1">
        <f t="array" ref="H1370">_xlfn.IFS(
Table2[[#This Row],[AGE]]&lt;30,"Young",
Table2[[#This Row],[AGE]]&lt;40,"Middle Age",
Table2[[#This Row],[AGE]]&lt;50,"Senior",
TRUE,"Super Senior"
)</f>
        <v>Young</v>
      </c>
      <c r="I1370">
        <v>2</v>
      </c>
      <c r="J1370">
        <v>2</v>
      </c>
      <c r="K1370">
        <v>2</v>
      </c>
      <c r="L1370">
        <v>2</v>
      </c>
      <c r="M1370">
        <v>0</v>
      </c>
      <c r="N1370">
        <v>0</v>
      </c>
      <c r="O1370" s="1">
        <v>126195</v>
      </c>
      <c r="P1370" s="1">
        <v>127881</v>
      </c>
      <c r="Q1370" s="1">
        <v>128491</v>
      </c>
      <c r="R1370" s="1">
        <v>124080</v>
      </c>
      <c r="S1370" s="1">
        <v>126154</v>
      </c>
      <c r="T1370" s="1">
        <v>130064</v>
      </c>
      <c r="U1370" s="1">
        <v>6000</v>
      </c>
      <c r="V1370" s="1">
        <v>4575</v>
      </c>
      <c r="W1370" s="1">
        <v>0</v>
      </c>
      <c r="X1370" s="1">
        <v>4600</v>
      </c>
      <c r="Y1370" s="1">
        <v>6000</v>
      </c>
      <c r="Z1370" s="1">
        <v>3100</v>
      </c>
      <c r="AA1370">
        <v>0</v>
      </c>
      <c r="AB1370" t="str">
        <f t="shared" si="21"/>
        <v>Not Defaulter</v>
      </c>
      <c r="AC1370" s="1">
        <f>Table2[[#This Row],[BILL_AMT1]]-Table2[[#This Row],[PAY_AMT1]]</f>
        <v>120195</v>
      </c>
      <c r="AD1370" s="1" t="str" cm="1">
        <f t="array" ref="AD1370">_xlfn.IFS(Table2[[#This Row],[PAYMENT GAP]]&lt;=0,"No Gap / Overpaid",Table2[[#This Row],[PAYMENT GAP]]&lt;=25000,"Low Gap",Table2[[#This Row],[PAYMENT GAP]]&lt;=100000,"Medium Gap",
TRUE,"High Gap"
)</f>
        <v>High Gap</v>
      </c>
    </row>
    <row r="1371" spans="1:30" x14ac:dyDescent="0.3">
      <c r="A1371">
        <v>1370</v>
      </c>
      <c r="B1371" s="1">
        <v>310000</v>
      </c>
      <c r="C1371" s="1" t="str" cm="1">
        <f t="array" ref="C1371">_xlfn.IFS(Table2[[#This Row],[LIMIT_BAL]]&lt;=100000,"Low",Table2[[#This Row],[LIMIT_BAL]]&lt;=300000,"Medium",
TRUE,"High"
)</f>
        <v>High</v>
      </c>
      <c r="D1371" t="s">
        <v>2041</v>
      </c>
      <c r="E1371" t="s">
        <v>2044</v>
      </c>
      <c r="F1371" t="s">
        <v>2028</v>
      </c>
      <c r="G1371">
        <v>35</v>
      </c>
      <c r="H1371" t="str" cm="1">
        <f t="array" ref="H1371">_xlfn.IFS(
Table2[[#This Row],[AGE]]&lt;30,"Young",
Table2[[#This Row],[AGE]]&lt;40,"Middle Age",
Table2[[#This Row],[AGE]]&lt;50,"Senior",
TRUE,"Super Senior"
)</f>
        <v>Middle Age</v>
      </c>
      <c r="I1371">
        <v>1</v>
      </c>
      <c r="J1371">
        <v>-2</v>
      </c>
      <c r="K1371">
        <v>-2</v>
      </c>
      <c r="L1371">
        <v>-2</v>
      </c>
      <c r="M1371">
        <v>-2</v>
      </c>
      <c r="N1371">
        <v>-2</v>
      </c>
      <c r="O1371" s="1">
        <v>10350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>
        <v>0</v>
      </c>
      <c r="AB1371" t="str">
        <f t="shared" si="21"/>
        <v>Not Defaulter</v>
      </c>
      <c r="AC1371" s="1">
        <f>Table2[[#This Row],[BILL_AMT1]]-Table2[[#This Row],[PAY_AMT1]]</f>
        <v>10350</v>
      </c>
      <c r="AD1371" s="1" t="str" cm="1">
        <f t="array" ref="AD1371">_xlfn.IFS(Table2[[#This Row],[PAYMENT GAP]]&lt;=0,"No Gap / Overpaid",Table2[[#This Row],[PAYMENT GAP]]&lt;=25000,"Low Gap",Table2[[#This Row],[PAYMENT GAP]]&lt;=100000,"Medium Gap",
TRUE,"High Gap"
)</f>
        <v>Low Gap</v>
      </c>
    </row>
    <row r="1372" spans="1:30" x14ac:dyDescent="0.3">
      <c r="A1372">
        <v>1371</v>
      </c>
      <c r="B1372" s="1">
        <v>360000</v>
      </c>
      <c r="C1372" s="1" t="str" cm="1">
        <f t="array" ref="C1372">_xlfn.IFS(Table2[[#This Row],[LIMIT_BAL]]&lt;=100000,"Low",Table2[[#This Row],[LIMIT_BAL]]&lt;=300000,"Medium",
TRUE,"High"
)</f>
        <v>High</v>
      </c>
      <c r="D1372" t="s">
        <v>2042</v>
      </c>
      <c r="E1372" t="s">
        <v>2043</v>
      </c>
      <c r="F1372" t="s">
        <v>2028</v>
      </c>
      <c r="G1372">
        <v>44</v>
      </c>
      <c r="H1372" t="str" cm="1">
        <f t="array" ref="H1372">_xlfn.IFS(
Table2[[#This Row],[AGE]]&lt;30,"Young",
Table2[[#This Row],[AGE]]&lt;40,"Middle Age",
Table2[[#This Row],[AGE]]&lt;50,"Senior",
TRUE,"Super Senior"
)</f>
        <v>Senior</v>
      </c>
      <c r="I1372">
        <v>-1</v>
      </c>
      <c r="J1372">
        <v>-1</v>
      </c>
      <c r="K1372">
        <v>-1</v>
      </c>
      <c r="L1372">
        <v>-1</v>
      </c>
      <c r="M1372">
        <v>-1</v>
      </c>
      <c r="N1372">
        <v>-1</v>
      </c>
      <c r="O1372" s="1">
        <v>5101</v>
      </c>
      <c r="P1372" s="1">
        <v>9358</v>
      </c>
      <c r="Q1372" s="1">
        <v>15452</v>
      </c>
      <c r="R1372" s="1">
        <v>9990</v>
      </c>
      <c r="S1372" s="1">
        <v>6515</v>
      </c>
      <c r="T1372" s="1">
        <v>5694</v>
      </c>
      <c r="U1372" s="1">
        <v>9419</v>
      </c>
      <c r="V1372" s="1">
        <v>15485</v>
      </c>
      <c r="W1372" s="1">
        <v>9995</v>
      </c>
      <c r="X1372" s="1">
        <v>6515</v>
      </c>
      <c r="Y1372" s="1">
        <v>5694</v>
      </c>
      <c r="Z1372" s="1">
        <v>12785</v>
      </c>
      <c r="AA1372">
        <v>0</v>
      </c>
      <c r="AB1372" t="str">
        <f t="shared" si="21"/>
        <v>Not Defaulter</v>
      </c>
      <c r="AC1372" s="1">
        <f>Table2[[#This Row],[BILL_AMT1]]-Table2[[#This Row],[PAY_AMT1]]</f>
        <v>-4318</v>
      </c>
      <c r="AD1372" s="1" t="str" cm="1">
        <f t="array" ref="AD1372">_xlfn.IFS(Table2[[#This Row],[PAYMENT GAP]]&lt;=0,"No Gap / Overpaid",Table2[[#This Row],[PAYMENT GAP]]&lt;=25000,"Low Gap",Table2[[#This Row],[PAYMENT GAP]]&lt;=100000,"Medium Gap",
TRUE,"High Gap"
)</f>
        <v>No Gap / Overpaid</v>
      </c>
    </row>
    <row r="1373" spans="1:30" x14ac:dyDescent="0.3">
      <c r="A1373">
        <v>1372</v>
      </c>
      <c r="B1373" s="1">
        <v>180000</v>
      </c>
      <c r="C1373" s="1" t="str" cm="1">
        <f t="array" ref="C1373">_xlfn.IFS(Table2[[#This Row],[LIMIT_BAL]]&lt;=100000,"Low",Table2[[#This Row],[LIMIT_BAL]]&lt;=300000,"Medium",
TRUE,"High"
)</f>
        <v>Medium</v>
      </c>
      <c r="D1373" t="s">
        <v>2041</v>
      </c>
      <c r="E1373" t="s">
        <v>2043</v>
      </c>
      <c r="F1373" t="s">
        <v>2029</v>
      </c>
      <c r="G1373">
        <v>30</v>
      </c>
      <c r="H1373" t="str" cm="1">
        <f t="array" ref="H1373">_xlfn.IFS(
Table2[[#This Row],[AGE]]&lt;30,"Young",
Table2[[#This Row],[AGE]]&lt;40,"Middle Age",
Table2[[#This Row],[AGE]]&lt;50,"Senior",
TRUE,"Super Senior"
)</f>
        <v>Middle Age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 s="1">
        <v>14445</v>
      </c>
      <c r="P1373" s="1">
        <v>15404</v>
      </c>
      <c r="Q1373" s="1">
        <v>19885</v>
      </c>
      <c r="R1373" s="1">
        <v>22355</v>
      </c>
      <c r="S1373" s="1">
        <v>22902</v>
      </c>
      <c r="T1373" s="1">
        <v>15373</v>
      </c>
      <c r="U1373" s="1">
        <v>1500</v>
      </c>
      <c r="V1373" s="1">
        <v>4911</v>
      </c>
      <c r="W1373" s="1">
        <v>10355</v>
      </c>
      <c r="X1373" s="1">
        <v>10902</v>
      </c>
      <c r="Y1373" s="1">
        <v>3500</v>
      </c>
      <c r="Z1373" s="1">
        <v>5493</v>
      </c>
      <c r="AA1373">
        <v>0</v>
      </c>
      <c r="AB1373" t="str">
        <f t="shared" si="21"/>
        <v>Not Defaulter</v>
      </c>
      <c r="AC1373" s="1">
        <f>Table2[[#This Row],[BILL_AMT1]]-Table2[[#This Row],[PAY_AMT1]]</f>
        <v>12945</v>
      </c>
      <c r="AD1373" s="1" t="str" cm="1">
        <f t="array" ref="AD1373">_xlfn.IFS(Table2[[#This Row],[PAYMENT GAP]]&lt;=0,"No Gap / Overpaid",Table2[[#This Row],[PAYMENT GAP]]&lt;=25000,"Low Gap",Table2[[#This Row],[PAYMENT GAP]]&lt;=100000,"Medium Gap",
TRUE,"High Gap"
)</f>
        <v>Low Gap</v>
      </c>
    </row>
    <row r="1374" spans="1:30" x14ac:dyDescent="0.3">
      <c r="A1374">
        <v>1373</v>
      </c>
      <c r="B1374" s="1">
        <v>270000</v>
      </c>
      <c r="C1374" s="1" t="str" cm="1">
        <f t="array" ref="C1374">_xlfn.IFS(Table2[[#This Row],[LIMIT_BAL]]&lt;=100000,"Low",Table2[[#This Row],[LIMIT_BAL]]&lt;=300000,"Medium",
TRUE,"High"
)</f>
        <v>Medium</v>
      </c>
      <c r="D1374" t="s">
        <v>2041</v>
      </c>
      <c r="E1374" t="s">
        <v>2026</v>
      </c>
      <c r="F1374" t="s">
        <v>2028</v>
      </c>
      <c r="G1374">
        <v>42</v>
      </c>
      <c r="H1374" t="str" cm="1">
        <f t="array" ref="H1374">_xlfn.IFS(
Table2[[#This Row],[AGE]]&lt;30,"Young",
Table2[[#This Row],[AGE]]&lt;40,"Middle Age",
Table2[[#This Row],[AGE]]&lt;50,"Senior",
TRUE,"Super Senior"
)</f>
        <v>Senior</v>
      </c>
      <c r="I1374">
        <v>2</v>
      </c>
      <c r="J1374">
        <v>2</v>
      </c>
      <c r="K1374">
        <v>5</v>
      </c>
      <c r="L1374">
        <v>5</v>
      </c>
      <c r="M1374">
        <v>4</v>
      </c>
      <c r="N1374">
        <v>3</v>
      </c>
      <c r="O1374" s="1">
        <v>1250</v>
      </c>
      <c r="P1374" s="1">
        <v>1250</v>
      </c>
      <c r="Q1374" s="1">
        <v>1250</v>
      </c>
      <c r="R1374" s="1">
        <v>1250</v>
      </c>
      <c r="S1374" s="1">
        <v>650</v>
      </c>
      <c r="T1374" s="1">
        <v>350</v>
      </c>
      <c r="U1374" s="1">
        <v>0</v>
      </c>
      <c r="V1374" s="1">
        <v>0</v>
      </c>
      <c r="W1374" s="1">
        <v>0</v>
      </c>
      <c r="X1374" s="1">
        <v>0</v>
      </c>
      <c r="Y1374" s="1">
        <v>0</v>
      </c>
      <c r="Z1374" s="1">
        <v>0</v>
      </c>
      <c r="AA1374">
        <v>0</v>
      </c>
      <c r="AB1374" t="str">
        <f t="shared" si="21"/>
        <v>Not Defaulter</v>
      </c>
      <c r="AC1374" s="1">
        <f>Table2[[#This Row],[BILL_AMT1]]-Table2[[#This Row],[PAY_AMT1]]</f>
        <v>1250</v>
      </c>
      <c r="AD1374" s="1" t="str" cm="1">
        <f t="array" ref="AD1374">_xlfn.IFS(Table2[[#This Row],[PAYMENT GAP]]&lt;=0,"No Gap / Overpaid",Table2[[#This Row],[PAYMENT GAP]]&lt;=25000,"Low Gap",Table2[[#This Row],[PAYMENT GAP]]&lt;=100000,"Medium Gap",
TRUE,"High Gap"
)</f>
        <v>Low Gap</v>
      </c>
    </row>
    <row r="1375" spans="1:30" x14ac:dyDescent="0.3">
      <c r="A1375">
        <v>1374</v>
      </c>
      <c r="B1375" s="1">
        <v>70000</v>
      </c>
      <c r="C1375" s="1" t="str" cm="1">
        <f t="array" ref="C1375">_xlfn.IFS(Table2[[#This Row],[LIMIT_BAL]]&lt;=100000,"Low",Table2[[#This Row],[LIMIT_BAL]]&lt;=300000,"Medium",
TRUE,"High"
)</f>
        <v>Low</v>
      </c>
      <c r="D1375" t="s">
        <v>2042</v>
      </c>
      <c r="E1375" t="s">
        <v>2026</v>
      </c>
      <c r="F1375" t="s">
        <v>2029</v>
      </c>
      <c r="G1375">
        <v>28</v>
      </c>
      <c r="H1375" t="str" cm="1">
        <f t="array" ref="H1375">_xlfn.IFS(
Table2[[#This Row],[AGE]]&lt;30,"Young",
Table2[[#This Row],[AGE]]&lt;40,"Middle Age",
Table2[[#This Row],[AGE]]&lt;50,"Senior",
TRUE,"Super Senior"
)</f>
        <v>Young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 s="1">
        <v>67857</v>
      </c>
      <c r="P1375" s="1">
        <v>69711</v>
      </c>
      <c r="Q1375" s="1">
        <v>64947</v>
      </c>
      <c r="R1375" s="1">
        <v>26022</v>
      </c>
      <c r="S1375" s="1">
        <v>28575</v>
      </c>
      <c r="T1375" s="1">
        <v>21460</v>
      </c>
      <c r="U1375" s="1">
        <v>3000</v>
      </c>
      <c r="V1375" s="1">
        <v>1500</v>
      </c>
      <c r="W1375" s="1">
        <v>13959</v>
      </c>
      <c r="X1375" s="1">
        <v>3000</v>
      </c>
      <c r="Y1375" s="1">
        <v>1500</v>
      </c>
      <c r="Z1375" s="1">
        <v>4000</v>
      </c>
      <c r="AA1375">
        <v>0</v>
      </c>
      <c r="AB1375" t="str">
        <f t="shared" si="21"/>
        <v>Not Defaulter</v>
      </c>
      <c r="AC1375" s="1">
        <f>Table2[[#This Row],[BILL_AMT1]]-Table2[[#This Row],[PAY_AMT1]]</f>
        <v>64857</v>
      </c>
      <c r="AD1375" s="1" t="str" cm="1">
        <f t="array" ref="AD1375">_xlfn.IFS(Table2[[#This Row],[PAYMENT GAP]]&lt;=0,"No Gap / Overpaid",Table2[[#This Row],[PAYMENT GAP]]&lt;=25000,"Low Gap",Table2[[#This Row],[PAYMENT GAP]]&lt;=100000,"Medium Gap",
TRUE,"High Gap"
)</f>
        <v>Medium Gap</v>
      </c>
    </row>
    <row r="1376" spans="1:30" x14ac:dyDescent="0.3">
      <c r="A1376">
        <v>1375</v>
      </c>
      <c r="B1376" s="1">
        <v>50000</v>
      </c>
      <c r="C1376" s="1" t="str" cm="1">
        <f t="array" ref="C1376">_xlfn.IFS(Table2[[#This Row],[LIMIT_BAL]]&lt;=100000,"Low",Table2[[#This Row],[LIMIT_BAL]]&lt;=300000,"Medium",
TRUE,"High"
)</f>
        <v>Low</v>
      </c>
      <c r="D1376" t="s">
        <v>2042</v>
      </c>
      <c r="E1376" t="s">
        <v>2043</v>
      </c>
      <c r="F1376" t="s">
        <v>2029</v>
      </c>
      <c r="G1376">
        <v>24</v>
      </c>
      <c r="H1376" t="str" cm="1">
        <f t="array" ref="H1376">_xlfn.IFS(
Table2[[#This Row],[AGE]]&lt;30,"Young",
Table2[[#This Row],[AGE]]&lt;40,"Middle Age",
Table2[[#This Row],[AGE]]&lt;50,"Senior",
TRUE,"Super Senior"
)</f>
        <v>Young</v>
      </c>
      <c r="I1376">
        <v>-1</v>
      </c>
      <c r="J1376">
        <v>-1</v>
      </c>
      <c r="K1376">
        <v>-1</v>
      </c>
      <c r="L1376">
        <v>-1</v>
      </c>
      <c r="M1376">
        <v>0</v>
      </c>
      <c r="N1376">
        <v>-1</v>
      </c>
      <c r="O1376" s="1">
        <v>2155</v>
      </c>
      <c r="P1376" s="1">
        <v>0</v>
      </c>
      <c r="Q1376" s="1">
        <v>1978</v>
      </c>
      <c r="R1376" s="1">
        <v>14207</v>
      </c>
      <c r="S1376" s="1">
        <v>8602</v>
      </c>
      <c r="T1376" s="1">
        <v>7201</v>
      </c>
      <c r="U1376" s="1">
        <v>0</v>
      </c>
      <c r="V1376" s="1">
        <v>30300</v>
      </c>
      <c r="W1376" s="1">
        <v>14207</v>
      </c>
      <c r="X1376" s="1">
        <v>602</v>
      </c>
      <c r="Y1376" s="1">
        <v>7201</v>
      </c>
      <c r="Z1376" s="1">
        <v>383</v>
      </c>
      <c r="AA1376">
        <v>0</v>
      </c>
      <c r="AB1376" t="str">
        <f t="shared" si="21"/>
        <v>Not Defaulter</v>
      </c>
      <c r="AC1376" s="1">
        <f>Table2[[#This Row],[BILL_AMT1]]-Table2[[#This Row],[PAY_AMT1]]</f>
        <v>2155</v>
      </c>
      <c r="AD1376" s="1" t="str" cm="1">
        <f t="array" ref="AD1376">_xlfn.IFS(Table2[[#This Row],[PAYMENT GAP]]&lt;=0,"No Gap / Overpaid",Table2[[#This Row],[PAYMENT GAP]]&lt;=25000,"Low Gap",Table2[[#This Row],[PAYMENT GAP]]&lt;=100000,"Medium Gap",
TRUE,"High Gap"
)</f>
        <v>Low Gap</v>
      </c>
    </row>
    <row r="1377" spans="1:30" x14ac:dyDescent="0.3">
      <c r="A1377">
        <v>1376</v>
      </c>
      <c r="B1377" s="1">
        <v>30000</v>
      </c>
      <c r="C1377" s="1" t="str" cm="1">
        <f t="array" ref="C1377">_xlfn.IFS(Table2[[#This Row],[LIMIT_BAL]]&lt;=100000,"Low",Table2[[#This Row],[LIMIT_BAL]]&lt;=300000,"Medium",
TRUE,"High"
)</f>
        <v>Low</v>
      </c>
      <c r="D1377" t="s">
        <v>2041</v>
      </c>
      <c r="E1377" t="s">
        <v>2027</v>
      </c>
      <c r="F1377" t="s">
        <v>2029</v>
      </c>
      <c r="G1377">
        <v>50</v>
      </c>
      <c r="H1377" t="str" cm="1">
        <f t="array" ref="H1377">_xlfn.IFS(
Table2[[#This Row],[AGE]]&lt;30,"Young",
Table2[[#This Row],[AGE]]&lt;40,"Middle Age",
Table2[[#This Row],[AGE]]&lt;50,"Senior",
TRUE,"Super Senior"
)</f>
        <v>Super Senior</v>
      </c>
      <c r="I1377">
        <v>-2</v>
      </c>
      <c r="J1377">
        <v>-2</v>
      </c>
      <c r="K1377">
        <v>-2</v>
      </c>
      <c r="L1377">
        <v>-2</v>
      </c>
      <c r="M1377">
        <v>-1</v>
      </c>
      <c r="N1377">
        <v>2</v>
      </c>
      <c r="O1377" s="1">
        <v>0</v>
      </c>
      <c r="P1377" s="1">
        <v>0</v>
      </c>
      <c r="Q1377" s="1">
        <v>0</v>
      </c>
      <c r="R1377" s="1">
        <v>0</v>
      </c>
      <c r="S1377" s="1">
        <v>7092</v>
      </c>
      <c r="T1377" s="1">
        <v>6832</v>
      </c>
      <c r="U1377" s="1">
        <v>0</v>
      </c>
      <c r="V1377" s="1">
        <v>0</v>
      </c>
      <c r="W1377" s="1">
        <v>0</v>
      </c>
      <c r="X1377" s="1">
        <v>7092</v>
      </c>
      <c r="Y1377" s="1">
        <v>0</v>
      </c>
      <c r="Z1377" s="1">
        <v>0</v>
      </c>
      <c r="AA1377">
        <v>0</v>
      </c>
      <c r="AB1377" t="str">
        <f t="shared" si="21"/>
        <v>Not Defaulter</v>
      </c>
      <c r="AC1377" s="1">
        <f>Table2[[#This Row],[BILL_AMT1]]-Table2[[#This Row],[PAY_AMT1]]</f>
        <v>0</v>
      </c>
      <c r="AD1377" s="1" t="str" cm="1">
        <f t="array" ref="AD1377">_xlfn.IFS(Table2[[#This Row],[PAYMENT GAP]]&lt;=0,"No Gap / Overpaid",Table2[[#This Row],[PAYMENT GAP]]&lt;=25000,"Low Gap",Table2[[#This Row],[PAYMENT GAP]]&lt;=100000,"Medium Gap",
TRUE,"High Gap"
)</f>
        <v>No Gap / Overpaid</v>
      </c>
    </row>
    <row r="1378" spans="1:30" x14ac:dyDescent="0.3">
      <c r="A1378">
        <v>1377</v>
      </c>
      <c r="B1378" s="1">
        <v>50000</v>
      </c>
      <c r="C1378" s="1" t="str" cm="1">
        <f t="array" ref="C1378">_xlfn.IFS(Table2[[#This Row],[LIMIT_BAL]]&lt;=100000,"Low",Table2[[#This Row],[LIMIT_BAL]]&lt;=300000,"Medium",
TRUE,"High"
)</f>
        <v>Low</v>
      </c>
      <c r="D1378" t="s">
        <v>2041</v>
      </c>
      <c r="E1378" t="s">
        <v>2043</v>
      </c>
      <c r="F1378" t="s">
        <v>2028</v>
      </c>
      <c r="G1378">
        <v>54</v>
      </c>
      <c r="H1378" t="str" cm="1">
        <f t="array" ref="H1378">_xlfn.IFS(
Table2[[#This Row],[AGE]]&lt;30,"Young",
Table2[[#This Row],[AGE]]&lt;40,"Middle Age",
Table2[[#This Row],[AGE]]&lt;50,"Senior",
TRUE,"Super Senior"
)</f>
        <v>Super Senior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-1</v>
      </c>
      <c r="O1378" s="1">
        <v>11351</v>
      </c>
      <c r="P1378" s="1">
        <v>11449</v>
      </c>
      <c r="Q1378" s="1">
        <v>6515</v>
      </c>
      <c r="R1378" s="1">
        <v>2315</v>
      </c>
      <c r="S1378" s="1">
        <v>1817</v>
      </c>
      <c r="T1378" s="1">
        <v>2081</v>
      </c>
      <c r="U1378" s="1">
        <v>1150</v>
      </c>
      <c r="V1378" s="1">
        <v>1012</v>
      </c>
      <c r="W1378" s="1">
        <v>46</v>
      </c>
      <c r="X1378" s="1">
        <v>36</v>
      </c>
      <c r="Y1378" s="1">
        <v>2081</v>
      </c>
      <c r="Z1378" s="1">
        <v>2270</v>
      </c>
      <c r="AA1378">
        <v>0</v>
      </c>
      <c r="AB1378" t="str">
        <f t="shared" si="21"/>
        <v>Not Defaulter</v>
      </c>
      <c r="AC1378" s="1">
        <f>Table2[[#This Row],[BILL_AMT1]]-Table2[[#This Row],[PAY_AMT1]]</f>
        <v>10201</v>
      </c>
      <c r="AD1378" s="1" t="str" cm="1">
        <f t="array" ref="AD1378">_xlfn.IFS(Table2[[#This Row],[PAYMENT GAP]]&lt;=0,"No Gap / Overpaid",Table2[[#This Row],[PAYMENT GAP]]&lt;=25000,"Low Gap",Table2[[#This Row],[PAYMENT GAP]]&lt;=100000,"Medium Gap",
TRUE,"High Gap"
)</f>
        <v>Low Gap</v>
      </c>
    </row>
    <row r="1379" spans="1:30" x14ac:dyDescent="0.3">
      <c r="A1379">
        <v>1378</v>
      </c>
      <c r="B1379" s="1">
        <v>350000</v>
      </c>
      <c r="C1379" s="1" t="str" cm="1">
        <f t="array" ref="C1379">_xlfn.IFS(Table2[[#This Row],[LIMIT_BAL]]&lt;=100000,"Low",Table2[[#This Row],[LIMIT_BAL]]&lt;=300000,"Medium",
TRUE,"High"
)</f>
        <v>High</v>
      </c>
      <c r="D1379" t="s">
        <v>2042</v>
      </c>
      <c r="E1379" t="s">
        <v>2043</v>
      </c>
      <c r="F1379" t="s">
        <v>2028</v>
      </c>
      <c r="G1379">
        <v>37</v>
      </c>
      <c r="H1379" t="str" cm="1">
        <f t="array" ref="H1379">_xlfn.IFS(
Table2[[#This Row],[AGE]]&lt;30,"Young",
Table2[[#This Row],[AGE]]&lt;40,"Middle Age",
Table2[[#This Row],[AGE]]&lt;50,"Senior",
TRUE,"Super Senior"
)</f>
        <v>Middle Age</v>
      </c>
      <c r="I1379">
        <v>-1</v>
      </c>
      <c r="J1379">
        <v>-1</v>
      </c>
      <c r="K1379">
        <v>-1</v>
      </c>
      <c r="L1379">
        <v>-1</v>
      </c>
      <c r="M1379">
        <v>-1</v>
      </c>
      <c r="N1379">
        <v>-1</v>
      </c>
      <c r="O1379" s="1">
        <v>325</v>
      </c>
      <c r="P1379" s="1">
        <v>294</v>
      </c>
      <c r="Q1379" s="1">
        <v>6574</v>
      </c>
      <c r="R1379" s="1">
        <v>3543</v>
      </c>
      <c r="S1379" s="1">
        <v>1654</v>
      </c>
      <c r="T1379" s="1">
        <v>6186</v>
      </c>
      <c r="U1379" s="1">
        <v>294</v>
      </c>
      <c r="V1379" s="1">
        <v>6636</v>
      </c>
      <c r="W1379" s="1">
        <v>3559</v>
      </c>
      <c r="X1379" s="1">
        <v>1659</v>
      </c>
      <c r="Y1379" s="1">
        <v>6215</v>
      </c>
      <c r="Z1379" s="1">
        <v>325</v>
      </c>
      <c r="AA1379">
        <v>0</v>
      </c>
      <c r="AB1379" t="str">
        <f t="shared" si="21"/>
        <v>Not Defaulter</v>
      </c>
      <c r="AC1379" s="1">
        <f>Table2[[#This Row],[BILL_AMT1]]-Table2[[#This Row],[PAY_AMT1]]</f>
        <v>31</v>
      </c>
      <c r="AD1379" s="1" t="str" cm="1">
        <f t="array" ref="AD1379">_xlfn.IFS(Table2[[#This Row],[PAYMENT GAP]]&lt;=0,"No Gap / Overpaid",Table2[[#This Row],[PAYMENT GAP]]&lt;=25000,"Low Gap",Table2[[#This Row],[PAYMENT GAP]]&lt;=100000,"Medium Gap",
TRUE,"High Gap"
)</f>
        <v>Low Gap</v>
      </c>
    </row>
    <row r="1380" spans="1:30" x14ac:dyDescent="0.3">
      <c r="A1380">
        <v>1379</v>
      </c>
      <c r="B1380" s="1">
        <v>200000</v>
      </c>
      <c r="C1380" s="1" t="str" cm="1">
        <f t="array" ref="C1380">_xlfn.IFS(Table2[[#This Row],[LIMIT_BAL]]&lt;=100000,"Low",Table2[[#This Row],[LIMIT_BAL]]&lt;=300000,"Medium",
TRUE,"High"
)</f>
        <v>Medium</v>
      </c>
      <c r="D1380" t="s">
        <v>2042</v>
      </c>
      <c r="E1380" t="s">
        <v>2026</v>
      </c>
      <c r="F1380" t="s">
        <v>2028</v>
      </c>
      <c r="G1380">
        <v>58</v>
      </c>
      <c r="H1380" t="str" cm="1">
        <f t="array" ref="H1380">_xlfn.IFS(
Table2[[#This Row],[AGE]]&lt;30,"Young",
Table2[[#This Row],[AGE]]&lt;40,"Middle Age",
Table2[[#This Row],[AGE]]&lt;50,"Senior",
TRUE,"Super Senior"
)</f>
        <v>Super Senior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 s="1">
        <v>192461</v>
      </c>
      <c r="P1380" s="1">
        <v>195970</v>
      </c>
      <c r="Q1380" s="1">
        <v>122214</v>
      </c>
      <c r="R1380" s="1">
        <v>124647</v>
      </c>
      <c r="S1380" s="1">
        <v>126921</v>
      </c>
      <c r="T1380" s="1">
        <v>129167</v>
      </c>
      <c r="U1380" s="1">
        <v>7822</v>
      </c>
      <c r="V1380" s="1">
        <v>4417</v>
      </c>
      <c r="W1380" s="1">
        <v>4446</v>
      </c>
      <c r="X1380" s="1">
        <v>4597</v>
      </c>
      <c r="Y1380" s="1">
        <v>4677</v>
      </c>
      <c r="Z1380" s="1">
        <v>4698</v>
      </c>
      <c r="AA1380">
        <v>0</v>
      </c>
      <c r="AB1380" t="str">
        <f t="shared" si="21"/>
        <v>Not Defaulter</v>
      </c>
      <c r="AC1380" s="1">
        <f>Table2[[#This Row],[BILL_AMT1]]-Table2[[#This Row],[PAY_AMT1]]</f>
        <v>184639</v>
      </c>
      <c r="AD1380" s="1" t="str" cm="1">
        <f t="array" ref="AD1380">_xlfn.IFS(Table2[[#This Row],[PAYMENT GAP]]&lt;=0,"No Gap / Overpaid",Table2[[#This Row],[PAYMENT GAP]]&lt;=25000,"Low Gap",Table2[[#This Row],[PAYMENT GAP]]&lt;=100000,"Medium Gap",
TRUE,"High Gap"
)</f>
        <v>High Gap</v>
      </c>
    </row>
    <row r="1381" spans="1:30" x14ac:dyDescent="0.3">
      <c r="A1381">
        <v>1380</v>
      </c>
      <c r="B1381" s="1">
        <v>80000</v>
      </c>
      <c r="C1381" s="1" t="str" cm="1">
        <f t="array" ref="C1381">_xlfn.IFS(Table2[[#This Row],[LIMIT_BAL]]&lt;=100000,"Low",Table2[[#This Row],[LIMIT_BAL]]&lt;=300000,"Medium",
TRUE,"High"
)</f>
        <v>Low</v>
      </c>
      <c r="D1381" t="s">
        <v>2042</v>
      </c>
      <c r="E1381" t="s">
        <v>2027</v>
      </c>
      <c r="F1381" t="s">
        <v>2029</v>
      </c>
      <c r="G1381">
        <v>26</v>
      </c>
      <c r="H1381" t="str" cm="1">
        <f t="array" ref="H1381">_xlfn.IFS(
Table2[[#This Row],[AGE]]&lt;30,"Young",
Table2[[#This Row],[AGE]]&lt;40,"Middle Age",
Table2[[#This Row],[AGE]]&lt;50,"Senior",
TRUE,"Super Senior"
)</f>
        <v>Young</v>
      </c>
      <c r="I1381">
        <v>1</v>
      </c>
      <c r="J1381">
        <v>2</v>
      </c>
      <c r="K1381">
        <v>2</v>
      </c>
      <c r="L1381">
        <v>2</v>
      </c>
      <c r="M1381">
        <v>2</v>
      </c>
      <c r="N1381">
        <v>2</v>
      </c>
      <c r="O1381" s="1">
        <v>71661</v>
      </c>
      <c r="P1381" s="1">
        <v>69947</v>
      </c>
      <c r="Q1381" s="1">
        <v>74755</v>
      </c>
      <c r="R1381" s="1">
        <v>75732</v>
      </c>
      <c r="S1381" s="1">
        <v>74397</v>
      </c>
      <c r="T1381" s="1">
        <v>80138</v>
      </c>
      <c r="U1381" s="1">
        <v>0</v>
      </c>
      <c r="V1381" s="1">
        <v>6000</v>
      </c>
      <c r="W1381" s="1">
        <v>2800</v>
      </c>
      <c r="X1381" s="1">
        <v>0</v>
      </c>
      <c r="Y1381" s="1">
        <v>7000</v>
      </c>
      <c r="Z1381" s="1">
        <v>8</v>
      </c>
      <c r="AA1381">
        <v>0</v>
      </c>
      <c r="AB1381" t="str">
        <f t="shared" si="21"/>
        <v>Not Defaulter</v>
      </c>
      <c r="AC1381" s="1">
        <f>Table2[[#This Row],[BILL_AMT1]]-Table2[[#This Row],[PAY_AMT1]]</f>
        <v>71661</v>
      </c>
      <c r="AD1381" s="1" t="str" cm="1">
        <f t="array" ref="AD1381">_xlfn.IFS(Table2[[#This Row],[PAYMENT GAP]]&lt;=0,"No Gap / Overpaid",Table2[[#This Row],[PAYMENT GAP]]&lt;=25000,"Low Gap",Table2[[#This Row],[PAYMENT GAP]]&lt;=100000,"Medium Gap",
TRUE,"High Gap"
)</f>
        <v>Medium Gap</v>
      </c>
    </row>
    <row r="1382" spans="1:30" x14ac:dyDescent="0.3">
      <c r="A1382">
        <v>1381</v>
      </c>
      <c r="B1382" s="1">
        <v>60000</v>
      </c>
      <c r="C1382" s="1" t="str" cm="1">
        <f t="array" ref="C1382">_xlfn.IFS(Table2[[#This Row],[LIMIT_BAL]]&lt;=100000,"Low",Table2[[#This Row],[LIMIT_BAL]]&lt;=300000,"Medium",
TRUE,"High"
)</f>
        <v>Low</v>
      </c>
      <c r="D1382" t="s">
        <v>2041</v>
      </c>
      <c r="E1382" t="s">
        <v>2043</v>
      </c>
      <c r="F1382" t="s">
        <v>2028</v>
      </c>
      <c r="G1382">
        <v>31</v>
      </c>
      <c r="H1382" t="str" cm="1">
        <f t="array" ref="H1382">_xlfn.IFS(
Table2[[#This Row],[AGE]]&lt;30,"Young",
Table2[[#This Row],[AGE]]&lt;40,"Middle Age",
Table2[[#This Row],[AGE]]&lt;50,"Senior",
TRUE,"Super Senior"
)</f>
        <v>Middle Age</v>
      </c>
      <c r="I1382">
        <v>0</v>
      </c>
      <c r="J1382">
        <v>0</v>
      </c>
      <c r="K1382">
        <v>0</v>
      </c>
      <c r="L1382">
        <v>3</v>
      </c>
      <c r="M1382">
        <v>2</v>
      </c>
      <c r="N1382">
        <v>2</v>
      </c>
      <c r="O1382" s="1">
        <v>47000</v>
      </c>
      <c r="P1382" s="1">
        <v>49236</v>
      </c>
      <c r="Q1382" s="1">
        <v>57752</v>
      </c>
      <c r="R1382" s="1">
        <v>56243</v>
      </c>
      <c r="S1382" s="1">
        <v>55213</v>
      </c>
      <c r="T1382" s="1">
        <v>58700</v>
      </c>
      <c r="U1382" s="1">
        <v>3000</v>
      </c>
      <c r="V1382" s="1">
        <v>10000</v>
      </c>
      <c r="W1382" s="1">
        <v>0</v>
      </c>
      <c r="X1382" s="1">
        <v>0</v>
      </c>
      <c r="Y1382" s="1">
        <v>4400</v>
      </c>
      <c r="Z1382" s="1">
        <v>2200</v>
      </c>
      <c r="AA1382">
        <v>0</v>
      </c>
      <c r="AB1382" t="str">
        <f t="shared" si="21"/>
        <v>Not Defaulter</v>
      </c>
      <c r="AC1382" s="1">
        <f>Table2[[#This Row],[BILL_AMT1]]-Table2[[#This Row],[PAY_AMT1]]</f>
        <v>44000</v>
      </c>
      <c r="AD1382" s="1" t="str" cm="1">
        <f t="array" ref="AD1382">_xlfn.IFS(Table2[[#This Row],[PAYMENT GAP]]&lt;=0,"No Gap / Overpaid",Table2[[#This Row],[PAYMENT GAP]]&lt;=25000,"Low Gap",Table2[[#This Row],[PAYMENT GAP]]&lt;=100000,"Medium Gap",
TRUE,"High Gap"
)</f>
        <v>Medium Gap</v>
      </c>
    </row>
    <row r="1383" spans="1:30" x14ac:dyDescent="0.3">
      <c r="A1383">
        <v>1382</v>
      </c>
      <c r="B1383" s="1">
        <v>30000</v>
      </c>
      <c r="C1383" s="1" t="str" cm="1">
        <f t="array" ref="C1383">_xlfn.IFS(Table2[[#This Row],[LIMIT_BAL]]&lt;=100000,"Low",Table2[[#This Row],[LIMIT_BAL]]&lt;=300000,"Medium",
TRUE,"High"
)</f>
        <v>Low</v>
      </c>
      <c r="D1383" t="s">
        <v>2042</v>
      </c>
      <c r="E1383" t="s">
        <v>2026</v>
      </c>
      <c r="F1383" t="s">
        <v>2028</v>
      </c>
      <c r="G1383">
        <v>52</v>
      </c>
      <c r="H1383" t="str" cm="1">
        <f t="array" ref="H1383">_xlfn.IFS(
Table2[[#This Row],[AGE]]&lt;30,"Young",
Table2[[#This Row],[AGE]]&lt;40,"Middle Age",
Table2[[#This Row],[AGE]]&lt;50,"Senior",
TRUE,"Super Senior"
)</f>
        <v>Super Senior</v>
      </c>
      <c r="I1383">
        <v>0</v>
      </c>
      <c r="J1383">
        <v>0</v>
      </c>
      <c r="K1383">
        <v>0</v>
      </c>
      <c r="L1383">
        <v>2</v>
      </c>
      <c r="M1383">
        <v>0</v>
      </c>
      <c r="N1383">
        <v>0</v>
      </c>
      <c r="O1383" s="1">
        <v>15743</v>
      </c>
      <c r="P1383" s="1">
        <v>16784</v>
      </c>
      <c r="Q1383" s="1">
        <v>18998</v>
      </c>
      <c r="R1383" s="1">
        <v>18395</v>
      </c>
      <c r="S1383" s="1">
        <v>19100</v>
      </c>
      <c r="T1383" s="1">
        <v>20582</v>
      </c>
      <c r="U1383" s="1">
        <v>1300</v>
      </c>
      <c r="V1383" s="1">
        <v>2500</v>
      </c>
      <c r="W1383" s="1">
        <v>0</v>
      </c>
      <c r="X1383" s="1">
        <v>1000</v>
      </c>
      <c r="Y1383" s="1">
        <v>1800</v>
      </c>
      <c r="Z1383" s="1">
        <v>0</v>
      </c>
      <c r="AA1383">
        <v>0</v>
      </c>
      <c r="AB1383" t="str">
        <f t="shared" si="21"/>
        <v>Not Defaulter</v>
      </c>
      <c r="AC1383" s="1">
        <f>Table2[[#This Row],[BILL_AMT1]]-Table2[[#This Row],[PAY_AMT1]]</f>
        <v>14443</v>
      </c>
      <c r="AD1383" s="1" t="str" cm="1">
        <f t="array" ref="AD1383">_xlfn.IFS(Table2[[#This Row],[PAYMENT GAP]]&lt;=0,"No Gap / Overpaid",Table2[[#This Row],[PAYMENT GAP]]&lt;=25000,"Low Gap",Table2[[#This Row],[PAYMENT GAP]]&lt;=100000,"Medium Gap",
TRUE,"High Gap"
)</f>
        <v>Low Gap</v>
      </c>
    </row>
    <row r="1384" spans="1:30" x14ac:dyDescent="0.3">
      <c r="A1384">
        <v>1383</v>
      </c>
      <c r="B1384" s="1">
        <v>110000</v>
      </c>
      <c r="C1384" s="1" t="str" cm="1">
        <f t="array" ref="C1384">_xlfn.IFS(Table2[[#This Row],[LIMIT_BAL]]&lt;=100000,"Low",Table2[[#This Row],[LIMIT_BAL]]&lt;=300000,"Medium",
TRUE,"High"
)</f>
        <v>Medium</v>
      </c>
      <c r="D1384" t="s">
        <v>2041</v>
      </c>
      <c r="E1384" t="s">
        <v>2026</v>
      </c>
      <c r="F1384" t="s">
        <v>2029</v>
      </c>
      <c r="G1384">
        <v>36</v>
      </c>
      <c r="H1384" t="str" cm="1">
        <f t="array" ref="H1384">_xlfn.IFS(
Table2[[#This Row],[AGE]]&lt;30,"Young",
Table2[[#This Row],[AGE]]&lt;40,"Middle Age",
Table2[[#This Row],[AGE]]&lt;50,"Senior",
TRUE,"Super Senior"
)</f>
        <v>Middle Age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 s="1">
        <v>108316</v>
      </c>
      <c r="P1384" s="1">
        <v>100784</v>
      </c>
      <c r="Q1384" s="1">
        <v>88568</v>
      </c>
      <c r="R1384" s="1">
        <v>43720</v>
      </c>
      <c r="S1384" s="1">
        <v>42138</v>
      </c>
      <c r="T1384" s="1">
        <v>43085</v>
      </c>
      <c r="U1384" s="1">
        <v>4600</v>
      </c>
      <c r="V1384" s="1">
        <v>3500</v>
      </c>
      <c r="W1384" s="1">
        <v>2000</v>
      </c>
      <c r="X1384" s="1">
        <v>2000</v>
      </c>
      <c r="Y1384" s="1">
        <v>1800</v>
      </c>
      <c r="Z1384" s="1">
        <v>1700</v>
      </c>
      <c r="AA1384">
        <v>0</v>
      </c>
      <c r="AB1384" t="str">
        <f t="shared" si="21"/>
        <v>Not Defaulter</v>
      </c>
      <c r="AC1384" s="1">
        <f>Table2[[#This Row],[BILL_AMT1]]-Table2[[#This Row],[PAY_AMT1]]</f>
        <v>103716</v>
      </c>
      <c r="AD1384" s="1" t="str" cm="1">
        <f t="array" ref="AD1384">_xlfn.IFS(Table2[[#This Row],[PAYMENT GAP]]&lt;=0,"No Gap / Overpaid",Table2[[#This Row],[PAYMENT GAP]]&lt;=25000,"Low Gap",Table2[[#This Row],[PAYMENT GAP]]&lt;=100000,"Medium Gap",
TRUE,"High Gap"
)</f>
        <v>High Gap</v>
      </c>
    </row>
    <row r="1385" spans="1:30" x14ac:dyDescent="0.3">
      <c r="A1385">
        <v>1384</v>
      </c>
      <c r="B1385" s="1">
        <v>300000</v>
      </c>
      <c r="C1385" s="1" t="str" cm="1">
        <f t="array" ref="C1385">_xlfn.IFS(Table2[[#This Row],[LIMIT_BAL]]&lt;=100000,"Low",Table2[[#This Row],[LIMIT_BAL]]&lt;=300000,"Medium",
TRUE,"High"
)</f>
        <v>Medium</v>
      </c>
      <c r="D1385" t="s">
        <v>2041</v>
      </c>
      <c r="E1385" t="s">
        <v>2026</v>
      </c>
      <c r="F1385" t="s">
        <v>2029</v>
      </c>
      <c r="G1385">
        <v>27</v>
      </c>
      <c r="H1385" t="str" cm="1">
        <f t="array" ref="H1385">_xlfn.IFS(
Table2[[#This Row],[AGE]]&lt;30,"Young",
Table2[[#This Row],[AGE]]&lt;40,"Middle Age",
Table2[[#This Row],[AGE]]&lt;50,"Senior",
TRUE,"Super Senior"
)</f>
        <v>Young</v>
      </c>
      <c r="I1385">
        <v>-1</v>
      </c>
      <c r="J1385">
        <v>-1</v>
      </c>
      <c r="K1385">
        <v>-1</v>
      </c>
      <c r="L1385">
        <v>0</v>
      </c>
      <c r="M1385">
        <v>0</v>
      </c>
      <c r="N1385">
        <v>0</v>
      </c>
      <c r="O1385" s="1">
        <v>42189</v>
      </c>
      <c r="P1385" s="1">
        <v>83754</v>
      </c>
      <c r="Q1385" s="1">
        <v>120927</v>
      </c>
      <c r="R1385" s="1">
        <v>105303</v>
      </c>
      <c r="S1385" s="1">
        <v>82475</v>
      </c>
      <c r="T1385" s="1">
        <v>33262</v>
      </c>
      <c r="U1385" s="1">
        <v>83754</v>
      </c>
      <c r="V1385" s="1">
        <v>120927</v>
      </c>
      <c r="W1385" s="1">
        <v>0</v>
      </c>
      <c r="X1385" s="1">
        <v>716</v>
      </c>
      <c r="Y1385" s="1">
        <v>25213</v>
      </c>
      <c r="Z1385" s="1">
        <v>92250</v>
      </c>
      <c r="AA1385">
        <v>0</v>
      </c>
      <c r="AB1385" t="str">
        <f t="shared" si="21"/>
        <v>Not Defaulter</v>
      </c>
      <c r="AC1385" s="1">
        <f>Table2[[#This Row],[BILL_AMT1]]-Table2[[#This Row],[PAY_AMT1]]</f>
        <v>-41565</v>
      </c>
      <c r="AD1385" s="1" t="str" cm="1">
        <f t="array" ref="AD1385">_xlfn.IFS(Table2[[#This Row],[PAYMENT GAP]]&lt;=0,"No Gap / Overpaid",Table2[[#This Row],[PAYMENT GAP]]&lt;=25000,"Low Gap",Table2[[#This Row],[PAYMENT GAP]]&lt;=100000,"Medium Gap",
TRUE,"High Gap"
)</f>
        <v>No Gap / Overpaid</v>
      </c>
    </row>
    <row r="1386" spans="1:30" x14ac:dyDescent="0.3">
      <c r="A1386">
        <v>1385</v>
      </c>
      <c r="B1386" s="1">
        <v>50000</v>
      </c>
      <c r="C1386" s="1" t="str" cm="1">
        <f t="array" ref="C1386">_xlfn.IFS(Table2[[#This Row],[LIMIT_BAL]]&lt;=100000,"Low",Table2[[#This Row],[LIMIT_BAL]]&lt;=300000,"Medium",
TRUE,"High"
)</f>
        <v>Low</v>
      </c>
      <c r="D1386" t="s">
        <v>2041</v>
      </c>
      <c r="E1386" t="s">
        <v>2027</v>
      </c>
      <c r="F1386" t="s">
        <v>2028</v>
      </c>
      <c r="G1386">
        <v>22</v>
      </c>
      <c r="H1386" t="str" cm="1">
        <f t="array" ref="H1386">_xlfn.IFS(
Table2[[#This Row],[AGE]]&lt;30,"Young",
Table2[[#This Row],[AGE]]&lt;40,"Middle Age",
Table2[[#This Row],[AGE]]&lt;50,"Senior",
TRUE,"Super Senior"
)</f>
        <v>Young</v>
      </c>
      <c r="I1386">
        <v>0</v>
      </c>
      <c r="J1386">
        <v>0</v>
      </c>
      <c r="K1386">
        <v>0</v>
      </c>
      <c r="L1386">
        <v>0</v>
      </c>
      <c r="M1386">
        <v>-1</v>
      </c>
      <c r="N1386">
        <v>0</v>
      </c>
      <c r="O1386" s="1">
        <v>22854</v>
      </c>
      <c r="P1386" s="1">
        <v>31329</v>
      </c>
      <c r="Q1386" s="1">
        <v>23927</v>
      </c>
      <c r="R1386" s="1">
        <v>0</v>
      </c>
      <c r="S1386" s="1">
        <v>83</v>
      </c>
      <c r="T1386" s="1">
        <v>20083</v>
      </c>
      <c r="U1386" s="1">
        <v>9000</v>
      </c>
      <c r="V1386" s="1">
        <v>1507</v>
      </c>
      <c r="W1386" s="1">
        <v>0</v>
      </c>
      <c r="X1386" s="1">
        <v>83</v>
      </c>
      <c r="Y1386" s="1">
        <v>20000</v>
      </c>
      <c r="Z1386" s="1">
        <v>600</v>
      </c>
      <c r="AA1386">
        <v>0</v>
      </c>
      <c r="AB1386" t="str">
        <f t="shared" si="21"/>
        <v>Not Defaulter</v>
      </c>
      <c r="AC1386" s="1">
        <f>Table2[[#This Row],[BILL_AMT1]]-Table2[[#This Row],[PAY_AMT1]]</f>
        <v>13854</v>
      </c>
      <c r="AD1386" s="1" t="str" cm="1">
        <f t="array" ref="AD1386">_xlfn.IFS(Table2[[#This Row],[PAYMENT GAP]]&lt;=0,"No Gap / Overpaid",Table2[[#This Row],[PAYMENT GAP]]&lt;=25000,"Low Gap",Table2[[#This Row],[PAYMENT GAP]]&lt;=100000,"Medium Gap",
TRUE,"High Gap"
)</f>
        <v>Low Gap</v>
      </c>
    </row>
    <row r="1387" spans="1:30" x14ac:dyDescent="0.3">
      <c r="A1387">
        <v>1386</v>
      </c>
      <c r="B1387" s="1">
        <v>500000</v>
      </c>
      <c r="C1387" s="1" t="str" cm="1">
        <f t="array" ref="C1387">_xlfn.IFS(Table2[[#This Row],[LIMIT_BAL]]&lt;=100000,"Low",Table2[[#This Row],[LIMIT_BAL]]&lt;=300000,"Medium",
TRUE,"High"
)</f>
        <v>High</v>
      </c>
      <c r="D1387" t="s">
        <v>2042</v>
      </c>
      <c r="E1387" t="s">
        <v>2026</v>
      </c>
      <c r="F1387" t="s">
        <v>2029</v>
      </c>
      <c r="G1387">
        <v>39</v>
      </c>
      <c r="H1387" t="str" cm="1">
        <f t="array" ref="H1387">_xlfn.IFS(
Table2[[#This Row],[AGE]]&lt;30,"Young",
Table2[[#This Row],[AGE]]&lt;40,"Middle Age",
Table2[[#This Row],[AGE]]&lt;50,"Senior",
TRUE,"Super Senior"
)</f>
        <v>Middle Age</v>
      </c>
      <c r="I1387">
        <v>-1</v>
      </c>
      <c r="J1387">
        <v>-1</v>
      </c>
      <c r="K1387">
        <v>-1</v>
      </c>
      <c r="L1387">
        <v>-1</v>
      </c>
      <c r="M1387">
        <v>0</v>
      </c>
      <c r="N1387">
        <v>-1</v>
      </c>
      <c r="O1387" s="1">
        <v>2450</v>
      </c>
      <c r="P1387" s="1">
        <v>11833</v>
      </c>
      <c r="Q1387" s="1">
        <v>22963</v>
      </c>
      <c r="R1387" s="1">
        <v>7086</v>
      </c>
      <c r="S1387" s="1">
        <v>5453</v>
      </c>
      <c r="T1387" s="1">
        <v>1486</v>
      </c>
      <c r="U1387" s="1">
        <v>11833</v>
      </c>
      <c r="V1387" s="1">
        <v>22963</v>
      </c>
      <c r="W1387" s="1">
        <v>7086</v>
      </c>
      <c r="X1387" s="1">
        <v>0</v>
      </c>
      <c r="Y1387" s="1">
        <v>1486</v>
      </c>
      <c r="Z1387" s="1">
        <v>7570</v>
      </c>
      <c r="AA1387">
        <v>0</v>
      </c>
      <c r="AB1387" t="str">
        <f t="shared" si="21"/>
        <v>Not Defaulter</v>
      </c>
      <c r="AC1387" s="1">
        <f>Table2[[#This Row],[BILL_AMT1]]-Table2[[#This Row],[PAY_AMT1]]</f>
        <v>-9383</v>
      </c>
      <c r="AD1387" s="1" t="str" cm="1">
        <f t="array" ref="AD1387">_xlfn.IFS(Table2[[#This Row],[PAYMENT GAP]]&lt;=0,"No Gap / Overpaid",Table2[[#This Row],[PAYMENT GAP]]&lt;=25000,"Low Gap",Table2[[#This Row],[PAYMENT GAP]]&lt;=100000,"Medium Gap",
TRUE,"High Gap"
)</f>
        <v>No Gap / Overpaid</v>
      </c>
    </row>
    <row r="1388" spans="1:30" x14ac:dyDescent="0.3">
      <c r="A1388">
        <v>1387</v>
      </c>
      <c r="B1388" s="1">
        <v>360000</v>
      </c>
      <c r="C1388" s="1" t="str" cm="1">
        <f t="array" ref="C1388">_xlfn.IFS(Table2[[#This Row],[LIMIT_BAL]]&lt;=100000,"Low",Table2[[#This Row],[LIMIT_BAL]]&lt;=300000,"Medium",
TRUE,"High"
)</f>
        <v>High</v>
      </c>
      <c r="D1388" t="s">
        <v>2042</v>
      </c>
      <c r="E1388" t="s">
        <v>2026</v>
      </c>
      <c r="F1388" t="s">
        <v>2029</v>
      </c>
      <c r="G1388">
        <v>36</v>
      </c>
      <c r="H1388" t="str" cm="1">
        <f t="array" ref="H1388">_xlfn.IFS(
Table2[[#This Row],[AGE]]&lt;30,"Young",
Table2[[#This Row],[AGE]]&lt;40,"Middle Age",
Table2[[#This Row],[AGE]]&lt;50,"Senior",
TRUE,"Super Senior"
)</f>
        <v>Middle Age</v>
      </c>
      <c r="I1388">
        <v>-1</v>
      </c>
      <c r="J1388">
        <v>-1</v>
      </c>
      <c r="K1388">
        <v>-1</v>
      </c>
      <c r="L1388">
        <v>0</v>
      </c>
      <c r="M1388">
        <v>0</v>
      </c>
      <c r="N1388">
        <v>0</v>
      </c>
      <c r="O1388" s="1">
        <v>356913</v>
      </c>
      <c r="P1388" s="1">
        <v>208305</v>
      </c>
      <c r="Q1388" s="1">
        <v>68214</v>
      </c>
      <c r="R1388" s="1">
        <v>168014</v>
      </c>
      <c r="S1388" s="1">
        <v>16209</v>
      </c>
      <c r="T1388" s="1">
        <v>18918</v>
      </c>
      <c r="U1388" s="1">
        <v>210000</v>
      </c>
      <c r="V1388" s="1">
        <v>170000</v>
      </c>
      <c r="W1388" s="1">
        <v>100000</v>
      </c>
      <c r="X1388" s="1">
        <v>3000</v>
      </c>
      <c r="Y1388" s="1">
        <v>3000</v>
      </c>
      <c r="Z1388" s="1">
        <v>5000</v>
      </c>
      <c r="AA1388">
        <v>0</v>
      </c>
      <c r="AB1388" t="str">
        <f t="shared" si="21"/>
        <v>Not Defaulter</v>
      </c>
      <c r="AC1388" s="1">
        <f>Table2[[#This Row],[BILL_AMT1]]-Table2[[#This Row],[PAY_AMT1]]</f>
        <v>146913</v>
      </c>
      <c r="AD1388" s="1" t="str" cm="1">
        <f t="array" ref="AD1388">_xlfn.IFS(Table2[[#This Row],[PAYMENT GAP]]&lt;=0,"No Gap / Overpaid",Table2[[#This Row],[PAYMENT GAP]]&lt;=25000,"Low Gap",Table2[[#This Row],[PAYMENT GAP]]&lt;=100000,"Medium Gap",
TRUE,"High Gap"
)</f>
        <v>High Gap</v>
      </c>
    </row>
    <row r="1389" spans="1:30" x14ac:dyDescent="0.3">
      <c r="A1389">
        <v>1388</v>
      </c>
      <c r="B1389" s="1">
        <v>20000</v>
      </c>
      <c r="C1389" s="1" t="str" cm="1">
        <f t="array" ref="C1389">_xlfn.IFS(Table2[[#This Row],[LIMIT_BAL]]&lt;=100000,"Low",Table2[[#This Row],[LIMIT_BAL]]&lt;=300000,"Medium",
TRUE,"High"
)</f>
        <v>Low</v>
      </c>
      <c r="D1389" t="s">
        <v>2041</v>
      </c>
      <c r="E1389" t="s">
        <v>2043</v>
      </c>
      <c r="F1389" t="s">
        <v>2028</v>
      </c>
      <c r="G1389">
        <v>39</v>
      </c>
      <c r="H1389" t="str" cm="1">
        <f t="array" ref="H1389">_xlfn.IFS(
Table2[[#This Row],[AGE]]&lt;30,"Young",
Table2[[#This Row],[AGE]]&lt;40,"Middle Age",
Table2[[#This Row],[AGE]]&lt;50,"Senior",
TRUE,"Super Senior"
)</f>
        <v>Middle Age</v>
      </c>
      <c r="I1389">
        <v>1</v>
      </c>
      <c r="J1389">
        <v>2</v>
      </c>
      <c r="K1389">
        <v>2</v>
      </c>
      <c r="L1389">
        <v>0</v>
      </c>
      <c r="M1389">
        <v>-1</v>
      </c>
      <c r="N1389">
        <v>-1</v>
      </c>
      <c r="O1389" s="1">
        <v>14112</v>
      </c>
      <c r="P1389" s="1">
        <v>11221</v>
      </c>
      <c r="Q1389" s="1">
        <v>10656</v>
      </c>
      <c r="R1389" s="1">
        <v>7928</v>
      </c>
      <c r="S1389" s="1">
        <v>580</v>
      </c>
      <c r="T1389" s="1">
        <v>0</v>
      </c>
      <c r="U1389" s="1">
        <v>3520</v>
      </c>
      <c r="V1389" s="1">
        <v>0</v>
      </c>
      <c r="W1389" s="1">
        <v>1000</v>
      </c>
      <c r="X1389" s="1">
        <v>580</v>
      </c>
      <c r="Y1389" s="1">
        <v>0</v>
      </c>
      <c r="Z1389" s="1">
        <v>0</v>
      </c>
      <c r="AA1389">
        <v>0</v>
      </c>
      <c r="AB1389" t="str">
        <f t="shared" si="21"/>
        <v>Not Defaulter</v>
      </c>
      <c r="AC1389" s="1">
        <f>Table2[[#This Row],[BILL_AMT1]]-Table2[[#This Row],[PAY_AMT1]]</f>
        <v>10592</v>
      </c>
      <c r="AD1389" s="1" t="str" cm="1">
        <f t="array" ref="AD1389">_xlfn.IFS(Table2[[#This Row],[PAYMENT GAP]]&lt;=0,"No Gap / Overpaid",Table2[[#This Row],[PAYMENT GAP]]&lt;=25000,"Low Gap",Table2[[#This Row],[PAYMENT GAP]]&lt;=100000,"Medium Gap",
TRUE,"High Gap"
)</f>
        <v>Low Gap</v>
      </c>
    </row>
    <row r="1390" spans="1:30" x14ac:dyDescent="0.3">
      <c r="A1390">
        <v>1389</v>
      </c>
      <c r="B1390" s="1">
        <v>220000</v>
      </c>
      <c r="C1390" s="1" t="str" cm="1">
        <f t="array" ref="C1390">_xlfn.IFS(Table2[[#This Row],[LIMIT_BAL]]&lt;=100000,"Low",Table2[[#This Row],[LIMIT_BAL]]&lt;=300000,"Medium",
TRUE,"High"
)</f>
        <v>Medium</v>
      </c>
      <c r="D1390" t="s">
        <v>2042</v>
      </c>
      <c r="E1390" t="s">
        <v>2026</v>
      </c>
      <c r="F1390" t="s">
        <v>2028</v>
      </c>
      <c r="G1390">
        <v>39</v>
      </c>
      <c r="H1390" t="str" cm="1">
        <f t="array" ref="H1390">_xlfn.IFS(
Table2[[#This Row],[AGE]]&lt;30,"Young",
Table2[[#This Row],[AGE]]&lt;40,"Middle Age",
Table2[[#This Row],[AGE]]&lt;50,"Senior",
TRUE,"Super Senior"
)</f>
        <v>Middle Age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 s="1">
        <v>75190</v>
      </c>
      <c r="P1390" s="1">
        <v>151004</v>
      </c>
      <c r="Q1390" s="1">
        <v>152786</v>
      </c>
      <c r="R1390" s="1">
        <v>137946</v>
      </c>
      <c r="S1390" s="1">
        <v>118310</v>
      </c>
      <c r="T1390" s="1">
        <v>119147</v>
      </c>
      <c r="U1390" s="1">
        <v>100000</v>
      </c>
      <c r="V1390" s="1">
        <v>8000</v>
      </c>
      <c r="W1390" s="1">
        <v>6000</v>
      </c>
      <c r="X1390" s="1">
        <v>5000</v>
      </c>
      <c r="Y1390" s="1">
        <v>5000</v>
      </c>
      <c r="Z1390" s="1">
        <v>5000</v>
      </c>
      <c r="AA1390">
        <v>0</v>
      </c>
      <c r="AB1390" t="str">
        <f t="shared" si="21"/>
        <v>Not Defaulter</v>
      </c>
      <c r="AC1390" s="1">
        <f>Table2[[#This Row],[BILL_AMT1]]-Table2[[#This Row],[PAY_AMT1]]</f>
        <v>-24810</v>
      </c>
      <c r="AD1390" s="1" t="str" cm="1">
        <f t="array" ref="AD1390">_xlfn.IFS(Table2[[#This Row],[PAYMENT GAP]]&lt;=0,"No Gap / Overpaid",Table2[[#This Row],[PAYMENT GAP]]&lt;=25000,"Low Gap",Table2[[#This Row],[PAYMENT GAP]]&lt;=100000,"Medium Gap",
TRUE,"High Gap"
)</f>
        <v>No Gap / Overpaid</v>
      </c>
    </row>
    <row r="1391" spans="1:30" x14ac:dyDescent="0.3">
      <c r="A1391">
        <v>1390</v>
      </c>
      <c r="B1391" s="1">
        <v>20000</v>
      </c>
      <c r="C1391" s="1" t="str" cm="1">
        <f t="array" ref="C1391">_xlfn.IFS(Table2[[#This Row],[LIMIT_BAL]]&lt;=100000,"Low",Table2[[#This Row],[LIMIT_BAL]]&lt;=300000,"Medium",
TRUE,"High"
)</f>
        <v>Low</v>
      </c>
      <c r="D1391" t="s">
        <v>2041</v>
      </c>
      <c r="E1391" t="s">
        <v>2043</v>
      </c>
      <c r="F1391" t="s">
        <v>2029</v>
      </c>
      <c r="G1391">
        <v>22</v>
      </c>
      <c r="H1391" t="str" cm="1">
        <f t="array" ref="H1391">_xlfn.IFS(
Table2[[#This Row],[AGE]]&lt;30,"Young",
Table2[[#This Row],[AGE]]&lt;40,"Middle Age",
Table2[[#This Row],[AGE]]&lt;50,"Senior",
TRUE,"Super Senior"
)</f>
        <v>Young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2</v>
      </c>
      <c r="O1391" s="1">
        <v>11192</v>
      </c>
      <c r="P1391" s="1">
        <v>15677</v>
      </c>
      <c r="Q1391" s="1">
        <v>15133</v>
      </c>
      <c r="R1391" s="1">
        <v>15582</v>
      </c>
      <c r="S1391" s="1">
        <v>16677</v>
      </c>
      <c r="T1391" s="1">
        <v>16259</v>
      </c>
      <c r="U1391" s="1">
        <v>5000</v>
      </c>
      <c r="V1391" s="1">
        <v>0</v>
      </c>
      <c r="W1391" s="1">
        <v>1000</v>
      </c>
      <c r="X1391" s="1">
        <v>1500</v>
      </c>
      <c r="Y1391" s="1">
        <v>0</v>
      </c>
      <c r="Z1391" s="1">
        <v>700</v>
      </c>
      <c r="AA1391">
        <v>0</v>
      </c>
      <c r="AB1391" t="str">
        <f t="shared" si="21"/>
        <v>Not Defaulter</v>
      </c>
      <c r="AC1391" s="1">
        <f>Table2[[#This Row],[BILL_AMT1]]-Table2[[#This Row],[PAY_AMT1]]</f>
        <v>6192</v>
      </c>
      <c r="AD1391" s="1" t="str" cm="1">
        <f t="array" ref="AD1391">_xlfn.IFS(Table2[[#This Row],[PAYMENT GAP]]&lt;=0,"No Gap / Overpaid",Table2[[#This Row],[PAYMENT GAP]]&lt;=25000,"Low Gap",Table2[[#This Row],[PAYMENT GAP]]&lt;=100000,"Medium Gap",
TRUE,"High Gap"
)</f>
        <v>Low Gap</v>
      </c>
    </row>
    <row r="1392" spans="1:30" x14ac:dyDescent="0.3">
      <c r="A1392">
        <v>1391</v>
      </c>
      <c r="B1392" s="1">
        <v>60000</v>
      </c>
      <c r="C1392" s="1" t="str" cm="1">
        <f t="array" ref="C1392">_xlfn.IFS(Table2[[#This Row],[LIMIT_BAL]]&lt;=100000,"Low",Table2[[#This Row],[LIMIT_BAL]]&lt;=300000,"Medium",
TRUE,"High"
)</f>
        <v>Low</v>
      </c>
      <c r="D1392" t="s">
        <v>2042</v>
      </c>
      <c r="E1392" t="s">
        <v>2043</v>
      </c>
      <c r="F1392" t="s">
        <v>2028</v>
      </c>
      <c r="G1392">
        <v>37</v>
      </c>
      <c r="H1392" t="str" cm="1">
        <f t="array" ref="H1392">_xlfn.IFS(
Table2[[#This Row],[AGE]]&lt;30,"Young",
Table2[[#This Row],[AGE]]&lt;40,"Middle Age",
Table2[[#This Row],[AGE]]&lt;50,"Senior",
TRUE,"Super Senior"
)</f>
        <v>Middle Age</v>
      </c>
      <c r="I1392">
        <v>3</v>
      </c>
      <c r="J1392">
        <v>4</v>
      </c>
      <c r="K1392">
        <v>3</v>
      </c>
      <c r="L1392">
        <v>2</v>
      </c>
      <c r="M1392">
        <v>2</v>
      </c>
      <c r="N1392">
        <v>2</v>
      </c>
      <c r="O1392" s="1">
        <v>30381</v>
      </c>
      <c r="P1392" s="1">
        <v>29986</v>
      </c>
      <c r="Q1392" s="1">
        <v>29210</v>
      </c>
      <c r="R1392" s="1">
        <v>29729</v>
      </c>
      <c r="S1392" s="1">
        <v>30505</v>
      </c>
      <c r="T1392" s="1">
        <v>32232</v>
      </c>
      <c r="U1392" s="1">
        <v>366</v>
      </c>
      <c r="V1392" s="1">
        <v>0</v>
      </c>
      <c r="W1392" s="1">
        <v>1300</v>
      </c>
      <c r="X1392" s="1">
        <v>1400</v>
      </c>
      <c r="Y1392" s="1">
        <v>2400</v>
      </c>
      <c r="Z1392" s="1">
        <v>2300</v>
      </c>
      <c r="AA1392">
        <v>1</v>
      </c>
      <c r="AB1392" t="str">
        <f t="shared" si="21"/>
        <v>Defaulter</v>
      </c>
      <c r="AC1392" s="1">
        <f>Table2[[#This Row],[BILL_AMT1]]-Table2[[#This Row],[PAY_AMT1]]</f>
        <v>30015</v>
      </c>
      <c r="AD1392" s="1" t="str" cm="1">
        <f t="array" ref="AD1392">_xlfn.IFS(Table2[[#This Row],[PAYMENT GAP]]&lt;=0,"No Gap / Overpaid",Table2[[#This Row],[PAYMENT GAP]]&lt;=25000,"Low Gap",Table2[[#This Row],[PAYMENT GAP]]&lt;=100000,"Medium Gap",
TRUE,"High Gap"
)</f>
        <v>Medium Gap</v>
      </c>
    </row>
    <row r="1393" spans="1:30" x14ac:dyDescent="0.3">
      <c r="A1393">
        <v>1392</v>
      </c>
      <c r="B1393" s="1">
        <v>170000</v>
      </c>
      <c r="C1393" s="1" t="str" cm="1">
        <f t="array" ref="C1393">_xlfn.IFS(Table2[[#This Row],[LIMIT_BAL]]&lt;=100000,"Low",Table2[[#This Row],[LIMIT_BAL]]&lt;=300000,"Medium",
TRUE,"High"
)</f>
        <v>Medium</v>
      </c>
      <c r="D1393" t="s">
        <v>2041</v>
      </c>
      <c r="E1393" t="s">
        <v>2026</v>
      </c>
      <c r="F1393" t="s">
        <v>2029</v>
      </c>
      <c r="G1393">
        <v>30</v>
      </c>
      <c r="H1393" t="str" cm="1">
        <f t="array" ref="H1393">_xlfn.IFS(
Table2[[#This Row],[AGE]]&lt;30,"Young",
Table2[[#This Row],[AGE]]&lt;40,"Middle Age",
Table2[[#This Row],[AGE]]&lt;50,"Senior",
TRUE,"Super Senior"
)</f>
        <v>Middle Age</v>
      </c>
      <c r="I1393">
        <v>-1</v>
      </c>
      <c r="J1393">
        <v>0</v>
      </c>
      <c r="K1393">
        <v>-1</v>
      </c>
      <c r="L1393">
        <v>-1</v>
      </c>
      <c r="M1393">
        <v>0</v>
      </c>
      <c r="N1393">
        <v>-1</v>
      </c>
      <c r="O1393" s="1">
        <v>1560</v>
      </c>
      <c r="P1393" s="1">
        <v>1280</v>
      </c>
      <c r="Q1393" s="1">
        <v>590</v>
      </c>
      <c r="R1393" s="1">
        <v>1168</v>
      </c>
      <c r="S1393" s="1">
        <v>2160</v>
      </c>
      <c r="T1393" s="1">
        <v>145564</v>
      </c>
      <c r="U1393" s="1">
        <v>1000</v>
      </c>
      <c r="V1393" s="1">
        <v>590</v>
      </c>
      <c r="W1393" s="1">
        <v>1168</v>
      </c>
      <c r="X1393" s="1">
        <v>1582</v>
      </c>
      <c r="Y1393" s="1">
        <v>145564</v>
      </c>
      <c r="Z1393" s="1">
        <v>5069</v>
      </c>
      <c r="AA1393">
        <v>0</v>
      </c>
      <c r="AB1393" t="str">
        <f t="shared" si="21"/>
        <v>Not Defaulter</v>
      </c>
      <c r="AC1393" s="1">
        <f>Table2[[#This Row],[BILL_AMT1]]-Table2[[#This Row],[PAY_AMT1]]</f>
        <v>560</v>
      </c>
      <c r="AD1393" s="1" t="str" cm="1">
        <f t="array" ref="AD1393">_xlfn.IFS(Table2[[#This Row],[PAYMENT GAP]]&lt;=0,"No Gap / Overpaid",Table2[[#This Row],[PAYMENT GAP]]&lt;=25000,"Low Gap",Table2[[#This Row],[PAYMENT GAP]]&lt;=100000,"Medium Gap",
TRUE,"High Gap"
)</f>
        <v>Low Gap</v>
      </c>
    </row>
    <row r="1394" spans="1:30" x14ac:dyDescent="0.3">
      <c r="A1394">
        <v>1393</v>
      </c>
      <c r="B1394" s="1">
        <v>200000</v>
      </c>
      <c r="C1394" s="1" t="str" cm="1">
        <f t="array" ref="C1394">_xlfn.IFS(Table2[[#This Row],[LIMIT_BAL]]&lt;=100000,"Low",Table2[[#This Row],[LIMIT_BAL]]&lt;=300000,"Medium",
TRUE,"High"
)</f>
        <v>Medium</v>
      </c>
      <c r="D1394" t="s">
        <v>2041</v>
      </c>
      <c r="E1394" t="s">
        <v>2043</v>
      </c>
      <c r="F1394" t="s">
        <v>2028</v>
      </c>
      <c r="G1394">
        <v>26</v>
      </c>
      <c r="H1394" t="str" cm="1">
        <f t="array" ref="H1394">_xlfn.IFS(
Table2[[#This Row],[AGE]]&lt;30,"Young",
Table2[[#This Row],[AGE]]&lt;40,"Middle Age",
Table2[[#This Row],[AGE]]&lt;50,"Senior",
TRUE,"Super Senior"
)</f>
        <v>Young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 s="1">
        <v>47236</v>
      </c>
      <c r="P1394" s="1">
        <v>45200</v>
      </c>
      <c r="Q1394" s="1">
        <v>35939</v>
      </c>
      <c r="R1394" s="1">
        <v>34096</v>
      </c>
      <c r="S1394" s="1">
        <v>34876</v>
      </c>
      <c r="T1394" s="1">
        <v>34615</v>
      </c>
      <c r="U1394" s="1">
        <v>1800</v>
      </c>
      <c r="V1394" s="1">
        <v>1603</v>
      </c>
      <c r="W1394" s="1">
        <v>2000</v>
      </c>
      <c r="X1394" s="1">
        <v>2500</v>
      </c>
      <c r="Y1394" s="1">
        <v>1500</v>
      </c>
      <c r="Z1394" s="1">
        <v>1500</v>
      </c>
      <c r="AA1394">
        <v>0</v>
      </c>
      <c r="AB1394" t="str">
        <f t="shared" si="21"/>
        <v>Not Defaulter</v>
      </c>
      <c r="AC1394" s="1">
        <f>Table2[[#This Row],[BILL_AMT1]]-Table2[[#This Row],[PAY_AMT1]]</f>
        <v>45436</v>
      </c>
      <c r="AD1394" s="1" t="str" cm="1">
        <f t="array" ref="AD1394">_xlfn.IFS(Table2[[#This Row],[PAYMENT GAP]]&lt;=0,"No Gap / Overpaid",Table2[[#This Row],[PAYMENT GAP]]&lt;=25000,"Low Gap",Table2[[#This Row],[PAYMENT GAP]]&lt;=100000,"Medium Gap",
TRUE,"High Gap"
)</f>
        <v>Medium Gap</v>
      </c>
    </row>
    <row r="1395" spans="1:30" x14ac:dyDescent="0.3">
      <c r="A1395">
        <v>1394</v>
      </c>
      <c r="B1395" s="1">
        <v>20000</v>
      </c>
      <c r="C1395" s="1" t="str" cm="1">
        <f t="array" ref="C1395">_xlfn.IFS(Table2[[#This Row],[LIMIT_BAL]]&lt;=100000,"Low",Table2[[#This Row],[LIMIT_BAL]]&lt;=300000,"Medium",
TRUE,"High"
)</f>
        <v>Low</v>
      </c>
      <c r="D1395" t="s">
        <v>2041</v>
      </c>
      <c r="E1395" t="s">
        <v>2026</v>
      </c>
      <c r="F1395" t="s">
        <v>2029</v>
      </c>
      <c r="G1395">
        <v>23</v>
      </c>
      <c r="H1395" t="str" cm="1">
        <f t="array" ref="H1395">_xlfn.IFS(
Table2[[#This Row],[AGE]]&lt;30,"Young",
Table2[[#This Row],[AGE]]&lt;40,"Middle Age",
Table2[[#This Row],[AGE]]&lt;50,"Senior",
TRUE,"Super Senior"
)</f>
        <v>Young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 s="1">
        <v>19990</v>
      </c>
      <c r="P1395" s="1">
        <v>20038</v>
      </c>
      <c r="Q1395" s="1">
        <v>19571</v>
      </c>
      <c r="R1395" s="1">
        <v>14362</v>
      </c>
      <c r="S1395" s="1">
        <v>15127</v>
      </c>
      <c r="T1395" s="1">
        <v>15872</v>
      </c>
      <c r="U1395" s="1">
        <v>1438</v>
      </c>
      <c r="V1395" s="1">
        <v>1300</v>
      </c>
      <c r="W1395" s="1">
        <v>1000</v>
      </c>
      <c r="X1395" s="1">
        <v>1000</v>
      </c>
      <c r="Y1395" s="1">
        <v>1000</v>
      </c>
      <c r="Z1395" s="1">
        <v>2000</v>
      </c>
      <c r="AA1395">
        <v>0</v>
      </c>
      <c r="AB1395" t="str">
        <f t="shared" si="21"/>
        <v>Not Defaulter</v>
      </c>
      <c r="AC1395" s="1">
        <f>Table2[[#This Row],[BILL_AMT1]]-Table2[[#This Row],[PAY_AMT1]]</f>
        <v>18552</v>
      </c>
      <c r="AD1395" s="1" t="str" cm="1">
        <f t="array" ref="AD1395">_xlfn.IFS(Table2[[#This Row],[PAYMENT GAP]]&lt;=0,"No Gap / Overpaid",Table2[[#This Row],[PAYMENT GAP]]&lt;=25000,"Low Gap",Table2[[#This Row],[PAYMENT GAP]]&lt;=100000,"Medium Gap",
TRUE,"High Gap"
)</f>
        <v>Low Gap</v>
      </c>
    </row>
    <row r="1396" spans="1:30" x14ac:dyDescent="0.3">
      <c r="A1396">
        <v>1395</v>
      </c>
      <c r="B1396" s="1">
        <v>140000</v>
      </c>
      <c r="C1396" s="1" t="str" cm="1">
        <f t="array" ref="C1396">_xlfn.IFS(Table2[[#This Row],[LIMIT_BAL]]&lt;=100000,"Low",Table2[[#This Row],[LIMIT_BAL]]&lt;=300000,"Medium",
TRUE,"High"
)</f>
        <v>Medium</v>
      </c>
      <c r="D1396" t="s">
        <v>2041</v>
      </c>
      <c r="E1396" t="s">
        <v>2027</v>
      </c>
      <c r="F1396" t="s">
        <v>2029</v>
      </c>
      <c r="G1396">
        <v>23</v>
      </c>
      <c r="H1396" t="str" cm="1">
        <f t="array" ref="H1396">_xlfn.IFS(
Table2[[#This Row],[AGE]]&lt;30,"Young",
Table2[[#This Row],[AGE]]&lt;40,"Middle Age",
Table2[[#This Row],[AGE]]&lt;50,"Senior",
TRUE,"Super Senior"
)</f>
        <v>Young</v>
      </c>
      <c r="I1396">
        <v>-2</v>
      </c>
      <c r="J1396">
        <v>-2</v>
      </c>
      <c r="K1396">
        <v>-2</v>
      </c>
      <c r="L1396">
        <v>-2</v>
      </c>
      <c r="M1396">
        <v>-2</v>
      </c>
      <c r="N1396">
        <v>-2</v>
      </c>
      <c r="O1396" s="1">
        <v>67505</v>
      </c>
      <c r="P1396" s="1">
        <v>36772</v>
      </c>
      <c r="Q1396" s="1">
        <v>38399</v>
      </c>
      <c r="R1396" s="1">
        <v>39131</v>
      </c>
      <c r="S1396" s="1">
        <v>39508</v>
      </c>
      <c r="T1396" s="1">
        <v>3441</v>
      </c>
      <c r="U1396" s="1">
        <v>2000</v>
      </c>
      <c r="V1396" s="1">
        <v>2400</v>
      </c>
      <c r="W1396" s="1">
        <v>2132</v>
      </c>
      <c r="X1396" s="1">
        <v>1617</v>
      </c>
      <c r="Y1396" s="1">
        <v>515</v>
      </c>
      <c r="Z1396" s="1">
        <v>2031</v>
      </c>
      <c r="AA1396">
        <v>0</v>
      </c>
      <c r="AB1396" t="str">
        <f t="shared" si="21"/>
        <v>Not Defaulter</v>
      </c>
      <c r="AC1396" s="1">
        <f>Table2[[#This Row],[BILL_AMT1]]-Table2[[#This Row],[PAY_AMT1]]</f>
        <v>65505</v>
      </c>
      <c r="AD1396" s="1" t="str" cm="1">
        <f t="array" ref="AD1396">_xlfn.IFS(Table2[[#This Row],[PAYMENT GAP]]&lt;=0,"No Gap / Overpaid",Table2[[#This Row],[PAYMENT GAP]]&lt;=25000,"Low Gap",Table2[[#This Row],[PAYMENT GAP]]&lt;=100000,"Medium Gap",
TRUE,"High Gap"
)</f>
        <v>Medium Gap</v>
      </c>
    </row>
    <row r="1397" spans="1:30" x14ac:dyDescent="0.3">
      <c r="A1397">
        <v>1396</v>
      </c>
      <c r="B1397" s="1">
        <v>330000</v>
      </c>
      <c r="C1397" s="1" t="str" cm="1">
        <f t="array" ref="C1397">_xlfn.IFS(Table2[[#This Row],[LIMIT_BAL]]&lt;=100000,"Low",Table2[[#This Row],[LIMIT_BAL]]&lt;=300000,"Medium",
TRUE,"High"
)</f>
        <v>High</v>
      </c>
      <c r="D1397" t="s">
        <v>2041</v>
      </c>
      <c r="E1397" t="s">
        <v>2026</v>
      </c>
      <c r="F1397" t="s">
        <v>2029</v>
      </c>
      <c r="G1397">
        <v>35</v>
      </c>
      <c r="H1397" t="str" cm="1">
        <f t="array" ref="H1397">_xlfn.IFS(
Table2[[#This Row],[AGE]]&lt;30,"Young",
Table2[[#This Row],[AGE]]&lt;40,"Middle Age",
Table2[[#This Row],[AGE]]&lt;50,"Senior",
TRUE,"Super Senior"
)</f>
        <v>Middle Age</v>
      </c>
      <c r="I1397">
        <v>-2</v>
      </c>
      <c r="J1397">
        <v>-2</v>
      </c>
      <c r="K1397">
        <v>-2</v>
      </c>
      <c r="L1397">
        <v>-2</v>
      </c>
      <c r="M1397">
        <v>-2</v>
      </c>
      <c r="N1397">
        <v>-2</v>
      </c>
      <c r="O1397" s="1">
        <v>1663</v>
      </c>
      <c r="P1397" s="1">
        <v>0</v>
      </c>
      <c r="Q1397" s="1">
        <v>0</v>
      </c>
      <c r="R1397" s="1">
        <v>0</v>
      </c>
      <c r="S1397" s="1">
        <v>29221</v>
      </c>
      <c r="T1397" s="1">
        <v>3194</v>
      </c>
      <c r="U1397" s="1">
        <v>0</v>
      </c>
      <c r="V1397" s="1">
        <v>0</v>
      </c>
      <c r="W1397" s="1">
        <v>0</v>
      </c>
      <c r="X1397" s="1">
        <v>29221</v>
      </c>
      <c r="Y1397" s="1">
        <v>3194</v>
      </c>
      <c r="Z1397" s="1">
        <v>0</v>
      </c>
      <c r="AA1397">
        <v>0</v>
      </c>
      <c r="AB1397" t="str">
        <f t="shared" si="21"/>
        <v>Not Defaulter</v>
      </c>
      <c r="AC1397" s="1">
        <f>Table2[[#This Row],[BILL_AMT1]]-Table2[[#This Row],[PAY_AMT1]]</f>
        <v>1663</v>
      </c>
      <c r="AD1397" s="1" t="str" cm="1">
        <f t="array" ref="AD1397">_xlfn.IFS(Table2[[#This Row],[PAYMENT GAP]]&lt;=0,"No Gap / Overpaid",Table2[[#This Row],[PAYMENT GAP]]&lt;=25000,"Low Gap",Table2[[#This Row],[PAYMENT GAP]]&lt;=100000,"Medium Gap",
TRUE,"High Gap"
)</f>
        <v>Low Gap</v>
      </c>
    </row>
    <row r="1398" spans="1:30" x14ac:dyDescent="0.3">
      <c r="A1398">
        <v>1397</v>
      </c>
      <c r="B1398" s="1">
        <v>180000</v>
      </c>
      <c r="C1398" s="1" t="str" cm="1">
        <f t="array" ref="C1398">_xlfn.IFS(Table2[[#This Row],[LIMIT_BAL]]&lt;=100000,"Low",Table2[[#This Row],[LIMIT_BAL]]&lt;=300000,"Medium",
TRUE,"High"
)</f>
        <v>Medium</v>
      </c>
      <c r="D1398" t="s">
        <v>2041</v>
      </c>
      <c r="E1398" t="s">
        <v>2043</v>
      </c>
      <c r="F1398" t="s">
        <v>2029</v>
      </c>
      <c r="G1398">
        <v>24</v>
      </c>
      <c r="H1398" t="str" cm="1">
        <f t="array" ref="H1398">_xlfn.IFS(
Table2[[#This Row],[AGE]]&lt;30,"Young",
Table2[[#This Row],[AGE]]&lt;40,"Middle Age",
Table2[[#This Row],[AGE]]&lt;50,"Senior",
TRUE,"Super Senior"
)</f>
        <v>Young</v>
      </c>
      <c r="I1398">
        <v>1</v>
      </c>
      <c r="J1398">
        <v>2</v>
      </c>
      <c r="K1398">
        <v>2</v>
      </c>
      <c r="L1398">
        <v>2</v>
      </c>
      <c r="M1398">
        <v>2</v>
      </c>
      <c r="N1398">
        <v>2</v>
      </c>
      <c r="O1398" s="1">
        <v>108580</v>
      </c>
      <c r="P1398" s="1">
        <v>105403</v>
      </c>
      <c r="Q1398" s="1">
        <v>112073</v>
      </c>
      <c r="R1398" s="1">
        <v>111345</v>
      </c>
      <c r="S1398" s="1">
        <v>98404</v>
      </c>
      <c r="T1398" s="1">
        <v>102460</v>
      </c>
      <c r="U1398" s="1">
        <v>0</v>
      </c>
      <c r="V1398" s="1">
        <v>8564</v>
      </c>
      <c r="W1398" s="1">
        <v>4000</v>
      </c>
      <c r="X1398" s="1">
        <v>0</v>
      </c>
      <c r="Y1398" s="1">
        <v>7414</v>
      </c>
      <c r="Z1398" s="1">
        <v>0</v>
      </c>
      <c r="AA1398">
        <v>1</v>
      </c>
      <c r="AB1398" t="str">
        <f t="shared" si="21"/>
        <v>Defaulter</v>
      </c>
      <c r="AC1398" s="1">
        <f>Table2[[#This Row],[BILL_AMT1]]-Table2[[#This Row],[PAY_AMT1]]</f>
        <v>108580</v>
      </c>
      <c r="AD1398" s="1" t="str" cm="1">
        <f t="array" ref="AD1398">_xlfn.IFS(Table2[[#This Row],[PAYMENT GAP]]&lt;=0,"No Gap / Overpaid",Table2[[#This Row],[PAYMENT GAP]]&lt;=25000,"Low Gap",Table2[[#This Row],[PAYMENT GAP]]&lt;=100000,"Medium Gap",
TRUE,"High Gap"
)</f>
        <v>High Gap</v>
      </c>
    </row>
    <row r="1399" spans="1:30" x14ac:dyDescent="0.3">
      <c r="A1399">
        <v>1398</v>
      </c>
      <c r="B1399" s="1">
        <v>360000</v>
      </c>
      <c r="C1399" s="1" t="str" cm="1">
        <f t="array" ref="C1399">_xlfn.IFS(Table2[[#This Row],[LIMIT_BAL]]&lt;=100000,"Low",Table2[[#This Row],[LIMIT_BAL]]&lt;=300000,"Medium",
TRUE,"High"
)</f>
        <v>High</v>
      </c>
      <c r="D1399" t="s">
        <v>2041</v>
      </c>
      <c r="E1399" t="s">
        <v>2043</v>
      </c>
      <c r="F1399" t="s">
        <v>2028</v>
      </c>
      <c r="G1399">
        <v>35</v>
      </c>
      <c r="H1399" t="str" cm="1">
        <f t="array" ref="H1399">_xlfn.IFS(
Table2[[#This Row],[AGE]]&lt;30,"Young",
Table2[[#This Row],[AGE]]&lt;40,"Middle Age",
Table2[[#This Row],[AGE]]&lt;50,"Senior",
TRUE,"Super Senior"
)</f>
        <v>Middle Age</v>
      </c>
      <c r="I1399">
        <v>0</v>
      </c>
      <c r="J1399">
        <v>0</v>
      </c>
      <c r="K1399">
        <v>0</v>
      </c>
      <c r="L1399">
        <v>-1</v>
      </c>
      <c r="M1399">
        <v>-1</v>
      </c>
      <c r="N1399">
        <v>0</v>
      </c>
      <c r="O1399" s="1">
        <v>5157</v>
      </c>
      <c r="P1399" s="1">
        <v>2461</v>
      </c>
      <c r="Q1399" s="1">
        <v>0</v>
      </c>
      <c r="R1399" s="1">
        <v>277</v>
      </c>
      <c r="S1399" s="1">
        <v>2599</v>
      </c>
      <c r="T1399" s="1">
        <v>3941</v>
      </c>
      <c r="U1399" s="1">
        <v>1012</v>
      </c>
      <c r="V1399" s="1">
        <v>0</v>
      </c>
      <c r="W1399" s="1">
        <v>277</v>
      </c>
      <c r="X1399" s="1">
        <v>2602</v>
      </c>
      <c r="Y1399" s="1">
        <v>2019</v>
      </c>
      <c r="Z1399" s="1">
        <v>1123</v>
      </c>
      <c r="AA1399">
        <v>0</v>
      </c>
      <c r="AB1399" t="str">
        <f t="shared" si="21"/>
        <v>Not Defaulter</v>
      </c>
      <c r="AC1399" s="1">
        <f>Table2[[#This Row],[BILL_AMT1]]-Table2[[#This Row],[PAY_AMT1]]</f>
        <v>4145</v>
      </c>
      <c r="AD1399" s="1" t="str" cm="1">
        <f t="array" ref="AD1399">_xlfn.IFS(Table2[[#This Row],[PAYMENT GAP]]&lt;=0,"No Gap / Overpaid",Table2[[#This Row],[PAYMENT GAP]]&lt;=25000,"Low Gap",Table2[[#This Row],[PAYMENT GAP]]&lt;=100000,"Medium Gap",
TRUE,"High Gap"
)</f>
        <v>Low Gap</v>
      </c>
    </row>
    <row r="1400" spans="1:30" x14ac:dyDescent="0.3">
      <c r="A1400">
        <v>1399</v>
      </c>
      <c r="B1400" s="1">
        <v>20000</v>
      </c>
      <c r="C1400" s="1" t="str" cm="1">
        <f t="array" ref="C1400">_xlfn.IFS(Table2[[#This Row],[LIMIT_BAL]]&lt;=100000,"Low",Table2[[#This Row],[LIMIT_BAL]]&lt;=300000,"Medium",
TRUE,"High"
)</f>
        <v>Low</v>
      </c>
      <c r="D1400" t="s">
        <v>2042</v>
      </c>
      <c r="E1400" t="s">
        <v>2027</v>
      </c>
      <c r="F1400" t="s">
        <v>2028</v>
      </c>
      <c r="G1400">
        <v>51</v>
      </c>
      <c r="H1400" t="str" cm="1">
        <f t="array" ref="H1400">_xlfn.IFS(
Table2[[#This Row],[AGE]]&lt;30,"Young",
Table2[[#This Row],[AGE]]&lt;40,"Middle Age",
Table2[[#This Row],[AGE]]&lt;50,"Senior",
TRUE,"Super Senior"
)</f>
        <v>Super Senior</v>
      </c>
      <c r="I1400">
        <v>2</v>
      </c>
      <c r="J1400">
        <v>0</v>
      </c>
      <c r="K1400">
        <v>0</v>
      </c>
      <c r="L1400">
        <v>0</v>
      </c>
      <c r="M1400">
        <v>0</v>
      </c>
      <c r="N1400">
        <v>0</v>
      </c>
      <c r="O1400" s="1">
        <v>14815</v>
      </c>
      <c r="P1400" s="1">
        <v>15837</v>
      </c>
      <c r="Q1400" s="1">
        <v>16852</v>
      </c>
      <c r="R1400" s="1">
        <v>17188</v>
      </c>
      <c r="S1400" s="1">
        <v>17546</v>
      </c>
      <c r="T1400" s="1">
        <v>17895</v>
      </c>
      <c r="U1400" s="1">
        <v>1264</v>
      </c>
      <c r="V1400" s="1">
        <v>1279</v>
      </c>
      <c r="W1400" s="1">
        <v>615</v>
      </c>
      <c r="X1400" s="1">
        <v>635</v>
      </c>
      <c r="Y1400" s="1">
        <v>639</v>
      </c>
      <c r="Z1400" s="1">
        <v>664</v>
      </c>
      <c r="AA1400">
        <v>0</v>
      </c>
      <c r="AB1400" t="str">
        <f t="shared" si="21"/>
        <v>Not Defaulter</v>
      </c>
      <c r="AC1400" s="1">
        <f>Table2[[#This Row],[BILL_AMT1]]-Table2[[#This Row],[PAY_AMT1]]</f>
        <v>13551</v>
      </c>
      <c r="AD1400" s="1" t="str" cm="1">
        <f t="array" ref="AD1400">_xlfn.IFS(Table2[[#This Row],[PAYMENT GAP]]&lt;=0,"No Gap / Overpaid",Table2[[#This Row],[PAYMENT GAP]]&lt;=25000,"Low Gap",Table2[[#This Row],[PAYMENT GAP]]&lt;=100000,"Medium Gap",
TRUE,"High Gap"
)</f>
        <v>Low Gap</v>
      </c>
    </row>
    <row r="1401" spans="1:30" x14ac:dyDescent="0.3">
      <c r="A1401">
        <v>1400</v>
      </c>
      <c r="B1401" s="1">
        <v>50000</v>
      </c>
      <c r="C1401" s="1" t="str" cm="1">
        <f t="array" ref="C1401">_xlfn.IFS(Table2[[#This Row],[LIMIT_BAL]]&lt;=100000,"Low",Table2[[#This Row],[LIMIT_BAL]]&lt;=300000,"Medium",
TRUE,"High"
)</f>
        <v>Low</v>
      </c>
      <c r="D1401" t="s">
        <v>2041</v>
      </c>
      <c r="E1401" t="s">
        <v>2026</v>
      </c>
      <c r="F1401" t="s">
        <v>2029</v>
      </c>
      <c r="G1401">
        <v>23</v>
      </c>
      <c r="H1401" t="str" cm="1">
        <f t="array" ref="H1401">_xlfn.IFS(
Table2[[#This Row],[AGE]]&lt;30,"Young",
Table2[[#This Row],[AGE]]&lt;40,"Middle Age",
Table2[[#This Row],[AGE]]&lt;50,"Senior",
TRUE,"Super Senior"
)</f>
        <v>Young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2</v>
      </c>
      <c r="O1401" s="1">
        <v>34422</v>
      </c>
      <c r="P1401" s="1">
        <v>32703</v>
      </c>
      <c r="Q1401" s="1">
        <v>22851</v>
      </c>
      <c r="R1401" s="1">
        <v>6699</v>
      </c>
      <c r="S1401" s="1">
        <v>10060</v>
      </c>
      <c r="T1401" s="1">
        <v>7737</v>
      </c>
      <c r="U1401" s="1">
        <v>1544</v>
      </c>
      <c r="V1401" s="1">
        <v>1000</v>
      </c>
      <c r="W1401" s="1">
        <v>0</v>
      </c>
      <c r="X1401" s="1">
        <v>3361</v>
      </c>
      <c r="Y1401" s="1">
        <v>0</v>
      </c>
      <c r="Z1401" s="1">
        <v>100</v>
      </c>
      <c r="AA1401">
        <v>0</v>
      </c>
      <c r="AB1401" t="str">
        <f t="shared" si="21"/>
        <v>Not Defaulter</v>
      </c>
      <c r="AC1401" s="1">
        <f>Table2[[#This Row],[BILL_AMT1]]-Table2[[#This Row],[PAY_AMT1]]</f>
        <v>32878</v>
      </c>
      <c r="AD1401" s="1" t="str" cm="1">
        <f t="array" ref="AD1401">_xlfn.IFS(Table2[[#This Row],[PAYMENT GAP]]&lt;=0,"No Gap / Overpaid",Table2[[#This Row],[PAYMENT GAP]]&lt;=25000,"Low Gap",Table2[[#This Row],[PAYMENT GAP]]&lt;=100000,"Medium Gap",
TRUE,"High Gap"
)</f>
        <v>Medium Gap</v>
      </c>
    </row>
    <row r="1402" spans="1:30" x14ac:dyDescent="0.3">
      <c r="A1402">
        <v>1401</v>
      </c>
      <c r="B1402" s="1">
        <v>100000</v>
      </c>
      <c r="C1402" s="1" t="str" cm="1">
        <f t="array" ref="C1402">_xlfn.IFS(Table2[[#This Row],[LIMIT_BAL]]&lt;=100000,"Low",Table2[[#This Row],[LIMIT_BAL]]&lt;=300000,"Medium",
TRUE,"High"
)</f>
        <v>Low</v>
      </c>
      <c r="D1402" t="s">
        <v>2041</v>
      </c>
      <c r="E1402" t="s">
        <v>2043</v>
      </c>
      <c r="F1402" t="s">
        <v>2028</v>
      </c>
      <c r="G1402">
        <v>25</v>
      </c>
      <c r="H1402" t="str" cm="1">
        <f t="array" ref="H1402">_xlfn.IFS(
Table2[[#This Row],[AGE]]&lt;30,"Young",
Table2[[#This Row],[AGE]]&lt;40,"Middle Age",
Table2[[#This Row],[AGE]]&lt;50,"Senior",
TRUE,"Super Senior"
)</f>
        <v>Young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 s="1">
        <v>20755</v>
      </c>
      <c r="P1402" s="1">
        <v>20043</v>
      </c>
      <c r="Q1402" s="1">
        <v>19778</v>
      </c>
      <c r="R1402" s="1">
        <v>24939</v>
      </c>
      <c r="S1402" s="1">
        <v>28639</v>
      </c>
      <c r="T1402" s="1">
        <v>8370</v>
      </c>
      <c r="U1402" s="1">
        <v>2000</v>
      </c>
      <c r="V1402" s="1">
        <v>2000</v>
      </c>
      <c r="W1402" s="1">
        <v>6000</v>
      </c>
      <c r="X1402" s="1">
        <v>4000</v>
      </c>
      <c r="Y1402" s="1">
        <v>4000</v>
      </c>
      <c r="Z1402" s="1">
        <v>3000</v>
      </c>
      <c r="AA1402">
        <v>0</v>
      </c>
      <c r="AB1402" t="str">
        <f t="shared" si="21"/>
        <v>Not Defaulter</v>
      </c>
      <c r="AC1402" s="1">
        <f>Table2[[#This Row],[BILL_AMT1]]-Table2[[#This Row],[PAY_AMT1]]</f>
        <v>18755</v>
      </c>
      <c r="AD1402" s="1" t="str" cm="1">
        <f t="array" ref="AD1402">_xlfn.IFS(Table2[[#This Row],[PAYMENT GAP]]&lt;=0,"No Gap / Overpaid",Table2[[#This Row],[PAYMENT GAP]]&lt;=25000,"Low Gap",Table2[[#This Row],[PAYMENT GAP]]&lt;=100000,"Medium Gap",
TRUE,"High Gap"
)</f>
        <v>Low Gap</v>
      </c>
    </row>
    <row r="1403" spans="1:30" x14ac:dyDescent="0.3">
      <c r="A1403">
        <v>1402</v>
      </c>
      <c r="B1403" s="1">
        <v>30000</v>
      </c>
      <c r="C1403" s="1" t="str" cm="1">
        <f t="array" ref="C1403">_xlfn.IFS(Table2[[#This Row],[LIMIT_BAL]]&lt;=100000,"Low",Table2[[#This Row],[LIMIT_BAL]]&lt;=300000,"Medium",
TRUE,"High"
)</f>
        <v>Low</v>
      </c>
      <c r="D1403" t="s">
        <v>2042</v>
      </c>
      <c r="E1403" t="s">
        <v>2043</v>
      </c>
      <c r="F1403" t="s">
        <v>2028</v>
      </c>
      <c r="G1403">
        <v>36</v>
      </c>
      <c r="H1403" t="str" cm="1">
        <f t="array" ref="H1403">_xlfn.IFS(
Table2[[#This Row],[AGE]]&lt;30,"Young",
Table2[[#This Row],[AGE]]&lt;40,"Middle Age",
Table2[[#This Row],[AGE]]&lt;50,"Senior",
TRUE,"Super Senior"
)</f>
        <v>Middle Age</v>
      </c>
      <c r="I1403">
        <v>2</v>
      </c>
      <c r="J1403">
        <v>2</v>
      </c>
      <c r="K1403">
        <v>0</v>
      </c>
      <c r="L1403">
        <v>0</v>
      </c>
      <c r="M1403">
        <v>0</v>
      </c>
      <c r="N1403">
        <v>0</v>
      </c>
      <c r="O1403" s="1">
        <v>30573</v>
      </c>
      <c r="P1403" s="1">
        <v>28473</v>
      </c>
      <c r="Q1403" s="1">
        <v>29083</v>
      </c>
      <c r="R1403" s="1">
        <v>28313</v>
      </c>
      <c r="S1403" s="1">
        <v>28932</v>
      </c>
      <c r="T1403" s="1">
        <v>29565</v>
      </c>
      <c r="U1403" s="1">
        <v>0</v>
      </c>
      <c r="V1403" s="1">
        <v>2000</v>
      </c>
      <c r="W1403" s="1">
        <v>940</v>
      </c>
      <c r="X1403" s="1">
        <v>1000</v>
      </c>
      <c r="Y1403" s="1">
        <v>1106</v>
      </c>
      <c r="Z1403" s="1">
        <v>0</v>
      </c>
      <c r="AA1403">
        <v>0</v>
      </c>
      <c r="AB1403" t="str">
        <f t="shared" si="21"/>
        <v>Not Defaulter</v>
      </c>
      <c r="AC1403" s="1">
        <f>Table2[[#This Row],[BILL_AMT1]]-Table2[[#This Row],[PAY_AMT1]]</f>
        <v>30573</v>
      </c>
      <c r="AD1403" s="1" t="str" cm="1">
        <f t="array" ref="AD1403">_xlfn.IFS(Table2[[#This Row],[PAYMENT GAP]]&lt;=0,"No Gap / Overpaid",Table2[[#This Row],[PAYMENT GAP]]&lt;=25000,"Low Gap",Table2[[#This Row],[PAYMENT GAP]]&lt;=100000,"Medium Gap",
TRUE,"High Gap"
)</f>
        <v>Medium Gap</v>
      </c>
    </row>
    <row r="1404" spans="1:30" x14ac:dyDescent="0.3">
      <c r="A1404">
        <v>1403</v>
      </c>
      <c r="B1404" s="1">
        <v>70000</v>
      </c>
      <c r="C1404" s="1" t="str" cm="1">
        <f t="array" ref="C1404">_xlfn.IFS(Table2[[#This Row],[LIMIT_BAL]]&lt;=100000,"Low",Table2[[#This Row],[LIMIT_BAL]]&lt;=300000,"Medium",
TRUE,"High"
)</f>
        <v>Low</v>
      </c>
      <c r="D1404" t="s">
        <v>2041</v>
      </c>
      <c r="E1404" t="s">
        <v>2043</v>
      </c>
      <c r="F1404" t="s">
        <v>2028</v>
      </c>
      <c r="G1404">
        <v>44</v>
      </c>
      <c r="H1404" t="str" cm="1">
        <f t="array" ref="H1404">_xlfn.IFS(
Table2[[#This Row],[AGE]]&lt;30,"Young",
Table2[[#This Row],[AGE]]&lt;40,"Middle Age",
Table2[[#This Row],[AGE]]&lt;50,"Senior",
TRUE,"Super Senior"
)</f>
        <v>Senior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 s="1">
        <v>4221</v>
      </c>
      <c r="P1404" s="1">
        <v>6642</v>
      </c>
      <c r="Q1404" s="1">
        <v>8361</v>
      </c>
      <c r="R1404" s="1">
        <v>10208</v>
      </c>
      <c r="S1404" s="1">
        <v>11038</v>
      </c>
      <c r="T1404" s="1">
        <v>11848</v>
      </c>
      <c r="U1404" s="1">
        <v>2500</v>
      </c>
      <c r="V1404" s="1">
        <v>2000</v>
      </c>
      <c r="W1404" s="1">
        <v>2000</v>
      </c>
      <c r="X1404" s="1">
        <v>1000</v>
      </c>
      <c r="Y1404" s="1">
        <v>1000</v>
      </c>
      <c r="Z1404" s="1">
        <v>1000</v>
      </c>
      <c r="AA1404">
        <v>1</v>
      </c>
      <c r="AB1404" t="str">
        <f t="shared" si="21"/>
        <v>Defaulter</v>
      </c>
      <c r="AC1404" s="1">
        <f>Table2[[#This Row],[BILL_AMT1]]-Table2[[#This Row],[PAY_AMT1]]</f>
        <v>1721</v>
      </c>
      <c r="AD1404" s="1" t="str" cm="1">
        <f t="array" ref="AD1404">_xlfn.IFS(Table2[[#This Row],[PAYMENT GAP]]&lt;=0,"No Gap / Overpaid",Table2[[#This Row],[PAYMENT GAP]]&lt;=25000,"Low Gap",Table2[[#This Row],[PAYMENT GAP]]&lt;=100000,"Medium Gap",
TRUE,"High Gap"
)</f>
        <v>Low Gap</v>
      </c>
    </row>
    <row r="1405" spans="1:30" x14ac:dyDescent="0.3">
      <c r="A1405">
        <v>1404</v>
      </c>
      <c r="B1405" s="1">
        <v>470000</v>
      </c>
      <c r="C1405" s="1" t="str" cm="1">
        <f t="array" ref="C1405">_xlfn.IFS(Table2[[#This Row],[LIMIT_BAL]]&lt;=100000,"Low",Table2[[#This Row],[LIMIT_BAL]]&lt;=300000,"Medium",
TRUE,"High"
)</f>
        <v>High</v>
      </c>
      <c r="D1405" t="s">
        <v>2042</v>
      </c>
      <c r="E1405" t="s">
        <v>2026</v>
      </c>
      <c r="F1405" t="s">
        <v>2029</v>
      </c>
      <c r="G1405">
        <v>33</v>
      </c>
      <c r="H1405" t="str" cm="1">
        <f t="array" ref="H1405">_xlfn.IFS(
Table2[[#This Row],[AGE]]&lt;30,"Young",
Table2[[#This Row],[AGE]]&lt;40,"Middle Age",
Table2[[#This Row],[AGE]]&lt;50,"Senior",
TRUE,"Super Senior"
)</f>
        <v>Middle Age</v>
      </c>
      <c r="I1405">
        <v>-1</v>
      </c>
      <c r="J1405">
        <v>-1</v>
      </c>
      <c r="K1405">
        <v>-1</v>
      </c>
      <c r="L1405">
        <v>0</v>
      </c>
      <c r="M1405">
        <v>0</v>
      </c>
      <c r="N1405">
        <v>-1</v>
      </c>
      <c r="O1405" s="1">
        <v>5613</v>
      </c>
      <c r="P1405" s="1">
        <v>11576</v>
      </c>
      <c r="Q1405" s="1">
        <v>7017</v>
      </c>
      <c r="R1405" s="1">
        <v>1185</v>
      </c>
      <c r="S1405" s="1">
        <v>0</v>
      </c>
      <c r="T1405" s="1">
        <v>542</v>
      </c>
      <c r="U1405" s="1">
        <v>11606</v>
      </c>
      <c r="V1405" s="1">
        <v>7017</v>
      </c>
      <c r="W1405" s="1">
        <v>24</v>
      </c>
      <c r="X1405" s="1">
        <v>0</v>
      </c>
      <c r="Y1405" s="1">
        <v>542</v>
      </c>
      <c r="Z1405" s="1">
        <v>208896</v>
      </c>
      <c r="AA1405">
        <v>0</v>
      </c>
      <c r="AB1405" t="str">
        <f t="shared" si="21"/>
        <v>Not Defaulter</v>
      </c>
      <c r="AC1405" s="1">
        <f>Table2[[#This Row],[BILL_AMT1]]-Table2[[#This Row],[PAY_AMT1]]</f>
        <v>-5993</v>
      </c>
      <c r="AD1405" s="1" t="str" cm="1">
        <f t="array" ref="AD1405">_xlfn.IFS(Table2[[#This Row],[PAYMENT GAP]]&lt;=0,"No Gap / Overpaid",Table2[[#This Row],[PAYMENT GAP]]&lt;=25000,"Low Gap",Table2[[#This Row],[PAYMENT GAP]]&lt;=100000,"Medium Gap",
TRUE,"High Gap"
)</f>
        <v>No Gap / Overpaid</v>
      </c>
    </row>
    <row r="1406" spans="1:30" x14ac:dyDescent="0.3">
      <c r="A1406">
        <v>1405</v>
      </c>
      <c r="B1406" s="1">
        <v>300000</v>
      </c>
      <c r="C1406" s="1" t="str" cm="1">
        <f t="array" ref="C1406">_xlfn.IFS(Table2[[#This Row],[LIMIT_BAL]]&lt;=100000,"Low",Table2[[#This Row],[LIMIT_BAL]]&lt;=300000,"Medium",
TRUE,"High"
)</f>
        <v>Medium</v>
      </c>
      <c r="D1406" t="s">
        <v>2041</v>
      </c>
      <c r="E1406" t="s">
        <v>2026</v>
      </c>
      <c r="F1406" t="s">
        <v>2028</v>
      </c>
      <c r="G1406">
        <v>36</v>
      </c>
      <c r="H1406" t="str" cm="1">
        <f t="array" ref="H1406">_xlfn.IFS(
Table2[[#This Row],[AGE]]&lt;30,"Young",
Table2[[#This Row],[AGE]]&lt;40,"Middle Age",
Table2[[#This Row],[AGE]]&lt;50,"Senior",
TRUE,"Super Senior"
)</f>
        <v>Middle Age</v>
      </c>
      <c r="I1406">
        <v>-1</v>
      </c>
      <c r="J1406">
        <v>-1</v>
      </c>
      <c r="K1406">
        <v>-2</v>
      </c>
      <c r="L1406">
        <v>-2</v>
      </c>
      <c r="M1406">
        <v>-2</v>
      </c>
      <c r="N1406">
        <v>-2</v>
      </c>
      <c r="O1406" s="1">
        <v>8385</v>
      </c>
      <c r="P1406" s="1">
        <v>-27</v>
      </c>
      <c r="Q1406" s="1">
        <v>-27</v>
      </c>
      <c r="R1406" s="1">
        <v>-27</v>
      </c>
      <c r="S1406" s="1">
        <v>-27</v>
      </c>
      <c r="T1406" s="1">
        <v>-27</v>
      </c>
      <c r="U1406" s="1">
        <v>27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>
        <v>0</v>
      </c>
      <c r="AB1406" t="str">
        <f t="shared" si="21"/>
        <v>Not Defaulter</v>
      </c>
      <c r="AC1406" s="1">
        <f>Table2[[#This Row],[BILL_AMT1]]-Table2[[#This Row],[PAY_AMT1]]</f>
        <v>8358</v>
      </c>
      <c r="AD1406" s="1" t="str" cm="1">
        <f t="array" ref="AD1406">_xlfn.IFS(Table2[[#This Row],[PAYMENT GAP]]&lt;=0,"No Gap / Overpaid",Table2[[#This Row],[PAYMENT GAP]]&lt;=25000,"Low Gap",Table2[[#This Row],[PAYMENT GAP]]&lt;=100000,"Medium Gap",
TRUE,"High Gap"
)</f>
        <v>Low Gap</v>
      </c>
    </row>
    <row r="1407" spans="1:30" x14ac:dyDescent="0.3">
      <c r="A1407">
        <v>1406</v>
      </c>
      <c r="B1407" s="1">
        <v>300000</v>
      </c>
      <c r="C1407" s="1" t="str" cm="1">
        <f t="array" ref="C1407">_xlfn.IFS(Table2[[#This Row],[LIMIT_BAL]]&lt;=100000,"Low",Table2[[#This Row],[LIMIT_BAL]]&lt;=300000,"Medium",
TRUE,"High"
)</f>
        <v>Medium</v>
      </c>
      <c r="D1407" t="s">
        <v>2041</v>
      </c>
      <c r="E1407" t="s">
        <v>2026</v>
      </c>
      <c r="F1407" t="s">
        <v>2028</v>
      </c>
      <c r="G1407">
        <v>45</v>
      </c>
      <c r="H1407" t="str" cm="1">
        <f t="array" ref="H1407">_xlfn.IFS(
Table2[[#This Row],[AGE]]&lt;30,"Young",
Table2[[#This Row],[AGE]]&lt;40,"Middle Age",
Table2[[#This Row],[AGE]]&lt;50,"Senior",
TRUE,"Super Senior"
)</f>
        <v>Senior</v>
      </c>
      <c r="I1407">
        <v>-1</v>
      </c>
      <c r="J1407">
        <v>-1</v>
      </c>
      <c r="K1407">
        <v>-1</v>
      </c>
      <c r="L1407">
        <v>0</v>
      </c>
      <c r="M1407">
        <v>0</v>
      </c>
      <c r="N1407">
        <v>-1</v>
      </c>
      <c r="O1407" s="1">
        <v>6608</v>
      </c>
      <c r="P1407" s="1">
        <v>10009</v>
      </c>
      <c r="Q1407" s="1">
        <v>22456</v>
      </c>
      <c r="R1407" s="1">
        <v>22056</v>
      </c>
      <c r="S1407" s="1">
        <v>14020</v>
      </c>
      <c r="T1407" s="1">
        <v>1230</v>
      </c>
      <c r="U1407" s="1">
        <v>10017</v>
      </c>
      <c r="V1407" s="1">
        <v>22456</v>
      </c>
      <c r="W1407" s="1">
        <v>0</v>
      </c>
      <c r="X1407" s="1">
        <v>0</v>
      </c>
      <c r="Y1407" s="1">
        <v>1230</v>
      </c>
      <c r="Z1407" s="1">
        <v>0</v>
      </c>
      <c r="AA1407">
        <v>1</v>
      </c>
      <c r="AB1407" t="str">
        <f t="shared" si="21"/>
        <v>Defaulter</v>
      </c>
      <c r="AC1407" s="1">
        <f>Table2[[#This Row],[BILL_AMT1]]-Table2[[#This Row],[PAY_AMT1]]</f>
        <v>-3409</v>
      </c>
      <c r="AD1407" s="1" t="str" cm="1">
        <f t="array" ref="AD1407">_xlfn.IFS(Table2[[#This Row],[PAYMENT GAP]]&lt;=0,"No Gap / Overpaid",Table2[[#This Row],[PAYMENT GAP]]&lt;=25000,"Low Gap",Table2[[#This Row],[PAYMENT GAP]]&lt;=100000,"Medium Gap",
TRUE,"High Gap"
)</f>
        <v>No Gap / Overpaid</v>
      </c>
    </row>
    <row r="1408" spans="1:30" x14ac:dyDescent="0.3">
      <c r="A1408">
        <v>1407</v>
      </c>
      <c r="B1408" s="1">
        <v>200000</v>
      </c>
      <c r="C1408" s="1" t="str" cm="1">
        <f t="array" ref="C1408">_xlfn.IFS(Table2[[#This Row],[LIMIT_BAL]]&lt;=100000,"Low",Table2[[#This Row],[LIMIT_BAL]]&lt;=300000,"Medium",
TRUE,"High"
)</f>
        <v>Medium</v>
      </c>
      <c r="D1408" t="s">
        <v>2041</v>
      </c>
      <c r="E1408" t="s">
        <v>2026</v>
      </c>
      <c r="F1408" t="s">
        <v>2029</v>
      </c>
      <c r="G1408">
        <v>26</v>
      </c>
      <c r="H1408" t="str" cm="1">
        <f t="array" ref="H1408">_xlfn.IFS(
Table2[[#This Row],[AGE]]&lt;30,"Young",
Table2[[#This Row],[AGE]]&lt;40,"Middle Age",
Table2[[#This Row],[AGE]]&lt;50,"Senior",
TRUE,"Super Senior"
)</f>
        <v>Young</v>
      </c>
      <c r="I1408">
        <v>-2</v>
      </c>
      <c r="J1408">
        <v>-2</v>
      </c>
      <c r="K1408">
        <v>-2</v>
      </c>
      <c r="L1408">
        <v>-2</v>
      </c>
      <c r="M1408">
        <v>-2</v>
      </c>
      <c r="N1408">
        <v>-2</v>
      </c>
      <c r="O1408" s="1">
        <v>2179</v>
      </c>
      <c r="P1408" s="1">
        <v>6440</v>
      </c>
      <c r="Q1408" s="1">
        <v>3908</v>
      </c>
      <c r="R1408" s="1">
        <v>-5</v>
      </c>
      <c r="S1408" s="1">
        <v>1060</v>
      </c>
      <c r="T1408" s="1">
        <v>2996</v>
      </c>
      <c r="U1408" s="1">
        <v>6440</v>
      </c>
      <c r="V1408" s="1">
        <v>3908</v>
      </c>
      <c r="W1408" s="1">
        <v>5</v>
      </c>
      <c r="X1408" s="1">
        <v>1065</v>
      </c>
      <c r="Y1408" s="1">
        <v>3000</v>
      </c>
      <c r="Z1408" s="1">
        <v>1108</v>
      </c>
      <c r="AA1408">
        <v>0</v>
      </c>
      <c r="AB1408" t="str">
        <f t="shared" si="21"/>
        <v>Not Defaulter</v>
      </c>
      <c r="AC1408" s="1">
        <f>Table2[[#This Row],[BILL_AMT1]]-Table2[[#This Row],[PAY_AMT1]]</f>
        <v>-4261</v>
      </c>
      <c r="AD1408" s="1" t="str" cm="1">
        <f t="array" ref="AD1408">_xlfn.IFS(Table2[[#This Row],[PAYMENT GAP]]&lt;=0,"No Gap / Overpaid",Table2[[#This Row],[PAYMENT GAP]]&lt;=25000,"Low Gap",Table2[[#This Row],[PAYMENT GAP]]&lt;=100000,"Medium Gap",
TRUE,"High Gap"
)</f>
        <v>No Gap / Overpaid</v>
      </c>
    </row>
    <row r="1409" spans="1:30" x14ac:dyDescent="0.3">
      <c r="A1409">
        <v>1408</v>
      </c>
      <c r="B1409" s="1">
        <v>150000</v>
      </c>
      <c r="C1409" s="1" t="str" cm="1">
        <f t="array" ref="C1409">_xlfn.IFS(Table2[[#This Row],[LIMIT_BAL]]&lt;=100000,"Low",Table2[[#This Row],[LIMIT_BAL]]&lt;=300000,"Medium",
TRUE,"High"
)</f>
        <v>Medium</v>
      </c>
      <c r="D1409" t="s">
        <v>2041</v>
      </c>
      <c r="E1409" t="s">
        <v>2043</v>
      </c>
      <c r="F1409" t="s">
        <v>2028</v>
      </c>
      <c r="G1409">
        <v>41</v>
      </c>
      <c r="H1409" t="str" cm="1">
        <f t="array" ref="H1409">_xlfn.IFS(
Table2[[#This Row],[AGE]]&lt;30,"Young",
Table2[[#This Row],[AGE]]&lt;40,"Middle Age",
Table2[[#This Row],[AGE]]&lt;50,"Senior",
TRUE,"Super Senior"
)</f>
        <v>Senior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 s="1">
        <v>79021</v>
      </c>
      <c r="P1409" s="1">
        <v>77975</v>
      </c>
      <c r="Q1409" s="1">
        <v>74749</v>
      </c>
      <c r="R1409" s="1">
        <v>80757</v>
      </c>
      <c r="S1409" s="1">
        <v>83685</v>
      </c>
      <c r="T1409" s="1">
        <v>81569</v>
      </c>
      <c r="U1409" s="1">
        <v>4023</v>
      </c>
      <c r="V1409" s="1">
        <v>3016</v>
      </c>
      <c r="W1409" s="1">
        <v>10000</v>
      </c>
      <c r="X1409" s="1">
        <v>4011</v>
      </c>
      <c r="Y1409" s="1">
        <v>3073</v>
      </c>
      <c r="Z1409" s="1">
        <v>3005</v>
      </c>
      <c r="AA1409">
        <v>0</v>
      </c>
      <c r="AB1409" t="str">
        <f t="shared" si="21"/>
        <v>Not Defaulter</v>
      </c>
      <c r="AC1409" s="1">
        <f>Table2[[#This Row],[BILL_AMT1]]-Table2[[#This Row],[PAY_AMT1]]</f>
        <v>74998</v>
      </c>
      <c r="AD1409" s="1" t="str" cm="1">
        <f t="array" ref="AD1409">_xlfn.IFS(Table2[[#This Row],[PAYMENT GAP]]&lt;=0,"No Gap / Overpaid",Table2[[#This Row],[PAYMENT GAP]]&lt;=25000,"Low Gap",Table2[[#This Row],[PAYMENT GAP]]&lt;=100000,"Medium Gap",
TRUE,"High Gap"
)</f>
        <v>Medium Gap</v>
      </c>
    </row>
    <row r="1410" spans="1:30" x14ac:dyDescent="0.3">
      <c r="A1410">
        <v>1409</v>
      </c>
      <c r="B1410" s="1">
        <v>220000</v>
      </c>
      <c r="C1410" s="1" t="str" cm="1">
        <f t="array" ref="C1410">_xlfn.IFS(Table2[[#This Row],[LIMIT_BAL]]&lt;=100000,"Low",Table2[[#This Row],[LIMIT_BAL]]&lt;=300000,"Medium",
TRUE,"High"
)</f>
        <v>Medium</v>
      </c>
      <c r="D1410" t="s">
        <v>2041</v>
      </c>
      <c r="E1410" t="s">
        <v>2043</v>
      </c>
      <c r="F1410" t="s">
        <v>2029</v>
      </c>
      <c r="G1410">
        <v>25</v>
      </c>
      <c r="H1410" t="str" cm="1">
        <f t="array" ref="H1410">_xlfn.IFS(
Table2[[#This Row],[AGE]]&lt;30,"Young",
Table2[[#This Row],[AGE]]&lt;40,"Middle Age",
Table2[[#This Row],[AGE]]&lt;50,"Senior",
TRUE,"Super Senior"
)</f>
        <v>Young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 s="1">
        <v>165040</v>
      </c>
      <c r="P1410" s="1">
        <v>167485</v>
      </c>
      <c r="Q1410" s="1">
        <v>148133</v>
      </c>
      <c r="R1410" s="1">
        <v>123266</v>
      </c>
      <c r="S1410" s="1">
        <v>125736</v>
      </c>
      <c r="T1410" s="1">
        <v>128342</v>
      </c>
      <c r="U1410" s="1">
        <v>6809</v>
      </c>
      <c r="V1410" s="1">
        <v>7038</v>
      </c>
      <c r="W1410" s="1">
        <v>5000</v>
      </c>
      <c r="X1410" s="1">
        <v>4500</v>
      </c>
      <c r="Y1410" s="1">
        <v>5000</v>
      </c>
      <c r="Z1410" s="1">
        <v>4473</v>
      </c>
      <c r="AA1410">
        <v>1</v>
      </c>
      <c r="AB1410" t="str">
        <f t="shared" si="21"/>
        <v>Defaulter</v>
      </c>
      <c r="AC1410" s="1">
        <f>Table2[[#This Row],[BILL_AMT1]]-Table2[[#This Row],[PAY_AMT1]]</f>
        <v>158231</v>
      </c>
      <c r="AD1410" s="1" t="str" cm="1">
        <f t="array" ref="AD1410">_xlfn.IFS(Table2[[#This Row],[PAYMENT GAP]]&lt;=0,"No Gap / Overpaid",Table2[[#This Row],[PAYMENT GAP]]&lt;=25000,"Low Gap",Table2[[#This Row],[PAYMENT GAP]]&lt;=100000,"Medium Gap",
TRUE,"High Gap"
)</f>
        <v>High Gap</v>
      </c>
    </row>
    <row r="1411" spans="1:30" x14ac:dyDescent="0.3">
      <c r="A1411">
        <v>1410</v>
      </c>
      <c r="B1411" s="1">
        <v>420000</v>
      </c>
      <c r="C1411" s="1" t="str" cm="1">
        <f t="array" ref="C1411">_xlfn.IFS(Table2[[#This Row],[LIMIT_BAL]]&lt;=100000,"Low",Table2[[#This Row],[LIMIT_BAL]]&lt;=300000,"Medium",
TRUE,"High"
)</f>
        <v>High</v>
      </c>
      <c r="D1411" t="s">
        <v>2042</v>
      </c>
      <c r="E1411" t="s">
        <v>2026</v>
      </c>
      <c r="F1411" t="s">
        <v>2029</v>
      </c>
      <c r="G1411">
        <v>31</v>
      </c>
      <c r="H1411" t="str" cm="1">
        <f t="array" ref="H1411">_xlfn.IFS(
Table2[[#This Row],[AGE]]&lt;30,"Young",
Table2[[#This Row],[AGE]]&lt;40,"Middle Age",
Table2[[#This Row],[AGE]]&lt;50,"Senior",
TRUE,"Super Senior"
)</f>
        <v>Middle Age</v>
      </c>
      <c r="I1411">
        <v>-2</v>
      </c>
      <c r="J1411">
        <v>-2</v>
      </c>
      <c r="K1411">
        <v>-2</v>
      </c>
      <c r="L1411">
        <v>-2</v>
      </c>
      <c r="M1411">
        <v>-2</v>
      </c>
      <c r="N1411">
        <v>-2</v>
      </c>
      <c r="O1411" s="1">
        <v>1569</v>
      </c>
      <c r="P1411" s="1">
        <v>563</v>
      </c>
      <c r="Q1411" s="1">
        <v>1914</v>
      </c>
      <c r="R1411" s="1">
        <v>1189</v>
      </c>
      <c r="S1411" s="1">
        <v>1208</v>
      </c>
      <c r="T1411" s="1">
        <v>4964</v>
      </c>
      <c r="U1411" s="1">
        <v>565</v>
      </c>
      <c r="V1411" s="1">
        <v>1923</v>
      </c>
      <c r="W1411" s="1">
        <v>1194</v>
      </c>
      <c r="X1411" s="1">
        <v>1214</v>
      </c>
      <c r="Y1411" s="1">
        <v>4988</v>
      </c>
      <c r="Z1411" s="1">
        <v>296</v>
      </c>
      <c r="AA1411">
        <v>0</v>
      </c>
      <c r="AB1411" t="str">
        <f t="shared" ref="AB1411:AB1474" si="22">IF(AA1411=1,"Defaulter","Not Defaulter")</f>
        <v>Not Defaulter</v>
      </c>
      <c r="AC1411" s="1">
        <f>Table2[[#This Row],[BILL_AMT1]]-Table2[[#This Row],[PAY_AMT1]]</f>
        <v>1004</v>
      </c>
      <c r="AD1411" s="1" t="str" cm="1">
        <f t="array" ref="AD1411">_xlfn.IFS(Table2[[#This Row],[PAYMENT GAP]]&lt;=0,"No Gap / Overpaid",Table2[[#This Row],[PAYMENT GAP]]&lt;=25000,"Low Gap",Table2[[#This Row],[PAYMENT GAP]]&lt;=100000,"Medium Gap",
TRUE,"High Gap"
)</f>
        <v>Low Gap</v>
      </c>
    </row>
    <row r="1412" spans="1:30" x14ac:dyDescent="0.3">
      <c r="A1412">
        <v>1411</v>
      </c>
      <c r="B1412" s="1">
        <v>210000</v>
      </c>
      <c r="C1412" s="1" t="str" cm="1">
        <f t="array" ref="C1412">_xlfn.IFS(Table2[[#This Row],[LIMIT_BAL]]&lt;=100000,"Low",Table2[[#This Row],[LIMIT_BAL]]&lt;=300000,"Medium",
TRUE,"High"
)</f>
        <v>Medium</v>
      </c>
      <c r="D1412" t="s">
        <v>2041</v>
      </c>
      <c r="E1412" t="s">
        <v>2043</v>
      </c>
      <c r="F1412" t="s">
        <v>2029</v>
      </c>
      <c r="G1412">
        <v>45</v>
      </c>
      <c r="H1412" t="str" cm="1">
        <f t="array" ref="H1412">_xlfn.IFS(
Table2[[#This Row],[AGE]]&lt;30,"Young",
Table2[[#This Row],[AGE]]&lt;40,"Middle Age",
Table2[[#This Row],[AGE]]&lt;50,"Senior",
TRUE,"Super Senior"
)</f>
        <v>Senior</v>
      </c>
      <c r="I1412">
        <v>-2</v>
      </c>
      <c r="J1412">
        <v>-2</v>
      </c>
      <c r="K1412">
        <v>-2</v>
      </c>
      <c r="L1412">
        <v>-2</v>
      </c>
      <c r="M1412">
        <v>-2</v>
      </c>
      <c r="N1412">
        <v>-2</v>
      </c>
      <c r="O1412" s="1">
        <v>467</v>
      </c>
      <c r="P1412" s="1">
        <v>2050</v>
      </c>
      <c r="Q1412" s="1">
        <v>416</v>
      </c>
      <c r="R1412" s="1">
        <v>416</v>
      </c>
      <c r="S1412" s="1">
        <v>416</v>
      </c>
      <c r="T1412" s="1">
        <v>416</v>
      </c>
      <c r="U1412" s="1">
        <v>2050</v>
      </c>
      <c r="V1412" s="1">
        <v>416</v>
      </c>
      <c r="W1412" s="1">
        <v>416</v>
      </c>
      <c r="X1412" s="1">
        <v>416</v>
      </c>
      <c r="Y1412" s="1">
        <v>416</v>
      </c>
      <c r="Z1412" s="1">
        <v>416</v>
      </c>
      <c r="AA1412">
        <v>0</v>
      </c>
      <c r="AB1412" t="str">
        <f t="shared" si="22"/>
        <v>Not Defaulter</v>
      </c>
      <c r="AC1412" s="1">
        <f>Table2[[#This Row],[BILL_AMT1]]-Table2[[#This Row],[PAY_AMT1]]</f>
        <v>-1583</v>
      </c>
      <c r="AD1412" s="1" t="str" cm="1">
        <f t="array" ref="AD1412">_xlfn.IFS(Table2[[#This Row],[PAYMENT GAP]]&lt;=0,"No Gap / Overpaid",Table2[[#This Row],[PAYMENT GAP]]&lt;=25000,"Low Gap",Table2[[#This Row],[PAYMENT GAP]]&lt;=100000,"Medium Gap",
TRUE,"High Gap"
)</f>
        <v>No Gap / Overpaid</v>
      </c>
    </row>
    <row r="1413" spans="1:30" x14ac:dyDescent="0.3">
      <c r="A1413">
        <v>1412</v>
      </c>
      <c r="B1413" s="1">
        <v>450000</v>
      </c>
      <c r="C1413" s="1" t="str" cm="1">
        <f t="array" ref="C1413">_xlfn.IFS(Table2[[#This Row],[LIMIT_BAL]]&lt;=100000,"Low",Table2[[#This Row],[LIMIT_BAL]]&lt;=300000,"Medium",
TRUE,"High"
)</f>
        <v>High</v>
      </c>
      <c r="D1413" t="s">
        <v>2042</v>
      </c>
      <c r="E1413" t="s">
        <v>2027</v>
      </c>
      <c r="F1413" t="s">
        <v>2028</v>
      </c>
      <c r="G1413">
        <v>58</v>
      </c>
      <c r="H1413" t="str" cm="1">
        <f t="array" ref="H1413">_xlfn.IFS(
Table2[[#This Row],[AGE]]&lt;30,"Young",
Table2[[#This Row],[AGE]]&lt;40,"Middle Age",
Table2[[#This Row],[AGE]]&lt;50,"Senior",
TRUE,"Super Senior"
)</f>
        <v>Super Senior</v>
      </c>
      <c r="I1413">
        <v>-1</v>
      </c>
      <c r="J1413">
        <v>-1</v>
      </c>
      <c r="K1413">
        <v>-1</v>
      </c>
      <c r="L1413">
        <v>-1</v>
      </c>
      <c r="M1413">
        <v>-1</v>
      </c>
      <c r="N1413">
        <v>-1</v>
      </c>
      <c r="O1413" s="1">
        <v>8940</v>
      </c>
      <c r="P1413" s="1">
        <v>6239</v>
      </c>
      <c r="Q1413" s="1">
        <v>5535</v>
      </c>
      <c r="R1413" s="1">
        <v>9856</v>
      </c>
      <c r="S1413" s="1">
        <v>819</v>
      </c>
      <c r="T1413" s="1">
        <v>863</v>
      </c>
      <c r="U1413" s="1">
        <v>6271</v>
      </c>
      <c r="V1413" s="1">
        <v>5740</v>
      </c>
      <c r="W1413" s="1">
        <v>9905</v>
      </c>
      <c r="X1413" s="1">
        <v>823</v>
      </c>
      <c r="Y1413" s="1">
        <v>867</v>
      </c>
      <c r="Z1413" s="1">
        <v>2488</v>
      </c>
      <c r="AA1413">
        <v>0</v>
      </c>
      <c r="AB1413" t="str">
        <f t="shared" si="22"/>
        <v>Not Defaulter</v>
      </c>
      <c r="AC1413" s="1">
        <f>Table2[[#This Row],[BILL_AMT1]]-Table2[[#This Row],[PAY_AMT1]]</f>
        <v>2669</v>
      </c>
      <c r="AD1413" s="1" t="str" cm="1">
        <f t="array" ref="AD1413">_xlfn.IFS(Table2[[#This Row],[PAYMENT GAP]]&lt;=0,"No Gap / Overpaid",Table2[[#This Row],[PAYMENT GAP]]&lt;=25000,"Low Gap",Table2[[#This Row],[PAYMENT GAP]]&lt;=100000,"Medium Gap",
TRUE,"High Gap"
)</f>
        <v>Low Gap</v>
      </c>
    </row>
    <row r="1414" spans="1:30" x14ac:dyDescent="0.3">
      <c r="A1414">
        <v>1413</v>
      </c>
      <c r="B1414" s="1">
        <v>30000</v>
      </c>
      <c r="C1414" s="1" t="str" cm="1">
        <f t="array" ref="C1414">_xlfn.IFS(Table2[[#This Row],[LIMIT_BAL]]&lt;=100000,"Low",Table2[[#This Row],[LIMIT_BAL]]&lt;=300000,"Medium",
TRUE,"High"
)</f>
        <v>Low</v>
      </c>
      <c r="D1414" t="s">
        <v>2042</v>
      </c>
      <c r="E1414" t="s">
        <v>2043</v>
      </c>
      <c r="F1414" t="s">
        <v>2028</v>
      </c>
      <c r="G1414">
        <v>38</v>
      </c>
      <c r="H1414" t="str" cm="1">
        <f t="array" ref="H1414">_xlfn.IFS(
Table2[[#This Row],[AGE]]&lt;30,"Young",
Table2[[#This Row],[AGE]]&lt;40,"Middle Age",
Table2[[#This Row],[AGE]]&lt;50,"Senior",
TRUE,"Super Senior"
)</f>
        <v>Middle Age</v>
      </c>
      <c r="I1414">
        <v>-1</v>
      </c>
      <c r="J1414">
        <v>-1</v>
      </c>
      <c r="K1414">
        <v>-1</v>
      </c>
      <c r="L1414">
        <v>-1</v>
      </c>
      <c r="M1414">
        <v>-1</v>
      </c>
      <c r="N1414">
        <v>-1</v>
      </c>
      <c r="O1414" s="1">
        <v>184</v>
      </c>
      <c r="P1414" s="1">
        <v>1522</v>
      </c>
      <c r="Q1414" s="1">
        <v>0</v>
      </c>
      <c r="R1414" s="1">
        <v>5480</v>
      </c>
      <c r="S1414" s="1">
        <v>175</v>
      </c>
      <c r="T1414" s="1">
        <v>-2000</v>
      </c>
      <c r="U1414" s="1">
        <v>1522</v>
      </c>
      <c r="V1414" s="1">
        <v>0</v>
      </c>
      <c r="W1414" s="1">
        <v>5480</v>
      </c>
      <c r="X1414" s="1">
        <v>175</v>
      </c>
      <c r="Y1414" s="1">
        <v>0</v>
      </c>
      <c r="Z1414" s="1">
        <v>2000</v>
      </c>
      <c r="AA1414">
        <v>0</v>
      </c>
      <c r="AB1414" t="str">
        <f t="shared" si="22"/>
        <v>Not Defaulter</v>
      </c>
      <c r="AC1414" s="1">
        <f>Table2[[#This Row],[BILL_AMT1]]-Table2[[#This Row],[PAY_AMT1]]</f>
        <v>-1338</v>
      </c>
      <c r="AD1414" s="1" t="str" cm="1">
        <f t="array" ref="AD1414">_xlfn.IFS(Table2[[#This Row],[PAYMENT GAP]]&lt;=0,"No Gap / Overpaid",Table2[[#This Row],[PAYMENT GAP]]&lt;=25000,"Low Gap",Table2[[#This Row],[PAYMENT GAP]]&lt;=100000,"Medium Gap",
TRUE,"High Gap"
)</f>
        <v>No Gap / Overpaid</v>
      </c>
    </row>
    <row r="1415" spans="1:30" x14ac:dyDescent="0.3">
      <c r="A1415">
        <v>1414</v>
      </c>
      <c r="B1415" s="1">
        <v>240000</v>
      </c>
      <c r="C1415" s="1" t="str" cm="1">
        <f t="array" ref="C1415">_xlfn.IFS(Table2[[#This Row],[LIMIT_BAL]]&lt;=100000,"Low",Table2[[#This Row],[LIMIT_BAL]]&lt;=300000,"Medium",
TRUE,"High"
)</f>
        <v>Medium</v>
      </c>
      <c r="D1415" t="s">
        <v>2042</v>
      </c>
      <c r="E1415" t="s">
        <v>2043</v>
      </c>
      <c r="F1415" t="s">
        <v>2028</v>
      </c>
      <c r="G1415">
        <v>30</v>
      </c>
      <c r="H1415" t="str" cm="1">
        <f t="array" ref="H1415">_xlfn.IFS(
Table2[[#This Row],[AGE]]&lt;30,"Young",
Table2[[#This Row],[AGE]]&lt;40,"Middle Age",
Table2[[#This Row],[AGE]]&lt;50,"Senior",
TRUE,"Super Senior"
)</f>
        <v>Middle Age</v>
      </c>
      <c r="I1415">
        <v>-1</v>
      </c>
      <c r="J1415">
        <v>-1</v>
      </c>
      <c r="K1415">
        <v>-1</v>
      </c>
      <c r="L1415">
        <v>-1</v>
      </c>
      <c r="M1415">
        <v>-1</v>
      </c>
      <c r="N1415">
        <v>-1</v>
      </c>
      <c r="O1415" s="1">
        <v>2816</v>
      </c>
      <c r="P1415" s="1">
        <v>7608</v>
      </c>
      <c r="Q1415" s="1">
        <v>26832</v>
      </c>
      <c r="R1415" s="1">
        <v>3518</v>
      </c>
      <c r="S1415" s="1">
        <v>1280</v>
      </c>
      <c r="T1415" s="1">
        <v>5900</v>
      </c>
      <c r="U1415" s="1">
        <v>7608</v>
      </c>
      <c r="V1415" s="1">
        <v>26834</v>
      </c>
      <c r="W1415" s="1">
        <v>3518</v>
      </c>
      <c r="X1415" s="1">
        <v>1280</v>
      </c>
      <c r="Y1415" s="1">
        <v>5900</v>
      </c>
      <c r="Z1415" s="1">
        <v>1319</v>
      </c>
      <c r="AA1415">
        <v>0</v>
      </c>
      <c r="AB1415" t="str">
        <f t="shared" si="22"/>
        <v>Not Defaulter</v>
      </c>
      <c r="AC1415" s="1">
        <f>Table2[[#This Row],[BILL_AMT1]]-Table2[[#This Row],[PAY_AMT1]]</f>
        <v>-4792</v>
      </c>
      <c r="AD1415" s="1" t="str" cm="1">
        <f t="array" ref="AD1415">_xlfn.IFS(Table2[[#This Row],[PAYMENT GAP]]&lt;=0,"No Gap / Overpaid",Table2[[#This Row],[PAYMENT GAP]]&lt;=25000,"Low Gap",Table2[[#This Row],[PAYMENT GAP]]&lt;=100000,"Medium Gap",
TRUE,"High Gap"
)</f>
        <v>No Gap / Overpaid</v>
      </c>
    </row>
    <row r="1416" spans="1:30" x14ac:dyDescent="0.3">
      <c r="A1416">
        <v>1415</v>
      </c>
      <c r="B1416" s="1">
        <v>420000</v>
      </c>
      <c r="C1416" s="1" t="str" cm="1">
        <f t="array" ref="C1416">_xlfn.IFS(Table2[[#This Row],[LIMIT_BAL]]&lt;=100000,"Low",Table2[[#This Row],[LIMIT_BAL]]&lt;=300000,"Medium",
TRUE,"High"
)</f>
        <v>High</v>
      </c>
      <c r="D1416" t="s">
        <v>2041</v>
      </c>
      <c r="E1416" t="s">
        <v>2043</v>
      </c>
      <c r="F1416" t="s">
        <v>2029</v>
      </c>
      <c r="G1416">
        <v>25</v>
      </c>
      <c r="H1416" t="str" cm="1">
        <f t="array" ref="H1416">_xlfn.IFS(
Table2[[#This Row],[AGE]]&lt;30,"Young",
Table2[[#This Row],[AGE]]&lt;40,"Middle Age",
Table2[[#This Row],[AGE]]&lt;50,"Senior",
TRUE,"Super Senior"
)</f>
        <v>Young</v>
      </c>
      <c r="I1416">
        <v>-1</v>
      </c>
      <c r="J1416">
        <v>0</v>
      </c>
      <c r="K1416">
        <v>0</v>
      </c>
      <c r="L1416">
        <v>0</v>
      </c>
      <c r="M1416">
        <v>0</v>
      </c>
      <c r="N1416">
        <v>0</v>
      </c>
      <c r="O1416" s="1">
        <v>28206</v>
      </c>
      <c r="P1416" s="1">
        <v>122212</v>
      </c>
      <c r="Q1416" s="1">
        <v>117835</v>
      </c>
      <c r="R1416" s="1">
        <v>112705</v>
      </c>
      <c r="S1416" s="1">
        <v>111357</v>
      </c>
      <c r="T1416" s="1">
        <v>108306</v>
      </c>
      <c r="U1416" s="1">
        <v>100000</v>
      </c>
      <c r="V1416" s="1">
        <v>4013</v>
      </c>
      <c r="W1416" s="1">
        <v>3822</v>
      </c>
      <c r="X1416" s="1">
        <v>4086</v>
      </c>
      <c r="Y1416" s="1">
        <v>3800</v>
      </c>
      <c r="Z1416" s="1">
        <v>3600</v>
      </c>
      <c r="AA1416">
        <v>0</v>
      </c>
      <c r="AB1416" t="str">
        <f t="shared" si="22"/>
        <v>Not Defaulter</v>
      </c>
      <c r="AC1416" s="1">
        <f>Table2[[#This Row],[BILL_AMT1]]-Table2[[#This Row],[PAY_AMT1]]</f>
        <v>-71794</v>
      </c>
      <c r="AD1416" s="1" t="str" cm="1">
        <f t="array" ref="AD1416">_xlfn.IFS(Table2[[#This Row],[PAYMENT GAP]]&lt;=0,"No Gap / Overpaid",Table2[[#This Row],[PAYMENT GAP]]&lt;=25000,"Low Gap",Table2[[#This Row],[PAYMENT GAP]]&lt;=100000,"Medium Gap",
TRUE,"High Gap"
)</f>
        <v>No Gap / Overpaid</v>
      </c>
    </row>
    <row r="1417" spans="1:30" x14ac:dyDescent="0.3">
      <c r="A1417">
        <v>1416</v>
      </c>
      <c r="B1417" s="1">
        <v>60000</v>
      </c>
      <c r="C1417" s="1" t="str" cm="1">
        <f t="array" ref="C1417">_xlfn.IFS(Table2[[#This Row],[LIMIT_BAL]]&lt;=100000,"Low",Table2[[#This Row],[LIMIT_BAL]]&lt;=300000,"Medium",
TRUE,"High"
)</f>
        <v>Low</v>
      </c>
      <c r="D1417" t="s">
        <v>2041</v>
      </c>
      <c r="E1417" t="s">
        <v>2026</v>
      </c>
      <c r="F1417" t="s">
        <v>2029</v>
      </c>
      <c r="G1417">
        <v>25</v>
      </c>
      <c r="H1417" t="str" cm="1">
        <f t="array" ref="H1417">_xlfn.IFS(
Table2[[#This Row],[AGE]]&lt;30,"Young",
Table2[[#This Row],[AGE]]&lt;40,"Middle Age",
Table2[[#This Row],[AGE]]&lt;50,"Senior",
TRUE,"Super Senior"
)</f>
        <v>Young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 s="1">
        <v>57174</v>
      </c>
      <c r="P1417" s="1">
        <v>58559</v>
      </c>
      <c r="Q1417" s="1">
        <v>60586</v>
      </c>
      <c r="R1417" s="1">
        <v>39144</v>
      </c>
      <c r="S1417" s="1">
        <v>39615</v>
      </c>
      <c r="T1417" s="1">
        <v>39334</v>
      </c>
      <c r="U1417" s="1">
        <v>3000</v>
      </c>
      <c r="V1417" s="1">
        <v>3800</v>
      </c>
      <c r="W1417" s="1">
        <v>3300</v>
      </c>
      <c r="X1417" s="1">
        <v>1900</v>
      </c>
      <c r="Y1417" s="1">
        <v>1600</v>
      </c>
      <c r="Z1417" s="1">
        <v>1500</v>
      </c>
      <c r="AA1417">
        <v>0</v>
      </c>
      <c r="AB1417" t="str">
        <f t="shared" si="22"/>
        <v>Not Defaulter</v>
      </c>
      <c r="AC1417" s="1">
        <f>Table2[[#This Row],[BILL_AMT1]]-Table2[[#This Row],[PAY_AMT1]]</f>
        <v>54174</v>
      </c>
      <c r="AD1417" s="1" t="str" cm="1">
        <f t="array" ref="AD1417">_xlfn.IFS(Table2[[#This Row],[PAYMENT GAP]]&lt;=0,"No Gap / Overpaid",Table2[[#This Row],[PAYMENT GAP]]&lt;=25000,"Low Gap",Table2[[#This Row],[PAYMENT GAP]]&lt;=100000,"Medium Gap",
TRUE,"High Gap"
)</f>
        <v>Medium Gap</v>
      </c>
    </row>
    <row r="1418" spans="1:30" x14ac:dyDescent="0.3">
      <c r="A1418">
        <v>1417</v>
      </c>
      <c r="B1418" s="1">
        <v>30000</v>
      </c>
      <c r="C1418" s="1" t="str" cm="1">
        <f t="array" ref="C1418">_xlfn.IFS(Table2[[#This Row],[LIMIT_BAL]]&lt;=100000,"Low",Table2[[#This Row],[LIMIT_BAL]]&lt;=300000,"Medium",
TRUE,"High"
)</f>
        <v>Low</v>
      </c>
      <c r="D1418" t="s">
        <v>2041</v>
      </c>
      <c r="E1418" t="s">
        <v>2027</v>
      </c>
      <c r="F1418" t="s">
        <v>2029</v>
      </c>
      <c r="G1418">
        <v>24</v>
      </c>
      <c r="H1418" t="str" cm="1">
        <f t="array" ref="H1418">_xlfn.IFS(
Table2[[#This Row],[AGE]]&lt;30,"Young",
Table2[[#This Row],[AGE]]&lt;40,"Middle Age",
Table2[[#This Row],[AGE]]&lt;50,"Senior",
TRUE,"Super Senior"
)</f>
        <v>Young</v>
      </c>
      <c r="I1418">
        <v>-1</v>
      </c>
      <c r="J1418">
        <v>-1</v>
      </c>
      <c r="K1418">
        <v>-1</v>
      </c>
      <c r="L1418">
        <v>-1</v>
      </c>
      <c r="M1418">
        <v>-1</v>
      </c>
      <c r="N1418">
        <v>-1</v>
      </c>
      <c r="O1418" s="1">
        <v>4882</v>
      </c>
      <c r="P1418" s="1">
        <v>14630</v>
      </c>
      <c r="Q1418" s="1">
        <v>6323</v>
      </c>
      <c r="R1418" s="1">
        <v>2870</v>
      </c>
      <c r="S1418" s="1">
        <v>1485</v>
      </c>
      <c r="T1418" s="1">
        <v>3926</v>
      </c>
      <c r="U1418" s="1">
        <v>14630</v>
      </c>
      <c r="V1418" s="1">
        <v>6485</v>
      </c>
      <c r="W1418" s="1">
        <v>2870</v>
      </c>
      <c r="X1418" s="1">
        <v>1485</v>
      </c>
      <c r="Y1418" s="1">
        <v>3926</v>
      </c>
      <c r="Z1418" s="1">
        <v>0</v>
      </c>
      <c r="AA1418">
        <v>0</v>
      </c>
      <c r="AB1418" t="str">
        <f t="shared" si="22"/>
        <v>Not Defaulter</v>
      </c>
      <c r="AC1418" s="1">
        <f>Table2[[#This Row],[BILL_AMT1]]-Table2[[#This Row],[PAY_AMT1]]</f>
        <v>-9748</v>
      </c>
      <c r="AD1418" s="1" t="str" cm="1">
        <f t="array" ref="AD1418">_xlfn.IFS(Table2[[#This Row],[PAYMENT GAP]]&lt;=0,"No Gap / Overpaid",Table2[[#This Row],[PAYMENT GAP]]&lt;=25000,"Low Gap",Table2[[#This Row],[PAYMENT GAP]]&lt;=100000,"Medium Gap",
TRUE,"High Gap"
)</f>
        <v>No Gap / Overpaid</v>
      </c>
    </row>
    <row r="1419" spans="1:30" x14ac:dyDescent="0.3">
      <c r="A1419">
        <v>1418</v>
      </c>
      <c r="B1419" s="1">
        <v>80000</v>
      </c>
      <c r="C1419" s="1" t="str" cm="1">
        <f t="array" ref="C1419">_xlfn.IFS(Table2[[#This Row],[LIMIT_BAL]]&lt;=100000,"Low",Table2[[#This Row],[LIMIT_BAL]]&lt;=300000,"Medium",
TRUE,"High"
)</f>
        <v>Low</v>
      </c>
      <c r="D1419" t="s">
        <v>2041</v>
      </c>
      <c r="E1419" t="s">
        <v>2026</v>
      </c>
      <c r="F1419" t="s">
        <v>2029</v>
      </c>
      <c r="G1419">
        <v>29</v>
      </c>
      <c r="H1419" t="str" cm="1">
        <f t="array" ref="H1419">_xlfn.IFS(
Table2[[#This Row],[AGE]]&lt;30,"Young",
Table2[[#This Row],[AGE]]&lt;40,"Middle Age",
Table2[[#This Row],[AGE]]&lt;50,"Senior",
TRUE,"Super Senior"
)</f>
        <v>Young</v>
      </c>
      <c r="I1419">
        <v>-2</v>
      </c>
      <c r="J1419">
        <v>-2</v>
      </c>
      <c r="K1419">
        <v>-1</v>
      </c>
      <c r="L1419">
        <v>2</v>
      </c>
      <c r="M1419">
        <v>2</v>
      </c>
      <c r="N1419">
        <v>3</v>
      </c>
      <c r="O1419" s="1">
        <v>2673</v>
      </c>
      <c r="P1419" s="1">
        <v>0</v>
      </c>
      <c r="Q1419" s="1">
        <v>317</v>
      </c>
      <c r="R1419" s="1">
        <v>317</v>
      </c>
      <c r="S1419" s="1">
        <v>1521</v>
      </c>
      <c r="T1419" s="1">
        <v>1204</v>
      </c>
      <c r="U1419" s="1">
        <v>0</v>
      </c>
      <c r="V1419" s="1">
        <v>317</v>
      </c>
      <c r="W1419" s="1">
        <v>0</v>
      </c>
      <c r="X1419" s="1">
        <v>1204</v>
      </c>
      <c r="Y1419" s="1">
        <v>0</v>
      </c>
      <c r="Z1419" s="1">
        <v>0</v>
      </c>
      <c r="AA1419">
        <v>0</v>
      </c>
      <c r="AB1419" t="str">
        <f t="shared" si="22"/>
        <v>Not Defaulter</v>
      </c>
      <c r="AC1419" s="1">
        <f>Table2[[#This Row],[BILL_AMT1]]-Table2[[#This Row],[PAY_AMT1]]</f>
        <v>2673</v>
      </c>
      <c r="AD1419" s="1" t="str" cm="1">
        <f t="array" ref="AD1419">_xlfn.IFS(Table2[[#This Row],[PAYMENT GAP]]&lt;=0,"No Gap / Overpaid",Table2[[#This Row],[PAYMENT GAP]]&lt;=25000,"Low Gap",Table2[[#This Row],[PAYMENT GAP]]&lt;=100000,"Medium Gap",
TRUE,"High Gap"
)</f>
        <v>Low Gap</v>
      </c>
    </row>
    <row r="1420" spans="1:30" x14ac:dyDescent="0.3">
      <c r="A1420">
        <v>1419</v>
      </c>
      <c r="B1420" s="1">
        <v>50000</v>
      </c>
      <c r="C1420" s="1" t="str" cm="1">
        <f t="array" ref="C1420">_xlfn.IFS(Table2[[#This Row],[LIMIT_BAL]]&lt;=100000,"Low",Table2[[#This Row],[LIMIT_BAL]]&lt;=300000,"Medium",
TRUE,"High"
)</f>
        <v>Low</v>
      </c>
      <c r="D1420" t="s">
        <v>2042</v>
      </c>
      <c r="E1420" t="s">
        <v>2043</v>
      </c>
      <c r="F1420" t="s">
        <v>2029</v>
      </c>
      <c r="G1420">
        <v>37</v>
      </c>
      <c r="H1420" t="str" cm="1">
        <f t="array" ref="H1420">_xlfn.IFS(
Table2[[#This Row],[AGE]]&lt;30,"Young",
Table2[[#This Row],[AGE]]&lt;40,"Middle Age",
Table2[[#This Row],[AGE]]&lt;50,"Senior",
TRUE,"Super Senior"
)</f>
        <v>Middle Age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 s="1">
        <v>48206</v>
      </c>
      <c r="P1420" s="1">
        <v>48659</v>
      </c>
      <c r="Q1420" s="1">
        <v>47248</v>
      </c>
      <c r="R1420" s="1">
        <v>48241</v>
      </c>
      <c r="S1420" s="1">
        <v>49196</v>
      </c>
      <c r="T1420" s="1">
        <v>50296</v>
      </c>
      <c r="U1420" s="1">
        <v>2120</v>
      </c>
      <c r="V1420" s="1">
        <v>1750</v>
      </c>
      <c r="W1420" s="1">
        <v>1700</v>
      </c>
      <c r="X1420" s="1">
        <v>1800</v>
      </c>
      <c r="Y1420" s="1">
        <v>2023</v>
      </c>
      <c r="Z1420" s="1">
        <v>2113</v>
      </c>
      <c r="AA1420">
        <v>0</v>
      </c>
      <c r="AB1420" t="str">
        <f t="shared" si="22"/>
        <v>Not Defaulter</v>
      </c>
      <c r="AC1420" s="1">
        <f>Table2[[#This Row],[BILL_AMT1]]-Table2[[#This Row],[PAY_AMT1]]</f>
        <v>46086</v>
      </c>
      <c r="AD1420" s="1" t="str" cm="1">
        <f t="array" ref="AD1420">_xlfn.IFS(Table2[[#This Row],[PAYMENT GAP]]&lt;=0,"No Gap / Overpaid",Table2[[#This Row],[PAYMENT GAP]]&lt;=25000,"Low Gap",Table2[[#This Row],[PAYMENT GAP]]&lt;=100000,"Medium Gap",
TRUE,"High Gap"
)</f>
        <v>Medium Gap</v>
      </c>
    </row>
    <row r="1421" spans="1:30" x14ac:dyDescent="0.3">
      <c r="A1421">
        <v>1420</v>
      </c>
      <c r="B1421" s="1">
        <v>230000</v>
      </c>
      <c r="C1421" s="1" t="str" cm="1">
        <f t="array" ref="C1421">_xlfn.IFS(Table2[[#This Row],[LIMIT_BAL]]&lt;=100000,"Low",Table2[[#This Row],[LIMIT_BAL]]&lt;=300000,"Medium",
TRUE,"High"
)</f>
        <v>Medium</v>
      </c>
      <c r="D1421" t="s">
        <v>2042</v>
      </c>
      <c r="E1421" t="s">
        <v>2027</v>
      </c>
      <c r="F1421" t="s">
        <v>2029</v>
      </c>
      <c r="G1421">
        <v>27</v>
      </c>
      <c r="H1421" t="str" cm="1">
        <f t="array" ref="H1421">_xlfn.IFS(
Table2[[#This Row],[AGE]]&lt;30,"Young",
Table2[[#This Row],[AGE]]&lt;40,"Middle Age",
Table2[[#This Row],[AGE]]&lt;50,"Senior",
TRUE,"Super Senior"
)</f>
        <v>Young</v>
      </c>
      <c r="I1421">
        <v>-2</v>
      </c>
      <c r="J1421">
        <v>-2</v>
      </c>
      <c r="K1421">
        <v>-2</v>
      </c>
      <c r="L1421">
        <v>-2</v>
      </c>
      <c r="M1421">
        <v>-2</v>
      </c>
      <c r="N1421">
        <v>-2</v>
      </c>
      <c r="O1421" s="1">
        <v>19200</v>
      </c>
      <c r="P1421" s="1">
        <v>10000</v>
      </c>
      <c r="Q1421" s="1">
        <v>20176</v>
      </c>
      <c r="R1421" s="1">
        <v>10000</v>
      </c>
      <c r="S1421" s="1">
        <v>10000</v>
      </c>
      <c r="T1421" s="1">
        <v>10000</v>
      </c>
      <c r="U1421" s="1">
        <v>10000</v>
      </c>
      <c r="V1421" s="1">
        <v>20176</v>
      </c>
      <c r="W1421" s="1">
        <v>200</v>
      </c>
      <c r="X1421" s="1">
        <v>10000</v>
      </c>
      <c r="Y1421" s="1">
        <v>10000</v>
      </c>
      <c r="Z1421" s="1">
        <v>10000</v>
      </c>
      <c r="AA1421">
        <v>0</v>
      </c>
      <c r="AB1421" t="str">
        <f t="shared" si="22"/>
        <v>Not Defaulter</v>
      </c>
      <c r="AC1421" s="1">
        <f>Table2[[#This Row],[BILL_AMT1]]-Table2[[#This Row],[PAY_AMT1]]</f>
        <v>9200</v>
      </c>
      <c r="AD1421" s="1" t="str" cm="1">
        <f t="array" ref="AD1421">_xlfn.IFS(Table2[[#This Row],[PAYMENT GAP]]&lt;=0,"No Gap / Overpaid",Table2[[#This Row],[PAYMENT GAP]]&lt;=25000,"Low Gap",Table2[[#This Row],[PAYMENT GAP]]&lt;=100000,"Medium Gap",
TRUE,"High Gap"
)</f>
        <v>Low Gap</v>
      </c>
    </row>
    <row r="1422" spans="1:30" x14ac:dyDescent="0.3">
      <c r="A1422">
        <v>1421</v>
      </c>
      <c r="B1422" s="1">
        <v>200000</v>
      </c>
      <c r="C1422" s="1" t="str" cm="1">
        <f t="array" ref="C1422">_xlfn.IFS(Table2[[#This Row],[LIMIT_BAL]]&lt;=100000,"Low",Table2[[#This Row],[LIMIT_BAL]]&lt;=300000,"Medium",
TRUE,"High"
)</f>
        <v>Medium</v>
      </c>
      <c r="D1422" t="s">
        <v>2042</v>
      </c>
      <c r="E1422" t="s">
        <v>2026</v>
      </c>
      <c r="F1422" t="s">
        <v>2029</v>
      </c>
      <c r="G1422">
        <v>31</v>
      </c>
      <c r="H1422" t="str" cm="1">
        <f t="array" ref="H1422">_xlfn.IFS(
Table2[[#This Row],[AGE]]&lt;30,"Young",
Table2[[#This Row],[AGE]]&lt;40,"Middle Age",
Table2[[#This Row],[AGE]]&lt;50,"Senior",
TRUE,"Super Senior"
)</f>
        <v>Middle Age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 s="1">
        <v>6618</v>
      </c>
      <c r="P1422" s="1">
        <v>6777</v>
      </c>
      <c r="Q1422" s="1">
        <v>7957</v>
      </c>
      <c r="R1422" s="1">
        <v>4667</v>
      </c>
      <c r="S1422" s="1">
        <v>76187</v>
      </c>
      <c r="T1422" s="1">
        <v>74900</v>
      </c>
      <c r="U1422" s="1">
        <v>1900</v>
      </c>
      <c r="V1422" s="1">
        <v>3008</v>
      </c>
      <c r="W1422" s="1">
        <v>3500</v>
      </c>
      <c r="X1422" s="1">
        <v>73000</v>
      </c>
      <c r="Y1422" s="1">
        <v>2700</v>
      </c>
      <c r="Z1422" s="1">
        <v>3800</v>
      </c>
      <c r="AA1422">
        <v>0</v>
      </c>
      <c r="AB1422" t="str">
        <f t="shared" si="22"/>
        <v>Not Defaulter</v>
      </c>
      <c r="AC1422" s="1">
        <f>Table2[[#This Row],[BILL_AMT1]]-Table2[[#This Row],[PAY_AMT1]]</f>
        <v>4718</v>
      </c>
      <c r="AD1422" s="1" t="str" cm="1">
        <f t="array" ref="AD1422">_xlfn.IFS(Table2[[#This Row],[PAYMENT GAP]]&lt;=0,"No Gap / Overpaid",Table2[[#This Row],[PAYMENT GAP]]&lt;=25000,"Low Gap",Table2[[#This Row],[PAYMENT GAP]]&lt;=100000,"Medium Gap",
TRUE,"High Gap"
)</f>
        <v>Low Gap</v>
      </c>
    </row>
    <row r="1423" spans="1:30" x14ac:dyDescent="0.3">
      <c r="A1423">
        <v>1422</v>
      </c>
      <c r="B1423" s="1">
        <v>230000</v>
      </c>
      <c r="C1423" s="1" t="str" cm="1">
        <f t="array" ref="C1423">_xlfn.IFS(Table2[[#This Row],[LIMIT_BAL]]&lt;=100000,"Low",Table2[[#This Row],[LIMIT_BAL]]&lt;=300000,"Medium",
TRUE,"High"
)</f>
        <v>Medium</v>
      </c>
      <c r="D1423" t="s">
        <v>2041</v>
      </c>
      <c r="E1423" t="s">
        <v>2043</v>
      </c>
      <c r="F1423" t="s">
        <v>2029</v>
      </c>
      <c r="G1423">
        <v>28</v>
      </c>
      <c r="H1423" t="str" cm="1">
        <f t="array" ref="H1423">_xlfn.IFS(
Table2[[#This Row],[AGE]]&lt;30,"Young",
Table2[[#This Row],[AGE]]&lt;40,"Middle Age",
Table2[[#This Row],[AGE]]&lt;50,"Senior",
TRUE,"Super Senior"
)</f>
        <v>Young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 s="1">
        <v>12218</v>
      </c>
      <c r="P1423" s="1">
        <v>17667</v>
      </c>
      <c r="Q1423" s="1">
        <v>20345</v>
      </c>
      <c r="R1423" s="1">
        <v>39945</v>
      </c>
      <c r="S1423" s="1">
        <v>41352</v>
      </c>
      <c r="T1423" s="1">
        <v>11032</v>
      </c>
      <c r="U1423" s="1">
        <v>6000</v>
      </c>
      <c r="V1423" s="1">
        <v>3500</v>
      </c>
      <c r="W1423" s="1">
        <v>20000</v>
      </c>
      <c r="X1423" s="1">
        <v>2000</v>
      </c>
      <c r="Y1423" s="1">
        <v>1500</v>
      </c>
      <c r="Z1423" s="1">
        <v>8000</v>
      </c>
      <c r="AA1423">
        <v>0</v>
      </c>
      <c r="AB1423" t="str">
        <f t="shared" si="22"/>
        <v>Not Defaulter</v>
      </c>
      <c r="AC1423" s="1">
        <f>Table2[[#This Row],[BILL_AMT1]]-Table2[[#This Row],[PAY_AMT1]]</f>
        <v>6218</v>
      </c>
      <c r="AD1423" s="1" t="str" cm="1">
        <f t="array" ref="AD1423">_xlfn.IFS(Table2[[#This Row],[PAYMENT GAP]]&lt;=0,"No Gap / Overpaid",Table2[[#This Row],[PAYMENT GAP]]&lt;=25000,"Low Gap",Table2[[#This Row],[PAYMENT GAP]]&lt;=100000,"Medium Gap",
TRUE,"High Gap"
)</f>
        <v>Low Gap</v>
      </c>
    </row>
    <row r="1424" spans="1:30" x14ac:dyDescent="0.3">
      <c r="A1424">
        <v>1423</v>
      </c>
      <c r="B1424" s="1">
        <v>130000</v>
      </c>
      <c r="C1424" s="1" t="str" cm="1">
        <f t="array" ref="C1424">_xlfn.IFS(Table2[[#This Row],[LIMIT_BAL]]&lt;=100000,"Low",Table2[[#This Row],[LIMIT_BAL]]&lt;=300000,"Medium",
TRUE,"High"
)</f>
        <v>Medium</v>
      </c>
      <c r="D1424" t="s">
        <v>2041</v>
      </c>
      <c r="E1424" t="s">
        <v>2043</v>
      </c>
      <c r="F1424" t="s">
        <v>2029</v>
      </c>
      <c r="G1424">
        <v>24</v>
      </c>
      <c r="H1424" t="str" cm="1">
        <f t="array" ref="H1424">_xlfn.IFS(
Table2[[#This Row],[AGE]]&lt;30,"Young",
Table2[[#This Row],[AGE]]&lt;40,"Middle Age",
Table2[[#This Row],[AGE]]&lt;50,"Senior",
TRUE,"Super Senior"
)</f>
        <v>Young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 s="1">
        <v>122750</v>
      </c>
      <c r="P1424" s="1">
        <v>118319</v>
      </c>
      <c r="Q1424" s="1">
        <v>61466</v>
      </c>
      <c r="R1424" s="1">
        <v>48288</v>
      </c>
      <c r="S1424" s="1">
        <v>48898</v>
      </c>
      <c r="T1424" s="1">
        <v>49699</v>
      </c>
      <c r="U1424" s="1">
        <v>4966</v>
      </c>
      <c r="V1424" s="1">
        <v>2034</v>
      </c>
      <c r="W1424" s="1">
        <v>1710</v>
      </c>
      <c r="X1424" s="1">
        <v>1765</v>
      </c>
      <c r="Y1424" s="1">
        <v>2000</v>
      </c>
      <c r="Z1424" s="1">
        <v>2672</v>
      </c>
      <c r="AA1424">
        <v>0</v>
      </c>
      <c r="AB1424" t="str">
        <f t="shared" si="22"/>
        <v>Not Defaulter</v>
      </c>
      <c r="AC1424" s="1">
        <f>Table2[[#This Row],[BILL_AMT1]]-Table2[[#This Row],[PAY_AMT1]]</f>
        <v>117784</v>
      </c>
      <c r="AD1424" s="1" t="str" cm="1">
        <f t="array" ref="AD1424">_xlfn.IFS(Table2[[#This Row],[PAYMENT GAP]]&lt;=0,"No Gap / Overpaid",Table2[[#This Row],[PAYMENT GAP]]&lt;=25000,"Low Gap",Table2[[#This Row],[PAYMENT GAP]]&lt;=100000,"Medium Gap",
TRUE,"High Gap"
)</f>
        <v>High Gap</v>
      </c>
    </row>
    <row r="1425" spans="1:30" x14ac:dyDescent="0.3">
      <c r="A1425">
        <v>1424</v>
      </c>
      <c r="B1425" s="1">
        <v>200000</v>
      </c>
      <c r="C1425" s="1" t="str" cm="1">
        <f t="array" ref="C1425">_xlfn.IFS(Table2[[#This Row],[LIMIT_BAL]]&lt;=100000,"Low",Table2[[#This Row],[LIMIT_BAL]]&lt;=300000,"Medium",
TRUE,"High"
)</f>
        <v>Medium</v>
      </c>
      <c r="D1425" t="s">
        <v>2041</v>
      </c>
      <c r="E1425" t="s">
        <v>2027</v>
      </c>
      <c r="F1425" t="s">
        <v>2029</v>
      </c>
      <c r="G1425">
        <v>27</v>
      </c>
      <c r="H1425" t="str" cm="1">
        <f t="array" ref="H1425">_xlfn.IFS(
Table2[[#This Row],[AGE]]&lt;30,"Young",
Table2[[#This Row],[AGE]]&lt;40,"Middle Age",
Table2[[#This Row],[AGE]]&lt;50,"Senior",
TRUE,"Super Senior"
)</f>
        <v>Young</v>
      </c>
      <c r="I1425">
        <v>1</v>
      </c>
      <c r="J1425">
        <v>-2</v>
      </c>
      <c r="K1425">
        <v>-2</v>
      </c>
      <c r="L1425">
        <v>-2</v>
      </c>
      <c r="M1425">
        <v>-2</v>
      </c>
      <c r="N1425">
        <v>-2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>
        <v>0</v>
      </c>
      <c r="AB1425" t="str">
        <f t="shared" si="22"/>
        <v>Not Defaulter</v>
      </c>
      <c r="AC1425" s="1">
        <f>Table2[[#This Row],[BILL_AMT1]]-Table2[[#This Row],[PAY_AMT1]]</f>
        <v>0</v>
      </c>
      <c r="AD1425" s="1" t="str" cm="1">
        <f t="array" ref="AD1425">_xlfn.IFS(Table2[[#This Row],[PAYMENT GAP]]&lt;=0,"No Gap / Overpaid",Table2[[#This Row],[PAYMENT GAP]]&lt;=25000,"Low Gap",Table2[[#This Row],[PAYMENT GAP]]&lt;=100000,"Medium Gap",
TRUE,"High Gap"
)</f>
        <v>No Gap / Overpaid</v>
      </c>
    </row>
    <row r="1426" spans="1:30" x14ac:dyDescent="0.3">
      <c r="A1426">
        <v>1425</v>
      </c>
      <c r="B1426" s="1">
        <v>90000</v>
      </c>
      <c r="C1426" s="1" t="str" cm="1">
        <f t="array" ref="C1426">_xlfn.IFS(Table2[[#This Row],[LIMIT_BAL]]&lt;=100000,"Low",Table2[[#This Row],[LIMIT_BAL]]&lt;=300000,"Medium",
TRUE,"High"
)</f>
        <v>Low</v>
      </c>
      <c r="D1426" t="s">
        <v>2041</v>
      </c>
      <c r="E1426" t="s">
        <v>2026</v>
      </c>
      <c r="F1426" t="s">
        <v>2029</v>
      </c>
      <c r="G1426">
        <v>33</v>
      </c>
      <c r="H1426" t="str" cm="1">
        <f t="array" ref="H1426">_xlfn.IFS(
Table2[[#This Row],[AGE]]&lt;30,"Young",
Table2[[#This Row],[AGE]]&lt;40,"Middle Age",
Table2[[#This Row],[AGE]]&lt;50,"Senior",
TRUE,"Super Senior"
)</f>
        <v>Middle Age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 s="1">
        <v>80919</v>
      </c>
      <c r="P1426" s="1">
        <v>87993</v>
      </c>
      <c r="Q1426" s="1">
        <v>17316</v>
      </c>
      <c r="R1426" s="1">
        <v>18026</v>
      </c>
      <c r="S1426" s="1">
        <v>18559</v>
      </c>
      <c r="T1426" s="1">
        <v>19097</v>
      </c>
      <c r="U1426" s="1">
        <v>9000</v>
      </c>
      <c r="V1426" s="1">
        <v>1500</v>
      </c>
      <c r="W1426" s="1">
        <v>1000</v>
      </c>
      <c r="X1426" s="1">
        <v>824</v>
      </c>
      <c r="Y1426" s="1">
        <v>1000</v>
      </c>
      <c r="Z1426" s="1">
        <v>857</v>
      </c>
      <c r="AA1426">
        <v>0</v>
      </c>
      <c r="AB1426" t="str">
        <f t="shared" si="22"/>
        <v>Not Defaulter</v>
      </c>
      <c r="AC1426" s="1">
        <f>Table2[[#This Row],[BILL_AMT1]]-Table2[[#This Row],[PAY_AMT1]]</f>
        <v>71919</v>
      </c>
      <c r="AD1426" s="1" t="str" cm="1">
        <f t="array" ref="AD1426">_xlfn.IFS(Table2[[#This Row],[PAYMENT GAP]]&lt;=0,"No Gap / Overpaid",Table2[[#This Row],[PAYMENT GAP]]&lt;=25000,"Low Gap",Table2[[#This Row],[PAYMENT GAP]]&lt;=100000,"Medium Gap",
TRUE,"High Gap"
)</f>
        <v>Medium Gap</v>
      </c>
    </row>
    <row r="1427" spans="1:30" x14ac:dyDescent="0.3">
      <c r="A1427">
        <v>1426</v>
      </c>
      <c r="B1427" s="1">
        <v>120000</v>
      </c>
      <c r="C1427" s="1" t="str" cm="1">
        <f t="array" ref="C1427">_xlfn.IFS(Table2[[#This Row],[LIMIT_BAL]]&lt;=100000,"Low",Table2[[#This Row],[LIMIT_BAL]]&lt;=300000,"Medium",
TRUE,"High"
)</f>
        <v>Medium</v>
      </c>
      <c r="D1427" t="s">
        <v>2042</v>
      </c>
      <c r="E1427" t="s">
        <v>2026</v>
      </c>
      <c r="F1427" t="s">
        <v>2029</v>
      </c>
      <c r="G1427">
        <v>27</v>
      </c>
      <c r="H1427" t="str" cm="1">
        <f t="array" ref="H1427">_xlfn.IFS(
Table2[[#This Row],[AGE]]&lt;30,"Young",
Table2[[#This Row],[AGE]]&lt;40,"Middle Age",
Table2[[#This Row],[AGE]]&lt;50,"Senior",
TRUE,"Super Senior"
)</f>
        <v>Young</v>
      </c>
      <c r="I1427">
        <v>-1</v>
      </c>
      <c r="J1427">
        <v>-1</v>
      </c>
      <c r="K1427">
        <v>-1</v>
      </c>
      <c r="L1427">
        <v>-1</v>
      </c>
      <c r="M1427">
        <v>0</v>
      </c>
      <c r="N1427">
        <v>0</v>
      </c>
      <c r="O1427" s="1">
        <v>316</v>
      </c>
      <c r="P1427" s="1">
        <v>316</v>
      </c>
      <c r="Q1427" s="1">
        <v>1360</v>
      </c>
      <c r="R1427" s="1">
        <v>9474</v>
      </c>
      <c r="S1427" s="1">
        <v>10158</v>
      </c>
      <c r="T1427" s="1">
        <v>2551</v>
      </c>
      <c r="U1427" s="1">
        <v>316</v>
      </c>
      <c r="V1427" s="1">
        <v>1360</v>
      </c>
      <c r="W1427" s="1">
        <v>10000</v>
      </c>
      <c r="X1427" s="1">
        <v>1000</v>
      </c>
      <c r="Y1427" s="1">
        <v>2000</v>
      </c>
      <c r="Z1427" s="1">
        <v>3000</v>
      </c>
      <c r="AA1427">
        <v>0</v>
      </c>
      <c r="AB1427" t="str">
        <f t="shared" si="22"/>
        <v>Not Defaulter</v>
      </c>
      <c r="AC1427" s="1">
        <f>Table2[[#This Row],[BILL_AMT1]]-Table2[[#This Row],[PAY_AMT1]]</f>
        <v>0</v>
      </c>
      <c r="AD1427" s="1" t="str" cm="1">
        <f t="array" ref="AD1427">_xlfn.IFS(Table2[[#This Row],[PAYMENT GAP]]&lt;=0,"No Gap / Overpaid",Table2[[#This Row],[PAYMENT GAP]]&lt;=25000,"Low Gap",Table2[[#This Row],[PAYMENT GAP]]&lt;=100000,"Medium Gap",
TRUE,"High Gap"
)</f>
        <v>No Gap / Overpaid</v>
      </c>
    </row>
    <row r="1428" spans="1:30" x14ac:dyDescent="0.3">
      <c r="A1428">
        <v>1427</v>
      </c>
      <c r="B1428" s="1">
        <v>200000</v>
      </c>
      <c r="C1428" s="1" t="str" cm="1">
        <f t="array" ref="C1428">_xlfn.IFS(Table2[[#This Row],[LIMIT_BAL]]&lt;=100000,"Low",Table2[[#This Row],[LIMIT_BAL]]&lt;=300000,"Medium",
TRUE,"High"
)</f>
        <v>Medium</v>
      </c>
      <c r="D1428" t="s">
        <v>2042</v>
      </c>
      <c r="E1428" t="s">
        <v>2026</v>
      </c>
      <c r="F1428" t="s">
        <v>2029</v>
      </c>
      <c r="G1428">
        <v>42</v>
      </c>
      <c r="H1428" t="str" cm="1">
        <f t="array" ref="H1428">_xlfn.IFS(
Table2[[#This Row],[AGE]]&lt;30,"Young",
Table2[[#This Row],[AGE]]&lt;40,"Middle Age",
Table2[[#This Row],[AGE]]&lt;50,"Senior",
TRUE,"Super Senior"
)</f>
        <v>Senior</v>
      </c>
      <c r="I1428">
        <v>-2</v>
      </c>
      <c r="J1428">
        <v>-2</v>
      </c>
      <c r="K1428">
        <v>-2</v>
      </c>
      <c r="L1428">
        <v>-2</v>
      </c>
      <c r="M1428">
        <v>-2</v>
      </c>
      <c r="N1428">
        <v>-2</v>
      </c>
      <c r="O1428" s="1">
        <v>470</v>
      </c>
      <c r="P1428" s="1">
        <v>740</v>
      </c>
      <c r="Q1428" s="1">
        <v>3774</v>
      </c>
      <c r="R1428" s="1">
        <v>836</v>
      </c>
      <c r="S1428" s="1">
        <v>1325</v>
      </c>
      <c r="T1428" s="1">
        <v>1440</v>
      </c>
      <c r="U1428" s="1">
        <v>740</v>
      </c>
      <c r="V1428" s="1">
        <v>3782</v>
      </c>
      <c r="W1428" s="1">
        <v>836</v>
      </c>
      <c r="X1428" s="1">
        <v>1325</v>
      </c>
      <c r="Y1428" s="1">
        <v>1440</v>
      </c>
      <c r="Z1428" s="1">
        <v>506</v>
      </c>
      <c r="AA1428">
        <v>0</v>
      </c>
      <c r="AB1428" t="str">
        <f t="shared" si="22"/>
        <v>Not Defaulter</v>
      </c>
      <c r="AC1428" s="1">
        <f>Table2[[#This Row],[BILL_AMT1]]-Table2[[#This Row],[PAY_AMT1]]</f>
        <v>-270</v>
      </c>
      <c r="AD1428" s="1" t="str" cm="1">
        <f t="array" ref="AD1428">_xlfn.IFS(Table2[[#This Row],[PAYMENT GAP]]&lt;=0,"No Gap / Overpaid",Table2[[#This Row],[PAYMENT GAP]]&lt;=25000,"Low Gap",Table2[[#This Row],[PAYMENT GAP]]&lt;=100000,"Medium Gap",
TRUE,"High Gap"
)</f>
        <v>No Gap / Overpaid</v>
      </c>
    </row>
    <row r="1429" spans="1:30" x14ac:dyDescent="0.3">
      <c r="A1429">
        <v>1428</v>
      </c>
      <c r="B1429" s="1">
        <v>20000</v>
      </c>
      <c r="C1429" s="1" t="str" cm="1">
        <f t="array" ref="C1429">_xlfn.IFS(Table2[[#This Row],[LIMIT_BAL]]&lt;=100000,"Low",Table2[[#This Row],[LIMIT_BAL]]&lt;=300000,"Medium",
TRUE,"High"
)</f>
        <v>Low</v>
      </c>
      <c r="D1429" t="s">
        <v>2041</v>
      </c>
      <c r="E1429" t="s">
        <v>2043</v>
      </c>
      <c r="F1429" t="s">
        <v>2029</v>
      </c>
      <c r="G1429">
        <v>32</v>
      </c>
      <c r="H1429" t="str" cm="1">
        <f t="array" ref="H1429">_xlfn.IFS(
Table2[[#This Row],[AGE]]&lt;30,"Young",
Table2[[#This Row],[AGE]]&lt;40,"Middle Age",
Table2[[#This Row],[AGE]]&lt;50,"Senior",
TRUE,"Super Senior"
)</f>
        <v>Middle Age</v>
      </c>
      <c r="I1429">
        <v>2</v>
      </c>
      <c r="J1429">
        <v>3</v>
      </c>
      <c r="K1429">
        <v>2</v>
      </c>
      <c r="L1429">
        <v>2</v>
      </c>
      <c r="M1429">
        <v>2</v>
      </c>
      <c r="N1429">
        <v>0</v>
      </c>
      <c r="O1429" s="1">
        <v>17757</v>
      </c>
      <c r="P1429" s="1">
        <v>17193</v>
      </c>
      <c r="Q1429" s="1">
        <v>16602</v>
      </c>
      <c r="R1429" s="1">
        <v>19521</v>
      </c>
      <c r="S1429" s="1">
        <v>18925</v>
      </c>
      <c r="T1429" s="1">
        <v>18806</v>
      </c>
      <c r="U1429" s="1">
        <v>0</v>
      </c>
      <c r="V1429" s="1">
        <v>0</v>
      </c>
      <c r="W1429" s="1">
        <v>3200</v>
      </c>
      <c r="X1429" s="1">
        <v>0</v>
      </c>
      <c r="Y1429" s="1">
        <v>900</v>
      </c>
      <c r="Z1429" s="1">
        <v>633</v>
      </c>
      <c r="AA1429">
        <v>0</v>
      </c>
      <c r="AB1429" t="str">
        <f t="shared" si="22"/>
        <v>Not Defaulter</v>
      </c>
      <c r="AC1429" s="1">
        <f>Table2[[#This Row],[BILL_AMT1]]-Table2[[#This Row],[PAY_AMT1]]</f>
        <v>17757</v>
      </c>
      <c r="AD1429" s="1" t="str" cm="1">
        <f t="array" ref="AD1429">_xlfn.IFS(Table2[[#This Row],[PAYMENT GAP]]&lt;=0,"No Gap / Overpaid",Table2[[#This Row],[PAYMENT GAP]]&lt;=25000,"Low Gap",Table2[[#This Row],[PAYMENT GAP]]&lt;=100000,"Medium Gap",
TRUE,"High Gap"
)</f>
        <v>Low Gap</v>
      </c>
    </row>
    <row r="1430" spans="1:30" x14ac:dyDescent="0.3">
      <c r="A1430">
        <v>1429</v>
      </c>
      <c r="B1430" s="1">
        <v>210000</v>
      </c>
      <c r="C1430" s="1" t="str" cm="1">
        <f t="array" ref="C1430">_xlfn.IFS(Table2[[#This Row],[LIMIT_BAL]]&lt;=100000,"Low",Table2[[#This Row],[LIMIT_BAL]]&lt;=300000,"Medium",
TRUE,"High"
)</f>
        <v>Medium</v>
      </c>
      <c r="D1430" t="s">
        <v>2041</v>
      </c>
      <c r="E1430" t="s">
        <v>2026</v>
      </c>
      <c r="F1430" t="s">
        <v>2028</v>
      </c>
      <c r="G1430">
        <v>37</v>
      </c>
      <c r="H1430" t="str" cm="1">
        <f t="array" ref="H1430">_xlfn.IFS(
Table2[[#This Row],[AGE]]&lt;30,"Young",
Table2[[#This Row],[AGE]]&lt;40,"Middle Age",
Table2[[#This Row],[AGE]]&lt;50,"Senior",
TRUE,"Super Senior"
)</f>
        <v>Middle Age</v>
      </c>
      <c r="I1430">
        <v>2</v>
      </c>
      <c r="J1430">
        <v>2</v>
      </c>
      <c r="K1430">
        <v>2</v>
      </c>
      <c r="L1430">
        <v>2</v>
      </c>
      <c r="M1430">
        <v>2</v>
      </c>
      <c r="N1430">
        <v>2</v>
      </c>
      <c r="O1430" s="1">
        <v>76089</v>
      </c>
      <c r="P1430" s="1">
        <v>77985</v>
      </c>
      <c r="Q1430" s="1">
        <v>79104</v>
      </c>
      <c r="R1430" s="1">
        <v>80399</v>
      </c>
      <c r="S1430" s="1">
        <v>81462</v>
      </c>
      <c r="T1430" s="1">
        <v>83366</v>
      </c>
      <c r="U1430" s="1">
        <v>3700</v>
      </c>
      <c r="V1430" s="1">
        <v>3000</v>
      </c>
      <c r="W1430" s="1">
        <v>3200</v>
      </c>
      <c r="X1430" s="1">
        <v>2500</v>
      </c>
      <c r="Y1430" s="1">
        <v>3400</v>
      </c>
      <c r="Z1430" s="1">
        <v>4300</v>
      </c>
      <c r="AA1430">
        <v>1</v>
      </c>
      <c r="AB1430" t="str">
        <f t="shared" si="22"/>
        <v>Defaulter</v>
      </c>
      <c r="AC1430" s="1">
        <f>Table2[[#This Row],[BILL_AMT1]]-Table2[[#This Row],[PAY_AMT1]]</f>
        <v>72389</v>
      </c>
      <c r="AD1430" s="1" t="str" cm="1">
        <f t="array" ref="AD1430">_xlfn.IFS(Table2[[#This Row],[PAYMENT GAP]]&lt;=0,"No Gap / Overpaid",Table2[[#This Row],[PAYMENT GAP]]&lt;=25000,"Low Gap",Table2[[#This Row],[PAYMENT GAP]]&lt;=100000,"Medium Gap",
TRUE,"High Gap"
)</f>
        <v>Medium Gap</v>
      </c>
    </row>
    <row r="1431" spans="1:30" x14ac:dyDescent="0.3">
      <c r="A1431">
        <v>1430</v>
      </c>
      <c r="B1431" s="1">
        <v>80000</v>
      </c>
      <c r="C1431" s="1" t="str" cm="1">
        <f t="array" ref="C1431">_xlfn.IFS(Table2[[#This Row],[LIMIT_BAL]]&lt;=100000,"Low",Table2[[#This Row],[LIMIT_BAL]]&lt;=300000,"Medium",
TRUE,"High"
)</f>
        <v>Low</v>
      </c>
      <c r="D1431" t="s">
        <v>2041</v>
      </c>
      <c r="E1431" t="s">
        <v>2043</v>
      </c>
      <c r="F1431" t="s">
        <v>2029</v>
      </c>
      <c r="G1431">
        <v>44</v>
      </c>
      <c r="H1431" t="str" cm="1">
        <f t="array" ref="H1431">_xlfn.IFS(
Table2[[#This Row],[AGE]]&lt;30,"Young",
Table2[[#This Row],[AGE]]&lt;40,"Middle Age",
Table2[[#This Row],[AGE]]&lt;50,"Senior",
TRUE,"Super Senior"
)</f>
        <v>Senior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 s="1">
        <v>80610</v>
      </c>
      <c r="P1431" s="1">
        <v>81008</v>
      </c>
      <c r="Q1431" s="1">
        <v>80725</v>
      </c>
      <c r="R1431" s="1">
        <v>50472</v>
      </c>
      <c r="S1431" s="1">
        <v>50340</v>
      </c>
      <c r="T1431" s="1">
        <v>42393</v>
      </c>
      <c r="U1431" s="1">
        <v>6502</v>
      </c>
      <c r="V1431" s="1">
        <v>4000</v>
      </c>
      <c r="W1431" s="1">
        <v>1889</v>
      </c>
      <c r="X1431" s="1">
        <v>2000</v>
      </c>
      <c r="Y1431" s="1">
        <v>7700</v>
      </c>
      <c r="Z1431" s="1">
        <v>9600</v>
      </c>
      <c r="AA1431">
        <v>0</v>
      </c>
      <c r="AB1431" t="str">
        <f t="shared" si="22"/>
        <v>Not Defaulter</v>
      </c>
      <c r="AC1431" s="1">
        <f>Table2[[#This Row],[BILL_AMT1]]-Table2[[#This Row],[PAY_AMT1]]</f>
        <v>74108</v>
      </c>
      <c r="AD1431" s="1" t="str" cm="1">
        <f t="array" ref="AD1431">_xlfn.IFS(Table2[[#This Row],[PAYMENT GAP]]&lt;=0,"No Gap / Overpaid",Table2[[#This Row],[PAYMENT GAP]]&lt;=25000,"Low Gap",Table2[[#This Row],[PAYMENT GAP]]&lt;=100000,"Medium Gap",
TRUE,"High Gap"
)</f>
        <v>Medium Gap</v>
      </c>
    </row>
    <row r="1432" spans="1:30" x14ac:dyDescent="0.3">
      <c r="A1432">
        <v>1431</v>
      </c>
      <c r="B1432" s="1">
        <v>50000</v>
      </c>
      <c r="C1432" s="1" t="str" cm="1">
        <f t="array" ref="C1432">_xlfn.IFS(Table2[[#This Row],[LIMIT_BAL]]&lt;=100000,"Low",Table2[[#This Row],[LIMIT_BAL]]&lt;=300000,"Medium",
TRUE,"High"
)</f>
        <v>Low</v>
      </c>
      <c r="D1432" t="s">
        <v>2041</v>
      </c>
      <c r="E1432" t="s">
        <v>2026</v>
      </c>
      <c r="F1432" t="s">
        <v>2028</v>
      </c>
      <c r="G1432">
        <v>29</v>
      </c>
      <c r="H1432" t="str" cm="1">
        <f t="array" ref="H1432">_xlfn.IFS(
Table2[[#This Row],[AGE]]&lt;30,"Young",
Table2[[#This Row],[AGE]]&lt;40,"Middle Age",
Table2[[#This Row],[AGE]]&lt;50,"Senior",
TRUE,"Super Senior"
)</f>
        <v>Young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 s="1">
        <v>50486</v>
      </c>
      <c r="P1432" s="1">
        <v>50035</v>
      </c>
      <c r="Q1432" s="1">
        <v>49388</v>
      </c>
      <c r="R1432" s="1">
        <v>10275</v>
      </c>
      <c r="S1432" s="1">
        <v>9598</v>
      </c>
      <c r="T1432" s="1">
        <v>8382</v>
      </c>
      <c r="U1432" s="1">
        <v>2200</v>
      </c>
      <c r="V1432" s="1">
        <v>1192</v>
      </c>
      <c r="W1432" s="1">
        <v>1000</v>
      </c>
      <c r="X1432" s="1">
        <v>2000</v>
      </c>
      <c r="Y1432" s="1">
        <v>1000</v>
      </c>
      <c r="Z1432" s="1">
        <v>1500</v>
      </c>
      <c r="AA1432">
        <v>0</v>
      </c>
      <c r="AB1432" t="str">
        <f t="shared" si="22"/>
        <v>Not Defaulter</v>
      </c>
      <c r="AC1432" s="1">
        <f>Table2[[#This Row],[BILL_AMT1]]-Table2[[#This Row],[PAY_AMT1]]</f>
        <v>48286</v>
      </c>
      <c r="AD1432" s="1" t="str" cm="1">
        <f t="array" ref="AD1432">_xlfn.IFS(Table2[[#This Row],[PAYMENT GAP]]&lt;=0,"No Gap / Overpaid",Table2[[#This Row],[PAYMENT GAP]]&lt;=25000,"Low Gap",Table2[[#This Row],[PAYMENT GAP]]&lt;=100000,"Medium Gap",
TRUE,"High Gap"
)</f>
        <v>Medium Gap</v>
      </c>
    </row>
    <row r="1433" spans="1:30" x14ac:dyDescent="0.3">
      <c r="A1433">
        <v>1432</v>
      </c>
      <c r="B1433" s="1">
        <v>70000</v>
      </c>
      <c r="C1433" s="1" t="str" cm="1">
        <f t="array" ref="C1433">_xlfn.IFS(Table2[[#This Row],[LIMIT_BAL]]&lt;=100000,"Low",Table2[[#This Row],[LIMIT_BAL]]&lt;=300000,"Medium",
TRUE,"High"
)</f>
        <v>Low</v>
      </c>
      <c r="D1433" t="s">
        <v>2041</v>
      </c>
      <c r="E1433" t="s">
        <v>2043</v>
      </c>
      <c r="F1433" t="s">
        <v>2028</v>
      </c>
      <c r="G1433">
        <v>42</v>
      </c>
      <c r="H1433" t="str" cm="1">
        <f t="array" ref="H1433">_xlfn.IFS(
Table2[[#This Row],[AGE]]&lt;30,"Young",
Table2[[#This Row],[AGE]]&lt;40,"Middle Age",
Table2[[#This Row],[AGE]]&lt;50,"Senior",
TRUE,"Super Senior"
)</f>
        <v>Senior</v>
      </c>
      <c r="I1433">
        <v>2</v>
      </c>
      <c r="J1433">
        <v>2</v>
      </c>
      <c r="K1433">
        <v>2</v>
      </c>
      <c r="L1433">
        <v>2</v>
      </c>
      <c r="M1433">
        <v>2</v>
      </c>
      <c r="N1433">
        <v>2</v>
      </c>
      <c r="O1433" s="1">
        <v>50886</v>
      </c>
      <c r="P1433" s="1">
        <v>51975</v>
      </c>
      <c r="Q1433" s="1">
        <v>52527</v>
      </c>
      <c r="R1433" s="1">
        <v>53560</v>
      </c>
      <c r="S1433" s="1">
        <v>54653</v>
      </c>
      <c r="T1433" s="1">
        <v>55797</v>
      </c>
      <c r="U1433" s="1">
        <v>2200</v>
      </c>
      <c r="V1433" s="1">
        <v>2000</v>
      </c>
      <c r="W1433" s="1">
        <v>2500</v>
      </c>
      <c r="X1433" s="1">
        <v>2100</v>
      </c>
      <c r="Y1433" s="1">
        <v>2200</v>
      </c>
      <c r="Z1433" s="1">
        <v>2100</v>
      </c>
      <c r="AA1433">
        <v>1</v>
      </c>
      <c r="AB1433" t="str">
        <f t="shared" si="22"/>
        <v>Defaulter</v>
      </c>
      <c r="AC1433" s="1">
        <f>Table2[[#This Row],[BILL_AMT1]]-Table2[[#This Row],[PAY_AMT1]]</f>
        <v>48686</v>
      </c>
      <c r="AD1433" s="1" t="str" cm="1">
        <f t="array" ref="AD1433">_xlfn.IFS(Table2[[#This Row],[PAYMENT GAP]]&lt;=0,"No Gap / Overpaid",Table2[[#This Row],[PAYMENT GAP]]&lt;=25000,"Low Gap",Table2[[#This Row],[PAYMENT GAP]]&lt;=100000,"Medium Gap",
TRUE,"High Gap"
)</f>
        <v>Medium Gap</v>
      </c>
    </row>
    <row r="1434" spans="1:30" x14ac:dyDescent="0.3">
      <c r="A1434">
        <v>1433</v>
      </c>
      <c r="B1434" s="1">
        <v>230000</v>
      </c>
      <c r="C1434" s="1" t="str" cm="1">
        <f t="array" ref="C1434">_xlfn.IFS(Table2[[#This Row],[LIMIT_BAL]]&lt;=100000,"Low",Table2[[#This Row],[LIMIT_BAL]]&lt;=300000,"Medium",
TRUE,"High"
)</f>
        <v>Medium</v>
      </c>
      <c r="D1434" t="s">
        <v>2042</v>
      </c>
      <c r="E1434" t="s">
        <v>2043</v>
      </c>
      <c r="F1434" t="s">
        <v>2029</v>
      </c>
      <c r="G1434">
        <v>32</v>
      </c>
      <c r="H1434" t="str" cm="1">
        <f t="array" ref="H1434">_xlfn.IFS(
Table2[[#This Row],[AGE]]&lt;30,"Young",
Table2[[#This Row],[AGE]]&lt;40,"Middle Age",
Table2[[#This Row],[AGE]]&lt;50,"Senior",
TRUE,"Super Senior"
)</f>
        <v>Middle Age</v>
      </c>
      <c r="I1434">
        <v>2</v>
      </c>
      <c r="J1434">
        <v>2</v>
      </c>
      <c r="K1434">
        <v>2</v>
      </c>
      <c r="L1434">
        <v>2</v>
      </c>
      <c r="M1434">
        <v>2</v>
      </c>
      <c r="N1434">
        <v>2</v>
      </c>
      <c r="O1434" s="1">
        <v>189567</v>
      </c>
      <c r="P1434" s="1">
        <v>189023</v>
      </c>
      <c r="Q1434" s="1">
        <v>187521</v>
      </c>
      <c r="R1434" s="1">
        <v>182671</v>
      </c>
      <c r="S1434" s="1">
        <v>174794</v>
      </c>
      <c r="T1434" s="1">
        <v>182160</v>
      </c>
      <c r="U1434" s="1">
        <v>9000</v>
      </c>
      <c r="V1434" s="1">
        <v>6300</v>
      </c>
      <c r="W1434" s="1">
        <v>6200</v>
      </c>
      <c r="X1434" s="1">
        <v>500</v>
      </c>
      <c r="Y1434" s="1">
        <v>12500</v>
      </c>
      <c r="Z1434" s="1">
        <v>0</v>
      </c>
      <c r="AA1434">
        <v>1</v>
      </c>
      <c r="AB1434" t="str">
        <f t="shared" si="22"/>
        <v>Defaulter</v>
      </c>
      <c r="AC1434" s="1">
        <f>Table2[[#This Row],[BILL_AMT1]]-Table2[[#This Row],[PAY_AMT1]]</f>
        <v>180567</v>
      </c>
      <c r="AD1434" s="1" t="str" cm="1">
        <f t="array" ref="AD1434">_xlfn.IFS(Table2[[#This Row],[PAYMENT GAP]]&lt;=0,"No Gap / Overpaid",Table2[[#This Row],[PAYMENT GAP]]&lt;=25000,"Low Gap",Table2[[#This Row],[PAYMENT GAP]]&lt;=100000,"Medium Gap",
TRUE,"High Gap"
)</f>
        <v>High Gap</v>
      </c>
    </row>
    <row r="1435" spans="1:30" x14ac:dyDescent="0.3">
      <c r="A1435">
        <v>1434</v>
      </c>
      <c r="B1435" s="1">
        <v>20000</v>
      </c>
      <c r="C1435" s="1" t="str" cm="1">
        <f t="array" ref="C1435">_xlfn.IFS(Table2[[#This Row],[LIMIT_BAL]]&lt;=100000,"Low",Table2[[#This Row],[LIMIT_BAL]]&lt;=300000,"Medium",
TRUE,"High"
)</f>
        <v>Low</v>
      </c>
      <c r="D1435" t="s">
        <v>2042</v>
      </c>
      <c r="E1435" t="s">
        <v>2043</v>
      </c>
      <c r="F1435" t="s">
        <v>2029</v>
      </c>
      <c r="G1435">
        <v>52</v>
      </c>
      <c r="H1435" t="str" cm="1">
        <f t="array" ref="H1435">_xlfn.IFS(
Table2[[#This Row],[AGE]]&lt;30,"Young",
Table2[[#This Row],[AGE]]&lt;40,"Middle Age",
Table2[[#This Row],[AGE]]&lt;50,"Senior",
TRUE,"Super Senior"
)</f>
        <v>Super Senior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 s="1">
        <v>17420</v>
      </c>
      <c r="P1435" s="1">
        <v>19130</v>
      </c>
      <c r="Q1435" s="1">
        <v>20340</v>
      </c>
      <c r="R1435" s="1">
        <v>19940</v>
      </c>
      <c r="S1435" s="1">
        <v>19940</v>
      </c>
      <c r="T1435" s="1">
        <v>0</v>
      </c>
      <c r="U1435" s="1">
        <v>2000</v>
      </c>
      <c r="V1435" s="1">
        <v>2000</v>
      </c>
      <c r="W1435" s="1">
        <v>0</v>
      </c>
      <c r="X1435" s="1">
        <v>0</v>
      </c>
      <c r="Y1435" s="1">
        <v>0</v>
      </c>
      <c r="Z1435" s="1">
        <v>0</v>
      </c>
      <c r="AA1435">
        <v>0</v>
      </c>
      <c r="AB1435" t="str">
        <f t="shared" si="22"/>
        <v>Not Defaulter</v>
      </c>
      <c r="AC1435" s="1">
        <f>Table2[[#This Row],[BILL_AMT1]]-Table2[[#This Row],[PAY_AMT1]]</f>
        <v>15420</v>
      </c>
      <c r="AD1435" s="1" t="str" cm="1">
        <f t="array" ref="AD1435">_xlfn.IFS(Table2[[#This Row],[PAYMENT GAP]]&lt;=0,"No Gap / Overpaid",Table2[[#This Row],[PAYMENT GAP]]&lt;=25000,"Low Gap",Table2[[#This Row],[PAYMENT GAP]]&lt;=100000,"Medium Gap",
TRUE,"High Gap"
)</f>
        <v>Low Gap</v>
      </c>
    </row>
    <row r="1436" spans="1:30" x14ac:dyDescent="0.3">
      <c r="A1436">
        <v>1435</v>
      </c>
      <c r="B1436" s="1">
        <v>30000</v>
      </c>
      <c r="C1436" s="1" t="str" cm="1">
        <f t="array" ref="C1436">_xlfn.IFS(Table2[[#This Row],[LIMIT_BAL]]&lt;=100000,"Low",Table2[[#This Row],[LIMIT_BAL]]&lt;=300000,"Medium",
TRUE,"High"
)</f>
        <v>Low</v>
      </c>
      <c r="D1436" t="s">
        <v>2042</v>
      </c>
      <c r="E1436" t="s">
        <v>2043</v>
      </c>
      <c r="F1436" t="s">
        <v>2029</v>
      </c>
      <c r="G1436">
        <v>44</v>
      </c>
      <c r="H1436" t="str" cm="1">
        <f t="array" ref="H1436">_xlfn.IFS(
Table2[[#This Row],[AGE]]&lt;30,"Young",
Table2[[#This Row],[AGE]]&lt;40,"Middle Age",
Table2[[#This Row],[AGE]]&lt;50,"Senior",
TRUE,"Super Senior"
)</f>
        <v>Senior</v>
      </c>
      <c r="I1436">
        <v>-1</v>
      </c>
      <c r="J1436">
        <v>0</v>
      </c>
      <c r="K1436">
        <v>-1</v>
      </c>
      <c r="L1436">
        <v>0</v>
      </c>
      <c r="M1436">
        <v>-1</v>
      </c>
      <c r="N1436">
        <v>-1</v>
      </c>
      <c r="O1436" s="1">
        <v>21043</v>
      </c>
      <c r="P1436" s="1">
        <v>21183</v>
      </c>
      <c r="Q1436" s="1">
        <v>1754</v>
      </c>
      <c r="R1436" s="1">
        <v>666</v>
      </c>
      <c r="S1436" s="1">
        <v>1339</v>
      </c>
      <c r="T1436" s="1">
        <v>1748</v>
      </c>
      <c r="U1436" s="1">
        <v>1196</v>
      </c>
      <c r="V1436" s="1">
        <v>1757</v>
      </c>
      <c r="W1436" s="1">
        <v>2</v>
      </c>
      <c r="X1436" s="1">
        <v>1443</v>
      </c>
      <c r="Y1436" s="1">
        <v>1949</v>
      </c>
      <c r="Z1436" s="1">
        <v>0</v>
      </c>
      <c r="AA1436">
        <v>0</v>
      </c>
      <c r="AB1436" t="str">
        <f t="shared" si="22"/>
        <v>Not Defaulter</v>
      </c>
      <c r="AC1436" s="1">
        <f>Table2[[#This Row],[BILL_AMT1]]-Table2[[#This Row],[PAY_AMT1]]</f>
        <v>19847</v>
      </c>
      <c r="AD1436" s="1" t="str" cm="1">
        <f t="array" ref="AD1436">_xlfn.IFS(Table2[[#This Row],[PAYMENT GAP]]&lt;=0,"No Gap / Overpaid",Table2[[#This Row],[PAYMENT GAP]]&lt;=25000,"Low Gap",Table2[[#This Row],[PAYMENT GAP]]&lt;=100000,"Medium Gap",
TRUE,"High Gap"
)</f>
        <v>Low Gap</v>
      </c>
    </row>
    <row r="1437" spans="1:30" x14ac:dyDescent="0.3">
      <c r="A1437">
        <v>1436</v>
      </c>
      <c r="B1437" s="1">
        <v>100000</v>
      </c>
      <c r="C1437" s="1" t="str" cm="1">
        <f t="array" ref="C1437">_xlfn.IFS(Table2[[#This Row],[LIMIT_BAL]]&lt;=100000,"Low",Table2[[#This Row],[LIMIT_BAL]]&lt;=300000,"Medium",
TRUE,"High"
)</f>
        <v>Low</v>
      </c>
      <c r="D1437" t="s">
        <v>2042</v>
      </c>
      <c r="E1437" t="s">
        <v>2026</v>
      </c>
      <c r="F1437" t="s">
        <v>2029</v>
      </c>
      <c r="G1437">
        <v>31</v>
      </c>
      <c r="H1437" t="str" cm="1">
        <f t="array" ref="H1437">_xlfn.IFS(
Table2[[#This Row],[AGE]]&lt;30,"Young",
Table2[[#This Row],[AGE]]&lt;40,"Middle Age",
Table2[[#This Row],[AGE]]&lt;50,"Senior",
TRUE,"Super Senior"
)</f>
        <v>Middle Age</v>
      </c>
      <c r="I1437">
        <v>2</v>
      </c>
      <c r="J1437">
        <v>2</v>
      </c>
      <c r="K1437">
        <v>2</v>
      </c>
      <c r="L1437">
        <v>2</v>
      </c>
      <c r="M1437">
        <v>2</v>
      </c>
      <c r="N1437">
        <v>2</v>
      </c>
      <c r="O1437" s="1">
        <v>33752</v>
      </c>
      <c r="P1437" s="1">
        <v>32928</v>
      </c>
      <c r="Q1437" s="1">
        <v>35572</v>
      </c>
      <c r="R1437" s="1">
        <v>34700</v>
      </c>
      <c r="S1437" s="1">
        <v>36942</v>
      </c>
      <c r="T1437" s="1">
        <v>36196</v>
      </c>
      <c r="U1437" s="1">
        <v>0</v>
      </c>
      <c r="V1437" s="1">
        <v>3200</v>
      </c>
      <c r="W1437" s="1">
        <v>0</v>
      </c>
      <c r="X1437" s="1">
        <v>2800</v>
      </c>
      <c r="Y1437" s="1">
        <v>0</v>
      </c>
      <c r="Z1437" s="1">
        <v>1511</v>
      </c>
      <c r="AA1437">
        <v>1</v>
      </c>
      <c r="AB1437" t="str">
        <f t="shared" si="22"/>
        <v>Defaulter</v>
      </c>
      <c r="AC1437" s="1">
        <f>Table2[[#This Row],[BILL_AMT1]]-Table2[[#This Row],[PAY_AMT1]]</f>
        <v>33752</v>
      </c>
      <c r="AD1437" s="1" t="str" cm="1">
        <f t="array" ref="AD1437">_xlfn.IFS(Table2[[#This Row],[PAYMENT GAP]]&lt;=0,"No Gap / Overpaid",Table2[[#This Row],[PAYMENT GAP]]&lt;=25000,"Low Gap",Table2[[#This Row],[PAYMENT GAP]]&lt;=100000,"Medium Gap",
TRUE,"High Gap"
)</f>
        <v>Medium Gap</v>
      </c>
    </row>
    <row r="1438" spans="1:30" x14ac:dyDescent="0.3">
      <c r="A1438">
        <v>1437</v>
      </c>
      <c r="B1438" s="1">
        <v>80000</v>
      </c>
      <c r="C1438" s="1" t="str" cm="1">
        <f t="array" ref="C1438">_xlfn.IFS(Table2[[#This Row],[LIMIT_BAL]]&lt;=100000,"Low",Table2[[#This Row],[LIMIT_BAL]]&lt;=300000,"Medium",
TRUE,"High"
)</f>
        <v>Low</v>
      </c>
      <c r="D1438" t="s">
        <v>2041</v>
      </c>
      <c r="E1438" t="s">
        <v>2026</v>
      </c>
      <c r="F1438" t="s">
        <v>2029</v>
      </c>
      <c r="G1438">
        <v>29</v>
      </c>
      <c r="H1438" t="str" cm="1">
        <f t="array" ref="H1438">_xlfn.IFS(
Table2[[#This Row],[AGE]]&lt;30,"Young",
Table2[[#This Row],[AGE]]&lt;40,"Middle Age",
Table2[[#This Row],[AGE]]&lt;50,"Senior",
TRUE,"Super Senior"
)</f>
        <v>Young</v>
      </c>
      <c r="I1438">
        <v>0</v>
      </c>
      <c r="J1438">
        <v>0</v>
      </c>
      <c r="K1438">
        <v>0</v>
      </c>
      <c r="L1438">
        <v>2</v>
      </c>
      <c r="M1438">
        <v>0</v>
      </c>
      <c r="N1438">
        <v>0</v>
      </c>
      <c r="O1438" s="1">
        <v>81337</v>
      </c>
      <c r="P1438" s="1">
        <v>80290</v>
      </c>
      <c r="Q1438" s="1">
        <v>82215</v>
      </c>
      <c r="R1438" s="1">
        <v>80422</v>
      </c>
      <c r="S1438" s="1">
        <v>78284</v>
      </c>
      <c r="T1438" s="1">
        <v>77270</v>
      </c>
      <c r="U1438" s="1">
        <v>2842</v>
      </c>
      <c r="V1438" s="1">
        <v>20412</v>
      </c>
      <c r="W1438" s="1">
        <v>0</v>
      </c>
      <c r="X1438" s="1">
        <v>3000</v>
      </c>
      <c r="Y1438" s="1">
        <v>3000</v>
      </c>
      <c r="Z1438" s="1">
        <v>3000</v>
      </c>
      <c r="AA1438">
        <v>1</v>
      </c>
      <c r="AB1438" t="str">
        <f t="shared" si="22"/>
        <v>Defaulter</v>
      </c>
      <c r="AC1438" s="1">
        <f>Table2[[#This Row],[BILL_AMT1]]-Table2[[#This Row],[PAY_AMT1]]</f>
        <v>78495</v>
      </c>
      <c r="AD1438" s="1" t="str" cm="1">
        <f t="array" ref="AD1438">_xlfn.IFS(Table2[[#This Row],[PAYMENT GAP]]&lt;=0,"No Gap / Overpaid",Table2[[#This Row],[PAYMENT GAP]]&lt;=25000,"Low Gap",Table2[[#This Row],[PAYMENT GAP]]&lt;=100000,"Medium Gap",
TRUE,"High Gap"
)</f>
        <v>Medium Gap</v>
      </c>
    </row>
    <row r="1439" spans="1:30" x14ac:dyDescent="0.3">
      <c r="A1439">
        <v>1438</v>
      </c>
      <c r="B1439" s="1">
        <v>210000</v>
      </c>
      <c r="C1439" s="1" t="str" cm="1">
        <f t="array" ref="C1439">_xlfn.IFS(Table2[[#This Row],[LIMIT_BAL]]&lt;=100000,"Low",Table2[[#This Row],[LIMIT_BAL]]&lt;=300000,"Medium",
TRUE,"High"
)</f>
        <v>Medium</v>
      </c>
      <c r="D1439" t="s">
        <v>2042</v>
      </c>
      <c r="E1439" t="s">
        <v>2043</v>
      </c>
      <c r="F1439" t="s">
        <v>2029</v>
      </c>
      <c r="G1439">
        <v>33</v>
      </c>
      <c r="H1439" t="str" cm="1">
        <f t="array" ref="H1439">_xlfn.IFS(
Table2[[#This Row],[AGE]]&lt;30,"Young",
Table2[[#This Row],[AGE]]&lt;40,"Middle Age",
Table2[[#This Row],[AGE]]&lt;50,"Senior",
TRUE,"Super Senior"
)</f>
        <v>Middle Age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 s="1">
        <v>187610</v>
      </c>
      <c r="P1439" s="1">
        <v>191592</v>
      </c>
      <c r="Q1439" s="1">
        <v>195739</v>
      </c>
      <c r="R1439" s="1">
        <v>198081</v>
      </c>
      <c r="S1439" s="1">
        <v>202410</v>
      </c>
      <c r="T1439" s="1">
        <v>206582</v>
      </c>
      <c r="U1439" s="1">
        <v>8500</v>
      </c>
      <c r="V1439" s="1">
        <v>9000</v>
      </c>
      <c r="W1439" s="1">
        <v>7100</v>
      </c>
      <c r="X1439" s="1">
        <v>7510</v>
      </c>
      <c r="Y1439" s="1">
        <v>7700</v>
      </c>
      <c r="Z1439" s="1">
        <v>9051</v>
      </c>
      <c r="AA1439">
        <v>0</v>
      </c>
      <c r="AB1439" t="str">
        <f t="shared" si="22"/>
        <v>Not Defaulter</v>
      </c>
      <c r="AC1439" s="1">
        <f>Table2[[#This Row],[BILL_AMT1]]-Table2[[#This Row],[PAY_AMT1]]</f>
        <v>179110</v>
      </c>
      <c r="AD1439" s="1" t="str" cm="1">
        <f t="array" ref="AD1439">_xlfn.IFS(Table2[[#This Row],[PAYMENT GAP]]&lt;=0,"No Gap / Overpaid",Table2[[#This Row],[PAYMENT GAP]]&lt;=25000,"Low Gap",Table2[[#This Row],[PAYMENT GAP]]&lt;=100000,"Medium Gap",
TRUE,"High Gap"
)</f>
        <v>High Gap</v>
      </c>
    </row>
    <row r="1440" spans="1:30" x14ac:dyDescent="0.3">
      <c r="A1440">
        <v>1439</v>
      </c>
      <c r="B1440" s="1">
        <v>50000</v>
      </c>
      <c r="C1440" s="1" t="str" cm="1">
        <f t="array" ref="C1440">_xlfn.IFS(Table2[[#This Row],[LIMIT_BAL]]&lt;=100000,"Low",Table2[[#This Row],[LIMIT_BAL]]&lt;=300000,"Medium",
TRUE,"High"
)</f>
        <v>Low</v>
      </c>
      <c r="D1440" t="s">
        <v>2042</v>
      </c>
      <c r="E1440" t="s">
        <v>2043</v>
      </c>
      <c r="F1440" t="s">
        <v>2029</v>
      </c>
      <c r="G1440">
        <v>54</v>
      </c>
      <c r="H1440" t="str" cm="1">
        <f t="array" ref="H1440">_xlfn.IFS(
Table2[[#This Row],[AGE]]&lt;30,"Young",
Table2[[#This Row],[AGE]]&lt;40,"Middle Age",
Table2[[#This Row],[AGE]]&lt;50,"Senior",
TRUE,"Super Senior"
)</f>
        <v>Super Senior</v>
      </c>
      <c r="I1440">
        <v>1</v>
      </c>
      <c r="J1440">
        <v>2</v>
      </c>
      <c r="K1440">
        <v>0</v>
      </c>
      <c r="L1440">
        <v>0</v>
      </c>
      <c r="M1440">
        <v>0</v>
      </c>
      <c r="N1440">
        <v>0</v>
      </c>
      <c r="O1440" s="1">
        <v>48153</v>
      </c>
      <c r="P1440" s="1">
        <v>46885</v>
      </c>
      <c r="Q1440" s="1">
        <v>27168</v>
      </c>
      <c r="R1440" s="1">
        <v>27585</v>
      </c>
      <c r="S1440" s="1">
        <v>27910</v>
      </c>
      <c r="T1440" s="1">
        <v>27380</v>
      </c>
      <c r="U1440" s="1">
        <v>0</v>
      </c>
      <c r="V1440" s="1">
        <v>1400</v>
      </c>
      <c r="W1440" s="1">
        <v>1200</v>
      </c>
      <c r="X1440" s="1">
        <v>1500</v>
      </c>
      <c r="Y1440" s="1">
        <v>1000</v>
      </c>
      <c r="Z1440" s="1">
        <v>1500</v>
      </c>
      <c r="AA1440">
        <v>0</v>
      </c>
      <c r="AB1440" t="str">
        <f t="shared" si="22"/>
        <v>Not Defaulter</v>
      </c>
      <c r="AC1440" s="1">
        <f>Table2[[#This Row],[BILL_AMT1]]-Table2[[#This Row],[PAY_AMT1]]</f>
        <v>48153</v>
      </c>
      <c r="AD1440" s="1" t="str" cm="1">
        <f t="array" ref="AD1440">_xlfn.IFS(Table2[[#This Row],[PAYMENT GAP]]&lt;=0,"No Gap / Overpaid",Table2[[#This Row],[PAYMENT GAP]]&lt;=25000,"Low Gap",Table2[[#This Row],[PAYMENT GAP]]&lt;=100000,"Medium Gap",
TRUE,"High Gap"
)</f>
        <v>Medium Gap</v>
      </c>
    </row>
    <row r="1441" spans="1:30" x14ac:dyDescent="0.3">
      <c r="A1441">
        <v>1440</v>
      </c>
      <c r="B1441" s="1">
        <v>130000</v>
      </c>
      <c r="C1441" s="1" t="str" cm="1">
        <f t="array" ref="C1441">_xlfn.IFS(Table2[[#This Row],[LIMIT_BAL]]&lt;=100000,"Low",Table2[[#This Row],[LIMIT_BAL]]&lt;=300000,"Medium",
TRUE,"High"
)</f>
        <v>Medium</v>
      </c>
      <c r="D1441" t="s">
        <v>2041</v>
      </c>
      <c r="E1441" t="s">
        <v>2043</v>
      </c>
      <c r="F1441" t="s">
        <v>2029</v>
      </c>
      <c r="G1441">
        <v>23</v>
      </c>
      <c r="H1441" t="str" cm="1">
        <f t="array" ref="H1441">_xlfn.IFS(
Table2[[#This Row],[AGE]]&lt;30,"Young",
Table2[[#This Row],[AGE]]&lt;40,"Middle Age",
Table2[[#This Row],[AGE]]&lt;50,"Senior",
TRUE,"Super Senior"
)</f>
        <v>Young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 s="1">
        <v>133622</v>
      </c>
      <c r="P1441" s="1">
        <v>129784</v>
      </c>
      <c r="Q1441" s="1">
        <v>126021</v>
      </c>
      <c r="R1441" s="1">
        <v>70186</v>
      </c>
      <c r="S1441" s="1">
        <v>71762</v>
      </c>
      <c r="T1441" s="1">
        <v>73192</v>
      </c>
      <c r="U1441" s="1">
        <v>4752</v>
      </c>
      <c r="V1441" s="1">
        <v>5010</v>
      </c>
      <c r="W1441" s="1">
        <v>2505</v>
      </c>
      <c r="X1441" s="1">
        <v>2700</v>
      </c>
      <c r="Y1441" s="1">
        <v>2623</v>
      </c>
      <c r="Z1441" s="1">
        <v>2800</v>
      </c>
      <c r="AA1441">
        <v>0</v>
      </c>
      <c r="AB1441" t="str">
        <f t="shared" si="22"/>
        <v>Not Defaulter</v>
      </c>
      <c r="AC1441" s="1">
        <f>Table2[[#This Row],[BILL_AMT1]]-Table2[[#This Row],[PAY_AMT1]]</f>
        <v>128870</v>
      </c>
      <c r="AD1441" s="1" t="str" cm="1">
        <f t="array" ref="AD1441">_xlfn.IFS(Table2[[#This Row],[PAYMENT GAP]]&lt;=0,"No Gap / Overpaid",Table2[[#This Row],[PAYMENT GAP]]&lt;=25000,"Low Gap",Table2[[#This Row],[PAYMENT GAP]]&lt;=100000,"Medium Gap",
TRUE,"High Gap"
)</f>
        <v>High Gap</v>
      </c>
    </row>
    <row r="1442" spans="1:30" x14ac:dyDescent="0.3">
      <c r="A1442">
        <v>1441</v>
      </c>
      <c r="B1442" s="1">
        <v>70000</v>
      </c>
      <c r="C1442" s="1" t="str" cm="1">
        <f t="array" ref="C1442">_xlfn.IFS(Table2[[#This Row],[LIMIT_BAL]]&lt;=100000,"Low",Table2[[#This Row],[LIMIT_BAL]]&lt;=300000,"Medium",
TRUE,"High"
)</f>
        <v>Low</v>
      </c>
      <c r="D1442" t="s">
        <v>2041</v>
      </c>
      <c r="E1442" t="s">
        <v>2026</v>
      </c>
      <c r="F1442" t="s">
        <v>2029</v>
      </c>
      <c r="G1442">
        <v>24</v>
      </c>
      <c r="H1442" t="str" cm="1">
        <f t="array" ref="H1442">_xlfn.IFS(
Table2[[#This Row],[AGE]]&lt;30,"Young",
Table2[[#This Row],[AGE]]&lt;40,"Middle Age",
Table2[[#This Row],[AGE]]&lt;50,"Senior",
TRUE,"Super Senior"
)</f>
        <v>Young</v>
      </c>
      <c r="I1442">
        <v>0</v>
      </c>
      <c r="J1442">
        <v>0</v>
      </c>
      <c r="K1442">
        <v>2</v>
      </c>
      <c r="L1442">
        <v>2</v>
      </c>
      <c r="M1442">
        <v>2</v>
      </c>
      <c r="N1442">
        <v>2</v>
      </c>
      <c r="O1442" s="1">
        <v>48432</v>
      </c>
      <c r="P1442" s="1">
        <v>52650</v>
      </c>
      <c r="Q1442" s="1">
        <v>53099</v>
      </c>
      <c r="R1442" s="1">
        <v>51648</v>
      </c>
      <c r="S1442" s="1">
        <v>55409</v>
      </c>
      <c r="T1442" s="1">
        <v>54366</v>
      </c>
      <c r="U1442" s="1">
        <v>5000</v>
      </c>
      <c r="V1442" s="1">
        <v>1900</v>
      </c>
      <c r="W1442" s="1">
        <v>0</v>
      </c>
      <c r="X1442" s="1">
        <v>4600</v>
      </c>
      <c r="Y1442" s="1">
        <v>0</v>
      </c>
      <c r="Z1442" s="1">
        <v>2300</v>
      </c>
      <c r="AA1442">
        <v>0</v>
      </c>
      <c r="AB1442" t="str">
        <f t="shared" si="22"/>
        <v>Not Defaulter</v>
      </c>
      <c r="AC1442" s="1">
        <f>Table2[[#This Row],[BILL_AMT1]]-Table2[[#This Row],[PAY_AMT1]]</f>
        <v>43432</v>
      </c>
      <c r="AD1442" s="1" t="str" cm="1">
        <f t="array" ref="AD1442">_xlfn.IFS(Table2[[#This Row],[PAYMENT GAP]]&lt;=0,"No Gap / Overpaid",Table2[[#This Row],[PAYMENT GAP]]&lt;=25000,"Low Gap",Table2[[#This Row],[PAYMENT GAP]]&lt;=100000,"Medium Gap",
TRUE,"High Gap"
)</f>
        <v>Medium Gap</v>
      </c>
    </row>
    <row r="1443" spans="1:30" x14ac:dyDescent="0.3">
      <c r="A1443">
        <v>1442</v>
      </c>
      <c r="B1443" s="1">
        <v>210000</v>
      </c>
      <c r="C1443" s="1" t="str" cm="1">
        <f t="array" ref="C1443">_xlfn.IFS(Table2[[#This Row],[LIMIT_BAL]]&lt;=100000,"Low",Table2[[#This Row],[LIMIT_BAL]]&lt;=300000,"Medium",
TRUE,"High"
)</f>
        <v>Medium</v>
      </c>
      <c r="D1443" t="s">
        <v>2041</v>
      </c>
      <c r="E1443" t="s">
        <v>2026</v>
      </c>
      <c r="F1443" t="s">
        <v>2028</v>
      </c>
      <c r="G1443">
        <v>33</v>
      </c>
      <c r="H1443" t="str" cm="1">
        <f t="array" ref="H1443">_xlfn.IFS(
Table2[[#This Row],[AGE]]&lt;30,"Young",
Table2[[#This Row],[AGE]]&lt;40,"Middle Age",
Table2[[#This Row],[AGE]]&lt;50,"Senior",
TRUE,"Super Senior"
)</f>
        <v>Middle Age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 s="1">
        <v>17420</v>
      </c>
      <c r="P1443" s="1">
        <v>16182</v>
      </c>
      <c r="Q1443" s="1">
        <v>14109</v>
      </c>
      <c r="R1443" s="1">
        <v>10955</v>
      </c>
      <c r="S1443" s="1">
        <v>11217</v>
      </c>
      <c r="T1443" s="1">
        <v>11367</v>
      </c>
      <c r="U1443" s="1">
        <v>1236</v>
      </c>
      <c r="V1443" s="1">
        <v>1613</v>
      </c>
      <c r="W1443" s="1">
        <v>1000</v>
      </c>
      <c r="X1443" s="1">
        <v>552</v>
      </c>
      <c r="Y1443" s="1">
        <v>607</v>
      </c>
      <c r="Z1443" s="1">
        <v>1500</v>
      </c>
      <c r="AA1443">
        <v>0</v>
      </c>
      <c r="AB1443" t="str">
        <f t="shared" si="22"/>
        <v>Not Defaulter</v>
      </c>
      <c r="AC1443" s="1">
        <f>Table2[[#This Row],[BILL_AMT1]]-Table2[[#This Row],[PAY_AMT1]]</f>
        <v>16184</v>
      </c>
      <c r="AD1443" s="1" t="str" cm="1">
        <f t="array" ref="AD1443">_xlfn.IFS(Table2[[#This Row],[PAYMENT GAP]]&lt;=0,"No Gap / Overpaid",Table2[[#This Row],[PAYMENT GAP]]&lt;=25000,"Low Gap",Table2[[#This Row],[PAYMENT GAP]]&lt;=100000,"Medium Gap",
TRUE,"High Gap"
)</f>
        <v>Low Gap</v>
      </c>
    </row>
    <row r="1444" spans="1:30" x14ac:dyDescent="0.3">
      <c r="A1444">
        <v>1443</v>
      </c>
      <c r="B1444" s="1">
        <v>100000</v>
      </c>
      <c r="C1444" s="1" t="str" cm="1">
        <f t="array" ref="C1444">_xlfn.IFS(Table2[[#This Row],[LIMIT_BAL]]&lt;=100000,"Low",Table2[[#This Row],[LIMIT_BAL]]&lt;=300000,"Medium",
TRUE,"High"
)</f>
        <v>Low</v>
      </c>
      <c r="D1444" t="s">
        <v>2042</v>
      </c>
      <c r="E1444" t="s">
        <v>2027</v>
      </c>
      <c r="F1444" t="s">
        <v>2028</v>
      </c>
      <c r="G1444">
        <v>44</v>
      </c>
      <c r="H1444" t="str" cm="1">
        <f t="array" ref="H1444">_xlfn.IFS(
Table2[[#This Row],[AGE]]&lt;30,"Young",
Table2[[#This Row],[AGE]]&lt;40,"Middle Age",
Table2[[#This Row],[AGE]]&lt;50,"Senior",
TRUE,"Super Senior"
)</f>
        <v>Senior</v>
      </c>
      <c r="I1444">
        <v>-1</v>
      </c>
      <c r="J1444">
        <v>-1</v>
      </c>
      <c r="K1444">
        <v>-1</v>
      </c>
      <c r="L1444">
        <v>-1</v>
      </c>
      <c r="M1444">
        <v>-1</v>
      </c>
      <c r="N1444">
        <v>-1</v>
      </c>
      <c r="O1444" s="1">
        <v>780</v>
      </c>
      <c r="P1444" s="1">
        <v>0</v>
      </c>
      <c r="Q1444" s="1">
        <v>390</v>
      </c>
      <c r="R1444" s="1">
        <v>390</v>
      </c>
      <c r="S1444" s="1">
        <v>390</v>
      </c>
      <c r="T1444" s="1">
        <v>390</v>
      </c>
      <c r="U1444" s="1">
        <v>0</v>
      </c>
      <c r="V1444" s="1">
        <v>390</v>
      </c>
      <c r="W1444" s="1">
        <v>390</v>
      </c>
      <c r="X1444" s="1">
        <v>390</v>
      </c>
      <c r="Y1444" s="1">
        <v>390</v>
      </c>
      <c r="Z1444" s="1">
        <v>390</v>
      </c>
      <c r="AA1444">
        <v>1</v>
      </c>
      <c r="AB1444" t="str">
        <f t="shared" si="22"/>
        <v>Defaulter</v>
      </c>
      <c r="AC1444" s="1">
        <f>Table2[[#This Row],[BILL_AMT1]]-Table2[[#This Row],[PAY_AMT1]]</f>
        <v>780</v>
      </c>
      <c r="AD1444" s="1" t="str" cm="1">
        <f t="array" ref="AD1444">_xlfn.IFS(Table2[[#This Row],[PAYMENT GAP]]&lt;=0,"No Gap / Overpaid",Table2[[#This Row],[PAYMENT GAP]]&lt;=25000,"Low Gap",Table2[[#This Row],[PAYMENT GAP]]&lt;=100000,"Medium Gap",
TRUE,"High Gap"
)</f>
        <v>Low Gap</v>
      </c>
    </row>
    <row r="1445" spans="1:30" x14ac:dyDescent="0.3">
      <c r="A1445">
        <v>1444</v>
      </c>
      <c r="B1445" s="1">
        <v>200000</v>
      </c>
      <c r="C1445" s="1" t="str" cm="1">
        <f t="array" ref="C1445">_xlfn.IFS(Table2[[#This Row],[LIMIT_BAL]]&lt;=100000,"Low",Table2[[#This Row],[LIMIT_BAL]]&lt;=300000,"Medium",
TRUE,"High"
)</f>
        <v>Medium</v>
      </c>
      <c r="D1445" t="s">
        <v>2042</v>
      </c>
      <c r="E1445" t="s">
        <v>2027</v>
      </c>
      <c r="F1445" t="s">
        <v>2044</v>
      </c>
      <c r="G1445">
        <v>51</v>
      </c>
      <c r="H1445" t="str" cm="1">
        <f t="array" ref="H1445">_xlfn.IFS(
Table2[[#This Row],[AGE]]&lt;30,"Young",
Table2[[#This Row],[AGE]]&lt;40,"Middle Age",
Table2[[#This Row],[AGE]]&lt;50,"Senior",
TRUE,"Super Senior"
)</f>
        <v>Super Senior</v>
      </c>
      <c r="I1445">
        <v>-1</v>
      </c>
      <c r="J1445">
        <v>-1</v>
      </c>
      <c r="K1445">
        <v>-1</v>
      </c>
      <c r="L1445">
        <v>-1</v>
      </c>
      <c r="M1445">
        <v>0</v>
      </c>
      <c r="N1445">
        <v>-1</v>
      </c>
      <c r="O1445" s="1">
        <v>3556</v>
      </c>
      <c r="P1445" s="1">
        <v>4993</v>
      </c>
      <c r="Q1445" s="1">
        <v>9212</v>
      </c>
      <c r="R1445" s="1">
        <v>2529</v>
      </c>
      <c r="S1445" s="1">
        <v>1036</v>
      </c>
      <c r="T1445" s="1">
        <v>4430</v>
      </c>
      <c r="U1445" s="1">
        <v>5020</v>
      </c>
      <c r="V1445" s="1">
        <v>9236</v>
      </c>
      <c r="W1445" s="1">
        <v>2529</v>
      </c>
      <c r="X1445" s="1">
        <v>0</v>
      </c>
      <c r="Y1445" s="1">
        <v>4430</v>
      </c>
      <c r="Z1445" s="1">
        <v>6398</v>
      </c>
      <c r="AA1445">
        <v>0</v>
      </c>
      <c r="AB1445" t="str">
        <f t="shared" si="22"/>
        <v>Not Defaulter</v>
      </c>
      <c r="AC1445" s="1">
        <f>Table2[[#This Row],[BILL_AMT1]]-Table2[[#This Row],[PAY_AMT1]]</f>
        <v>-1464</v>
      </c>
      <c r="AD1445" s="1" t="str" cm="1">
        <f t="array" ref="AD1445">_xlfn.IFS(Table2[[#This Row],[PAYMENT GAP]]&lt;=0,"No Gap / Overpaid",Table2[[#This Row],[PAYMENT GAP]]&lt;=25000,"Low Gap",Table2[[#This Row],[PAYMENT GAP]]&lt;=100000,"Medium Gap",
TRUE,"High Gap"
)</f>
        <v>No Gap / Overpaid</v>
      </c>
    </row>
    <row r="1446" spans="1:30" x14ac:dyDescent="0.3">
      <c r="A1446">
        <v>1445</v>
      </c>
      <c r="B1446" s="1">
        <v>40000</v>
      </c>
      <c r="C1446" s="1" t="str" cm="1">
        <f t="array" ref="C1446">_xlfn.IFS(Table2[[#This Row],[LIMIT_BAL]]&lt;=100000,"Low",Table2[[#This Row],[LIMIT_BAL]]&lt;=300000,"Medium",
TRUE,"High"
)</f>
        <v>Low</v>
      </c>
      <c r="D1446" t="s">
        <v>2042</v>
      </c>
      <c r="E1446" t="s">
        <v>2026</v>
      </c>
      <c r="F1446" t="s">
        <v>2029</v>
      </c>
      <c r="G1446">
        <v>24</v>
      </c>
      <c r="H1446" t="str" cm="1">
        <f t="array" ref="H1446">_xlfn.IFS(
Table2[[#This Row],[AGE]]&lt;30,"Young",
Table2[[#This Row],[AGE]]&lt;40,"Middle Age",
Table2[[#This Row],[AGE]]&lt;50,"Senior",
TRUE,"Super Senior"
)</f>
        <v>Young</v>
      </c>
      <c r="I1446">
        <v>1</v>
      </c>
      <c r="J1446">
        <v>2</v>
      </c>
      <c r="K1446">
        <v>0</v>
      </c>
      <c r="L1446">
        <v>0</v>
      </c>
      <c r="M1446">
        <v>0</v>
      </c>
      <c r="N1446">
        <v>3</v>
      </c>
      <c r="O1446" s="1">
        <v>28926</v>
      </c>
      <c r="P1446" s="1">
        <v>28182</v>
      </c>
      <c r="Q1446" s="1">
        <v>28912</v>
      </c>
      <c r="R1446" s="1">
        <v>29495</v>
      </c>
      <c r="S1446" s="1">
        <v>33011</v>
      </c>
      <c r="T1446" s="1">
        <v>32194</v>
      </c>
      <c r="U1446" s="1">
        <v>0</v>
      </c>
      <c r="V1446" s="1">
        <v>1500</v>
      </c>
      <c r="W1446" s="1">
        <v>1064</v>
      </c>
      <c r="X1446" s="1">
        <v>4000</v>
      </c>
      <c r="Y1446" s="1">
        <v>0</v>
      </c>
      <c r="Z1446" s="1">
        <v>0</v>
      </c>
      <c r="AA1446">
        <v>1</v>
      </c>
      <c r="AB1446" t="str">
        <f t="shared" si="22"/>
        <v>Defaulter</v>
      </c>
      <c r="AC1446" s="1">
        <f>Table2[[#This Row],[BILL_AMT1]]-Table2[[#This Row],[PAY_AMT1]]</f>
        <v>28926</v>
      </c>
      <c r="AD1446" s="1" t="str" cm="1">
        <f t="array" ref="AD1446">_xlfn.IFS(Table2[[#This Row],[PAYMENT GAP]]&lt;=0,"No Gap / Overpaid",Table2[[#This Row],[PAYMENT GAP]]&lt;=25000,"Low Gap",Table2[[#This Row],[PAYMENT GAP]]&lt;=100000,"Medium Gap",
TRUE,"High Gap"
)</f>
        <v>Medium Gap</v>
      </c>
    </row>
    <row r="1447" spans="1:30" x14ac:dyDescent="0.3">
      <c r="A1447">
        <v>1446</v>
      </c>
      <c r="B1447" s="1">
        <v>80000</v>
      </c>
      <c r="C1447" s="1" t="str" cm="1">
        <f t="array" ref="C1447">_xlfn.IFS(Table2[[#This Row],[LIMIT_BAL]]&lt;=100000,"Low",Table2[[#This Row],[LIMIT_BAL]]&lt;=300000,"Medium",
TRUE,"High"
)</f>
        <v>Low</v>
      </c>
      <c r="D1447" t="s">
        <v>2041</v>
      </c>
      <c r="E1447" t="s">
        <v>2043</v>
      </c>
      <c r="F1447" t="s">
        <v>2029</v>
      </c>
      <c r="G1447">
        <v>25</v>
      </c>
      <c r="H1447" t="str" cm="1">
        <f t="array" ref="H1447">_xlfn.IFS(
Table2[[#This Row],[AGE]]&lt;30,"Young",
Table2[[#This Row],[AGE]]&lt;40,"Middle Age",
Table2[[#This Row],[AGE]]&lt;50,"Senior",
TRUE,"Super Senior"
)</f>
        <v>Young</v>
      </c>
      <c r="I1447">
        <v>2</v>
      </c>
      <c r="J1447">
        <v>3</v>
      </c>
      <c r="K1447">
        <v>2</v>
      </c>
      <c r="L1447">
        <v>2</v>
      </c>
      <c r="M1447">
        <v>2</v>
      </c>
      <c r="N1447">
        <v>2</v>
      </c>
      <c r="O1447" s="1">
        <v>69602</v>
      </c>
      <c r="P1447" s="1">
        <v>67930</v>
      </c>
      <c r="Q1447" s="1">
        <v>72205</v>
      </c>
      <c r="R1447" s="1">
        <v>73116</v>
      </c>
      <c r="S1447" s="1">
        <v>74801</v>
      </c>
      <c r="T1447" s="1">
        <v>73444</v>
      </c>
      <c r="U1447" s="1">
        <v>0</v>
      </c>
      <c r="V1447" s="1">
        <v>6000</v>
      </c>
      <c r="W1447" s="1">
        <v>2700</v>
      </c>
      <c r="X1447" s="1">
        <v>3000</v>
      </c>
      <c r="Y1447" s="1">
        <v>0</v>
      </c>
      <c r="Z1447" s="1">
        <v>5300</v>
      </c>
      <c r="AA1447">
        <v>0</v>
      </c>
      <c r="AB1447" t="str">
        <f t="shared" si="22"/>
        <v>Not Defaulter</v>
      </c>
      <c r="AC1447" s="1">
        <f>Table2[[#This Row],[BILL_AMT1]]-Table2[[#This Row],[PAY_AMT1]]</f>
        <v>69602</v>
      </c>
      <c r="AD1447" s="1" t="str" cm="1">
        <f t="array" ref="AD1447">_xlfn.IFS(Table2[[#This Row],[PAYMENT GAP]]&lt;=0,"No Gap / Overpaid",Table2[[#This Row],[PAYMENT GAP]]&lt;=25000,"Low Gap",Table2[[#This Row],[PAYMENT GAP]]&lt;=100000,"Medium Gap",
TRUE,"High Gap"
)</f>
        <v>Medium Gap</v>
      </c>
    </row>
    <row r="1448" spans="1:30" x14ac:dyDescent="0.3">
      <c r="A1448">
        <v>1447</v>
      </c>
      <c r="B1448" s="1">
        <v>210000</v>
      </c>
      <c r="C1448" s="1" t="str" cm="1">
        <f t="array" ref="C1448">_xlfn.IFS(Table2[[#This Row],[LIMIT_BAL]]&lt;=100000,"Low",Table2[[#This Row],[LIMIT_BAL]]&lt;=300000,"Medium",
TRUE,"High"
)</f>
        <v>Medium</v>
      </c>
      <c r="D1448" t="s">
        <v>2041</v>
      </c>
      <c r="E1448" t="s">
        <v>2026</v>
      </c>
      <c r="F1448" t="s">
        <v>2028</v>
      </c>
      <c r="G1448">
        <v>37</v>
      </c>
      <c r="H1448" t="str" cm="1">
        <f t="array" ref="H1448">_xlfn.IFS(
Table2[[#This Row],[AGE]]&lt;30,"Young",
Table2[[#This Row],[AGE]]&lt;40,"Middle Age",
Table2[[#This Row],[AGE]]&lt;50,"Senior",
TRUE,"Super Senior"
)</f>
        <v>Middle Age</v>
      </c>
      <c r="I1448">
        <v>1</v>
      </c>
      <c r="J1448">
        <v>-1</v>
      </c>
      <c r="K1448">
        <v>-1</v>
      </c>
      <c r="L1448">
        <v>-1</v>
      </c>
      <c r="M1448">
        <v>-1</v>
      </c>
      <c r="N1448">
        <v>-1</v>
      </c>
      <c r="O1448" s="1">
        <v>0</v>
      </c>
      <c r="P1448" s="1">
        <v>732</v>
      </c>
      <c r="Q1448" s="1">
        <v>873</v>
      </c>
      <c r="R1448" s="1">
        <v>148</v>
      </c>
      <c r="S1448" s="1">
        <v>129</v>
      </c>
      <c r="T1448" s="1">
        <v>292</v>
      </c>
      <c r="U1448" s="1">
        <v>732</v>
      </c>
      <c r="V1448" s="1">
        <v>873</v>
      </c>
      <c r="W1448" s="1">
        <v>148</v>
      </c>
      <c r="X1448" s="1">
        <v>129</v>
      </c>
      <c r="Y1448" s="1">
        <v>292</v>
      </c>
      <c r="Z1448" s="1">
        <v>0</v>
      </c>
      <c r="AA1448">
        <v>1</v>
      </c>
      <c r="AB1448" t="str">
        <f t="shared" si="22"/>
        <v>Defaulter</v>
      </c>
      <c r="AC1448" s="1">
        <f>Table2[[#This Row],[BILL_AMT1]]-Table2[[#This Row],[PAY_AMT1]]</f>
        <v>-732</v>
      </c>
      <c r="AD1448" s="1" t="str" cm="1">
        <f t="array" ref="AD1448">_xlfn.IFS(Table2[[#This Row],[PAYMENT GAP]]&lt;=0,"No Gap / Overpaid",Table2[[#This Row],[PAYMENT GAP]]&lt;=25000,"Low Gap",Table2[[#This Row],[PAYMENT GAP]]&lt;=100000,"Medium Gap",
TRUE,"High Gap"
)</f>
        <v>No Gap / Overpaid</v>
      </c>
    </row>
    <row r="1449" spans="1:30" x14ac:dyDescent="0.3">
      <c r="A1449">
        <v>1448</v>
      </c>
      <c r="B1449" s="1">
        <v>20000</v>
      </c>
      <c r="C1449" s="1" t="str" cm="1">
        <f t="array" ref="C1449">_xlfn.IFS(Table2[[#This Row],[LIMIT_BAL]]&lt;=100000,"Low",Table2[[#This Row],[LIMIT_BAL]]&lt;=300000,"Medium",
TRUE,"High"
)</f>
        <v>Low</v>
      </c>
      <c r="D1449" t="s">
        <v>2041</v>
      </c>
      <c r="E1449" t="s">
        <v>2043</v>
      </c>
      <c r="F1449" t="s">
        <v>2029</v>
      </c>
      <c r="G1449">
        <v>23</v>
      </c>
      <c r="H1449" t="str" cm="1">
        <f t="array" ref="H1449">_xlfn.IFS(
Table2[[#This Row],[AGE]]&lt;30,"Young",
Table2[[#This Row],[AGE]]&lt;40,"Middle Age",
Table2[[#This Row],[AGE]]&lt;50,"Senior",
TRUE,"Super Senior"
)</f>
        <v>Young</v>
      </c>
      <c r="I1449">
        <v>-1</v>
      </c>
      <c r="J1449">
        <v>-1</v>
      </c>
      <c r="K1449">
        <v>-1</v>
      </c>
      <c r="L1449">
        <v>2</v>
      </c>
      <c r="M1449">
        <v>-1</v>
      </c>
      <c r="N1449">
        <v>-1</v>
      </c>
      <c r="O1449" s="1">
        <v>7186</v>
      </c>
      <c r="P1449" s="1">
        <v>3478</v>
      </c>
      <c r="Q1449" s="1">
        <v>137</v>
      </c>
      <c r="R1449" s="1">
        <v>1714</v>
      </c>
      <c r="S1449" s="1">
        <v>17694</v>
      </c>
      <c r="T1449" s="1">
        <v>12237</v>
      </c>
      <c r="U1449" s="1">
        <v>8060</v>
      </c>
      <c r="V1449" s="1">
        <v>137</v>
      </c>
      <c r="W1449" s="1">
        <v>5199</v>
      </c>
      <c r="X1449" s="1">
        <v>17694</v>
      </c>
      <c r="Y1449" s="1">
        <v>575</v>
      </c>
      <c r="Z1449" s="1">
        <v>0</v>
      </c>
      <c r="AA1449">
        <v>0</v>
      </c>
      <c r="AB1449" t="str">
        <f t="shared" si="22"/>
        <v>Not Defaulter</v>
      </c>
      <c r="AC1449" s="1">
        <f>Table2[[#This Row],[BILL_AMT1]]-Table2[[#This Row],[PAY_AMT1]]</f>
        <v>-874</v>
      </c>
      <c r="AD1449" s="1" t="str" cm="1">
        <f t="array" ref="AD1449">_xlfn.IFS(Table2[[#This Row],[PAYMENT GAP]]&lt;=0,"No Gap / Overpaid",Table2[[#This Row],[PAYMENT GAP]]&lt;=25000,"Low Gap",Table2[[#This Row],[PAYMENT GAP]]&lt;=100000,"Medium Gap",
TRUE,"High Gap"
)</f>
        <v>No Gap / Overpaid</v>
      </c>
    </row>
    <row r="1450" spans="1:30" x14ac:dyDescent="0.3">
      <c r="A1450">
        <v>1449</v>
      </c>
      <c r="B1450" s="1">
        <v>10000</v>
      </c>
      <c r="C1450" s="1" t="str" cm="1">
        <f t="array" ref="C1450">_xlfn.IFS(Table2[[#This Row],[LIMIT_BAL]]&lt;=100000,"Low",Table2[[#This Row],[LIMIT_BAL]]&lt;=300000,"Medium",
TRUE,"High"
)</f>
        <v>Low</v>
      </c>
      <c r="D1450" t="s">
        <v>2042</v>
      </c>
      <c r="E1450" t="s">
        <v>2027</v>
      </c>
      <c r="F1450" t="s">
        <v>2029</v>
      </c>
      <c r="G1450">
        <v>34</v>
      </c>
      <c r="H1450" t="str" cm="1">
        <f t="array" ref="H1450">_xlfn.IFS(
Table2[[#This Row],[AGE]]&lt;30,"Young",
Table2[[#This Row],[AGE]]&lt;40,"Middle Age",
Table2[[#This Row],[AGE]]&lt;50,"Senior",
TRUE,"Super Senior"
)</f>
        <v>Middle Age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 s="1">
        <v>8813</v>
      </c>
      <c r="P1450" s="1">
        <v>8464</v>
      </c>
      <c r="Q1450" s="1">
        <v>9474</v>
      </c>
      <c r="R1450" s="1">
        <v>9716</v>
      </c>
      <c r="S1450" s="1">
        <v>9960</v>
      </c>
      <c r="T1450" s="1">
        <v>10188</v>
      </c>
      <c r="U1450" s="1">
        <v>2148</v>
      </c>
      <c r="V1450" s="1">
        <v>1158</v>
      </c>
      <c r="W1450" s="1">
        <v>400</v>
      </c>
      <c r="X1450" s="1">
        <v>400</v>
      </c>
      <c r="Y1450" s="1">
        <v>400</v>
      </c>
      <c r="Z1450" s="1">
        <v>300</v>
      </c>
      <c r="AA1450">
        <v>0</v>
      </c>
      <c r="AB1450" t="str">
        <f t="shared" si="22"/>
        <v>Not Defaulter</v>
      </c>
      <c r="AC1450" s="1">
        <f>Table2[[#This Row],[BILL_AMT1]]-Table2[[#This Row],[PAY_AMT1]]</f>
        <v>6665</v>
      </c>
      <c r="AD1450" s="1" t="str" cm="1">
        <f t="array" ref="AD1450">_xlfn.IFS(Table2[[#This Row],[PAYMENT GAP]]&lt;=0,"No Gap / Overpaid",Table2[[#This Row],[PAYMENT GAP]]&lt;=25000,"Low Gap",Table2[[#This Row],[PAYMENT GAP]]&lt;=100000,"Medium Gap",
TRUE,"High Gap"
)</f>
        <v>Low Gap</v>
      </c>
    </row>
    <row r="1451" spans="1:30" x14ac:dyDescent="0.3">
      <c r="A1451">
        <v>1450</v>
      </c>
      <c r="B1451" s="1">
        <v>60000</v>
      </c>
      <c r="C1451" s="1" t="str" cm="1">
        <f t="array" ref="C1451">_xlfn.IFS(Table2[[#This Row],[LIMIT_BAL]]&lt;=100000,"Low",Table2[[#This Row],[LIMIT_BAL]]&lt;=300000,"Medium",
TRUE,"High"
)</f>
        <v>Low</v>
      </c>
      <c r="D1451" t="s">
        <v>2041</v>
      </c>
      <c r="E1451" t="s">
        <v>2027</v>
      </c>
      <c r="F1451" t="s">
        <v>2028</v>
      </c>
      <c r="G1451">
        <v>50</v>
      </c>
      <c r="H1451" t="str" cm="1">
        <f t="array" ref="H1451">_xlfn.IFS(
Table2[[#This Row],[AGE]]&lt;30,"Young",
Table2[[#This Row],[AGE]]&lt;40,"Middle Age",
Table2[[#This Row],[AGE]]&lt;50,"Senior",
TRUE,"Super Senior"
)</f>
        <v>Super Senior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 s="1">
        <v>61600</v>
      </c>
      <c r="P1451" s="1">
        <v>61952</v>
      </c>
      <c r="Q1451" s="1">
        <v>60661</v>
      </c>
      <c r="R1451" s="1">
        <v>29095</v>
      </c>
      <c r="S1451" s="1">
        <v>17636</v>
      </c>
      <c r="T1451" s="1">
        <v>31406</v>
      </c>
      <c r="U1451" s="1">
        <v>3300</v>
      </c>
      <c r="V1451" s="1">
        <v>2000</v>
      </c>
      <c r="W1451" s="1">
        <v>900</v>
      </c>
      <c r="X1451" s="1">
        <v>889</v>
      </c>
      <c r="Y1451" s="1">
        <v>21500</v>
      </c>
      <c r="Z1451" s="1">
        <v>3600</v>
      </c>
      <c r="AA1451">
        <v>1</v>
      </c>
      <c r="AB1451" t="str">
        <f t="shared" si="22"/>
        <v>Defaulter</v>
      </c>
      <c r="AC1451" s="1">
        <f>Table2[[#This Row],[BILL_AMT1]]-Table2[[#This Row],[PAY_AMT1]]</f>
        <v>58300</v>
      </c>
      <c r="AD1451" s="1" t="str" cm="1">
        <f t="array" ref="AD1451">_xlfn.IFS(Table2[[#This Row],[PAYMENT GAP]]&lt;=0,"No Gap / Overpaid",Table2[[#This Row],[PAYMENT GAP]]&lt;=25000,"Low Gap",Table2[[#This Row],[PAYMENT GAP]]&lt;=100000,"Medium Gap",
TRUE,"High Gap"
)</f>
        <v>Medium Gap</v>
      </c>
    </row>
    <row r="1452" spans="1:30" x14ac:dyDescent="0.3">
      <c r="A1452">
        <v>1451</v>
      </c>
      <c r="B1452" s="1">
        <v>40000</v>
      </c>
      <c r="C1452" s="1" t="str" cm="1">
        <f t="array" ref="C1452">_xlfn.IFS(Table2[[#This Row],[LIMIT_BAL]]&lt;=100000,"Low",Table2[[#This Row],[LIMIT_BAL]]&lt;=300000,"Medium",
TRUE,"High"
)</f>
        <v>Low</v>
      </c>
      <c r="D1452" t="s">
        <v>2041</v>
      </c>
      <c r="E1452" t="s">
        <v>2043</v>
      </c>
      <c r="F1452" t="s">
        <v>2028</v>
      </c>
      <c r="G1452">
        <v>25</v>
      </c>
      <c r="H1452" t="str" cm="1">
        <f t="array" ref="H1452">_xlfn.IFS(
Table2[[#This Row],[AGE]]&lt;30,"Young",
Table2[[#This Row],[AGE]]&lt;40,"Middle Age",
Table2[[#This Row],[AGE]]&lt;50,"Senior",
TRUE,"Super Senior"
)</f>
        <v>Young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 s="1">
        <v>11273</v>
      </c>
      <c r="P1452" s="1">
        <v>12307</v>
      </c>
      <c r="Q1452" s="1">
        <v>13348</v>
      </c>
      <c r="R1452" s="1">
        <v>13530</v>
      </c>
      <c r="S1452" s="1">
        <v>13811</v>
      </c>
      <c r="T1452" s="1">
        <v>14132</v>
      </c>
      <c r="U1452" s="1">
        <v>1520</v>
      </c>
      <c r="V1452" s="1">
        <v>1550</v>
      </c>
      <c r="W1452" s="1">
        <v>700</v>
      </c>
      <c r="X1452" s="1">
        <v>648</v>
      </c>
      <c r="Y1452" s="1">
        <v>700</v>
      </c>
      <c r="Z1452" s="1">
        <v>700</v>
      </c>
      <c r="AA1452">
        <v>0</v>
      </c>
      <c r="AB1452" t="str">
        <f t="shared" si="22"/>
        <v>Not Defaulter</v>
      </c>
      <c r="AC1452" s="1">
        <f>Table2[[#This Row],[BILL_AMT1]]-Table2[[#This Row],[PAY_AMT1]]</f>
        <v>9753</v>
      </c>
      <c r="AD1452" s="1" t="str" cm="1">
        <f t="array" ref="AD1452">_xlfn.IFS(Table2[[#This Row],[PAYMENT GAP]]&lt;=0,"No Gap / Overpaid",Table2[[#This Row],[PAYMENT GAP]]&lt;=25000,"Low Gap",Table2[[#This Row],[PAYMENT GAP]]&lt;=100000,"Medium Gap",
TRUE,"High Gap"
)</f>
        <v>Low Gap</v>
      </c>
    </row>
    <row r="1453" spans="1:30" x14ac:dyDescent="0.3">
      <c r="A1453">
        <v>1452</v>
      </c>
      <c r="B1453" s="1">
        <v>290000</v>
      </c>
      <c r="C1453" s="1" t="str" cm="1">
        <f t="array" ref="C1453">_xlfn.IFS(Table2[[#This Row],[LIMIT_BAL]]&lt;=100000,"Low",Table2[[#This Row],[LIMIT_BAL]]&lt;=300000,"Medium",
TRUE,"High"
)</f>
        <v>Medium</v>
      </c>
      <c r="D1453" t="s">
        <v>2041</v>
      </c>
      <c r="E1453" t="s">
        <v>2026</v>
      </c>
      <c r="F1453" t="s">
        <v>2029</v>
      </c>
      <c r="G1453">
        <v>33</v>
      </c>
      <c r="H1453" t="str" cm="1">
        <f t="array" ref="H1453">_xlfn.IFS(
Table2[[#This Row],[AGE]]&lt;30,"Young",
Table2[[#This Row],[AGE]]&lt;40,"Middle Age",
Table2[[#This Row],[AGE]]&lt;50,"Senior",
TRUE,"Super Senior"
)</f>
        <v>Middle Age</v>
      </c>
      <c r="I1453">
        <v>-1</v>
      </c>
      <c r="J1453">
        <v>-1</v>
      </c>
      <c r="K1453">
        <v>-1</v>
      </c>
      <c r="L1453">
        <v>-1</v>
      </c>
      <c r="M1453">
        <v>-1</v>
      </c>
      <c r="N1453">
        <v>-1</v>
      </c>
      <c r="O1453" s="1">
        <v>413</v>
      </c>
      <c r="P1453" s="1">
        <v>486</v>
      </c>
      <c r="Q1453" s="1">
        <v>820</v>
      </c>
      <c r="R1453" s="1">
        <v>60</v>
      </c>
      <c r="S1453" s="1">
        <v>1773</v>
      </c>
      <c r="T1453" s="1">
        <v>3904</v>
      </c>
      <c r="U1453" s="1">
        <v>486</v>
      </c>
      <c r="V1453" s="1">
        <v>820</v>
      </c>
      <c r="W1453" s="1">
        <v>60</v>
      </c>
      <c r="X1453" s="1">
        <v>1773</v>
      </c>
      <c r="Y1453" s="1">
        <v>3904</v>
      </c>
      <c r="Z1453" s="1">
        <v>0</v>
      </c>
      <c r="AA1453">
        <v>1</v>
      </c>
      <c r="AB1453" t="str">
        <f t="shared" si="22"/>
        <v>Defaulter</v>
      </c>
      <c r="AC1453" s="1">
        <f>Table2[[#This Row],[BILL_AMT1]]-Table2[[#This Row],[PAY_AMT1]]</f>
        <v>-73</v>
      </c>
      <c r="AD1453" s="1" t="str" cm="1">
        <f t="array" ref="AD1453">_xlfn.IFS(Table2[[#This Row],[PAYMENT GAP]]&lt;=0,"No Gap / Overpaid",Table2[[#This Row],[PAYMENT GAP]]&lt;=25000,"Low Gap",Table2[[#This Row],[PAYMENT GAP]]&lt;=100000,"Medium Gap",
TRUE,"High Gap"
)</f>
        <v>No Gap / Overpaid</v>
      </c>
    </row>
    <row r="1454" spans="1:30" x14ac:dyDescent="0.3">
      <c r="A1454">
        <v>1453</v>
      </c>
      <c r="B1454" s="1">
        <v>50000</v>
      </c>
      <c r="C1454" s="1" t="str" cm="1">
        <f t="array" ref="C1454">_xlfn.IFS(Table2[[#This Row],[LIMIT_BAL]]&lt;=100000,"Low",Table2[[#This Row],[LIMIT_BAL]]&lt;=300000,"Medium",
TRUE,"High"
)</f>
        <v>Low</v>
      </c>
      <c r="D1454" t="s">
        <v>2042</v>
      </c>
      <c r="E1454" t="s">
        <v>2043</v>
      </c>
      <c r="F1454" t="s">
        <v>2028</v>
      </c>
      <c r="G1454">
        <v>54</v>
      </c>
      <c r="H1454" t="str" cm="1">
        <f t="array" ref="H1454">_xlfn.IFS(
Table2[[#This Row],[AGE]]&lt;30,"Young",
Table2[[#This Row],[AGE]]&lt;40,"Middle Age",
Table2[[#This Row],[AGE]]&lt;50,"Senior",
TRUE,"Super Senior"
)</f>
        <v>Super Senior</v>
      </c>
      <c r="I1454">
        <v>-2</v>
      </c>
      <c r="J1454">
        <v>-2</v>
      </c>
      <c r="K1454">
        <v>-2</v>
      </c>
      <c r="L1454">
        <v>-2</v>
      </c>
      <c r="M1454">
        <v>-2</v>
      </c>
      <c r="N1454">
        <v>-2</v>
      </c>
      <c r="O1454" s="1">
        <v>1583</v>
      </c>
      <c r="P1454" s="1">
        <v>2134</v>
      </c>
      <c r="Q1454" s="1">
        <v>0</v>
      </c>
      <c r="R1454" s="1">
        <v>2025</v>
      </c>
      <c r="S1454" s="1">
        <v>0</v>
      </c>
      <c r="T1454" s="1">
        <v>1924</v>
      </c>
      <c r="U1454" s="1">
        <v>2134</v>
      </c>
      <c r="V1454" s="1">
        <v>0</v>
      </c>
      <c r="W1454" s="1">
        <v>2025</v>
      </c>
      <c r="X1454" s="1">
        <v>0</v>
      </c>
      <c r="Y1454" s="1">
        <v>1924</v>
      </c>
      <c r="Z1454" s="1">
        <v>0</v>
      </c>
      <c r="AA1454">
        <v>0</v>
      </c>
      <c r="AB1454" t="str">
        <f t="shared" si="22"/>
        <v>Not Defaulter</v>
      </c>
      <c r="AC1454" s="1">
        <f>Table2[[#This Row],[BILL_AMT1]]-Table2[[#This Row],[PAY_AMT1]]</f>
        <v>-551</v>
      </c>
      <c r="AD1454" s="1" t="str" cm="1">
        <f t="array" ref="AD1454">_xlfn.IFS(Table2[[#This Row],[PAYMENT GAP]]&lt;=0,"No Gap / Overpaid",Table2[[#This Row],[PAYMENT GAP]]&lt;=25000,"Low Gap",Table2[[#This Row],[PAYMENT GAP]]&lt;=100000,"Medium Gap",
TRUE,"High Gap"
)</f>
        <v>No Gap / Overpaid</v>
      </c>
    </row>
    <row r="1455" spans="1:30" x14ac:dyDescent="0.3">
      <c r="A1455">
        <v>1454</v>
      </c>
      <c r="B1455" s="1">
        <v>20000</v>
      </c>
      <c r="C1455" s="1" t="str" cm="1">
        <f t="array" ref="C1455">_xlfn.IFS(Table2[[#This Row],[LIMIT_BAL]]&lt;=100000,"Low",Table2[[#This Row],[LIMIT_BAL]]&lt;=300000,"Medium",
TRUE,"High"
)</f>
        <v>Low</v>
      </c>
      <c r="D1455" t="s">
        <v>2042</v>
      </c>
      <c r="E1455" t="s">
        <v>2043</v>
      </c>
      <c r="F1455" t="s">
        <v>2029</v>
      </c>
      <c r="G1455">
        <v>25</v>
      </c>
      <c r="H1455" t="str" cm="1">
        <f t="array" ref="H1455">_xlfn.IFS(
Table2[[#This Row],[AGE]]&lt;30,"Young",
Table2[[#This Row],[AGE]]&lt;40,"Middle Age",
Table2[[#This Row],[AGE]]&lt;50,"Senior",
TRUE,"Super Senior"
)</f>
        <v>Young</v>
      </c>
      <c r="I1455">
        <v>0</v>
      </c>
      <c r="J1455">
        <v>0</v>
      </c>
      <c r="K1455">
        <v>0</v>
      </c>
      <c r="L1455">
        <v>0</v>
      </c>
      <c r="M1455">
        <v>2</v>
      </c>
      <c r="N1455">
        <v>2</v>
      </c>
      <c r="O1455" s="1">
        <v>17384</v>
      </c>
      <c r="P1455" s="1">
        <v>13648</v>
      </c>
      <c r="Q1455" s="1">
        <v>13924</v>
      </c>
      <c r="R1455" s="1">
        <v>15685</v>
      </c>
      <c r="S1455" s="1">
        <v>15292</v>
      </c>
      <c r="T1455" s="1">
        <v>17524</v>
      </c>
      <c r="U1455" s="1">
        <v>1500</v>
      </c>
      <c r="V1455" s="1">
        <v>1400</v>
      </c>
      <c r="W1455" s="1">
        <v>2000</v>
      </c>
      <c r="X1455" s="1">
        <v>0</v>
      </c>
      <c r="Y1455" s="1">
        <v>2500</v>
      </c>
      <c r="Z1455" s="1">
        <v>0</v>
      </c>
      <c r="AA1455">
        <v>0</v>
      </c>
      <c r="AB1455" t="str">
        <f t="shared" si="22"/>
        <v>Not Defaulter</v>
      </c>
      <c r="AC1455" s="1">
        <f>Table2[[#This Row],[BILL_AMT1]]-Table2[[#This Row],[PAY_AMT1]]</f>
        <v>15884</v>
      </c>
      <c r="AD1455" s="1" t="str" cm="1">
        <f t="array" ref="AD1455">_xlfn.IFS(Table2[[#This Row],[PAYMENT GAP]]&lt;=0,"No Gap / Overpaid",Table2[[#This Row],[PAYMENT GAP]]&lt;=25000,"Low Gap",Table2[[#This Row],[PAYMENT GAP]]&lt;=100000,"Medium Gap",
TRUE,"High Gap"
)</f>
        <v>Low Gap</v>
      </c>
    </row>
    <row r="1456" spans="1:30" x14ac:dyDescent="0.3">
      <c r="A1456">
        <v>1455</v>
      </c>
      <c r="B1456" s="1">
        <v>30000</v>
      </c>
      <c r="C1456" s="1" t="str" cm="1">
        <f t="array" ref="C1456">_xlfn.IFS(Table2[[#This Row],[LIMIT_BAL]]&lt;=100000,"Low",Table2[[#This Row],[LIMIT_BAL]]&lt;=300000,"Medium",
TRUE,"High"
)</f>
        <v>Low</v>
      </c>
      <c r="D1456" t="s">
        <v>2042</v>
      </c>
      <c r="E1456" t="s">
        <v>2043</v>
      </c>
      <c r="F1456" t="s">
        <v>2029</v>
      </c>
      <c r="G1456">
        <v>26</v>
      </c>
      <c r="H1456" t="str" cm="1">
        <f t="array" ref="H1456">_xlfn.IFS(
Table2[[#This Row],[AGE]]&lt;30,"Young",
Table2[[#This Row],[AGE]]&lt;40,"Middle Age",
Table2[[#This Row],[AGE]]&lt;50,"Senior",
TRUE,"Super Senior"
)</f>
        <v>Young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 s="1">
        <v>33195</v>
      </c>
      <c r="P1456" s="1">
        <v>32705</v>
      </c>
      <c r="Q1456" s="1">
        <v>32406</v>
      </c>
      <c r="R1456" s="1">
        <v>32167</v>
      </c>
      <c r="S1456" s="1">
        <v>31728</v>
      </c>
      <c r="T1456" s="1">
        <v>31061</v>
      </c>
      <c r="U1456" s="1">
        <v>1600</v>
      </c>
      <c r="V1456" s="1">
        <v>1500</v>
      </c>
      <c r="W1456" s="1">
        <v>1500</v>
      </c>
      <c r="X1456" s="1">
        <v>1300</v>
      </c>
      <c r="Y1456" s="1">
        <v>1261</v>
      </c>
      <c r="Z1456" s="1">
        <v>1003</v>
      </c>
      <c r="AA1456">
        <v>0</v>
      </c>
      <c r="AB1456" t="str">
        <f t="shared" si="22"/>
        <v>Not Defaulter</v>
      </c>
      <c r="AC1456" s="1">
        <f>Table2[[#This Row],[BILL_AMT1]]-Table2[[#This Row],[PAY_AMT1]]</f>
        <v>31595</v>
      </c>
      <c r="AD1456" s="1" t="str" cm="1">
        <f t="array" ref="AD1456">_xlfn.IFS(Table2[[#This Row],[PAYMENT GAP]]&lt;=0,"No Gap / Overpaid",Table2[[#This Row],[PAYMENT GAP]]&lt;=25000,"Low Gap",Table2[[#This Row],[PAYMENT GAP]]&lt;=100000,"Medium Gap",
TRUE,"High Gap"
)</f>
        <v>Medium Gap</v>
      </c>
    </row>
    <row r="1457" spans="1:30" x14ac:dyDescent="0.3">
      <c r="A1457">
        <v>1456</v>
      </c>
      <c r="B1457" s="1">
        <v>20000</v>
      </c>
      <c r="C1457" s="1" t="str" cm="1">
        <f t="array" ref="C1457">_xlfn.IFS(Table2[[#This Row],[LIMIT_BAL]]&lt;=100000,"Low",Table2[[#This Row],[LIMIT_BAL]]&lt;=300000,"Medium",
TRUE,"High"
)</f>
        <v>Low</v>
      </c>
      <c r="D1457" t="s">
        <v>2042</v>
      </c>
      <c r="E1457" t="s">
        <v>2043</v>
      </c>
      <c r="F1457" t="s">
        <v>2028</v>
      </c>
      <c r="G1457">
        <v>32</v>
      </c>
      <c r="H1457" t="str" cm="1">
        <f t="array" ref="H1457">_xlfn.IFS(
Table2[[#This Row],[AGE]]&lt;30,"Young",
Table2[[#This Row],[AGE]]&lt;40,"Middle Age",
Table2[[#This Row],[AGE]]&lt;50,"Senior",
TRUE,"Super Senior"
)</f>
        <v>Middle Age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2</v>
      </c>
      <c r="O1457" s="1">
        <v>17104</v>
      </c>
      <c r="P1457" s="1">
        <v>18134</v>
      </c>
      <c r="Q1457" s="1">
        <v>19123</v>
      </c>
      <c r="R1457" s="1">
        <v>19351</v>
      </c>
      <c r="S1457" s="1">
        <v>20411</v>
      </c>
      <c r="T1457" s="1">
        <v>19947</v>
      </c>
      <c r="U1457" s="1">
        <v>1613</v>
      </c>
      <c r="V1457" s="1">
        <v>1602</v>
      </c>
      <c r="W1457" s="1">
        <v>830</v>
      </c>
      <c r="X1457" s="1">
        <v>1512</v>
      </c>
      <c r="Y1457" s="1">
        <v>0</v>
      </c>
      <c r="Z1457" s="1">
        <v>545</v>
      </c>
      <c r="AA1457">
        <v>0</v>
      </c>
      <c r="AB1457" t="str">
        <f t="shared" si="22"/>
        <v>Not Defaulter</v>
      </c>
      <c r="AC1457" s="1">
        <f>Table2[[#This Row],[BILL_AMT1]]-Table2[[#This Row],[PAY_AMT1]]</f>
        <v>15491</v>
      </c>
      <c r="AD1457" s="1" t="str" cm="1">
        <f t="array" ref="AD1457">_xlfn.IFS(Table2[[#This Row],[PAYMENT GAP]]&lt;=0,"No Gap / Overpaid",Table2[[#This Row],[PAYMENT GAP]]&lt;=25000,"Low Gap",Table2[[#This Row],[PAYMENT GAP]]&lt;=100000,"Medium Gap",
TRUE,"High Gap"
)</f>
        <v>Low Gap</v>
      </c>
    </row>
    <row r="1458" spans="1:30" x14ac:dyDescent="0.3">
      <c r="A1458">
        <v>1457</v>
      </c>
      <c r="B1458" s="1">
        <v>50000</v>
      </c>
      <c r="C1458" s="1" t="str" cm="1">
        <f t="array" ref="C1458">_xlfn.IFS(Table2[[#This Row],[LIMIT_BAL]]&lt;=100000,"Low",Table2[[#This Row],[LIMIT_BAL]]&lt;=300000,"Medium",
TRUE,"High"
)</f>
        <v>Low</v>
      </c>
      <c r="D1458" t="s">
        <v>2041</v>
      </c>
      <c r="E1458" t="s">
        <v>2027</v>
      </c>
      <c r="F1458" t="s">
        <v>2055</v>
      </c>
      <c r="G1458">
        <v>43</v>
      </c>
      <c r="H1458" t="str" cm="1">
        <f t="array" ref="H1458">_xlfn.IFS(
Table2[[#This Row],[AGE]]&lt;30,"Young",
Table2[[#This Row],[AGE]]&lt;40,"Middle Age",
Table2[[#This Row],[AGE]]&lt;50,"Senior",
TRUE,"Super Senior"
)</f>
        <v>Senior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 s="1">
        <v>24443</v>
      </c>
      <c r="P1458" s="1">
        <v>24391</v>
      </c>
      <c r="Q1458" s="1">
        <v>23595</v>
      </c>
      <c r="R1458" s="1">
        <v>22590</v>
      </c>
      <c r="S1458" s="1">
        <v>21788</v>
      </c>
      <c r="T1458" s="1">
        <v>21949</v>
      </c>
      <c r="U1458" s="1">
        <v>1800</v>
      </c>
      <c r="V1458" s="1">
        <v>1400</v>
      </c>
      <c r="W1458" s="1">
        <v>800</v>
      </c>
      <c r="X1458" s="1">
        <v>1000</v>
      </c>
      <c r="Y1458" s="1">
        <v>900</v>
      </c>
      <c r="Z1458" s="1">
        <v>900</v>
      </c>
      <c r="AA1458">
        <v>0</v>
      </c>
      <c r="AB1458" t="str">
        <f t="shared" si="22"/>
        <v>Not Defaulter</v>
      </c>
      <c r="AC1458" s="1">
        <f>Table2[[#This Row],[BILL_AMT1]]-Table2[[#This Row],[PAY_AMT1]]</f>
        <v>22643</v>
      </c>
      <c r="AD1458" s="1" t="str" cm="1">
        <f t="array" ref="AD1458">_xlfn.IFS(Table2[[#This Row],[PAYMENT GAP]]&lt;=0,"No Gap / Overpaid",Table2[[#This Row],[PAYMENT GAP]]&lt;=25000,"Low Gap",Table2[[#This Row],[PAYMENT GAP]]&lt;=100000,"Medium Gap",
TRUE,"High Gap"
)</f>
        <v>Low Gap</v>
      </c>
    </row>
    <row r="1459" spans="1:30" x14ac:dyDescent="0.3">
      <c r="A1459">
        <v>1458</v>
      </c>
      <c r="B1459" s="1">
        <v>500000</v>
      </c>
      <c r="C1459" s="1" t="str" cm="1">
        <f t="array" ref="C1459">_xlfn.IFS(Table2[[#This Row],[LIMIT_BAL]]&lt;=100000,"Low",Table2[[#This Row],[LIMIT_BAL]]&lt;=300000,"Medium",
TRUE,"High"
)</f>
        <v>High</v>
      </c>
      <c r="D1459" t="s">
        <v>2042</v>
      </c>
      <c r="E1459" t="s">
        <v>2043</v>
      </c>
      <c r="F1459" t="s">
        <v>2028</v>
      </c>
      <c r="G1459">
        <v>42</v>
      </c>
      <c r="H1459" t="str" cm="1">
        <f t="array" ref="H1459">_xlfn.IFS(
Table2[[#This Row],[AGE]]&lt;30,"Young",
Table2[[#This Row],[AGE]]&lt;40,"Middle Age",
Table2[[#This Row],[AGE]]&lt;50,"Senior",
TRUE,"Super Senior"
)</f>
        <v>Senior</v>
      </c>
      <c r="I1459">
        <v>1</v>
      </c>
      <c r="J1459">
        <v>-1</v>
      </c>
      <c r="K1459">
        <v>2</v>
      </c>
      <c r="L1459">
        <v>2</v>
      </c>
      <c r="M1459">
        <v>0</v>
      </c>
      <c r="N1459">
        <v>0</v>
      </c>
      <c r="O1459" s="1">
        <v>-984</v>
      </c>
      <c r="P1459" s="1">
        <v>3516</v>
      </c>
      <c r="Q1459" s="1">
        <v>1924</v>
      </c>
      <c r="R1459" s="1">
        <v>1924</v>
      </c>
      <c r="S1459" s="1">
        <v>8924</v>
      </c>
      <c r="T1459" s="1">
        <v>6729</v>
      </c>
      <c r="U1459" s="1">
        <v>4500</v>
      </c>
      <c r="V1459" s="1">
        <v>0</v>
      </c>
      <c r="W1459" s="1">
        <v>0</v>
      </c>
      <c r="X1459" s="1">
        <v>7000</v>
      </c>
      <c r="Y1459" s="1">
        <v>36</v>
      </c>
      <c r="Z1459" s="1">
        <v>532</v>
      </c>
      <c r="AA1459">
        <v>1</v>
      </c>
      <c r="AB1459" t="str">
        <f t="shared" si="22"/>
        <v>Defaulter</v>
      </c>
      <c r="AC1459" s="1">
        <f>Table2[[#This Row],[BILL_AMT1]]-Table2[[#This Row],[PAY_AMT1]]</f>
        <v>-5484</v>
      </c>
      <c r="AD1459" s="1" t="str" cm="1">
        <f t="array" ref="AD1459">_xlfn.IFS(Table2[[#This Row],[PAYMENT GAP]]&lt;=0,"No Gap / Overpaid",Table2[[#This Row],[PAYMENT GAP]]&lt;=25000,"Low Gap",Table2[[#This Row],[PAYMENT GAP]]&lt;=100000,"Medium Gap",
TRUE,"High Gap"
)</f>
        <v>No Gap / Overpaid</v>
      </c>
    </row>
    <row r="1460" spans="1:30" x14ac:dyDescent="0.3">
      <c r="A1460">
        <v>1459</v>
      </c>
      <c r="B1460" s="1">
        <v>90000</v>
      </c>
      <c r="C1460" s="1" t="str" cm="1">
        <f t="array" ref="C1460">_xlfn.IFS(Table2[[#This Row],[LIMIT_BAL]]&lt;=100000,"Low",Table2[[#This Row],[LIMIT_BAL]]&lt;=300000,"Medium",
TRUE,"High"
)</f>
        <v>Low</v>
      </c>
      <c r="D1460" t="s">
        <v>2041</v>
      </c>
      <c r="E1460" t="s">
        <v>2027</v>
      </c>
      <c r="F1460" t="s">
        <v>2029</v>
      </c>
      <c r="G1460">
        <v>24</v>
      </c>
      <c r="H1460" t="str" cm="1">
        <f t="array" ref="H1460">_xlfn.IFS(
Table2[[#This Row],[AGE]]&lt;30,"Young",
Table2[[#This Row],[AGE]]&lt;40,"Middle Age",
Table2[[#This Row],[AGE]]&lt;50,"Senior",
TRUE,"Super Senior"
)</f>
        <v>Young</v>
      </c>
      <c r="I1460">
        <v>-1</v>
      </c>
      <c r="J1460">
        <v>-1</v>
      </c>
      <c r="K1460">
        <v>-1</v>
      </c>
      <c r="L1460">
        <v>-1</v>
      </c>
      <c r="M1460">
        <v>-1</v>
      </c>
      <c r="N1460">
        <v>-2</v>
      </c>
      <c r="O1460" s="1">
        <v>595</v>
      </c>
      <c r="P1460" s="1">
        <v>207</v>
      </c>
      <c r="Q1460" s="1">
        <v>18189</v>
      </c>
      <c r="R1460" s="1">
        <v>557</v>
      </c>
      <c r="S1460" s="1">
        <v>0</v>
      </c>
      <c r="T1460" s="1">
        <v>0</v>
      </c>
      <c r="U1460" s="1">
        <v>207</v>
      </c>
      <c r="V1460" s="1">
        <v>18281</v>
      </c>
      <c r="W1460" s="1">
        <v>557</v>
      </c>
      <c r="X1460" s="1">
        <v>0</v>
      </c>
      <c r="Y1460" s="1">
        <v>0</v>
      </c>
      <c r="Z1460" s="1">
        <v>0</v>
      </c>
      <c r="AA1460">
        <v>1</v>
      </c>
      <c r="AB1460" t="str">
        <f t="shared" si="22"/>
        <v>Defaulter</v>
      </c>
      <c r="AC1460" s="1">
        <f>Table2[[#This Row],[BILL_AMT1]]-Table2[[#This Row],[PAY_AMT1]]</f>
        <v>388</v>
      </c>
      <c r="AD1460" s="1" t="str" cm="1">
        <f t="array" ref="AD1460">_xlfn.IFS(Table2[[#This Row],[PAYMENT GAP]]&lt;=0,"No Gap / Overpaid",Table2[[#This Row],[PAYMENT GAP]]&lt;=25000,"Low Gap",Table2[[#This Row],[PAYMENT GAP]]&lt;=100000,"Medium Gap",
TRUE,"High Gap"
)</f>
        <v>Low Gap</v>
      </c>
    </row>
    <row r="1461" spans="1:30" x14ac:dyDescent="0.3">
      <c r="A1461">
        <v>1460</v>
      </c>
      <c r="B1461" s="1">
        <v>10000</v>
      </c>
      <c r="C1461" s="1" t="str" cm="1">
        <f t="array" ref="C1461">_xlfn.IFS(Table2[[#This Row],[LIMIT_BAL]]&lt;=100000,"Low",Table2[[#This Row],[LIMIT_BAL]]&lt;=300000,"Medium",
TRUE,"High"
)</f>
        <v>Low</v>
      </c>
      <c r="D1461" t="s">
        <v>2042</v>
      </c>
      <c r="E1461" t="s">
        <v>2043</v>
      </c>
      <c r="F1461" t="s">
        <v>2029</v>
      </c>
      <c r="G1461">
        <v>26</v>
      </c>
      <c r="H1461" t="str" cm="1">
        <f t="array" ref="H1461">_xlfn.IFS(
Table2[[#This Row],[AGE]]&lt;30,"Young",
Table2[[#This Row],[AGE]]&lt;40,"Middle Age",
Table2[[#This Row],[AGE]]&lt;50,"Senior",
TRUE,"Super Senior"
)</f>
        <v>Young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 s="1">
        <v>15147</v>
      </c>
      <c r="P1461" s="1">
        <v>6641</v>
      </c>
      <c r="Q1461" s="1">
        <v>15318</v>
      </c>
      <c r="R1461" s="1">
        <v>8610</v>
      </c>
      <c r="S1461" s="1">
        <v>8790</v>
      </c>
      <c r="T1461" s="1">
        <v>8963</v>
      </c>
      <c r="U1461" s="1">
        <v>2234</v>
      </c>
      <c r="V1461" s="1">
        <v>1135</v>
      </c>
      <c r="W1461" s="1">
        <v>1086</v>
      </c>
      <c r="X1461" s="1">
        <v>319</v>
      </c>
      <c r="Y1461" s="1">
        <v>319</v>
      </c>
      <c r="Z1461" s="1">
        <v>180</v>
      </c>
      <c r="AA1461">
        <v>0</v>
      </c>
      <c r="AB1461" t="str">
        <f t="shared" si="22"/>
        <v>Not Defaulter</v>
      </c>
      <c r="AC1461" s="1">
        <f>Table2[[#This Row],[BILL_AMT1]]-Table2[[#This Row],[PAY_AMT1]]</f>
        <v>12913</v>
      </c>
      <c r="AD1461" s="1" t="str" cm="1">
        <f t="array" ref="AD1461">_xlfn.IFS(Table2[[#This Row],[PAYMENT GAP]]&lt;=0,"No Gap / Overpaid",Table2[[#This Row],[PAYMENT GAP]]&lt;=25000,"Low Gap",Table2[[#This Row],[PAYMENT GAP]]&lt;=100000,"Medium Gap",
TRUE,"High Gap"
)</f>
        <v>Low Gap</v>
      </c>
    </row>
    <row r="1462" spans="1:30" x14ac:dyDescent="0.3">
      <c r="A1462">
        <v>1461</v>
      </c>
      <c r="B1462" s="1">
        <v>50000</v>
      </c>
      <c r="C1462" s="1" t="str" cm="1">
        <f t="array" ref="C1462">_xlfn.IFS(Table2[[#This Row],[LIMIT_BAL]]&lt;=100000,"Low",Table2[[#This Row],[LIMIT_BAL]]&lt;=300000,"Medium",
TRUE,"High"
)</f>
        <v>Low</v>
      </c>
      <c r="D1462" t="s">
        <v>2041</v>
      </c>
      <c r="E1462" t="s">
        <v>2043</v>
      </c>
      <c r="F1462" t="s">
        <v>2028</v>
      </c>
      <c r="G1462">
        <v>37</v>
      </c>
      <c r="H1462" t="str" cm="1">
        <f t="array" ref="H1462">_xlfn.IFS(
Table2[[#This Row],[AGE]]&lt;30,"Young",
Table2[[#This Row],[AGE]]&lt;40,"Middle Age",
Table2[[#This Row],[AGE]]&lt;50,"Senior",
TRUE,"Super Senior"
)</f>
        <v>Middle Age</v>
      </c>
      <c r="I1462">
        <v>2</v>
      </c>
      <c r="J1462">
        <v>2</v>
      </c>
      <c r="K1462">
        <v>3</v>
      </c>
      <c r="L1462">
        <v>3</v>
      </c>
      <c r="M1462">
        <v>3</v>
      </c>
      <c r="N1462">
        <v>3</v>
      </c>
      <c r="O1462" s="1">
        <v>1050</v>
      </c>
      <c r="P1462" s="1">
        <v>1050</v>
      </c>
      <c r="Q1462" s="1">
        <v>1050</v>
      </c>
      <c r="R1462" s="1">
        <v>1050</v>
      </c>
      <c r="S1462" s="1">
        <v>1050</v>
      </c>
      <c r="T1462" s="1">
        <v>1050</v>
      </c>
      <c r="U1462" s="1">
        <v>0</v>
      </c>
      <c r="V1462" s="1">
        <v>0</v>
      </c>
      <c r="W1462" s="1">
        <v>0</v>
      </c>
      <c r="X1462" s="1">
        <v>0</v>
      </c>
      <c r="Y1462" s="1">
        <v>0</v>
      </c>
      <c r="Z1462" s="1">
        <v>0</v>
      </c>
      <c r="AA1462">
        <v>1</v>
      </c>
      <c r="AB1462" t="str">
        <f t="shared" si="22"/>
        <v>Defaulter</v>
      </c>
      <c r="AC1462" s="1">
        <f>Table2[[#This Row],[BILL_AMT1]]-Table2[[#This Row],[PAY_AMT1]]</f>
        <v>1050</v>
      </c>
      <c r="AD1462" s="1" t="str" cm="1">
        <f t="array" ref="AD1462">_xlfn.IFS(Table2[[#This Row],[PAYMENT GAP]]&lt;=0,"No Gap / Overpaid",Table2[[#This Row],[PAYMENT GAP]]&lt;=25000,"Low Gap",Table2[[#This Row],[PAYMENT GAP]]&lt;=100000,"Medium Gap",
TRUE,"High Gap"
)</f>
        <v>Low Gap</v>
      </c>
    </row>
    <row r="1463" spans="1:30" x14ac:dyDescent="0.3">
      <c r="A1463">
        <v>1462</v>
      </c>
      <c r="B1463" s="1">
        <v>120000</v>
      </c>
      <c r="C1463" s="1" t="str" cm="1">
        <f t="array" ref="C1463">_xlfn.IFS(Table2[[#This Row],[LIMIT_BAL]]&lt;=100000,"Low",Table2[[#This Row],[LIMIT_BAL]]&lt;=300000,"Medium",
TRUE,"High"
)</f>
        <v>Medium</v>
      </c>
      <c r="D1463" t="s">
        <v>2042</v>
      </c>
      <c r="E1463" t="s">
        <v>2026</v>
      </c>
      <c r="F1463" t="s">
        <v>2029</v>
      </c>
      <c r="G1463">
        <v>36</v>
      </c>
      <c r="H1463" t="str" cm="1">
        <f t="array" ref="H1463">_xlfn.IFS(
Table2[[#This Row],[AGE]]&lt;30,"Young",
Table2[[#This Row],[AGE]]&lt;40,"Middle Age",
Table2[[#This Row],[AGE]]&lt;50,"Senior",
TRUE,"Super Senior"
)</f>
        <v>Middle Age</v>
      </c>
      <c r="I1463">
        <v>0</v>
      </c>
      <c r="J1463">
        <v>0</v>
      </c>
      <c r="K1463">
        <v>2</v>
      </c>
      <c r="L1463">
        <v>0</v>
      </c>
      <c r="M1463">
        <v>0</v>
      </c>
      <c r="N1463">
        <v>2</v>
      </c>
      <c r="O1463" s="1">
        <v>24466</v>
      </c>
      <c r="P1463" s="1">
        <v>28255</v>
      </c>
      <c r="Q1463" s="1">
        <v>27507</v>
      </c>
      <c r="R1463" s="1">
        <v>27952</v>
      </c>
      <c r="S1463" s="1">
        <v>31136</v>
      </c>
      <c r="T1463" s="1">
        <v>30486</v>
      </c>
      <c r="U1463" s="1">
        <v>4500</v>
      </c>
      <c r="V1463" s="1">
        <v>0</v>
      </c>
      <c r="W1463" s="1">
        <v>1200</v>
      </c>
      <c r="X1463" s="1">
        <v>3800</v>
      </c>
      <c r="Y1463" s="1">
        <v>0</v>
      </c>
      <c r="Z1463" s="1">
        <v>1500</v>
      </c>
      <c r="AA1463">
        <v>0</v>
      </c>
      <c r="AB1463" t="str">
        <f t="shared" si="22"/>
        <v>Not Defaulter</v>
      </c>
      <c r="AC1463" s="1">
        <f>Table2[[#This Row],[BILL_AMT1]]-Table2[[#This Row],[PAY_AMT1]]</f>
        <v>19966</v>
      </c>
      <c r="AD1463" s="1" t="str" cm="1">
        <f t="array" ref="AD1463">_xlfn.IFS(Table2[[#This Row],[PAYMENT GAP]]&lt;=0,"No Gap / Overpaid",Table2[[#This Row],[PAYMENT GAP]]&lt;=25000,"Low Gap",Table2[[#This Row],[PAYMENT GAP]]&lt;=100000,"Medium Gap",
TRUE,"High Gap"
)</f>
        <v>Low Gap</v>
      </c>
    </row>
    <row r="1464" spans="1:30" x14ac:dyDescent="0.3">
      <c r="A1464">
        <v>1463</v>
      </c>
      <c r="B1464" s="1">
        <v>200000</v>
      </c>
      <c r="C1464" s="1" t="str" cm="1">
        <f t="array" ref="C1464">_xlfn.IFS(Table2[[#This Row],[LIMIT_BAL]]&lt;=100000,"Low",Table2[[#This Row],[LIMIT_BAL]]&lt;=300000,"Medium",
TRUE,"High"
)</f>
        <v>Medium</v>
      </c>
      <c r="D1464" t="s">
        <v>2041</v>
      </c>
      <c r="E1464" t="s">
        <v>2026</v>
      </c>
      <c r="F1464" t="s">
        <v>2029</v>
      </c>
      <c r="G1464">
        <v>27</v>
      </c>
      <c r="H1464" t="str" cm="1">
        <f t="array" ref="H1464">_xlfn.IFS(
Table2[[#This Row],[AGE]]&lt;30,"Young",
Table2[[#This Row],[AGE]]&lt;40,"Middle Age",
Table2[[#This Row],[AGE]]&lt;50,"Senior",
TRUE,"Super Senior"
)</f>
        <v>Young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 s="1">
        <v>157607</v>
      </c>
      <c r="P1464" s="1">
        <v>155693</v>
      </c>
      <c r="Q1464" s="1">
        <v>155290</v>
      </c>
      <c r="R1464" s="1">
        <v>147604</v>
      </c>
      <c r="S1464" s="1">
        <v>146719</v>
      </c>
      <c r="T1464" s="1">
        <v>143317</v>
      </c>
      <c r="U1464" s="1">
        <v>7194</v>
      </c>
      <c r="V1464" s="1">
        <v>6760</v>
      </c>
      <c r="W1464" s="1">
        <v>5018</v>
      </c>
      <c r="X1464" s="1">
        <v>5370</v>
      </c>
      <c r="Y1464" s="1">
        <v>5294</v>
      </c>
      <c r="Z1464" s="1">
        <v>5300</v>
      </c>
      <c r="AA1464">
        <v>0</v>
      </c>
      <c r="AB1464" t="str">
        <f t="shared" si="22"/>
        <v>Not Defaulter</v>
      </c>
      <c r="AC1464" s="1">
        <f>Table2[[#This Row],[BILL_AMT1]]-Table2[[#This Row],[PAY_AMT1]]</f>
        <v>150413</v>
      </c>
      <c r="AD1464" s="1" t="str" cm="1">
        <f t="array" ref="AD1464">_xlfn.IFS(Table2[[#This Row],[PAYMENT GAP]]&lt;=0,"No Gap / Overpaid",Table2[[#This Row],[PAYMENT GAP]]&lt;=25000,"Low Gap",Table2[[#This Row],[PAYMENT GAP]]&lt;=100000,"Medium Gap",
TRUE,"High Gap"
)</f>
        <v>High Gap</v>
      </c>
    </row>
    <row r="1465" spans="1:30" x14ac:dyDescent="0.3">
      <c r="A1465">
        <v>1464</v>
      </c>
      <c r="B1465" s="1">
        <v>300000</v>
      </c>
      <c r="C1465" s="1" t="str" cm="1">
        <f t="array" ref="C1465">_xlfn.IFS(Table2[[#This Row],[LIMIT_BAL]]&lt;=100000,"Low",Table2[[#This Row],[LIMIT_BAL]]&lt;=300000,"Medium",
TRUE,"High"
)</f>
        <v>Medium</v>
      </c>
      <c r="D1465" t="s">
        <v>2041</v>
      </c>
      <c r="E1465" t="s">
        <v>2043</v>
      </c>
      <c r="F1465" t="s">
        <v>2028</v>
      </c>
      <c r="G1465">
        <v>50</v>
      </c>
      <c r="H1465" t="str" cm="1">
        <f t="array" ref="H1465">_xlfn.IFS(
Table2[[#This Row],[AGE]]&lt;30,"Young",
Table2[[#This Row],[AGE]]&lt;40,"Middle Age",
Table2[[#This Row],[AGE]]&lt;50,"Senior",
TRUE,"Super Senior"
)</f>
        <v>Super Senior</v>
      </c>
      <c r="I1465">
        <v>-1</v>
      </c>
      <c r="J1465">
        <v>-1</v>
      </c>
      <c r="K1465">
        <v>-1</v>
      </c>
      <c r="L1465">
        <v>0</v>
      </c>
      <c r="M1465">
        <v>0</v>
      </c>
      <c r="N1465">
        <v>0</v>
      </c>
      <c r="O1465" s="1">
        <v>8924</v>
      </c>
      <c r="P1465" s="1">
        <v>3131</v>
      </c>
      <c r="Q1465" s="1">
        <v>117497</v>
      </c>
      <c r="R1465" s="1">
        <v>110680</v>
      </c>
      <c r="S1465" s="1">
        <v>104016</v>
      </c>
      <c r="T1465" s="1">
        <v>109839</v>
      </c>
      <c r="U1465" s="1">
        <v>3131</v>
      </c>
      <c r="V1465" s="1">
        <v>121715</v>
      </c>
      <c r="W1465" s="1">
        <v>4000</v>
      </c>
      <c r="X1465" s="1">
        <v>5000</v>
      </c>
      <c r="Y1465" s="1">
        <v>9000</v>
      </c>
      <c r="Z1465" s="1">
        <v>5000</v>
      </c>
      <c r="AA1465">
        <v>0</v>
      </c>
      <c r="AB1465" t="str">
        <f t="shared" si="22"/>
        <v>Not Defaulter</v>
      </c>
      <c r="AC1465" s="1">
        <f>Table2[[#This Row],[BILL_AMT1]]-Table2[[#This Row],[PAY_AMT1]]</f>
        <v>5793</v>
      </c>
      <c r="AD1465" s="1" t="str" cm="1">
        <f t="array" ref="AD1465">_xlfn.IFS(Table2[[#This Row],[PAYMENT GAP]]&lt;=0,"No Gap / Overpaid",Table2[[#This Row],[PAYMENT GAP]]&lt;=25000,"Low Gap",Table2[[#This Row],[PAYMENT GAP]]&lt;=100000,"Medium Gap",
TRUE,"High Gap"
)</f>
        <v>Low Gap</v>
      </c>
    </row>
    <row r="1466" spans="1:30" x14ac:dyDescent="0.3">
      <c r="A1466">
        <v>1465</v>
      </c>
      <c r="B1466" s="1">
        <v>90000</v>
      </c>
      <c r="C1466" s="1" t="str" cm="1">
        <f t="array" ref="C1466">_xlfn.IFS(Table2[[#This Row],[LIMIT_BAL]]&lt;=100000,"Low",Table2[[#This Row],[LIMIT_BAL]]&lt;=300000,"Medium",
TRUE,"High"
)</f>
        <v>Low</v>
      </c>
      <c r="D1466" t="s">
        <v>2041</v>
      </c>
      <c r="E1466" t="s">
        <v>2043</v>
      </c>
      <c r="F1466" t="s">
        <v>2029</v>
      </c>
      <c r="G1466">
        <v>24</v>
      </c>
      <c r="H1466" t="str" cm="1">
        <f t="array" ref="H1466">_xlfn.IFS(
Table2[[#This Row],[AGE]]&lt;30,"Young",
Table2[[#This Row],[AGE]]&lt;40,"Middle Age",
Table2[[#This Row],[AGE]]&lt;50,"Senior",
TRUE,"Super Senior"
)</f>
        <v>Young</v>
      </c>
      <c r="I1466">
        <v>-1</v>
      </c>
      <c r="J1466">
        <v>0</v>
      </c>
      <c r="K1466">
        <v>0</v>
      </c>
      <c r="L1466">
        <v>0</v>
      </c>
      <c r="M1466">
        <v>0</v>
      </c>
      <c r="N1466">
        <v>0</v>
      </c>
      <c r="O1466" s="1">
        <v>17524</v>
      </c>
      <c r="P1466" s="1">
        <v>22184</v>
      </c>
      <c r="Q1466" s="1">
        <v>23270</v>
      </c>
      <c r="R1466" s="1">
        <v>27372</v>
      </c>
      <c r="S1466" s="1">
        <v>31905</v>
      </c>
      <c r="T1466" s="1">
        <v>34954</v>
      </c>
      <c r="U1466" s="1">
        <v>5000</v>
      </c>
      <c r="V1466" s="1">
        <v>5000</v>
      </c>
      <c r="W1466" s="1">
        <v>5000</v>
      </c>
      <c r="X1466" s="1">
        <v>5000</v>
      </c>
      <c r="Y1466" s="1">
        <v>3600</v>
      </c>
      <c r="Z1466" s="1">
        <v>2000</v>
      </c>
      <c r="AA1466">
        <v>0</v>
      </c>
      <c r="AB1466" t="str">
        <f t="shared" si="22"/>
        <v>Not Defaulter</v>
      </c>
      <c r="AC1466" s="1">
        <f>Table2[[#This Row],[BILL_AMT1]]-Table2[[#This Row],[PAY_AMT1]]</f>
        <v>12524</v>
      </c>
      <c r="AD1466" s="1" t="str" cm="1">
        <f t="array" ref="AD1466">_xlfn.IFS(Table2[[#This Row],[PAYMENT GAP]]&lt;=0,"No Gap / Overpaid",Table2[[#This Row],[PAYMENT GAP]]&lt;=25000,"Low Gap",Table2[[#This Row],[PAYMENT GAP]]&lt;=100000,"Medium Gap",
TRUE,"High Gap"
)</f>
        <v>Low Gap</v>
      </c>
    </row>
    <row r="1467" spans="1:30" x14ac:dyDescent="0.3">
      <c r="A1467">
        <v>1466</v>
      </c>
      <c r="B1467" s="1">
        <v>90000</v>
      </c>
      <c r="C1467" s="1" t="str" cm="1">
        <f t="array" ref="C1467">_xlfn.IFS(Table2[[#This Row],[LIMIT_BAL]]&lt;=100000,"Low",Table2[[#This Row],[LIMIT_BAL]]&lt;=300000,"Medium",
TRUE,"High"
)</f>
        <v>Low</v>
      </c>
      <c r="D1467" t="s">
        <v>2042</v>
      </c>
      <c r="E1467" t="s">
        <v>2043</v>
      </c>
      <c r="F1467" t="s">
        <v>2028</v>
      </c>
      <c r="G1467">
        <v>27</v>
      </c>
      <c r="H1467" t="str" cm="1">
        <f t="array" ref="H1467">_xlfn.IFS(
Table2[[#This Row],[AGE]]&lt;30,"Young",
Table2[[#This Row],[AGE]]&lt;40,"Middle Age",
Table2[[#This Row],[AGE]]&lt;50,"Senior",
TRUE,"Super Senior"
)</f>
        <v>Young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 s="1">
        <v>70482</v>
      </c>
      <c r="P1467" s="1">
        <v>70591</v>
      </c>
      <c r="Q1467" s="1">
        <v>64926</v>
      </c>
      <c r="R1467" s="1">
        <v>59949</v>
      </c>
      <c r="S1467" s="1">
        <v>54029</v>
      </c>
      <c r="T1467" s="1">
        <v>48170</v>
      </c>
      <c r="U1467" s="1">
        <v>2580</v>
      </c>
      <c r="V1467" s="1">
        <v>2337</v>
      </c>
      <c r="W1467" s="1">
        <v>1634</v>
      </c>
      <c r="X1467" s="1">
        <v>1606</v>
      </c>
      <c r="Y1467" s="1">
        <v>1371</v>
      </c>
      <c r="Z1467" s="1">
        <v>620</v>
      </c>
      <c r="AA1467">
        <v>0</v>
      </c>
      <c r="AB1467" t="str">
        <f t="shared" si="22"/>
        <v>Not Defaulter</v>
      </c>
      <c r="AC1467" s="1">
        <f>Table2[[#This Row],[BILL_AMT1]]-Table2[[#This Row],[PAY_AMT1]]</f>
        <v>67902</v>
      </c>
      <c r="AD1467" s="1" t="str" cm="1">
        <f t="array" ref="AD1467">_xlfn.IFS(Table2[[#This Row],[PAYMENT GAP]]&lt;=0,"No Gap / Overpaid",Table2[[#This Row],[PAYMENT GAP]]&lt;=25000,"Low Gap",Table2[[#This Row],[PAYMENT GAP]]&lt;=100000,"Medium Gap",
TRUE,"High Gap"
)</f>
        <v>Medium Gap</v>
      </c>
    </row>
    <row r="1468" spans="1:30" x14ac:dyDescent="0.3">
      <c r="A1468">
        <v>1467</v>
      </c>
      <c r="B1468" s="1">
        <v>140000</v>
      </c>
      <c r="C1468" s="1" t="str" cm="1">
        <f t="array" ref="C1468">_xlfn.IFS(Table2[[#This Row],[LIMIT_BAL]]&lt;=100000,"Low",Table2[[#This Row],[LIMIT_BAL]]&lt;=300000,"Medium",
TRUE,"High"
)</f>
        <v>Medium</v>
      </c>
      <c r="D1468" t="s">
        <v>2041</v>
      </c>
      <c r="E1468" t="s">
        <v>2026</v>
      </c>
      <c r="F1468" t="s">
        <v>2029</v>
      </c>
      <c r="G1468">
        <v>23</v>
      </c>
      <c r="H1468" t="str" cm="1">
        <f t="array" ref="H1468">_xlfn.IFS(
Table2[[#This Row],[AGE]]&lt;30,"Young",
Table2[[#This Row],[AGE]]&lt;40,"Middle Age",
Table2[[#This Row],[AGE]]&lt;50,"Senior",
TRUE,"Super Senior"
)</f>
        <v>Young</v>
      </c>
      <c r="I1468">
        <v>1</v>
      </c>
      <c r="J1468">
        <v>-2</v>
      </c>
      <c r="K1468">
        <v>-2</v>
      </c>
      <c r="L1468">
        <v>-2</v>
      </c>
      <c r="M1468">
        <v>-2</v>
      </c>
      <c r="N1468">
        <v>-2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1">
        <v>0</v>
      </c>
      <c r="Y1468" s="1">
        <v>0</v>
      </c>
      <c r="Z1468" s="1">
        <v>0</v>
      </c>
      <c r="AA1468">
        <v>1</v>
      </c>
      <c r="AB1468" t="str">
        <f t="shared" si="22"/>
        <v>Defaulter</v>
      </c>
      <c r="AC1468" s="1">
        <f>Table2[[#This Row],[BILL_AMT1]]-Table2[[#This Row],[PAY_AMT1]]</f>
        <v>0</v>
      </c>
      <c r="AD1468" s="1" t="str" cm="1">
        <f t="array" ref="AD1468">_xlfn.IFS(Table2[[#This Row],[PAYMENT GAP]]&lt;=0,"No Gap / Overpaid",Table2[[#This Row],[PAYMENT GAP]]&lt;=25000,"Low Gap",Table2[[#This Row],[PAYMENT GAP]]&lt;=100000,"Medium Gap",
TRUE,"High Gap"
)</f>
        <v>No Gap / Overpaid</v>
      </c>
    </row>
    <row r="1469" spans="1:30" x14ac:dyDescent="0.3">
      <c r="A1469">
        <v>1468</v>
      </c>
      <c r="B1469" s="1">
        <v>180000</v>
      </c>
      <c r="C1469" s="1" t="str" cm="1">
        <f t="array" ref="C1469">_xlfn.IFS(Table2[[#This Row],[LIMIT_BAL]]&lt;=100000,"Low",Table2[[#This Row],[LIMIT_BAL]]&lt;=300000,"Medium",
TRUE,"High"
)</f>
        <v>Medium</v>
      </c>
      <c r="D1469" t="s">
        <v>2041</v>
      </c>
      <c r="E1469" t="s">
        <v>2043</v>
      </c>
      <c r="F1469" t="s">
        <v>2028</v>
      </c>
      <c r="G1469">
        <v>39</v>
      </c>
      <c r="H1469" t="str" cm="1">
        <f t="array" ref="H1469">_xlfn.IFS(
Table2[[#This Row],[AGE]]&lt;30,"Young",
Table2[[#This Row],[AGE]]&lt;40,"Middle Age",
Table2[[#This Row],[AGE]]&lt;50,"Senior",
TRUE,"Super Senior"
)</f>
        <v>Middle Age</v>
      </c>
      <c r="I1469">
        <v>-1</v>
      </c>
      <c r="J1469">
        <v>-1</v>
      </c>
      <c r="K1469">
        <v>-1</v>
      </c>
      <c r="L1469">
        <v>-1</v>
      </c>
      <c r="M1469">
        <v>0</v>
      </c>
      <c r="N1469">
        <v>-1</v>
      </c>
      <c r="O1469" s="1">
        <v>1081</v>
      </c>
      <c r="P1469" s="1">
        <v>148</v>
      </c>
      <c r="Q1469" s="1">
        <v>148</v>
      </c>
      <c r="R1469" s="1">
        <v>296</v>
      </c>
      <c r="S1469" s="1">
        <v>148</v>
      </c>
      <c r="T1469" s="1">
        <v>148</v>
      </c>
      <c r="U1469" s="1">
        <v>148</v>
      </c>
      <c r="V1469" s="1">
        <v>148</v>
      </c>
      <c r="W1469" s="1">
        <v>296</v>
      </c>
      <c r="X1469" s="1">
        <v>0</v>
      </c>
      <c r="Y1469" s="1">
        <v>148</v>
      </c>
      <c r="Z1469" s="1">
        <v>1495</v>
      </c>
      <c r="AA1469">
        <v>0</v>
      </c>
      <c r="AB1469" t="str">
        <f t="shared" si="22"/>
        <v>Not Defaulter</v>
      </c>
      <c r="AC1469" s="1">
        <f>Table2[[#This Row],[BILL_AMT1]]-Table2[[#This Row],[PAY_AMT1]]</f>
        <v>933</v>
      </c>
      <c r="AD1469" s="1" t="str" cm="1">
        <f t="array" ref="AD1469">_xlfn.IFS(Table2[[#This Row],[PAYMENT GAP]]&lt;=0,"No Gap / Overpaid",Table2[[#This Row],[PAYMENT GAP]]&lt;=25000,"Low Gap",Table2[[#This Row],[PAYMENT GAP]]&lt;=100000,"Medium Gap",
TRUE,"High Gap"
)</f>
        <v>Low Gap</v>
      </c>
    </row>
    <row r="1470" spans="1:30" x14ac:dyDescent="0.3">
      <c r="A1470">
        <v>1469</v>
      </c>
      <c r="B1470" s="1">
        <v>360000</v>
      </c>
      <c r="C1470" s="1" t="str" cm="1">
        <f t="array" ref="C1470">_xlfn.IFS(Table2[[#This Row],[LIMIT_BAL]]&lt;=100000,"Low",Table2[[#This Row],[LIMIT_BAL]]&lt;=300000,"Medium",
TRUE,"High"
)</f>
        <v>High</v>
      </c>
      <c r="D1470" t="s">
        <v>2042</v>
      </c>
      <c r="E1470" t="s">
        <v>2026</v>
      </c>
      <c r="F1470" t="s">
        <v>2028</v>
      </c>
      <c r="G1470">
        <v>39</v>
      </c>
      <c r="H1470" t="str" cm="1">
        <f t="array" ref="H1470">_xlfn.IFS(
Table2[[#This Row],[AGE]]&lt;30,"Young",
Table2[[#This Row],[AGE]]&lt;40,"Middle Age",
Table2[[#This Row],[AGE]]&lt;50,"Senior",
TRUE,"Super Senior"
)</f>
        <v>Middle Age</v>
      </c>
      <c r="I1470">
        <v>-1</v>
      </c>
      <c r="J1470">
        <v>-1</v>
      </c>
      <c r="K1470">
        <v>-1</v>
      </c>
      <c r="L1470">
        <v>-2</v>
      </c>
      <c r="M1470">
        <v>-2</v>
      </c>
      <c r="N1470">
        <v>-2</v>
      </c>
      <c r="O1470" s="1">
        <v>1761</v>
      </c>
      <c r="P1470" s="1">
        <v>2560</v>
      </c>
      <c r="Q1470" s="1">
        <v>0</v>
      </c>
      <c r="R1470" s="1">
        <v>0</v>
      </c>
      <c r="S1470" s="1">
        <v>0</v>
      </c>
      <c r="T1470" s="1">
        <v>0</v>
      </c>
      <c r="U1470" s="1">
        <v>2816</v>
      </c>
      <c r="V1470" s="1">
        <v>0</v>
      </c>
      <c r="W1470" s="1">
        <v>0</v>
      </c>
      <c r="X1470" s="1">
        <v>0</v>
      </c>
      <c r="Y1470" s="1">
        <v>0</v>
      </c>
      <c r="Z1470" s="1">
        <v>2456</v>
      </c>
      <c r="AA1470">
        <v>0</v>
      </c>
      <c r="AB1470" t="str">
        <f t="shared" si="22"/>
        <v>Not Defaulter</v>
      </c>
      <c r="AC1470" s="1">
        <f>Table2[[#This Row],[BILL_AMT1]]-Table2[[#This Row],[PAY_AMT1]]</f>
        <v>-1055</v>
      </c>
      <c r="AD1470" s="1" t="str" cm="1">
        <f t="array" ref="AD1470">_xlfn.IFS(Table2[[#This Row],[PAYMENT GAP]]&lt;=0,"No Gap / Overpaid",Table2[[#This Row],[PAYMENT GAP]]&lt;=25000,"Low Gap",Table2[[#This Row],[PAYMENT GAP]]&lt;=100000,"Medium Gap",
TRUE,"High Gap"
)</f>
        <v>No Gap / Overpaid</v>
      </c>
    </row>
    <row r="1471" spans="1:30" x14ac:dyDescent="0.3">
      <c r="A1471">
        <v>1470</v>
      </c>
      <c r="B1471" s="1">
        <v>160000</v>
      </c>
      <c r="C1471" s="1" t="str" cm="1">
        <f t="array" ref="C1471">_xlfn.IFS(Table2[[#This Row],[LIMIT_BAL]]&lt;=100000,"Low",Table2[[#This Row],[LIMIT_BAL]]&lt;=300000,"Medium",
TRUE,"High"
)</f>
        <v>Medium</v>
      </c>
      <c r="D1471" t="s">
        <v>2041</v>
      </c>
      <c r="E1471" t="s">
        <v>2027</v>
      </c>
      <c r="F1471" t="s">
        <v>2029</v>
      </c>
      <c r="G1471">
        <v>29</v>
      </c>
      <c r="H1471" t="str" cm="1">
        <f t="array" ref="H1471">_xlfn.IFS(
Table2[[#This Row],[AGE]]&lt;30,"Young",
Table2[[#This Row],[AGE]]&lt;40,"Middle Age",
Table2[[#This Row],[AGE]]&lt;50,"Senior",
TRUE,"Super Senior"
)</f>
        <v>Young</v>
      </c>
      <c r="I1471">
        <v>1</v>
      </c>
      <c r="J1471">
        <v>-2</v>
      </c>
      <c r="K1471">
        <v>-2</v>
      </c>
      <c r="L1471">
        <v>-2</v>
      </c>
      <c r="M1471">
        <v>-2</v>
      </c>
      <c r="N1471">
        <v>-2</v>
      </c>
      <c r="O1471" s="1">
        <v>0</v>
      </c>
      <c r="P1471" s="1">
        <v>0</v>
      </c>
      <c r="Q1471" s="1">
        <v>4150</v>
      </c>
      <c r="R1471" s="1">
        <v>2065</v>
      </c>
      <c r="S1471" s="1">
        <v>0</v>
      </c>
      <c r="T1471" s="1">
        <v>500</v>
      </c>
      <c r="U1471" s="1">
        <v>0</v>
      </c>
      <c r="V1471" s="1">
        <v>4150</v>
      </c>
      <c r="W1471" s="1">
        <v>2065</v>
      </c>
      <c r="X1471" s="1">
        <v>0</v>
      </c>
      <c r="Y1471" s="1">
        <v>500</v>
      </c>
      <c r="Z1471" s="1">
        <v>0</v>
      </c>
      <c r="AA1471">
        <v>1</v>
      </c>
      <c r="AB1471" t="str">
        <f t="shared" si="22"/>
        <v>Defaulter</v>
      </c>
      <c r="AC1471" s="1">
        <f>Table2[[#This Row],[BILL_AMT1]]-Table2[[#This Row],[PAY_AMT1]]</f>
        <v>0</v>
      </c>
      <c r="AD1471" s="1" t="str" cm="1">
        <f t="array" ref="AD1471">_xlfn.IFS(Table2[[#This Row],[PAYMENT GAP]]&lt;=0,"No Gap / Overpaid",Table2[[#This Row],[PAYMENT GAP]]&lt;=25000,"Low Gap",Table2[[#This Row],[PAYMENT GAP]]&lt;=100000,"Medium Gap",
TRUE,"High Gap"
)</f>
        <v>No Gap / Overpaid</v>
      </c>
    </row>
    <row r="1472" spans="1:30" x14ac:dyDescent="0.3">
      <c r="A1472">
        <v>1471</v>
      </c>
      <c r="B1472" s="1">
        <v>100000</v>
      </c>
      <c r="C1472" s="1" t="str" cm="1">
        <f t="array" ref="C1472">_xlfn.IFS(Table2[[#This Row],[LIMIT_BAL]]&lt;=100000,"Low",Table2[[#This Row],[LIMIT_BAL]]&lt;=300000,"Medium",
TRUE,"High"
)</f>
        <v>Low</v>
      </c>
      <c r="D1472" t="s">
        <v>2042</v>
      </c>
      <c r="E1472" t="s">
        <v>2026</v>
      </c>
      <c r="F1472" t="s">
        <v>2028</v>
      </c>
      <c r="G1472">
        <v>45</v>
      </c>
      <c r="H1472" t="str" cm="1">
        <f t="array" ref="H1472">_xlfn.IFS(
Table2[[#This Row],[AGE]]&lt;30,"Young",
Table2[[#This Row],[AGE]]&lt;40,"Middle Age",
Table2[[#This Row],[AGE]]&lt;50,"Senior",
TRUE,"Super Senior"
)</f>
        <v>Senior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 s="1">
        <v>10529</v>
      </c>
      <c r="P1472" s="1">
        <v>12723</v>
      </c>
      <c r="Q1472" s="1">
        <v>15807</v>
      </c>
      <c r="R1472" s="1">
        <v>18901</v>
      </c>
      <c r="S1472" s="1">
        <v>21794</v>
      </c>
      <c r="T1472" s="1">
        <v>25051</v>
      </c>
      <c r="U1472" s="1">
        <v>2688</v>
      </c>
      <c r="V1472" s="1">
        <v>3688</v>
      </c>
      <c r="W1472" s="1">
        <v>3288</v>
      </c>
      <c r="X1472" s="1">
        <v>3288</v>
      </c>
      <c r="Y1472" s="1">
        <v>3688</v>
      </c>
      <c r="Z1472" s="1">
        <v>0</v>
      </c>
      <c r="AA1472">
        <v>0</v>
      </c>
      <c r="AB1472" t="str">
        <f t="shared" si="22"/>
        <v>Not Defaulter</v>
      </c>
      <c r="AC1472" s="1">
        <f>Table2[[#This Row],[BILL_AMT1]]-Table2[[#This Row],[PAY_AMT1]]</f>
        <v>7841</v>
      </c>
      <c r="AD1472" s="1" t="str" cm="1">
        <f t="array" ref="AD1472">_xlfn.IFS(Table2[[#This Row],[PAYMENT GAP]]&lt;=0,"No Gap / Overpaid",Table2[[#This Row],[PAYMENT GAP]]&lt;=25000,"Low Gap",Table2[[#This Row],[PAYMENT GAP]]&lt;=100000,"Medium Gap",
TRUE,"High Gap"
)</f>
        <v>Low Gap</v>
      </c>
    </row>
    <row r="1473" spans="1:30" x14ac:dyDescent="0.3">
      <c r="A1473">
        <v>1472</v>
      </c>
      <c r="B1473" s="1">
        <v>20000</v>
      </c>
      <c r="C1473" s="1" t="str" cm="1">
        <f t="array" ref="C1473">_xlfn.IFS(Table2[[#This Row],[LIMIT_BAL]]&lt;=100000,"Low",Table2[[#This Row],[LIMIT_BAL]]&lt;=300000,"Medium",
TRUE,"High"
)</f>
        <v>Low</v>
      </c>
      <c r="D1473" t="s">
        <v>2042</v>
      </c>
      <c r="E1473" t="s">
        <v>2043</v>
      </c>
      <c r="F1473" t="s">
        <v>2029</v>
      </c>
      <c r="G1473">
        <v>21</v>
      </c>
      <c r="H1473" t="str" cm="1">
        <f t="array" ref="H1473">_xlfn.IFS(
Table2[[#This Row],[AGE]]&lt;30,"Young",
Table2[[#This Row],[AGE]]&lt;40,"Middle Age",
Table2[[#This Row],[AGE]]&lt;50,"Senior",
TRUE,"Super Senior"
)</f>
        <v>Young</v>
      </c>
      <c r="I1473">
        <v>0</v>
      </c>
      <c r="J1473">
        <v>0</v>
      </c>
      <c r="K1473">
        <v>2</v>
      </c>
      <c r="L1473">
        <v>0</v>
      </c>
      <c r="M1473">
        <v>0</v>
      </c>
      <c r="N1473">
        <v>-2</v>
      </c>
      <c r="O1473" s="1">
        <v>19277</v>
      </c>
      <c r="P1473" s="1">
        <v>20997</v>
      </c>
      <c r="Q1473" s="1">
        <v>20200</v>
      </c>
      <c r="R1473" s="1">
        <v>20000</v>
      </c>
      <c r="S1473" s="1">
        <v>0</v>
      </c>
      <c r="T1473" s="1">
        <v>0</v>
      </c>
      <c r="U1473" s="1">
        <v>5000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>
        <v>1</v>
      </c>
      <c r="AB1473" t="str">
        <f t="shared" si="22"/>
        <v>Defaulter</v>
      </c>
      <c r="AC1473" s="1">
        <f>Table2[[#This Row],[BILL_AMT1]]-Table2[[#This Row],[PAY_AMT1]]</f>
        <v>14277</v>
      </c>
      <c r="AD1473" s="1" t="str" cm="1">
        <f t="array" ref="AD1473">_xlfn.IFS(Table2[[#This Row],[PAYMENT GAP]]&lt;=0,"No Gap / Overpaid",Table2[[#This Row],[PAYMENT GAP]]&lt;=25000,"Low Gap",Table2[[#This Row],[PAYMENT GAP]]&lt;=100000,"Medium Gap",
TRUE,"High Gap"
)</f>
        <v>Low Gap</v>
      </c>
    </row>
    <row r="1474" spans="1:30" x14ac:dyDescent="0.3">
      <c r="A1474">
        <v>1473</v>
      </c>
      <c r="B1474" s="1">
        <v>360000</v>
      </c>
      <c r="C1474" s="1" t="str" cm="1">
        <f t="array" ref="C1474">_xlfn.IFS(Table2[[#This Row],[LIMIT_BAL]]&lt;=100000,"Low",Table2[[#This Row],[LIMIT_BAL]]&lt;=300000,"Medium",
TRUE,"High"
)</f>
        <v>High</v>
      </c>
      <c r="D1474" t="s">
        <v>2042</v>
      </c>
      <c r="E1474" t="s">
        <v>2026</v>
      </c>
      <c r="F1474" t="s">
        <v>2028</v>
      </c>
      <c r="G1474">
        <v>36</v>
      </c>
      <c r="H1474" t="str" cm="1">
        <f t="array" ref="H1474">_xlfn.IFS(
Table2[[#This Row],[AGE]]&lt;30,"Young",
Table2[[#This Row],[AGE]]&lt;40,"Middle Age",
Table2[[#This Row],[AGE]]&lt;50,"Senior",
TRUE,"Super Senior"
)</f>
        <v>Middle Age</v>
      </c>
      <c r="I1474">
        <v>0</v>
      </c>
      <c r="J1474">
        <v>0</v>
      </c>
      <c r="K1474">
        <v>-1</v>
      </c>
      <c r="L1474">
        <v>0</v>
      </c>
      <c r="M1474">
        <v>0</v>
      </c>
      <c r="N1474">
        <v>0</v>
      </c>
      <c r="O1474" s="1">
        <v>40434</v>
      </c>
      <c r="P1474" s="1">
        <v>13352</v>
      </c>
      <c r="Q1474" s="1">
        <v>129978</v>
      </c>
      <c r="R1474" s="1">
        <v>150637</v>
      </c>
      <c r="S1474" s="1">
        <v>138969</v>
      </c>
      <c r="T1474" s="1">
        <v>132118</v>
      </c>
      <c r="U1474" s="1">
        <v>2000</v>
      </c>
      <c r="V1474" s="1">
        <v>129990</v>
      </c>
      <c r="W1474" s="1">
        <v>30000</v>
      </c>
      <c r="X1474" s="1">
        <v>25000</v>
      </c>
      <c r="Y1474" s="1">
        <v>5000</v>
      </c>
      <c r="Z1474" s="1">
        <v>3000</v>
      </c>
      <c r="AA1474">
        <v>0</v>
      </c>
      <c r="AB1474" t="str">
        <f t="shared" si="22"/>
        <v>Not Defaulter</v>
      </c>
      <c r="AC1474" s="1">
        <f>Table2[[#This Row],[BILL_AMT1]]-Table2[[#This Row],[PAY_AMT1]]</f>
        <v>38434</v>
      </c>
      <c r="AD1474" s="1" t="str" cm="1">
        <f t="array" ref="AD1474">_xlfn.IFS(Table2[[#This Row],[PAYMENT GAP]]&lt;=0,"No Gap / Overpaid",Table2[[#This Row],[PAYMENT GAP]]&lt;=25000,"Low Gap",Table2[[#This Row],[PAYMENT GAP]]&lt;=100000,"Medium Gap",
TRUE,"High Gap"
)</f>
        <v>Medium Gap</v>
      </c>
    </row>
    <row r="1475" spans="1:30" x14ac:dyDescent="0.3">
      <c r="A1475">
        <v>1474</v>
      </c>
      <c r="B1475" s="1">
        <v>230000</v>
      </c>
      <c r="C1475" s="1" t="str" cm="1">
        <f t="array" ref="C1475">_xlfn.IFS(Table2[[#This Row],[LIMIT_BAL]]&lt;=100000,"Low",Table2[[#This Row],[LIMIT_BAL]]&lt;=300000,"Medium",
TRUE,"High"
)</f>
        <v>Medium</v>
      </c>
      <c r="D1475" t="s">
        <v>2042</v>
      </c>
      <c r="E1475" t="s">
        <v>2043</v>
      </c>
      <c r="F1475" t="s">
        <v>2029</v>
      </c>
      <c r="G1475">
        <v>39</v>
      </c>
      <c r="H1475" t="str" cm="1">
        <f t="array" ref="H1475">_xlfn.IFS(
Table2[[#This Row],[AGE]]&lt;30,"Young",
Table2[[#This Row],[AGE]]&lt;40,"Middle Age",
Table2[[#This Row],[AGE]]&lt;50,"Senior",
TRUE,"Super Senior"
)</f>
        <v>Middle Age</v>
      </c>
      <c r="I1475">
        <v>-1</v>
      </c>
      <c r="J1475">
        <v>-1</v>
      </c>
      <c r="K1475">
        <v>-1</v>
      </c>
      <c r="L1475">
        <v>-1</v>
      </c>
      <c r="M1475">
        <v>-1</v>
      </c>
      <c r="N1475">
        <v>-1</v>
      </c>
      <c r="O1475" s="1">
        <v>326</v>
      </c>
      <c r="P1475" s="1">
        <v>326</v>
      </c>
      <c r="Q1475" s="1">
        <v>326</v>
      </c>
      <c r="R1475" s="1">
        <v>326</v>
      </c>
      <c r="S1475" s="1">
        <v>326</v>
      </c>
      <c r="T1475" s="1">
        <v>326</v>
      </c>
      <c r="U1475" s="1">
        <v>652</v>
      </c>
      <c r="V1475" s="1">
        <v>326</v>
      </c>
      <c r="W1475" s="1">
        <v>326</v>
      </c>
      <c r="X1475" s="1">
        <v>326</v>
      </c>
      <c r="Y1475" s="1">
        <v>326</v>
      </c>
      <c r="Z1475" s="1">
        <v>326</v>
      </c>
      <c r="AA1475">
        <v>0</v>
      </c>
      <c r="AB1475" t="str">
        <f t="shared" ref="AB1475:AB1538" si="23">IF(AA1475=1,"Defaulter","Not Defaulter")</f>
        <v>Not Defaulter</v>
      </c>
      <c r="AC1475" s="1">
        <f>Table2[[#This Row],[BILL_AMT1]]-Table2[[#This Row],[PAY_AMT1]]</f>
        <v>-326</v>
      </c>
      <c r="AD1475" s="1" t="str" cm="1">
        <f t="array" ref="AD1475">_xlfn.IFS(Table2[[#This Row],[PAYMENT GAP]]&lt;=0,"No Gap / Overpaid",Table2[[#This Row],[PAYMENT GAP]]&lt;=25000,"Low Gap",Table2[[#This Row],[PAYMENT GAP]]&lt;=100000,"Medium Gap",
TRUE,"High Gap"
)</f>
        <v>No Gap / Overpaid</v>
      </c>
    </row>
    <row r="1476" spans="1:30" x14ac:dyDescent="0.3">
      <c r="A1476">
        <v>1475</v>
      </c>
      <c r="B1476" s="1">
        <v>110000</v>
      </c>
      <c r="C1476" s="1" t="str" cm="1">
        <f t="array" ref="C1476">_xlfn.IFS(Table2[[#This Row],[LIMIT_BAL]]&lt;=100000,"Low",Table2[[#This Row],[LIMIT_BAL]]&lt;=300000,"Medium",
TRUE,"High"
)</f>
        <v>Medium</v>
      </c>
      <c r="D1476" t="s">
        <v>2041</v>
      </c>
      <c r="E1476" t="s">
        <v>2027</v>
      </c>
      <c r="F1476" t="s">
        <v>2029</v>
      </c>
      <c r="G1476">
        <v>29</v>
      </c>
      <c r="H1476" t="str" cm="1">
        <f t="array" ref="H1476">_xlfn.IFS(
Table2[[#This Row],[AGE]]&lt;30,"Young",
Table2[[#This Row],[AGE]]&lt;40,"Middle Age",
Table2[[#This Row],[AGE]]&lt;50,"Senior",
TRUE,"Super Senior"
)</f>
        <v>Young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 s="1">
        <v>101006</v>
      </c>
      <c r="P1476" s="1">
        <v>104474</v>
      </c>
      <c r="Q1476" s="1">
        <v>106332</v>
      </c>
      <c r="R1476" s="1">
        <v>106906</v>
      </c>
      <c r="S1476" s="1">
        <v>108952</v>
      </c>
      <c r="T1476" s="1">
        <v>110444</v>
      </c>
      <c r="U1476" s="1">
        <v>5300</v>
      </c>
      <c r="V1476" s="1">
        <v>5300</v>
      </c>
      <c r="W1476" s="1">
        <v>4000</v>
      </c>
      <c r="X1476" s="1">
        <v>4100</v>
      </c>
      <c r="Y1476" s="1">
        <v>4631</v>
      </c>
      <c r="Z1476" s="1">
        <v>4404</v>
      </c>
      <c r="AA1476">
        <v>1</v>
      </c>
      <c r="AB1476" t="str">
        <f t="shared" si="23"/>
        <v>Defaulter</v>
      </c>
      <c r="AC1476" s="1">
        <f>Table2[[#This Row],[BILL_AMT1]]-Table2[[#This Row],[PAY_AMT1]]</f>
        <v>95706</v>
      </c>
      <c r="AD1476" s="1" t="str" cm="1">
        <f t="array" ref="AD1476">_xlfn.IFS(Table2[[#This Row],[PAYMENT GAP]]&lt;=0,"No Gap / Overpaid",Table2[[#This Row],[PAYMENT GAP]]&lt;=25000,"Low Gap",Table2[[#This Row],[PAYMENT GAP]]&lt;=100000,"Medium Gap",
TRUE,"High Gap"
)</f>
        <v>Medium Gap</v>
      </c>
    </row>
    <row r="1477" spans="1:30" x14ac:dyDescent="0.3">
      <c r="A1477">
        <v>1476</v>
      </c>
      <c r="B1477" s="1">
        <v>210000</v>
      </c>
      <c r="C1477" s="1" t="str" cm="1">
        <f t="array" ref="C1477">_xlfn.IFS(Table2[[#This Row],[LIMIT_BAL]]&lt;=100000,"Low",Table2[[#This Row],[LIMIT_BAL]]&lt;=300000,"Medium",
TRUE,"High"
)</f>
        <v>Medium</v>
      </c>
      <c r="D1477" t="s">
        <v>2042</v>
      </c>
      <c r="E1477" t="s">
        <v>2043</v>
      </c>
      <c r="F1477" t="s">
        <v>2029</v>
      </c>
      <c r="G1477">
        <v>37</v>
      </c>
      <c r="H1477" t="str" cm="1">
        <f t="array" ref="H1477">_xlfn.IFS(
Table2[[#This Row],[AGE]]&lt;30,"Young",
Table2[[#This Row],[AGE]]&lt;40,"Middle Age",
Table2[[#This Row],[AGE]]&lt;50,"Senior",
TRUE,"Super Senior"
)</f>
        <v>Middle Age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 s="1">
        <v>142149</v>
      </c>
      <c r="P1477" s="1">
        <v>139025</v>
      </c>
      <c r="Q1477" s="1">
        <v>50283</v>
      </c>
      <c r="R1477" s="1">
        <v>159231</v>
      </c>
      <c r="S1477" s="1">
        <v>155342</v>
      </c>
      <c r="T1477" s="1">
        <v>156769</v>
      </c>
      <c r="U1477" s="1">
        <v>6534</v>
      </c>
      <c r="V1477" s="1">
        <v>3069</v>
      </c>
      <c r="W1477" s="1">
        <v>110017</v>
      </c>
      <c r="X1477" s="1">
        <v>5496</v>
      </c>
      <c r="Y1477" s="1">
        <v>6307</v>
      </c>
      <c r="Z1477" s="1">
        <v>5376</v>
      </c>
      <c r="AA1477">
        <v>0</v>
      </c>
      <c r="AB1477" t="str">
        <f t="shared" si="23"/>
        <v>Not Defaulter</v>
      </c>
      <c r="AC1477" s="1">
        <f>Table2[[#This Row],[BILL_AMT1]]-Table2[[#This Row],[PAY_AMT1]]</f>
        <v>135615</v>
      </c>
      <c r="AD1477" s="1" t="str" cm="1">
        <f t="array" ref="AD1477">_xlfn.IFS(Table2[[#This Row],[PAYMENT GAP]]&lt;=0,"No Gap / Overpaid",Table2[[#This Row],[PAYMENT GAP]]&lt;=25000,"Low Gap",Table2[[#This Row],[PAYMENT GAP]]&lt;=100000,"Medium Gap",
TRUE,"High Gap"
)</f>
        <v>High Gap</v>
      </c>
    </row>
    <row r="1478" spans="1:30" x14ac:dyDescent="0.3">
      <c r="A1478">
        <v>1477</v>
      </c>
      <c r="B1478" s="1">
        <v>200000</v>
      </c>
      <c r="C1478" s="1" t="str" cm="1">
        <f t="array" ref="C1478">_xlfn.IFS(Table2[[#This Row],[LIMIT_BAL]]&lt;=100000,"Low",Table2[[#This Row],[LIMIT_BAL]]&lt;=300000,"Medium",
TRUE,"High"
)</f>
        <v>Medium</v>
      </c>
      <c r="D1478" t="s">
        <v>2042</v>
      </c>
      <c r="E1478" t="s">
        <v>2043</v>
      </c>
      <c r="F1478" t="s">
        <v>2029</v>
      </c>
      <c r="G1478">
        <v>26</v>
      </c>
      <c r="H1478" t="str" cm="1">
        <f t="array" ref="H1478">_xlfn.IFS(
Table2[[#This Row],[AGE]]&lt;30,"Young",
Table2[[#This Row],[AGE]]&lt;40,"Middle Age",
Table2[[#This Row],[AGE]]&lt;50,"Senior",
TRUE,"Super Senior"
)</f>
        <v>Young</v>
      </c>
      <c r="I1478">
        <v>-1</v>
      </c>
      <c r="J1478">
        <v>-1</v>
      </c>
      <c r="K1478">
        <v>0</v>
      </c>
      <c r="L1478">
        <v>0</v>
      </c>
      <c r="M1478">
        <v>0</v>
      </c>
      <c r="N1478">
        <v>0</v>
      </c>
      <c r="O1478" s="1">
        <v>1747</v>
      </c>
      <c r="P1478" s="1">
        <v>11817</v>
      </c>
      <c r="Q1478" s="1">
        <v>14225</v>
      </c>
      <c r="R1478" s="1">
        <v>16017</v>
      </c>
      <c r="S1478" s="1">
        <v>12613</v>
      </c>
      <c r="T1478" s="1">
        <v>6600</v>
      </c>
      <c r="U1478" s="1">
        <v>12957</v>
      </c>
      <c r="V1478" s="1">
        <v>3884</v>
      </c>
      <c r="W1478" s="1">
        <v>5010</v>
      </c>
      <c r="X1478" s="1">
        <v>700</v>
      </c>
      <c r="Y1478" s="1">
        <v>360</v>
      </c>
      <c r="Z1478" s="1">
        <v>1713</v>
      </c>
      <c r="AA1478">
        <v>0</v>
      </c>
      <c r="AB1478" t="str">
        <f t="shared" si="23"/>
        <v>Not Defaulter</v>
      </c>
      <c r="AC1478" s="1">
        <f>Table2[[#This Row],[BILL_AMT1]]-Table2[[#This Row],[PAY_AMT1]]</f>
        <v>-11210</v>
      </c>
      <c r="AD1478" s="1" t="str" cm="1">
        <f t="array" ref="AD1478">_xlfn.IFS(Table2[[#This Row],[PAYMENT GAP]]&lt;=0,"No Gap / Overpaid",Table2[[#This Row],[PAYMENT GAP]]&lt;=25000,"Low Gap",Table2[[#This Row],[PAYMENT GAP]]&lt;=100000,"Medium Gap",
TRUE,"High Gap"
)</f>
        <v>No Gap / Overpaid</v>
      </c>
    </row>
    <row r="1479" spans="1:30" x14ac:dyDescent="0.3">
      <c r="A1479">
        <v>1478</v>
      </c>
      <c r="B1479" s="1">
        <v>50000</v>
      </c>
      <c r="C1479" s="1" t="str" cm="1">
        <f t="array" ref="C1479">_xlfn.IFS(Table2[[#This Row],[LIMIT_BAL]]&lt;=100000,"Low",Table2[[#This Row],[LIMIT_BAL]]&lt;=300000,"Medium",
TRUE,"High"
)</f>
        <v>Low</v>
      </c>
      <c r="D1479" t="s">
        <v>2042</v>
      </c>
      <c r="E1479" t="s">
        <v>2043</v>
      </c>
      <c r="F1479" t="s">
        <v>2029</v>
      </c>
      <c r="G1479">
        <v>44</v>
      </c>
      <c r="H1479" t="str" cm="1">
        <f t="array" ref="H1479">_xlfn.IFS(
Table2[[#This Row],[AGE]]&lt;30,"Young",
Table2[[#This Row],[AGE]]&lt;40,"Middle Age",
Table2[[#This Row],[AGE]]&lt;50,"Senior",
TRUE,"Super Senior"
)</f>
        <v>Senior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 s="1">
        <v>27560</v>
      </c>
      <c r="P1479" s="1">
        <v>19002</v>
      </c>
      <c r="Q1479" s="1">
        <v>8542</v>
      </c>
      <c r="R1479" s="1">
        <v>8711</v>
      </c>
      <c r="S1479" s="1">
        <v>8893</v>
      </c>
      <c r="T1479" s="1">
        <v>9070</v>
      </c>
      <c r="U1479" s="1">
        <v>1159</v>
      </c>
      <c r="V1479" s="1">
        <v>1142</v>
      </c>
      <c r="W1479" s="1">
        <v>311</v>
      </c>
      <c r="X1479" s="1">
        <v>322</v>
      </c>
      <c r="Y1479" s="1">
        <v>324</v>
      </c>
      <c r="Z1479" s="1">
        <v>335</v>
      </c>
      <c r="AA1479">
        <v>0</v>
      </c>
      <c r="AB1479" t="str">
        <f t="shared" si="23"/>
        <v>Not Defaulter</v>
      </c>
      <c r="AC1479" s="1">
        <f>Table2[[#This Row],[BILL_AMT1]]-Table2[[#This Row],[PAY_AMT1]]</f>
        <v>26401</v>
      </c>
      <c r="AD1479" s="1" t="str" cm="1">
        <f t="array" ref="AD1479">_xlfn.IFS(Table2[[#This Row],[PAYMENT GAP]]&lt;=0,"No Gap / Overpaid",Table2[[#This Row],[PAYMENT GAP]]&lt;=25000,"Low Gap",Table2[[#This Row],[PAYMENT GAP]]&lt;=100000,"Medium Gap",
TRUE,"High Gap"
)</f>
        <v>Medium Gap</v>
      </c>
    </row>
    <row r="1480" spans="1:30" x14ac:dyDescent="0.3">
      <c r="A1480">
        <v>1479</v>
      </c>
      <c r="B1480" s="1">
        <v>210000</v>
      </c>
      <c r="C1480" s="1" t="str" cm="1">
        <f t="array" ref="C1480">_xlfn.IFS(Table2[[#This Row],[LIMIT_BAL]]&lt;=100000,"Low",Table2[[#This Row],[LIMIT_BAL]]&lt;=300000,"Medium",
TRUE,"High"
)</f>
        <v>Medium</v>
      </c>
      <c r="D1480" t="s">
        <v>2041</v>
      </c>
      <c r="E1480" t="s">
        <v>2026</v>
      </c>
      <c r="F1480" t="s">
        <v>2029</v>
      </c>
      <c r="G1480">
        <v>30</v>
      </c>
      <c r="H1480" t="str" cm="1">
        <f t="array" ref="H1480">_xlfn.IFS(
Table2[[#This Row],[AGE]]&lt;30,"Young",
Table2[[#This Row],[AGE]]&lt;40,"Middle Age",
Table2[[#This Row],[AGE]]&lt;50,"Senior",
TRUE,"Super Senior"
)</f>
        <v>Middle Age</v>
      </c>
      <c r="I1480">
        <v>1</v>
      </c>
      <c r="J1480">
        <v>-2</v>
      </c>
      <c r="K1480">
        <v>-2</v>
      </c>
      <c r="L1480">
        <v>-2</v>
      </c>
      <c r="M1480">
        <v>-1</v>
      </c>
      <c r="N1480">
        <v>-1</v>
      </c>
      <c r="O1480" s="1">
        <v>0</v>
      </c>
      <c r="P1480" s="1">
        <v>0</v>
      </c>
      <c r="Q1480" s="1">
        <v>0</v>
      </c>
      <c r="R1480" s="1">
        <v>0</v>
      </c>
      <c r="S1480" s="1">
        <v>49525</v>
      </c>
      <c r="T1480" s="1">
        <v>0</v>
      </c>
      <c r="U1480" s="1">
        <v>0</v>
      </c>
      <c r="V1480" s="1">
        <v>0</v>
      </c>
      <c r="W1480" s="1">
        <v>0</v>
      </c>
      <c r="X1480" s="1">
        <v>49525</v>
      </c>
      <c r="Y1480" s="1">
        <v>0</v>
      </c>
      <c r="Z1480" s="1">
        <v>0</v>
      </c>
      <c r="AA1480">
        <v>1</v>
      </c>
      <c r="AB1480" t="str">
        <f t="shared" si="23"/>
        <v>Defaulter</v>
      </c>
      <c r="AC1480" s="1">
        <f>Table2[[#This Row],[BILL_AMT1]]-Table2[[#This Row],[PAY_AMT1]]</f>
        <v>0</v>
      </c>
      <c r="AD1480" s="1" t="str" cm="1">
        <f t="array" ref="AD1480">_xlfn.IFS(Table2[[#This Row],[PAYMENT GAP]]&lt;=0,"No Gap / Overpaid",Table2[[#This Row],[PAYMENT GAP]]&lt;=25000,"Low Gap",Table2[[#This Row],[PAYMENT GAP]]&lt;=100000,"Medium Gap",
TRUE,"High Gap"
)</f>
        <v>No Gap / Overpaid</v>
      </c>
    </row>
    <row r="1481" spans="1:30" x14ac:dyDescent="0.3">
      <c r="A1481">
        <v>1480</v>
      </c>
      <c r="B1481" s="1">
        <v>280000</v>
      </c>
      <c r="C1481" s="1" t="str" cm="1">
        <f t="array" ref="C1481">_xlfn.IFS(Table2[[#This Row],[LIMIT_BAL]]&lt;=100000,"Low",Table2[[#This Row],[LIMIT_BAL]]&lt;=300000,"Medium",
TRUE,"High"
)</f>
        <v>Medium</v>
      </c>
      <c r="D1481" t="s">
        <v>2042</v>
      </c>
      <c r="E1481" t="s">
        <v>2026</v>
      </c>
      <c r="F1481" t="s">
        <v>2029</v>
      </c>
      <c r="G1481">
        <v>31</v>
      </c>
      <c r="H1481" t="str" cm="1">
        <f t="array" ref="H1481">_xlfn.IFS(
Table2[[#This Row],[AGE]]&lt;30,"Young",
Table2[[#This Row],[AGE]]&lt;40,"Middle Age",
Table2[[#This Row],[AGE]]&lt;50,"Senior",
TRUE,"Super Senior"
)</f>
        <v>Middle Age</v>
      </c>
      <c r="I1481">
        <v>1</v>
      </c>
      <c r="J1481">
        <v>-2</v>
      </c>
      <c r="K1481">
        <v>-1</v>
      </c>
      <c r="L1481">
        <v>0</v>
      </c>
      <c r="M1481">
        <v>-1</v>
      </c>
      <c r="N1481">
        <v>-1</v>
      </c>
      <c r="O1481" s="1">
        <v>-32</v>
      </c>
      <c r="P1481" s="1">
        <v>-32</v>
      </c>
      <c r="Q1481" s="1">
        <v>4887</v>
      </c>
      <c r="R1481" s="1">
        <v>2067</v>
      </c>
      <c r="S1481" s="1">
        <v>6624</v>
      </c>
      <c r="T1481" s="1">
        <v>1489</v>
      </c>
      <c r="U1481" s="1">
        <v>0</v>
      </c>
      <c r="V1481" s="1">
        <v>4919</v>
      </c>
      <c r="W1481" s="1">
        <v>10</v>
      </c>
      <c r="X1481" s="1">
        <v>6657</v>
      </c>
      <c r="Y1481" s="1">
        <v>1496</v>
      </c>
      <c r="Z1481" s="1">
        <v>2244</v>
      </c>
      <c r="AA1481">
        <v>0</v>
      </c>
      <c r="AB1481" t="str">
        <f t="shared" si="23"/>
        <v>Not Defaulter</v>
      </c>
      <c r="AC1481" s="1">
        <f>Table2[[#This Row],[BILL_AMT1]]-Table2[[#This Row],[PAY_AMT1]]</f>
        <v>-32</v>
      </c>
      <c r="AD1481" s="1" t="str" cm="1">
        <f t="array" ref="AD1481">_xlfn.IFS(Table2[[#This Row],[PAYMENT GAP]]&lt;=0,"No Gap / Overpaid",Table2[[#This Row],[PAYMENT GAP]]&lt;=25000,"Low Gap",Table2[[#This Row],[PAYMENT GAP]]&lt;=100000,"Medium Gap",
TRUE,"High Gap"
)</f>
        <v>No Gap / Overpaid</v>
      </c>
    </row>
    <row r="1482" spans="1:30" x14ac:dyDescent="0.3">
      <c r="A1482">
        <v>1481</v>
      </c>
      <c r="B1482" s="1">
        <v>500000</v>
      </c>
      <c r="C1482" s="1" t="str" cm="1">
        <f t="array" ref="C1482">_xlfn.IFS(Table2[[#This Row],[LIMIT_BAL]]&lt;=100000,"Low",Table2[[#This Row],[LIMIT_BAL]]&lt;=300000,"Medium",
TRUE,"High"
)</f>
        <v>High</v>
      </c>
      <c r="D1482" t="s">
        <v>2042</v>
      </c>
      <c r="E1482" t="s">
        <v>2043</v>
      </c>
      <c r="F1482" t="s">
        <v>2028</v>
      </c>
      <c r="G1482">
        <v>40</v>
      </c>
      <c r="H1482" t="str" cm="1">
        <f t="array" ref="H1482">_xlfn.IFS(
Table2[[#This Row],[AGE]]&lt;30,"Young",
Table2[[#This Row],[AGE]]&lt;40,"Middle Age",
Table2[[#This Row],[AGE]]&lt;50,"Senior",
TRUE,"Super Senior"
)</f>
        <v>Senior</v>
      </c>
      <c r="I1482">
        <v>0</v>
      </c>
      <c r="J1482">
        <v>0</v>
      </c>
      <c r="K1482">
        <v>0</v>
      </c>
      <c r="L1482">
        <v>-1</v>
      </c>
      <c r="M1482">
        <v>-1</v>
      </c>
      <c r="N1482">
        <v>0</v>
      </c>
      <c r="O1482" s="1">
        <v>94585</v>
      </c>
      <c r="P1482" s="1">
        <v>61111</v>
      </c>
      <c r="Q1482" s="1">
        <v>24801</v>
      </c>
      <c r="R1482" s="1">
        <v>6288</v>
      </c>
      <c r="S1482" s="1">
        <v>166251</v>
      </c>
      <c r="T1482" s="1">
        <v>162785</v>
      </c>
      <c r="U1482" s="1">
        <v>2659</v>
      </c>
      <c r="V1482" s="1">
        <v>2090</v>
      </c>
      <c r="W1482" s="1">
        <v>6333</v>
      </c>
      <c r="X1482" s="1">
        <v>178460</v>
      </c>
      <c r="Y1482" s="1">
        <v>5506</v>
      </c>
      <c r="Z1482" s="1">
        <v>6205</v>
      </c>
      <c r="AA1482">
        <v>0</v>
      </c>
      <c r="AB1482" t="str">
        <f t="shared" si="23"/>
        <v>Not Defaulter</v>
      </c>
      <c r="AC1482" s="1">
        <f>Table2[[#This Row],[BILL_AMT1]]-Table2[[#This Row],[PAY_AMT1]]</f>
        <v>91926</v>
      </c>
      <c r="AD1482" s="1" t="str" cm="1">
        <f t="array" ref="AD1482">_xlfn.IFS(Table2[[#This Row],[PAYMENT GAP]]&lt;=0,"No Gap / Overpaid",Table2[[#This Row],[PAYMENT GAP]]&lt;=25000,"Low Gap",Table2[[#This Row],[PAYMENT GAP]]&lt;=100000,"Medium Gap",
TRUE,"High Gap"
)</f>
        <v>Medium Gap</v>
      </c>
    </row>
    <row r="1483" spans="1:30" x14ac:dyDescent="0.3">
      <c r="A1483">
        <v>1482</v>
      </c>
      <c r="B1483" s="1">
        <v>30000</v>
      </c>
      <c r="C1483" s="1" t="str" cm="1">
        <f t="array" ref="C1483">_xlfn.IFS(Table2[[#This Row],[LIMIT_BAL]]&lt;=100000,"Low",Table2[[#This Row],[LIMIT_BAL]]&lt;=300000,"Medium",
TRUE,"High"
)</f>
        <v>Low</v>
      </c>
      <c r="D1483" t="s">
        <v>2041</v>
      </c>
      <c r="E1483" t="s">
        <v>2026</v>
      </c>
      <c r="F1483" t="s">
        <v>2029</v>
      </c>
      <c r="G1483">
        <v>25</v>
      </c>
      <c r="H1483" t="str" cm="1">
        <f t="array" ref="H1483">_xlfn.IFS(
Table2[[#This Row],[AGE]]&lt;30,"Young",
Table2[[#This Row],[AGE]]&lt;40,"Middle Age",
Table2[[#This Row],[AGE]]&lt;50,"Senior",
TRUE,"Super Senior"
)</f>
        <v>Young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-2</v>
      </c>
      <c r="O1483" s="1">
        <v>3924</v>
      </c>
      <c r="P1483" s="1">
        <v>4972</v>
      </c>
      <c r="Q1483" s="1">
        <v>5873</v>
      </c>
      <c r="R1483" s="1">
        <v>5993</v>
      </c>
      <c r="S1483" s="1">
        <v>0</v>
      </c>
      <c r="T1483" s="1">
        <v>0</v>
      </c>
      <c r="U1483" s="1">
        <v>1099</v>
      </c>
      <c r="V1483" s="1">
        <v>1000</v>
      </c>
      <c r="W1483" s="1">
        <v>120</v>
      </c>
      <c r="X1483" s="1">
        <v>0</v>
      </c>
      <c r="Y1483" s="1">
        <v>0</v>
      </c>
      <c r="Z1483" s="1">
        <v>0</v>
      </c>
      <c r="AA1483">
        <v>0</v>
      </c>
      <c r="AB1483" t="str">
        <f t="shared" si="23"/>
        <v>Not Defaulter</v>
      </c>
      <c r="AC1483" s="1">
        <f>Table2[[#This Row],[BILL_AMT1]]-Table2[[#This Row],[PAY_AMT1]]</f>
        <v>2825</v>
      </c>
      <c r="AD1483" s="1" t="str" cm="1">
        <f t="array" ref="AD1483">_xlfn.IFS(Table2[[#This Row],[PAYMENT GAP]]&lt;=0,"No Gap / Overpaid",Table2[[#This Row],[PAYMENT GAP]]&lt;=25000,"Low Gap",Table2[[#This Row],[PAYMENT GAP]]&lt;=100000,"Medium Gap",
TRUE,"High Gap"
)</f>
        <v>Low Gap</v>
      </c>
    </row>
    <row r="1484" spans="1:30" x14ac:dyDescent="0.3">
      <c r="A1484">
        <v>1483</v>
      </c>
      <c r="B1484" s="1">
        <v>340000</v>
      </c>
      <c r="C1484" s="1" t="str" cm="1">
        <f t="array" ref="C1484">_xlfn.IFS(Table2[[#This Row],[LIMIT_BAL]]&lt;=100000,"Low",Table2[[#This Row],[LIMIT_BAL]]&lt;=300000,"Medium",
TRUE,"High"
)</f>
        <v>High</v>
      </c>
      <c r="D1484" t="s">
        <v>2041</v>
      </c>
      <c r="E1484" t="s">
        <v>2043</v>
      </c>
      <c r="F1484" t="s">
        <v>2028</v>
      </c>
      <c r="G1484">
        <v>36</v>
      </c>
      <c r="H1484" t="str" cm="1">
        <f t="array" ref="H1484">_xlfn.IFS(
Table2[[#This Row],[AGE]]&lt;30,"Young",
Table2[[#This Row],[AGE]]&lt;40,"Middle Age",
Table2[[#This Row],[AGE]]&lt;50,"Senior",
TRUE,"Super Senior"
)</f>
        <v>Middle Age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 s="1">
        <v>167474</v>
      </c>
      <c r="P1484" s="1">
        <v>155293</v>
      </c>
      <c r="Q1484" s="1">
        <v>134467</v>
      </c>
      <c r="R1484" s="1">
        <v>129891</v>
      </c>
      <c r="S1484" s="1">
        <v>113919</v>
      </c>
      <c r="T1484" s="1">
        <v>106675</v>
      </c>
      <c r="U1484" s="1">
        <v>7106</v>
      </c>
      <c r="V1484" s="1">
        <v>4435</v>
      </c>
      <c r="W1484" s="1">
        <v>4091</v>
      </c>
      <c r="X1484" s="1">
        <v>3548</v>
      </c>
      <c r="Y1484" s="1">
        <v>4535</v>
      </c>
      <c r="Z1484" s="1">
        <v>4127</v>
      </c>
      <c r="AA1484">
        <v>0</v>
      </c>
      <c r="AB1484" t="str">
        <f t="shared" si="23"/>
        <v>Not Defaulter</v>
      </c>
      <c r="AC1484" s="1">
        <f>Table2[[#This Row],[BILL_AMT1]]-Table2[[#This Row],[PAY_AMT1]]</f>
        <v>160368</v>
      </c>
      <c r="AD1484" s="1" t="str" cm="1">
        <f t="array" ref="AD1484">_xlfn.IFS(Table2[[#This Row],[PAYMENT GAP]]&lt;=0,"No Gap / Overpaid",Table2[[#This Row],[PAYMENT GAP]]&lt;=25000,"Low Gap",Table2[[#This Row],[PAYMENT GAP]]&lt;=100000,"Medium Gap",
TRUE,"High Gap"
)</f>
        <v>High Gap</v>
      </c>
    </row>
    <row r="1485" spans="1:30" x14ac:dyDescent="0.3">
      <c r="A1485">
        <v>1484</v>
      </c>
      <c r="B1485" s="1">
        <v>360000</v>
      </c>
      <c r="C1485" s="1" t="str" cm="1">
        <f t="array" ref="C1485">_xlfn.IFS(Table2[[#This Row],[LIMIT_BAL]]&lt;=100000,"Low",Table2[[#This Row],[LIMIT_BAL]]&lt;=300000,"Medium",
TRUE,"High"
)</f>
        <v>High</v>
      </c>
      <c r="D1485" t="s">
        <v>2042</v>
      </c>
      <c r="E1485" t="s">
        <v>2026</v>
      </c>
      <c r="F1485" t="s">
        <v>2029</v>
      </c>
      <c r="G1485">
        <v>32</v>
      </c>
      <c r="H1485" t="str" cm="1">
        <f t="array" ref="H1485">_xlfn.IFS(
Table2[[#This Row],[AGE]]&lt;30,"Young",
Table2[[#This Row],[AGE]]&lt;40,"Middle Age",
Table2[[#This Row],[AGE]]&lt;50,"Senior",
TRUE,"Super Senior"
)</f>
        <v>Middle Age</v>
      </c>
      <c r="I1485">
        <v>-1</v>
      </c>
      <c r="J1485">
        <v>-1</v>
      </c>
      <c r="K1485">
        <v>-1</v>
      </c>
      <c r="L1485">
        <v>-1</v>
      </c>
      <c r="M1485">
        <v>-1</v>
      </c>
      <c r="N1485">
        <v>-1</v>
      </c>
      <c r="O1485" s="1">
        <v>389</v>
      </c>
      <c r="P1485" s="1">
        <v>389</v>
      </c>
      <c r="Q1485" s="1">
        <v>1955</v>
      </c>
      <c r="R1485" s="1">
        <v>5316</v>
      </c>
      <c r="S1485" s="1">
        <v>2265</v>
      </c>
      <c r="T1485" s="1">
        <v>6594</v>
      </c>
      <c r="U1485" s="1">
        <v>389</v>
      </c>
      <c r="V1485" s="1">
        <v>1955</v>
      </c>
      <c r="W1485" s="1">
        <v>5316</v>
      </c>
      <c r="X1485" s="1">
        <v>2265</v>
      </c>
      <c r="Y1485" s="1">
        <v>6594</v>
      </c>
      <c r="Z1485" s="1">
        <v>2974</v>
      </c>
      <c r="AA1485">
        <v>0</v>
      </c>
      <c r="AB1485" t="str">
        <f t="shared" si="23"/>
        <v>Not Defaulter</v>
      </c>
      <c r="AC1485" s="1">
        <f>Table2[[#This Row],[BILL_AMT1]]-Table2[[#This Row],[PAY_AMT1]]</f>
        <v>0</v>
      </c>
      <c r="AD1485" s="1" t="str" cm="1">
        <f t="array" ref="AD1485">_xlfn.IFS(Table2[[#This Row],[PAYMENT GAP]]&lt;=0,"No Gap / Overpaid",Table2[[#This Row],[PAYMENT GAP]]&lt;=25000,"Low Gap",Table2[[#This Row],[PAYMENT GAP]]&lt;=100000,"Medium Gap",
TRUE,"High Gap"
)</f>
        <v>No Gap / Overpaid</v>
      </c>
    </row>
    <row r="1486" spans="1:30" x14ac:dyDescent="0.3">
      <c r="A1486">
        <v>1485</v>
      </c>
      <c r="B1486" s="1">
        <v>70000</v>
      </c>
      <c r="C1486" s="1" t="str" cm="1">
        <f t="array" ref="C1486">_xlfn.IFS(Table2[[#This Row],[LIMIT_BAL]]&lt;=100000,"Low",Table2[[#This Row],[LIMIT_BAL]]&lt;=300000,"Medium",
TRUE,"High"
)</f>
        <v>Low</v>
      </c>
      <c r="D1486" t="s">
        <v>2041</v>
      </c>
      <c r="E1486" t="s">
        <v>2026</v>
      </c>
      <c r="F1486" t="s">
        <v>2029</v>
      </c>
      <c r="G1486">
        <v>22</v>
      </c>
      <c r="H1486" t="str" cm="1">
        <f t="array" ref="H1486">_xlfn.IFS(
Table2[[#This Row],[AGE]]&lt;30,"Young",
Table2[[#This Row],[AGE]]&lt;40,"Middle Age",
Table2[[#This Row],[AGE]]&lt;50,"Senior",
TRUE,"Super Senior"
)</f>
        <v>Young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 s="1">
        <v>71358</v>
      </c>
      <c r="P1486" s="1">
        <v>70285</v>
      </c>
      <c r="Q1486" s="1">
        <v>28867</v>
      </c>
      <c r="R1486" s="1">
        <v>29766</v>
      </c>
      <c r="S1486" s="1">
        <v>26522</v>
      </c>
      <c r="T1486" s="1">
        <v>27584</v>
      </c>
      <c r="U1486" s="1">
        <v>3280</v>
      </c>
      <c r="V1486" s="1">
        <v>1480</v>
      </c>
      <c r="W1486" s="1">
        <v>1360</v>
      </c>
      <c r="X1486" s="1">
        <v>960</v>
      </c>
      <c r="Y1486" s="1">
        <v>1500</v>
      </c>
      <c r="Z1486" s="1">
        <v>1000</v>
      </c>
      <c r="AA1486">
        <v>0</v>
      </c>
      <c r="AB1486" t="str">
        <f t="shared" si="23"/>
        <v>Not Defaulter</v>
      </c>
      <c r="AC1486" s="1">
        <f>Table2[[#This Row],[BILL_AMT1]]-Table2[[#This Row],[PAY_AMT1]]</f>
        <v>68078</v>
      </c>
      <c r="AD1486" s="1" t="str" cm="1">
        <f t="array" ref="AD1486">_xlfn.IFS(Table2[[#This Row],[PAYMENT GAP]]&lt;=0,"No Gap / Overpaid",Table2[[#This Row],[PAYMENT GAP]]&lt;=25000,"Low Gap",Table2[[#This Row],[PAYMENT GAP]]&lt;=100000,"Medium Gap",
TRUE,"High Gap"
)</f>
        <v>Medium Gap</v>
      </c>
    </row>
    <row r="1487" spans="1:30" x14ac:dyDescent="0.3">
      <c r="A1487">
        <v>1486</v>
      </c>
      <c r="B1487" s="1">
        <v>20000</v>
      </c>
      <c r="C1487" s="1" t="str" cm="1">
        <f t="array" ref="C1487">_xlfn.IFS(Table2[[#This Row],[LIMIT_BAL]]&lt;=100000,"Low",Table2[[#This Row],[LIMIT_BAL]]&lt;=300000,"Medium",
TRUE,"High"
)</f>
        <v>Low</v>
      </c>
      <c r="D1487" t="s">
        <v>2041</v>
      </c>
      <c r="E1487" t="s">
        <v>2043</v>
      </c>
      <c r="F1487" t="s">
        <v>2055</v>
      </c>
      <c r="G1487">
        <v>44</v>
      </c>
      <c r="H1487" t="str" cm="1">
        <f t="array" ref="H1487">_xlfn.IFS(
Table2[[#This Row],[AGE]]&lt;30,"Young",
Table2[[#This Row],[AGE]]&lt;40,"Middle Age",
Table2[[#This Row],[AGE]]&lt;50,"Senior",
TRUE,"Super Senior"
)</f>
        <v>Senior</v>
      </c>
      <c r="I1487">
        <v>2</v>
      </c>
      <c r="J1487">
        <v>2</v>
      </c>
      <c r="K1487">
        <v>7</v>
      </c>
      <c r="L1487">
        <v>7</v>
      </c>
      <c r="M1487">
        <v>7</v>
      </c>
      <c r="N1487">
        <v>6</v>
      </c>
      <c r="O1487" s="1">
        <v>2400</v>
      </c>
      <c r="P1487" s="1">
        <v>2400</v>
      </c>
      <c r="Q1487" s="1">
        <v>2400</v>
      </c>
      <c r="R1487" s="1">
        <v>2400</v>
      </c>
      <c r="S1487" s="1">
        <v>2400</v>
      </c>
      <c r="T1487" s="1">
        <v>1800</v>
      </c>
      <c r="U1487" s="1">
        <v>0</v>
      </c>
      <c r="V1487" s="1">
        <v>0</v>
      </c>
      <c r="W1487" s="1">
        <v>0</v>
      </c>
      <c r="X1487" s="1">
        <v>0</v>
      </c>
      <c r="Y1487" s="1">
        <v>0</v>
      </c>
      <c r="Z1487" s="1">
        <v>0</v>
      </c>
      <c r="AA1487">
        <v>1</v>
      </c>
      <c r="AB1487" t="str">
        <f t="shared" si="23"/>
        <v>Defaulter</v>
      </c>
      <c r="AC1487" s="1">
        <f>Table2[[#This Row],[BILL_AMT1]]-Table2[[#This Row],[PAY_AMT1]]</f>
        <v>2400</v>
      </c>
      <c r="AD1487" s="1" t="str" cm="1">
        <f t="array" ref="AD1487">_xlfn.IFS(Table2[[#This Row],[PAYMENT GAP]]&lt;=0,"No Gap / Overpaid",Table2[[#This Row],[PAYMENT GAP]]&lt;=25000,"Low Gap",Table2[[#This Row],[PAYMENT GAP]]&lt;=100000,"Medium Gap",
TRUE,"High Gap"
)</f>
        <v>Low Gap</v>
      </c>
    </row>
    <row r="1488" spans="1:30" x14ac:dyDescent="0.3">
      <c r="A1488">
        <v>1487</v>
      </c>
      <c r="B1488" s="1">
        <v>230000</v>
      </c>
      <c r="C1488" s="1" t="str" cm="1">
        <f t="array" ref="C1488">_xlfn.IFS(Table2[[#This Row],[LIMIT_BAL]]&lt;=100000,"Low",Table2[[#This Row],[LIMIT_BAL]]&lt;=300000,"Medium",
TRUE,"High"
)</f>
        <v>Medium</v>
      </c>
      <c r="D1488" t="s">
        <v>2042</v>
      </c>
      <c r="E1488" t="s">
        <v>2026</v>
      </c>
      <c r="F1488" t="s">
        <v>2029</v>
      </c>
      <c r="G1488">
        <v>32</v>
      </c>
      <c r="H1488" t="str" cm="1">
        <f t="array" ref="H1488">_xlfn.IFS(
Table2[[#This Row],[AGE]]&lt;30,"Young",
Table2[[#This Row],[AGE]]&lt;40,"Middle Age",
Table2[[#This Row],[AGE]]&lt;50,"Senior",
TRUE,"Super Senior"
)</f>
        <v>Middle Age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 s="1">
        <v>44734</v>
      </c>
      <c r="P1488" s="1">
        <v>47178</v>
      </c>
      <c r="Q1488" s="1">
        <v>29582</v>
      </c>
      <c r="R1488" s="1">
        <v>38426</v>
      </c>
      <c r="S1488" s="1">
        <v>42500</v>
      </c>
      <c r="T1488" s="1">
        <v>43531</v>
      </c>
      <c r="U1488" s="1">
        <v>10120</v>
      </c>
      <c r="V1488" s="1">
        <v>20000</v>
      </c>
      <c r="W1488" s="1">
        <v>10000</v>
      </c>
      <c r="X1488" s="1">
        <v>5000</v>
      </c>
      <c r="Y1488" s="1">
        <v>5000</v>
      </c>
      <c r="Z1488" s="1">
        <v>5000</v>
      </c>
      <c r="AA1488">
        <v>0</v>
      </c>
      <c r="AB1488" t="str">
        <f t="shared" si="23"/>
        <v>Not Defaulter</v>
      </c>
      <c r="AC1488" s="1">
        <f>Table2[[#This Row],[BILL_AMT1]]-Table2[[#This Row],[PAY_AMT1]]</f>
        <v>34614</v>
      </c>
      <c r="AD1488" s="1" t="str" cm="1">
        <f t="array" ref="AD1488">_xlfn.IFS(Table2[[#This Row],[PAYMENT GAP]]&lt;=0,"No Gap / Overpaid",Table2[[#This Row],[PAYMENT GAP]]&lt;=25000,"Low Gap",Table2[[#This Row],[PAYMENT GAP]]&lt;=100000,"Medium Gap",
TRUE,"High Gap"
)</f>
        <v>Medium Gap</v>
      </c>
    </row>
    <row r="1489" spans="1:30" x14ac:dyDescent="0.3">
      <c r="A1489">
        <v>1488</v>
      </c>
      <c r="B1489" s="1">
        <v>60000</v>
      </c>
      <c r="C1489" s="1" t="str" cm="1">
        <f t="array" ref="C1489">_xlfn.IFS(Table2[[#This Row],[LIMIT_BAL]]&lt;=100000,"Low",Table2[[#This Row],[LIMIT_BAL]]&lt;=300000,"Medium",
TRUE,"High"
)</f>
        <v>Low</v>
      </c>
      <c r="D1489" t="s">
        <v>2042</v>
      </c>
      <c r="E1489" t="s">
        <v>2043</v>
      </c>
      <c r="F1489" t="s">
        <v>2028</v>
      </c>
      <c r="G1489">
        <v>41</v>
      </c>
      <c r="H1489" t="str" cm="1">
        <f t="array" ref="H1489">_xlfn.IFS(
Table2[[#This Row],[AGE]]&lt;30,"Young",
Table2[[#This Row],[AGE]]&lt;40,"Middle Age",
Table2[[#This Row],[AGE]]&lt;50,"Senior",
TRUE,"Super Senior"
)</f>
        <v>Senior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-1</v>
      </c>
      <c r="O1489" s="1">
        <v>48979</v>
      </c>
      <c r="P1489" s="1">
        <v>41597</v>
      </c>
      <c r="Q1489" s="1">
        <v>29347</v>
      </c>
      <c r="R1489" s="1">
        <v>19544</v>
      </c>
      <c r="S1489" s="1">
        <v>11989</v>
      </c>
      <c r="T1489" s="1">
        <v>9079</v>
      </c>
      <c r="U1489" s="1">
        <v>5070</v>
      </c>
      <c r="V1489" s="1">
        <v>1219</v>
      </c>
      <c r="W1489" s="1">
        <v>1007</v>
      </c>
      <c r="X1489" s="1">
        <v>8</v>
      </c>
      <c r="Y1489" s="1">
        <v>9381</v>
      </c>
      <c r="Z1489" s="1">
        <v>1156</v>
      </c>
      <c r="AA1489">
        <v>0</v>
      </c>
      <c r="AB1489" t="str">
        <f t="shared" si="23"/>
        <v>Not Defaulter</v>
      </c>
      <c r="AC1489" s="1">
        <f>Table2[[#This Row],[BILL_AMT1]]-Table2[[#This Row],[PAY_AMT1]]</f>
        <v>43909</v>
      </c>
      <c r="AD1489" s="1" t="str" cm="1">
        <f t="array" ref="AD1489">_xlfn.IFS(Table2[[#This Row],[PAYMENT GAP]]&lt;=0,"No Gap / Overpaid",Table2[[#This Row],[PAYMENT GAP]]&lt;=25000,"Low Gap",Table2[[#This Row],[PAYMENT GAP]]&lt;=100000,"Medium Gap",
TRUE,"High Gap"
)</f>
        <v>Medium Gap</v>
      </c>
    </row>
    <row r="1490" spans="1:30" x14ac:dyDescent="0.3">
      <c r="A1490">
        <v>1489</v>
      </c>
      <c r="B1490" s="1">
        <v>50000</v>
      </c>
      <c r="C1490" s="1" t="str" cm="1">
        <f t="array" ref="C1490">_xlfn.IFS(Table2[[#This Row],[LIMIT_BAL]]&lt;=100000,"Low",Table2[[#This Row],[LIMIT_BAL]]&lt;=300000,"Medium",
TRUE,"High"
)</f>
        <v>Low</v>
      </c>
      <c r="D1490" t="s">
        <v>2042</v>
      </c>
      <c r="E1490" t="s">
        <v>2026</v>
      </c>
      <c r="F1490" t="s">
        <v>2029</v>
      </c>
      <c r="G1490">
        <v>28</v>
      </c>
      <c r="H1490" t="str" cm="1">
        <f t="array" ref="H1490">_xlfn.IFS(
Table2[[#This Row],[AGE]]&lt;30,"Young",
Table2[[#This Row],[AGE]]&lt;40,"Middle Age",
Table2[[#This Row],[AGE]]&lt;50,"Senior",
TRUE,"Super Senior"
)</f>
        <v>Young</v>
      </c>
      <c r="I1490">
        <v>3</v>
      </c>
      <c r="J1490">
        <v>2</v>
      </c>
      <c r="K1490">
        <v>2</v>
      </c>
      <c r="L1490">
        <v>0</v>
      </c>
      <c r="M1490">
        <v>0</v>
      </c>
      <c r="N1490">
        <v>0</v>
      </c>
      <c r="O1490" s="1">
        <v>49828</v>
      </c>
      <c r="P1490" s="1">
        <v>50467</v>
      </c>
      <c r="Q1490" s="1">
        <v>48964</v>
      </c>
      <c r="R1490" s="1">
        <v>49447</v>
      </c>
      <c r="S1490" s="1">
        <v>44067</v>
      </c>
      <c r="T1490" s="1">
        <v>44760</v>
      </c>
      <c r="U1490" s="1">
        <v>2121</v>
      </c>
      <c r="V1490" s="1">
        <v>0</v>
      </c>
      <c r="W1490" s="1">
        <v>2000</v>
      </c>
      <c r="X1490" s="1">
        <v>2000</v>
      </c>
      <c r="Y1490" s="1">
        <v>2000</v>
      </c>
      <c r="Z1490" s="1">
        <v>2000</v>
      </c>
      <c r="AA1490">
        <v>1</v>
      </c>
      <c r="AB1490" t="str">
        <f t="shared" si="23"/>
        <v>Defaulter</v>
      </c>
      <c r="AC1490" s="1">
        <f>Table2[[#This Row],[BILL_AMT1]]-Table2[[#This Row],[PAY_AMT1]]</f>
        <v>47707</v>
      </c>
      <c r="AD1490" s="1" t="str" cm="1">
        <f t="array" ref="AD1490">_xlfn.IFS(Table2[[#This Row],[PAYMENT GAP]]&lt;=0,"No Gap / Overpaid",Table2[[#This Row],[PAYMENT GAP]]&lt;=25000,"Low Gap",Table2[[#This Row],[PAYMENT GAP]]&lt;=100000,"Medium Gap",
TRUE,"High Gap"
)</f>
        <v>Medium Gap</v>
      </c>
    </row>
    <row r="1491" spans="1:30" x14ac:dyDescent="0.3">
      <c r="A1491">
        <v>1490</v>
      </c>
      <c r="B1491" s="1">
        <v>50000</v>
      </c>
      <c r="C1491" s="1" t="str" cm="1">
        <f t="array" ref="C1491">_xlfn.IFS(Table2[[#This Row],[LIMIT_BAL]]&lt;=100000,"Low",Table2[[#This Row],[LIMIT_BAL]]&lt;=300000,"Medium",
TRUE,"High"
)</f>
        <v>Low</v>
      </c>
      <c r="D1491" t="s">
        <v>2041</v>
      </c>
      <c r="E1491" t="s">
        <v>2026</v>
      </c>
      <c r="F1491" t="s">
        <v>2029</v>
      </c>
      <c r="G1491">
        <v>29</v>
      </c>
      <c r="H1491" t="str" cm="1">
        <f t="array" ref="H1491">_xlfn.IFS(
Table2[[#This Row],[AGE]]&lt;30,"Young",
Table2[[#This Row],[AGE]]&lt;40,"Middle Age",
Table2[[#This Row],[AGE]]&lt;50,"Senior",
TRUE,"Super Senior"
)</f>
        <v>Young</v>
      </c>
      <c r="I1491">
        <v>0</v>
      </c>
      <c r="J1491">
        <v>0</v>
      </c>
      <c r="K1491">
        <v>2</v>
      </c>
      <c r="L1491">
        <v>2</v>
      </c>
      <c r="M1491">
        <v>2</v>
      </c>
      <c r="N1491">
        <v>2</v>
      </c>
      <c r="O1491" s="1">
        <v>10532</v>
      </c>
      <c r="P1491" s="1">
        <v>13145</v>
      </c>
      <c r="Q1491" s="1">
        <v>12637</v>
      </c>
      <c r="R1491" s="1">
        <v>13922</v>
      </c>
      <c r="S1491" s="1">
        <v>13556</v>
      </c>
      <c r="T1491" s="1">
        <v>14528</v>
      </c>
      <c r="U1491" s="1">
        <v>2800</v>
      </c>
      <c r="V1491" s="1">
        <v>0</v>
      </c>
      <c r="W1491" s="1">
        <v>1500</v>
      </c>
      <c r="X1491" s="1">
        <v>0</v>
      </c>
      <c r="Y1491" s="1">
        <v>1200</v>
      </c>
      <c r="Z1491" s="1">
        <v>0</v>
      </c>
      <c r="AA1491">
        <v>1</v>
      </c>
      <c r="AB1491" t="str">
        <f t="shared" si="23"/>
        <v>Defaulter</v>
      </c>
      <c r="AC1491" s="1">
        <f>Table2[[#This Row],[BILL_AMT1]]-Table2[[#This Row],[PAY_AMT1]]</f>
        <v>7732</v>
      </c>
      <c r="AD1491" s="1" t="str" cm="1">
        <f t="array" ref="AD1491">_xlfn.IFS(Table2[[#This Row],[PAYMENT GAP]]&lt;=0,"No Gap / Overpaid",Table2[[#This Row],[PAYMENT GAP]]&lt;=25000,"Low Gap",Table2[[#This Row],[PAYMENT GAP]]&lt;=100000,"Medium Gap",
TRUE,"High Gap"
)</f>
        <v>Low Gap</v>
      </c>
    </row>
    <row r="1492" spans="1:30" x14ac:dyDescent="0.3">
      <c r="A1492">
        <v>1491</v>
      </c>
      <c r="B1492" s="1">
        <v>130000</v>
      </c>
      <c r="C1492" s="1" t="str" cm="1">
        <f t="array" ref="C1492">_xlfn.IFS(Table2[[#This Row],[LIMIT_BAL]]&lt;=100000,"Low",Table2[[#This Row],[LIMIT_BAL]]&lt;=300000,"Medium",
TRUE,"High"
)</f>
        <v>Medium</v>
      </c>
      <c r="D1492" t="s">
        <v>2041</v>
      </c>
      <c r="E1492" t="s">
        <v>2044</v>
      </c>
      <c r="F1492" t="s">
        <v>2029</v>
      </c>
      <c r="G1492">
        <v>28</v>
      </c>
      <c r="H1492" t="str" cm="1">
        <f t="array" ref="H1492">_xlfn.IFS(
Table2[[#This Row],[AGE]]&lt;30,"Young",
Table2[[#This Row],[AGE]]&lt;40,"Middle Age",
Table2[[#This Row],[AGE]]&lt;50,"Senior",
TRUE,"Super Senior"
)</f>
        <v>Young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 s="1">
        <v>36108</v>
      </c>
      <c r="P1492" s="1">
        <v>34256</v>
      </c>
      <c r="Q1492" s="1">
        <v>36357</v>
      </c>
      <c r="R1492" s="1">
        <v>37878</v>
      </c>
      <c r="S1492" s="1">
        <v>39489</v>
      </c>
      <c r="T1492" s="1">
        <v>41833</v>
      </c>
      <c r="U1492" s="1">
        <v>3000</v>
      </c>
      <c r="V1492" s="1">
        <v>3000</v>
      </c>
      <c r="W1492" s="1">
        <v>2500</v>
      </c>
      <c r="X1492" s="1">
        <v>3000</v>
      </c>
      <c r="Y1492" s="1">
        <v>3000</v>
      </c>
      <c r="Z1492" s="1">
        <v>2000</v>
      </c>
      <c r="AA1492">
        <v>0</v>
      </c>
      <c r="AB1492" t="str">
        <f t="shared" si="23"/>
        <v>Not Defaulter</v>
      </c>
      <c r="AC1492" s="1">
        <f>Table2[[#This Row],[BILL_AMT1]]-Table2[[#This Row],[PAY_AMT1]]</f>
        <v>33108</v>
      </c>
      <c r="AD1492" s="1" t="str" cm="1">
        <f t="array" ref="AD1492">_xlfn.IFS(Table2[[#This Row],[PAYMENT GAP]]&lt;=0,"No Gap / Overpaid",Table2[[#This Row],[PAYMENT GAP]]&lt;=25000,"Low Gap",Table2[[#This Row],[PAYMENT GAP]]&lt;=100000,"Medium Gap",
TRUE,"High Gap"
)</f>
        <v>Medium Gap</v>
      </c>
    </row>
    <row r="1493" spans="1:30" x14ac:dyDescent="0.3">
      <c r="A1493">
        <v>1492</v>
      </c>
      <c r="B1493" s="1">
        <v>160000</v>
      </c>
      <c r="C1493" s="1" t="str" cm="1">
        <f t="array" ref="C1493">_xlfn.IFS(Table2[[#This Row],[LIMIT_BAL]]&lt;=100000,"Low",Table2[[#This Row],[LIMIT_BAL]]&lt;=300000,"Medium",
TRUE,"High"
)</f>
        <v>Medium</v>
      </c>
      <c r="D1493" t="s">
        <v>2042</v>
      </c>
      <c r="E1493" t="s">
        <v>2027</v>
      </c>
      <c r="F1493" t="s">
        <v>2029</v>
      </c>
      <c r="G1493">
        <v>52</v>
      </c>
      <c r="H1493" t="str" cm="1">
        <f t="array" ref="H1493">_xlfn.IFS(
Table2[[#This Row],[AGE]]&lt;30,"Young",
Table2[[#This Row],[AGE]]&lt;40,"Middle Age",
Table2[[#This Row],[AGE]]&lt;50,"Senior",
TRUE,"Super Senior"
)</f>
        <v>Super Senior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 s="1">
        <v>155684</v>
      </c>
      <c r="P1493" s="1">
        <v>157364</v>
      </c>
      <c r="Q1493" s="1">
        <v>156581</v>
      </c>
      <c r="R1493" s="1">
        <v>72814</v>
      </c>
      <c r="S1493" s="1">
        <v>66825</v>
      </c>
      <c r="T1493" s="1">
        <v>63419</v>
      </c>
      <c r="U1493" s="1">
        <v>6525</v>
      </c>
      <c r="V1493" s="1">
        <v>6649</v>
      </c>
      <c r="W1493" s="1">
        <v>2724</v>
      </c>
      <c r="X1493" s="1">
        <v>2503</v>
      </c>
      <c r="Y1493" s="1">
        <v>2310</v>
      </c>
      <c r="Z1493" s="1">
        <v>2200</v>
      </c>
      <c r="AA1493">
        <v>0</v>
      </c>
      <c r="AB1493" t="str">
        <f t="shared" si="23"/>
        <v>Not Defaulter</v>
      </c>
      <c r="AC1493" s="1">
        <f>Table2[[#This Row],[BILL_AMT1]]-Table2[[#This Row],[PAY_AMT1]]</f>
        <v>149159</v>
      </c>
      <c r="AD1493" s="1" t="str" cm="1">
        <f t="array" ref="AD1493">_xlfn.IFS(Table2[[#This Row],[PAYMENT GAP]]&lt;=0,"No Gap / Overpaid",Table2[[#This Row],[PAYMENT GAP]]&lt;=25000,"Low Gap",Table2[[#This Row],[PAYMENT GAP]]&lt;=100000,"Medium Gap",
TRUE,"High Gap"
)</f>
        <v>High Gap</v>
      </c>
    </row>
    <row r="1494" spans="1:30" x14ac:dyDescent="0.3">
      <c r="A1494">
        <v>1493</v>
      </c>
      <c r="B1494" s="1">
        <v>60000</v>
      </c>
      <c r="C1494" s="1" t="str" cm="1">
        <f t="array" ref="C1494">_xlfn.IFS(Table2[[#This Row],[LIMIT_BAL]]&lt;=100000,"Low",Table2[[#This Row],[LIMIT_BAL]]&lt;=300000,"Medium",
TRUE,"High"
)</f>
        <v>Low</v>
      </c>
      <c r="D1494" t="s">
        <v>2041</v>
      </c>
      <c r="E1494" t="s">
        <v>2027</v>
      </c>
      <c r="F1494" t="s">
        <v>2029</v>
      </c>
      <c r="G1494">
        <v>48</v>
      </c>
      <c r="H1494" t="str" cm="1">
        <f t="array" ref="H1494">_xlfn.IFS(
Table2[[#This Row],[AGE]]&lt;30,"Young",
Table2[[#This Row],[AGE]]&lt;40,"Middle Age",
Table2[[#This Row],[AGE]]&lt;50,"Senior",
TRUE,"Super Senior"
)</f>
        <v>Senior</v>
      </c>
      <c r="I1494">
        <v>2</v>
      </c>
      <c r="J1494">
        <v>0</v>
      </c>
      <c r="K1494">
        <v>0</v>
      </c>
      <c r="L1494">
        <v>0</v>
      </c>
      <c r="M1494">
        <v>0</v>
      </c>
      <c r="N1494">
        <v>0</v>
      </c>
      <c r="O1494" s="1">
        <v>43533</v>
      </c>
      <c r="P1494" s="1">
        <v>39252</v>
      </c>
      <c r="Q1494" s="1">
        <v>38051</v>
      </c>
      <c r="R1494" s="1">
        <v>37988</v>
      </c>
      <c r="S1494" s="1">
        <v>38725</v>
      </c>
      <c r="T1494" s="1">
        <v>39685</v>
      </c>
      <c r="U1494" s="1">
        <v>1700</v>
      </c>
      <c r="V1494" s="1">
        <v>1700</v>
      </c>
      <c r="W1494" s="1">
        <v>2000</v>
      </c>
      <c r="X1494" s="1">
        <v>1500</v>
      </c>
      <c r="Y1494" s="1">
        <v>1600</v>
      </c>
      <c r="Z1494" s="1">
        <v>1000</v>
      </c>
      <c r="AA1494">
        <v>0</v>
      </c>
      <c r="AB1494" t="str">
        <f t="shared" si="23"/>
        <v>Not Defaulter</v>
      </c>
      <c r="AC1494" s="1">
        <f>Table2[[#This Row],[BILL_AMT1]]-Table2[[#This Row],[PAY_AMT1]]</f>
        <v>41833</v>
      </c>
      <c r="AD1494" s="1" t="str" cm="1">
        <f t="array" ref="AD1494">_xlfn.IFS(Table2[[#This Row],[PAYMENT GAP]]&lt;=0,"No Gap / Overpaid",Table2[[#This Row],[PAYMENT GAP]]&lt;=25000,"Low Gap",Table2[[#This Row],[PAYMENT GAP]]&lt;=100000,"Medium Gap",
TRUE,"High Gap"
)</f>
        <v>Medium Gap</v>
      </c>
    </row>
    <row r="1495" spans="1:30" x14ac:dyDescent="0.3">
      <c r="A1495">
        <v>1494</v>
      </c>
      <c r="B1495" s="1">
        <v>160000</v>
      </c>
      <c r="C1495" s="1" t="str" cm="1">
        <f t="array" ref="C1495">_xlfn.IFS(Table2[[#This Row],[LIMIT_BAL]]&lt;=100000,"Low",Table2[[#This Row],[LIMIT_BAL]]&lt;=300000,"Medium",
TRUE,"High"
)</f>
        <v>Medium</v>
      </c>
      <c r="D1495" t="s">
        <v>2042</v>
      </c>
      <c r="E1495" t="s">
        <v>2043</v>
      </c>
      <c r="F1495" t="s">
        <v>2029</v>
      </c>
      <c r="G1495">
        <v>43</v>
      </c>
      <c r="H1495" t="str" cm="1">
        <f t="array" ref="H1495">_xlfn.IFS(
Table2[[#This Row],[AGE]]&lt;30,"Young",
Table2[[#This Row],[AGE]]&lt;40,"Middle Age",
Table2[[#This Row],[AGE]]&lt;50,"Senior",
TRUE,"Super Senior"
)</f>
        <v>Senior</v>
      </c>
      <c r="I1495">
        <v>-1</v>
      </c>
      <c r="J1495">
        <v>-1</v>
      </c>
      <c r="K1495">
        <v>0</v>
      </c>
      <c r="L1495">
        <v>0</v>
      </c>
      <c r="M1495">
        <v>0</v>
      </c>
      <c r="N1495">
        <v>-1</v>
      </c>
      <c r="O1495" s="1">
        <v>12458</v>
      </c>
      <c r="P1495" s="1">
        <v>7146</v>
      </c>
      <c r="Q1495" s="1">
        <v>11529</v>
      </c>
      <c r="R1495" s="1">
        <v>20860</v>
      </c>
      <c r="S1495" s="1">
        <v>0</v>
      </c>
      <c r="T1495" s="1">
        <v>780</v>
      </c>
      <c r="U1495" s="1">
        <v>7545</v>
      </c>
      <c r="V1495" s="1">
        <v>5000</v>
      </c>
      <c r="W1495" s="1">
        <v>10000</v>
      </c>
      <c r="X1495" s="1">
        <v>0</v>
      </c>
      <c r="Y1495" s="1">
        <v>780</v>
      </c>
      <c r="Z1495" s="1">
        <v>0</v>
      </c>
      <c r="AA1495">
        <v>0</v>
      </c>
      <c r="AB1495" t="str">
        <f t="shared" si="23"/>
        <v>Not Defaulter</v>
      </c>
      <c r="AC1495" s="1">
        <f>Table2[[#This Row],[BILL_AMT1]]-Table2[[#This Row],[PAY_AMT1]]</f>
        <v>4913</v>
      </c>
      <c r="AD1495" s="1" t="str" cm="1">
        <f t="array" ref="AD1495">_xlfn.IFS(Table2[[#This Row],[PAYMENT GAP]]&lt;=0,"No Gap / Overpaid",Table2[[#This Row],[PAYMENT GAP]]&lt;=25000,"Low Gap",Table2[[#This Row],[PAYMENT GAP]]&lt;=100000,"Medium Gap",
TRUE,"High Gap"
)</f>
        <v>Low Gap</v>
      </c>
    </row>
    <row r="1496" spans="1:30" x14ac:dyDescent="0.3">
      <c r="A1496">
        <v>1495</v>
      </c>
      <c r="B1496" s="1">
        <v>180000</v>
      </c>
      <c r="C1496" s="1" t="str" cm="1">
        <f t="array" ref="C1496">_xlfn.IFS(Table2[[#This Row],[LIMIT_BAL]]&lt;=100000,"Low",Table2[[#This Row],[LIMIT_BAL]]&lt;=300000,"Medium",
TRUE,"High"
)</f>
        <v>Medium</v>
      </c>
      <c r="D1496" t="s">
        <v>2041</v>
      </c>
      <c r="E1496" t="s">
        <v>2026</v>
      </c>
      <c r="F1496" t="s">
        <v>2029</v>
      </c>
      <c r="G1496">
        <v>25</v>
      </c>
      <c r="H1496" t="str" cm="1">
        <f t="array" ref="H1496">_xlfn.IFS(
Table2[[#This Row],[AGE]]&lt;30,"Young",
Table2[[#This Row],[AGE]]&lt;40,"Middle Age",
Table2[[#This Row],[AGE]]&lt;50,"Senior",
TRUE,"Super Senior"
)</f>
        <v>Young</v>
      </c>
      <c r="I1496">
        <v>0</v>
      </c>
      <c r="J1496">
        <v>-1</v>
      </c>
      <c r="K1496">
        <v>-1</v>
      </c>
      <c r="L1496">
        <v>0</v>
      </c>
      <c r="M1496">
        <v>-1</v>
      </c>
      <c r="N1496">
        <v>0</v>
      </c>
      <c r="O1496" s="1">
        <v>23800</v>
      </c>
      <c r="P1496" s="1">
        <v>1246</v>
      </c>
      <c r="Q1496" s="1">
        <v>3430</v>
      </c>
      <c r="R1496" s="1">
        <v>8430</v>
      </c>
      <c r="S1496" s="1">
        <v>92925</v>
      </c>
      <c r="T1496" s="1">
        <v>88283</v>
      </c>
      <c r="U1496" s="1">
        <v>1246</v>
      </c>
      <c r="V1496" s="1">
        <v>3430</v>
      </c>
      <c r="W1496" s="1">
        <v>5000</v>
      </c>
      <c r="X1496" s="1">
        <v>92925</v>
      </c>
      <c r="Y1496" s="1">
        <v>5000</v>
      </c>
      <c r="Z1496" s="1">
        <v>5000</v>
      </c>
      <c r="AA1496">
        <v>0</v>
      </c>
      <c r="AB1496" t="str">
        <f t="shared" si="23"/>
        <v>Not Defaulter</v>
      </c>
      <c r="AC1496" s="1">
        <f>Table2[[#This Row],[BILL_AMT1]]-Table2[[#This Row],[PAY_AMT1]]</f>
        <v>22554</v>
      </c>
      <c r="AD1496" s="1" t="str" cm="1">
        <f t="array" ref="AD1496">_xlfn.IFS(Table2[[#This Row],[PAYMENT GAP]]&lt;=0,"No Gap / Overpaid",Table2[[#This Row],[PAYMENT GAP]]&lt;=25000,"Low Gap",Table2[[#This Row],[PAYMENT GAP]]&lt;=100000,"Medium Gap",
TRUE,"High Gap"
)</f>
        <v>Low Gap</v>
      </c>
    </row>
    <row r="1497" spans="1:30" x14ac:dyDescent="0.3">
      <c r="A1497">
        <v>1496</v>
      </c>
      <c r="B1497" s="1">
        <v>170000</v>
      </c>
      <c r="C1497" s="1" t="str" cm="1">
        <f t="array" ref="C1497">_xlfn.IFS(Table2[[#This Row],[LIMIT_BAL]]&lt;=100000,"Low",Table2[[#This Row],[LIMIT_BAL]]&lt;=300000,"Medium",
TRUE,"High"
)</f>
        <v>Medium</v>
      </c>
      <c r="D1497" t="s">
        <v>2042</v>
      </c>
      <c r="E1497" t="s">
        <v>2043</v>
      </c>
      <c r="F1497" t="s">
        <v>2028</v>
      </c>
      <c r="G1497">
        <v>36</v>
      </c>
      <c r="H1497" t="str" cm="1">
        <f t="array" ref="H1497">_xlfn.IFS(
Table2[[#This Row],[AGE]]&lt;30,"Young",
Table2[[#This Row],[AGE]]&lt;40,"Middle Age",
Table2[[#This Row],[AGE]]&lt;50,"Senior",
TRUE,"Super Senior"
)</f>
        <v>Middle Age</v>
      </c>
      <c r="I1497">
        <v>2</v>
      </c>
      <c r="J1497">
        <v>2</v>
      </c>
      <c r="K1497">
        <v>2</v>
      </c>
      <c r="L1497">
        <v>0</v>
      </c>
      <c r="M1497">
        <v>0</v>
      </c>
      <c r="N1497">
        <v>0</v>
      </c>
      <c r="O1497" s="1">
        <v>75960</v>
      </c>
      <c r="P1497" s="1">
        <v>64683</v>
      </c>
      <c r="Q1497" s="1">
        <v>51184</v>
      </c>
      <c r="R1497" s="1">
        <v>37938</v>
      </c>
      <c r="S1497" s="1">
        <v>25292</v>
      </c>
      <c r="T1497" s="1">
        <v>12646</v>
      </c>
      <c r="U1497" s="1">
        <v>2000</v>
      </c>
      <c r="V1497" s="1">
        <v>0</v>
      </c>
      <c r="W1497" s="1">
        <v>0</v>
      </c>
      <c r="X1497" s="1">
        <v>0</v>
      </c>
      <c r="Y1497" s="1">
        <v>0</v>
      </c>
      <c r="Z1497" s="1">
        <v>173869</v>
      </c>
      <c r="AA1497">
        <v>0</v>
      </c>
      <c r="AB1497" t="str">
        <f t="shared" si="23"/>
        <v>Not Defaulter</v>
      </c>
      <c r="AC1497" s="1">
        <f>Table2[[#This Row],[BILL_AMT1]]-Table2[[#This Row],[PAY_AMT1]]</f>
        <v>73960</v>
      </c>
      <c r="AD1497" s="1" t="str" cm="1">
        <f t="array" ref="AD1497">_xlfn.IFS(Table2[[#This Row],[PAYMENT GAP]]&lt;=0,"No Gap / Overpaid",Table2[[#This Row],[PAYMENT GAP]]&lt;=25000,"Low Gap",Table2[[#This Row],[PAYMENT GAP]]&lt;=100000,"Medium Gap",
TRUE,"High Gap"
)</f>
        <v>Medium Gap</v>
      </c>
    </row>
    <row r="1498" spans="1:30" x14ac:dyDescent="0.3">
      <c r="A1498">
        <v>1497</v>
      </c>
      <c r="B1498" s="1">
        <v>360000</v>
      </c>
      <c r="C1498" s="1" t="str" cm="1">
        <f t="array" ref="C1498">_xlfn.IFS(Table2[[#This Row],[LIMIT_BAL]]&lt;=100000,"Low",Table2[[#This Row],[LIMIT_BAL]]&lt;=300000,"Medium",
TRUE,"High"
)</f>
        <v>High</v>
      </c>
      <c r="D1498" t="s">
        <v>2041</v>
      </c>
      <c r="E1498" t="s">
        <v>2043</v>
      </c>
      <c r="F1498" t="s">
        <v>2029</v>
      </c>
      <c r="G1498">
        <v>35</v>
      </c>
      <c r="H1498" t="str" cm="1">
        <f t="array" ref="H1498">_xlfn.IFS(
Table2[[#This Row],[AGE]]&lt;30,"Young",
Table2[[#This Row],[AGE]]&lt;40,"Middle Age",
Table2[[#This Row],[AGE]]&lt;50,"Senior",
TRUE,"Super Senior"
)</f>
        <v>Middle Age</v>
      </c>
      <c r="I1498">
        <v>2</v>
      </c>
      <c r="J1498">
        <v>2</v>
      </c>
      <c r="K1498">
        <v>2</v>
      </c>
      <c r="L1498">
        <v>0</v>
      </c>
      <c r="M1498">
        <v>0</v>
      </c>
      <c r="N1498">
        <v>0</v>
      </c>
      <c r="O1498" s="1">
        <v>360023</v>
      </c>
      <c r="P1498" s="1">
        <v>363239</v>
      </c>
      <c r="Q1498" s="1">
        <v>350214</v>
      </c>
      <c r="R1498" s="1">
        <v>319960</v>
      </c>
      <c r="S1498" s="1">
        <v>260944</v>
      </c>
      <c r="T1498" s="1">
        <v>202686</v>
      </c>
      <c r="U1498" s="1">
        <v>14693</v>
      </c>
      <c r="V1498" s="1">
        <v>30</v>
      </c>
      <c r="W1498" s="1">
        <v>12302</v>
      </c>
      <c r="X1498" s="1">
        <v>10004</v>
      </c>
      <c r="Y1498" s="1">
        <v>7506</v>
      </c>
      <c r="Z1498" s="1">
        <v>19721</v>
      </c>
      <c r="AA1498">
        <v>1</v>
      </c>
      <c r="AB1498" t="str">
        <f t="shared" si="23"/>
        <v>Defaulter</v>
      </c>
      <c r="AC1498" s="1">
        <f>Table2[[#This Row],[BILL_AMT1]]-Table2[[#This Row],[PAY_AMT1]]</f>
        <v>345330</v>
      </c>
      <c r="AD1498" s="1" t="str" cm="1">
        <f t="array" ref="AD1498">_xlfn.IFS(Table2[[#This Row],[PAYMENT GAP]]&lt;=0,"No Gap / Overpaid",Table2[[#This Row],[PAYMENT GAP]]&lt;=25000,"Low Gap",Table2[[#This Row],[PAYMENT GAP]]&lt;=100000,"Medium Gap",
TRUE,"High Gap"
)</f>
        <v>High Gap</v>
      </c>
    </row>
    <row r="1499" spans="1:30" x14ac:dyDescent="0.3">
      <c r="A1499">
        <v>1498</v>
      </c>
      <c r="B1499" s="1">
        <v>130000</v>
      </c>
      <c r="C1499" s="1" t="str" cm="1">
        <f t="array" ref="C1499">_xlfn.IFS(Table2[[#This Row],[LIMIT_BAL]]&lt;=100000,"Low",Table2[[#This Row],[LIMIT_BAL]]&lt;=300000,"Medium",
TRUE,"High"
)</f>
        <v>Medium</v>
      </c>
      <c r="D1499" t="s">
        <v>2041</v>
      </c>
      <c r="E1499" t="s">
        <v>2043</v>
      </c>
      <c r="F1499" t="s">
        <v>2028</v>
      </c>
      <c r="G1499">
        <v>34</v>
      </c>
      <c r="H1499" t="str" cm="1">
        <f t="array" ref="H1499">_xlfn.IFS(
Table2[[#This Row],[AGE]]&lt;30,"Young",
Table2[[#This Row],[AGE]]&lt;40,"Middle Age",
Table2[[#This Row],[AGE]]&lt;50,"Senior",
TRUE,"Super Senior"
)</f>
        <v>Middle Age</v>
      </c>
      <c r="I1499">
        <v>0</v>
      </c>
      <c r="J1499">
        <v>0</v>
      </c>
      <c r="K1499">
        <v>0</v>
      </c>
      <c r="L1499">
        <v>2</v>
      </c>
      <c r="M1499">
        <v>0</v>
      </c>
      <c r="N1499">
        <v>0</v>
      </c>
      <c r="O1499" s="1">
        <v>59955</v>
      </c>
      <c r="P1499" s="1">
        <v>61252</v>
      </c>
      <c r="Q1499" s="1">
        <v>65399</v>
      </c>
      <c r="R1499" s="1">
        <v>63800</v>
      </c>
      <c r="S1499" s="1">
        <v>65312</v>
      </c>
      <c r="T1499" s="1">
        <v>37838</v>
      </c>
      <c r="U1499" s="1">
        <v>2260</v>
      </c>
      <c r="V1499" s="1">
        <v>5203</v>
      </c>
      <c r="W1499" s="1">
        <v>0</v>
      </c>
      <c r="X1499" s="1">
        <v>2670</v>
      </c>
      <c r="Y1499" s="1">
        <v>1342</v>
      </c>
      <c r="Z1499" s="1">
        <v>1815</v>
      </c>
      <c r="AA1499">
        <v>0</v>
      </c>
      <c r="AB1499" t="str">
        <f t="shared" si="23"/>
        <v>Not Defaulter</v>
      </c>
      <c r="AC1499" s="1">
        <f>Table2[[#This Row],[BILL_AMT1]]-Table2[[#This Row],[PAY_AMT1]]</f>
        <v>57695</v>
      </c>
      <c r="AD1499" s="1" t="str" cm="1">
        <f t="array" ref="AD1499">_xlfn.IFS(Table2[[#This Row],[PAYMENT GAP]]&lt;=0,"No Gap / Overpaid",Table2[[#This Row],[PAYMENT GAP]]&lt;=25000,"Low Gap",Table2[[#This Row],[PAYMENT GAP]]&lt;=100000,"Medium Gap",
TRUE,"High Gap"
)</f>
        <v>Medium Gap</v>
      </c>
    </row>
    <row r="1500" spans="1:30" x14ac:dyDescent="0.3">
      <c r="A1500">
        <v>1499</v>
      </c>
      <c r="B1500" s="1">
        <v>180000</v>
      </c>
      <c r="C1500" s="1" t="str" cm="1">
        <f t="array" ref="C1500">_xlfn.IFS(Table2[[#This Row],[LIMIT_BAL]]&lt;=100000,"Low",Table2[[#This Row],[LIMIT_BAL]]&lt;=300000,"Medium",
TRUE,"High"
)</f>
        <v>Medium</v>
      </c>
      <c r="D1500" t="s">
        <v>2041</v>
      </c>
      <c r="E1500" t="s">
        <v>2043</v>
      </c>
      <c r="F1500" t="s">
        <v>2029</v>
      </c>
      <c r="G1500">
        <v>48</v>
      </c>
      <c r="H1500" t="str" cm="1">
        <f t="array" ref="H1500">_xlfn.IFS(
Table2[[#This Row],[AGE]]&lt;30,"Young",
Table2[[#This Row],[AGE]]&lt;40,"Middle Age",
Table2[[#This Row],[AGE]]&lt;50,"Senior",
TRUE,"Super Senior"
)</f>
        <v>Senior</v>
      </c>
      <c r="I1500">
        <v>1</v>
      </c>
      <c r="J1500">
        <v>-1</v>
      </c>
      <c r="K1500">
        <v>-1</v>
      </c>
      <c r="L1500">
        <v>-1</v>
      </c>
      <c r="M1500">
        <v>-1</v>
      </c>
      <c r="N1500">
        <v>-1</v>
      </c>
      <c r="O1500" s="1">
        <v>2551</v>
      </c>
      <c r="P1500" s="1">
        <v>3044</v>
      </c>
      <c r="Q1500" s="1">
        <v>3044</v>
      </c>
      <c r="R1500" s="1">
        <v>5283</v>
      </c>
      <c r="S1500" s="1">
        <v>1660</v>
      </c>
      <c r="T1500" s="1">
        <v>6671</v>
      </c>
      <c r="U1500" s="1">
        <v>3044</v>
      </c>
      <c r="V1500" s="1">
        <v>3044</v>
      </c>
      <c r="W1500" s="1">
        <v>5283</v>
      </c>
      <c r="X1500" s="1">
        <v>1660</v>
      </c>
      <c r="Y1500" s="1">
        <v>6671</v>
      </c>
      <c r="Z1500" s="1">
        <v>493</v>
      </c>
      <c r="AA1500">
        <v>0</v>
      </c>
      <c r="AB1500" t="str">
        <f t="shared" si="23"/>
        <v>Not Defaulter</v>
      </c>
      <c r="AC1500" s="1">
        <f>Table2[[#This Row],[BILL_AMT1]]-Table2[[#This Row],[PAY_AMT1]]</f>
        <v>-493</v>
      </c>
      <c r="AD1500" s="1" t="str" cm="1">
        <f t="array" ref="AD1500">_xlfn.IFS(Table2[[#This Row],[PAYMENT GAP]]&lt;=0,"No Gap / Overpaid",Table2[[#This Row],[PAYMENT GAP]]&lt;=25000,"Low Gap",Table2[[#This Row],[PAYMENT GAP]]&lt;=100000,"Medium Gap",
TRUE,"High Gap"
)</f>
        <v>No Gap / Overpaid</v>
      </c>
    </row>
    <row r="1501" spans="1:30" x14ac:dyDescent="0.3">
      <c r="A1501">
        <v>1500</v>
      </c>
      <c r="B1501" s="1">
        <v>20000</v>
      </c>
      <c r="C1501" s="1" t="str" cm="1">
        <f t="array" ref="C1501">_xlfn.IFS(Table2[[#This Row],[LIMIT_BAL]]&lt;=100000,"Low",Table2[[#This Row],[LIMIT_BAL]]&lt;=300000,"Medium",
TRUE,"High"
)</f>
        <v>Low</v>
      </c>
      <c r="D1501" t="s">
        <v>2042</v>
      </c>
      <c r="E1501" t="s">
        <v>2026</v>
      </c>
      <c r="F1501" t="s">
        <v>2029</v>
      </c>
      <c r="G1501">
        <v>27</v>
      </c>
      <c r="H1501" t="str" cm="1">
        <f t="array" ref="H1501">_xlfn.IFS(
Table2[[#This Row],[AGE]]&lt;30,"Young",
Table2[[#This Row],[AGE]]&lt;40,"Middle Age",
Table2[[#This Row],[AGE]]&lt;50,"Senior",
TRUE,"Super Senior"
)</f>
        <v>Young</v>
      </c>
      <c r="I1501">
        <v>1</v>
      </c>
      <c r="J1501">
        <v>2</v>
      </c>
      <c r="K1501">
        <v>-1</v>
      </c>
      <c r="L1501">
        <v>-1</v>
      </c>
      <c r="M1501">
        <v>0</v>
      </c>
      <c r="N1501">
        <v>0</v>
      </c>
      <c r="O1501" s="1">
        <v>6274</v>
      </c>
      <c r="P1501" s="1">
        <v>5971</v>
      </c>
      <c r="Q1501" s="1">
        <v>3980</v>
      </c>
      <c r="R1501" s="1">
        <v>9040</v>
      </c>
      <c r="S1501" s="1">
        <v>9040</v>
      </c>
      <c r="T1501" s="1">
        <v>0</v>
      </c>
      <c r="U1501" s="1">
        <v>0</v>
      </c>
      <c r="V1501" s="1">
        <v>4000</v>
      </c>
      <c r="W1501" s="1">
        <v>9040</v>
      </c>
      <c r="X1501" s="1">
        <v>0</v>
      </c>
      <c r="Y1501" s="1">
        <v>0</v>
      </c>
      <c r="Z1501" s="1">
        <v>17291</v>
      </c>
      <c r="AA1501">
        <v>0</v>
      </c>
      <c r="AB1501" t="str">
        <f t="shared" si="23"/>
        <v>Not Defaulter</v>
      </c>
      <c r="AC1501" s="1">
        <f>Table2[[#This Row],[BILL_AMT1]]-Table2[[#This Row],[PAY_AMT1]]</f>
        <v>6274</v>
      </c>
      <c r="AD1501" s="1" t="str" cm="1">
        <f t="array" ref="AD1501">_xlfn.IFS(Table2[[#This Row],[PAYMENT GAP]]&lt;=0,"No Gap / Overpaid",Table2[[#This Row],[PAYMENT GAP]]&lt;=25000,"Low Gap",Table2[[#This Row],[PAYMENT GAP]]&lt;=100000,"Medium Gap",
TRUE,"High Gap"
)</f>
        <v>Low Gap</v>
      </c>
    </row>
    <row r="1502" spans="1:30" x14ac:dyDescent="0.3">
      <c r="A1502">
        <v>1501</v>
      </c>
      <c r="B1502" s="1">
        <v>230000</v>
      </c>
      <c r="C1502" s="1" t="str" cm="1">
        <f t="array" ref="C1502">_xlfn.IFS(Table2[[#This Row],[LIMIT_BAL]]&lt;=100000,"Low",Table2[[#This Row],[LIMIT_BAL]]&lt;=300000,"Medium",
TRUE,"High"
)</f>
        <v>Medium</v>
      </c>
      <c r="D1502" t="s">
        <v>2041</v>
      </c>
      <c r="E1502" t="s">
        <v>2043</v>
      </c>
      <c r="F1502" t="s">
        <v>2028</v>
      </c>
      <c r="G1502">
        <v>43</v>
      </c>
      <c r="H1502" t="str" cm="1">
        <f t="array" ref="H1502">_xlfn.IFS(
Table2[[#This Row],[AGE]]&lt;30,"Young",
Table2[[#This Row],[AGE]]&lt;40,"Middle Age",
Table2[[#This Row],[AGE]]&lt;50,"Senior",
TRUE,"Super Senior"
)</f>
        <v>Senior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 s="1">
        <v>7806</v>
      </c>
      <c r="P1502" s="1">
        <v>8392</v>
      </c>
      <c r="Q1502" s="1">
        <v>8967</v>
      </c>
      <c r="R1502" s="1">
        <v>8729</v>
      </c>
      <c r="S1502" s="1">
        <v>10816</v>
      </c>
      <c r="T1502" s="1">
        <v>15893</v>
      </c>
      <c r="U1502" s="1">
        <v>1295</v>
      </c>
      <c r="V1502" s="1">
        <v>1300</v>
      </c>
      <c r="W1502" s="1">
        <v>468</v>
      </c>
      <c r="X1502" s="1">
        <v>2816</v>
      </c>
      <c r="Y1502" s="1">
        <v>5893</v>
      </c>
      <c r="Z1502" s="1">
        <v>5977</v>
      </c>
      <c r="AA1502">
        <v>0</v>
      </c>
      <c r="AB1502" t="str">
        <f t="shared" si="23"/>
        <v>Not Defaulter</v>
      </c>
      <c r="AC1502" s="1">
        <f>Table2[[#This Row],[BILL_AMT1]]-Table2[[#This Row],[PAY_AMT1]]</f>
        <v>6511</v>
      </c>
      <c r="AD1502" s="1" t="str" cm="1">
        <f t="array" ref="AD1502">_xlfn.IFS(Table2[[#This Row],[PAYMENT GAP]]&lt;=0,"No Gap / Overpaid",Table2[[#This Row],[PAYMENT GAP]]&lt;=25000,"Low Gap",Table2[[#This Row],[PAYMENT GAP]]&lt;=100000,"Medium Gap",
TRUE,"High Gap"
)</f>
        <v>Low Gap</v>
      </c>
    </row>
    <row r="1503" spans="1:30" x14ac:dyDescent="0.3">
      <c r="A1503">
        <v>1502</v>
      </c>
      <c r="B1503" s="1">
        <v>220000</v>
      </c>
      <c r="C1503" s="1" t="str" cm="1">
        <f t="array" ref="C1503">_xlfn.IFS(Table2[[#This Row],[LIMIT_BAL]]&lt;=100000,"Low",Table2[[#This Row],[LIMIT_BAL]]&lt;=300000,"Medium",
TRUE,"High"
)</f>
        <v>Medium</v>
      </c>
      <c r="D1503" t="s">
        <v>2041</v>
      </c>
      <c r="E1503" t="s">
        <v>2043</v>
      </c>
      <c r="F1503" t="s">
        <v>2028</v>
      </c>
      <c r="G1503">
        <v>30</v>
      </c>
      <c r="H1503" t="str" cm="1">
        <f t="array" ref="H1503">_xlfn.IFS(
Table2[[#This Row],[AGE]]&lt;30,"Young",
Table2[[#This Row],[AGE]]&lt;40,"Middle Age",
Table2[[#This Row],[AGE]]&lt;50,"Senior",
TRUE,"Super Senior"
)</f>
        <v>Middle Age</v>
      </c>
      <c r="I1503">
        <v>1</v>
      </c>
      <c r="J1503">
        <v>-2</v>
      </c>
      <c r="K1503">
        <v>-2</v>
      </c>
      <c r="L1503">
        <v>-2</v>
      </c>
      <c r="M1503">
        <v>-2</v>
      </c>
      <c r="N1503">
        <v>-2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>
        <v>0</v>
      </c>
      <c r="AB1503" t="str">
        <f t="shared" si="23"/>
        <v>Not Defaulter</v>
      </c>
      <c r="AC1503" s="1">
        <f>Table2[[#This Row],[BILL_AMT1]]-Table2[[#This Row],[PAY_AMT1]]</f>
        <v>0</v>
      </c>
      <c r="AD1503" s="1" t="str" cm="1">
        <f t="array" ref="AD1503">_xlfn.IFS(Table2[[#This Row],[PAYMENT GAP]]&lt;=0,"No Gap / Overpaid",Table2[[#This Row],[PAYMENT GAP]]&lt;=25000,"Low Gap",Table2[[#This Row],[PAYMENT GAP]]&lt;=100000,"Medium Gap",
TRUE,"High Gap"
)</f>
        <v>No Gap / Overpaid</v>
      </c>
    </row>
    <row r="1504" spans="1:30" x14ac:dyDescent="0.3">
      <c r="A1504">
        <v>1503</v>
      </c>
      <c r="B1504" s="1">
        <v>240000</v>
      </c>
      <c r="C1504" s="1" t="str" cm="1">
        <f t="array" ref="C1504">_xlfn.IFS(Table2[[#This Row],[LIMIT_BAL]]&lt;=100000,"Low",Table2[[#This Row],[LIMIT_BAL]]&lt;=300000,"Medium",
TRUE,"High"
)</f>
        <v>Medium</v>
      </c>
      <c r="D1504" t="s">
        <v>2042</v>
      </c>
      <c r="E1504" t="s">
        <v>2043</v>
      </c>
      <c r="F1504" t="s">
        <v>2028</v>
      </c>
      <c r="G1504">
        <v>43</v>
      </c>
      <c r="H1504" t="str" cm="1">
        <f t="array" ref="H1504">_xlfn.IFS(
Table2[[#This Row],[AGE]]&lt;30,"Young",
Table2[[#This Row],[AGE]]&lt;40,"Middle Age",
Table2[[#This Row],[AGE]]&lt;50,"Senior",
TRUE,"Super Senior"
)</f>
        <v>Senior</v>
      </c>
      <c r="I1504">
        <v>-2</v>
      </c>
      <c r="J1504">
        <v>-2</v>
      </c>
      <c r="K1504">
        <v>-2</v>
      </c>
      <c r="L1504">
        <v>-2</v>
      </c>
      <c r="M1504">
        <v>-2</v>
      </c>
      <c r="N1504">
        <v>-2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>
        <v>0</v>
      </c>
      <c r="AB1504" t="str">
        <f t="shared" si="23"/>
        <v>Not Defaulter</v>
      </c>
      <c r="AC1504" s="1">
        <f>Table2[[#This Row],[BILL_AMT1]]-Table2[[#This Row],[PAY_AMT1]]</f>
        <v>0</v>
      </c>
      <c r="AD1504" s="1" t="str" cm="1">
        <f t="array" ref="AD1504">_xlfn.IFS(Table2[[#This Row],[PAYMENT GAP]]&lt;=0,"No Gap / Overpaid",Table2[[#This Row],[PAYMENT GAP]]&lt;=25000,"Low Gap",Table2[[#This Row],[PAYMENT GAP]]&lt;=100000,"Medium Gap",
TRUE,"High Gap"
)</f>
        <v>No Gap / Overpaid</v>
      </c>
    </row>
    <row r="1505" spans="1:30" x14ac:dyDescent="0.3">
      <c r="A1505">
        <v>1504</v>
      </c>
      <c r="B1505" s="1">
        <v>50000</v>
      </c>
      <c r="C1505" s="1" t="str" cm="1">
        <f t="array" ref="C1505">_xlfn.IFS(Table2[[#This Row],[LIMIT_BAL]]&lt;=100000,"Low",Table2[[#This Row],[LIMIT_BAL]]&lt;=300000,"Medium",
TRUE,"High"
)</f>
        <v>Low</v>
      </c>
      <c r="D1505" t="s">
        <v>2042</v>
      </c>
      <c r="E1505" t="s">
        <v>2027</v>
      </c>
      <c r="F1505" t="s">
        <v>2028</v>
      </c>
      <c r="G1505">
        <v>54</v>
      </c>
      <c r="H1505" t="str" cm="1">
        <f t="array" ref="H1505">_xlfn.IFS(
Table2[[#This Row],[AGE]]&lt;30,"Young",
Table2[[#This Row],[AGE]]&lt;40,"Middle Age",
Table2[[#This Row],[AGE]]&lt;50,"Senior",
TRUE,"Super Senior"
)</f>
        <v>Super Senior</v>
      </c>
      <c r="I1505">
        <v>0</v>
      </c>
      <c r="J1505">
        <v>0</v>
      </c>
      <c r="K1505">
        <v>0</v>
      </c>
      <c r="L1505">
        <v>-1</v>
      </c>
      <c r="M1505">
        <v>-1</v>
      </c>
      <c r="N1505">
        <v>0</v>
      </c>
      <c r="O1505" s="1">
        <v>50356</v>
      </c>
      <c r="P1505" s="1">
        <v>48981</v>
      </c>
      <c r="Q1505" s="1">
        <v>47942</v>
      </c>
      <c r="R1505" s="1">
        <v>1261</v>
      </c>
      <c r="S1505" s="1">
        <v>17147</v>
      </c>
      <c r="T1505" s="1">
        <v>16609</v>
      </c>
      <c r="U1505" s="1">
        <v>2000</v>
      </c>
      <c r="V1505" s="1">
        <v>1120</v>
      </c>
      <c r="W1505" s="1">
        <v>1300</v>
      </c>
      <c r="X1505" s="1">
        <v>17147</v>
      </c>
      <c r="Y1505" s="1">
        <v>1000</v>
      </c>
      <c r="Z1505" s="1">
        <v>1000</v>
      </c>
      <c r="AA1505">
        <v>0</v>
      </c>
      <c r="AB1505" t="str">
        <f t="shared" si="23"/>
        <v>Not Defaulter</v>
      </c>
      <c r="AC1505" s="1">
        <f>Table2[[#This Row],[BILL_AMT1]]-Table2[[#This Row],[PAY_AMT1]]</f>
        <v>48356</v>
      </c>
      <c r="AD1505" s="1" t="str" cm="1">
        <f t="array" ref="AD1505">_xlfn.IFS(Table2[[#This Row],[PAYMENT GAP]]&lt;=0,"No Gap / Overpaid",Table2[[#This Row],[PAYMENT GAP]]&lt;=25000,"Low Gap",Table2[[#This Row],[PAYMENT GAP]]&lt;=100000,"Medium Gap",
TRUE,"High Gap"
)</f>
        <v>Medium Gap</v>
      </c>
    </row>
    <row r="1506" spans="1:30" x14ac:dyDescent="0.3">
      <c r="A1506">
        <v>1505</v>
      </c>
      <c r="B1506" s="1">
        <v>310000</v>
      </c>
      <c r="C1506" s="1" t="str" cm="1">
        <f t="array" ref="C1506">_xlfn.IFS(Table2[[#This Row],[LIMIT_BAL]]&lt;=100000,"Low",Table2[[#This Row],[LIMIT_BAL]]&lt;=300000,"Medium",
TRUE,"High"
)</f>
        <v>High</v>
      </c>
      <c r="D1506" t="s">
        <v>2041</v>
      </c>
      <c r="E1506" t="s">
        <v>2043</v>
      </c>
      <c r="F1506" t="s">
        <v>2028</v>
      </c>
      <c r="G1506">
        <v>39</v>
      </c>
      <c r="H1506" t="str" cm="1">
        <f t="array" ref="H1506">_xlfn.IFS(
Table2[[#This Row],[AGE]]&lt;30,"Young",
Table2[[#This Row],[AGE]]&lt;40,"Middle Age",
Table2[[#This Row],[AGE]]&lt;50,"Senior",
TRUE,"Super Senior"
)</f>
        <v>Middle Age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 s="1">
        <v>7246</v>
      </c>
      <c r="P1506" s="1">
        <v>6713</v>
      </c>
      <c r="Q1506" s="1">
        <v>9507</v>
      </c>
      <c r="R1506" s="1">
        <v>8894</v>
      </c>
      <c r="S1506" s="1">
        <v>7418</v>
      </c>
      <c r="T1506" s="1">
        <v>12154</v>
      </c>
      <c r="U1506" s="1">
        <v>1155</v>
      </c>
      <c r="V1506" s="1">
        <v>4507</v>
      </c>
      <c r="W1506" s="1">
        <v>1000</v>
      </c>
      <c r="X1506" s="1">
        <v>283</v>
      </c>
      <c r="Y1506" s="1">
        <v>7482</v>
      </c>
      <c r="Z1506" s="1">
        <v>2473</v>
      </c>
      <c r="AA1506">
        <v>0</v>
      </c>
      <c r="AB1506" t="str">
        <f t="shared" si="23"/>
        <v>Not Defaulter</v>
      </c>
      <c r="AC1506" s="1">
        <f>Table2[[#This Row],[BILL_AMT1]]-Table2[[#This Row],[PAY_AMT1]]</f>
        <v>6091</v>
      </c>
      <c r="AD1506" s="1" t="str" cm="1">
        <f t="array" ref="AD1506">_xlfn.IFS(Table2[[#This Row],[PAYMENT GAP]]&lt;=0,"No Gap / Overpaid",Table2[[#This Row],[PAYMENT GAP]]&lt;=25000,"Low Gap",Table2[[#This Row],[PAYMENT GAP]]&lt;=100000,"Medium Gap",
TRUE,"High Gap"
)</f>
        <v>Low Gap</v>
      </c>
    </row>
    <row r="1507" spans="1:30" x14ac:dyDescent="0.3">
      <c r="A1507">
        <v>1506</v>
      </c>
      <c r="B1507" s="1">
        <v>350000</v>
      </c>
      <c r="C1507" s="1" t="str" cm="1">
        <f t="array" ref="C1507">_xlfn.IFS(Table2[[#This Row],[LIMIT_BAL]]&lt;=100000,"Low",Table2[[#This Row],[LIMIT_BAL]]&lt;=300000,"Medium",
TRUE,"High"
)</f>
        <v>High</v>
      </c>
      <c r="D1507" t="s">
        <v>2042</v>
      </c>
      <c r="E1507" t="s">
        <v>2026</v>
      </c>
      <c r="F1507" t="s">
        <v>2028</v>
      </c>
      <c r="G1507">
        <v>70</v>
      </c>
      <c r="H1507" t="str" cm="1">
        <f t="array" ref="H1507">_xlfn.IFS(
Table2[[#This Row],[AGE]]&lt;30,"Young",
Table2[[#This Row],[AGE]]&lt;40,"Middle Age",
Table2[[#This Row],[AGE]]&lt;50,"Senior",
TRUE,"Super Senior"
)</f>
        <v>Super Senior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 s="1">
        <v>100895</v>
      </c>
      <c r="P1507" s="1">
        <v>70244</v>
      </c>
      <c r="Q1507" s="1">
        <v>64839</v>
      </c>
      <c r="R1507" s="1">
        <v>57583</v>
      </c>
      <c r="S1507" s="1">
        <v>45554</v>
      </c>
      <c r="T1507" s="1">
        <v>37063</v>
      </c>
      <c r="U1507" s="1">
        <v>3371</v>
      </c>
      <c r="V1507" s="1">
        <v>2089</v>
      </c>
      <c r="W1507" s="1">
        <v>3008</v>
      </c>
      <c r="X1507" s="1">
        <v>1300</v>
      </c>
      <c r="Y1507" s="1">
        <v>1500</v>
      </c>
      <c r="Z1507" s="1">
        <v>1372</v>
      </c>
      <c r="AA1507">
        <v>0</v>
      </c>
      <c r="AB1507" t="str">
        <f t="shared" si="23"/>
        <v>Not Defaulter</v>
      </c>
      <c r="AC1507" s="1">
        <f>Table2[[#This Row],[BILL_AMT1]]-Table2[[#This Row],[PAY_AMT1]]</f>
        <v>97524</v>
      </c>
      <c r="AD1507" s="1" t="str" cm="1">
        <f t="array" ref="AD1507">_xlfn.IFS(Table2[[#This Row],[PAYMENT GAP]]&lt;=0,"No Gap / Overpaid",Table2[[#This Row],[PAYMENT GAP]]&lt;=25000,"Low Gap",Table2[[#This Row],[PAYMENT GAP]]&lt;=100000,"Medium Gap",
TRUE,"High Gap"
)</f>
        <v>Medium Gap</v>
      </c>
    </row>
    <row r="1508" spans="1:30" x14ac:dyDescent="0.3">
      <c r="A1508">
        <v>1507</v>
      </c>
      <c r="B1508" s="1">
        <v>50000</v>
      </c>
      <c r="C1508" s="1" t="str" cm="1">
        <f t="array" ref="C1508">_xlfn.IFS(Table2[[#This Row],[LIMIT_BAL]]&lt;=100000,"Low",Table2[[#This Row],[LIMIT_BAL]]&lt;=300000,"Medium",
TRUE,"High"
)</f>
        <v>Low</v>
      </c>
      <c r="D1508" t="s">
        <v>2041</v>
      </c>
      <c r="E1508" t="s">
        <v>2026</v>
      </c>
      <c r="F1508" t="s">
        <v>2029</v>
      </c>
      <c r="G1508">
        <v>24</v>
      </c>
      <c r="H1508" t="str" cm="1">
        <f t="array" ref="H1508">_xlfn.IFS(
Table2[[#This Row],[AGE]]&lt;30,"Young",
Table2[[#This Row],[AGE]]&lt;40,"Middle Age",
Table2[[#This Row],[AGE]]&lt;50,"Senior",
TRUE,"Super Senior"
)</f>
        <v>Young</v>
      </c>
      <c r="I1508">
        <v>-1</v>
      </c>
      <c r="J1508">
        <v>-1</v>
      </c>
      <c r="K1508">
        <v>-1</v>
      </c>
      <c r="L1508">
        <v>-1</v>
      </c>
      <c r="M1508">
        <v>-1</v>
      </c>
      <c r="N1508">
        <v>-1</v>
      </c>
      <c r="O1508" s="1">
        <v>629</v>
      </c>
      <c r="P1508" s="1">
        <v>351</v>
      </c>
      <c r="Q1508" s="1">
        <v>784</v>
      </c>
      <c r="R1508" s="1">
        <v>696</v>
      </c>
      <c r="S1508" s="1">
        <v>800</v>
      </c>
      <c r="T1508" s="1">
        <v>341</v>
      </c>
      <c r="U1508" s="1">
        <v>351</v>
      </c>
      <c r="V1508" s="1">
        <v>789</v>
      </c>
      <c r="W1508" s="1">
        <v>699</v>
      </c>
      <c r="X1508" s="1">
        <v>910</v>
      </c>
      <c r="Y1508" s="1">
        <v>341</v>
      </c>
      <c r="Z1508" s="1">
        <v>210</v>
      </c>
      <c r="AA1508">
        <v>0</v>
      </c>
      <c r="AB1508" t="str">
        <f t="shared" si="23"/>
        <v>Not Defaulter</v>
      </c>
      <c r="AC1508" s="1">
        <f>Table2[[#This Row],[BILL_AMT1]]-Table2[[#This Row],[PAY_AMT1]]</f>
        <v>278</v>
      </c>
      <c r="AD1508" s="1" t="str" cm="1">
        <f t="array" ref="AD1508">_xlfn.IFS(Table2[[#This Row],[PAYMENT GAP]]&lt;=0,"No Gap / Overpaid",Table2[[#This Row],[PAYMENT GAP]]&lt;=25000,"Low Gap",Table2[[#This Row],[PAYMENT GAP]]&lt;=100000,"Medium Gap",
TRUE,"High Gap"
)</f>
        <v>Low Gap</v>
      </c>
    </row>
    <row r="1509" spans="1:30" x14ac:dyDescent="0.3">
      <c r="A1509">
        <v>1508</v>
      </c>
      <c r="B1509" s="1">
        <v>200000</v>
      </c>
      <c r="C1509" s="1" t="str" cm="1">
        <f t="array" ref="C1509">_xlfn.IFS(Table2[[#This Row],[LIMIT_BAL]]&lt;=100000,"Low",Table2[[#This Row],[LIMIT_BAL]]&lt;=300000,"Medium",
TRUE,"High"
)</f>
        <v>Medium</v>
      </c>
      <c r="D1509" t="s">
        <v>2041</v>
      </c>
      <c r="E1509" t="s">
        <v>2043</v>
      </c>
      <c r="F1509" t="s">
        <v>2028</v>
      </c>
      <c r="G1509">
        <v>30</v>
      </c>
      <c r="H1509" t="str" cm="1">
        <f t="array" ref="H1509">_xlfn.IFS(
Table2[[#This Row],[AGE]]&lt;30,"Young",
Table2[[#This Row],[AGE]]&lt;40,"Middle Age",
Table2[[#This Row],[AGE]]&lt;50,"Senior",
TRUE,"Super Senior"
)</f>
        <v>Middle Age</v>
      </c>
      <c r="I1509">
        <v>1</v>
      </c>
      <c r="J1509">
        <v>-2</v>
      </c>
      <c r="K1509">
        <v>-1</v>
      </c>
      <c r="L1509">
        <v>0</v>
      </c>
      <c r="M1509">
        <v>0</v>
      </c>
      <c r="N1509">
        <v>0</v>
      </c>
      <c r="O1509" s="1">
        <v>26223</v>
      </c>
      <c r="P1509" s="1">
        <v>-137</v>
      </c>
      <c r="Q1509" s="1">
        <v>73284</v>
      </c>
      <c r="R1509" s="1">
        <v>65428</v>
      </c>
      <c r="S1509" s="1">
        <v>65820</v>
      </c>
      <c r="T1509" s="1">
        <v>2859</v>
      </c>
      <c r="U1509" s="1">
        <v>0</v>
      </c>
      <c r="V1509" s="1">
        <v>73421</v>
      </c>
      <c r="W1509" s="1">
        <v>1309</v>
      </c>
      <c r="X1509" s="1">
        <v>392</v>
      </c>
      <c r="Y1509" s="1">
        <v>2859</v>
      </c>
      <c r="Z1509" s="1">
        <v>1250</v>
      </c>
      <c r="AA1509">
        <v>0</v>
      </c>
      <c r="AB1509" t="str">
        <f t="shared" si="23"/>
        <v>Not Defaulter</v>
      </c>
      <c r="AC1509" s="1">
        <f>Table2[[#This Row],[BILL_AMT1]]-Table2[[#This Row],[PAY_AMT1]]</f>
        <v>26223</v>
      </c>
      <c r="AD1509" s="1" t="str" cm="1">
        <f t="array" ref="AD1509">_xlfn.IFS(Table2[[#This Row],[PAYMENT GAP]]&lt;=0,"No Gap / Overpaid",Table2[[#This Row],[PAYMENT GAP]]&lt;=25000,"Low Gap",Table2[[#This Row],[PAYMENT GAP]]&lt;=100000,"Medium Gap",
TRUE,"High Gap"
)</f>
        <v>Medium Gap</v>
      </c>
    </row>
    <row r="1510" spans="1:30" x14ac:dyDescent="0.3">
      <c r="A1510">
        <v>1509</v>
      </c>
      <c r="B1510" s="1">
        <v>480000</v>
      </c>
      <c r="C1510" s="1" t="str" cm="1">
        <f t="array" ref="C1510">_xlfn.IFS(Table2[[#This Row],[LIMIT_BAL]]&lt;=100000,"Low",Table2[[#This Row],[LIMIT_BAL]]&lt;=300000,"Medium",
TRUE,"High"
)</f>
        <v>High</v>
      </c>
      <c r="D1510" t="s">
        <v>2042</v>
      </c>
      <c r="E1510" t="s">
        <v>2027</v>
      </c>
      <c r="F1510" t="s">
        <v>2029</v>
      </c>
      <c r="G1510">
        <v>53</v>
      </c>
      <c r="H1510" t="str" cm="1">
        <f t="array" ref="H1510">_xlfn.IFS(
Table2[[#This Row],[AGE]]&lt;30,"Young",
Table2[[#This Row],[AGE]]&lt;40,"Middle Age",
Table2[[#This Row],[AGE]]&lt;50,"Senior",
TRUE,"Super Senior"
)</f>
        <v>Super Senior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 s="1">
        <v>482250</v>
      </c>
      <c r="P1510" s="1">
        <v>475931</v>
      </c>
      <c r="Q1510" s="1">
        <v>429037</v>
      </c>
      <c r="R1510" s="1">
        <v>383821</v>
      </c>
      <c r="S1510" s="1">
        <v>369920</v>
      </c>
      <c r="T1510" s="1">
        <v>699944</v>
      </c>
      <c r="U1510" s="1">
        <v>18093</v>
      </c>
      <c r="V1510" s="1">
        <v>15233</v>
      </c>
      <c r="W1510" s="1">
        <v>12597</v>
      </c>
      <c r="X1510" s="1">
        <v>15098</v>
      </c>
      <c r="Y1510" s="1">
        <v>14155</v>
      </c>
      <c r="Z1510" s="1">
        <v>20306</v>
      </c>
      <c r="AA1510">
        <v>0</v>
      </c>
      <c r="AB1510" t="str">
        <f t="shared" si="23"/>
        <v>Not Defaulter</v>
      </c>
      <c r="AC1510" s="1">
        <f>Table2[[#This Row],[BILL_AMT1]]-Table2[[#This Row],[PAY_AMT1]]</f>
        <v>464157</v>
      </c>
      <c r="AD1510" s="1" t="str" cm="1">
        <f t="array" ref="AD1510">_xlfn.IFS(Table2[[#This Row],[PAYMENT GAP]]&lt;=0,"No Gap / Overpaid",Table2[[#This Row],[PAYMENT GAP]]&lt;=25000,"Low Gap",Table2[[#This Row],[PAYMENT GAP]]&lt;=100000,"Medium Gap",
TRUE,"High Gap"
)</f>
        <v>High Gap</v>
      </c>
    </row>
    <row r="1511" spans="1:30" x14ac:dyDescent="0.3">
      <c r="A1511">
        <v>1510</v>
      </c>
      <c r="B1511" s="1">
        <v>180000</v>
      </c>
      <c r="C1511" s="1" t="str" cm="1">
        <f t="array" ref="C1511">_xlfn.IFS(Table2[[#This Row],[LIMIT_BAL]]&lt;=100000,"Low",Table2[[#This Row],[LIMIT_BAL]]&lt;=300000,"Medium",
TRUE,"High"
)</f>
        <v>Medium</v>
      </c>
      <c r="D1511" t="s">
        <v>2041</v>
      </c>
      <c r="E1511" t="s">
        <v>2026</v>
      </c>
      <c r="F1511" t="s">
        <v>2028</v>
      </c>
      <c r="G1511">
        <v>27</v>
      </c>
      <c r="H1511" t="str" cm="1">
        <f t="array" ref="H1511">_xlfn.IFS(
Table2[[#This Row],[AGE]]&lt;30,"Young",
Table2[[#This Row],[AGE]]&lt;40,"Middle Age",
Table2[[#This Row],[AGE]]&lt;50,"Senior",
TRUE,"Super Senior"
)</f>
        <v>Young</v>
      </c>
      <c r="I1511">
        <v>2</v>
      </c>
      <c r="J1511">
        <v>2</v>
      </c>
      <c r="K1511">
        <v>2</v>
      </c>
      <c r="L1511">
        <v>2</v>
      </c>
      <c r="M1511">
        <v>2</v>
      </c>
      <c r="N1511">
        <v>0</v>
      </c>
      <c r="O1511" s="1">
        <v>81044</v>
      </c>
      <c r="P1511" s="1">
        <v>78403</v>
      </c>
      <c r="Q1511" s="1">
        <v>58083</v>
      </c>
      <c r="R1511" s="1">
        <v>58244</v>
      </c>
      <c r="S1511" s="1">
        <v>56041</v>
      </c>
      <c r="T1511" s="1">
        <v>50816</v>
      </c>
      <c r="U1511" s="1">
        <v>2600</v>
      </c>
      <c r="V1511" s="1">
        <v>0</v>
      </c>
      <c r="W1511" s="1">
        <v>4700</v>
      </c>
      <c r="X1511" s="1">
        <v>0</v>
      </c>
      <c r="Y1511" s="1">
        <v>2500</v>
      </c>
      <c r="Z1511" s="1">
        <v>1092</v>
      </c>
      <c r="AA1511">
        <v>1</v>
      </c>
      <c r="AB1511" t="str">
        <f t="shared" si="23"/>
        <v>Defaulter</v>
      </c>
      <c r="AC1511" s="1">
        <f>Table2[[#This Row],[BILL_AMT1]]-Table2[[#This Row],[PAY_AMT1]]</f>
        <v>78444</v>
      </c>
      <c r="AD1511" s="1" t="str" cm="1">
        <f t="array" ref="AD1511">_xlfn.IFS(Table2[[#This Row],[PAYMENT GAP]]&lt;=0,"No Gap / Overpaid",Table2[[#This Row],[PAYMENT GAP]]&lt;=25000,"Low Gap",Table2[[#This Row],[PAYMENT GAP]]&lt;=100000,"Medium Gap",
TRUE,"High Gap"
)</f>
        <v>Medium Gap</v>
      </c>
    </row>
    <row r="1512" spans="1:30" x14ac:dyDescent="0.3">
      <c r="A1512">
        <v>1511</v>
      </c>
      <c r="B1512" s="1">
        <v>200000</v>
      </c>
      <c r="C1512" s="1" t="str" cm="1">
        <f t="array" ref="C1512">_xlfn.IFS(Table2[[#This Row],[LIMIT_BAL]]&lt;=100000,"Low",Table2[[#This Row],[LIMIT_BAL]]&lt;=300000,"Medium",
TRUE,"High"
)</f>
        <v>Medium</v>
      </c>
      <c r="D1512" t="s">
        <v>2041</v>
      </c>
      <c r="E1512" t="s">
        <v>2043</v>
      </c>
      <c r="F1512" t="s">
        <v>2029</v>
      </c>
      <c r="G1512">
        <v>33</v>
      </c>
      <c r="H1512" t="str" cm="1">
        <f t="array" ref="H1512">_xlfn.IFS(
Table2[[#This Row],[AGE]]&lt;30,"Young",
Table2[[#This Row],[AGE]]&lt;40,"Middle Age",
Table2[[#This Row],[AGE]]&lt;50,"Senior",
TRUE,"Super Senior"
)</f>
        <v>Middle Age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 s="1">
        <v>184676</v>
      </c>
      <c r="P1512" s="1">
        <v>178491</v>
      </c>
      <c r="Q1512" s="1">
        <v>169860</v>
      </c>
      <c r="R1512" s="1">
        <v>165713</v>
      </c>
      <c r="S1512" s="1">
        <v>168199</v>
      </c>
      <c r="T1512" s="1">
        <v>160769</v>
      </c>
      <c r="U1512" s="1">
        <v>7900</v>
      </c>
      <c r="V1512" s="1">
        <v>6112</v>
      </c>
      <c r="W1512" s="1">
        <v>6000</v>
      </c>
      <c r="X1512" s="1">
        <v>6000</v>
      </c>
      <c r="Y1512" s="1">
        <v>5838</v>
      </c>
      <c r="Z1512" s="1">
        <v>5900</v>
      </c>
      <c r="AA1512">
        <v>0</v>
      </c>
      <c r="AB1512" t="str">
        <f t="shared" si="23"/>
        <v>Not Defaulter</v>
      </c>
      <c r="AC1512" s="1">
        <f>Table2[[#This Row],[BILL_AMT1]]-Table2[[#This Row],[PAY_AMT1]]</f>
        <v>176776</v>
      </c>
      <c r="AD1512" s="1" t="str" cm="1">
        <f t="array" ref="AD1512">_xlfn.IFS(Table2[[#This Row],[PAYMENT GAP]]&lt;=0,"No Gap / Overpaid",Table2[[#This Row],[PAYMENT GAP]]&lt;=25000,"Low Gap",Table2[[#This Row],[PAYMENT GAP]]&lt;=100000,"Medium Gap",
TRUE,"High Gap"
)</f>
        <v>High Gap</v>
      </c>
    </row>
    <row r="1513" spans="1:30" x14ac:dyDescent="0.3">
      <c r="A1513">
        <v>1512</v>
      </c>
      <c r="B1513" s="1">
        <v>20000</v>
      </c>
      <c r="C1513" s="1" t="str" cm="1">
        <f t="array" ref="C1513">_xlfn.IFS(Table2[[#This Row],[LIMIT_BAL]]&lt;=100000,"Low",Table2[[#This Row],[LIMIT_BAL]]&lt;=300000,"Medium",
TRUE,"High"
)</f>
        <v>Low</v>
      </c>
      <c r="D1513" t="s">
        <v>2042</v>
      </c>
      <c r="E1513" t="s">
        <v>2027</v>
      </c>
      <c r="F1513" t="s">
        <v>2028</v>
      </c>
      <c r="G1513">
        <v>34</v>
      </c>
      <c r="H1513" t="str" cm="1">
        <f t="array" ref="H1513">_xlfn.IFS(
Table2[[#This Row],[AGE]]&lt;30,"Young",
Table2[[#This Row],[AGE]]&lt;40,"Middle Age",
Table2[[#This Row],[AGE]]&lt;50,"Senior",
TRUE,"Super Senior"
)</f>
        <v>Middle Age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 s="1">
        <v>15736</v>
      </c>
      <c r="P1513" s="1">
        <v>16762</v>
      </c>
      <c r="Q1513" s="1">
        <v>17774</v>
      </c>
      <c r="R1513" s="1">
        <v>18125</v>
      </c>
      <c r="S1513" s="1">
        <v>18507</v>
      </c>
      <c r="T1513" s="1">
        <v>19063</v>
      </c>
      <c r="U1513" s="1">
        <v>1284</v>
      </c>
      <c r="V1513" s="1">
        <v>1296</v>
      </c>
      <c r="W1513" s="1">
        <v>647</v>
      </c>
      <c r="X1513" s="1">
        <v>672</v>
      </c>
      <c r="Y1513" s="1">
        <v>864</v>
      </c>
      <c r="Z1513" s="1">
        <v>1506</v>
      </c>
      <c r="AA1513">
        <v>0</v>
      </c>
      <c r="AB1513" t="str">
        <f t="shared" si="23"/>
        <v>Not Defaulter</v>
      </c>
      <c r="AC1513" s="1">
        <f>Table2[[#This Row],[BILL_AMT1]]-Table2[[#This Row],[PAY_AMT1]]</f>
        <v>14452</v>
      </c>
      <c r="AD1513" s="1" t="str" cm="1">
        <f t="array" ref="AD1513">_xlfn.IFS(Table2[[#This Row],[PAYMENT GAP]]&lt;=0,"No Gap / Overpaid",Table2[[#This Row],[PAYMENT GAP]]&lt;=25000,"Low Gap",Table2[[#This Row],[PAYMENT GAP]]&lt;=100000,"Medium Gap",
TRUE,"High Gap"
)</f>
        <v>Low Gap</v>
      </c>
    </row>
    <row r="1514" spans="1:30" x14ac:dyDescent="0.3">
      <c r="A1514">
        <v>1513</v>
      </c>
      <c r="B1514" s="1">
        <v>50000</v>
      </c>
      <c r="C1514" s="1" t="str" cm="1">
        <f t="array" ref="C1514">_xlfn.IFS(Table2[[#This Row],[LIMIT_BAL]]&lt;=100000,"Low",Table2[[#This Row],[LIMIT_BAL]]&lt;=300000,"Medium",
TRUE,"High"
)</f>
        <v>Low</v>
      </c>
      <c r="D1514" t="s">
        <v>2042</v>
      </c>
      <c r="E1514" t="s">
        <v>2043</v>
      </c>
      <c r="F1514" t="s">
        <v>2029</v>
      </c>
      <c r="G1514">
        <v>48</v>
      </c>
      <c r="H1514" t="str" cm="1">
        <f t="array" ref="H1514">_xlfn.IFS(
Table2[[#This Row],[AGE]]&lt;30,"Young",
Table2[[#This Row],[AGE]]&lt;40,"Middle Age",
Table2[[#This Row],[AGE]]&lt;50,"Senior",
TRUE,"Super Senior"
)</f>
        <v>Senior</v>
      </c>
      <c r="I1514">
        <v>0</v>
      </c>
      <c r="J1514">
        <v>0</v>
      </c>
      <c r="K1514">
        <v>0</v>
      </c>
      <c r="L1514">
        <v>-1</v>
      </c>
      <c r="M1514">
        <v>0</v>
      </c>
      <c r="N1514">
        <v>0</v>
      </c>
      <c r="O1514" s="1">
        <v>51631</v>
      </c>
      <c r="P1514" s="1">
        <v>45223</v>
      </c>
      <c r="Q1514" s="1">
        <v>45461</v>
      </c>
      <c r="R1514" s="1">
        <v>18354</v>
      </c>
      <c r="S1514" s="1">
        <v>19118</v>
      </c>
      <c r="T1514" s="1">
        <v>19404</v>
      </c>
      <c r="U1514" s="1">
        <v>1800</v>
      </c>
      <c r="V1514" s="1">
        <v>1005</v>
      </c>
      <c r="W1514" s="1">
        <v>19763</v>
      </c>
      <c r="X1514" s="1">
        <v>1000</v>
      </c>
      <c r="Y1514" s="1">
        <v>1000</v>
      </c>
      <c r="Z1514" s="1">
        <v>1000</v>
      </c>
      <c r="AA1514">
        <v>0</v>
      </c>
      <c r="AB1514" t="str">
        <f t="shared" si="23"/>
        <v>Not Defaulter</v>
      </c>
      <c r="AC1514" s="1">
        <f>Table2[[#This Row],[BILL_AMT1]]-Table2[[#This Row],[PAY_AMT1]]</f>
        <v>49831</v>
      </c>
      <c r="AD1514" s="1" t="str" cm="1">
        <f t="array" ref="AD1514">_xlfn.IFS(Table2[[#This Row],[PAYMENT GAP]]&lt;=0,"No Gap / Overpaid",Table2[[#This Row],[PAYMENT GAP]]&lt;=25000,"Low Gap",Table2[[#This Row],[PAYMENT GAP]]&lt;=100000,"Medium Gap",
TRUE,"High Gap"
)</f>
        <v>Medium Gap</v>
      </c>
    </row>
    <row r="1515" spans="1:30" x14ac:dyDescent="0.3">
      <c r="A1515">
        <v>1514</v>
      </c>
      <c r="B1515" s="1">
        <v>210000</v>
      </c>
      <c r="C1515" s="1" t="str" cm="1">
        <f t="array" ref="C1515">_xlfn.IFS(Table2[[#This Row],[LIMIT_BAL]]&lt;=100000,"Low",Table2[[#This Row],[LIMIT_BAL]]&lt;=300000,"Medium",
TRUE,"High"
)</f>
        <v>Medium</v>
      </c>
      <c r="D1515" t="s">
        <v>2041</v>
      </c>
      <c r="E1515" t="s">
        <v>2027</v>
      </c>
      <c r="F1515" t="s">
        <v>2029</v>
      </c>
      <c r="G1515">
        <v>33</v>
      </c>
      <c r="H1515" t="str" cm="1">
        <f t="array" ref="H1515">_xlfn.IFS(
Table2[[#This Row],[AGE]]&lt;30,"Young",
Table2[[#This Row],[AGE]]&lt;40,"Middle Age",
Table2[[#This Row],[AGE]]&lt;50,"Senior",
TRUE,"Super Senior"
)</f>
        <v>Middle Age</v>
      </c>
      <c r="I1515">
        <v>1</v>
      </c>
      <c r="J1515">
        <v>-2</v>
      </c>
      <c r="K1515">
        <v>-1</v>
      </c>
      <c r="L1515">
        <v>-1</v>
      </c>
      <c r="M1515">
        <v>-1</v>
      </c>
      <c r="N1515">
        <v>-1</v>
      </c>
      <c r="O1515" s="1">
        <v>0</v>
      </c>
      <c r="P1515" s="1">
        <v>0</v>
      </c>
      <c r="Q1515" s="1">
        <v>3104</v>
      </c>
      <c r="R1515" s="1">
        <v>4056</v>
      </c>
      <c r="S1515" s="1">
        <v>565</v>
      </c>
      <c r="T1515" s="1">
        <v>960</v>
      </c>
      <c r="U1515" s="1">
        <v>0</v>
      </c>
      <c r="V1515" s="1">
        <v>3104</v>
      </c>
      <c r="W1515" s="1">
        <v>4056</v>
      </c>
      <c r="X1515" s="1">
        <v>565</v>
      </c>
      <c r="Y1515" s="1">
        <v>960</v>
      </c>
      <c r="Z1515" s="1">
        <v>1958</v>
      </c>
      <c r="AA1515">
        <v>1</v>
      </c>
      <c r="AB1515" t="str">
        <f t="shared" si="23"/>
        <v>Defaulter</v>
      </c>
      <c r="AC1515" s="1">
        <f>Table2[[#This Row],[BILL_AMT1]]-Table2[[#This Row],[PAY_AMT1]]</f>
        <v>0</v>
      </c>
      <c r="AD1515" s="1" t="str" cm="1">
        <f t="array" ref="AD1515">_xlfn.IFS(Table2[[#This Row],[PAYMENT GAP]]&lt;=0,"No Gap / Overpaid",Table2[[#This Row],[PAYMENT GAP]]&lt;=25000,"Low Gap",Table2[[#This Row],[PAYMENT GAP]]&lt;=100000,"Medium Gap",
TRUE,"High Gap"
)</f>
        <v>No Gap / Overpaid</v>
      </c>
    </row>
    <row r="1516" spans="1:30" x14ac:dyDescent="0.3">
      <c r="A1516">
        <v>1515</v>
      </c>
      <c r="B1516" s="1">
        <v>20000</v>
      </c>
      <c r="C1516" s="1" t="str" cm="1">
        <f t="array" ref="C1516">_xlfn.IFS(Table2[[#This Row],[LIMIT_BAL]]&lt;=100000,"Low",Table2[[#This Row],[LIMIT_BAL]]&lt;=300000,"Medium",
TRUE,"High"
)</f>
        <v>Low</v>
      </c>
      <c r="D1516" t="s">
        <v>2041</v>
      </c>
      <c r="E1516" t="s">
        <v>2043</v>
      </c>
      <c r="F1516" t="s">
        <v>2029</v>
      </c>
      <c r="G1516">
        <v>24</v>
      </c>
      <c r="H1516" t="str" cm="1">
        <f t="array" ref="H1516">_xlfn.IFS(
Table2[[#This Row],[AGE]]&lt;30,"Young",
Table2[[#This Row],[AGE]]&lt;40,"Middle Age",
Table2[[#This Row],[AGE]]&lt;50,"Senior",
TRUE,"Super Senior"
)</f>
        <v>Young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 s="1">
        <v>19433</v>
      </c>
      <c r="P1516" s="1">
        <v>20508</v>
      </c>
      <c r="Q1516" s="1">
        <v>19662</v>
      </c>
      <c r="R1516" s="1">
        <v>20001</v>
      </c>
      <c r="S1516" s="1">
        <v>16448</v>
      </c>
      <c r="T1516" s="1">
        <v>16774</v>
      </c>
      <c r="U1516" s="1">
        <v>1700</v>
      </c>
      <c r="V1516" s="1">
        <v>1300</v>
      </c>
      <c r="W1516" s="1">
        <v>600</v>
      </c>
      <c r="X1516" s="1">
        <v>600</v>
      </c>
      <c r="Y1516" s="1">
        <v>600</v>
      </c>
      <c r="Z1516" s="1">
        <v>622</v>
      </c>
      <c r="AA1516">
        <v>0</v>
      </c>
      <c r="AB1516" t="str">
        <f t="shared" si="23"/>
        <v>Not Defaulter</v>
      </c>
      <c r="AC1516" s="1">
        <f>Table2[[#This Row],[BILL_AMT1]]-Table2[[#This Row],[PAY_AMT1]]</f>
        <v>17733</v>
      </c>
      <c r="AD1516" s="1" t="str" cm="1">
        <f t="array" ref="AD1516">_xlfn.IFS(Table2[[#This Row],[PAYMENT GAP]]&lt;=0,"No Gap / Overpaid",Table2[[#This Row],[PAYMENT GAP]]&lt;=25000,"Low Gap",Table2[[#This Row],[PAYMENT GAP]]&lt;=100000,"Medium Gap",
TRUE,"High Gap"
)</f>
        <v>Low Gap</v>
      </c>
    </row>
    <row r="1517" spans="1:30" x14ac:dyDescent="0.3">
      <c r="A1517">
        <v>1516</v>
      </c>
      <c r="B1517" s="1">
        <v>150000</v>
      </c>
      <c r="C1517" s="1" t="str" cm="1">
        <f t="array" ref="C1517">_xlfn.IFS(Table2[[#This Row],[LIMIT_BAL]]&lt;=100000,"Low",Table2[[#This Row],[LIMIT_BAL]]&lt;=300000,"Medium",
TRUE,"High"
)</f>
        <v>Medium</v>
      </c>
      <c r="D1517" t="s">
        <v>2041</v>
      </c>
      <c r="E1517" t="s">
        <v>2043</v>
      </c>
      <c r="F1517" t="s">
        <v>2028</v>
      </c>
      <c r="G1517">
        <v>31</v>
      </c>
      <c r="H1517" t="str" cm="1">
        <f t="array" ref="H1517">_xlfn.IFS(
Table2[[#This Row],[AGE]]&lt;30,"Young",
Table2[[#This Row],[AGE]]&lt;40,"Middle Age",
Table2[[#This Row],[AGE]]&lt;50,"Senior",
TRUE,"Super Senior"
)</f>
        <v>Middle Age</v>
      </c>
      <c r="I1517">
        <v>1</v>
      </c>
      <c r="J1517">
        <v>-2</v>
      </c>
      <c r="K1517">
        <v>-1</v>
      </c>
      <c r="L1517">
        <v>-1</v>
      </c>
      <c r="M1517">
        <v>-1</v>
      </c>
      <c r="N1517">
        <v>-2</v>
      </c>
      <c r="O1517" s="1">
        <v>6526</v>
      </c>
      <c r="P1517" s="1">
        <v>779</v>
      </c>
      <c r="Q1517" s="1">
        <v>8927</v>
      </c>
      <c r="R1517" s="1">
        <v>8660</v>
      </c>
      <c r="S1517" s="1">
        <v>692</v>
      </c>
      <c r="T1517" s="1">
        <v>0</v>
      </c>
      <c r="U1517" s="1">
        <v>783</v>
      </c>
      <c r="V1517" s="1">
        <v>9098</v>
      </c>
      <c r="W1517" s="1">
        <v>8660</v>
      </c>
      <c r="X1517" s="1">
        <v>698</v>
      </c>
      <c r="Y1517" s="1">
        <v>0</v>
      </c>
      <c r="Z1517" s="1">
        <v>0</v>
      </c>
      <c r="AA1517">
        <v>0</v>
      </c>
      <c r="AB1517" t="str">
        <f t="shared" si="23"/>
        <v>Not Defaulter</v>
      </c>
      <c r="AC1517" s="1">
        <f>Table2[[#This Row],[BILL_AMT1]]-Table2[[#This Row],[PAY_AMT1]]</f>
        <v>5743</v>
      </c>
      <c r="AD1517" s="1" t="str" cm="1">
        <f t="array" ref="AD1517">_xlfn.IFS(Table2[[#This Row],[PAYMENT GAP]]&lt;=0,"No Gap / Overpaid",Table2[[#This Row],[PAYMENT GAP]]&lt;=25000,"Low Gap",Table2[[#This Row],[PAYMENT GAP]]&lt;=100000,"Medium Gap",
TRUE,"High Gap"
)</f>
        <v>Low Gap</v>
      </c>
    </row>
    <row r="1518" spans="1:30" x14ac:dyDescent="0.3">
      <c r="A1518">
        <v>1517</v>
      </c>
      <c r="B1518" s="1">
        <v>50000</v>
      </c>
      <c r="C1518" s="1" t="str" cm="1">
        <f t="array" ref="C1518">_xlfn.IFS(Table2[[#This Row],[LIMIT_BAL]]&lt;=100000,"Low",Table2[[#This Row],[LIMIT_BAL]]&lt;=300000,"Medium",
TRUE,"High"
)</f>
        <v>Low</v>
      </c>
      <c r="D1518" t="s">
        <v>2041</v>
      </c>
      <c r="E1518" t="s">
        <v>2043</v>
      </c>
      <c r="F1518" t="s">
        <v>2029</v>
      </c>
      <c r="G1518">
        <v>25</v>
      </c>
      <c r="H1518" t="str" cm="1">
        <f t="array" ref="H1518">_xlfn.IFS(
Table2[[#This Row],[AGE]]&lt;30,"Young",
Table2[[#This Row],[AGE]]&lt;40,"Middle Age",
Table2[[#This Row],[AGE]]&lt;50,"Senior",
TRUE,"Super Senior"
)</f>
        <v>Young</v>
      </c>
      <c r="I1518">
        <v>0</v>
      </c>
      <c r="J1518">
        <v>0</v>
      </c>
      <c r="K1518">
        <v>0</v>
      </c>
      <c r="L1518">
        <v>-1</v>
      </c>
      <c r="M1518">
        <v>-1</v>
      </c>
      <c r="N1518">
        <v>2</v>
      </c>
      <c r="O1518" s="1">
        <v>46528</v>
      </c>
      <c r="P1518" s="1">
        <v>47456</v>
      </c>
      <c r="Q1518" s="1">
        <v>36251</v>
      </c>
      <c r="R1518" s="1">
        <v>438</v>
      </c>
      <c r="S1518" s="1">
        <v>43367</v>
      </c>
      <c r="T1518" s="1">
        <v>44305</v>
      </c>
      <c r="U1518" s="1">
        <v>1794</v>
      </c>
      <c r="V1518" s="1">
        <v>1021</v>
      </c>
      <c r="W1518" s="1">
        <v>438</v>
      </c>
      <c r="X1518" s="1">
        <v>43367</v>
      </c>
      <c r="Y1518" s="1">
        <v>1800</v>
      </c>
      <c r="Z1518" s="1">
        <v>0</v>
      </c>
      <c r="AA1518">
        <v>0</v>
      </c>
      <c r="AB1518" t="str">
        <f t="shared" si="23"/>
        <v>Not Defaulter</v>
      </c>
      <c r="AC1518" s="1">
        <f>Table2[[#This Row],[BILL_AMT1]]-Table2[[#This Row],[PAY_AMT1]]</f>
        <v>44734</v>
      </c>
      <c r="AD1518" s="1" t="str" cm="1">
        <f t="array" ref="AD1518">_xlfn.IFS(Table2[[#This Row],[PAYMENT GAP]]&lt;=0,"No Gap / Overpaid",Table2[[#This Row],[PAYMENT GAP]]&lt;=25000,"Low Gap",Table2[[#This Row],[PAYMENT GAP]]&lt;=100000,"Medium Gap",
TRUE,"High Gap"
)</f>
        <v>Medium Gap</v>
      </c>
    </row>
    <row r="1519" spans="1:30" x14ac:dyDescent="0.3">
      <c r="A1519">
        <v>1518</v>
      </c>
      <c r="B1519" s="1">
        <v>190000</v>
      </c>
      <c r="C1519" s="1" t="str" cm="1">
        <f t="array" ref="C1519">_xlfn.IFS(Table2[[#This Row],[LIMIT_BAL]]&lt;=100000,"Low",Table2[[#This Row],[LIMIT_BAL]]&lt;=300000,"Medium",
TRUE,"High"
)</f>
        <v>Medium</v>
      </c>
      <c r="D1519" t="s">
        <v>2042</v>
      </c>
      <c r="E1519" t="s">
        <v>2027</v>
      </c>
      <c r="F1519" t="s">
        <v>2028</v>
      </c>
      <c r="G1519">
        <v>49</v>
      </c>
      <c r="H1519" t="str" cm="1">
        <f t="array" ref="H1519">_xlfn.IFS(
Table2[[#This Row],[AGE]]&lt;30,"Young",
Table2[[#This Row],[AGE]]&lt;40,"Middle Age",
Table2[[#This Row],[AGE]]&lt;50,"Senior",
TRUE,"Super Senior"
)</f>
        <v>Senior</v>
      </c>
      <c r="I1519">
        <v>2</v>
      </c>
      <c r="J1519">
        <v>2</v>
      </c>
      <c r="K1519">
        <v>2</v>
      </c>
      <c r="L1519">
        <v>2</v>
      </c>
      <c r="M1519">
        <v>2</v>
      </c>
      <c r="N1519">
        <v>2</v>
      </c>
      <c r="O1519" s="1">
        <v>178367</v>
      </c>
      <c r="P1519" s="1">
        <v>179062</v>
      </c>
      <c r="Q1519" s="1">
        <v>177663</v>
      </c>
      <c r="R1519" s="1">
        <v>180312</v>
      </c>
      <c r="S1519" s="1">
        <v>185910</v>
      </c>
      <c r="T1519" s="1">
        <v>191895</v>
      </c>
      <c r="U1519" s="1">
        <v>5000</v>
      </c>
      <c r="V1519" s="1">
        <v>3000</v>
      </c>
      <c r="W1519" s="1">
        <v>7100</v>
      </c>
      <c r="X1519" s="1">
        <v>8700</v>
      </c>
      <c r="Y1519" s="1">
        <v>9300</v>
      </c>
      <c r="Z1519" s="1">
        <v>9500</v>
      </c>
      <c r="AA1519">
        <v>1</v>
      </c>
      <c r="AB1519" t="str">
        <f t="shared" si="23"/>
        <v>Defaulter</v>
      </c>
      <c r="AC1519" s="1">
        <f>Table2[[#This Row],[BILL_AMT1]]-Table2[[#This Row],[PAY_AMT1]]</f>
        <v>173367</v>
      </c>
      <c r="AD1519" s="1" t="str" cm="1">
        <f t="array" ref="AD1519">_xlfn.IFS(Table2[[#This Row],[PAYMENT GAP]]&lt;=0,"No Gap / Overpaid",Table2[[#This Row],[PAYMENT GAP]]&lt;=25000,"Low Gap",Table2[[#This Row],[PAYMENT GAP]]&lt;=100000,"Medium Gap",
TRUE,"High Gap"
)</f>
        <v>High Gap</v>
      </c>
    </row>
    <row r="1520" spans="1:30" x14ac:dyDescent="0.3">
      <c r="A1520">
        <v>1519</v>
      </c>
      <c r="B1520" s="1">
        <v>290000</v>
      </c>
      <c r="C1520" s="1" t="str" cm="1">
        <f t="array" ref="C1520">_xlfn.IFS(Table2[[#This Row],[LIMIT_BAL]]&lt;=100000,"Low",Table2[[#This Row],[LIMIT_BAL]]&lt;=300000,"Medium",
TRUE,"High"
)</f>
        <v>Medium</v>
      </c>
      <c r="D1520" t="s">
        <v>2041</v>
      </c>
      <c r="E1520" t="s">
        <v>2026</v>
      </c>
      <c r="F1520" t="s">
        <v>2029</v>
      </c>
      <c r="G1520">
        <v>27</v>
      </c>
      <c r="H1520" t="str" cm="1">
        <f t="array" ref="H1520">_xlfn.IFS(
Table2[[#This Row],[AGE]]&lt;30,"Young",
Table2[[#This Row],[AGE]]&lt;40,"Middle Age",
Table2[[#This Row],[AGE]]&lt;50,"Senior",
TRUE,"Super Senior"
)</f>
        <v>Young</v>
      </c>
      <c r="I1520">
        <v>2</v>
      </c>
      <c r="J1520">
        <v>0</v>
      </c>
      <c r="K1520">
        <v>0</v>
      </c>
      <c r="L1520">
        <v>0</v>
      </c>
      <c r="M1520">
        <v>2</v>
      </c>
      <c r="N1520">
        <v>2</v>
      </c>
      <c r="O1520" s="1">
        <v>232523</v>
      </c>
      <c r="P1520" s="1">
        <v>243753</v>
      </c>
      <c r="Q1520" s="1">
        <v>253145</v>
      </c>
      <c r="R1520" s="1">
        <v>267412</v>
      </c>
      <c r="S1520" s="1">
        <v>273095</v>
      </c>
      <c r="T1520" s="1">
        <v>278260</v>
      </c>
      <c r="U1520" s="1">
        <v>16500</v>
      </c>
      <c r="V1520" s="1">
        <v>15000</v>
      </c>
      <c r="W1520" s="1">
        <v>20000</v>
      </c>
      <c r="X1520" s="1">
        <v>10000</v>
      </c>
      <c r="Y1520" s="1">
        <v>9701</v>
      </c>
      <c r="Z1520" s="1">
        <v>0</v>
      </c>
      <c r="AA1520">
        <v>0</v>
      </c>
      <c r="AB1520" t="str">
        <f t="shared" si="23"/>
        <v>Not Defaulter</v>
      </c>
      <c r="AC1520" s="1">
        <f>Table2[[#This Row],[BILL_AMT1]]-Table2[[#This Row],[PAY_AMT1]]</f>
        <v>216023</v>
      </c>
      <c r="AD1520" s="1" t="str" cm="1">
        <f t="array" ref="AD1520">_xlfn.IFS(Table2[[#This Row],[PAYMENT GAP]]&lt;=0,"No Gap / Overpaid",Table2[[#This Row],[PAYMENT GAP]]&lt;=25000,"Low Gap",Table2[[#This Row],[PAYMENT GAP]]&lt;=100000,"Medium Gap",
TRUE,"High Gap"
)</f>
        <v>High Gap</v>
      </c>
    </row>
    <row r="1521" spans="1:30" x14ac:dyDescent="0.3">
      <c r="A1521">
        <v>1520</v>
      </c>
      <c r="B1521" s="1">
        <v>420000</v>
      </c>
      <c r="C1521" s="1" t="str" cm="1">
        <f t="array" ref="C1521">_xlfn.IFS(Table2[[#This Row],[LIMIT_BAL]]&lt;=100000,"Low",Table2[[#This Row],[LIMIT_BAL]]&lt;=300000,"Medium",
TRUE,"High"
)</f>
        <v>High</v>
      </c>
      <c r="D1521" t="s">
        <v>2042</v>
      </c>
      <c r="E1521" t="s">
        <v>2043</v>
      </c>
      <c r="F1521" t="s">
        <v>2028</v>
      </c>
      <c r="G1521">
        <v>39</v>
      </c>
      <c r="H1521" t="str" cm="1">
        <f t="array" ref="H1521">_xlfn.IFS(
Table2[[#This Row],[AGE]]&lt;30,"Young",
Table2[[#This Row],[AGE]]&lt;40,"Middle Age",
Table2[[#This Row],[AGE]]&lt;50,"Senior",
TRUE,"Super Senior"
)</f>
        <v>Middle Age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 s="1">
        <v>171141</v>
      </c>
      <c r="P1521" s="1">
        <v>118103</v>
      </c>
      <c r="Q1521" s="1">
        <v>119543</v>
      </c>
      <c r="R1521" s="1">
        <v>122851</v>
      </c>
      <c r="S1521" s="1">
        <v>126007</v>
      </c>
      <c r="T1521" s="1">
        <v>129144</v>
      </c>
      <c r="U1521" s="1">
        <v>5700</v>
      </c>
      <c r="V1521" s="1">
        <v>4600</v>
      </c>
      <c r="W1521" s="1">
        <v>5000</v>
      </c>
      <c r="X1521" s="1">
        <v>5000</v>
      </c>
      <c r="Y1521" s="1">
        <v>5000</v>
      </c>
      <c r="Z1521" s="1">
        <v>4700</v>
      </c>
      <c r="AA1521">
        <v>0</v>
      </c>
      <c r="AB1521" t="str">
        <f t="shared" si="23"/>
        <v>Not Defaulter</v>
      </c>
      <c r="AC1521" s="1">
        <f>Table2[[#This Row],[BILL_AMT1]]-Table2[[#This Row],[PAY_AMT1]]</f>
        <v>165441</v>
      </c>
      <c r="AD1521" s="1" t="str" cm="1">
        <f t="array" ref="AD1521">_xlfn.IFS(Table2[[#This Row],[PAYMENT GAP]]&lt;=0,"No Gap / Overpaid",Table2[[#This Row],[PAYMENT GAP]]&lt;=25000,"Low Gap",Table2[[#This Row],[PAYMENT GAP]]&lt;=100000,"Medium Gap",
TRUE,"High Gap"
)</f>
        <v>High Gap</v>
      </c>
    </row>
    <row r="1522" spans="1:30" x14ac:dyDescent="0.3">
      <c r="A1522">
        <v>1521</v>
      </c>
      <c r="B1522" s="1">
        <v>340000</v>
      </c>
      <c r="C1522" s="1" t="str" cm="1">
        <f t="array" ref="C1522">_xlfn.IFS(Table2[[#This Row],[LIMIT_BAL]]&lt;=100000,"Low",Table2[[#This Row],[LIMIT_BAL]]&lt;=300000,"Medium",
TRUE,"High"
)</f>
        <v>High</v>
      </c>
      <c r="D1522" t="s">
        <v>2041</v>
      </c>
      <c r="E1522" t="s">
        <v>2043</v>
      </c>
      <c r="F1522" t="s">
        <v>2029</v>
      </c>
      <c r="G1522">
        <v>36</v>
      </c>
      <c r="H1522" t="str" cm="1">
        <f t="array" ref="H1522">_xlfn.IFS(
Table2[[#This Row],[AGE]]&lt;30,"Young",
Table2[[#This Row],[AGE]]&lt;40,"Middle Age",
Table2[[#This Row],[AGE]]&lt;50,"Senior",
TRUE,"Super Senior"
)</f>
        <v>Middle Age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 s="1">
        <v>337981</v>
      </c>
      <c r="P1522" s="1">
        <v>344920</v>
      </c>
      <c r="Q1522" s="1">
        <v>18921</v>
      </c>
      <c r="R1522" s="1">
        <v>21205</v>
      </c>
      <c r="S1522" s="1">
        <v>19810</v>
      </c>
      <c r="T1522" s="1">
        <v>13586</v>
      </c>
      <c r="U1522" s="1">
        <v>17181</v>
      </c>
      <c r="V1522" s="1">
        <v>2000</v>
      </c>
      <c r="W1522" s="1">
        <v>10000</v>
      </c>
      <c r="X1522" s="1">
        <v>5000</v>
      </c>
      <c r="Y1522" s="1">
        <v>3000</v>
      </c>
      <c r="Z1522" s="1">
        <v>1000</v>
      </c>
      <c r="AA1522">
        <v>0</v>
      </c>
      <c r="AB1522" t="str">
        <f t="shared" si="23"/>
        <v>Not Defaulter</v>
      </c>
      <c r="AC1522" s="1">
        <f>Table2[[#This Row],[BILL_AMT1]]-Table2[[#This Row],[PAY_AMT1]]</f>
        <v>320800</v>
      </c>
      <c r="AD1522" s="1" t="str" cm="1">
        <f t="array" ref="AD1522">_xlfn.IFS(Table2[[#This Row],[PAYMENT GAP]]&lt;=0,"No Gap / Overpaid",Table2[[#This Row],[PAYMENT GAP]]&lt;=25000,"Low Gap",Table2[[#This Row],[PAYMENT GAP]]&lt;=100000,"Medium Gap",
TRUE,"High Gap"
)</f>
        <v>High Gap</v>
      </c>
    </row>
    <row r="1523" spans="1:30" x14ac:dyDescent="0.3">
      <c r="A1523">
        <v>1522</v>
      </c>
      <c r="B1523" s="1">
        <v>60000</v>
      </c>
      <c r="C1523" s="1" t="str" cm="1">
        <f t="array" ref="C1523">_xlfn.IFS(Table2[[#This Row],[LIMIT_BAL]]&lt;=100000,"Low",Table2[[#This Row],[LIMIT_BAL]]&lt;=300000,"Medium",
TRUE,"High"
)</f>
        <v>Low</v>
      </c>
      <c r="D1523" t="s">
        <v>2042</v>
      </c>
      <c r="E1523" t="s">
        <v>2043</v>
      </c>
      <c r="F1523" t="s">
        <v>2029</v>
      </c>
      <c r="G1523">
        <v>40</v>
      </c>
      <c r="H1523" t="str" cm="1">
        <f t="array" ref="H1523">_xlfn.IFS(
Table2[[#This Row],[AGE]]&lt;30,"Young",
Table2[[#This Row],[AGE]]&lt;40,"Middle Age",
Table2[[#This Row],[AGE]]&lt;50,"Senior",
TRUE,"Super Senior"
)</f>
        <v>Senior</v>
      </c>
      <c r="I1523">
        <v>3</v>
      </c>
      <c r="J1523">
        <v>3</v>
      </c>
      <c r="K1523">
        <v>5</v>
      </c>
      <c r="L1523">
        <v>4</v>
      </c>
      <c r="M1523">
        <v>3</v>
      </c>
      <c r="N1523">
        <v>2</v>
      </c>
      <c r="O1523" s="1">
        <v>9744</v>
      </c>
      <c r="P1523" s="1">
        <v>10940</v>
      </c>
      <c r="Q1523" s="1">
        <v>10630</v>
      </c>
      <c r="R1523" s="1">
        <v>10320</v>
      </c>
      <c r="S1523" s="1">
        <v>9865</v>
      </c>
      <c r="T1523" s="1">
        <v>10055</v>
      </c>
      <c r="U1523" s="1">
        <v>1500</v>
      </c>
      <c r="V1523" s="1">
        <v>0</v>
      </c>
      <c r="W1523" s="1">
        <v>0</v>
      </c>
      <c r="X1523" s="1">
        <v>0</v>
      </c>
      <c r="Y1523" s="1">
        <v>500</v>
      </c>
      <c r="Z1523" s="1">
        <v>0</v>
      </c>
      <c r="AA1523">
        <v>0</v>
      </c>
      <c r="AB1523" t="str">
        <f t="shared" si="23"/>
        <v>Not Defaulter</v>
      </c>
      <c r="AC1523" s="1">
        <f>Table2[[#This Row],[BILL_AMT1]]-Table2[[#This Row],[PAY_AMT1]]</f>
        <v>8244</v>
      </c>
      <c r="AD1523" s="1" t="str" cm="1">
        <f t="array" ref="AD1523">_xlfn.IFS(Table2[[#This Row],[PAYMENT GAP]]&lt;=0,"No Gap / Overpaid",Table2[[#This Row],[PAYMENT GAP]]&lt;=25000,"Low Gap",Table2[[#This Row],[PAYMENT GAP]]&lt;=100000,"Medium Gap",
TRUE,"High Gap"
)</f>
        <v>Low Gap</v>
      </c>
    </row>
    <row r="1524" spans="1:30" x14ac:dyDescent="0.3">
      <c r="A1524">
        <v>1523</v>
      </c>
      <c r="B1524" s="1">
        <v>90000</v>
      </c>
      <c r="C1524" s="1" t="str" cm="1">
        <f t="array" ref="C1524">_xlfn.IFS(Table2[[#This Row],[LIMIT_BAL]]&lt;=100000,"Low",Table2[[#This Row],[LIMIT_BAL]]&lt;=300000,"Medium",
TRUE,"High"
)</f>
        <v>Low</v>
      </c>
      <c r="D1524" t="s">
        <v>2041</v>
      </c>
      <c r="E1524" t="s">
        <v>2026</v>
      </c>
      <c r="F1524" t="s">
        <v>2029</v>
      </c>
      <c r="G1524">
        <v>27</v>
      </c>
      <c r="H1524" t="str" cm="1">
        <f t="array" ref="H1524">_xlfn.IFS(
Table2[[#This Row],[AGE]]&lt;30,"Young",
Table2[[#This Row],[AGE]]&lt;40,"Middle Age",
Table2[[#This Row],[AGE]]&lt;50,"Senior",
TRUE,"Super Senior"
)</f>
        <v>Young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 s="1">
        <v>81111</v>
      </c>
      <c r="P1524" s="1">
        <v>83081</v>
      </c>
      <c r="Q1524" s="1">
        <v>60210</v>
      </c>
      <c r="R1524" s="1">
        <v>61221</v>
      </c>
      <c r="S1524" s="1">
        <v>62636</v>
      </c>
      <c r="T1524" s="1">
        <v>54261</v>
      </c>
      <c r="U1524" s="1">
        <v>3500</v>
      </c>
      <c r="V1524" s="1">
        <v>3000</v>
      </c>
      <c r="W1524" s="1">
        <v>2600</v>
      </c>
      <c r="X1524" s="1">
        <v>2600</v>
      </c>
      <c r="Y1524" s="1">
        <v>3000</v>
      </c>
      <c r="Z1524" s="1">
        <v>1500</v>
      </c>
      <c r="AA1524">
        <v>0</v>
      </c>
      <c r="AB1524" t="str">
        <f t="shared" si="23"/>
        <v>Not Defaulter</v>
      </c>
      <c r="AC1524" s="1">
        <f>Table2[[#This Row],[BILL_AMT1]]-Table2[[#This Row],[PAY_AMT1]]</f>
        <v>77611</v>
      </c>
      <c r="AD1524" s="1" t="str" cm="1">
        <f t="array" ref="AD1524">_xlfn.IFS(Table2[[#This Row],[PAYMENT GAP]]&lt;=0,"No Gap / Overpaid",Table2[[#This Row],[PAYMENT GAP]]&lt;=25000,"Low Gap",Table2[[#This Row],[PAYMENT GAP]]&lt;=100000,"Medium Gap",
TRUE,"High Gap"
)</f>
        <v>Medium Gap</v>
      </c>
    </row>
    <row r="1525" spans="1:30" x14ac:dyDescent="0.3">
      <c r="A1525">
        <v>1524</v>
      </c>
      <c r="B1525" s="1">
        <v>30000</v>
      </c>
      <c r="C1525" s="1" t="str" cm="1">
        <f t="array" ref="C1525">_xlfn.IFS(Table2[[#This Row],[LIMIT_BAL]]&lt;=100000,"Low",Table2[[#This Row],[LIMIT_BAL]]&lt;=300000,"Medium",
TRUE,"High"
)</f>
        <v>Low</v>
      </c>
      <c r="D1525" t="s">
        <v>2041</v>
      </c>
      <c r="E1525" t="s">
        <v>2026</v>
      </c>
      <c r="F1525" t="s">
        <v>2029</v>
      </c>
      <c r="G1525">
        <v>27</v>
      </c>
      <c r="H1525" t="str" cm="1">
        <f t="array" ref="H1525">_xlfn.IFS(
Table2[[#This Row],[AGE]]&lt;30,"Young",
Table2[[#This Row],[AGE]]&lt;40,"Middle Age",
Table2[[#This Row],[AGE]]&lt;50,"Senior",
TRUE,"Super Senior"
)</f>
        <v>Young</v>
      </c>
      <c r="I1525">
        <v>2</v>
      </c>
      <c r="J1525">
        <v>2</v>
      </c>
      <c r="K1525">
        <v>2</v>
      </c>
      <c r="L1525">
        <v>2</v>
      </c>
      <c r="M1525">
        <v>2</v>
      </c>
      <c r="N1525">
        <v>2</v>
      </c>
      <c r="O1525" s="1">
        <v>28207</v>
      </c>
      <c r="P1525" s="1">
        <v>29261</v>
      </c>
      <c r="Q1525" s="1">
        <v>28497</v>
      </c>
      <c r="R1525" s="1">
        <v>29862</v>
      </c>
      <c r="S1525" s="1">
        <v>43148</v>
      </c>
      <c r="T1525" s="1">
        <v>30603</v>
      </c>
      <c r="U1525" s="1">
        <v>1800</v>
      </c>
      <c r="V1525" s="1">
        <v>0</v>
      </c>
      <c r="W1525" s="1">
        <v>2150</v>
      </c>
      <c r="X1525" s="1">
        <v>900</v>
      </c>
      <c r="Y1525" s="1">
        <v>3776</v>
      </c>
      <c r="Z1525" s="1">
        <v>0</v>
      </c>
      <c r="AA1525">
        <v>1</v>
      </c>
      <c r="AB1525" t="str">
        <f t="shared" si="23"/>
        <v>Defaulter</v>
      </c>
      <c r="AC1525" s="1">
        <f>Table2[[#This Row],[BILL_AMT1]]-Table2[[#This Row],[PAY_AMT1]]</f>
        <v>26407</v>
      </c>
      <c r="AD1525" s="1" t="str" cm="1">
        <f t="array" ref="AD1525">_xlfn.IFS(Table2[[#This Row],[PAYMENT GAP]]&lt;=0,"No Gap / Overpaid",Table2[[#This Row],[PAYMENT GAP]]&lt;=25000,"Low Gap",Table2[[#This Row],[PAYMENT GAP]]&lt;=100000,"Medium Gap",
TRUE,"High Gap"
)</f>
        <v>Medium Gap</v>
      </c>
    </row>
    <row r="1526" spans="1:30" x14ac:dyDescent="0.3">
      <c r="A1526">
        <v>1525</v>
      </c>
      <c r="B1526" s="1">
        <v>160000</v>
      </c>
      <c r="C1526" s="1" t="str" cm="1">
        <f t="array" ref="C1526">_xlfn.IFS(Table2[[#This Row],[LIMIT_BAL]]&lt;=100000,"Low",Table2[[#This Row],[LIMIT_BAL]]&lt;=300000,"Medium",
TRUE,"High"
)</f>
        <v>Medium</v>
      </c>
      <c r="D1526" t="s">
        <v>2041</v>
      </c>
      <c r="E1526" t="s">
        <v>2043</v>
      </c>
      <c r="F1526" t="s">
        <v>2028</v>
      </c>
      <c r="G1526">
        <v>37</v>
      </c>
      <c r="H1526" t="str" cm="1">
        <f t="array" ref="H1526">_xlfn.IFS(
Table2[[#This Row],[AGE]]&lt;30,"Young",
Table2[[#This Row],[AGE]]&lt;40,"Middle Age",
Table2[[#This Row],[AGE]]&lt;50,"Senior",
TRUE,"Super Senior"
)</f>
        <v>Middle Age</v>
      </c>
      <c r="I1526">
        <v>-1</v>
      </c>
      <c r="J1526">
        <v>-1</v>
      </c>
      <c r="K1526">
        <v>-2</v>
      </c>
      <c r="L1526">
        <v>-1</v>
      </c>
      <c r="M1526">
        <v>-1</v>
      </c>
      <c r="N1526">
        <v>-2</v>
      </c>
      <c r="O1526" s="1">
        <v>1988</v>
      </c>
      <c r="P1526" s="1">
        <v>0</v>
      </c>
      <c r="Q1526" s="1">
        <v>0</v>
      </c>
      <c r="R1526" s="1">
        <v>1188</v>
      </c>
      <c r="S1526" s="1">
        <v>0</v>
      </c>
      <c r="T1526" s="1">
        <v>0</v>
      </c>
      <c r="U1526" s="1">
        <v>0</v>
      </c>
      <c r="V1526" s="1">
        <v>0</v>
      </c>
      <c r="W1526" s="1">
        <v>1188</v>
      </c>
      <c r="X1526" s="1">
        <v>0</v>
      </c>
      <c r="Y1526" s="1">
        <v>0</v>
      </c>
      <c r="Z1526" s="1">
        <v>1935</v>
      </c>
      <c r="AA1526">
        <v>0</v>
      </c>
      <c r="AB1526" t="str">
        <f t="shared" si="23"/>
        <v>Not Defaulter</v>
      </c>
      <c r="AC1526" s="1">
        <f>Table2[[#This Row],[BILL_AMT1]]-Table2[[#This Row],[PAY_AMT1]]</f>
        <v>1988</v>
      </c>
      <c r="AD1526" s="1" t="str" cm="1">
        <f t="array" ref="AD1526">_xlfn.IFS(Table2[[#This Row],[PAYMENT GAP]]&lt;=0,"No Gap / Overpaid",Table2[[#This Row],[PAYMENT GAP]]&lt;=25000,"Low Gap",Table2[[#This Row],[PAYMENT GAP]]&lt;=100000,"Medium Gap",
TRUE,"High Gap"
)</f>
        <v>Low Gap</v>
      </c>
    </row>
    <row r="1527" spans="1:30" x14ac:dyDescent="0.3">
      <c r="A1527">
        <v>1526</v>
      </c>
      <c r="B1527" s="1">
        <v>20000</v>
      </c>
      <c r="C1527" s="1" t="str" cm="1">
        <f t="array" ref="C1527">_xlfn.IFS(Table2[[#This Row],[LIMIT_BAL]]&lt;=100000,"Low",Table2[[#This Row],[LIMIT_BAL]]&lt;=300000,"Medium",
TRUE,"High"
)</f>
        <v>Low</v>
      </c>
      <c r="D1527" t="s">
        <v>2042</v>
      </c>
      <c r="E1527" t="s">
        <v>2043</v>
      </c>
      <c r="F1527" t="s">
        <v>2029</v>
      </c>
      <c r="G1527">
        <v>35</v>
      </c>
      <c r="H1527" t="str" cm="1">
        <f t="array" ref="H1527">_xlfn.IFS(
Table2[[#This Row],[AGE]]&lt;30,"Young",
Table2[[#This Row],[AGE]]&lt;40,"Middle Age",
Table2[[#This Row],[AGE]]&lt;50,"Senior",
TRUE,"Super Senior"
)</f>
        <v>Middle Age</v>
      </c>
      <c r="I1527">
        <v>-1</v>
      </c>
      <c r="J1527">
        <v>2</v>
      </c>
      <c r="K1527">
        <v>2</v>
      </c>
      <c r="L1527">
        <v>2</v>
      </c>
      <c r="M1527">
        <v>2</v>
      </c>
      <c r="N1527">
        <v>2</v>
      </c>
      <c r="O1527" s="1">
        <v>11916</v>
      </c>
      <c r="P1527" s="1">
        <v>11434</v>
      </c>
      <c r="Q1527" s="1">
        <v>13433</v>
      </c>
      <c r="R1527" s="1">
        <v>13398</v>
      </c>
      <c r="S1527" s="1">
        <v>13040</v>
      </c>
      <c r="T1527" s="1">
        <v>14518</v>
      </c>
      <c r="U1527" s="1">
        <v>0</v>
      </c>
      <c r="V1527" s="1">
        <v>2200</v>
      </c>
      <c r="W1527" s="1">
        <v>480</v>
      </c>
      <c r="X1527" s="1">
        <v>0</v>
      </c>
      <c r="Y1527" s="1">
        <v>1702</v>
      </c>
      <c r="Z1527" s="1">
        <v>200</v>
      </c>
      <c r="AA1527">
        <v>0</v>
      </c>
      <c r="AB1527" t="str">
        <f t="shared" si="23"/>
        <v>Not Defaulter</v>
      </c>
      <c r="AC1527" s="1">
        <f>Table2[[#This Row],[BILL_AMT1]]-Table2[[#This Row],[PAY_AMT1]]</f>
        <v>11916</v>
      </c>
      <c r="AD1527" s="1" t="str" cm="1">
        <f t="array" ref="AD1527">_xlfn.IFS(Table2[[#This Row],[PAYMENT GAP]]&lt;=0,"No Gap / Overpaid",Table2[[#This Row],[PAYMENT GAP]]&lt;=25000,"Low Gap",Table2[[#This Row],[PAYMENT GAP]]&lt;=100000,"Medium Gap",
TRUE,"High Gap"
)</f>
        <v>Low Gap</v>
      </c>
    </row>
    <row r="1528" spans="1:30" x14ac:dyDescent="0.3">
      <c r="A1528">
        <v>1527</v>
      </c>
      <c r="B1528" s="1">
        <v>90000</v>
      </c>
      <c r="C1528" s="1" t="str" cm="1">
        <f t="array" ref="C1528">_xlfn.IFS(Table2[[#This Row],[LIMIT_BAL]]&lt;=100000,"Low",Table2[[#This Row],[LIMIT_BAL]]&lt;=300000,"Medium",
TRUE,"High"
)</f>
        <v>Low</v>
      </c>
      <c r="D1528" t="s">
        <v>2041</v>
      </c>
      <c r="E1528" t="s">
        <v>2043</v>
      </c>
      <c r="F1528" t="s">
        <v>2028</v>
      </c>
      <c r="G1528">
        <v>25</v>
      </c>
      <c r="H1528" t="str" cm="1">
        <f t="array" ref="H1528">_xlfn.IFS(
Table2[[#This Row],[AGE]]&lt;30,"Young",
Table2[[#This Row],[AGE]]&lt;40,"Middle Age",
Table2[[#This Row],[AGE]]&lt;50,"Senior",
TRUE,"Super Senior"
)</f>
        <v>Young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 s="1">
        <v>87525</v>
      </c>
      <c r="P1528" s="1">
        <v>89052</v>
      </c>
      <c r="Q1528" s="1">
        <v>85807</v>
      </c>
      <c r="R1528" s="1">
        <v>68186</v>
      </c>
      <c r="S1528" s="1">
        <v>69011</v>
      </c>
      <c r="T1528" s="1">
        <v>70341</v>
      </c>
      <c r="U1528" s="1">
        <v>4200</v>
      </c>
      <c r="V1528" s="1">
        <v>3000</v>
      </c>
      <c r="W1528" s="1">
        <v>3000</v>
      </c>
      <c r="X1528" s="1">
        <v>3000</v>
      </c>
      <c r="Y1528" s="1">
        <v>2600</v>
      </c>
      <c r="Z1528" s="1">
        <v>3000</v>
      </c>
      <c r="AA1528">
        <v>1</v>
      </c>
      <c r="AB1528" t="str">
        <f t="shared" si="23"/>
        <v>Defaulter</v>
      </c>
      <c r="AC1528" s="1">
        <f>Table2[[#This Row],[BILL_AMT1]]-Table2[[#This Row],[PAY_AMT1]]</f>
        <v>83325</v>
      </c>
      <c r="AD1528" s="1" t="str" cm="1">
        <f t="array" ref="AD1528">_xlfn.IFS(Table2[[#This Row],[PAYMENT GAP]]&lt;=0,"No Gap / Overpaid",Table2[[#This Row],[PAYMENT GAP]]&lt;=25000,"Low Gap",Table2[[#This Row],[PAYMENT GAP]]&lt;=100000,"Medium Gap",
TRUE,"High Gap"
)</f>
        <v>Medium Gap</v>
      </c>
    </row>
    <row r="1529" spans="1:30" x14ac:dyDescent="0.3">
      <c r="A1529">
        <v>1528</v>
      </c>
      <c r="B1529" s="1">
        <v>120000</v>
      </c>
      <c r="C1529" s="1" t="str" cm="1">
        <f t="array" ref="C1529">_xlfn.IFS(Table2[[#This Row],[LIMIT_BAL]]&lt;=100000,"Low",Table2[[#This Row],[LIMIT_BAL]]&lt;=300000,"Medium",
TRUE,"High"
)</f>
        <v>Medium</v>
      </c>
      <c r="D1529" t="s">
        <v>2042</v>
      </c>
      <c r="E1529" t="s">
        <v>2026</v>
      </c>
      <c r="F1529" t="s">
        <v>2029</v>
      </c>
      <c r="G1529">
        <v>27</v>
      </c>
      <c r="H1529" t="str" cm="1">
        <f t="array" ref="H1529">_xlfn.IFS(
Table2[[#This Row],[AGE]]&lt;30,"Young",
Table2[[#This Row],[AGE]]&lt;40,"Middle Age",
Table2[[#This Row],[AGE]]&lt;50,"Senior",
TRUE,"Super Senior"
)</f>
        <v>Young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 s="1">
        <v>20874</v>
      </c>
      <c r="P1529" s="1">
        <v>21930</v>
      </c>
      <c r="Q1529" s="1">
        <v>22165</v>
      </c>
      <c r="R1529" s="1">
        <v>20502</v>
      </c>
      <c r="S1529" s="1">
        <v>19030</v>
      </c>
      <c r="T1529" s="1">
        <v>15119</v>
      </c>
      <c r="U1529" s="1">
        <v>1700</v>
      </c>
      <c r="V1529" s="1">
        <v>1500</v>
      </c>
      <c r="W1529" s="1">
        <v>700</v>
      </c>
      <c r="X1529" s="1">
        <v>1000</v>
      </c>
      <c r="Y1529" s="1">
        <v>1000</v>
      </c>
      <c r="Z1529" s="1">
        <v>1000</v>
      </c>
      <c r="AA1529">
        <v>0</v>
      </c>
      <c r="AB1529" t="str">
        <f t="shared" si="23"/>
        <v>Not Defaulter</v>
      </c>
      <c r="AC1529" s="1">
        <f>Table2[[#This Row],[BILL_AMT1]]-Table2[[#This Row],[PAY_AMT1]]</f>
        <v>19174</v>
      </c>
      <c r="AD1529" s="1" t="str" cm="1">
        <f t="array" ref="AD1529">_xlfn.IFS(Table2[[#This Row],[PAYMENT GAP]]&lt;=0,"No Gap / Overpaid",Table2[[#This Row],[PAYMENT GAP]]&lt;=25000,"Low Gap",Table2[[#This Row],[PAYMENT GAP]]&lt;=100000,"Medium Gap",
TRUE,"High Gap"
)</f>
        <v>Low Gap</v>
      </c>
    </row>
    <row r="1530" spans="1:30" x14ac:dyDescent="0.3">
      <c r="A1530">
        <v>1529</v>
      </c>
      <c r="B1530" s="1">
        <v>120000</v>
      </c>
      <c r="C1530" s="1" t="str" cm="1">
        <f t="array" ref="C1530">_xlfn.IFS(Table2[[#This Row],[LIMIT_BAL]]&lt;=100000,"Low",Table2[[#This Row],[LIMIT_BAL]]&lt;=300000,"Medium",
TRUE,"High"
)</f>
        <v>Medium</v>
      </c>
      <c r="D1530" t="s">
        <v>2042</v>
      </c>
      <c r="E1530" t="s">
        <v>2026</v>
      </c>
      <c r="F1530" t="s">
        <v>2029</v>
      </c>
      <c r="G1530">
        <v>38</v>
      </c>
      <c r="H1530" t="str" cm="1">
        <f t="array" ref="H1530">_xlfn.IFS(
Table2[[#This Row],[AGE]]&lt;30,"Young",
Table2[[#This Row],[AGE]]&lt;40,"Middle Age",
Table2[[#This Row],[AGE]]&lt;50,"Senior",
TRUE,"Super Senior"
)</f>
        <v>Middle Age</v>
      </c>
      <c r="I1530">
        <v>1</v>
      </c>
      <c r="J1530">
        <v>-2</v>
      </c>
      <c r="K1530">
        <v>-2</v>
      </c>
      <c r="L1530">
        <v>-2</v>
      </c>
      <c r="M1530">
        <v>-2</v>
      </c>
      <c r="N1530">
        <v>-2</v>
      </c>
      <c r="O1530" s="1">
        <v>-284</v>
      </c>
      <c r="P1530" s="1">
        <v>-610</v>
      </c>
      <c r="Q1530" s="1">
        <v>-936</v>
      </c>
      <c r="R1530" s="1">
        <v>-1262</v>
      </c>
      <c r="S1530" s="1">
        <v>-1588</v>
      </c>
      <c r="T1530" s="1">
        <v>-1914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>
        <v>0</v>
      </c>
      <c r="AB1530" t="str">
        <f t="shared" si="23"/>
        <v>Not Defaulter</v>
      </c>
      <c r="AC1530" s="1">
        <f>Table2[[#This Row],[BILL_AMT1]]-Table2[[#This Row],[PAY_AMT1]]</f>
        <v>-284</v>
      </c>
      <c r="AD1530" s="1" t="str" cm="1">
        <f t="array" ref="AD1530">_xlfn.IFS(Table2[[#This Row],[PAYMENT GAP]]&lt;=0,"No Gap / Overpaid",Table2[[#This Row],[PAYMENT GAP]]&lt;=25000,"Low Gap",Table2[[#This Row],[PAYMENT GAP]]&lt;=100000,"Medium Gap",
TRUE,"High Gap"
)</f>
        <v>No Gap / Overpaid</v>
      </c>
    </row>
    <row r="1531" spans="1:30" x14ac:dyDescent="0.3">
      <c r="A1531">
        <v>1530</v>
      </c>
      <c r="B1531" s="1">
        <v>360000</v>
      </c>
      <c r="C1531" s="1" t="str" cm="1">
        <f t="array" ref="C1531">_xlfn.IFS(Table2[[#This Row],[LIMIT_BAL]]&lt;=100000,"Low",Table2[[#This Row],[LIMIT_BAL]]&lt;=300000,"Medium",
TRUE,"High"
)</f>
        <v>High</v>
      </c>
      <c r="D1531" t="s">
        <v>2041</v>
      </c>
      <c r="E1531" t="s">
        <v>2043</v>
      </c>
      <c r="F1531" t="s">
        <v>2028</v>
      </c>
      <c r="G1531">
        <v>50</v>
      </c>
      <c r="H1531" t="str" cm="1">
        <f t="array" ref="H1531">_xlfn.IFS(
Table2[[#This Row],[AGE]]&lt;30,"Young",
Table2[[#This Row],[AGE]]&lt;40,"Middle Age",
Table2[[#This Row],[AGE]]&lt;50,"Senior",
TRUE,"Super Senior"
)</f>
        <v>Super Senior</v>
      </c>
      <c r="I1531">
        <v>-1</v>
      </c>
      <c r="J1531">
        <v>-1</v>
      </c>
      <c r="K1531">
        <v>-1</v>
      </c>
      <c r="L1531">
        <v>-1</v>
      </c>
      <c r="M1531">
        <v>-1</v>
      </c>
      <c r="N1531">
        <v>-1</v>
      </c>
      <c r="O1531" s="1">
        <v>147</v>
      </c>
      <c r="P1531" s="1">
        <v>686</v>
      </c>
      <c r="Q1531" s="1">
        <v>6037</v>
      </c>
      <c r="R1531" s="1">
        <v>1560</v>
      </c>
      <c r="S1531" s="1">
        <v>0</v>
      </c>
      <c r="T1531" s="1">
        <v>275</v>
      </c>
      <c r="U1531" s="1">
        <v>686</v>
      </c>
      <c r="V1531" s="1">
        <v>6041</v>
      </c>
      <c r="W1531" s="1">
        <v>1560</v>
      </c>
      <c r="X1531" s="1">
        <v>0</v>
      </c>
      <c r="Y1531" s="1">
        <v>275</v>
      </c>
      <c r="Z1531" s="1">
        <v>0</v>
      </c>
      <c r="AA1531">
        <v>0</v>
      </c>
      <c r="AB1531" t="str">
        <f t="shared" si="23"/>
        <v>Not Defaulter</v>
      </c>
      <c r="AC1531" s="1">
        <f>Table2[[#This Row],[BILL_AMT1]]-Table2[[#This Row],[PAY_AMT1]]</f>
        <v>-539</v>
      </c>
      <c r="AD1531" s="1" t="str" cm="1">
        <f t="array" ref="AD1531">_xlfn.IFS(Table2[[#This Row],[PAYMENT GAP]]&lt;=0,"No Gap / Overpaid",Table2[[#This Row],[PAYMENT GAP]]&lt;=25000,"Low Gap",Table2[[#This Row],[PAYMENT GAP]]&lt;=100000,"Medium Gap",
TRUE,"High Gap"
)</f>
        <v>No Gap / Overpaid</v>
      </c>
    </row>
    <row r="1532" spans="1:30" x14ac:dyDescent="0.3">
      <c r="A1532">
        <v>1531</v>
      </c>
      <c r="B1532" s="1">
        <v>160000</v>
      </c>
      <c r="C1532" s="1" t="str" cm="1">
        <f t="array" ref="C1532">_xlfn.IFS(Table2[[#This Row],[LIMIT_BAL]]&lt;=100000,"Low",Table2[[#This Row],[LIMIT_BAL]]&lt;=300000,"Medium",
TRUE,"High"
)</f>
        <v>Medium</v>
      </c>
      <c r="D1532" t="s">
        <v>2041</v>
      </c>
      <c r="E1532" t="s">
        <v>2026</v>
      </c>
      <c r="F1532" t="s">
        <v>2029</v>
      </c>
      <c r="G1532">
        <v>32</v>
      </c>
      <c r="H1532" t="str" cm="1">
        <f t="array" ref="H1532">_xlfn.IFS(
Table2[[#This Row],[AGE]]&lt;30,"Young",
Table2[[#This Row],[AGE]]&lt;40,"Middle Age",
Table2[[#This Row],[AGE]]&lt;50,"Senior",
TRUE,"Super Senior"
)</f>
        <v>Middle Age</v>
      </c>
      <c r="I1532">
        <v>-2</v>
      </c>
      <c r="J1532">
        <v>-2</v>
      </c>
      <c r="K1532">
        <v>-2</v>
      </c>
      <c r="L1532">
        <v>-2</v>
      </c>
      <c r="M1532">
        <v>-2</v>
      </c>
      <c r="N1532">
        <v>-2</v>
      </c>
      <c r="O1532" s="1">
        <v>16922</v>
      </c>
      <c r="P1532" s="1">
        <v>2552</v>
      </c>
      <c r="Q1532" s="1">
        <v>0</v>
      </c>
      <c r="R1532" s="1">
        <v>0</v>
      </c>
      <c r="S1532" s="1">
        <v>0</v>
      </c>
      <c r="T1532" s="1">
        <v>0</v>
      </c>
      <c r="U1532" s="1">
        <v>2555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>
        <v>0</v>
      </c>
      <c r="AB1532" t="str">
        <f t="shared" si="23"/>
        <v>Not Defaulter</v>
      </c>
      <c r="AC1532" s="1">
        <f>Table2[[#This Row],[BILL_AMT1]]-Table2[[#This Row],[PAY_AMT1]]</f>
        <v>14367</v>
      </c>
      <c r="AD1532" s="1" t="str" cm="1">
        <f t="array" ref="AD1532">_xlfn.IFS(Table2[[#This Row],[PAYMENT GAP]]&lt;=0,"No Gap / Overpaid",Table2[[#This Row],[PAYMENT GAP]]&lt;=25000,"Low Gap",Table2[[#This Row],[PAYMENT GAP]]&lt;=100000,"Medium Gap",
TRUE,"High Gap"
)</f>
        <v>Low Gap</v>
      </c>
    </row>
    <row r="1533" spans="1:30" x14ac:dyDescent="0.3">
      <c r="A1533">
        <v>1532</v>
      </c>
      <c r="B1533" s="1">
        <v>320000</v>
      </c>
      <c r="C1533" s="1" t="str" cm="1">
        <f t="array" ref="C1533">_xlfn.IFS(Table2[[#This Row],[LIMIT_BAL]]&lt;=100000,"Low",Table2[[#This Row],[LIMIT_BAL]]&lt;=300000,"Medium",
TRUE,"High"
)</f>
        <v>High</v>
      </c>
      <c r="D1533" t="s">
        <v>2041</v>
      </c>
      <c r="E1533" t="s">
        <v>2026</v>
      </c>
      <c r="F1533" t="s">
        <v>2028</v>
      </c>
      <c r="G1533">
        <v>34</v>
      </c>
      <c r="H1533" t="str" cm="1">
        <f t="array" ref="H1533">_xlfn.IFS(
Table2[[#This Row],[AGE]]&lt;30,"Young",
Table2[[#This Row],[AGE]]&lt;40,"Middle Age",
Table2[[#This Row],[AGE]]&lt;50,"Senior",
TRUE,"Super Senior"
)</f>
        <v>Middle Age</v>
      </c>
      <c r="I1533">
        <v>-2</v>
      </c>
      <c r="J1533">
        <v>-1</v>
      </c>
      <c r="K1533">
        <v>0</v>
      </c>
      <c r="L1533">
        <v>-1</v>
      </c>
      <c r="M1533">
        <v>-1</v>
      </c>
      <c r="N1533">
        <v>-1</v>
      </c>
      <c r="O1533" s="1">
        <v>65083</v>
      </c>
      <c r="P1533" s="1">
        <v>23750</v>
      </c>
      <c r="Q1533" s="1">
        <v>22381</v>
      </c>
      <c r="R1533" s="1">
        <v>14685</v>
      </c>
      <c r="S1533" s="1">
        <v>7511</v>
      </c>
      <c r="T1533" s="1">
        <v>6722</v>
      </c>
      <c r="U1533" s="1">
        <v>23750</v>
      </c>
      <c r="V1533" s="1">
        <v>10162</v>
      </c>
      <c r="W1533" s="1">
        <v>14702</v>
      </c>
      <c r="X1533" s="1">
        <v>7511</v>
      </c>
      <c r="Y1533" s="1">
        <v>6722</v>
      </c>
      <c r="Z1533" s="1">
        <v>10000</v>
      </c>
      <c r="AA1533">
        <v>0</v>
      </c>
      <c r="AB1533" t="str">
        <f t="shared" si="23"/>
        <v>Not Defaulter</v>
      </c>
      <c r="AC1533" s="1">
        <f>Table2[[#This Row],[BILL_AMT1]]-Table2[[#This Row],[PAY_AMT1]]</f>
        <v>41333</v>
      </c>
      <c r="AD1533" s="1" t="str" cm="1">
        <f t="array" ref="AD1533">_xlfn.IFS(Table2[[#This Row],[PAYMENT GAP]]&lt;=0,"No Gap / Overpaid",Table2[[#This Row],[PAYMENT GAP]]&lt;=25000,"Low Gap",Table2[[#This Row],[PAYMENT GAP]]&lt;=100000,"Medium Gap",
TRUE,"High Gap"
)</f>
        <v>Medium Gap</v>
      </c>
    </row>
    <row r="1534" spans="1:30" x14ac:dyDescent="0.3">
      <c r="A1534">
        <v>1533</v>
      </c>
      <c r="B1534" s="1">
        <v>20000</v>
      </c>
      <c r="C1534" s="1" t="str" cm="1">
        <f t="array" ref="C1534">_xlfn.IFS(Table2[[#This Row],[LIMIT_BAL]]&lt;=100000,"Low",Table2[[#This Row],[LIMIT_BAL]]&lt;=300000,"Medium",
TRUE,"High"
)</f>
        <v>Low</v>
      </c>
      <c r="D1534" t="s">
        <v>2042</v>
      </c>
      <c r="E1534" t="s">
        <v>2043</v>
      </c>
      <c r="F1534" t="s">
        <v>2029</v>
      </c>
      <c r="G1534">
        <v>25</v>
      </c>
      <c r="H1534" t="str" cm="1">
        <f t="array" ref="H1534">_xlfn.IFS(
Table2[[#This Row],[AGE]]&lt;30,"Young",
Table2[[#This Row],[AGE]]&lt;40,"Middle Age",
Table2[[#This Row],[AGE]]&lt;50,"Senior",
TRUE,"Super Senior"
)</f>
        <v>Young</v>
      </c>
      <c r="I1534">
        <v>0</v>
      </c>
      <c r="J1534">
        <v>0</v>
      </c>
      <c r="K1534">
        <v>2</v>
      </c>
      <c r="L1534">
        <v>2</v>
      </c>
      <c r="M1534">
        <v>4</v>
      </c>
      <c r="N1534">
        <v>3</v>
      </c>
      <c r="O1534" s="1">
        <v>16508</v>
      </c>
      <c r="P1534" s="1">
        <v>19638</v>
      </c>
      <c r="Q1534" s="1">
        <v>19030</v>
      </c>
      <c r="R1534" s="1">
        <v>22033</v>
      </c>
      <c r="S1534" s="1">
        <v>21109</v>
      </c>
      <c r="T1534" s="1">
        <v>20474</v>
      </c>
      <c r="U1534" s="1">
        <v>3400</v>
      </c>
      <c r="V1534" s="1">
        <v>0</v>
      </c>
      <c r="W1534" s="1">
        <v>3633</v>
      </c>
      <c r="X1534" s="1">
        <v>0</v>
      </c>
      <c r="Y1534" s="1">
        <v>0</v>
      </c>
      <c r="Z1534" s="1">
        <v>0</v>
      </c>
      <c r="AA1534">
        <v>0</v>
      </c>
      <c r="AB1534" t="str">
        <f t="shared" si="23"/>
        <v>Not Defaulter</v>
      </c>
      <c r="AC1534" s="1">
        <f>Table2[[#This Row],[BILL_AMT1]]-Table2[[#This Row],[PAY_AMT1]]</f>
        <v>13108</v>
      </c>
      <c r="AD1534" s="1" t="str" cm="1">
        <f t="array" ref="AD1534">_xlfn.IFS(Table2[[#This Row],[PAYMENT GAP]]&lt;=0,"No Gap / Overpaid",Table2[[#This Row],[PAYMENT GAP]]&lt;=25000,"Low Gap",Table2[[#This Row],[PAYMENT GAP]]&lt;=100000,"Medium Gap",
TRUE,"High Gap"
)</f>
        <v>Low Gap</v>
      </c>
    </row>
    <row r="1535" spans="1:30" x14ac:dyDescent="0.3">
      <c r="A1535">
        <v>1534</v>
      </c>
      <c r="B1535" s="1">
        <v>230000</v>
      </c>
      <c r="C1535" s="1" t="str" cm="1">
        <f t="array" ref="C1535">_xlfn.IFS(Table2[[#This Row],[LIMIT_BAL]]&lt;=100000,"Low",Table2[[#This Row],[LIMIT_BAL]]&lt;=300000,"Medium",
TRUE,"High"
)</f>
        <v>Medium</v>
      </c>
      <c r="D1535" t="s">
        <v>2041</v>
      </c>
      <c r="E1535" t="s">
        <v>2026</v>
      </c>
      <c r="F1535" t="s">
        <v>2029</v>
      </c>
      <c r="G1535">
        <v>29</v>
      </c>
      <c r="H1535" t="str" cm="1">
        <f t="array" ref="H1535">_xlfn.IFS(
Table2[[#This Row],[AGE]]&lt;30,"Young",
Table2[[#This Row],[AGE]]&lt;40,"Middle Age",
Table2[[#This Row],[AGE]]&lt;50,"Senior",
TRUE,"Super Senior"
)</f>
        <v>Young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 s="1">
        <v>63184</v>
      </c>
      <c r="P1535" s="1">
        <v>64667</v>
      </c>
      <c r="Q1535" s="1">
        <v>65888</v>
      </c>
      <c r="R1535" s="1">
        <v>66645</v>
      </c>
      <c r="S1535" s="1">
        <v>67865</v>
      </c>
      <c r="T1535" s="1">
        <v>69231</v>
      </c>
      <c r="U1535" s="1">
        <v>3100</v>
      </c>
      <c r="V1535" s="1">
        <v>3000</v>
      </c>
      <c r="W1535" s="1">
        <v>2300</v>
      </c>
      <c r="X1535" s="1">
        <v>2300</v>
      </c>
      <c r="Y1535" s="1">
        <v>2500</v>
      </c>
      <c r="Z1535" s="1">
        <v>2300</v>
      </c>
      <c r="AA1535">
        <v>0</v>
      </c>
      <c r="AB1535" t="str">
        <f t="shared" si="23"/>
        <v>Not Defaulter</v>
      </c>
      <c r="AC1535" s="1">
        <f>Table2[[#This Row],[BILL_AMT1]]-Table2[[#This Row],[PAY_AMT1]]</f>
        <v>60084</v>
      </c>
      <c r="AD1535" s="1" t="str" cm="1">
        <f t="array" ref="AD1535">_xlfn.IFS(Table2[[#This Row],[PAYMENT GAP]]&lt;=0,"No Gap / Overpaid",Table2[[#This Row],[PAYMENT GAP]]&lt;=25000,"Low Gap",Table2[[#This Row],[PAYMENT GAP]]&lt;=100000,"Medium Gap",
TRUE,"High Gap"
)</f>
        <v>Medium Gap</v>
      </c>
    </row>
    <row r="1536" spans="1:30" x14ac:dyDescent="0.3">
      <c r="A1536">
        <v>1535</v>
      </c>
      <c r="B1536" s="1">
        <v>50000</v>
      </c>
      <c r="C1536" s="1" t="str" cm="1">
        <f t="array" ref="C1536">_xlfn.IFS(Table2[[#This Row],[LIMIT_BAL]]&lt;=100000,"Low",Table2[[#This Row],[LIMIT_BAL]]&lt;=300000,"Medium",
TRUE,"High"
)</f>
        <v>Low</v>
      </c>
      <c r="D1536" t="s">
        <v>2042</v>
      </c>
      <c r="E1536" t="s">
        <v>2027</v>
      </c>
      <c r="F1536" t="s">
        <v>2028</v>
      </c>
      <c r="G1536">
        <v>44</v>
      </c>
      <c r="H1536" t="str" cm="1">
        <f t="array" ref="H1536">_xlfn.IFS(
Table2[[#This Row],[AGE]]&lt;30,"Young",
Table2[[#This Row],[AGE]]&lt;40,"Middle Age",
Table2[[#This Row],[AGE]]&lt;50,"Senior",
TRUE,"Super Senior"
)</f>
        <v>Senior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 s="1">
        <v>15931</v>
      </c>
      <c r="P1536" s="1">
        <v>17363</v>
      </c>
      <c r="Q1536" s="1">
        <v>18735</v>
      </c>
      <c r="R1536" s="1">
        <v>19188</v>
      </c>
      <c r="S1536" s="1">
        <v>17578</v>
      </c>
      <c r="T1536" s="1">
        <v>16855</v>
      </c>
      <c r="U1536" s="1">
        <v>2000</v>
      </c>
      <c r="V1536" s="1">
        <v>2000</v>
      </c>
      <c r="W1536" s="1">
        <v>1006</v>
      </c>
      <c r="X1536" s="1">
        <v>1003</v>
      </c>
      <c r="Y1536" s="1">
        <v>1000</v>
      </c>
      <c r="Z1536" s="1">
        <v>1000</v>
      </c>
      <c r="AA1536">
        <v>0</v>
      </c>
      <c r="AB1536" t="str">
        <f t="shared" si="23"/>
        <v>Not Defaulter</v>
      </c>
      <c r="AC1536" s="1">
        <f>Table2[[#This Row],[BILL_AMT1]]-Table2[[#This Row],[PAY_AMT1]]</f>
        <v>13931</v>
      </c>
      <c r="AD1536" s="1" t="str" cm="1">
        <f t="array" ref="AD1536">_xlfn.IFS(Table2[[#This Row],[PAYMENT GAP]]&lt;=0,"No Gap / Overpaid",Table2[[#This Row],[PAYMENT GAP]]&lt;=25000,"Low Gap",Table2[[#This Row],[PAYMENT GAP]]&lt;=100000,"Medium Gap",
TRUE,"High Gap"
)</f>
        <v>Low Gap</v>
      </c>
    </row>
    <row r="1537" spans="1:30" x14ac:dyDescent="0.3">
      <c r="A1537">
        <v>1536</v>
      </c>
      <c r="B1537" s="1">
        <v>50000</v>
      </c>
      <c r="C1537" s="1" t="str" cm="1">
        <f t="array" ref="C1537">_xlfn.IFS(Table2[[#This Row],[LIMIT_BAL]]&lt;=100000,"Low",Table2[[#This Row],[LIMIT_BAL]]&lt;=300000,"Medium",
TRUE,"High"
)</f>
        <v>Low</v>
      </c>
      <c r="D1537" t="s">
        <v>2042</v>
      </c>
      <c r="E1537" t="s">
        <v>2027</v>
      </c>
      <c r="F1537" t="s">
        <v>2028</v>
      </c>
      <c r="G1537">
        <v>48</v>
      </c>
      <c r="H1537" t="str" cm="1">
        <f t="array" ref="H1537">_xlfn.IFS(
Table2[[#This Row],[AGE]]&lt;30,"Young",
Table2[[#This Row],[AGE]]&lt;40,"Middle Age",
Table2[[#This Row],[AGE]]&lt;50,"Senior",
TRUE,"Super Senior"
)</f>
        <v>Senior</v>
      </c>
      <c r="I1537">
        <v>-1</v>
      </c>
      <c r="J1537">
        <v>-1</v>
      </c>
      <c r="K1537">
        <v>0</v>
      </c>
      <c r="L1537">
        <v>0</v>
      </c>
      <c r="M1537">
        <v>0</v>
      </c>
      <c r="N1537">
        <v>0</v>
      </c>
      <c r="O1537" s="1">
        <v>2722</v>
      </c>
      <c r="P1537" s="1">
        <v>33868</v>
      </c>
      <c r="Q1537" s="1">
        <v>26646</v>
      </c>
      <c r="R1537" s="1">
        <v>26832</v>
      </c>
      <c r="S1537" s="1">
        <v>27395</v>
      </c>
      <c r="T1537" s="1">
        <v>27940</v>
      </c>
      <c r="U1537" s="1">
        <v>33895</v>
      </c>
      <c r="V1537" s="1">
        <v>1439</v>
      </c>
      <c r="W1537" s="1">
        <v>959</v>
      </c>
      <c r="X1537" s="1">
        <v>994</v>
      </c>
      <c r="Y1537" s="1">
        <v>1000</v>
      </c>
      <c r="Z1537" s="1">
        <v>1013</v>
      </c>
      <c r="AA1537">
        <v>0</v>
      </c>
      <c r="AB1537" t="str">
        <f t="shared" si="23"/>
        <v>Not Defaulter</v>
      </c>
      <c r="AC1537" s="1">
        <f>Table2[[#This Row],[BILL_AMT1]]-Table2[[#This Row],[PAY_AMT1]]</f>
        <v>-31173</v>
      </c>
      <c r="AD1537" s="1" t="str" cm="1">
        <f t="array" ref="AD1537">_xlfn.IFS(Table2[[#This Row],[PAYMENT GAP]]&lt;=0,"No Gap / Overpaid",Table2[[#This Row],[PAYMENT GAP]]&lt;=25000,"Low Gap",Table2[[#This Row],[PAYMENT GAP]]&lt;=100000,"Medium Gap",
TRUE,"High Gap"
)</f>
        <v>No Gap / Overpaid</v>
      </c>
    </row>
    <row r="1538" spans="1:30" x14ac:dyDescent="0.3">
      <c r="A1538">
        <v>1537</v>
      </c>
      <c r="B1538" s="1">
        <v>40000</v>
      </c>
      <c r="C1538" s="1" t="str" cm="1">
        <f t="array" ref="C1538">_xlfn.IFS(Table2[[#This Row],[LIMIT_BAL]]&lt;=100000,"Low",Table2[[#This Row],[LIMIT_BAL]]&lt;=300000,"Medium",
TRUE,"High"
)</f>
        <v>Low</v>
      </c>
      <c r="D1538" t="s">
        <v>2041</v>
      </c>
      <c r="E1538" t="s">
        <v>2027</v>
      </c>
      <c r="F1538" t="s">
        <v>2029</v>
      </c>
      <c r="G1538">
        <v>24</v>
      </c>
      <c r="H1538" t="str" cm="1">
        <f t="array" ref="H1538">_xlfn.IFS(
Table2[[#This Row],[AGE]]&lt;30,"Young",
Table2[[#This Row],[AGE]]&lt;40,"Middle Age",
Table2[[#This Row],[AGE]]&lt;50,"Senior",
TRUE,"Super Senior"
)</f>
        <v>Young</v>
      </c>
      <c r="I1538">
        <v>-1</v>
      </c>
      <c r="J1538">
        <v>2</v>
      </c>
      <c r="K1538">
        <v>-1</v>
      </c>
      <c r="L1538">
        <v>-1</v>
      </c>
      <c r="M1538">
        <v>0</v>
      </c>
      <c r="N1538">
        <v>0</v>
      </c>
      <c r="O1538" s="1">
        <v>5496</v>
      </c>
      <c r="P1538" s="1">
        <v>698</v>
      </c>
      <c r="Q1538" s="1">
        <v>400</v>
      </c>
      <c r="R1538" s="1">
        <v>25289</v>
      </c>
      <c r="S1538" s="1">
        <v>24435</v>
      </c>
      <c r="T1538" s="1">
        <v>2201</v>
      </c>
      <c r="U1538" s="1">
        <v>0</v>
      </c>
      <c r="V1538" s="1">
        <v>400</v>
      </c>
      <c r="W1538" s="1">
        <v>25289</v>
      </c>
      <c r="X1538" s="1">
        <v>0</v>
      </c>
      <c r="Y1538" s="1">
        <v>0</v>
      </c>
      <c r="Z1538" s="1">
        <v>1329</v>
      </c>
      <c r="AA1538">
        <v>0</v>
      </c>
      <c r="AB1538" t="str">
        <f t="shared" si="23"/>
        <v>Not Defaulter</v>
      </c>
      <c r="AC1538" s="1">
        <f>Table2[[#This Row],[BILL_AMT1]]-Table2[[#This Row],[PAY_AMT1]]</f>
        <v>5496</v>
      </c>
      <c r="AD1538" s="1" t="str" cm="1">
        <f t="array" ref="AD1538">_xlfn.IFS(Table2[[#This Row],[PAYMENT GAP]]&lt;=0,"No Gap / Overpaid",Table2[[#This Row],[PAYMENT GAP]]&lt;=25000,"Low Gap",Table2[[#This Row],[PAYMENT GAP]]&lt;=100000,"Medium Gap",
TRUE,"High Gap"
)</f>
        <v>Low Gap</v>
      </c>
    </row>
    <row r="1539" spans="1:30" x14ac:dyDescent="0.3">
      <c r="A1539">
        <v>1538</v>
      </c>
      <c r="B1539" s="1">
        <v>120000</v>
      </c>
      <c r="C1539" s="1" t="str" cm="1">
        <f t="array" ref="C1539">_xlfn.IFS(Table2[[#This Row],[LIMIT_BAL]]&lt;=100000,"Low",Table2[[#This Row],[LIMIT_BAL]]&lt;=300000,"Medium",
TRUE,"High"
)</f>
        <v>Medium</v>
      </c>
      <c r="D1539" t="s">
        <v>2041</v>
      </c>
      <c r="E1539" t="s">
        <v>2027</v>
      </c>
      <c r="F1539" t="s">
        <v>2028</v>
      </c>
      <c r="G1539">
        <v>27</v>
      </c>
      <c r="H1539" t="str" cm="1">
        <f t="array" ref="H1539">_xlfn.IFS(
Table2[[#This Row],[AGE]]&lt;30,"Young",
Table2[[#This Row],[AGE]]&lt;40,"Middle Age",
Table2[[#This Row],[AGE]]&lt;50,"Senior",
TRUE,"Super Senior"
)</f>
        <v>Young</v>
      </c>
      <c r="I1539">
        <v>2</v>
      </c>
      <c r="J1539">
        <v>-1</v>
      </c>
      <c r="K1539">
        <v>-1</v>
      </c>
      <c r="L1539">
        <v>-1</v>
      </c>
      <c r="M1539">
        <v>2</v>
      </c>
      <c r="N1539">
        <v>-1</v>
      </c>
      <c r="O1539" s="1">
        <v>390</v>
      </c>
      <c r="P1539" s="1">
        <v>390</v>
      </c>
      <c r="Q1539" s="1">
        <v>390</v>
      </c>
      <c r="R1539" s="1">
        <v>780</v>
      </c>
      <c r="S1539" s="1">
        <v>240</v>
      </c>
      <c r="T1539" s="1">
        <v>630</v>
      </c>
      <c r="U1539" s="1">
        <v>390</v>
      </c>
      <c r="V1539" s="1">
        <v>390</v>
      </c>
      <c r="W1539" s="1">
        <v>780</v>
      </c>
      <c r="X1539" s="1">
        <v>0</v>
      </c>
      <c r="Y1539" s="1">
        <v>930</v>
      </c>
      <c r="Z1539" s="1">
        <v>300</v>
      </c>
      <c r="AA1539">
        <v>0</v>
      </c>
      <c r="AB1539" t="str">
        <f t="shared" ref="AB1539:AB1602" si="24">IF(AA1539=1,"Defaulter","Not Defaulter")</f>
        <v>Not Defaulter</v>
      </c>
      <c r="AC1539" s="1">
        <f>Table2[[#This Row],[BILL_AMT1]]-Table2[[#This Row],[PAY_AMT1]]</f>
        <v>0</v>
      </c>
      <c r="AD1539" s="1" t="str" cm="1">
        <f t="array" ref="AD1539">_xlfn.IFS(Table2[[#This Row],[PAYMENT GAP]]&lt;=0,"No Gap / Overpaid",Table2[[#This Row],[PAYMENT GAP]]&lt;=25000,"Low Gap",Table2[[#This Row],[PAYMENT GAP]]&lt;=100000,"Medium Gap",
TRUE,"High Gap"
)</f>
        <v>No Gap / Overpaid</v>
      </c>
    </row>
    <row r="1540" spans="1:30" x14ac:dyDescent="0.3">
      <c r="A1540">
        <v>1539</v>
      </c>
      <c r="B1540" s="1">
        <v>130000</v>
      </c>
      <c r="C1540" s="1" t="str" cm="1">
        <f t="array" ref="C1540">_xlfn.IFS(Table2[[#This Row],[LIMIT_BAL]]&lt;=100000,"Low",Table2[[#This Row],[LIMIT_BAL]]&lt;=300000,"Medium",
TRUE,"High"
)</f>
        <v>Medium</v>
      </c>
      <c r="D1540" t="s">
        <v>2041</v>
      </c>
      <c r="E1540" t="s">
        <v>2043</v>
      </c>
      <c r="F1540" t="s">
        <v>2029</v>
      </c>
      <c r="G1540">
        <v>25</v>
      </c>
      <c r="H1540" t="str" cm="1">
        <f t="array" ref="H1540">_xlfn.IFS(
Table2[[#This Row],[AGE]]&lt;30,"Young",
Table2[[#This Row],[AGE]]&lt;40,"Middle Age",
Table2[[#This Row],[AGE]]&lt;50,"Senior",
TRUE,"Super Senior"
)</f>
        <v>Young</v>
      </c>
      <c r="I1540">
        <v>-1</v>
      </c>
      <c r="J1540">
        <v>-1</v>
      </c>
      <c r="K1540">
        <v>-1</v>
      </c>
      <c r="L1540">
        <v>-1</v>
      </c>
      <c r="M1540">
        <v>-1</v>
      </c>
      <c r="N1540">
        <v>-1</v>
      </c>
      <c r="O1540" s="1">
        <v>1031</v>
      </c>
      <c r="P1540" s="1">
        <v>1583</v>
      </c>
      <c r="Q1540" s="1">
        <v>776</v>
      </c>
      <c r="R1540" s="1">
        <v>776</v>
      </c>
      <c r="S1540" s="1">
        <v>776</v>
      </c>
      <c r="T1540" s="1">
        <v>776</v>
      </c>
      <c r="U1540" s="1">
        <v>1583</v>
      </c>
      <c r="V1540" s="1">
        <v>1000</v>
      </c>
      <c r="W1540" s="1">
        <v>776</v>
      </c>
      <c r="X1540" s="1">
        <v>776</v>
      </c>
      <c r="Y1540" s="1">
        <v>776</v>
      </c>
      <c r="Z1540" s="1">
        <v>12184</v>
      </c>
      <c r="AA1540">
        <v>1</v>
      </c>
      <c r="AB1540" t="str">
        <f t="shared" si="24"/>
        <v>Defaulter</v>
      </c>
      <c r="AC1540" s="1">
        <f>Table2[[#This Row],[BILL_AMT1]]-Table2[[#This Row],[PAY_AMT1]]</f>
        <v>-552</v>
      </c>
      <c r="AD1540" s="1" t="str" cm="1">
        <f t="array" ref="AD1540">_xlfn.IFS(Table2[[#This Row],[PAYMENT GAP]]&lt;=0,"No Gap / Overpaid",Table2[[#This Row],[PAYMENT GAP]]&lt;=25000,"Low Gap",Table2[[#This Row],[PAYMENT GAP]]&lt;=100000,"Medium Gap",
TRUE,"High Gap"
)</f>
        <v>No Gap / Overpaid</v>
      </c>
    </row>
    <row r="1541" spans="1:30" x14ac:dyDescent="0.3">
      <c r="A1541">
        <v>1540</v>
      </c>
      <c r="B1541" s="1">
        <v>110000</v>
      </c>
      <c r="C1541" s="1" t="str" cm="1">
        <f t="array" ref="C1541">_xlfn.IFS(Table2[[#This Row],[LIMIT_BAL]]&lt;=100000,"Low",Table2[[#This Row],[LIMIT_BAL]]&lt;=300000,"Medium",
TRUE,"High"
)</f>
        <v>Medium</v>
      </c>
      <c r="D1541" t="s">
        <v>2041</v>
      </c>
      <c r="E1541" t="s">
        <v>2027</v>
      </c>
      <c r="F1541" t="s">
        <v>2029</v>
      </c>
      <c r="G1541">
        <v>28</v>
      </c>
      <c r="H1541" t="str" cm="1">
        <f t="array" ref="H1541">_xlfn.IFS(
Table2[[#This Row],[AGE]]&lt;30,"Young",
Table2[[#This Row],[AGE]]&lt;40,"Middle Age",
Table2[[#This Row],[AGE]]&lt;50,"Senior",
TRUE,"Super Senior"
)</f>
        <v>Young</v>
      </c>
      <c r="I1541">
        <v>0</v>
      </c>
      <c r="J1541">
        <v>0</v>
      </c>
      <c r="K1541">
        <v>2</v>
      </c>
      <c r="L1541">
        <v>2</v>
      </c>
      <c r="M1541">
        <v>0</v>
      </c>
      <c r="N1541">
        <v>0</v>
      </c>
      <c r="O1541" s="1">
        <v>85918</v>
      </c>
      <c r="P1541" s="1">
        <v>87442</v>
      </c>
      <c r="Q1541" s="1">
        <v>82975</v>
      </c>
      <c r="R1541" s="1">
        <v>80446</v>
      </c>
      <c r="S1541" s="1">
        <v>80006</v>
      </c>
      <c r="T1541" s="1">
        <v>80421</v>
      </c>
      <c r="U1541" s="1">
        <v>4000</v>
      </c>
      <c r="V1541" s="1">
        <v>6000</v>
      </c>
      <c r="W1541" s="1">
        <v>12</v>
      </c>
      <c r="X1541" s="1">
        <v>3100</v>
      </c>
      <c r="Y1541" s="1">
        <v>3200</v>
      </c>
      <c r="Z1541" s="1">
        <v>3000</v>
      </c>
      <c r="AA1541">
        <v>0</v>
      </c>
      <c r="AB1541" t="str">
        <f t="shared" si="24"/>
        <v>Not Defaulter</v>
      </c>
      <c r="AC1541" s="1">
        <f>Table2[[#This Row],[BILL_AMT1]]-Table2[[#This Row],[PAY_AMT1]]</f>
        <v>81918</v>
      </c>
      <c r="AD1541" s="1" t="str" cm="1">
        <f t="array" ref="AD1541">_xlfn.IFS(Table2[[#This Row],[PAYMENT GAP]]&lt;=0,"No Gap / Overpaid",Table2[[#This Row],[PAYMENT GAP]]&lt;=25000,"Low Gap",Table2[[#This Row],[PAYMENT GAP]]&lt;=100000,"Medium Gap",
TRUE,"High Gap"
)</f>
        <v>Medium Gap</v>
      </c>
    </row>
    <row r="1542" spans="1:30" x14ac:dyDescent="0.3">
      <c r="A1542">
        <v>1541</v>
      </c>
      <c r="B1542" s="1">
        <v>20000</v>
      </c>
      <c r="C1542" s="1" t="str" cm="1">
        <f t="array" ref="C1542">_xlfn.IFS(Table2[[#This Row],[LIMIT_BAL]]&lt;=100000,"Low",Table2[[#This Row],[LIMIT_BAL]]&lt;=300000,"Medium",
TRUE,"High"
)</f>
        <v>Low</v>
      </c>
      <c r="D1542" t="s">
        <v>2042</v>
      </c>
      <c r="E1542" t="s">
        <v>2043</v>
      </c>
      <c r="F1542" t="s">
        <v>2029</v>
      </c>
      <c r="G1542">
        <v>22</v>
      </c>
      <c r="H1542" t="str" cm="1">
        <f t="array" ref="H1542">_xlfn.IFS(
Table2[[#This Row],[AGE]]&lt;30,"Young",
Table2[[#This Row],[AGE]]&lt;40,"Middle Age",
Table2[[#This Row],[AGE]]&lt;50,"Senior",
TRUE,"Super Senior"
)</f>
        <v>Young</v>
      </c>
      <c r="I1542">
        <v>1</v>
      </c>
      <c r="J1542">
        <v>2</v>
      </c>
      <c r="K1542">
        <v>0</v>
      </c>
      <c r="L1542">
        <v>0</v>
      </c>
      <c r="M1542">
        <v>0</v>
      </c>
      <c r="N1542">
        <v>0</v>
      </c>
      <c r="O1542" s="1">
        <v>8222</v>
      </c>
      <c r="P1542" s="1">
        <v>7948</v>
      </c>
      <c r="Q1542" s="1">
        <v>8958</v>
      </c>
      <c r="R1542" s="1">
        <v>9456</v>
      </c>
      <c r="S1542" s="1">
        <v>10150</v>
      </c>
      <c r="T1542" s="1">
        <v>10727</v>
      </c>
      <c r="U1542" s="1">
        <v>0</v>
      </c>
      <c r="V1542" s="1">
        <v>1300</v>
      </c>
      <c r="W1542" s="1">
        <v>800</v>
      </c>
      <c r="X1542" s="1">
        <v>1000</v>
      </c>
      <c r="Y1542" s="1">
        <v>900</v>
      </c>
      <c r="Z1542" s="1">
        <v>2130</v>
      </c>
      <c r="AA1542">
        <v>1</v>
      </c>
      <c r="AB1542" t="str">
        <f t="shared" si="24"/>
        <v>Defaulter</v>
      </c>
      <c r="AC1542" s="1">
        <f>Table2[[#This Row],[BILL_AMT1]]-Table2[[#This Row],[PAY_AMT1]]</f>
        <v>8222</v>
      </c>
      <c r="AD1542" s="1" t="str" cm="1">
        <f t="array" ref="AD1542">_xlfn.IFS(Table2[[#This Row],[PAYMENT GAP]]&lt;=0,"No Gap / Overpaid",Table2[[#This Row],[PAYMENT GAP]]&lt;=25000,"Low Gap",Table2[[#This Row],[PAYMENT GAP]]&lt;=100000,"Medium Gap",
TRUE,"High Gap"
)</f>
        <v>Low Gap</v>
      </c>
    </row>
    <row r="1543" spans="1:30" x14ac:dyDescent="0.3">
      <c r="A1543">
        <v>1542</v>
      </c>
      <c r="B1543" s="1">
        <v>50000</v>
      </c>
      <c r="C1543" s="1" t="str" cm="1">
        <f t="array" ref="C1543">_xlfn.IFS(Table2[[#This Row],[LIMIT_BAL]]&lt;=100000,"Low",Table2[[#This Row],[LIMIT_BAL]]&lt;=300000,"Medium",
TRUE,"High"
)</f>
        <v>Low</v>
      </c>
      <c r="D1543" t="s">
        <v>2042</v>
      </c>
      <c r="E1543" t="s">
        <v>2027</v>
      </c>
      <c r="F1543" t="s">
        <v>2029</v>
      </c>
      <c r="G1543">
        <v>22</v>
      </c>
      <c r="H1543" t="str" cm="1">
        <f t="array" ref="H1543">_xlfn.IFS(
Table2[[#This Row],[AGE]]&lt;30,"Young",
Table2[[#This Row],[AGE]]&lt;40,"Middle Age",
Table2[[#This Row],[AGE]]&lt;50,"Senior",
TRUE,"Super Senior"
)</f>
        <v>Young</v>
      </c>
      <c r="I1543">
        <v>1</v>
      </c>
      <c r="J1543">
        <v>-2</v>
      </c>
      <c r="K1543">
        <v>-2</v>
      </c>
      <c r="L1543">
        <v>-2</v>
      </c>
      <c r="M1543">
        <v>-2</v>
      </c>
      <c r="N1543">
        <v>-2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>
        <v>0</v>
      </c>
      <c r="AB1543" t="str">
        <f t="shared" si="24"/>
        <v>Not Defaulter</v>
      </c>
      <c r="AC1543" s="1">
        <f>Table2[[#This Row],[BILL_AMT1]]-Table2[[#This Row],[PAY_AMT1]]</f>
        <v>0</v>
      </c>
      <c r="AD1543" s="1" t="str" cm="1">
        <f t="array" ref="AD1543">_xlfn.IFS(Table2[[#This Row],[PAYMENT GAP]]&lt;=0,"No Gap / Overpaid",Table2[[#This Row],[PAYMENT GAP]]&lt;=25000,"Low Gap",Table2[[#This Row],[PAYMENT GAP]]&lt;=100000,"Medium Gap",
TRUE,"High Gap"
)</f>
        <v>No Gap / Overpaid</v>
      </c>
    </row>
    <row r="1544" spans="1:30" x14ac:dyDescent="0.3">
      <c r="A1544">
        <v>1543</v>
      </c>
      <c r="B1544" s="1">
        <v>120000</v>
      </c>
      <c r="C1544" s="1" t="str" cm="1">
        <f t="array" ref="C1544">_xlfn.IFS(Table2[[#This Row],[LIMIT_BAL]]&lt;=100000,"Low",Table2[[#This Row],[LIMIT_BAL]]&lt;=300000,"Medium",
TRUE,"High"
)</f>
        <v>Medium</v>
      </c>
      <c r="D1544" t="s">
        <v>2041</v>
      </c>
      <c r="E1544" t="s">
        <v>2027</v>
      </c>
      <c r="F1544" t="s">
        <v>2028</v>
      </c>
      <c r="G1544">
        <v>30</v>
      </c>
      <c r="H1544" t="str" cm="1">
        <f t="array" ref="H1544">_xlfn.IFS(
Table2[[#This Row],[AGE]]&lt;30,"Young",
Table2[[#This Row],[AGE]]&lt;40,"Middle Age",
Table2[[#This Row],[AGE]]&lt;50,"Senior",
TRUE,"Super Senior"
)</f>
        <v>Middle Age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 s="1">
        <v>115583</v>
      </c>
      <c r="P1544" s="1">
        <v>114915</v>
      </c>
      <c r="Q1544" s="1">
        <v>117220</v>
      </c>
      <c r="R1544" s="1">
        <v>119599</v>
      </c>
      <c r="S1544" s="1">
        <v>120888</v>
      </c>
      <c r="T1544" s="1">
        <v>117881</v>
      </c>
      <c r="U1544" s="1">
        <v>4178</v>
      </c>
      <c r="V1544" s="1">
        <v>4223</v>
      </c>
      <c r="W1544" s="1">
        <v>4296</v>
      </c>
      <c r="X1544" s="1">
        <v>4800</v>
      </c>
      <c r="Y1544" s="1">
        <v>4423</v>
      </c>
      <c r="Z1544" s="1">
        <v>4080</v>
      </c>
      <c r="AA1544">
        <v>0</v>
      </c>
      <c r="AB1544" t="str">
        <f t="shared" si="24"/>
        <v>Not Defaulter</v>
      </c>
      <c r="AC1544" s="1">
        <f>Table2[[#This Row],[BILL_AMT1]]-Table2[[#This Row],[PAY_AMT1]]</f>
        <v>111405</v>
      </c>
      <c r="AD1544" s="1" t="str" cm="1">
        <f t="array" ref="AD1544">_xlfn.IFS(Table2[[#This Row],[PAYMENT GAP]]&lt;=0,"No Gap / Overpaid",Table2[[#This Row],[PAYMENT GAP]]&lt;=25000,"Low Gap",Table2[[#This Row],[PAYMENT GAP]]&lt;=100000,"Medium Gap",
TRUE,"High Gap"
)</f>
        <v>High Gap</v>
      </c>
    </row>
    <row r="1545" spans="1:30" x14ac:dyDescent="0.3">
      <c r="A1545">
        <v>1544</v>
      </c>
      <c r="B1545" s="1">
        <v>50000</v>
      </c>
      <c r="C1545" s="1" t="str" cm="1">
        <f t="array" ref="C1545">_xlfn.IFS(Table2[[#This Row],[LIMIT_BAL]]&lt;=100000,"Low",Table2[[#This Row],[LIMIT_BAL]]&lt;=300000,"Medium",
TRUE,"High"
)</f>
        <v>Low</v>
      </c>
      <c r="D1545" t="s">
        <v>2042</v>
      </c>
      <c r="E1545" t="s">
        <v>2027</v>
      </c>
      <c r="F1545" t="s">
        <v>2029</v>
      </c>
      <c r="G1545">
        <v>34</v>
      </c>
      <c r="H1545" t="str" cm="1">
        <f t="array" ref="H1545">_xlfn.IFS(
Table2[[#This Row],[AGE]]&lt;30,"Young",
Table2[[#This Row],[AGE]]&lt;40,"Middle Age",
Table2[[#This Row],[AGE]]&lt;50,"Senior",
TRUE,"Super Senior"
)</f>
        <v>Middle Age</v>
      </c>
      <c r="I1545">
        <v>0</v>
      </c>
      <c r="J1545">
        <v>0</v>
      </c>
      <c r="K1545">
        <v>0</v>
      </c>
      <c r="L1545">
        <v>-2</v>
      </c>
      <c r="M1545">
        <v>-2</v>
      </c>
      <c r="N1545">
        <v>-2</v>
      </c>
      <c r="O1545" s="1">
        <v>50375</v>
      </c>
      <c r="P1545" s="1">
        <v>51400</v>
      </c>
      <c r="Q1545" s="1">
        <v>0</v>
      </c>
      <c r="R1545" s="1">
        <v>0</v>
      </c>
      <c r="S1545" s="1">
        <v>0</v>
      </c>
      <c r="T1545" s="1">
        <v>0</v>
      </c>
      <c r="U1545" s="1">
        <v>2400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>
        <v>0</v>
      </c>
      <c r="AB1545" t="str">
        <f t="shared" si="24"/>
        <v>Not Defaulter</v>
      </c>
      <c r="AC1545" s="1">
        <f>Table2[[#This Row],[BILL_AMT1]]-Table2[[#This Row],[PAY_AMT1]]</f>
        <v>47975</v>
      </c>
      <c r="AD1545" s="1" t="str" cm="1">
        <f t="array" ref="AD1545">_xlfn.IFS(Table2[[#This Row],[PAYMENT GAP]]&lt;=0,"No Gap / Overpaid",Table2[[#This Row],[PAYMENT GAP]]&lt;=25000,"Low Gap",Table2[[#This Row],[PAYMENT GAP]]&lt;=100000,"Medium Gap",
TRUE,"High Gap"
)</f>
        <v>Medium Gap</v>
      </c>
    </row>
    <row r="1546" spans="1:30" x14ac:dyDescent="0.3">
      <c r="A1546">
        <v>1545</v>
      </c>
      <c r="B1546" s="1">
        <v>360000</v>
      </c>
      <c r="C1546" s="1" t="str" cm="1">
        <f t="array" ref="C1546">_xlfn.IFS(Table2[[#This Row],[LIMIT_BAL]]&lt;=100000,"Low",Table2[[#This Row],[LIMIT_BAL]]&lt;=300000,"Medium",
TRUE,"High"
)</f>
        <v>High</v>
      </c>
      <c r="D1546" t="s">
        <v>2041</v>
      </c>
      <c r="E1546" t="s">
        <v>2043</v>
      </c>
      <c r="F1546" t="s">
        <v>2029</v>
      </c>
      <c r="G1546">
        <v>34</v>
      </c>
      <c r="H1546" t="str" cm="1">
        <f t="array" ref="H1546">_xlfn.IFS(
Table2[[#This Row],[AGE]]&lt;30,"Young",
Table2[[#This Row],[AGE]]&lt;40,"Middle Age",
Table2[[#This Row],[AGE]]&lt;50,"Senior",
TRUE,"Super Senior"
)</f>
        <v>Middle Age</v>
      </c>
      <c r="I1546">
        <v>1</v>
      </c>
      <c r="J1546">
        <v>-2</v>
      </c>
      <c r="K1546">
        <v>-2</v>
      </c>
      <c r="L1546">
        <v>-1</v>
      </c>
      <c r="M1546">
        <v>-1</v>
      </c>
      <c r="N1546">
        <v>-2</v>
      </c>
      <c r="O1546" s="1">
        <v>0</v>
      </c>
      <c r="P1546" s="1">
        <v>0</v>
      </c>
      <c r="Q1546" s="1">
        <v>0</v>
      </c>
      <c r="R1546" s="1">
        <v>700</v>
      </c>
      <c r="S1546" s="1">
        <v>0</v>
      </c>
      <c r="T1546" s="1">
        <v>0</v>
      </c>
      <c r="U1546" s="1">
        <v>0</v>
      </c>
      <c r="V1546" s="1">
        <v>0</v>
      </c>
      <c r="W1546" s="1">
        <v>700</v>
      </c>
      <c r="X1546" s="1">
        <v>0</v>
      </c>
      <c r="Y1546" s="1">
        <v>0</v>
      </c>
      <c r="Z1546" s="1">
        <v>0</v>
      </c>
      <c r="AA1546">
        <v>1</v>
      </c>
      <c r="AB1546" t="str">
        <f t="shared" si="24"/>
        <v>Defaulter</v>
      </c>
      <c r="AC1546" s="1">
        <f>Table2[[#This Row],[BILL_AMT1]]-Table2[[#This Row],[PAY_AMT1]]</f>
        <v>0</v>
      </c>
      <c r="AD1546" s="1" t="str" cm="1">
        <f t="array" ref="AD1546">_xlfn.IFS(Table2[[#This Row],[PAYMENT GAP]]&lt;=0,"No Gap / Overpaid",Table2[[#This Row],[PAYMENT GAP]]&lt;=25000,"Low Gap",Table2[[#This Row],[PAYMENT GAP]]&lt;=100000,"Medium Gap",
TRUE,"High Gap"
)</f>
        <v>No Gap / Overpaid</v>
      </c>
    </row>
    <row r="1547" spans="1:30" x14ac:dyDescent="0.3">
      <c r="A1547">
        <v>1546</v>
      </c>
      <c r="B1547" s="1">
        <v>240000</v>
      </c>
      <c r="C1547" s="1" t="str" cm="1">
        <f t="array" ref="C1547">_xlfn.IFS(Table2[[#This Row],[LIMIT_BAL]]&lt;=100000,"Low",Table2[[#This Row],[LIMIT_BAL]]&lt;=300000,"Medium",
TRUE,"High"
)</f>
        <v>Medium</v>
      </c>
      <c r="D1547" t="s">
        <v>2041</v>
      </c>
      <c r="E1547" t="s">
        <v>2043</v>
      </c>
      <c r="F1547" t="s">
        <v>2028</v>
      </c>
      <c r="G1547">
        <v>44</v>
      </c>
      <c r="H1547" t="str" cm="1">
        <f t="array" ref="H1547">_xlfn.IFS(
Table2[[#This Row],[AGE]]&lt;30,"Young",
Table2[[#This Row],[AGE]]&lt;40,"Middle Age",
Table2[[#This Row],[AGE]]&lt;50,"Senior",
TRUE,"Super Senior"
)</f>
        <v>Senior</v>
      </c>
      <c r="I1547">
        <v>-1</v>
      </c>
      <c r="J1547">
        <v>-1</v>
      </c>
      <c r="K1547">
        <v>-1</v>
      </c>
      <c r="L1547">
        <v>-1</v>
      </c>
      <c r="M1547">
        <v>-1</v>
      </c>
      <c r="N1547">
        <v>-1</v>
      </c>
      <c r="O1547" s="1">
        <v>3313</v>
      </c>
      <c r="P1547" s="1">
        <v>7458</v>
      </c>
      <c r="Q1547" s="1">
        <v>2329</v>
      </c>
      <c r="R1547" s="1">
        <v>4267</v>
      </c>
      <c r="S1547" s="1">
        <v>2404</v>
      </c>
      <c r="T1547" s="1">
        <v>4243</v>
      </c>
      <c r="U1547" s="1">
        <v>7458</v>
      </c>
      <c r="V1547" s="1">
        <v>2335</v>
      </c>
      <c r="W1547" s="1">
        <v>4267</v>
      </c>
      <c r="X1547" s="1">
        <v>2404</v>
      </c>
      <c r="Y1547" s="1">
        <v>4243</v>
      </c>
      <c r="Z1547" s="1">
        <v>2952</v>
      </c>
      <c r="AA1547">
        <v>1</v>
      </c>
      <c r="AB1547" t="str">
        <f t="shared" si="24"/>
        <v>Defaulter</v>
      </c>
      <c r="AC1547" s="1">
        <f>Table2[[#This Row],[BILL_AMT1]]-Table2[[#This Row],[PAY_AMT1]]</f>
        <v>-4145</v>
      </c>
      <c r="AD1547" s="1" t="str" cm="1">
        <f t="array" ref="AD1547">_xlfn.IFS(Table2[[#This Row],[PAYMENT GAP]]&lt;=0,"No Gap / Overpaid",Table2[[#This Row],[PAYMENT GAP]]&lt;=25000,"Low Gap",Table2[[#This Row],[PAYMENT GAP]]&lt;=100000,"Medium Gap",
TRUE,"High Gap"
)</f>
        <v>No Gap / Overpaid</v>
      </c>
    </row>
    <row r="1548" spans="1:30" x14ac:dyDescent="0.3">
      <c r="A1548">
        <v>1547</v>
      </c>
      <c r="B1548" s="1">
        <v>150000</v>
      </c>
      <c r="C1548" s="1" t="str" cm="1">
        <f t="array" ref="C1548">_xlfn.IFS(Table2[[#This Row],[LIMIT_BAL]]&lt;=100000,"Low",Table2[[#This Row],[LIMIT_BAL]]&lt;=300000,"Medium",
TRUE,"High"
)</f>
        <v>Medium</v>
      </c>
      <c r="D1548" t="s">
        <v>2042</v>
      </c>
      <c r="E1548" t="s">
        <v>2026</v>
      </c>
      <c r="F1548" t="s">
        <v>2029</v>
      </c>
      <c r="G1548">
        <v>32</v>
      </c>
      <c r="H1548" t="str" cm="1">
        <f t="array" ref="H1548">_xlfn.IFS(
Table2[[#This Row],[AGE]]&lt;30,"Young",
Table2[[#This Row],[AGE]]&lt;40,"Middle Age",
Table2[[#This Row],[AGE]]&lt;50,"Senior",
TRUE,"Super Senior"
)</f>
        <v>Middle Age</v>
      </c>
      <c r="I1548">
        <v>0</v>
      </c>
      <c r="J1548">
        <v>-1</v>
      </c>
      <c r="K1548">
        <v>-1</v>
      </c>
      <c r="L1548">
        <v>-1</v>
      </c>
      <c r="M1548">
        <v>-1</v>
      </c>
      <c r="N1548">
        <v>-2</v>
      </c>
      <c r="O1548" s="1">
        <v>46272</v>
      </c>
      <c r="P1548" s="1">
        <v>1079</v>
      </c>
      <c r="Q1548" s="1">
        <v>0</v>
      </c>
      <c r="R1548" s="1">
        <v>41147</v>
      </c>
      <c r="S1548" s="1">
        <v>-3</v>
      </c>
      <c r="T1548" s="1">
        <v>-3</v>
      </c>
      <c r="U1548" s="1">
        <v>1082</v>
      </c>
      <c r="V1548" s="1">
        <v>0</v>
      </c>
      <c r="W1548" s="1">
        <v>41147</v>
      </c>
      <c r="X1548" s="1">
        <v>0</v>
      </c>
      <c r="Y1548" s="1">
        <v>0</v>
      </c>
      <c r="Z1548" s="1">
        <v>0</v>
      </c>
      <c r="AA1548">
        <v>0</v>
      </c>
      <c r="AB1548" t="str">
        <f t="shared" si="24"/>
        <v>Not Defaulter</v>
      </c>
      <c r="AC1548" s="1">
        <f>Table2[[#This Row],[BILL_AMT1]]-Table2[[#This Row],[PAY_AMT1]]</f>
        <v>45190</v>
      </c>
      <c r="AD1548" s="1" t="str" cm="1">
        <f t="array" ref="AD1548">_xlfn.IFS(Table2[[#This Row],[PAYMENT GAP]]&lt;=0,"No Gap / Overpaid",Table2[[#This Row],[PAYMENT GAP]]&lt;=25000,"Low Gap",Table2[[#This Row],[PAYMENT GAP]]&lt;=100000,"Medium Gap",
TRUE,"High Gap"
)</f>
        <v>Medium Gap</v>
      </c>
    </row>
    <row r="1549" spans="1:30" x14ac:dyDescent="0.3">
      <c r="A1549">
        <v>1548</v>
      </c>
      <c r="B1549" s="1">
        <v>50000</v>
      </c>
      <c r="C1549" s="1" t="str" cm="1">
        <f t="array" ref="C1549">_xlfn.IFS(Table2[[#This Row],[LIMIT_BAL]]&lt;=100000,"Low",Table2[[#This Row],[LIMIT_BAL]]&lt;=300000,"Medium",
TRUE,"High"
)</f>
        <v>Low</v>
      </c>
      <c r="D1549" t="s">
        <v>2041</v>
      </c>
      <c r="E1549" t="s">
        <v>2043</v>
      </c>
      <c r="F1549" t="s">
        <v>2029</v>
      </c>
      <c r="G1549">
        <v>23</v>
      </c>
      <c r="H1549" t="str" cm="1">
        <f t="array" ref="H1549">_xlfn.IFS(
Table2[[#This Row],[AGE]]&lt;30,"Young",
Table2[[#This Row],[AGE]]&lt;40,"Middle Age",
Table2[[#This Row],[AGE]]&lt;50,"Senior",
TRUE,"Super Senior"
)</f>
        <v>Young</v>
      </c>
      <c r="I1549">
        <v>0</v>
      </c>
      <c r="J1549">
        <v>0</v>
      </c>
      <c r="K1549">
        <v>0</v>
      </c>
      <c r="L1549">
        <v>0</v>
      </c>
      <c r="M1549">
        <v>2</v>
      </c>
      <c r="N1549">
        <v>0</v>
      </c>
      <c r="O1549" s="1">
        <v>30501</v>
      </c>
      <c r="P1549" s="1">
        <v>33113</v>
      </c>
      <c r="Q1549" s="1">
        <v>33967</v>
      </c>
      <c r="R1549" s="1">
        <v>28115</v>
      </c>
      <c r="S1549" s="1">
        <v>27529</v>
      </c>
      <c r="T1549" s="1">
        <v>29896</v>
      </c>
      <c r="U1549" s="1">
        <v>3113</v>
      </c>
      <c r="V1549" s="1">
        <v>1421</v>
      </c>
      <c r="W1549" s="1">
        <v>4295</v>
      </c>
      <c r="X1549" s="1">
        <v>0</v>
      </c>
      <c r="Y1549" s="1">
        <v>3000</v>
      </c>
      <c r="Z1549" s="1">
        <v>896</v>
      </c>
      <c r="AA1549">
        <v>0</v>
      </c>
      <c r="AB1549" t="str">
        <f t="shared" si="24"/>
        <v>Not Defaulter</v>
      </c>
      <c r="AC1549" s="1">
        <f>Table2[[#This Row],[BILL_AMT1]]-Table2[[#This Row],[PAY_AMT1]]</f>
        <v>27388</v>
      </c>
      <c r="AD1549" s="1" t="str" cm="1">
        <f t="array" ref="AD1549">_xlfn.IFS(Table2[[#This Row],[PAYMENT GAP]]&lt;=0,"No Gap / Overpaid",Table2[[#This Row],[PAYMENT GAP]]&lt;=25000,"Low Gap",Table2[[#This Row],[PAYMENT GAP]]&lt;=100000,"Medium Gap",
TRUE,"High Gap"
)</f>
        <v>Medium Gap</v>
      </c>
    </row>
    <row r="1550" spans="1:30" x14ac:dyDescent="0.3">
      <c r="A1550">
        <v>1549</v>
      </c>
      <c r="B1550" s="1">
        <v>500000</v>
      </c>
      <c r="C1550" s="1" t="str" cm="1">
        <f t="array" ref="C1550">_xlfn.IFS(Table2[[#This Row],[LIMIT_BAL]]&lt;=100000,"Low",Table2[[#This Row],[LIMIT_BAL]]&lt;=300000,"Medium",
TRUE,"High"
)</f>
        <v>High</v>
      </c>
      <c r="D1550" t="s">
        <v>2041</v>
      </c>
      <c r="E1550" t="s">
        <v>2026</v>
      </c>
      <c r="F1550" t="s">
        <v>2029</v>
      </c>
      <c r="G1550">
        <v>42</v>
      </c>
      <c r="H1550" t="str" cm="1">
        <f t="array" ref="H1550">_xlfn.IFS(
Table2[[#This Row],[AGE]]&lt;30,"Young",
Table2[[#This Row],[AGE]]&lt;40,"Middle Age",
Table2[[#This Row],[AGE]]&lt;50,"Senior",
TRUE,"Super Senior"
)</f>
        <v>Senior</v>
      </c>
      <c r="I1550">
        <v>-1</v>
      </c>
      <c r="J1550">
        <v>-1</v>
      </c>
      <c r="K1550">
        <v>-1</v>
      </c>
      <c r="L1550">
        <v>2</v>
      </c>
      <c r="M1550">
        <v>-1</v>
      </c>
      <c r="N1550">
        <v>-1</v>
      </c>
      <c r="O1550" s="1">
        <v>30439</v>
      </c>
      <c r="P1550" s="1">
        <v>1844</v>
      </c>
      <c r="Q1550" s="1">
        <v>844</v>
      </c>
      <c r="R1550" s="1">
        <v>614</v>
      </c>
      <c r="S1550" s="1">
        <v>2887</v>
      </c>
      <c r="T1550" s="1">
        <v>3850</v>
      </c>
      <c r="U1550" s="1">
        <v>1844</v>
      </c>
      <c r="V1550" s="1">
        <v>1000</v>
      </c>
      <c r="W1550" s="1">
        <v>0</v>
      </c>
      <c r="X1550" s="1">
        <v>3000</v>
      </c>
      <c r="Y1550" s="1">
        <v>4000</v>
      </c>
      <c r="Z1550" s="1">
        <v>6000</v>
      </c>
      <c r="AA1550">
        <v>1</v>
      </c>
      <c r="AB1550" t="str">
        <f t="shared" si="24"/>
        <v>Defaulter</v>
      </c>
      <c r="AC1550" s="1">
        <f>Table2[[#This Row],[BILL_AMT1]]-Table2[[#This Row],[PAY_AMT1]]</f>
        <v>28595</v>
      </c>
      <c r="AD1550" s="1" t="str" cm="1">
        <f t="array" ref="AD1550">_xlfn.IFS(Table2[[#This Row],[PAYMENT GAP]]&lt;=0,"No Gap / Overpaid",Table2[[#This Row],[PAYMENT GAP]]&lt;=25000,"Low Gap",Table2[[#This Row],[PAYMENT GAP]]&lt;=100000,"Medium Gap",
TRUE,"High Gap"
)</f>
        <v>Medium Gap</v>
      </c>
    </row>
    <row r="1551" spans="1:30" x14ac:dyDescent="0.3">
      <c r="A1551">
        <v>1550</v>
      </c>
      <c r="B1551" s="1">
        <v>110000</v>
      </c>
      <c r="C1551" s="1" t="str" cm="1">
        <f t="array" ref="C1551">_xlfn.IFS(Table2[[#This Row],[LIMIT_BAL]]&lt;=100000,"Low",Table2[[#This Row],[LIMIT_BAL]]&lt;=300000,"Medium",
TRUE,"High"
)</f>
        <v>Medium</v>
      </c>
      <c r="D1551" t="s">
        <v>2041</v>
      </c>
      <c r="E1551" t="s">
        <v>2043</v>
      </c>
      <c r="F1551" t="s">
        <v>2028</v>
      </c>
      <c r="G1551">
        <v>33</v>
      </c>
      <c r="H1551" t="str" cm="1">
        <f t="array" ref="H1551">_xlfn.IFS(
Table2[[#This Row],[AGE]]&lt;30,"Young",
Table2[[#This Row],[AGE]]&lt;40,"Middle Age",
Table2[[#This Row],[AGE]]&lt;50,"Senior",
TRUE,"Super Senior"
)</f>
        <v>Middle Age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 s="1">
        <v>115895</v>
      </c>
      <c r="P1551" s="1">
        <v>115609</v>
      </c>
      <c r="Q1551" s="1">
        <v>113984</v>
      </c>
      <c r="R1551" s="1">
        <v>112510</v>
      </c>
      <c r="S1551" s="1">
        <v>112319</v>
      </c>
      <c r="T1551" s="1">
        <v>110730</v>
      </c>
      <c r="U1551" s="1">
        <v>6000</v>
      </c>
      <c r="V1551" s="1">
        <v>5500</v>
      </c>
      <c r="W1551" s="1">
        <v>4000</v>
      </c>
      <c r="X1551" s="1">
        <v>4000</v>
      </c>
      <c r="Y1551" s="1">
        <v>4100</v>
      </c>
      <c r="Z1551" s="1">
        <v>4000</v>
      </c>
      <c r="AA1551">
        <v>0</v>
      </c>
      <c r="AB1551" t="str">
        <f t="shared" si="24"/>
        <v>Not Defaulter</v>
      </c>
      <c r="AC1551" s="1">
        <f>Table2[[#This Row],[BILL_AMT1]]-Table2[[#This Row],[PAY_AMT1]]</f>
        <v>109895</v>
      </c>
      <c r="AD1551" s="1" t="str" cm="1">
        <f t="array" ref="AD1551">_xlfn.IFS(Table2[[#This Row],[PAYMENT GAP]]&lt;=0,"No Gap / Overpaid",Table2[[#This Row],[PAYMENT GAP]]&lt;=25000,"Low Gap",Table2[[#This Row],[PAYMENT GAP]]&lt;=100000,"Medium Gap",
TRUE,"High Gap"
)</f>
        <v>High Gap</v>
      </c>
    </row>
    <row r="1552" spans="1:30" x14ac:dyDescent="0.3">
      <c r="A1552">
        <v>1551</v>
      </c>
      <c r="B1552" s="1">
        <v>170000</v>
      </c>
      <c r="C1552" s="1" t="str" cm="1">
        <f t="array" ref="C1552">_xlfn.IFS(Table2[[#This Row],[LIMIT_BAL]]&lt;=100000,"Low",Table2[[#This Row],[LIMIT_BAL]]&lt;=300000,"Medium",
TRUE,"High"
)</f>
        <v>Medium</v>
      </c>
      <c r="D1552" t="s">
        <v>2042</v>
      </c>
      <c r="E1552" t="s">
        <v>2043</v>
      </c>
      <c r="F1552" t="s">
        <v>2028</v>
      </c>
      <c r="G1552">
        <v>48</v>
      </c>
      <c r="H1552" t="str" cm="1">
        <f t="array" ref="H1552">_xlfn.IFS(
Table2[[#This Row],[AGE]]&lt;30,"Young",
Table2[[#This Row],[AGE]]&lt;40,"Middle Age",
Table2[[#This Row],[AGE]]&lt;50,"Senior",
TRUE,"Super Senior"
)</f>
        <v>Senior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 s="1">
        <v>93420</v>
      </c>
      <c r="P1552" s="1">
        <v>96284</v>
      </c>
      <c r="Q1552" s="1">
        <v>97322</v>
      </c>
      <c r="R1552" s="1">
        <v>99419</v>
      </c>
      <c r="S1552" s="1">
        <v>101590</v>
      </c>
      <c r="T1552" s="1">
        <v>111679</v>
      </c>
      <c r="U1552" s="1">
        <v>4371</v>
      </c>
      <c r="V1552" s="1">
        <v>3533</v>
      </c>
      <c r="W1552" s="1">
        <v>3716</v>
      </c>
      <c r="X1552" s="1">
        <v>3934</v>
      </c>
      <c r="Y1552" s="1">
        <v>12030</v>
      </c>
      <c r="Z1552" s="1">
        <v>0</v>
      </c>
      <c r="AA1552">
        <v>1</v>
      </c>
      <c r="AB1552" t="str">
        <f t="shared" si="24"/>
        <v>Defaulter</v>
      </c>
      <c r="AC1552" s="1">
        <f>Table2[[#This Row],[BILL_AMT1]]-Table2[[#This Row],[PAY_AMT1]]</f>
        <v>89049</v>
      </c>
      <c r="AD1552" s="1" t="str" cm="1">
        <f t="array" ref="AD1552">_xlfn.IFS(Table2[[#This Row],[PAYMENT GAP]]&lt;=0,"No Gap / Overpaid",Table2[[#This Row],[PAYMENT GAP]]&lt;=25000,"Low Gap",Table2[[#This Row],[PAYMENT GAP]]&lt;=100000,"Medium Gap",
TRUE,"High Gap"
)</f>
        <v>Medium Gap</v>
      </c>
    </row>
    <row r="1553" spans="1:30" x14ac:dyDescent="0.3">
      <c r="A1553">
        <v>1552</v>
      </c>
      <c r="B1553" s="1">
        <v>230000</v>
      </c>
      <c r="C1553" s="1" t="str" cm="1">
        <f t="array" ref="C1553">_xlfn.IFS(Table2[[#This Row],[LIMIT_BAL]]&lt;=100000,"Low",Table2[[#This Row],[LIMIT_BAL]]&lt;=300000,"Medium",
TRUE,"High"
)</f>
        <v>Medium</v>
      </c>
      <c r="D1553" t="s">
        <v>2041</v>
      </c>
      <c r="E1553" t="s">
        <v>2043</v>
      </c>
      <c r="F1553" t="s">
        <v>2028</v>
      </c>
      <c r="G1553">
        <v>29</v>
      </c>
      <c r="H1553" t="str" cm="1">
        <f t="array" ref="H1553">_xlfn.IFS(
Table2[[#This Row],[AGE]]&lt;30,"Young",
Table2[[#This Row],[AGE]]&lt;40,"Middle Age",
Table2[[#This Row],[AGE]]&lt;50,"Senior",
TRUE,"Super Senior"
)</f>
        <v>Young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 s="1">
        <v>30818</v>
      </c>
      <c r="P1553" s="1">
        <v>31209</v>
      </c>
      <c r="Q1553" s="1">
        <v>32211</v>
      </c>
      <c r="R1553" s="1">
        <v>31647</v>
      </c>
      <c r="S1553" s="1">
        <v>34304</v>
      </c>
      <c r="T1553" s="1">
        <v>36849</v>
      </c>
      <c r="U1553" s="1">
        <v>2000</v>
      </c>
      <c r="V1553" s="1">
        <v>2000</v>
      </c>
      <c r="W1553" s="1">
        <v>1113</v>
      </c>
      <c r="X1553" s="1">
        <v>5000</v>
      </c>
      <c r="Y1553" s="1">
        <v>5000</v>
      </c>
      <c r="Z1553" s="1">
        <v>2000</v>
      </c>
      <c r="AA1553">
        <v>0</v>
      </c>
      <c r="AB1553" t="str">
        <f t="shared" si="24"/>
        <v>Not Defaulter</v>
      </c>
      <c r="AC1553" s="1">
        <f>Table2[[#This Row],[BILL_AMT1]]-Table2[[#This Row],[PAY_AMT1]]</f>
        <v>28818</v>
      </c>
      <c r="AD1553" s="1" t="str" cm="1">
        <f t="array" ref="AD1553">_xlfn.IFS(Table2[[#This Row],[PAYMENT GAP]]&lt;=0,"No Gap / Overpaid",Table2[[#This Row],[PAYMENT GAP]]&lt;=25000,"Low Gap",Table2[[#This Row],[PAYMENT GAP]]&lt;=100000,"Medium Gap",
TRUE,"High Gap"
)</f>
        <v>Medium Gap</v>
      </c>
    </row>
    <row r="1554" spans="1:30" x14ac:dyDescent="0.3">
      <c r="A1554">
        <v>1553</v>
      </c>
      <c r="B1554" s="1">
        <v>20000</v>
      </c>
      <c r="C1554" s="1" t="str" cm="1">
        <f t="array" ref="C1554">_xlfn.IFS(Table2[[#This Row],[LIMIT_BAL]]&lt;=100000,"Low",Table2[[#This Row],[LIMIT_BAL]]&lt;=300000,"Medium",
TRUE,"High"
)</f>
        <v>Low</v>
      </c>
      <c r="D1554" t="s">
        <v>2041</v>
      </c>
      <c r="E1554" t="s">
        <v>2027</v>
      </c>
      <c r="F1554" t="s">
        <v>2055</v>
      </c>
      <c r="G1554">
        <v>47</v>
      </c>
      <c r="H1554" t="str" cm="1">
        <f t="array" ref="H1554">_xlfn.IFS(
Table2[[#This Row],[AGE]]&lt;30,"Young",
Table2[[#This Row],[AGE]]&lt;40,"Middle Age",
Table2[[#This Row],[AGE]]&lt;50,"Senior",
TRUE,"Super Senior"
)</f>
        <v>Senior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 s="1">
        <v>9417</v>
      </c>
      <c r="P1554" s="1">
        <v>10436</v>
      </c>
      <c r="Q1554" s="1">
        <v>11450</v>
      </c>
      <c r="R1554" s="1">
        <v>12257</v>
      </c>
      <c r="S1554" s="1">
        <v>12685</v>
      </c>
      <c r="T1554" s="1">
        <v>13306</v>
      </c>
      <c r="U1554" s="1">
        <v>1179</v>
      </c>
      <c r="V1554" s="1">
        <v>1193</v>
      </c>
      <c r="W1554" s="1">
        <v>1000</v>
      </c>
      <c r="X1554" s="1">
        <v>625</v>
      </c>
      <c r="Y1554" s="1">
        <v>1000</v>
      </c>
      <c r="Z1554" s="1">
        <v>405</v>
      </c>
      <c r="AA1554">
        <v>0</v>
      </c>
      <c r="AB1554" t="str">
        <f t="shared" si="24"/>
        <v>Not Defaulter</v>
      </c>
      <c r="AC1554" s="1">
        <f>Table2[[#This Row],[BILL_AMT1]]-Table2[[#This Row],[PAY_AMT1]]</f>
        <v>8238</v>
      </c>
      <c r="AD1554" s="1" t="str" cm="1">
        <f t="array" ref="AD1554">_xlfn.IFS(Table2[[#This Row],[PAYMENT GAP]]&lt;=0,"No Gap / Overpaid",Table2[[#This Row],[PAYMENT GAP]]&lt;=25000,"Low Gap",Table2[[#This Row],[PAYMENT GAP]]&lt;=100000,"Medium Gap",
TRUE,"High Gap"
)</f>
        <v>Low Gap</v>
      </c>
    </row>
    <row r="1555" spans="1:30" x14ac:dyDescent="0.3">
      <c r="A1555">
        <v>1554</v>
      </c>
      <c r="B1555" s="1">
        <v>100000</v>
      </c>
      <c r="C1555" s="1" t="str" cm="1">
        <f t="array" ref="C1555">_xlfn.IFS(Table2[[#This Row],[LIMIT_BAL]]&lt;=100000,"Low",Table2[[#This Row],[LIMIT_BAL]]&lt;=300000,"Medium",
TRUE,"High"
)</f>
        <v>Low</v>
      </c>
      <c r="D1555" t="s">
        <v>2041</v>
      </c>
      <c r="E1555" t="s">
        <v>2026</v>
      </c>
      <c r="F1555" t="s">
        <v>2028</v>
      </c>
      <c r="G1555">
        <v>41</v>
      </c>
      <c r="H1555" t="str" cm="1">
        <f t="array" ref="H1555">_xlfn.IFS(
Table2[[#This Row],[AGE]]&lt;30,"Young",
Table2[[#This Row],[AGE]]&lt;40,"Middle Age",
Table2[[#This Row],[AGE]]&lt;50,"Senior",
TRUE,"Super Senior"
)</f>
        <v>Senior</v>
      </c>
      <c r="I1555">
        <v>1</v>
      </c>
      <c r="J1555">
        <v>-2</v>
      </c>
      <c r="K1555">
        <v>-2</v>
      </c>
      <c r="L1555">
        <v>-2</v>
      </c>
      <c r="M1555">
        <v>-2</v>
      </c>
      <c r="N1555">
        <v>-1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18149</v>
      </c>
      <c r="U1555" s="1">
        <v>0</v>
      </c>
      <c r="V1555" s="1">
        <v>0</v>
      </c>
      <c r="W1555" s="1">
        <v>0</v>
      </c>
      <c r="X1555" s="1">
        <v>0</v>
      </c>
      <c r="Y1555" s="1">
        <v>18149</v>
      </c>
      <c r="Z1555" s="1">
        <v>0</v>
      </c>
      <c r="AA1555">
        <v>0</v>
      </c>
      <c r="AB1555" t="str">
        <f t="shared" si="24"/>
        <v>Not Defaulter</v>
      </c>
      <c r="AC1555" s="1">
        <f>Table2[[#This Row],[BILL_AMT1]]-Table2[[#This Row],[PAY_AMT1]]</f>
        <v>0</v>
      </c>
      <c r="AD1555" s="1" t="str" cm="1">
        <f t="array" ref="AD1555">_xlfn.IFS(Table2[[#This Row],[PAYMENT GAP]]&lt;=0,"No Gap / Overpaid",Table2[[#This Row],[PAYMENT GAP]]&lt;=25000,"Low Gap",Table2[[#This Row],[PAYMENT GAP]]&lt;=100000,"Medium Gap",
TRUE,"High Gap"
)</f>
        <v>No Gap / Overpaid</v>
      </c>
    </row>
    <row r="1556" spans="1:30" x14ac:dyDescent="0.3">
      <c r="A1556">
        <v>1555</v>
      </c>
      <c r="B1556" s="1">
        <v>110000</v>
      </c>
      <c r="C1556" s="1" t="str" cm="1">
        <f t="array" ref="C1556">_xlfn.IFS(Table2[[#This Row],[LIMIT_BAL]]&lt;=100000,"Low",Table2[[#This Row],[LIMIT_BAL]]&lt;=300000,"Medium",
TRUE,"High"
)</f>
        <v>Medium</v>
      </c>
      <c r="D1556" t="s">
        <v>2042</v>
      </c>
      <c r="E1556" t="s">
        <v>2026</v>
      </c>
      <c r="F1556" t="s">
        <v>2029</v>
      </c>
      <c r="G1556">
        <v>28</v>
      </c>
      <c r="H1556" t="str" cm="1">
        <f t="array" ref="H1556">_xlfn.IFS(
Table2[[#This Row],[AGE]]&lt;30,"Young",
Table2[[#This Row],[AGE]]&lt;40,"Middle Age",
Table2[[#This Row],[AGE]]&lt;50,"Senior",
TRUE,"Super Senior"
)</f>
        <v>Young</v>
      </c>
      <c r="I1556">
        <v>1</v>
      </c>
      <c r="J1556">
        <v>2</v>
      </c>
      <c r="K1556">
        <v>0</v>
      </c>
      <c r="L1556">
        <v>0</v>
      </c>
      <c r="M1556">
        <v>0</v>
      </c>
      <c r="N1556">
        <v>0</v>
      </c>
      <c r="O1556" s="1">
        <v>44278</v>
      </c>
      <c r="P1556" s="1">
        <v>41812</v>
      </c>
      <c r="Q1556" s="1">
        <v>43095</v>
      </c>
      <c r="R1556" s="1">
        <v>46292</v>
      </c>
      <c r="S1556" s="1">
        <v>44744</v>
      </c>
      <c r="T1556" s="1">
        <v>36243</v>
      </c>
      <c r="U1556" s="1">
        <v>0</v>
      </c>
      <c r="V1556" s="1">
        <v>2000</v>
      </c>
      <c r="W1556" s="1">
        <v>5000</v>
      </c>
      <c r="X1556" s="1">
        <v>1514</v>
      </c>
      <c r="Y1556" s="1">
        <v>1197</v>
      </c>
      <c r="Z1556" s="1">
        <v>982</v>
      </c>
      <c r="AA1556">
        <v>0</v>
      </c>
      <c r="AB1556" t="str">
        <f t="shared" si="24"/>
        <v>Not Defaulter</v>
      </c>
      <c r="AC1556" s="1">
        <f>Table2[[#This Row],[BILL_AMT1]]-Table2[[#This Row],[PAY_AMT1]]</f>
        <v>44278</v>
      </c>
      <c r="AD1556" s="1" t="str" cm="1">
        <f t="array" ref="AD1556">_xlfn.IFS(Table2[[#This Row],[PAYMENT GAP]]&lt;=0,"No Gap / Overpaid",Table2[[#This Row],[PAYMENT GAP]]&lt;=25000,"Low Gap",Table2[[#This Row],[PAYMENT GAP]]&lt;=100000,"Medium Gap",
TRUE,"High Gap"
)</f>
        <v>Medium Gap</v>
      </c>
    </row>
    <row r="1557" spans="1:30" x14ac:dyDescent="0.3">
      <c r="A1557">
        <v>1556</v>
      </c>
      <c r="B1557" s="1">
        <v>340000</v>
      </c>
      <c r="C1557" s="1" t="str" cm="1">
        <f t="array" ref="C1557">_xlfn.IFS(Table2[[#This Row],[LIMIT_BAL]]&lt;=100000,"Low",Table2[[#This Row],[LIMIT_BAL]]&lt;=300000,"Medium",
TRUE,"High"
)</f>
        <v>High</v>
      </c>
      <c r="D1557" t="s">
        <v>2042</v>
      </c>
      <c r="E1557" t="s">
        <v>2026</v>
      </c>
      <c r="F1557" t="s">
        <v>2028</v>
      </c>
      <c r="G1557">
        <v>52</v>
      </c>
      <c r="H1557" t="str" cm="1">
        <f t="array" ref="H1557">_xlfn.IFS(
Table2[[#This Row],[AGE]]&lt;30,"Young",
Table2[[#This Row],[AGE]]&lt;40,"Middle Age",
Table2[[#This Row],[AGE]]&lt;50,"Senior",
TRUE,"Super Senior"
)</f>
        <v>Super Senior</v>
      </c>
      <c r="I1557">
        <v>-2</v>
      </c>
      <c r="J1557">
        <v>-2</v>
      </c>
      <c r="K1557">
        <v>-2</v>
      </c>
      <c r="L1557">
        <v>-2</v>
      </c>
      <c r="M1557">
        <v>-2</v>
      </c>
      <c r="N1557">
        <v>-2</v>
      </c>
      <c r="O1557" s="1">
        <v>30832</v>
      </c>
      <c r="P1557" s="1">
        <v>33652</v>
      </c>
      <c r="Q1557" s="1">
        <v>35192</v>
      </c>
      <c r="R1557" s="1">
        <v>30000</v>
      </c>
      <c r="S1557" s="1">
        <v>10766</v>
      </c>
      <c r="T1557" s="1">
        <v>33887</v>
      </c>
      <c r="U1557" s="1">
        <v>33670</v>
      </c>
      <c r="V1557" s="1">
        <v>35212</v>
      </c>
      <c r="W1557" s="1">
        <v>30000</v>
      </c>
      <c r="X1557" s="1">
        <v>10766</v>
      </c>
      <c r="Y1557" s="1">
        <v>33905</v>
      </c>
      <c r="Z1557" s="1">
        <v>30200</v>
      </c>
      <c r="AA1557">
        <v>1</v>
      </c>
      <c r="AB1557" t="str">
        <f t="shared" si="24"/>
        <v>Defaulter</v>
      </c>
      <c r="AC1557" s="1">
        <f>Table2[[#This Row],[BILL_AMT1]]-Table2[[#This Row],[PAY_AMT1]]</f>
        <v>-2838</v>
      </c>
      <c r="AD1557" s="1" t="str" cm="1">
        <f t="array" ref="AD1557">_xlfn.IFS(Table2[[#This Row],[PAYMENT GAP]]&lt;=0,"No Gap / Overpaid",Table2[[#This Row],[PAYMENT GAP]]&lt;=25000,"Low Gap",Table2[[#This Row],[PAYMENT GAP]]&lt;=100000,"Medium Gap",
TRUE,"High Gap"
)</f>
        <v>No Gap / Overpaid</v>
      </c>
    </row>
    <row r="1558" spans="1:30" x14ac:dyDescent="0.3">
      <c r="A1558">
        <v>1557</v>
      </c>
      <c r="B1558" s="1">
        <v>50000</v>
      </c>
      <c r="C1558" s="1" t="str" cm="1">
        <f t="array" ref="C1558">_xlfn.IFS(Table2[[#This Row],[LIMIT_BAL]]&lt;=100000,"Low",Table2[[#This Row],[LIMIT_BAL]]&lt;=300000,"Medium",
TRUE,"High"
)</f>
        <v>Low</v>
      </c>
      <c r="D1558" t="s">
        <v>2042</v>
      </c>
      <c r="E1558" t="s">
        <v>2026</v>
      </c>
      <c r="F1558" t="s">
        <v>2029</v>
      </c>
      <c r="G1558">
        <v>37</v>
      </c>
      <c r="H1558" t="str" cm="1">
        <f t="array" ref="H1558">_xlfn.IFS(
Table2[[#This Row],[AGE]]&lt;30,"Young",
Table2[[#This Row],[AGE]]&lt;40,"Middle Age",
Table2[[#This Row],[AGE]]&lt;50,"Senior",
TRUE,"Super Senior"
)</f>
        <v>Middle Age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 s="1">
        <v>37774</v>
      </c>
      <c r="P1558" s="1">
        <v>38492</v>
      </c>
      <c r="Q1558" s="1">
        <v>36453</v>
      </c>
      <c r="R1558" s="1">
        <v>29700</v>
      </c>
      <c r="S1558" s="1">
        <v>30167</v>
      </c>
      <c r="T1558" s="1">
        <v>29613</v>
      </c>
      <c r="U1558" s="1">
        <v>1976</v>
      </c>
      <c r="V1558" s="1">
        <v>1564</v>
      </c>
      <c r="W1558" s="1">
        <v>1170</v>
      </c>
      <c r="X1558" s="1">
        <v>1055</v>
      </c>
      <c r="Y1558" s="1">
        <v>1052</v>
      </c>
      <c r="Z1558" s="1">
        <v>1022</v>
      </c>
      <c r="AA1558">
        <v>0</v>
      </c>
      <c r="AB1558" t="str">
        <f t="shared" si="24"/>
        <v>Not Defaulter</v>
      </c>
      <c r="AC1558" s="1">
        <f>Table2[[#This Row],[BILL_AMT1]]-Table2[[#This Row],[PAY_AMT1]]</f>
        <v>35798</v>
      </c>
      <c r="AD1558" s="1" t="str" cm="1">
        <f t="array" ref="AD1558">_xlfn.IFS(Table2[[#This Row],[PAYMENT GAP]]&lt;=0,"No Gap / Overpaid",Table2[[#This Row],[PAYMENT GAP]]&lt;=25000,"Low Gap",Table2[[#This Row],[PAYMENT GAP]]&lt;=100000,"Medium Gap",
TRUE,"High Gap"
)</f>
        <v>Medium Gap</v>
      </c>
    </row>
    <row r="1559" spans="1:30" x14ac:dyDescent="0.3">
      <c r="A1559">
        <v>1558</v>
      </c>
      <c r="B1559" s="1">
        <v>310000</v>
      </c>
      <c r="C1559" s="1" t="str" cm="1">
        <f t="array" ref="C1559">_xlfn.IFS(Table2[[#This Row],[LIMIT_BAL]]&lt;=100000,"Low",Table2[[#This Row],[LIMIT_BAL]]&lt;=300000,"Medium",
TRUE,"High"
)</f>
        <v>High</v>
      </c>
      <c r="D1559" t="s">
        <v>2042</v>
      </c>
      <c r="E1559" t="s">
        <v>2026</v>
      </c>
      <c r="F1559" t="s">
        <v>2028</v>
      </c>
      <c r="G1559">
        <v>50</v>
      </c>
      <c r="H1559" t="str" cm="1">
        <f t="array" ref="H1559">_xlfn.IFS(
Table2[[#This Row],[AGE]]&lt;30,"Young",
Table2[[#This Row],[AGE]]&lt;40,"Middle Age",
Table2[[#This Row],[AGE]]&lt;50,"Senior",
TRUE,"Super Senior"
)</f>
        <v>Super Senior</v>
      </c>
      <c r="I1559">
        <v>-1</v>
      </c>
      <c r="J1559">
        <v>-1</v>
      </c>
      <c r="K1559">
        <v>-1</v>
      </c>
      <c r="L1559">
        <v>-1</v>
      </c>
      <c r="M1559">
        <v>-1</v>
      </c>
      <c r="N1559">
        <v>-1</v>
      </c>
      <c r="O1559" s="1">
        <v>316</v>
      </c>
      <c r="P1559" s="1">
        <v>316</v>
      </c>
      <c r="Q1559" s="1">
        <v>10131</v>
      </c>
      <c r="R1559" s="1">
        <v>2456</v>
      </c>
      <c r="S1559" s="1">
        <v>316</v>
      </c>
      <c r="T1559" s="1">
        <v>316</v>
      </c>
      <c r="U1559" s="1">
        <v>316</v>
      </c>
      <c r="V1559" s="1">
        <v>10131</v>
      </c>
      <c r="W1559" s="1">
        <v>2456</v>
      </c>
      <c r="X1559" s="1">
        <v>316</v>
      </c>
      <c r="Y1559" s="1">
        <v>316</v>
      </c>
      <c r="Z1559" s="1">
        <v>316</v>
      </c>
      <c r="AA1559">
        <v>0</v>
      </c>
      <c r="AB1559" t="str">
        <f t="shared" si="24"/>
        <v>Not Defaulter</v>
      </c>
      <c r="AC1559" s="1">
        <f>Table2[[#This Row],[BILL_AMT1]]-Table2[[#This Row],[PAY_AMT1]]</f>
        <v>0</v>
      </c>
      <c r="AD1559" s="1" t="str" cm="1">
        <f t="array" ref="AD1559">_xlfn.IFS(Table2[[#This Row],[PAYMENT GAP]]&lt;=0,"No Gap / Overpaid",Table2[[#This Row],[PAYMENT GAP]]&lt;=25000,"Low Gap",Table2[[#This Row],[PAYMENT GAP]]&lt;=100000,"Medium Gap",
TRUE,"High Gap"
)</f>
        <v>No Gap / Overpaid</v>
      </c>
    </row>
    <row r="1560" spans="1:30" x14ac:dyDescent="0.3">
      <c r="A1560">
        <v>1559</v>
      </c>
      <c r="B1560" s="1">
        <v>50000</v>
      </c>
      <c r="C1560" s="1" t="str" cm="1">
        <f t="array" ref="C1560">_xlfn.IFS(Table2[[#This Row],[LIMIT_BAL]]&lt;=100000,"Low",Table2[[#This Row],[LIMIT_BAL]]&lt;=300000,"Medium",
TRUE,"High"
)</f>
        <v>Low</v>
      </c>
      <c r="D1560" t="s">
        <v>2041</v>
      </c>
      <c r="E1560" t="s">
        <v>2027</v>
      </c>
      <c r="F1560" t="s">
        <v>2028</v>
      </c>
      <c r="G1560">
        <v>31</v>
      </c>
      <c r="H1560" t="str" cm="1">
        <f t="array" ref="H1560">_xlfn.IFS(
Table2[[#This Row],[AGE]]&lt;30,"Young",
Table2[[#This Row],[AGE]]&lt;40,"Middle Age",
Table2[[#This Row],[AGE]]&lt;50,"Senior",
TRUE,"Super Senior"
)</f>
        <v>Middle Age</v>
      </c>
      <c r="I1560">
        <v>1</v>
      </c>
      <c r="J1560">
        <v>2</v>
      </c>
      <c r="K1560">
        <v>2</v>
      </c>
      <c r="L1560">
        <v>2</v>
      </c>
      <c r="M1560">
        <v>2</v>
      </c>
      <c r="N1560">
        <v>2</v>
      </c>
      <c r="O1560" s="1">
        <v>38102</v>
      </c>
      <c r="P1560" s="1">
        <v>40025</v>
      </c>
      <c r="Q1560" s="1">
        <v>40071</v>
      </c>
      <c r="R1560" s="1">
        <v>40906</v>
      </c>
      <c r="S1560" s="1">
        <v>42100</v>
      </c>
      <c r="T1560" s="1">
        <v>41269</v>
      </c>
      <c r="U1560" s="1">
        <v>2830</v>
      </c>
      <c r="V1560" s="1">
        <v>1000</v>
      </c>
      <c r="W1560" s="1">
        <v>1800</v>
      </c>
      <c r="X1560" s="1">
        <v>2000</v>
      </c>
      <c r="Y1560" s="1">
        <v>0</v>
      </c>
      <c r="Z1560" s="1">
        <v>1704</v>
      </c>
      <c r="AA1560">
        <v>1</v>
      </c>
      <c r="AB1560" t="str">
        <f t="shared" si="24"/>
        <v>Defaulter</v>
      </c>
      <c r="AC1560" s="1">
        <f>Table2[[#This Row],[BILL_AMT1]]-Table2[[#This Row],[PAY_AMT1]]</f>
        <v>35272</v>
      </c>
      <c r="AD1560" s="1" t="str" cm="1">
        <f t="array" ref="AD1560">_xlfn.IFS(Table2[[#This Row],[PAYMENT GAP]]&lt;=0,"No Gap / Overpaid",Table2[[#This Row],[PAYMENT GAP]]&lt;=25000,"Low Gap",Table2[[#This Row],[PAYMENT GAP]]&lt;=100000,"Medium Gap",
TRUE,"High Gap"
)</f>
        <v>Medium Gap</v>
      </c>
    </row>
    <row r="1561" spans="1:30" x14ac:dyDescent="0.3">
      <c r="A1561">
        <v>1560</v>
      </c>
      <c r="B1561" s="1">
        <v>240000</v>
      </c>
      <c r="C1561" s="1" t="str" cm="1">
        <f t="array" ref="C1561">_xlfn.IFS(Table2[[#This Row],[LIMIT_BAL]]&lt;=100000,"Low",Table2[[#This Row],[LIMIT_BAL]]&lt;=300000,"Medium",
TRUE,"High"
)</f>
        <v>Medium</v>
      </c>
      <c r="D1561" t="s">
        <v>2041</v>
      </c>
      <c r="E1561" t="s">
        <v>2027</v>
      </c>
      <c r="F1561" t="s">
        <v>2028</v>
      </c>
      <c r="G1561">
        <v>38</v>
      </c>
      <c r="H1561" t="str" cm="1">
        <f t="array" ref="H1561">_xlfn.IFS(
Table2[[#This Row],[AGE]]&lt;30,"Young",
Table2[[#This Row],[AGE]]&lt;40,"Middle Age",
Table2[[#This Row],[AGE]]&lt;50,"Senior",
TRUE,"Super Senior"
)</f>
        <v>Middle Age</v>
      </c>
      <c r="I1561">
        <v>0</v>
      </c>
      <c r="J1561">
        <v>0</v>
      </c>
      <c r="K1561">
        <v>2</v>
      </c>
      <c r="L1561">
        <v>0</v>
      </c>
      <c r="M1561">
        <v>0</v>
      </c>
      <c r="N1561">
        <v>0</v>
      </c>
      <c r="O1561" s="1">
        <v>107148</v>
      </c>
      <c r="P1561" s="1">
        <v>113396</v>
      </c>
      <c r="Q1561" s="1">
        <v>110084</v>
      </c>
      <c r="R1561" s="1">
        <v>112272</v>
      </c>
      <c r="S1561" s="1">
        <v>114779</v>
      </c>
      <c r="T1561" s="1">
        <v>116920</v>
      </c>
      <c r="U1561" s="1">
        <v>9500</v>
      </c>
      <c r="V1561" s="1">
        <v>0</v>
      </c>
      <c r="W1561" s="1">
        <v>4019</v>
      </c>
      <c r="X1561" s="1">
        <v>4317</v>
      </c>
      <c r="Y1561" s="1">
        <v>4204</v>
      </c>
      <c r="Z1561" s="1">
        <v>4314</v>
      </c>
      <c r="AA1561">
        <v>1</v>
      </c>
      <c r="AB1561" t="str">
        <f t="shared" si="24"/>
        <v>Defaulter</v>
      </c>
      <c r="AC1561" s="1">
        <f>Table2[[#This Row],[BILL_AMT1]]-Table2[[#This Row],[PAY_AMT1]]</f>
        <v>97648</v>
      </c>
      <c r="AD1561" s="1" t="str" cm="1">
        <f t="array" ref="AD1561">_xlfn.IFS(Table2[[#This Row],[PAYMENT GAP]]&lt;=0,"No Gap / Overpaid",Table2[[#This Row],[PAYMENT GAP]]&lt;=25000,"Low Gap",Table2[[#This Row],[PAYMENT GAP]]&lt;=100000,"Medium Gap",
TRUE,"High Gap"
)</f>
        <v>Medium Gap</v>
      </c>
    </row>
    <row r="1562" spans="1:30" x14ac:dyDescent="0.3">
      <c r="A1562">
        <v>1561</v>
      </c>
      <c r="B1562" s="1">
        <v>50000</v>
      </c>
      <c r="C1562" s="1" t="str" cm="1">
        <f t="array" ref="C1562">_xlfn.IFS(Table2[[#This Row],[LIMIT_BAL]]&lt;=100000,"Low",Table2[[#This Row],[LIMIT_BAL]]&lt;=300000,"Medium",
TRUE,"High"
)</f>
        <v>Low</v>
      </c>
      <c r="D1562" t="s">
        <v>2041</v>
      </c>
      <c r="E1562" t="s">
        <v>2043</v>
      </c>
      <c r="F1562" t="s">
        <v>2028</v>
      </c>
      <c r="G1562">
        <v>48</v>
      </c>
      <c r="H1562" t="str" cm="1">
        <f t="array" ref="H1562">_xlfn.IFS(
Table2[[#This Row],[AGE]]&lt;30,"Young",
Table2[[#This Row],[AGE]]&lt;40,"Middle Age",
Table2[[#This Row],[AGE]]&lt;50,"Senior",
TRUE,"Super Senior"
)</f>
        <v>Senior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 s="1">
        <v>10929</v>
      </c>
      <c r="P1562" s="1">
        <v>13262</v>
      </c>
      <c r="Q1562" s="1">
        <v>14273</v>
      </c>
      <c r="R1562" s="1">
        <v>14555</v>
      </c>
      <c r="S1562" s="1">
        <v>14860</v>
      </c>
      <c r="T1562" s="1">
        <v>15155</v>
      </c>
      <c r="U1562" s="1">
        <v>2526</v>
      </c>
      <c r="V1562" s="1">
        <v>1237</v>
      </c>
      <c r="W1562" s="1">
        <v>519</v>
      </c>
      <c r="X1562" s="1">
        <v>538</v>
      </c>
      <c r="Y1562" s="1">
        <v>541</v>
      </c>
      <c r="Z1562" s="1">
        <v>560</v>
      </c>
      <c r="AA1562">
        <v>0</v>
      </c>
      <c r="AB1562" t="str">
        <f t="shared" si="24"/>
        <v>Not Defaulter</v>
      </c>
      <c r="AC1562" s="1">
        <f>Table2[[#This Row],[BILL_AMT1]]-Table2[[#This Row],[PAY_AMT1]]</f>
        <v>8403</v>
      </c>
      <c r="AD1562" s="1" t="str" cm="1">
        <f t="array" ref="AD1562">_xlfn.IFS(Table2[[#This Row],[PAYMENT GAP]]&lt;=0,"No Gap / Overpaid",Table2[[#This Row],[PAYMENT GAP]]&lt;=25000,"Low Gap",Table2[[#This Row],[PAYMENT GAP]]&lt;=100000,"Medium Gap",
TRUE,"High Gap"
)</f>
        <v>Low Gap</v>
      </c>
    </row>
    <row r="1563" spans="1:30" x14ac:dyDescent="0.3">
      <c r="A1563">
        <v>1562</v>
      </c>
      <c r="B1563" s="1">
        <v>150000</v>
      </c>
      <c r="C1563" s="1" t="str" cm="1">
        <f t="array" ref="C1563">_xlfn.IFS(Table2[[#This Row],[LIMIT_BAL]]&lt;=100000,"Low",Table2[[#This Row],[LIMIT_BAL]]&lt;=300000,"Medium",
TRUE,"High"
)</f>
        <v>Medium</v>
      </c>
      <c r="D1563" t="s">
        <v>2041</v>
      </c>
      <c r="E1563" t="s">
        <v>2026</v>
      </c>
      <c r="F1563" t="s">
        <v>2029</v>
      </c>
      <c r="G1563">
        <v>34</v>
      </c>
      <c r="H1563" t="str" cm="1">
        <f t="array" ref="H1563">_xlfn.IFS(
Table2[[#This Row],[AGE]]&lt;30,"Young",
Table2[[#This Row],[AGE]]&lt;40,"Middle Age",
Table2[[#This Row],[AGE]]&lt;50,"Senior",
TRUE,"Super Senior"
)</f>
        <v>Middle Age</v>
      </c>
      <c r="I1563">
        <v>-2</v>
      </c>
      <c r="J1563">
        <v>-1</v>
      </c>
      <c r="K1563">
        <v>2</v>
      </c>
      <c r="L1563">
        <v>0</v>
      </c>
      <c r="M1563">
        <v>0</v>
      </c>
      <c r="N1563">
        <v>-2</v>
      </c>
      <c r="O1563" s="1">
        <v>0</v>
      </c>
      <c r="P1563" s="1">
        <v>13206</v>
      </c>
      <c r="Q1563" s="1">
        <v>10227</v>
      </c>
      <c r="R1563" s="1">
        <v>398</v>
      </c>
      <c r="S1563" s="1">
        <v>0</v>
      </c>
      <c r="T1563" s="1">
        <v>0</v>
      </c>
      <c r="U1563" s="1">
        <v>13206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>
        <v>0</v>
      </c>
      <c r="AB1563" t="str">
        <f t="shared" si="24"/>
        <v>Not Defaulter</v>
      </c>
      <c r="AC1563" s="1">
        <f>Table2[[#This Row],[BILL_AMT1]]-Table2[[#This Row],[PAY_AMT1]]</f>
        <v>-13206</v>
      </c>
      <c r="AD1563" s="1" t="str" cm="1">
        <f t="array" ref="AD1563">_xlfn.IFS(Table2[[#This Row],[PAYMENT GAP]]&lt;=0,"No Gap / Overpaid",Table2[[#This Row],[PAYMENT GAP]]&lt;=25000,"Low Gap",Table2[[#This Row],[PAYMENT GAP]]&lt;=100000,"Medium Gap",
TRUE,"High Gap"
)</f>
        <v>No Gap / Overpaid</v>
      </c>
    </row>
    <row r="1564" spans="1:30" x14ac:dyDescent="0.3">
      <c r="A1564">
        <v>1563</v>
      </c>
      <c r="B1564" s="1">
        <v>140000</v>
      </c>
      <c r="C1564" s="1" t="str" cm="1">
        <f t="array" ref="C1564">_xlfn.IFS(Table2[[#This Row],[LIMIT_BAL]]&lt;=100000,"Low",Table2[[#This Row],[LIMIT_BAL]]&lt;=300000,"Medium",
TRUE,"High"
)</f>
        <v>Medium</v>
      </c>
      <c r="D1564" t="s">
        <v>2042</v>
      </c>
      <c r="E1564" t="s">
        <v>2043</v>
      </c>
      <c r="F1564" t="s">
        <v>2029</v>
      </c>
      <c r="G1564">
        <v>44</v>
      </c>
      <c r="H1564" t="str" cm="1">
        <f t="array" ref="H1564">_xlfn.IFS(
Table2[[#This Row],[AGE]]&lt;30,"Young",
Table2[[#This Row],[AGE]]&lt;40,"Middle Age",
Table2[[#This Row],[AGE]]&lt;50,"Senior",
TRUE,"Super Senior"
)</f>
        <v>Senior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 s="1">
        <v>108033</v>
      </c>
      <c r="P1564" s="1">
        <v>105021</v>
      </c>
      <c r="Q1564" s="1">
        <v>107659</v>
      </c>
      <c r="R1564" s="1">
        <v>109104</v>
      </c>
      <c r="S1564" s="1">
        <v>109352</v>
      </c>
      <c r="T1564" s="1">
        <v>101534</v>
      </c>
      <c r="U1564" s="1">
        <v>4000</v>
      </c>
      <c r="V1564" s="1">
        <v>4537</v>
      </c>
      <c r="W1564" s="1">
        <v>3800</v>
      </c>
      <c r="X1564" s="1">
        <v>3823</v>
      </c>
      <c r="Y1564" s="1">
        <v>3806</v>
      </c>
      <c r="Z1564" s="1">
        <v>3511</v>
      </c>
      <c r="AA1564">
        <v>0</v>
      </c>
      <c r="AB1564" t="str">
        <f t="shared" si="24"/>
        <v>Not Defaulter</v>
      </c>
      <c r="AC1564" s="1">
        <f>Table2[[#This Row],[BILL_AMT1]]-Table2[[#This Row],[PAY_AMT1]]</f>
        <v>104033</v>
      </c>
      <c r="AD1564" s="1" t="str" cm="1">
        <f t="array" ref="AD1564">_xlfn.IFS(Table2[[#This Row],[PAYMENT GAP]]&lt;=0,"No Gap / Overpaid",Table2[[#This Row],[PAYMENT GAP]]&lt;=25000,"Low Gap",Table2[[#This Row],[PAYMENT GAP]]&lt;=100000,"Medium Gap",
TRUE,"High Gap"
)</f>
        <v>High Gap</v>
      </c>
    </row>
    <row r="1565" spans="1:30" x14ac:dyDescent="0.3">
      <c r="A1565">
        <v>1564</v>
      </c>
      <c r="B1565" s="1">
        <v>30000</v>
      </c>
      <c r="C1565" s="1" t="str" cm="1">
        <f t="array" ref="C1565">_xlfn.IFS(Table2[[#This Row],[LIMIT_BAL]]&lt;=100000,"Low",Table2[[#This Row],[LIMIT_BAL]]&lt;=300000,"Medium",
TRUE,"High"
)</f>
        <v>Low</v>
      </c>
      <c r="D1565" t="s">
        <v>2041</v>
      </c>
      <c r="E1565" t="s">
        <v>2027</v>
      </c>
      <c r="F1565" t="s">
        <v>2028</v>
      </c>
      <c r="G1565">
        <v>56</v>
      </c>
      <c r="H1565" t="str" cm="1">
        <f t="array" ref="H1565">_xlfn.IFS(
Table2[[#This Row],[AGE]]&lt;30,"Young",
Table2[[#This Row],[AGE]]&lt;40,"Middle Age",
Table2[[#This Row],[AGE]]&lt;50,"Senior",
TRUE,"Super Senior"
)</f>
        <v>Super Senior</v>
      </c>
      <c r="I1565">
        <v>0</v>
      </c>
      <c r="J1565">
        <v>0</v>
      </c>
      <c r="K1565">
        <v>2</v>
      </c>
      <c r="L1565">
        <v>2</v>
      </c>
      <c r="M1565">
        <v>0</v>
      </c>
      <c r="N1565">
        <v>0</v>
      </c>
      <c r="O1565" s="1">
        <v>16088</v>
      </c>
      <c r="P1565" s="1">
        <v>24800</v>
      </c>
      <c r="Q1565" s="1">
        <v>25098</v>
      </c>
      <c r="R1565" s="1">
        <v>24396</v>
      </c>
      <c r="S1565" s="1">
        <v>24907</v>
      </c>
      <c r="T1565" s="1">
        <v>25555</v>
      </c>
      <c r="U1565" s="1">
        <v>9000</v>
      </c>
      <c r="V1565" s="1">
        <v>1000</v>
      </c>
      <c r="W1565" s="1">
        <v>0</v>
      </c>
      <c r="X1565" s="1">
        <v>903</v>
      </c>
      <c r="Y1565" s="1">
        <v>1061</v>
      </c>
      <c r="Z1565" s="1">
        <v>942</v>
      </c>
      <c r="AA1565">
        <v>0</v>
      </c>
      <c r="AB1565" t="str">
        <f t="shared" si="24"/>
        <v>Not Defaulter</v>
      </c>
      <c r="AC1565" s="1">
        <f>Table2[[#This Row],[BILL_AMT1]]-Table2[[#This Row],[PAY_AMT1]]</f>
        <v>7088</v>
      </c>
      <c r="AD1565" s="1" t="str" cm="1">
        <f t="array" ref="AD1565">_xlfn.IFS(Table2[[#This Row],[PAYMENT GAP]]&lt;=0,"No Gap / Overpaid",Table2[[#This Row],[PAYMENT GAP]]&lt;=25000,"Low Gap",Table2[[#This Row],[PAYMENT GAP]]&lt;=100000,"Medium Gap",
TRUE,"High Gap"
)</f>
        <v>Low Gap</v>
      </c>
    </row>
    <row r="1566" spans="1:30" x14ac:dyDescent="0.3">
      <c r="A1566">
        <v>1565</v>
      </c>
      <c r="B1566" s="1">
        <v>300000</v>
      </c>
      <c r="C1566" s="1" t="str" cm="1">
        <f t="array" ref="C1566">_xlfn.IFS(Table2[[#This Row],[LIMIT_BAL]]&lt;=100000,"Low",Table2[[#This Row],[LIMIT_BAL]]&lt;=300000,"Medium",
TRUE,"High"
)</f>
        <v>Medium</v>
      </c>
      <c r="D1566" t="s">
        <v>2041</v>
      </c>
      <c r="E1566" t="s">
        <v>2026</v>
      </c>
      <c r="F1566" t="s">
        <v>2028</v>
      </c>
      <c r="G1566">
        <v>30</v>
      </c>
      <c r="H1566" t="str" cm="1">
        <f t="array" ref="H1566">_xlfn.IFS(
Table2[[#This Row],[AGE]]&lt;30,"Young",
Table2[[#This Row],[AGE]]&lt;40,"Middle Age",
Table2[[#This Row],[AGE]]&lt;50,"Senior",
TRUE,"Super Senior"
)</f>
        <v>Middle Age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 s="1">
        <v>93738</v>
      </c>
      <c r="P1566" s="1">
        <v>84636</v>
      </c>
      <c r="Q1566" s="1">
        <v>88446</v>
      </c>
      <c r="R1566" s="1">
        <v>76244</v>
      </c>
      <c r="S1566" s="1">
        <v>67747</v>
      </c>
      <c r="T1566" s="1">
        <v>70389</v>
      </c>
      <c r="U1566" s="1">
        <v>3000</v>
      </c>
      <c r="V1566" s="1">
        <v>5000</v>
      </c>
      <c r="W1566" s="1">
        <v>2500</v>
      </c>
      <c r="X1566" s="1">
        <v>2500</v>
      </c>
      <c r="Y1566" s="1">
        <v>3500</v>
      </c>
      <c r="Z1566" s="1">
        <v>87000</v>
      </c>
      <c r="AA1566">
        <v>1</v>
      </c>
      <c r="AB1566" t="str">
        <f t="shared" si="24"/>
        <v>Defaulter</v>
      </c>
      <c r="AC1566" s="1">
        <f>Table2[[#This Row],[BILL_AMT1]]-Table2[[#This Row],[PAY_AMT1]]</f>
        <v>90738</v>
      </c>
      <c r="AD1566" s="1" t="str" cm="1">
        <f t="array" ref="AD1566">_xlfn.IFS(Table2[[#This Row],[PAYMENT GAP]]&lt;=0,"No Gap / Overpaid",Table2[[#This Row],[PAYMENT GAP]]&lt;=25000,"Low Gap",Table2[[#This Row],[PAYMENT GAP]]&lt;=100000,"Medium Gap",
TRUE,"High Gap"
)</f>
        <v>Medium Gap</v>
      </c>
    </row>
    <row r="1567" spans="1:30" x14ac:dyDescent="0.3">
      <c r="A1567">
        <v>1566</v>
      </c>
      <c r="B1567" s="1">
        <v>50000</v>
      </c>
      <c r="C1567" s="1" t="str" cm="1">
        <f t="array" ref="C1567">_xlfn.IFS(Table2[[#This Row],[LIMIT_BAL]]&lt;=100000,"Low",Table2[[#This Row],[LIMIT_BAL]]&lt;=300000,"Medium",
TRUE,"High"
)</f>
        <v>Low</v>
      </c>
      <c r="D1567" t="s">
        <v>2042</v>
      </c>
      <c r="E1567" t="s">
        <v>2026</v>
      </c>
      <c r="F1567" t="s">
        <v>2029</v>
      </c>
      <c r="G1567">
        <v>29</v>
      </c>
      <c r="H1567" t="str" cm="1">
        <f t="array" ref="H1567">_xlfn.IFS(
Table2[[#This Row],[AGE]]&lt;30,"Young",
Table2[[#This Row],[AGE]]&lt;40,"Middle Age",
Table2[[#This Row],[AGE]]&lt;50,"Senior",
TRUE,"Super Senior"
)</f>
        <v>Young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 s="1">
        <v>2087</v>
      </c>
      <c r="P1567" s="1">
        <v>2632</v>
      </c>
      <c r="Q1567" s="1">
        <v>3355</v>
      </c>
      <c r="R1567" s="1">
        <v>3253</v>
      </c>
      <c r="S1567" s="1">
        <v>3640</v>
      </c>
      <c r="T1567" s="1">
        <v>3512</v>
      </c>
      <c r="U1567" s="1">
        <v>1000</v>
      </c>
      <c r="V1567" s="1">
        <v>1186</v>
      </c>
      <c r="W1567" s="1">
        <v>500</v>
      </c>
      <c r="X1567" s="1">
        <v>1000</v>
      </c>
      <c r="Y1567" s="1">
        <v>500</v>
      </c>
      <c r="Z1567" s="1">
        <v>1000</v>
      </c>
      <c r="AA1567">
        <v>0</v>
      </c>
      <c r="AB1567" t="str">
        <f t="shared" si="24"/>
        <v>Not Defaulter</v>
      </c>
      <c r="AC1567" s="1">
        <f>Table2[[#This Row],[BILL_AMT1]]-Table2[[#This Row],[PAY_AMT1]]</f>
        <v>1087</v>
      </c>
      <c r="AD1567" s="1" t="str" cm="1">
        <f t="array" ref="AD1567">_xlfn.IFS(Table2[[#This Row],[PAYMENT GAP]]&lt;=0,"No Gap / Overpaid",Table2[[#This Row],[PAYMENT GAP]]&lt;=25000,"Low Gap",Table2[[#This Row],[PAYMENT GAP]]&lt;=100000,"Medium Gap",
TRUE,"High Gap"
)</f>
        <v>Low Gap</v>
      </c>
    </row>
    <row r="1568" spans="1:30" x14ac:dyDescent="0.3">
      <c r="A1568">
        <v>1567</v>
      </c>
      <c r="B1568" s="1">
        <v>280000</v>
      </c>
      <c r="C1568" s="1" t="str" cm="1">
        <f t="array" ref="C1568">_xlfn.IFS(Table2[[#This Row],[LIMIT_BAL]]&lt;=100000,"Low",Table2[[#This Row],[LIMIT_BAL]]&lt;=300000,"Medium",
TRUE,"High"
)</f>
        <v>Medium</v>
      </c>
      <c r="D1568" t="s">
        <v>2041</v>
      </c>
      <c r="E1568" t="s">
        <v>2043</v>
      </c>
      <c r="F1568" t="s">
        <v>2028</v>
      </c>
      <c r="G1568">
        <v>37</v>
      </c>
      <c r="H1568" t="str" cm="1">
        <f t="array" ref="H1568">_xlfn.IFS(
Table2[[#This Row],[AGE]]&lt;30,"Young",
Table2[[#This Row],[AGE]]&lt;40,"Middle Age",
Table2[[#This Row],[AGE]]&lt;50,"Senior",
TRUE,"Super Senior"
)</f>
        <v>Middle Age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 s="1">
        <v>29078</v>
      </c>
      <c r="P1568" s="1">
        <v>30144</v>
      </c>
      <c r="Q1568" s="1">
        <v>32629</v>
      </c>
      <c r="R1568" s="1">
        <v>35126</v>
      </c>
      <c r="S1568" s="1">
        <v>35759</v>
      </c>
      <c r="T1568" s="1">
        <v>42317</v>
      </c>
      <c r="U1568" s="1">
        <v>1515</v>
      </c>
      <c r="V1568" s="1">
        <v>3000</v>
      </c>
      <c r="W1568" s="1">
        <v>3000</v>
      </c>
      <c r="X1568" s="1">
        <v>1292</v>
      </c>
      <c r="Y1568" s="1">
        <v>7147</v>
      </c>
      <c r="Z1568" s="1">
        <v>1415</v>
      </c>
      <c r="AA1568">
        <v>0</v>
      </c>
      <c r="AB1568" t="str">
        <f t="shared" si="24"/>
        <v>Not Defaulter</v>
      </c>
      <c r="AC1568" s="1">
        <f>Table2[[#This Row],[BILL_AMT1]]-Table2[[#This Row],[PAY_AMT1]]</f>
        <v>27563</v>
      </c>
      <c r="AD1568" s="1" t="str" cm="1">
        <f t="array" ref="AD1568">_xlfn.IFS(Table2[[#This Row],[PAYMENT GAP]]&lt;=0,"No Gap / Overpaid",Table2[[#This Row],[PAYMENT GAP]]&lt;=25000,"Low Gap",Table2[[#This Row],[PAYMENT GAP]]&lt;=100000,"Medium Gap",
TRUE,"High Gap"
)</f>
        <v>Medium Gap</v>
      </c>
    </row>
    <row r="1569" spans="1:30" x14ac:dyDescent="0.3">
      <c r="A1569">
        <v>1568</v>
      </c>
      <c r="B1569" s="1">
        <v>120000</v>
      </c>
      <c r="C1569" s="1" t="str" cm="1">
        <f t="array" ref="C1569">_xlfn.IFS(Table2[[#This Row],[LIMIT_BAL]]&lt;=100000,"Low",Table2[[#This Row],[LIMIT_BAL]]&lt;=300000,"Medium",
TRUE,"High"
)</f>
        <v>Medium</v>
      </c>
      <c r="D1569" t="s">
        <v>2041</v>
      </c>
      <c r="E1569" t="s">
        <v>2043</v>
      </c>
      <c r="F1569" t="s">
        <v>2029</v>
      </c>
      <c r="G1569">
        <v>23</v>
      </c>
      <c r="H1569" t="str" cm="1">
        <f t="array" ref="H1569">_xlfn.IFS(
Table2[[#This Row],[AGE]]&lt;30,"Young",
Table2[[#This Row],[AGE]]&lt;40,"Middle Age",
Table2[[#This Row],[AGE]]&lt;50,"Senior",
TRUE,"Super Senior"
)</f>
        <v>Young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 s="1">
        <v>118063</v>
      </c>
      <c r="P1569" s="1">
        <v>120851</v>
      </c>
      <c r="Q1569" s="1">
        <v>120013</v>
      </c>
      <c r="R1569" s="1">
        <v>77539</v>
      </c>
      <c r="S1569" s="1">
        <v>77333</v>
      </c>
      <c r="T1569" s="1">
        <v>79113</v>
      </c>
      <c r="U1569" s="1">
        <v>4700</v>
      </c>
      <c r="V1569" s="1">
        <v>3538</v>
      </c>
      <c r="W1569" s="1">
        <v>3000</v>
      </c>
      <c r="X1569" s="1">
        <v>3000</v>
      </c>
      <c r="Y1569" s="1">
        <v>3000</v>
      </c>
      <c r="Z1569" s="1">
        <v>5000</v>
      </c>
      <c r="AA1569">
        <v>0</v>
      </c>
      <c r="AB1569" t="str">
        <f t="shared" si="24"/>
        <v>Not Defaulter</v>
      </c>
      <c r="AC1569" s="1">
        <f>Table2[[#This Row],[BILL_AMT1]]-Table2[[#This Row],[PAY_AMT1]]</f>
        <v>113363</v>
      </c>
      <c r="AD1569" s="1" t="str" cm="1">
        <f t="array" ref="AD1569">_xlfn.IFS(Table2[[#This Row],[PAYMENT GAP]]&lt;=0,"No Gap / Overpaid",Table2[[#This Row],[PAYMENT GAP]]&lt;=25000,"Low Gap",Table2[[#This Row],[PAYMENT GAP]]&lt;=100000,"Medium Gap",
TRUE,"High Gap"
)</f>
        <v>High Gap</v>
      </c>
    </row>
    <row r="1570" spans="1:30" x14ac:dyDescent="0.3">
      <c r="A1570">
        <v>1569</v>
      </c>
      <c r="B1570" s="1">
        <v>30000</v>
      </c>
      <c r="C1570" s="1" t="str" cm="1">
        <f t="array" ref="C1570">_xlfn.IFS(Table2[[#This Row],[LIMIT_BAL]]&lt;=100000,"Low",Table2[[#This Row],[LIMIT_BAL]]&lt;=300000,"Medium",
TRUE,"High"
)</f>
        <v>Low</v>
      </c>
      <c r="D1570" t="s">
        <v>2041</v>
      </c>
      <c r="E1570" t="s">
        <v>2026</v>
      </c>
      <c r="F1570" t="s">
        <v>2028</v>
      </c>
      <c r="G1570">
        <v>27</v>
      </c>
      <c r="H1570" t="str" cm="1">
        <f t="array" ref="H1570">_xlfn.IFS(
Table2[[#This Row],[AGE]]&lt;30,"Young",
Table2[[#This Row],[AGE]]&lt;40,"Middle Age",
Table2[[#This Row],[AGE]]&lt;50,"Senior",
TRUE,"Super Senior"
)</f>
        <v>Young</v>
      </c>
      <c r="I1570">
        <v>1</v>
      </c>
      <c r="J1570">
        <v>-1</v>
      </c>
      <c r="K1570">
        <v>-1</v>
      </c>
      <c r="L1570">
        <v>-1</v>
      </c>
      <c r="M1570">
        <v>0</v>
      </c>
      <c r="N1570">
        <v>0</v>
      </c>
      <c r="O1570" s="1">
        <v>0</v>
      </c>
      <c r="P1570" s="1">
        <v>306</v>
      </c>
      <c r="Q1570" s="1">
        <v>2017</v>
      </c>
      <c r="R1570" s="1">
        <v>6316</v>
      </c>
      <c r="S1570" s="1">
        <v>3107</v>
      </c>
      <c r="T1570" s="1">
        <v>0</v>
      </c>
      <c r="U1570" s="1">
        <v>306</v>
      </c>
      <c r="V1570" s="1">
        <v>2017</v>
      </c>
      <c r="W1570" s="1">
        <v>6316</v>
      </c>
      <c r="X1570" s="1">
        <v>62</v>
      </c>
      <c r="Y1570" s="1">
        <v>0</v>
      </c>
      <c r="Z1570" s="1">
        <v>1002</v>
      </c>
      <c r="AA1570">
        <v>0</v>
      </c>
      <c r="AB1570" t="str">
        <f t="shared" si="24"/>
        <v>Not Defaulter</v>
      </c>
      <c r="AC1570" s="1">
        <f>Table2[[#This Row],[BILL_AMT1]]-Table2[[#This Row],[PAY_AMT1]]</f>
        <v>-306</v>
      </c>
      <c r="AD1570" s="1" t="str" cm="1">
        <f t="array" ref="AD1570">_xlfn.IFS(Table2[[#This Row],[PAYMENT GAP]]&lt;=0,"No Gap / Overpaid",Table2[[#This Row],[PAYMENT GAP]]&lt;=25000,"Low Gap",Table2[[#This Row],[PAYMENT GAP]]&lt;=100000,"Medium Gap",
TRUE,"High Gap"
)</f>
        <v>No Gap / Overpaid</v>
      </c>
    </row>
    <row r="1571" spans="1:30" x14ac:dyDescent="0.3">
      <c r="A1571">
        <v>1570</v>
      </c>
      <c r="B1571" s="1">
        <v>30000</v>
      </c>
      <c r="C1571" s="1" t="str" cm="1">
        <f t="array" ref="C1571">_xlfn.IFS(Table2[[#This Row],[LIMIT_BAL]]&lt;=100000,"Low",Table2[[#This Row],[LIMIT_BAL]]&lt;=300000,"Medium",
TRUE,"High"
)</f>
        <v>Low</v>
      </c>
      <c r="D1571" t="s">
        <v>2041</v>
      </c>
      <c r="E1571" t="s">
        <v>2043</v>
      </c>
      <c r="F1571" t="s">
        <v>2029</v>
      </c>
      <c r="G1571">
        <v>23</v>
      </c>
      <c r="H1571" t="str" cm="1">
        <f t="array" ref="H1571">_xlfn.IFS(
Table2[[#This Row],[AGE]]&lt;30,"Young",
Table2[[#This Row],[AGE]]&lt;40,"Middle Age",
Table2[[#This Row],[AGE]]&lt;50,"Senior",
TRUE,"Super Senior"
)</f>
        <v>Young</v>
      </c>
      <c r="I1571">
        <v>-1</v>
      </c>
      <c r="J1571">
        <v>0</v>
      </c>
      <c r="K1571">
        <v>0</v>
      </c>
      <c r="L1571">
        <v>0</v>
      </c>
      <c r="M1571">
        <v>0</v>
      </c>
      <c r="N1571">
        <v>-1</v>
      </c>
      <c r="O1571" s="1">
        <v>3226</v>
      </c>
      <c r="P1571" s="1">
        <v>5591</v>
      </c>
      <c r="Q1571" s="1">
        <v>6992</v>
      </c>
      <c r="R1571" s="1">
        <v>20412</v>
      </c>
      <c r="S1571" s="1">
        <v>14427</v>
      </c>
      <c r="T1571" s="1">
        <v>5119</v>
      </c>
      <c r="U1571" s="1">
        <v>3596</v>
      </c>
      <c r="V1571" s="1">
        <v>2992</v>
      </c>
      <c r="W1571" s="1">
        <v>16500</v>
      </c>
      <c r="X1571" s="1">
        <v>0</v>
      </c>
      <c r="Y1571" s="1">
        <v>5119</v>
      </c>
      <c r="Z1571" s="1">
        <v>0</v>
      </c>
      <c r="AA1571">
        <v>1</v>
      </c>
      <c r="AB1571" t="str">
        <f t="shared" si="24"/>
        <v>Defaulter</v>
      </c>
      <c r="AC1571" s="1">
        <f>Table2[[#This Row],[BILL_AMT1]]-Table2[[#This Row],[PAY_AMT1]]</f>
        <v>-370</v>
      </c>
      <c r="AD1571" s="1" t="str" cm="1">
        <f t="array" ref="AD1571">_xlfn.IFS(Table2[[#This Row],[PAYMENT GAP]]&lt;=0,"No Gap / Overpaid",Table2[[#This Row],[PAYMENT GAP]]&lt;=25000,"Low Gap",Table2[[#This Row],[PAYMENT GAP]]&lt;=100000,"Medium Gap",
TRUE,"High Gap"
)</f>
        <v>No Gap / Overpaid</v>
      </c>
    </row>
    <row r="1572" spans="1:30" x14ac:dyDescent="0.3">
      <c r="A1572">
        <v>1571</v>
      </c>
      <c r="B1572" s="1">
        <v>180000</v>
      </c>
      <c r="C1572" s="1" t="str" cm="1">
        <f t="array" ref="C1572">_xlfn.IFS(Table2[[#This Row],[LIMIT_BAL]]&lt;=100000,"Low",Table2[[#This Row],[LIMIT_BAL]]&lt;=300000,"Medium",
TRUE,"High"
)</f>
        <v>Medium</v>
      </c>
      <c r="D1572" t="s">
        <v>2042</v>
      </c>
      <c r="E1572" t="s">
        <v>2027</v>
      </c>
      <c r="F1572" t="s">
        <v>2028</v>
      </c>
      <c r="G1572">
        <v>45</v>
      </c>
      <c r="H1572" t="str" cm="1">
        <f t="array" ref="H1572">_xlfn.IFS(
Table2[[#This Row],[AGE]]&lt;30,"Young",
Table2[[#This Row],[AGE]]&lt;40,"Middle Age",
Table2[[#This Row],[AGE]]&lt;50,"Senior",
TRUE,"Super Senior"
)</f>
        <v>Senior</v>
      </c>
      <c r="I1572">
        <v>1</v>
      </c>
      <c r="J1572">
        <v>2</v>
      </c>
      <c r="K1572">
        <v>0</v>
      </c>
      <c r="L1572">
        <v>0</v>
      </c>
      <c r="M1572">
        <v>0</v>
      </c>
      <c r="N1572">
        <v>0</v>
      </c>
      <c r="O1572" s="1">
        <v>24400</v>
      </c>
      <c r="P1572" s="1">
        <v>24508</v>
      </c>
      <c r="Q1572" s="1">
        <v>22627</v>
      </c>
      <c r="R1572" s="1">
        <v>23306</v>
      </c>
      <c r="S1572" s="1">
        <v>22780</v>
      </c>
      <c r="T1572" s="1">
        <v>20890</v>
      </c>
      <c r="U1572" s="1">
        <v>1500</v>
      </c>
      <c r="V1572" s="1">
        <v>1500</v>
      </c>
      <c r="W1572" s="1">
        <v>1000</v>
      </c>
      <c r="X1572" s="1">
        <v>1000</v>
      </c>
      <c r="Y1572" s="1">
        <v>1000</v>
      </c>
      <c r="Z1572" s="1">
        <v>1000</v>
      </c>
      <c r="AA1572">
        <v>0</v>
      </c>
      <c r="AB1572" t="str">
        <f t="shared" si="24"/>
        <v>Not Defaulter</v>
      </c>
      <c r="AC1572" s="1">
        <f>Table2[[#This Row],[BILL_AMT1]]-Table2[[#This Row],[PAY_AMT1]]</f>
        <v>22900</v>
      </c>
      <c r="AD1572" s="1" t="str" cm="1">
        <f t="array" ref="AD1572">_xlfn.IFS(Table2[[#This Row],[PAYMENT GAP]]&lt;=0,"No Gap / Overpaid",Table2[[#This Row],[PAYMENT GAP]]&lt;=25000,"Low Gap",Table2[[#This Row],[PAYMENT GAP]]&lt;=100000,"Medium Gap",
TRUE,"High Gap"
)</f>
        <v>Low Gap</v>
      </c>
    </row>
    <row r="1573" spans="1:30" x14ac:dyDescent="0.3">
      <c r="A1573">
        <v>1572</v>
      </c>
      <c r="B1573" s="1">
        <v>150000</v>
      </c>
      <c r="C1573" s="1" t="str" cm="1">
        <f t="array" ref="C1573">_xlfn.IFS(Table2[[#This Row],[LIMIT_BAL]]&lt;=100000,"Low",Table2[[#This Row],[LIMIT_BAL]]&lt;=300000,"Medium",
TRUE,"High"
)</f>
        <v>Medium</v>
      </c>
      <c r="D1573" t="s">
        <v>2042</v>
      </c>
      <c r="E1573" t="s">
        <v>2043</v>
      </c>
      <c r="F1573" t="s">
        <v>2028</v>
      </c>
      <c r="G1573">
        <v>33</v>
      </c>
      <c r="H1573" t="str" cm="1">
        <f t="array" ref="H1573">_xlfn.IFS(
Table2[[#This Row],[AGE]]&lt;30,"Young",
Table2[[#This Row],[AGE]]&lt;40,"Middle Age",
Table2[[#This Row],[AGE]]&lt;50,"Senior",
TRUE,"Super Senior"
)</f>
        <v>Middle Age</v>
      </c>
      <c r="I1573">
        <v>1</v>
      </c>
      <c r="J1573">
        <v>2</v>
      </c>
      <c r="K1573">
        <v>2</v>
      </c>
      <c r="L1573">
        <v>0</v>
      </c>
      <c r="M1573">
        <v>0</v>
      </c>
      <c r="N1573">
        <v>2</v>
      </c>
      <c r="O1573" s="1">
        <v>8967</v>
      </c>
      <c r="P1573" s="1">
        <v>11510</v>
      </c>
      <c r="Q1573" s="1">
        <v>12022</v>
      </c>
      <c r="R1573" s="1">
        <v>12524</v>
      </c>
      <c r="S1573" s="1">
        <v>13868</v>
      </c>
      <c r="T1573" s="1">
        <v>13502</v>
      </c>
      <c r="U1573" s="1">
        <v>3001</v>
      </c>
      <c r="V1573" s="1">
        <v>1000</v>
      </c>
      <c r="W1573" s="1">
        <v>1000</v>
      </c>
      <c r="X1573" s="1">
        <v>1700</v>
      </c>
      <c r="Y1573" s="1">
        <v>0</v>
      </c>
      <c r="Z1573" s="1">
        <v>1000</v>
      </c>
      <c r="AA1573">
        <v>0</v>
      </c>
      <c r="AB1573" t="str">
        <f t="shared" si="24"/>
        <v>Not Defaulter</v>
      </c>
      <c r="AC1573" s="1">
        <f>Table2[[#This Row],[BILL_AMT1]]-Table2[[#This Row],[PAY_AMT1]]</f>
        <v>5966</v>
      </c>
      <c r="AD1573" s="1" t="str" cm="1">
        <f t="array" ref="AD1573">_xlfn.IFS(Table2[[#This Row],[PAYMENT GAP]]&lt;=0,"No Gap / Overpaid",Table2[[#This Row],[PAYMENT GAP]]&lt;=25000,"Low Gap",Table2[[#This Row],[PAYMENT GAP]]&lt;=100000,"Medium Gap",
TRUE,"High Gap"
)</f>
        <v>Low Gap</v>
      </c>
    </row>
    <row r="1574" spans="1:30" x14ac:dyDescent="0.3">
      <c r="A1574">
        <v>1573</v>
      </c>
      <c r="B1574" s="1">
        <v>110000</v>
      </c>
      <c r="C1574" s="1" t="str" cm="1">
        <f t="array" ref="C1574">_xlfn.IFS(Table2[[#This Row],[LIMIT_BAL]]&lt;=100000,"Low",Table2[[#This Row],[LIMIT_BAL]]&lt;=300000,"Medium",
TRUE,"High"
)</f>
        <v>Medium</v>
      </c>
      <c r="D1574" t="s">
        <v>2041</v>
      </c>
      <c r="E1574" t="s">
        <v>2043</v>
      </c>
      <c r="F1574" t="s">
        <v>2028</v>
      </c>
      <c r="G1574">
        <v>40</v>
      </c>
      <c r="H1574" t="str" cm="1">
        <f t="array" ref="H1574">_xlfn.IFS(
Table2[[#This Row],[AGE]]&lt;30,"Young",
Table2[[#This Row],[AGE]]&lt;40,"Middle Age",
Table2[[#This Row],[AGE]]&lt;50,"Senior",
TRUE,"Super Senior"
)</f>
        <v>Senior</v>
      </c>
      <c r="I1574">
        <v>0</v>
      </c>
      <c r="J1574">
        <v>0</v>
      </c>
      <c r="K1574">
        <v>0</v>
      </c>
      <c r="L1574">
        <v>2</v>
      </c>
      <c r="M1574">
        <v>0</v>
      </c>
      <c r="N1574">
        <v>0</v>
      </c>
      <c r="O1574" s="1">
        <v>84589</v>
      </c>
      <c r="P1574" s="1">
        <v>85418</v>
      </c>
      <c r="Q1574" s="1">
        <v>38333</v>
      </c>
      <c r="R1574" s="1">
        <v>37419</v>
      </c>
      <c r="S1574" s="1">
        <v>38199</v>
      </c>
      <c r="T1574" s="1">
        <v>38957</v>
      </c>
      <c r="U1574" s="1">
        <v>3700</v>
      </c>
      <c r="V1574" s="1">
        <v>4890</v>
      </c>
      <c r="W1574" s="1">
        <v>0</v>
      </c>
      <c r="X1574" s="1">
        <v>1535</v>
      </c>
      <c r="Y1574" s="1">
        <v>1545</v>
      </c>
      <c r="Z1574" s="1">
        <v>1500</v>
      </c>
      <c r="AA1574">
        <v>0</v>
      </c>
      <c r="AB1574" t="str">
        <f t="shared" si="24"/>
        <v>Not Defaulter</v>
      </c>
      <c r="AC1574" s="1">
        <f>Table2[[#This Row],[BILL_AMT1]]-Table2[[#This Row],[PAY_AMT1]]</f>
        <v>80889</v>
      </c>
      <c r="AD1574" s="1" t="str" cm="1">
        <f t="array" ref="AD1574">_xlfn.IFS(Table2[[#This Row],[PAYMENT GAP]]&lt;=0,"No Gap / Overpaid",Table2[[#This Row],[PAYMENT GAP]]&lt;=25000,"Low Gap",Table2[[#This Row],[PAYMENT GAP]]&lt;=100000,"Medium Gap",
TRUE,"High Gap"
)</f>
        <v>Medium Gap</v>
      </c>
    </row>
    <row r="1575" spans="1:30" x14ac:dyDescent="0.3">
      <c r="A1575">
        <v>1574</v>
      </c>
      <c r="B1575" s="1">
        <v>50000</v>
      </c>
      <c r="C1575" s="1" t="str" cm="1">
        <f t="array" ref="C1575">_xlfn.IFS(Table2[[#This Row],[LIMIT_BAL]]&lt;=100000,"Low",Table2[[#This Row],[LIMIT_BAL]]&lt;=300000,"Medium",
TRUE,"High"
)</f>
        <v>Low</v>
      </c>
      <c r="D1575" t="s">
        <v>2042</v>
      </c>
      <c r="E1575" t="s">
        <v>2026</v>
      </c>
      <c r="F1575" t="s">
        <v>2029</v>
      </c>
      <c r="G1575">
        <v>24</v>
      </c>
      <c r="H1575" t="str" cm="1">
        <f t="array" ref="H1575">_xlfn.IFS(
Table2[[#This Row],[AGE]]&lt;30,"Young",
Table2[[#This Row],[AGE]]&lt;40,"Middle Age",
Table2[[#This Row],[AGE]]&lt;50,"Senior",
TRUE,"Super Senior"
)</f>
        <v>Young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 s="1">
        <v>50716</v>
      </c>
      <c r="P1575" s="1">
        <v>50606</v>
      </c>
      <c r="Q1575" s="1">
        <v>33265</v>
      </c>
      <c r="R1575" s="1">
        <v>29300</v>
      </c>
      <c r="S1575" s="1">
        <v>20703</v>
      </c>
      <c r="T1575" s="1">
        <v>30101</v>
      </c>
      <c r="U1575" s="1">
        <v>3029</v>
      </c>
      <c r="V1575" s="1">
        <v>2000</v>
      </c>
      <c r="W1575" s="1">
        <v>1021</v>
      </c>
      <c r="X1575" s="1">
        <v>1004</v>
      </c>
      <c r="Y1575" s="1">
        <v>10000</v>
      </c>
      <c r="Z1575" s="1">
        <v>2500</v>
      </c>
      <c r="AA1575">
        <v>1</v>
      </c>
      <c r="AB1575" t="str">
        <f t="shared" si="24"/>
        <v>Defaulter</v>
      </c>
      <c r="AC1575" s="1">
        <f>Table2[[#This Row],[BILL_AMT1]]-Table2[[#This Row],[PAY_AMT1]]</f>
        <v>47687</v>
      </c>
      <c r="AD1575" s="1" t="str" cm="1">
        <f t="array" ref="AD1575">_xlfn.IFS(Table2[[#This Row],[PAYMENT GAP]]&lt;=0,"No Gap / Overpaid",Table2[[#This Row],[PAYMENT GAP]]&lt;=25000,"Low Gap",Table2[[#This Row],[PAYMENT GAP]]&lt;=100000,"Medium Gap",
TRUE,"High Gap"
)</f>
        <v>Medium Gap</v>
      </c>
    </row>
    <row r="1576" spans="1:30" x14ac:dyDescent="0.3">
      <c r="A1576">
        <v>1575</v>
      </c>
      <c r="B1576" s="1">
        <v>230000</v>
      </c>
      <c r="C1576" s="1" t="str" cm="1">
        <f t="array" ref="C1576">_xlfn.IFS(Table2[[#This Row],[LIMIT_BAL]]&lt;=100000,"Low",Table2[[#This Row],[LIMIT_BAL]]&lt;=300000,"Medium",
TRUE,"High"
)</f>
        <v>Medium</v>
      </c>
      <c r="D1576" t="s">
        <v>2041</v>
      </c>
      <c r="E1576" t="s">
        <v>2027</v>
      </c>
      <c r="F1576" t="s">
        <v>2028</v>
      </c>
      <c r="G1576">
        <v>43</v>
      </c>
      <c r="H1576" t="str" cm="1">
        <f t="array" ref="H1576">_xlfn.IFS(
Table2[[#This Row],[AGE]]&lt;30,"Young",
Table2[[#This Row],[AGE]]&lt;40,"Middle Age",
Table2[[#This Row],[AGE]]&lt;50,"Senior",
TRUE,"Super Senior"
)</f>
        <v>Senior</v>
      </c>
      <c r="I1576">
        <v>1</v>
      </c>
      <c r="J1576">
        <v>-1</v>
      </c>
      <c r="K1576">
        <v>2</v>
      </c>
      <c r="L1576">
        <v>-1</v>
      </c>
      <c r="M1576">
        <v>0</v>
      </c>
      <c r="N1576">
        <v>-1</v>
      </c>
      <c r="O1576" s="1">
        <v>0</v>
      </c>
      <c r="P1576" s="1">
        <v>3832</v>
      </c>
      <c r="Q1576" s="1">
        <v>1823</v>
      </c>
      <c r="R1576" s="1">
        <v>3646</v>
      </c>
      <c r="S1576" s="1">
        <v>1823</v>
      </c>
      <c r="T1576" s="1">
        <v>1823</v>
      </c>
      <c r="U1576" s="1">
        <v>5655</v>
      </c>
      <c r="V1576" s="1">
        <v>0</v>
      </c>
      <c r="W1576" s="1">
        <v>3646</v>
      </c>
      <c r="X1576" s="1">
        <v>0</v>
      </c>
      <c r="Y1576" s="1">
        <v>1823</v>
      </c>
      <c r="Z1576" s="1">
        <v>1823</v>
      </c>
      <c r="AA1576">
        <v>0</v>
      </c>
      <c r="AB1576" t="str">
        <f t="shared" si="24"/>
        <v>Not Defaulter</v>
      </c>
      <c r="AC1576" s="1">
        <f>Table2[[#This Row],[BILL_AMT1]]-Table2[[#This Row],[PAY_AMT1]]</f>
        <v>-5655</v>
      </c>
      <c r="AD1576" s="1" t="str" cm="1">
        <f t="array" ref="AD1576">_xlfn.IFS(Table2[[#This Row],[PAYMENT GAP]]&lt;=0,"No Gap / Overpaid",Table2[[#This Row],[PAYMENT GAP]]&lt;=25000,"Low Gap",Table2[[#This Row],[PAYMENT GAP]]&lt;=100000,"Medium Gap",
TRUE,"High Gap"
)</f>
        <v>No Gap / Overpaid</v>
      </c>
    </row>
    <row r="1577" spans="1:30" x14ac:dyDescent="0.3">
      <c r="A1577">
        <v>1576</v>
      </c>
      <c r="B1577" s="1">
        <v>230000</v>
      </c>
      <c r="C1577" s="1" t="str" cm="1">
        <f t="array" ref="C1577">_xlfn.IFS(Table2[[#This Row],[LIMIT_BAL]]&lt;=100000,"Low",Table2[[#This Row],[LIMIT_BAL]]&lt;=300000,"Medium",
TRUE,"High"
)</f>
        <v>Medium</v>
      </c>
      <c r="D1577" t="s">
        <v>2041</v>
      </c>
      <c r="E1577" t="s">
        <v>2043</v>
      </c>
      <c r="F1577" t="s">
        <v>2029</v>
      </c>
      <c r="G1577">
        <v>25</v>
      </c>
      <c r="H1577" t="str" cm="1">
        <f t="array" ref="H1577">_xlfn.IFS(
Table2[[#This Row],[AGE]]&lt;30,"Young",
Table2[[#This Row],[AGE]]&lt;40,"Middle Age",
Table2[[#This Row],[AGE]]&lt;50,"Senior",
TRUE,"Super Senior"
)</f>
        <v>Young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2</v>
      </c>
      <c r="O1577" s="1">
        <v>95311</v>
      </c>
      <c r="P1577" s="1">
        <v>94489</v>
      </c>
      <c r="Q1577" s="1">
        <v>93143</v>
      </c>
      <c r="R1577" s="1">
        <v>87654</v>
      </c>
      <c r="S1577" s="1">
        <v>90172</v>
      </c>
      <c r="T1577" s="1">
        <v>86850</v>
      </c>
      <c r="U1577" s="1">
        <v>4500</v>
      </c>
      <c r="V1577" s="1">
        <v>4114</v>
      </c>
      <c r="W1577" s="1">
        <v>3500</v>
      </c>
      <c r="X1577" s="1">
        <v>4000</v>
      </c>
      <c r="Y1577" s="1">
        <v>3000</v>
      </c>
      <c r="Z1577" s="1">
        <v>3000</v>
      </c>
      <c r="AA1577">
        <v>0</v>
      </c>
      <c r="AB1577" t="str">
        <f t="shared" si="24"/>
        <v>Not Defaulter</v>
      </c>
      <c r="AC1577" s="1">
        <f>Table2[[#This Row],[BILL_AMT1]]-Table2[[#This Row],[PAY_AMT1]]</f>
        <v>90811</v>
      </c>
      <c r="AD1577" s="1" t="str" cm="1">
        <f t="array" ref="AD1577">_xlfn.IFS(Table2[[#This Row],[PAYMENT GAP]]&lt;=0,"No Gap / Overpaid",Table2[[#This Row],[PAYMENT GAP]]&lt;=25000,"Low Gap",Table2[[#This Row],[PAYMENT GAP]]&lt;=100000,"Medium Gap",
TRUE,"High Gap"
)</f>
        <v>Medium Gap</v>
      </c>
    </row>
    <row r="1578" spans="1:30" x14ac:dyDescent="0.3">
      <c r="A1578">
        <v>1577</v>
      </c>
      <c r="B1578" s="1">
        <v>160000</v>
      </c>
      <c r="C1578" s="1" t="str" cm="1">
        <f t="array" ref="C1578">_xlfn.IFS(Table2[[#This Row],[LIMIT_BAL]]&lt;=100000,"Low",Table2[[#This Row],[LIMIT_BAL]]&lt;=300000,"Medium",
TRUE,"High"
)</f>
        <v>Medium</v>
      </c>
      <c r="D1578" t="s">
        <v>2041</v>
      </c>
      <c r="E1578" t="s">
        <v>2026</v>
      </c>
      <c r="F1578" t="s">
        <v>2029</v>
      </c>
      <c r="G1578">
        <v>46</v>
      </c>
      <c r="H1578" t="str" cm="1">
        <f t="array" ref="H1578">_xlfn.IFS(
Table2[[#This Row],[AGE]]&lt;30,"Young",
Table2[[#This Row],[AGE]]&lt;40,"Middle Age",
Table2[[#This Row],[AGE]]&lt;50,"Senior",
TRUE,"Super Senior"
)</f>
        <v>Senior</v>
      </c>
      <c r="I1578">
        <v>-2</v>
      </c>
      <c r="J1578">
        <v>-2</v>
      </c>
      <c r="K1578">
        <v>-2</v>
      </c>
      <c r="L1578">
        <v>-2</v>
      </c>
      <c r="M1578">
        <v>-2</v>
      </c>
      <c r="N1578">
        <v>-2</v>
      </c>
      <c r="O1578" s="1">
        <v>6241</v>
      </c>
      <c r="P1578" s="1">
        <v>8788</v>
      </c>
      <c r="Q1578" s="1">
        <v>0</v>
      </c>
      <c r="R1578" s="1">
        <v>0</v>
      </c>
      <c r="S1578" s="1">
        <v>0</v>
      </c>
      <c r="T1578" s="1">
        <v>0</v>
      </c>
      <c r="U1578" s="1">
        <v>8805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>
        <v>0</v>
      </c>
      <c r="AB1578" t="str">
        <f t="shared" si="24"/>
        <v>Not Defaulter</v>
      </c>
      <c r="AC1578" s="1">
        <f>Table2[[#This Row],[BILL_AMT1]]-Table2[[#This Row],[PAY_AMT1]]</f>
        <v>-2564</v>
      </c>
      <c r="AD1578" s="1" t="str" cm="1">
        <f t="array" ref="AD1578">_xlfn.IFS(Table2[[#This Row],[PAYMENT GAP]]&lt;=0,"No Gap / Overpaid",Table2[[#This Row],[PAYMENT GAP]]&lt;=25000,"Low Gap",Table2[[#This Row],[PAYMENT GAP]]&lt;=100000,"Medium Gap",
TRUE,"High Gap"
)</f>
        <v>No Gap / Overpaid</v>
      </c>
    </row>
    <row r="1579" spans="1:30" x14ac:dyDescent="0.3">
      <c r="A1579">
        <v>1578</v>
      </c>
      <c r="B1579" s="1">
        <v>50000</v>
      </c>
      <c r="C1579" s="1" t="str" cm="1">
        <f t="array" ref="C1579">_xlfn.IFS(Table2[[#This Row],[LIMIT_BAL]]&lt;=100000,"Low",Table2[[#This Row],[LIMIT_BAL]]&lt;=300000,"Medium",
TRUE,"High"
)</f>
        <v>Low</v>
      </c>
      <c r="D1579" t="s">
        <v>2042</v>
      </c>
      <c r="E1579" t="s">
        <v>2027</v>
      </c>
      <c r="F1579" t="s">
        <v>2029</v>
      </c>
      <c r="G1579">
        <v>36</v>
      </c>
      <c r="H1579" t="str" cm="1">
        <f t="array" ref="H1579">_xlfn.IFS(
Table2[[#This Row],[AGE]]&lt;30,"Young",
Table2[[#This Row],[AGE]]&lt;40,"Middle Age",
Table2[[#This Row],[AGE]]&lt;50,"Senior",
TRUE,"Super Senior"
)</f>
        <v>Middle Age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 s="1">
        <v>52855</v>
      </c>
      <c r="P1579" s="1">
        <v>49123</v>
      </c>
      <c r="Q1579" s="1">
        <v>49522</v>
      </c>
      <c r="R1579" s="1">
        <v>19843</v>
      </c>
      <c r="S1579" s="1">
        <v>18440</v>
      </c>
      <c r="T1579" s="1">
        <v>18272</v>
      </c>
      <c r="U1579" s="1">
        <v>2206</v>
      </c>
      <c r="V1579" s="1">
        <v>1605</v>
      </c>
      <c r="W1579" s="1">
        <v>397</v>
      </c>
      <c r="X1579" s="1">
        <v>369</v>
      </c>
      <c r="Y1579" s="1">
        <v>365</v>
      </c>
      <c r="Z1579" s="1">
        <v>1088</v>
      </c>
      <c r="AA1579">
        <v>0</v>
      </c>
      <c r="AB1579" t="str">
        <f t="shared" si="24"/>
        <v>Not Defaulter</v>
      </c>
      <c r="AC1579" s="1">
        <f>Table2[[#This Row],[BILL_AMT1]]-Table2[[#This Row],[PAY_AMT1]]</f>
        <v>50649</v>
      </c>
      <c r="AD1579" s="1" t="str" cm="1">
        <f t="array" ref="AD1579">_xlfn.IFS(Table2[[#This Row],[PAYMENT GAP]]&lt;=0,"No Gap / Overpaid",Table2[[#This Row],[PAYMENT GAP]]&lt;=25000,"Low Gap",Table2[[#This Row],[PAYMENT GAP]]&lt;=100000,"Medium Gap",
TRUE,"High Gap"
)</f>
        <v>Medium Gap</v>
      </c>
    </row>
    <row r="1580" spans="1:30" x14ac:dyDescent="0.3">
      <c r="A1580">
        <v>1579</v>
      </c>
      <c r="B1580" s="1">
        <v>210000</v>
      </c>
      <c r="C1580" s="1" t="str" cm="1">
        <f t="array" ref="C1580">_xlfn.IFS(Table2[[#This Row],[LIMIT_BAL]]&lt;=100000,"Low",Table2[[#This Row],[LIMIT_BAL]]&lt;=300000,"Medium",
TRUE,"High"
)</f>
        <v>Medium</v>
      </c>
      <c r="D1580" t="s">
        <v>2041</v>
      </c>
      <c r="E1580" t="s">
        <v>2026</v>
      </c>
      <c r="F1580" t="s">
        <v>2028</v>
      </c>
      <c r="G1580">
        <v>36</v>
      </c>
      <c r="H1580" t="str" cm="1">
        <f t="array" ref="H1580">_xlfn.IFS(
Table2[[#This Row],[AGE]]&lt;30,"Young",
Table2[[#This Row],[AGE]]&lt;40,"Middle Age",
Table2[[#This Row],[AGE]]&lt;50,"Senior",
TRUE,"Super Senior"
)</f>
        <v>Middle Age</v>
      </c>
      <c r="I1580">
        <v>1</v>
      </c>
      <c r="J1580">
        <v>-1</v>
      </c>
      <c r="K1580">
        <v>-1</v>
      </c>
      <c r="L1580">
        <v>-1</v>
      </c>
      <c r="M1580">
        <v>-1</v>
      </c>
      <c r="N1580">
        <v>-1</v>
      </c>
      <c r="O1580" s="1">
        <v>0</v>
      </c>
      <c r="P1580" s="1">
        <v>1690</v>
      </c>
      <c r="Q1580" s="1">
        <v>0</v>
      </c>
      <c r="R1580" s="1">
        <v>5619</v>
      </c>
      <c r="S1580" s="1">
        <v>4090</v>
      </c>
      <c r="T1580" s="1">
        <v>581</v>
      </c>
      <c r="U1580" s="1">
        <v>1690</v>
      </c>
      <c r="V1580" s="1">
        <v>0</v>
      </c>
      <c r="W1580" s="1">
        <v>5619</v>
      </c>
      <c r="X1580" s="1">
        <v>4090</v>
      </c>
      <c r="Y1580" s="1">
        <v>581</v>
      </c>
      <c r="Z1580" s="1">
        <v>0</v>
      </c>
      <c r="AA1580">
        <v>0</v>
      </c>
      <c r="AB1580" t="str">
        <f t="shared" si="24"/>
        <v>Not Defaulter</v>
      </c>
      <c r="AC1580" s="1">
        <f>Table2[[#This Row],[BILL_AMT1]]-Table2[[#This Row],[PAY_AMT1]]</f>
        <v>-1690</v>
      </c>
      <c r="AD1580" s="1" t="str" cm="1">
        <f t="array" ref="AD1580">_xlfn.IFS(Table2[[#This Row],[PAYMENT GAP]]&lt;=0,"No Gap / Overpaid",Table2[[#This Row],[PAYMENT GAP]]&lt;=25000,"Low Gap",Table2[[#This Row],[PAYMENT GAP]]&lt;=100000,"Medium Gap",
TRUE,"High Gap"
)</f>
        <v>No Gap / Overpaid</v>
      </c>
    </row>
    <row r="1581" spans="1:30" x14ac:dyDescent="0.3">
      <c r="A1581">
        <v>1580</v>
      </c>
      <c r="B1581" s="1">
        <v>120000</v>
      </c>
      <c r="C1581" s="1" t="str" cm="1">
        <f t="array" ref="C1581">_xlfn.IFS(Table2[[#This Row],[LIMIT_BAL]]&lt;=100000,"Low",Table2[[#This Row],[LIMIT_BAL]]&lt;=300000,"Medium",
TRUE,"High"
)</f>
        <v>Medium</v>
      </c>
      <c r="D1581" t="s">
        <v>2041</v>
      </c>
      <c r="E1581" t="s">
        <v>2043</v>
      </c>
      <c r="F1581" t="s">
        <v>2028</v>
      </c>
      <c r="G1581">
        <v>38</v>
      </c>
      <c r="H1581" t="str" cm="1">
        <f t="array" ref="H1581">_xlfn.IFS(
Table2[[#This Row],[AGE]]&lt;30,"Young",
Table2[[#This Row],[AGE]]&lt;40,"Middle Age",
Table2[[#This Row],[AGE]]&lt;50,"Senior",
TRUE,"Super Senior"
)</f>
        <v>Middle Age</v>
      </c>
      <c r="I1581">
        <v>-1</v>
      </c>
      <c r="J1581">
        <v>-1</v>
      </c>
      <c r="K1581">
        <v>-1</v>
      </c>
      <c r="L1581">
        <v>-1</v>
      </c>
      <c r="M1581">
        <v>-1</v>
      </c>
      <c r="N1581">
        <v>-1</v>
      </c>
      <c r="O1581" s="1">
        <v>4100</v>
      </c>
      <c r="P1581" s="1">
        <v>7270</v>
      </c>
      <c r="Q1581" s="1">
        <v>820</v>
      </c>
      <c r="R1581" s="1">
        <v>820</v>
      </c>
      <c r="S1581" s="1">
        <v>2870</v>
      </c>
      <c r="T1581" s="1">
        <v>970</v>
      </c>
      <c r="U1581" s="1">
        <v>7270</v>
      </c>
      <c r="V1581" s="1">
        <v>820</v>
      </c>
      <c r="W1581" s="1">
        <v>820</v>
      </c>
      <c r="X1581" s="1">
        <v>2870</v>
      </c>
      <c r="Y1581" s="1">
        <v>970</v>
      </c>
      <c r="Z1581" s="1">
        <v>820</v>
      </c>
      <c r="AA1581">
        <v>0</v>
      </c>
      <c r="AB1581" t="str">
        <f t="shared" si="24"/>
        <v>Not Defaulter</v>
      </c>
      <c r="AC1581" s="1">
        <f>Table2[[#This Row],[BILL_AMT1]]-Table2[[#This Row],[PAY_AMT1]]</f>
        <v>-3170</v>
      </c>
      <c r="AD1581" s="1" t="str" cm="1">
        <f t="array" ref="AD1581">_xlfn.IFS(Table2[[#This Row],[PAYMENT GAP]]&lt;=0,"No Gap / Overpaid",Table2[[#This Row],[PAYMENT GAP]]&lt;=25000,"Low Gap",Table2[[#This Row],[PAYMENT GAP]]&lt;=100000,"Medium Gap",
TRUE,"High Gap"
)</f>
        <v>No Gap / Overpaid</v>
      </c>
    </row>
    <row r="1582" spans="1:30" x14ac:dyDescent="0.3">
      <c r="A1582">
        <v>1581</v>
      </c>
      <c r="B1582" s="1">
        <v>240000</v>
      </c>
      <c r="C1582" s="1" t="str" cm="1">
        <f t="array" ref="C1582">_xlfn.IFS(Table2[[#This Row],[LIMIT_BAL]]&lt;=100000,"Low",Table2[[#This Row],[LIMIT_BAL]]&lt;=300000,"Medium",
TRUE,"High"
)</f>
        <v>Medium</v>
      </c>
      <c r="D1582" t="s">
        <v>2041</v>
      </c>
      <c r="E1582" t="s">
        <v>2043</v>
      </c>
      <c r="F1582" t="s">
        <v>2028</v>
      </c>
      <c r="G1582">
        <v>42</v>
      </c>
      <c r="H1582" t="str" cm="1">
        <f t="array" ref="H1582">_xlfn.IFS(
Table2[[#This Row],[AGE]]&lt;30,"Young",
Table2[[#This Row],[AGE]]&lt;40,"Middle Age",
Table2[[#This Row],[AGE]]&lt;50,"Senior",
TRUE,"Super Senior"
)</f>
        <v>Senior</v>
      </c>
      <c r="I1582">
        <v>0</v>
      </c>
      <c r="J1582">
        <v>0</v>
      </c>
      <c r="K1582">
        <v>0</v>
      </c>
      <c r="L1582">
        <v>2</v>
      </c>
      <c r="M1582">
        <v>0</v>
      </c>
      <c r="N1582">
        <v>0</v>
      </c>
      <c r="O1582" s="1">
        <v>21943</v>
      </c>
      <c r="P1582" s="1">
        <v>36519</v>
      </c>
      <c r="Q1582" s="1">
        <v>55515</v>
      </c>
      <c r="R1582" s="1">
        <v>49049</v>
      </c>
      <c r="S1582" s="1">
        <v>57178</v>
      </c>
      <c r="T1582" s="1">
        <v>42009</v>
      </c>
      <c r="U1582" s="1">
        <v>15000</v>
      </c>
      <c r="V1582" s="1">
        <v>20000</v>
      </c>
      <c r="W1582" s="1">
        <v>3330</v>
      </c>
      <c r="X1582" s="1">
        <v>30000</v>
      </c>
      <c r="Y1582" s="1">
        <v>10000</v>
      </c>
      <c r="Z1582" s="1">
        <v>10000</v>
      </c>
      <c r="AA1582">
        <v>0</v>
      </c>
      <c r="AB1582" t="str">
        <f t="shared" si="24"/>
        <v>Not Defaulter</v>
      </c>
      <c r="AC1582" s="1">
        <f>Table2[[#This Row],[BILL_AMT1]]-Table2[[#This Row],[PAY_AMT1]]</f>
        <v>6943</v>
      </c>
      <c r="AD1582" s="1" t="str" cm="1">
        <f t="array" ref="AD1582">_xlfn.IFS(Table2[[#This Row],[PAYMENT GAP]]&lt;=0,"No Gap / Overpaid",Table2[[#This Row],[PAYMENT GAP]]&lt;=25000,"Low Gap",Table2[[#This Row],[PAYMENT GAP]]&lt;=100000,"Medium Gap",
TRUE,"High Gap"
)</f>
        <v>Low Gap</v>
      </c>
    </row>
    <row r="1583" spans="1:30" x14ac:dyDescent="0.3">
      <c r="A1583">
        <v>1582</v>
      </c>
      <c r="B1583" s="1">
        <v>20000</v>
      </c>
      <c r="C1583" s="1" t="str" cm="1">
        <f t="array" ref="C1583">_xlfn.IFS(Table2[[#This Row],[LIMIT_BAL]]&lt;=100000,"Low",Table2[[#This Row],[LIMIT_BAL]]&lt;=300000,"Medium",
TRUE,"High"
)</f>
        <v>Low</v>
      </c>
      <c r="D1583" t="s">
        <v>2042</v>
      </c>
      <c r="E1583" t="s">
        <v>2027</v>
      </c>
      <c r="F1583" t="s">
        <v>2055</v>
      </c>
      <c r="G1583">
        <v>47</v>
      </c>
      <c r="H1583" t="str" cm="1">
        <f t="array" ref="H1583">_xlfn.IFS(
Table2[[#This Row],[AGE]]&lt;30,"Young",
Table2[[#This Row],[AGE]]&lt;40,"Middle Age",
Table2[[#This Row],[AGE]]&lt;50,"Senior",
TRUE,"Super Senior"
)</f>
        <v>Senior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 s="1">
        <v>18768</v>
      </c>
      <c r="P1583" s="1">
        <v>18795</v>
      </c>
      <c r="Q1583" s="1">
        <v>19390</v>
      </c>
      <c r="R1583" s="1">
        <v>19464</v>
      </c>
      <c r="S1583" s="1">
        <v>18126</v>
      </c>
      <c r="T1583" s="1">
        <v>18827</v>
      </c>
      <c r="U1583" s="1">
        <v>1400</v>
      </c>
      <c r="V1583" s="1">
        <v>1400</v>
      </c>
      <c r="W1583" s="1">
        <v>1000</v>
      </c>
      <c r="X1583" s="1">
        <v>700</v>
      </c>
      <c r="Y1583" s="1">
        <v>1600</v>
      </c>
      <c r="Z1583" s="1">
        <v>0</v>
      </c>
      <c r="AA1583">
        <v>0</v>
      </c>
      <c r="AB1583" t="str">
        <f t="shared" si="24"/>
        <v>Not Defaulter</v>
      </c>
      <c r="AC1583" s="1">
        <f>Table2[[#This Row],[BILL_AMT1]]-Table2[[#This Row],[PAY_AMT1]]</f>
        <v>17368</v>
      </c>
      <c r="AD1583" s="1" t="str" cm="1">
        <f t="array" ref="AD1583">_xlfn.IFS(Table2[[#This Row],[PAYMENT GAP]]&lt;=0,"No Gap / Overpaid",Table2[[#This Row],[PAYMENT GAP]]&lt;=25000,"Low Gap",Table2[[#This Row],[PAYMENT GAP]]&lt;=100000,"Medium Gap",
TRUE,"High Gap"
)</f>
        <v>Low Gap</v>
      </c>
    </row>
    <row r="1584" spans="1:30" x14ac:dyDescent="0.3">
      <c r="A1584">
        <v>1583</v>
      </c>
      <c r="B1584" s="1">
        <v>50000</v>
      </c>
      <c r="C1584" s="1" t="str" cm="1">
        <f t="array" ref="C1584">_xlfn.IFS(Table2[[#This Row],[LIMIT_BAL]]&lt;=100000,"Low",Table2[[#This Row],[LIMIT_BAL]]&lt;=300000,"Medium",
TRUE,"High"
)</f>
        <v>Low</v>
      </c>
      <c r="D1584" t="s">
        <v>2041</v>
      </c>
      <c r="E1584" t="s">
        <v>2027</v>
      </c>
      <c r="F1584" t="s">
        <v>2029</v>
      </c>
      <c r="G1584">
        <v>40</v>
      </c>
      <c r="H1584" t="str" cm="1">
        <f t="array" ref="H1584">_xlfn.IFS(
Table2[[#This Row],[AGE]]&lt;30,"Young",
Table2[[#This Row],[AGE]]&lt;40,"Middle Age",
Table2[[#This Row],[AGE]]&lt;50,"Senior",
TRUE,"Super Senior"
)</f>
        <v>Senior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 s="1">
        <v>5538</v>
      </c>
      <c r="P1584" s="1">
        <v>6563</v>
      </c>
      <c r="Q1584" s="1">
        <v>7422</v>
      </c>
      <c r="R1584" s="1">
        <v>8292</v>
      </c>
      <c r="S1584" s="1">
        <v>8465</v>
      </c>
      <c r="T1584" s="1">
        <v>8650</v>
      </c>
      <c r="U1584" s="1">
        <v>1271</v>
      </c>
      <c r="V1584" s="1">
        <v>1130</v>
      </c>
      <c r="W1584" s="1">
        <v>1000</v>
      </c>
      <c r="X1584" s="1">
        <v>307</v>
      </c>
      <c r="Y1584" s="1">
        <v>325</v>
      </c>
      <c r="Z1584" s="1">
        <v>436</v>
      </c>
      <c r="AA1584">
        <v>0</v>
      </c>
      <c r="AB1584" t="str">
        <f t="shared" si="24"/>
        <v>Not Defaulter</v>
      </c>
      <c r="AC1584" s="1">
        <f>Table2[[#This Row],[BILL_AMT1]]-Table2[[#This Row],[PAY_AMT1]]</f>
        <v>4267</v>
      </c>
      <c r="AD1584" s="1" t="str" cm="1">
        <f t="array" ref="AD1584">_xlfn.IFS(Table2[[#This Row],[PAYMENT GAP]]&lt;=0,"No Gap / Overpaid",Table2[[#This Row],[PAYMENT GAP]]&lt;=25000,"Low Gap",Table2[[#This Row],[PAYMENT GAP]]&lt;=100000,"Medium Gap",
TRUE,"High Gap"
)</f>
        <v>Low Gap</v>
      </c>
    </row>
    <row r="1585" spans="1:30" x14ac:dyDescent="0.3">
      <c r="A1585">
        <v>1584</v>
      </c>
      <c r="B1585" s="1">
        <v>50000</v>
      </c>
      <c r="C1585" s="1" t="str" cm="1">
        <f t="array" ref="C1585">_xlfn.IFS(Table2[[#This Row],[LIMIT_BAL]]&lt;=100000,"Low",Table2[[#This Row],[LIMIT_BAL]]&lt;=300000,"Medium",
TRUE,"High"
)</f>
        <v>Low</v>
      </c>
      <c r="D1585" t="s">
        <v>2041</v>
      </c>
      <c r="E1585" t="s">
        <v>2026</v>
      </c>
      <c r="F1585" t="s">
        <v>2029</v>
      </c>
      <c r="G1585">
        <v>70</v>
      </c>
      <c r="H1585" t="str" cm="1">
        <f t="array" ref="H1585">_xlfn.IFS(
Table2[[#This Row],[AGE]]&lt;30,"Young",
Table2[[#This Row],[AGE]]&lt;40,"Middle Age",
Table2[[#This Row],[AGE]]&lt;50,"Senior",
TRUE,"Super Senior"
)</f>
        <v>Super Senior</v>
      </c>
      <c r="I1585">
        <v>2</v>
      </c>
      <c r="J1585">
        <v>2</v>
      </c>
      <c r="K1585">
        <v>0</v>
      </c>
      <c r="L1585">
        <v>0</v>
      </c>
      <c r="M1585">
        <v>0</v>
      </c>
      <c r="N1585">
        <v>0</v>
      </c>
      <c r="O1585" s="1">
        <v>49546</v>
      </c>
      <c r="P1585" s="1">
        <v>48480</v>
      </c>
      <c r="Q1585" s="1">
        <v>48621</v>
      </c>
      <c r="R1585" s="1">
        <v>17793</v>
      </c>
      <c r="S1585" s="1">
        <v>18224</v>
      </c>
      <c r="T1585" s="1">
        <v>18612</v>
      </c>
      <c r="U1585" s="1">
        <v>0</v>
      </c>
      <c r="V1585" s="1">
        <v>2200</v>
      </c>
      <c r="W1585" s="1">
        <v>700</v>
      </c>
      <c r="X1585" s="1">
        <v>700</v>
      </c>
      <c r="Y1585" s="1">
        <v>674</v>
      </c>
      <c r="Z1585" s="1">
        <v>608</v>
      </c>
      <c r="AA1585">
        <v>0</v>
      </c>
      <c r="AB1585" t="str">
        <f t="shared" si="24"/>
        <v>Not Defaulter</v>
      </c>
      <c r="AC1585" s="1">
        <f>Table2[[#This Row],[BILL_AMT1]]-Table2[[#This Row],[PAY_AMT1]]</f>
        <v>49546</v>
      </c>
      <c r="AD1585" s="1" t="str" cm="1">
        <f t="array" ref="AD1585">_xlfn.IFS(Table2[[#This Row],[PAYMENT GAP]]&lt;=0,"No Gap / Overpaid",Table2[[#This Row],[PAYMENT GAP]]&lt;=25000,"Low Gap",Table2[[#This Row],[PAYMENT GAP]]&lt;=100000,"Medium Gap",
TRUE,"High Gap"
)</f>
        <v>Medium Gap</v>
      </c>
    </row>
    <row r="1586" spans="1:30" x14ac:dyDescent="0.3">
      <c r="A1586">
        <v>1585</v>
      </c>
      <c r="B1586" s="1">
        <v>50000</v>
      </c>
      <c r="C1586" s="1" t="str" cm="1">
        <f t="array" ref="C1586">_xlfn.IFS(Table2[[#This Row],[LIMIT_BAL]]&lt;=100000,"Low",Table2[[#This Row],[LIMIT_BAL]]&lt;=300000,"Medium",
TRUE,"High"
)</f>
        <v>Low</v>
      </c>
      <c r="D1586" t="s">
        <v>2041</v>
      </c>
      <c r="E1586" t="s">
        <v>2043</v>
      </c>
      <c r="F1586" t="s">
        <v>2028</v>
      </c>
      <c r="G1586">
        <v>32</v>
      </c>
      <c r="H1586" t="str" cm="1">
        <f t="array" ref="H1586">_xlfn.IFS(
Table2[[#This Row],[AGE]]&lt;30,"Young",
Table2[[#This Row],[AGE]]&lt;40,"Middle Age",
Table2[[#This Row],[AGE]]&lt;50,"Senior",
TRUE,"Super Senior"
)</f>
        <v>Middle Age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 s="1">
        <v>48508</v>
      </c>
      <c r="P1586" s="1">
        <v>49213</v>
      </c>
      <c r="Q1586" s="1">
        <v>38280</v>
      </c>
      <c r="R1586" s="1">
        <v>12305</v>
      </c>
      <c r="S1586" s="1">
        <v>6436</v>
      </c>
      <c r="T1586" s="1">
        <v>0</v>
      </c>
      <c r="U1586" s="1">
        <v>3037</v>
      </c>
      <c r="V1586" s="1">
        <v>1800</v>
      </c>
      <c r="W1586" s="1">
        <v>1130</v>
      </c>
      <c r="X1586" s="1">
        <v>2000</v>
      </c>
      <c r="Y1586" s="1">
        <v>0</v>
      </c>
      <c r="Z1586" s="1">
        <v>0</v>
      </c>
      <c r="AA1586">
        <v>0</v>
      </c>
      <c r="AB1586" t="str">
        <f t="shared" si="24"/>
        <v>Not Defaulter</v>
      </c>
      <c r="AC1586" s="1">
        <f>Table2[[#This Row],[BILL_AMT1]]-Table2[[#This Row],[PAY_AMT1]]</f>
        <v>45471</v>
      </c>
      <c r="AD1586" s="1" t="str" cm="1">
        <f t="array" ref="AD1586">_xlfn.IFS(Table2[[#This Row],[PAYMENT GAP]]&lt;=0,"No Gap / Overpaid",Table2[[#This Row],[PAYMENT GAP]]&lt;=25000,"Low Gap",Table2[[#This Row],[PAYMENT GAP]]&lt;=100000,"Medium Gap",
TRUE,"High Gap"
)</f>
        <v>Medium Gap</v>
      </c>
    </row>
    <row r="1587" spans="1:30" x14ac:dyDescent="0.3">
      <c r="A1587">
        <v>1586</v>
      </c>
      <c r="B1587" s="1">
        <v>100000</v>
      </c>
      <c r="C1587" s="1" t="str" cm="1">
        <f t="array" ref="C1587">_xlfn.IFS(Table2[[#This Row],[LIMIT_BAL]]&lt;=100000,"Low",Table2[[#This Row],[LIMIT_BAL]]&lt;=300000,"Medium",
TRUE,"High"
)</f>
        <v>Low</v>
      </c>
      <c r="D1587" t="s">
        <v>2042</v>
      </c>
      <c r="E1587" t="s">
        <v>2027</v>
      </c>
      <c r="F1587" t="s">
        <v>2029</v>
      </c>
      <c r="G1587">
        <v>52</v>
      </c>
      <c r="H1587" t="str" cm="1">
        <f t="array" ref="H1587">_xlfn.IFS(
Table2[[#This Row],[AGE]]&lt;30,"Young",
Table2[[#This Row],[AGE]]&lt;40,"Middle Age",
Table2[[#This Row],[AGE]]&lt;50,"Senior",
TRUE,"Super Senior"
)</f>
        <v>Super Senior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-1</v>
      </c>
      <c r="O1587" s="1">
        <v>73904</v>
      </c>
      <c r="P1587" s="1">
        <v>73249</v>
      </c>
      <c r="Q1587" s="1">
        <v>12327</v>
      </c>
      <c r="R1587" s="1">
        <v>10793</v>
      </c>
      <c r="S1587" s="1">
        <v>5309</v>
      </c>
      <c r="T1587" s="1">
        <v>900</v>
      </c>
      <c r="U1587" s="1">
        <v>2781</v>
      </c>
      <c r="V1587" s="1">
        <v>2101</v>
      </c>
      <c r="W1587" s="1">
        <v>216</v>
      </c>
      <c r="X1587" s="1">
        <v>0</v>
      </c>
      <c r="Y1587" s="1">
        <v>900</v>
      </c>
      <c r="Z1587" s="1">
        <v>500</v>
      </c>
      <c r="AA1587">
        <v>0</v>
      </c>
      <c r="AB1587" t="str">
        <f t="shared" si="24"/>
        <v>Not Defaulter</v>
      </c>
      <c r="AC1587" s="1">
        <f>Table2[[#This Row],[BILL_AMT1]]-Table2[[#This Row],[PAY_AMT1]]</f>
        <v>71123</v>
      </c>
      <c r="AD1587" s="1" t="str" cm="1">
        <f t="array" ref="AD1587">_xlfn.IFS(Table2[[#This Row],[PAYMENT GAP]]&lt;=0,"No Gap / Overpaid",Table2[[#This Row],[PAYMENT GAP]]&lt;=25000,"Low Gap",Table2[[#This Row],[PAYMENT GAP]]&lt;=100000,"Medium Gap",
TRUE,"High Gap"
)</f>
        <v>Medium Gap</v>
      </c>
    </row>
    <row r="1588" spans="1:30" x14ac:dyDescent="0.3">
      <c r="A1588">
        <v>1587</v>
      </c>
      <c r="B1588" s="1">
        <v>390000</v>
      </c>
      <c r="C1588" s="1" t="str" cm="1">
        <f t="array" ref="C1588">_xlfn.IFS(Table2[[#This Row],[LIMIT_BAL]]&lt;=100000,"Low",Table2[[#This Row],[LIMIT_BAL]]&lt;=300000,"Medium",
TRUE,"High"
)</f>
        <v>High</v>
      </c>
      <c r="D1588" t="s">
        <v>2041</v>
      </c>
      <c r="E1588" t="s">
        <v>2026</v>
      </c>
      <c r="F1588" t="s">
        <v>2028</v>
      </c>
      <c r="G1588">
        <v>49</v>
      </c>
      <c r="H1588" t="str" cm="1">
        <f t="array" ref="H1588">_xlfn.IFS(
Table2[[#This Row],[AGE]]&lt;30,"Young",
Table2[[#This Row],[AGE]]&lt;40,"Middle Age",
Table2[[#This Row],[AGE]]&lt;50,"Senior",
TRUE,"Super Senior"
)</f>
        <v>Senior</v>
      </c>
      <c r="I1588">
        <v>-1</v>
      </c>
      <c r="J1588">
        <v>-1</v>
      </c>
      <c r="K1588">
        <v>-1</v>
      </c>
      <c r="L1588">
        <v>-2</v>
      </c>
      <c r="M1588">
        <v>-2</v>
      </c>
      <c r="N1588">
        <v>-1</v>
      </c>
      <c r="O1588" s="1">
        <v>15026</v>
      </c>
      <c r="P1588" s="1">
        <v>13357</v>
      </c>
      <c r="Q1588" s="1">
        <v>0</v>
      </c>
      <c r="R1588" s="1">
        <v>0</v>
      </c>
      <c r="S1588" s="1">
        <v>0</v>
      </c>
      <c r="T1588" s="1">
        <v>100000</v>
      </c>
      <c r="U1588" s="1">
        <v>13357</v>
      </c>
      <c r="V1588" s="1">
        <v>0</v>
      </c>
      <c r="W1588" s="1">
        <v>0</v>
      </c>
      <c r="X1588" s="1">
        <v>0</v>
      </c>
      <c r="Y1588" s="1">
        <v>100000</v>
      </c>
      <c r="Z1588" s="1">
        <v>39268</v>
      </c>
      <c r="AA1588">
        <v>0</v>
      </c>
      <c r="AB1588" t="str">
        <f t="shared" si="24"/>
        <v>Not Defaulter</v>
      </c>
      <c r="AC1588" s="1">
        <f>Table2[[#This Row],[BILL_AMT1]]-Table2[[#This Row],[PAY_AMT1]]</f>
        <v>1669</v>
      </c>
      <c r="AD1588" s="1" t="str" cm="1">
        <f t="array" ref="AD1588">_xlfn.IFS(Table2[[#This Row],[PAYMENT GAP]]&lt;=0,"No Gap / Overpaid",Table2[[#This Row],[PAYMENT GAP]]&lt;=25000,"Low Gap",Table2[[#This Row],[PAYMENT GAP]]&lt;=100000,"Medium Gap",
TRUE,"High Gap"
)</f>
        <v>Low Gap</v>
      </c>
    </row>
    <row r="1589" spans="1:30" x14ac:dyDescent="0.3">
      <c r="A1589">
        <v>1588</v>
      </c>
      <c r="B1589" s="1">
        <v>550000</v>
      </c>
      <c r="C1589" s="1" t="str" cm="1">
        <f t="array" ref="C1589">_xlfn.IFS(Table2[[#This Row],[LIMIT_BAL]]&lt;=100000,"Low",Table2[[#This Row],[LIMIT_BAL]]&lt;=300000,"Medium",
TRUE,"High"
)</f>
        <v>High</v>
      </c>
      <c r="D1589" t="s">
        <v>2042</v>
      </c>
      <c r="E1589" t="s">
        <v>2026</v>
      </c>
      <c r="F1589" t="s">
        <v>2029</v>
      </c>
      <c r="G1589">
        <v>31</v>
      </c>
      <c r="H1589" t="str" cm="1">
        <f t="array" ref="H1589">_xlfn.IFS(
Table2[[#This Row],[AGE]]&lt;30,"Young",
Table2[[#This Row],[AGE]]&lt;40,"Middle Age",
Table2[[#This Row],[AGE]]&lt;50,"Senior",
TRUE,"Super Senior"
)</f>
        <v>Middle Age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 s="1">
        <v>43769</v>
      </c>
      <c r="P1589" s="1">
        <v>38907</v>
      </c>
      <c r="Q1589" s="1">
        <v>36111</v>
      </c>
      <c r="R1589" s="1">
        <v>32723</v>
      </c>
      <c r="S1589" s="1">
        <v>26946</v>
      </c>
      <c r="T1589" s="1">
        <v>26439</v>
      </c>
      <c r="U1589" s="1">
        <v>2018</v>
      </c>
      <c r="V1589" s="1">
        <v>1520</v>
      </c>
      <c r="W1589" s="1">
        <v>1131</v>
      </c>
      <c r="X1589" s="1">
        <v>1005</v>
      </c>
      <c r="Y1589" s="1">
        <v>1107</v>
      </c>
      <c r="Z1589" s="1">
        <v>1019</v>
      </c>
      <c r="AA1589">
        <v>0</v>
      </c>
      <c r="AB1589" t="str">
        <f t="shared" si="24"/>
        <v>Not Defaulter</v>
      </c>
      <c r="AC1589" s="1">
        <f>Table2[[#This Row],[BILL_AMT1]]-Table2[[#This Row],[PAY_AMT1]]</f>
        <v>41751</v>
      </c>
      <c r="AD1589" s="1" t="str" cm="1">
        <f t="array" ref="AD1589">_xlfn.IFS(Table2[[#This Row],[PAYMENT GAP]]&lt;=0,"No Gap / Overpaid",Table2[[#This Row],[PAYMENT GAP]]&lt;=25000,"Low Gap",Table2[[#This Row],[PAYMENT GAP]]&lt;=100000,"Medium Gap",
TRUE,"High Gap"
)</f>
        <v>Medium Gap</v>
      </c>
    </row>
    <row r="1590" spans="1:30" x14ac:dyDescent="0.3">
      <c r="A1590">
        <v>1589</v>
      </c>
      <c r="B1590" s="1">
        <v>450000</v>
      </c>
      <c r="C1590" s="1" t="str" cm="1">
        <f t="array" ref="C1590">_xlfn.IFS(Table2[[#This Row],[LIMIT_BAL]]&lt;=100000,"Low",Table2[[#This Row],[LIMIT_BAL]]&lt;=300000,"Medium",
TRUE,"High"
)</f>
        <v>High</v>
      </c>
      <c r="D1590" t="s">
        <v>2041</v>
      </c>
      <c r="E1590" t="s">
        <v>2043</v>
      </c>
      <c r="F1590" t="s">
        <v>2029</v>
      </c>
      <c r="G1590">
        <v>36</v>
      </c>
      <c r="H1590" t="str" cm="1">
        <f t="array" ref="H1590">_xlfn.IFS(
Table2[[#This Row],[AGE]]&lt;30,"Young",
Table2[[#This Row],[AGE]]&lt;40,"Middle Age",
Table2[[#This Row],[AGE]]&lt;50,"Senior",
TRUE,"Super Senior"
)</f>
        <v>Middle Age</v>
      </c>
      <c r="I1590">
        <v>-1</v>
      </c>
      <c r="J1590">
        <v>-1</v>
      </c>
      <c r="K1590">
        <v>-1</v>
      </c>
      <c r="L1590">
        <v>-1</v>
      </c>
      <c r="M1590">
        <v>-1</v>
      </c>
      <c r="N1590">
        <v>-1</v>
      </c>
      <c r="O1590" s="1">
        <v>13500</v>
      </c>
      <c r="P1590" s="1">
        <v>6350</v>
      </c>
      <c r="Q1590" s="1">
        <v>11670</v>
      </c>
      <c r="R1590" s="1">
        <v>1530</v>
      </c>
      <c r="S1590" s="1">
        <v>1232</v>
      </c>
      <c r="T1590" s="1">
        <v>201</v>
      </c>
      <c r="U1590" s="1">
        <v>6364</v>
      </c>
      <c r="V1590" s="1">
        <v>11728</v>
      </c>
      <c r="W1590" s="1">
        <v>1532</v>
      </c>
      <c r="X1590" s="1">
        <v>1234</v>
      </c>
      <c r="Y1590" s="1">
        <v>201</v>
      </c>
      <c r="Z1590" s="1">
        <v>3</v>
      </c>
      <c r="AA1590">
        <v>0</v>
      </c>
      <c r="AB1590" t="str">
        <f t="shared" si="24"/>
        <v>Not Defaulter</v>
      </c>
      <c r="AC1590" s="1">
        <f>Table2[[#This Row],[BILL_AMT1]]-Table2[[#This Row],[PAY_AMT1]]</f>
        <v>7136</v>
      </c>
      <c r="AD1590" s="1" t="str" cm="1">
        <f t="array" ref="AD1590">_xlfn.IFS(Table2[[#This Row],[PAYMENT GAP]]&lt;=0,"No Gap / Overpaid",Table2[[#This Row],[PAYMENT GAP]]&lt;=25000,"Low Gap",Table2[[#This Row],[PAYMENT GAP]]&lt;=100000,"Medium Gap",
TRUE,"High Gap"
)</f>
        <v>Low Gap</v>
      </c>
    </row>
    <row r="1591" spans="1:30" x14ac:dyDescent="0.3">
      <c r="A1591">
        <v>1590</v>
      </c>
      <c r="B1591" s="1">
        <v>80000</v>
      </c>
      <c r="C1591" s="1" t="str" cm="1">
        <f t="array" ref="C1591">_xlfn.IFS(Table2[[#This Row],[LIMIT_BAL]]&lt;=100000,"Low",Table2[[#This Row],[LIMIT_BAL]]&lt;=300000,"Medium",
TRUE,"High"
)</f>
        <v>Low</v>
      </c>
      <c r="D1591" t="s">
        <v>2041</v>
      </c>
      <c r="E1591" t="s">
        <v>2043</v>
      </c>
      <c r="F1591" t="s">
        <v>2028</v>
      </c>
      <c r="G1591">
        <v>50</v>
      </c>
      <c r="H1591" t="str" cm="1">
        <f t="array" ref="H1591">_xlfn.IFS(
Table2[[#This Row],[AGE]]&lt;30,"Young",
Table2[[#This Row],[AGE]]&lt;40,"Middle Age",
Table2[[#This Row],[AGE]]&lt;50,"Senior",
TRUE,"Super Senior"
)</f>
        <v>Super Senior</v>
      </c>
      <c r="I1591">
        <v>-1</v>
      </c>
      <c r="J1591">
        <v>-1</v>
      </c>
      <c r="K1591">
        <v>-1</v>
      </c>
      <c r="L1591">
        <v>0</v>
      </c>
      <c r="M1591">
        <v>0</v>
      </c>
      <c r="N1591">
        <v>0</v>
      </c>
      <c r="O1591" s="1">
        <v>2587</v>
      </c>
      <c r="P1591" s="1">
        <v>2587</v>
      </c>
      <c r="Q1591" s="1">
        <v>50097</v>
      </c>
      <c r="R1591" s="1">
        <v>48753</v>
      </c>
      <c r="S1591" s="1">
        <v>50000</v>
      </c>
      <c r="T1591" s="1">
        <v>49209</v>
      </c>
      <c r="U1591" s="1">
        <v>2587</v>
      </c>
      <c r="V1591" s="1">
        <v>50097</v>
      </c>
      <c r="W1591" s="1">
        <v>2000</v>
      </c>
      <c r="X1591" s="1">
        <v>2000</v>
      </c>
      <c r="Y1591" s="1">
        <v>1933</v>
      </c>
      <c r="Z1591" s="1">
        <v>1700</v>
      </c>
      <c r="AA1591">
        <v>0</v>
      </c>
      <c r="AB1591" t="str">
        <f t="shared" si="24"/>
        <v>Not Defaulter</v>
      </c>
      <c r="AC1591" s="1">
        <f>Table2[[#This Row],[BILL_AMT1]]-Table2[[#This Row],[PAY_AMT1]]</f>
        <v>0</v>
      </c>
      <c r="AD1591" s="1" t="str" cm="1">
        <f t="array" ref="AD1591">_xlfn.IFS(Table2[[#This Row],[PAYMENT GAP]]&lt;=0,"No Gap / Overpaid",Table2[[#This Row],[PAYMENT GAP]]&lt;=25000,"Low Gap",Table2[[#This Row],[PAYMENT GAP]]&lt;=100000,"Medium Gap",
TRUE,"High Gap"
)</f>
        <v>No Gap / Overpaid</v>
      </c>
    </row>
    <row r="1592" spans="1:30" x14ac:dyDescent="0.3">
      <c r="A1592">
        <v>1591</v>
      </c>
      <c r="B1592" s="1">
        <v>50000</v>
      </c>
      <c r="C1592" s="1" t="str" cm="1">
        <f t="array" ref="C1592">_xlfn.IFS(Table2[[#This Row],[LIMIT_BAL]]&lt;=100000,"Low",Table2[[#This Row],[LIMIT_BAL]]&lt;=300000,"Medium",
TRUE,"High"
)</f>
        <v>Low</v>
      </c>
      <c r="D1592" t="s">
        <v>2041</v>
      </c>
      <c r="E1592" t="s">
        <v>2027</v>
      </c>
      <c r="F1592" t="s">
        <v>2028</v>
      </c>
      <c r="G1592">
        <v>48</v>
      </c>
      <c r="H1592" t="str" cm="1">
        <f t="array" ref="H1592">_xlfn.IFS(
Table2[[#This Row],[AGE]]&lt;30,"Young",
Table2[[#This Row],[AGE]]&lt;40,"Middle Age",
Table2[[#This Row],[AGE]]&lt;50,"Senior",
TRUE,"Super Senior"
)</f>
        <v>Senior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 s="1">
        <v>4064</v>
      </c>
      <c r="P1592" s="1">
        <v>5987</v>
      </c>
      <c r="Q1592" s="1">
        <v>7719</v>
      </c>
      <c r="R1592" s="1">
        <v>8588</v>
      </c>
      <c r="S1592" s="1">
        <v>9291</v>
      </c>
      <c r="T1592" s="1">
        <v>11127</v>
      </c>
      <c r="U1592" s="1">
        <v>2000</v>
      </c>
      <c r="V1592" s="1">
        <v>2000</v>
      </c>
      <c r="W1592" s="1">
        <v>1000</v>
      </c>
      <c r="X1592" s="1">
        <v>1000</v>
      </c>
      <c r="Y1592" s="1">
        <v>2000</v>
      </c>
      <c r="Z1592" s="1">
        <v>2000</v>
      </c>
      <c r="AA1592">
        <v>0</v>
      </c>
      <c r="AB1592" t="str">
        <f t="shared" si="24"/>
        <v>Not Defaulter</v>
      </c>
      <c r="AC1592" s="1">
        <f>Table2[[#This Row],[BILL_AMT1]]-Table2[[#This Row],[PAY_AMT1]]</f>
        <v>2064</v>
      </c>
      <c r="AD1592" s="1" t="str" cm="1">
        <f t="array" ref="AD1592">_xlfn.IFS(Table2[[#This Row],[PAYMENT GAP]]&lt;=0,"No Gap / Overpaid",Table2[[#This Row],[PAYMENT GAP]]&lt;=25000,"Low Gap",Table2[[#This Row],[PAYMENT GAP]]&lt;=100000,"Medium Gap",
TRUE,"High Gap"
)</f>
        <v>Low Gap</v>
      </c>
    </row>
    <row r="1593" spans="1:30" x14ac:dyDescent="0.3">
      <c r="A1593">
        <v>1592</v>
      </c>
      <c r="B1593" s="1">
        <v>50000</v>
      </c>
      <c r="C1593" s="1" t="str" cm="1">
        <f t="array" ref="C1593">_xlfn.IFS(Table2[[#This Row],[LIMIT_BAL]]&lt;=100000,"Low",Table2[[#This Row],[LIMIT_BAL]]&lt;=300000,"Medium",
TRUE,"High"
)</f>
        <v>Low</v>
      </c>
      <c r="D1593" t="s">
        <v>2041</v>
      </c>
      <c r="E1593" t="s">
        <v>2043</v>
      </c>
      <c r="F1593" t="s">
        <v>2029</v>
      </c>
      <c r="G1593">
        <v>33</v>
      </c>
      <c r="H1593" t="str" cm="1">
        <f t="array" ref="H1593">_xlfn.IFS(
Table2[[#This Row],[AGE]]&lt;30,"Young",
Table2[[#This Row],[AGE]]&lt;40,"Middle Age",
Table2[[#This Row],[AGE]]&lt;50,"Senior",
TRUE,"Super Senior"
)</f>
        <v>Middle Age</v>
      </c>
      <c r="I1593">
        <v>1</v>
      </c>
      <c r="J1593">
        <v>2</v>
      </c>
      <c r="K1593">
        <v>2</v>
      </c>
      <c r="L1593">
        <v>0</v>
      </c>
      <c r="M1593">
        <v>0</v>
      </c>
      <c r="N1593">
        <v>0</v>
      </c>
      <c r="O1593" s="1">
        <v>49617</v>
      </c>
      <c r="P1593" s="1">
        <v>50352</v>
      </c>
      <c r="Q1593" s="1">
        <v>49243</v>
      </c>
      <c r="R1593" s="1">
        <v>49819</v>
      </c>
      <c r="S1593" s="1">
        <v>19324</v>
      </c>
      <c r="T1593" s="1">
        <v>20103</v>
      </c>
      <c r="U1593" s="1">
        <v>1813</v>
      </c>
      <c r="V1593" s="1">
        <v>0</v>
      </c>
      <c r="W1593" s="1">
        <v>2169</v>
      </c>
      <c r="X1593" s="1">
        <v>702</v>
      </c>
      <c r="Y1593" s="1">
        <v>1101</v>
      </c>
      <c r="Z1593" s="1">
        <v>529</v>
      </c>
      <c r="AA1593">
        <v>0</v>
      </c>
      <c r="AB1593" t="str">
        <f t="shared" si="24"/>
        <v>Not Defaulter</v>
      </c>
      <c r="AC1593" s="1">
        <f>Table2[[#This Row],[BILL_AMT1]]-Table2[[#This Row],[PAY_AMT1]]</f>
        <v>47804</v>
      </c>
      <c r="AD1593" s="1" t="str" cm="1">
        <f t="array" ref="AD1593">_xlfn.IFS(Table2[[#This Row],[PAYMENT GAP]]&lt;=0,"No Gap / Overpaid",Table2[[#This Row],[PAYMENT GAP]]&lt;=25000,"Low Gap",Table2[[#This Row],[PAYMENT GAP]]&lt;=100000,"Medium Gap",
TRUE,"High Gap"
)</f>
        <v>Medium Gap</v>
      </c>
    </row>
    <row r="1594" spans="1:30" x14ac:dyDescent="0.3">
      <c r="A1594">
        <v>1593</v>
      </c>
      <c r="B1594" s="1">
        <v>180000</v>
      </c>
      <c r="C1594" s="1" t="str" cm="1">
        <f t="array" ref="C1594">_xlfn.IFS(Table2[[#This Row],[LIMIT_BAL]]&lt;=100000,"Low",Table2[[#This Row],[LIMIT_BAL]]&lt;=300000,"Medium",
TRUE,"High"
)</f>
        <v>Medium</v>
      </c>
      <c r="D1594" t="s">
        <v>2042</v>
      </c>
      <c r="E1594" t="s">
        <v>2043</v>
      </c>
      <c r="F1594" t="s">
        <v>2028</v>
      </c>
      <c r="G1594">
        <v>44</v>
      </c>
      <c r="H1594" t="str" cm="1">
        <f t="array" ref="H1594">_xlfn.IFS(
Table2[[#This Row],[AGE]]&lt;30,"Young",
Table2[[#This Row],[AGE]]&lt;40,"Middle Age",
Table2[[#This Row],[AGE]]&lt;50,"Senior",
TRUE,"Super Senior"
)</f>
        <v>Senior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 s="1">
        <v>70721</v>
      </c>
      <c r="P1594" s="1">
        <v>69994</v>
      </c>
      <c r="Q1594" s="1">
        <v>70204</v>
      </c>
      <c r="R1594" s="1">
        <v>70238</v>
      </c>
      <c r="S1594" s="1">
        <v>73296</v>
      </c>
      <c r="T1594" s="1">
        <v>73369</v>
      </c>
      <c r="U1594" s="1">
        <v>8000</v>
      </c>
      <c r="V1594" s="1">
        <v>3000</v>
      </c>
      <c r="W1594" s="1">
        <v>3000</v>
      </c>
      <c r="X1594" s="1">
        <v>5000</v>
      </c>
      <c r="Y1594" s="1">
        <v>2595</v>
      </c>
      <c r="Z1594" s="1">
        <v>3000</v>
      </c>
      <c r="AA1594">
        <v>0</v>
      </c>
      <c r="AB1594" t="str">
        <f t="shared" si="24"/>
        <v>Not Defaulter</v>
      </c>
      <c r="AC1594" s="1">
        <f>Table2[[#This Row],[BILL_AMT1]]-Table2[[#This Row],[PAY_AMT1]]</f>
        <v>62721</v>
      </c>
      <c r="AD1594" s="1" t="str" cm="1">
        <f t="array" ref="AD1594">_xlfn.IFS(Table2[[#This Row],[PAYMENT GAP]]&lt;=0,"No Gap / Overpaid",Table2[[#This Row],[PAYMENT GAP]]&lt;=25000,"Low Gap",Table2[[#This Row],[PAYMENT GAP]]&lt;=100000,"Medium Gap",
TRUE,"High Gap"
)</f>
        <v>Medium Gap</v>
      </c>
    </row>
    <row r="1595" spans="1:30" x14ac:dyDescent="0.3">
      <c r="A1595">
        <v>1594</v>
      </c>
      <c r="B1595" s="1">
        <v>240000</v>
      </c>
      <c r="C1595" s="1" t="str" cm="1">
        <f t="array" ref="C1595">_xlfn.IFS(Table2[[#This Row],[LIMIT_BAL]]&lt;=100000,"Low",Table2[[#This Row],[LIMIT_BAL]]&lt;=300000,"Medium",
TRUE,"High"
)</f>
        <v>Medium</v>
      </c>
      <c r="D1595" t="s">
        <v>2042</v>
      </c>
      <c r="E1595" t="s">
        <v>2026</v>
      </c>
      <c r="F1595" t="s">
        <v>2029</v>
      </c>
      <c r="G1595">
        <v>35</v>
      </c>
      <c r="H1595" t="str" cm="1">
        <f t="array" ref="H1595">_xlfn.IFS(
Table2[[#This Row],[AGE]]&lt;30,"Young",
Table2[[#This Row],[AGE]]&lt;40,"Middle Age",
Table2[[#This Row],[AGE]]&lt;50,"Senior",
TRUE,"Super Senior"
)</f>
        <v>Middle Age</v>
      </c>
      <c r="I1595">
        <v>-2</v>
      </c>
      <c r="J1595">
        <v>-2</v>
      </c>
      <c r="K1595">
        <v>-2</v>
      </c>
      <c r="L1595">
        <v>-2</v>
      </c>
      <c r="M1595">
        <v>-1</v>
      </c>
      <c r="N1595">
        <v>-1</v>
      </c>
      <c r="O1595" s="1">
        <v>15432</v>
      </c>
      <c r="P1595" s="1">
        <v>10835</v>
      </c>
      <c r="Q1595" s="1">
        <v>22134</v>
      </c>
      <c r="R1595" s="1">
        <v>32823</v>
      </c>
      <c r="S1595" s="1">
        <v>1897</v>
      </c>
      <c r="T1595" s="1">
        <v>5627</v>
      </c>
      <c r="U1595" s="1">
        <v>10851</v>
      </c>
      <c r="V1595" s="1">
        <v>22258</v>
      </c>
      <c r="W1595" s="1">
        <v>20076</v>
      </c>
      <c r="X1595" s="1">
        <v>2099</v>
      </c>
      <c r="Y1595" s="1">
        <v>5827</v>
      </c>
      <c r="Z1595" s="1">
        <v>0</v>
      </c>
      <c r="AA1595">
        <v>0</v>
      </c>
      <c r="AB1595" t="str">
        <f t="shared" si="24"/>
        <v>Not Defaulter</v>
      </c>
      <c r="AC1595" s="1">
        <f>Table2[[#This Row],[BILL_AMT1]]-Table2[[#This Row],[PAY_AMT1]]</f>
        <v>4581</v>
      </c>
      <c r="AD1595" s="1" t="str" cm="1">
        <f t="array" ref="AD1595">_xlfn.IFS(Table2[[#This Row],[PAYMENT GAP]]&lt;=0,"No Gap / Overpaid",Table2[[#This Row],[PAYMENT GAP]]&lt;=25000,"Low Gap",Table2[[#This Row],[PAYMENT GAP]]&lt;=100000,"Medium Gap",
TRUE,"High Gap"
)</f>
        <v>Low Gap</v>
      </c>
    </row>
    <row r="1596" spans="1:30" x14ac:dyDescent="0.3">
      <c r="A1596">
        <v>1595</v>
      </c>
      <c r="B1596" s="1">
        <v>320000</v>
      </c>
      <c r="C1596" s="1" t="str" cm="1">
        <f t="array" ref="C1596">_xlfn.IFS(Table2[[#This Row],[LIMIT_BAL]]&lt;=100000,"Low",Table2[[#This Row],[LIMIT_BAL]]&lt;=300000,"Medium",
TRUE,"High"
)</f>
        <v>High</v>
      </c>
      <c r="D1596" t="s">
        <v>2041</v>
      </c>
      <c r="E1596" t="s">
        <v>2027</v>
      </c>
      <c r="F1596" t="s">
        <v>2029</v>
      </c>
      <c r="G1596">
        <v>29</v>
      </c>
      <c r="H1596" t="str" cm="1">
        <f t="array" ref="H1596">_xlfn.IFS(
Table2[[#This Row],[AGE]]&lt;30,"Young",
Table2[[#This Row],[AGE]]&lt;40,"Middle Age",
Table2[[#This Row],[AGE]]&lt;50,"Senior",
TRUE,"Super Senior"
)</f>
        <v>Young</v>
      </c>
      <c r="I1596">
        <v>-1</v>
      </c>
      <c r="J1596">
        <v>-1</v>
      </c>
      <c r="K1596">
        <v>-1</v>
      </c>
      <c r="L1596">
        <v>-2</v>
      </c>
      <c r="M1596">
        <v>-2</v>
      </c>
      <c r="N1596">
        <v>-1</v>
      </c>
      <c r="O1596" s="1">
        <v>500</v>
      </c>
      <c r="P1596" s="1">
        <v>500</v>
      </c>
      <c r="Q1596" s="1">
        <v>0</v>
      </c>
      <c r="R1596" s="1">
        <v>0</v>
      </c>
      <c r="S1596" s="1">
        <v>0</v>
      </c>
      <c r="T1596" s="1">
        <v>2900</v>
      </c>
      <c r="U1596" s="1">
        <v>500</v>
      </c>
      <c r="V1596" s="1">
        <v>0</v>
      </c>
      <c r="W1596" s="1">
        <v>0</v>
      </c>
      <c r="X1596" s="1">
        <v>0</v>
      </c>
      <c r="Y1596" s="1">
        <v>2900</v>
      </c>
      <c r="Z1596" s="1">
        <v>0</v>
      </c>
      <c r="AA1596">
        <v>0</v>
      </c>
      <c r="AB1596" t="str">
        <f t="shared" si="24"/>
        <v>Not Defaulter</v>
      </c>
      <c r="AC1596" s="1">
        <f>Table2[[#This Row],[BILL_AMT1]]-Table2[[#This Row],[PAY_AMT1]]</f>
        <v>0</v>
      </c>
      <c r="AD1596" s="1" t="str" cm="1">
        <f t="array" ref="AD1596">_xlfn.IFS(Table2[[#This Row],[PAYMENT GAP]]&lt;=0,"No Gap / Overpaid",Table2[[#This Row],[PAYMENT GAP]]&lt;=25000,"Low Gap",Table2[[#This Row],[PAYMENT GAP]]&lt;=100000,"Medium Gap",
TRUE,"High Gap"
)</f>
        <v>No Gap / Overpaid</v>
      </c>
    </row>
    <row r="1597" spans="1:30" x14ac:dyDescent="0.3">
      <c r="A1597">
        <v>1596</v>
      </c>
      <c r="B1597" s="1">
        <v>480000</v>
      </c>
      <c r="C1597" s="1" t="str" cm="1">
        <f t="array" ref="C1597">_xlfn.IFS(Table2[[#This Row],[LIMIT_BAL]]&lt;=100000,"Low",Table2[[#This Row],[LIMIT_BAL]]&lt;=300000,"Medium",
TRUE,"High"
)</f>
        <v>High</v>
      </c>
      <c r="D1597" t="s">
        <v>2041</v>
      </c>
      <c r="E1597" t="s">
        <v>2043</v>
      </c>
      <c r="F1597" t="s">
        <v>2028</v>
      </c>
      <c r="G1597">
        <v>35</v>
      </c>
      <c r="H1597" t="str" cm="1">
        <f t="array" ref="H1597">_xlfn.IFS(
Table2[[#This Row],[AGE]]&lt;30,"Young",
Table2[[#This Row],[AGE]]&lt;40,"Middle Age",
Table2[[#This Row],[AGE]]&lt;50,"Senior",
TRUE,"Super Senior"
)</f>
        <v>Middle Age</v>
      </c>
      <c r="I1597">
        <v>-1</v>
      </c>
      <c r="J1597">
        <v>2</v>
      </c>
      <c r="K1597">
        <v>-1</v>
      </c>
      <c r="L1597">
        <v>-1</v>
      </c>
      <c r="M1597">
        <v>2</v>
      </c>
      <c r="N1597">
        <v>0</v>
      </c>
      <c r="O1597" s="1">
        <v>18214</v>
      </c>
      <c r="P1597" s="1">
        <v>11031</v>
      </c>
      <c r="Q1597" s="1">
        <v>182123</v>
      </c>
      <c r="R1597" s="1">
        <v>188956</v>
      </c>
      <c r="S1597" s="1">
        <v>179179</v>
      </c>
      <c r="T1597" s="1">
        <v>181746</v>
      </c>
      <c r="U1597" s="1">
        <v>0</v>
      </c>
      <c r="V1597" s="1">
        <v>182123</v>
      </c>
      <c r="W1597" s="1">
        <v>12960</v>
      </c>
      <c r="X1597" s="1">
        <v>0</v>
      </c>
      <c r="Y1597" s="1">
        <v>9000</v>
      </c>
      <c r="Z1597" s="1">
        <v>50000</v>
      </c>
      <c r="AA1597">
        <v>0</v>
      </c>
      <c r="AB1597" t="str">
        <f t="shared" si="24"/>
        <v>Not Defaulter</v>
      </c>
      <c r="AC1597" s="1">
        <f>Table2[[#This Row],[BILL_AMT1]]-Table2[[#This Row],[PAY_AMT1]]</f>
        <v>18214</v>
      </c>
      <c r="AD1597" s="1" t="str" cm="1">
        <f t="array" ref="AD1597">_xlfn.IFS(Table2[[#This Row],[PAYMENT GAP]]&lt;=0,"No Gap / Overpaid",Table2[[#This Row],[PAYMENT GAP]]&lt;=25000,"Low Gap",Table2[[#This Row],[PAYMENT GAP]]&lt;=100000,"Medium Gap",
TRUE,"High Gap"
)</f>
        <v>Low Gap</v>
      </c>
    </row>
    <row r="1598" spans="1:30" x14ac:dyDescent="0.3">
      <c r="A1598">
        <v>1597</v>
      </c>
      <c r="B1598" s="1">
        <v>150000</v>
      </c>
      <c r="C1598" s="1" t="str" cm="1">
        <f t="array" ref="C1598">_xlfn.IFS(Table2[[#This Row],[LIMIT_BAL]]&lt;=100000,"Low",Table2[[#This Row],[LIMIT_BAL]]&lt;=300000,"Medium",
TRUE,"High"
)</f>
        <v>Medium</v>
      </c>
      <c r="D1598" t="s">
        <v>2041</v>
      </c>
      <c r="E1598" t="s">
        <v>2043</v>
      </c>
      <c r="F1598" t="s">
        <v>2028</v>
      </c>
      <c r="G1598">
        <v>37</v>
      </c>
      <c r="H1598" t="str" cm="1">
        <f t="array" ref="H1598">_xlfn.IFS(
Table2[[#This Row],[AGE]]&lt;30,"Young",
Table2[[#This Row],[AGE]]&lt;40,"Middle Age",
Table2[[#This Row],[AGE]]&lt;50,"Senior",
TRUE,"Super Senior"
)</f>
        <v>Middle Age</v>
      </c>
      <c r="I1598">
        <v>-1</v>
      </c>
      <c r="J1598">
        <v>2</v>
      </c>
      <c r="K1598">
        <v>2</v>
      </c>
      <c r="L1598">
        <v>-2</v>
      </c>
      <c r="M1598">
        <v>-1</v>
      </c>
      <c r="N1598">
        <v>-1</v>
      </c>
      <c r="O1598" s="1">
        <v>1184</v>
      </c>
      <c r="P1598" s="1">
        <v>794</v>
      </c>
      <c r="Q1598" s="1">
        <v>2756</v>
      </c>
      <c r="R1598" s="1">
        <v>0</v>
      </c>
      <c r="S1598" s="1">
        <v>2430</v>
      </c>
      <c r="T1598" s="1">
        <v>4840</v>
      </c>
      <c r="U1598" s="1">
        <v>0</v>
      </c>
      <c r="V1598" s="1">
        <v>2772</v>
      </c>
      <c r="W1598" s="1">
        <v>0</v>
      </c>
      <c r="X1598" s="1">
        <v>2430</v>
      </c>
      <c r="Y1598" s="1">
        <v>4844</v>
      </c>
      <c r="Z1598" s="1">
        <v>0</v>
      </c>
      <c r="AA1598">
        <v>0</v>
      </c>
      <c r="AB1598" t="str">
        <f t="shared" si="24"/>
        <v>Not Defaulter</v>
      </c>
      <c r="AC1598" s="1">
        <f>Table2[[#This Row],[BILL_AMT1]]-Table2[[#This Row],[PAY_AMT1]]</f>
        <v>1184</v>
      </c>
      <c r="AD1598" s="1" t="str" cm="1">
        <f t="array" ref="AD1598">_xlfn.IFS(Table2[[#This Row],[PAYMENT GAP]]&lt;=0,"No Gap / Overpaid",Table2[[#This Row],[PAYMENT GAP]]&lt;=25000,"Low Gap",Table2[[#This Row],[PAYMENT GAP]]&lt;=100000,"Medium Gap",
TRUE,"High Gap"
)</f>
        <v>Low Gap</v>
      </c>
    </row>
    <row r="1599" spans="1:30" x14ac:dyDescent="0.3">
      <c r="A1599">
        <v>1598</v>
      </c>
      <c r="B1599" s="1">
        <v>110000</v>
      </c>
      <c r="C1599" s="1" t="str" cm="1">
        <f t="array" ref="C1599">_xlfn.IFS(Table2[[#This Row],[LIMIT_BAL]]&lt;=100000,"Low",Table2[[#This Row],[LIMIT_BAL]]&lt;=300000,"Medium",
TRUE,"High"
)</f>
        <v>Medium</v>
      </c>
      <c r="D1599" t="s">
        <v>2041</v>
      </c>
      <c r="E1599" t="s">
        <v>2026</v>
      </c>
      <c r="F1599" t="s">
        <v>2029</v>
      </c>
      <c r="G1599">
        <v>29</v>
      </c>
      <c r="H1599" t="str" cm="1">
        <f t="array" ref="H1599">_xlfn.IFS(
Table2[[#This Row],[AGE]]&lt;30,"Young",
Table2[[#This Row],[AGE]]&lt;40,"Middle Age",
Table2[[#This Row],[AGE]]&lt;50,"Senior",
TRUE,"Super Senior"
)</f>
        <v>Young</v>
      </c>
      <c r="I1599">
        <v>0</v>
      </c>
      <c r="J1599">
        <v>0</v>
      </c>
      <c r="K1599">
        <v>2</v>
      </c>
      <c r="L1599">
        <v>0</v>
      </c>
      <c r="M1599">
        <v>0</v>
      </c>
      <c r="N1599">
        <v>0</v>
      </c>
      <c r="O1599" s="1">
        <v>107195</v>
      </c>
      <c r="P1599" s="1">
        <v>109443</v>
      </c>
      <c r="Q1599" s="1">
        <v>106637</v>
      </c>
      <c r="R1599" s="1">
        <v>106665</v>
      </c>
      <c r="S1599" s="1">
        <v>92417</v>
      </c>
      <c r="T1599" s="1">
        <v>90730</v>
      </c>
      <c r="U1599" s="1">
        <v>7845</v>
      </c>
      <c r="V1599" s="1">
        <v>4000</v>
      </c>
      <c r="W1599" s="1">
        <v>4000</v>
      </c>
      <c r="X1599" s="1">
        <v>3500</v>
      </c>
      <c r="Y1599" s="1">
        <v>9500</v>
      </c>
      <c r="Z1599" s="1">
        <v>9600</v>
      </c>
      <c r="AA1599">
        <v>0</v>
      </c>
      <c r="AB1599" t="str">
        <f t="shared" si="24"/>
        <v>Not Defaulter</v>
      </c>
      <c r="AC1599" s="1">
        <f>Table2[[#This Row],[BILL_AMT1]]-Table2[[#This Row],[PAY_AMT1]]</f>
        <v>99350</v>
      </c>
      <c r="AD1599" s="1" t="str" cm="1">
        <f t="array" ref="AD1599">_xlfn.IFS(Table2[[#This Row],[PAYMENT GAP]]&lt;=0,"No Gap / Overpaid",Table2[[#This Row],[PAYMENT GAP]]&lt;=25000,"Low Gap",Table2[[#This Row],[PAYMENT GAP]]&lt;=100000,"Medium Gap",
TRUE,"High Gap"
)</f>
        <v>Medium Gap</v>
      </c>
    </row>
    <row r="1600" spans="1:30" x14ac:dyDescent="0.3">
      <c r="A1600">
        <v>1599</v>
      </c>
      <c r="B1600" s="1">
        <v>240000</v>
      </c>
      <c r="C1600" s="1" t="str" cm="1">
        <f t="array" ref="C1600">_xlfn.IFS(Table2[[#This Row],[LIMIT_BAL]]&lt;=100000,"Low",Table2[[#This Row],[LIMIT_BAL]]&lt;=300000,"Medium",
TRUE,"High"
)</f>
        <v>Medium</v>
      </c>
      <c r="D1600" t="s">
        <v>2042</v>
      </c>
      <c r="E1600" t="s">
        <v>2026</v>
      </c>
      <c r="F1600" t="s">
        <v>2029</v>
      </c>
      <c r="G1600">
        <v>30</v>
      </c>
      <c r="H1600" t="str" cm="1">
        <f t="array" ref="H1600">_xlfn.IFS(
Table2[[#This Row],[AGE]]&lt;30,"Young",
Table2[[#This Row],[AGE]]&lt;40,"Middle Age",
Table2[[#This Row],[AGE]]&lt;50,"Senior",
TRUE,"Super Senior"
)</f>
        <v>Middle Age</v>
      </c>
      <c r="I1600">
        <v>-1</v>
      </c>
      <c r="J1600">
        <v>-1</v>
      </c>
      <c r="K1600">
        <v>-1</v>
      </c>
      <c r="L1600">
        <v>0</v>
      </c>
      <c r="M1600">
        <v>0</v>
      </c>
      <c r="N1600">
        <v>0</v>
      </c>
      <c r="O1600" s="1">
        <v>7744</v>
      </c>
      <c r="P1600" s="1">
        <v>7284</v>
      </c>
      <c r="Q1600" s="1">
        <v>11234</v>
      </c>
      <c r="R1600" s="1">
        <v>15214</v>
      </c>
      <c r="S1600" s="1">
        <v>9107</v>
      </c>
      <c r="T1600" s="1">
        <v>5621</v>
      </c>
      <c r="U1600" s="1">
        <v>7305</v>
      </c>
      <c r="V1600" s="1">
        <v>11263</v>
      </c>
      <c r="W1600" s="1">
        <v>10018</v>
      </c>
      <c r="X1600" s="1">
        <v>21</v>
      </c>
      <c r="Y1600" s="1">
        <v>3637</v>
      </c>
      <c r="Z1600" s="1">
        <v>7008</v>
      </c>
      <c r="AA1600">
        <v>0</v>
      </c>
      <c r="AB1600" t="str">
        <f t="shared" si="24"/>
        <v>Not Defaulter</v>
      </c>
      <c r="AC1600" s="1">
        <f>Table2[[#This Row],[BILL_AMT1]]-Table2[[#This Row],[PAY_AMT1]]</f>
        <v>439</v>
      </c>
      <c r="AD1600" s="1" t="str" cm="1">
        <f t="array" ref="AD1600">_xlfn.IFS(Table2[[#This Row],[PAYMENT GAP]]&lt;=0,"No Gap / Overpaid",Table2[[#This Row],[PAYMENT GAP]]&lt;=25000,"Low Gap",Table2[[#This Row],[PAYMENT GAP]]&lt;=100000,"Medium Gap",
TRUE,"High Gap"
)</f>
        <v>Low Gap</v>
      </c>
    </row>
    <row r="1601" spans="1:30" x14ac:dyDescent="0.3">
      <c r="A1601">
        <v>1600</v>
      </c>
      <c r="B1601" s="1">
        <v>50000</v>
      </c>
      <c r="C1601" s="1" t="str" cm="1">
        <f t="array" ref="C1601">_xlfn.IFS(Table2[[#This Row],[LIMIT_BAL]]&lt;=100000,"Low",Table2[[#This Row],[LIMIT_BAL]]&lt;=300000,"Medium",
TRUE,"High"
)</f>
        <v>Low</v>
      </c>
      <c r="D1601" t="s">
        <v>2042</v>
      </c>
      <c r="E1601" t="s">
        <v>2026</v>
      </c>
      <c r="F1601" t="s">
        <v>2029</v>
      </c>
      <c r="G1601">
        <v>33</v>
      </c>
      <c r="H1601" t="str" cm="1">
        <f t="array" ref="H1601">_xlfn.IFS(
Table2[[#This Row],[AGE]]&lt;30,"Young",
Table2[[#This Row],[AGE]]&lt;40,"Middle Age",
Table2[[#This Row],[AGE]]&lt;50,"Senior",
TRUE,"Super Senior"
)</f>
        <v>Middle Age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 s="1">
        <v>47853</v>
      </c>
      <c r="P1601" s="1">
        <v>49474</v>
      </c>
      <c r="Q1601" s="1">
        <v>47822</v>
      </c>
      <c r="R1601" s="1">
        <v>8585</v>
      </c>
      <c r="S1601" s="1">
        <v>8797</v>
      </c>
      <c r="T1601" s="1">
        <v>9001</v>
      </c>
      <c r="U1601" s="1">
        <v>2412</v>
      </c>
      <c r="V1601" s="1">
        <v>1500</v>
      </c>
      <c r="W1601" s="1">
        <v>500</v>
      </c>
      <c r="X1601" s="1">
        <v>500</v>
      </c>
      <c r="Y1601" s="1">
        <v>500</v>
      </c>
      <c r="Z1601" s="1">
        <v>490</v>
      </c>
      <c r="AA1601">
        <v>1</v>
      </c>
      <c r="AB1601" t="str">
        <f t="shared" si="24"/>
        <v>Defaulter</v>
      </c>
      <c r="AC1601" s="1">
        <f>Table2[[#This Row],[BILL_AMT1]]-Table2[[#This Row],[PAY_AMT1]]</f>
        <v>45441</v>
      </c>
      <c r="AD1601" s="1" t="str" cm="1">
        <f t="array" ref="AD1601">_xlfn.IFS(Table2[[#This Row],[PAYMENT GAP]]&lt;=0,"No Gap / Overpaid",Table2[[#This Row],[PAYMENT GAP]]&lt;=25000,"Low Gap",Table2[[#This Row],[PAYMENT GAP]]&lt;=100000,"Medium Gap",
TRUE,"High Gap"
)</f>
        <v>Medium Gap</v>
      </c>
    </row>
    <row r="1602" spans="1:30" x14ac:dyDescent="0.3">
      <c r="A1602">
        <v>1601</v>
      </c>
      <c r="B1602" s="1">
        <v>120000</v>
      </c>
      <c r="C1602" s="1" t="str" cm="1">
        <f t="array" ref="C1602">_xlfn.IFS(Table2[[#This Row],[LIMIT_BAL]]&lt;=100000,"Low",Table2[[#This Row],[LIMIT_BAL]]&lt;=300000,"Medium",
TRUE,"High"
)</f>
        <v>Medium</v>
      </c>
      <c r="D1602" t="s">
        <v>2042</v>
      </c>
      <c r="E1602" t="s">
        <v>2043</v>
      </c>
      <c r="F1602" t="s">
        <v>2029</v>
      </c>
      <c r="G1602">
        <v>27</v>
      </c>
      <c r="H1602" t="str" cm="1">
        <f t="array" ref="H1602">_xlfn.IFS(
Table2[[#This Row],[AGE]]&lt;30,"Young",
Table2[[#This Row],[AGE]]&lt;40,"Middle Age",
Table2[[#This Row],[AGE]]&lt;50,"Senior",
TRUE,"Super Senior"
)</f>
        <v>Young</v>
      </c>
      <c r="I1602">
        <v>-1</v>
      </c>
      <c r="J1602">
        <v>-1</v>
      </c>
      <c r="K1602">
        <v>-1</v>
      </c>
      <c r="L1602">
        <v>-1</v>
      </c>
      <c r="M1602">
        <v>-1</v>
      </c>
      <c r="N1602">
        <v>-1</v>
      </c>
      <c r="O1602" s="1">
        <v>2474</v>
      </c>
      <c r="P1602" s="1">
        <v>2469</v>
      </c>
      <c r="Q1602" s="1">
        <v>2439</v>
      </c>
      <c r="R1602" s="1">
        <v>2439</v>
      </c>
      <c r="S1602" s="1">
        <v>2439</v>
      </c>
      <c r="T1602" s="1">
        <v>2116</v>
      </c>
      <c r="U1602" s="1">
        <v>2469</v>
      </c>
      <c r="V1602" s="1">
        <v>2439</v>
      </c>
      <c r="W1602" s="1">
        <v>2439</v>
      </c>
      <c r="X1602" s="1">
        <v>2439</v>
      </c>
      <c r="Y1602" s="1">
        <v>2116</v>
      </c>
      <c r="Z1602" s="1">
        <v>0</v>
      </c>
      <c r="AA1602">
        <v>0</v>
      </c>
      <c r="AB1602" t="str">
        <f t="shared" si="24"/>
        <v>Not Defaulter</v>
      </c>
      <c r="AC1602" s="1">
        <f>Table2[[#This Row],[BILL_AMT1]]-Table2[[#This Row],[PAY_AMT1]]</f>
        <v>5</v>
      </c>
      <c r="AD1602" s="1" t="str" cm="1">
        <f t="array" ref="AD1602">_xlfn.IFS(Table2[[#This Row],[PAYMENT GAP]]&lt;=0,"No Gap / Overpaid",Table2[[#This Row],[PAYMENT GAP]]&lt;=25000,"Low Gap",Table2[[#This Row],[PAYMENT GAP]]&lt;=100000,"Medium Gap",
TRUE,"High Gap"
)</f>
        <v>Low Gap</v>
      </c>
    </row>
    <row r="1603" spans="1:30" x14ac:dyDescent="0.3">
      <c r="A1603">
        <v>1602</v>
      </c>
      <c r="B1603" s="1">
        <v>150000</v>
      </c>
      <c r="C1603" s="1" t="str" cm="1">
        <f t="array" ref="C1603">_xlfn.IFS(Table2[[#This Row],[LIMIT_BAL]]&lt;=100000,"Low",Table2[[#This Row],[LIMIT_BAL]]&lt;=300000,"Medium",
TRUE,"High"
)</f>
        <v>Medium</v>
      </c>
      <c r="D1603" t="s">
        <v>2041</v>
      </c>
      <c r="E1603" t="s">
        <v>2026</v>
      </c>
      <c r="F1603" t="s">
        <v>2028</v>
      </c>
      <c r="G1603">
        <v>31</v>
      </c>
      <c r="H1603" t="str" cm="1">
        <f t="array" ref="H1603">_xlfn.IFS(
Table2[[#This Row],[AGE]]&lt;30,"Young",
Table2[[#This Row],[AGE]]&lt;40,"Middle Age",
Table2[[#This Row],[AGE]]&lt;50,"Senior",
TRUE,"Super Senior"
)</f>
        <v>Middle Age</v>
      </c>
      <c r="I1603">
        <v>1</v>
      </c>
      <c r="J1603">
        <v>-2</v>
      </c>
      <c r="K1603">
        <v>-2</v>
      </c>
      <c r="L1603">
        <v>-2</v>
      </c>
      <c r="M1603">
        <v>-2</v>
      </c>
      <c r="N1603">
        <v>-2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>
        <v>0</v>
      </c>
      <c r="AB1603" t="str">
        <f t="shared" ref="AB1603:AB1666" si="25">IF(AA1603=1,"Defaulter","Not Defaulter")</f>
        <v>Not Defaulter</v>
      </c>
      <c r="AC1603" s="1">
        <f>Table2[[#This Row],[BILL_AMT1]]-Table2[[#This Row],[PAY_AMT1]]</f>
        <v>0</v>
      </c>
      <c r="AD1603" s="1" t="str" cm="1">
        <f t="array" ref="AD1603">_xlfn.IFS(Table2[[#This Row],[PAYMENT GAP]]&lt;=0,"No Gap / Overpaid",Table2[[#This Row],[PAYMENT GAP]]&lt;=25000,"Low Gap",Table2[[#This Row],[PAYMENT GAP]]&lt;=100000,"Medium Gap",
TRUE,"High Gap"
)</f>
        <v>No Gap / Overpaid</v>
      </c>
    </row>
    <row r="1604" spans="1:30" x14ac:dyDescent="0.3">
      <c r="A1604">
        <v>1603</v>
      </c>
      <c r="B1604" s="1">
        <v>100000</v>
      </c>
      <c r="C1604" s="1" t="str" cm="1">
        <f t="array" ref="C1604">_xlfn.IFS(Table2[[#This Row],[LIMIT_BAL]]&lt;=100000,"Low",Table2[[#This Row],[LIMIT_BAL]]&lt;=300000,"Medium",
TRUE,"High"
)</f>
        <v>Low</v>
      </c>
      <c r="D1604" t="s">
        <v>2041</v>
      </c>
      <c r="E1604" t="s">
        <v>2027</v>
      </c>
      <c r="F1604" t="s">
        <v>2029</v>
      </c>
      <c r="G1604">
        <v>53</v>
      </c>
      <c r="H1604" t="str" cm="1">
        <f t="array" ref="H1604">_xlfn.IFS(
Table2[[#This Row],[AGE]]&lt;30,"Young",
Table2[[#This Row],[AGE]]&lt;40,"Middle Age",
Table2[[#This Row],[AGE]]&lt;50,"Senior",
TRUE,"Super Senior"
)</f>
        <v>Super Senior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 s="1">
        <v>101503</v>
      </c>
      <c r="P1604" s="1">
        <v>29880</v>
      </c>
      <c r="Q1604" s="1">
        <v>31119</v>
      </c>
      <c r="R1604" s="1">
        <v>58653</v>
      </c>
      <c r="S1604" s="1">
        <v>59477</v>
      </c>
      <c r="T1604" s="1">
        <v>60695</v>
      </c>
      <c r="U1604" s="1">
        <v>1538</v>
      </c>
      <c r="V1604" s="1">
        <v>1777</v>
      </c>
      <c r="W1604" s="1">
        <v>29103</v>
      </c>
      <c r="X1604" s="1">
        <v>2283</v>
      </c>
      <c r="Y1604" s="1">
        <v>2334</v>
      </c>
      <c r="Z1604" s="1">
        <v>2290</v>
      </c>
      <c r="AA1604">
        <v>0</v>
      </c>
      <c r="AB1604" t="str">
        <f t="shared" si="25"/>
        <v>Not Defaulter</v>
      </c>
      <c r="AC1604" s="1">
        <f>Table2[[#This Row],[BILL_AMT1]]-Table2[[#This Row],[PAY_AMT1]]</f>
        <v>99965</v>
      </c>
      <c r="AD1604" s="1" t="str" cm="1">
        <f t="array" ref="AD1604">_xlfn.IFS(Table2[[#This Row],[PAYMENT GAP]]&lt;=0,"No Gap / Overpaid",Table2[[#This Row],[PAYMENT GAP]]&lt;=25000,"Low Gap",Table2[[#This Row],[PAYMENT GAP]]&lt;=100000,"Medium Gap",
TRUE,"High Gap"
)</f>
        <v>Medium Gap</v>
      </c>
    </row>
    <row r="1605" spans="1:30" x14ac:dyDescent="0.3">
      <c r="A1605">
        <v>1604</v>
      </c>
      <c r="B1605" s="1">
        <v>260000</v>
      </c>
      <c r="C1605" s="1" t="str" cm="1">
        <f t="array" ref="C1605">_xlfn.IFS(Table2[[#This Row],[LIMIT_BAL]]&lt;=100000,"Low",Table2[[#This Row],[LIMIT_BAL]]&lt;=300000,"Medium",
TRUE,"High"
)</f>
        <v>Medium</v>
      </c>
      <c r="D1605" t="s">
        <v>2041</v>
      </c>
      <c r="E1605" t="s">
        <v>2043</v>
      </c>
      <c r="F1605" t="s">
        <v>2029</v>
      </c>
      <c r="G1605">
        <v>38</v>
      </c>
      <c r="H1605" t="str" cm="1">
        <f t="array" ref="H1605">_xlfn.IFS(
Table2[[#This Row],[AGE]]&lt;30,"Young",
Table2[[#This Row],[AGE]]&lt;40,"Middle Age",
Table2[[#This Row],[AGE]]&lt;50,"Senior",
TRUE,"Super Senior"
)</f>
        <v>Middle Age</v>
      </c>
      <c r="I1605">
        <v>-2</v>
      </c>
      <c r="J1605">
        <v>-2</v>
      </c>
      <c r="K1605">
        <v>-2</v>
      </c>
      <c r="L1605">
        <v>-2</v>
      </c>
      <c r="M1605">
        <v>-2</v>
      </c>
      <c r="N1605">
        <v>-2</v>
      </c>
      <c r="O1605" s="1">
        <v>-2</v>
      </c>
      <c r="P1605" s="1">
        <v>-2</v>
      </c>
      <c r="Q1605" s="1">
        <v>725</v>
      </c>
      <c r="R1605" s="1">
        <v>2074</v>
      </c>
      <c r="S1605" s="1">
        <v>0</v>
      </c>
      <c r="T1605" s="1">
        <v>585</v>
      </c>
      <c r="U1605" s="1">
        <v>0</v>
      </c>
      <c r="V1605" s="1">
        <v>727</v>
      </c>
      <c r="W1605" s="1">
        <v>2074</v>
      </c>
      <c r="X1605" s="1">
        <v>0</v>
      </c>
      <c r="Y1605" s="1">
        <v>585</v>
      </c>
      <c r="Z1605" s="1">
        <v>0</v>
      </c>
      <c r="AA1605">
        <v>0</v>
      </c>
      <c r="AB1605" t="str">
        <f t="shared" si="25"/>
        <v>Not Defaulter</v>
      </c>
      <c r="AC1605" s="1">
        <f>Table2[[#This Row],[BILL_AMT1]]-Table2[[#This Row],[PAY_AMT1]]</f>
        <v>-2</v>
      </c>
      <c r="AD1605" s="1" t="str" cm="1">
        <f t="array" ref="AD1605">_xlfn.IFS(Table2[[#This Row],[PAYMENT GAP]]&lt;=0,"No Gap / Overpaid",Table2[[#This Row],[PAYMENT GAP]]&lt;=25000,"Low Gap",Table2[[#This Row],[PAYMENT GAP]]&lt;=100000,"Medium Gap",
TRUE,"High Gap"
)</f>
        <v>No Gap / Overpaid</v>
      </c>
    </row>
    <row r="1606" spans="1:30" x14ac:dyDescent="0.3">
      <c r="A1606">
        <v>1605</v>
      </c>
      <c r="B1606" s="1">
        <v>250000</v>
      </c>
      <c r="C1606" s="1" t="str" cm="1">
        <f t="array" ref="C1606">_xlfn.IFS(Table2[[#This Row],[LIMIT_BAL]]&lt;=100000,"Low",Table2[[#This Row],[LIMIT_BAL]]&lt;=300000,"Medium",
TRUE,"High"
)</f>
        <v>Medium</v>
      </c>
      <c r="D1606" t="s">
        <v>2041</v>
      </c>
      <c r="E1606" t="s">
        <v>2043</v>
      </c>
      <c r="F1606" t="s">
        <v>2029</v>
      </c>
      <c r="G1606">
        <v>26</v>
      </c>
      <c r="H1606" t="str" cm="1">
        <f t="array" ref="H1606">_xlfn.IFS(
Table2[[#This Row],[AGE]]&lt;30,"Young",
Table2[[#This Row],[AGE]]&lt;40,"Middle Age",
Table2[[#This Row],[AGE]]&lt;50,"Senior",
TRUE,"Super Senior"
)</f>
        <v>Young</v>
      </c>
      <c r="I1606">
        <v>-2</v>
      </c>
      <c r="J1606">
        <v>-2</v>
      </c>
      <c r="K1606">
        <v>-2</v>
      </c>
      <c r="L1606">
        <v>-2</v>
      </c>
      <c r="M1606">
        <v>-2</v>
      </c>
      <c r="N1606">
        <v>-2</v>
      </c>
      <c r="O1606" s="1">
        <v>16884</v>
      </c>
      <c r="P1606" s="1">
        <v>10397</v>
      </c>
      <c r="Q1606" s="1">
        <v>5291</v>
      </c>
      <c r="R1606" s="1">
        <v>4671</v>
      </c>
      <c r="S1606" s="1">
        <v>4400</v>
      </c>
      <c r="T1606" s="1">
        <v>6011</v>
      </c>
      <c r="U1606" s="1">
        <v>2000</v>
      </c>
      <c r="V1606" s="1">
        <v>1000</v>
      </c>
      <c r="W1606" s="1">
        <v>1010</v>
      </c>
      <c r="X1606" s="1">
        <v>2000</v>
      </c>
      <c r="Y1606" s="1">
        <v>6011</v>
      </c>
      <c r="Z1606" s="1">
        <v>2325</v>
      </c>
      <c r="AA1606">
        <v>0</v>
      </c>
      <c r="AB1606" t="str">
        <f t="shared" si="25"/>
        <v>Not Defaulter</v>
      </c>
      <c r="AC1606" s="1">
        <f>Table2[[#This Row],[BILL_AMT1]]-Table2[[#This Row],[PAY_AMT1]]</f>
        <v>14884</v>
      </c>
      <c r="AD1606" s="1" t="str" cm="1">
        <f t="array" ref="AD1606">_xlfn.IFS(Table2[[#This Row],[PAYMENT GAP]]&lt;=0,"No Gap / Overpaid",Table2[[#This Row],[PAYMENT GAP]]&lt;=25000,"Low Gap",Table2[[#This Row],[PAYMENT GAP]]&lt;=100000,"Medium Gap",
TRUE,"High Gap"
)</f>
        <v>Low Gap</v>
      </c>
    </row>
    <row r="1607" spans="1:30" x14ac:dyDescent="0.3">
      <c r="A1607">
        <v>1606</v>
      </c>
      <c r="B1607" s="1">
        <v>100000</v>
      </c>
      <c r="C1607" s="1" t="str" cm="1">
        <f t="array" ref="C1607">_xlfn.IFS(Table2[[#This Row],[LIMIT_BAL]]&lt;=100000,"Low",Table2[[#This Row],[LIMIT_BAL]]&lt;=300000,"Medium",
TRUE,"High"
)</f>
        <v>Low</v>
      </c>
      <c r="D1607" t="s">
        <v>2041</v>
      </c>
      <c r="E1607" t="s">
        <v>2043</v>
      </c>
      <c r="F1607" t="s">
        <v>2029</v>
      </c>
      <c r="G1607">
        <v>26</v>
      </c>
      <c r="H1607" t="str" cm="1">
        <f t="array" ref="H1607">_xlfn.IFS(
Table2[[#This Row],[AGE]]&lt;30,"Young",
Table2[[#This Row],[AGE]]&lt;40,"Middle Age",
Table2[[#This Row],[AGE]]&lt;50,"Senior",
TRUE,"Super Senior"
)</f>
        <v>Young</v>
      </c>
      <c r="I1607">
        <v>0</v>
      </c>
      <c r="J1607">
        <v>0</v>
      </c>
      <c r="K1607">
        <v>-2</v>
      </c>
      <c r="L1607">
        <v>-2</v>
      </c>
      <c r="M1607">
        <v>-2</v>
      </c>
      <c r="N1607">
        <v>-1</v>
      </c>
      <c r="O1607" s="1">
        <v>9614</v>
      </c>
      <c r="P1607" s="1">
        <v>0</v>
      </c>
      <c r="Q1607" s="1">
        <v>0</v>
      </c>
      <c r="R1607" s="1">
        <v>0</v>
      </c>
      <c r="S1607" s="1">
        <v>0</v>
      </c>
      <c r="T1607" s="1">
        <v>16708</v>
      </c>
      <c r="U1607" s="1">
        <v>0</v>
      </c>
      <c r="V1607" s="1">
        <v>0</v>
      </c>
      <c r="W1607" s="1">
        <v>0</v>
      </c>
      <c r="X1607" s="1">
        <v>0</v>
      </c>
      <c r="Y1607" s="1">
        <v>16708</v>
      </c>
      <c r="Z1607" s="1">
        <v>2000</v>
      </c>
      <c r="AA1607">
        <v>0</v>
      </c>
      <c r="AB1607" t="str">
        <f t="shared" si="25"/>
        <v>Not Defaulter</v>
      </c>
      <c r="AC1607" s="1">
        <f>Table2[[#This Row],[BILL_AMT1]]-Table2[[#This Row],[PAY_AMT1]]</f>
        <v>9614</v>
      </c>
      <c r="AD1607" s="1" t="str" cm="1">
        <f t="array" ref="AD1607">_xlfn.IFS(Table2[[#This Row],[PAYMENT GAP]]&lt;=0,"No Gap / Overpaid",Table2[[#This Row],[PAYMENT GAP]]&lt;=25000,"Low Gap",Table2[[#This Row],[PAYMENT GAP]]&lt;=100000,"Medium Gap",
TRUE,"High Gap"
)</f>
        <v>Low Gap</v>
      </c>
    </row>
    <row r="1608" spans="1:30" x14ac:dyDescent="0.3">
      <c r="A1608">
        <v>1607</v>
      </c>
      <c r="B1608" s="1">
        <v>160000</v>
      </c>
      <c r="C1608" s="1" t="str" cm="1">
        <f t="array" ref="C1608">_xlfn.IFS(Table2[[#This Row],[LIMIT_BAL]]&lt;=100000,"Low",Table2[[#This Row],[LIMIT_BAL]]&lt;=300000,"Medium",
TRUE,"High"
)</f>
        <v>Medium</v>
      </c>
      <c r="D1608" t="s">
        <v>2042</v>
      </c>
      <c r="E1608" t="s">
        <v>2026</v>
      </c>
      <c r="F1608" t="s">
        <v>2028</v>
      </c>
      <c r="G1608">
        <v>51</v>
      </c>
      <c r="H1608" t="str" cm="1">
        <f t="array" ref="H1608">_xlfn.IFS(
Table2[[#This Row],[AGE]]&lt;30,"Young",
Table2[[#This Row],[AGE]]&lt;40,"Middle Age",
Table2[[#This Row],[AGE]]&lt;50,"Senior",
TRUE,"Super Senior"
)</f>
        <v>Super Senior</v>
      </c>
      <c r="I1608">
        <v>2</v>
      </c>
      <c r="J1608">
        <v>3</v>
      </c>
      <c r="K1608">
        <v>2</v>
      </c>
      <c r="L1608">
        <v>0</v>
      </c>
      <c r="M1608">
        <v>0</v>
      </c>
      <c r="N1608">
        <v>0</v>
      </c>
      <c r="O1608" s="1">
        <v>79244</v>
      </c>
      <c r="P1608" s="1">
        <v>77441</v>
      </c>
      <c r="Q1608" s="1">
        <v>75598</v>
      </c>
      <c r="R1608" s="1">
        <v>82277</v>
      </c>
      <c r="S1608" s="1">
        <v>84955</v>
      </c>
      <c r="T1608" s="1">
        <v>87549</v>
      </c>
      <c r="U1608" s="1">
        <v>0</v>
      </c>
      <c r="V1608" s="1">
        <v>0</v>
      </c>
      <c r="W1608" s="1">
        <v>8000</v>
      </c>
      <c r="X1608" s="1">
        <v>4000</v>
      </c>
      <c r="Y1608" s="1">
        <v>4000</v>
      </c>
      <c r="Z1608" s="1">
        <v>4000</v>
      </c>
      <c r="AA1608">
        <v>1</v>
      </c>
      <c r="AB1608" t="str">
        <f t="shared" si="25"/>
        <v>Defaulter</v>
      </c>
      <c r="AC1608" s="1">
        <f>Table2[[#This Row],[BILL_AMT1]]-Table2[[#This Row],[PAY_AMT1]]</f>
        <v>79244</v>
      </c>
      <c r="AD1608" s="1" t="str" cm="1">
        <f t="array" ref="AD1608">_xlfn.IFS(Table2[[#This Row],[PAYMENT GAP]]&lt;=0,"No Gap / Overpaid",Table2[[#This Row],[PAYMENT GAP]]&lt;=25000,"Low Gap",Table2[[#This Row],[PAYMENT GAP]]&lt;=100000,"Medium Gap",
TRUE,"High Gap"
)</f>
        <v>Medium Gap</v>
      </c>
    </row>
    <row r="1609" spans="1:30" x14ac:dyDescent="0.3">
      <c r="A1609">
        <v>1608</v>
      </c>
      <c r="B1609" s="1">
        <v>270000</v>
      </c>
      <c r="C1609" s="1" t="str" cm="1">
        <f t="array" ref="C1609">_xlfn.IFS(Table2[[#This Row],[LIMIT_BAL]]&lt;=100000,"Low",Table2[[#This Row],[LIMIT_BAL]]&lt;=300000,"Medium",
TRUE,"High"
)</f>
        <v>Medium</v>
      </c>
      <c r="D1609" t="s">
        <v>2041</v>
      </c>
      <c r="E1609" t="s">
        <v>2026</v>
      </c>
      <c r="F1609" t="s">
        <v>2028</v>
      </c>
      <c r="G1609">
        <v>37</v>
      </c>
      <c r="H1609" t="str" cm="1">
        <f t="array" ref="H1609">_xlfn.IFS(
Table2[[#This Row],[AGE]]&lt;30,"Young",
Table2[[#This Row],[AGE]]&lt;40,"Middle Age",
Table2[[#This Row],[AGE]]&lt;50,"Senior",
TRUE,"Super Senior"
)</f>
        <v>Middle Age</v>
      </c>
      <c r="I1609">
        <v>-1</v>
      </c>
      <c r="J1609">
        <v>-1</v>
      </c>
      <c r="K1609">
        <v>-1</v>
      </c>
      <c r="L1609">
        <v>-1</v>
      </c>
      <c r="M1609">
        <v>-1</v>
      </c>
      <c r="N1609">
        <v>-1</v>
      </c>
      <c r="O1609" s="1">
        <v>264</v>
      </c>
      <c r="P1609" s="1">
        <v>264</v>
      </c>
      <c r="Q1609" s="1">
        <v>1191</v>
      </c>
      <c r="R1609" s="1">
        <v>3691</v>
      </c>
      <c r="S1609" s="1">
        <v>3445</v>
      </c>
      <c r="T1609" s="1">
        <v>56264</v>
      </c>
      <c r="U1609" s="1">
        <v>264</v>
      </c>
      <c r="V1609" s="1">
        <v>1191</v>
      </c>
      <c r="W1609" s="1">
        <v>3691</v>
      </c>
      <c r="X1609" s="1">
        <v>3445</v>
      </c>
      <c r="Y1609" s="1">
        <v>56264</v>
      </c>
      <c r="Z1609" s="1">
        <v>953</v>
      </c>
      <c r="AA1609">
        <v>1</v>
      </c>
      <c r="AB1609" t="str">
        <f t="shared" si="25"/>
        <v>Defaulter</v>
      </c>
      <c r="AC1609" s="1">
        <f>Table2[[#This Row],[BILL_AMT1]]-Table2[[#This Row],[PAY_AMT1]]</f>
        <v>0</v>
      </c>
      <c r="AD1609" s="1" t="str" cm="1">
        <f t="array" ref="AD1609">_xlfn.IFS(Table2[[#This Row],[PAYMENT GAP]]&lt;=0,"No Gap / Overpaid",Table2[[#This Row],[PAYMENT GAP]]&lt;=25000,"Low Gap",Table2[[#This Row],[PAYMENT GAP]]&lt;=100000,"Medium Gap",
TRUE,"High Gap"
)</f>
        <v>No Gap / Overpaid</v>
      </c>
    </row>
    <row r="1610" spans="1:30" x14ac:dyDescent="0.3">
      <c r="A1610">
        <v>1609</v>
      </c>
      <c r="B1610" s="1">
        <v>390000</v>
      </c>
      <c r="C1610" s="1" t="str" cm="1">
        <f t="array" ref="C1610">_xlfn.IFS(Table2[[#This Row],[LIMIT_BAL]]&lt;=100000,"Low",Table2[[#This Row],[LIMIT_BAL]]&lt;=300000,"Medium",
TRUE,"High"
)</f>
        <v>High</v>
      </c>
      <c r="D1610" t="s">
        <v>2041</v>
      </c>
      <c r="E1610" t="s">
        <v>2043</v>
      </c>
      <c r="F1610" t="s">
        <v>2029</v>
      </c>
      <c r="G1610">
        <v>42</v>
      </c>
      <c r="H1610" t="str" cm="1">
        <f t="array" ref="H1610">_xlfn.IFS(
Table2[[#This Row],[AGE]]&lt;30,"Young",
Table2[[#This Row],[AGE]]&lt;40,"Middle Age",
Table2[[#This Row],[AGE]]&lt;50,"Senior",
TRUE,"Super Senior"
)</f>
        <v>Senior</v>
      </c>
      <c r="I1610">
        <v>-1</v>
      </c>
      <c r="J1610">
        <v>-1</v>
      </c>
      <c r="K1610">
        <v>0</v>
      </c>
      <c r="L1610">
        <v>0</v>
      </c>
      <c r="M1610">
        <v>0</v>
      </c>
      <c r="N1610">
        <v>0</v>
      </c>
      <c r="O1610" s="1">
        <v>5895</v>
      </c>
      <c r="P1610" s="1">
        <v>42006</v>
      </c>
      <c r="Q1610" s="1">
        <v>31192</v>
      </c>
      <c r="R1610" s="1">
        <v>13859</v>
      </c>
      <c r="S1610" s="1">
        <v>10078</v>
      </c>
      <c r="T1610" s="1">
        <v>4635</v>
      </c>
      <c r="U1610" s="1">
        <v>42016</v>
      </c>
      <c r="V1610" s="1">
        <v>1397</v>
      </c>
      <c r="W1610" s="1">
        <v>347</v>
      </c>
      <c r="X1610" s="1">
        <v>250</v>
      </c>
      <c r="Y1610" s="1">
        <v>145</v>
      </c>
      <c r="Z1610" s="1">
        <v>94</v>
      </c>
      <c r="AA1610">
        <v>0</v>
      </c>
      <c r="AB1610" t="str">
        <f t="shared" si="25"/>
        <v>Not Defaulter</v>
      </c>
      <c r="AC1610" s="1">
        <f>Table2[[#This Row],[BILL_AMT1]]-Table2[[#This Row],[PAY_AMT1]]</f>
        <v>-36121</v>
      </c>
      <c r="AD1610" s="1" t="str" cm="1">
        <f t="array" ref="AD1610">_xlfn.IFS(Table2[[#This Row],[PAYMENT GAP]]&lt;=0,"No Gap / Overpaid",Table2[[#This Row],[PAYMENT GAP]]&lt;=25000,"Low Gap",Table2[[#This Row],[PAYMENT GAP]]&lt;=100000,"Medium Gap",
TRUE,"High Gap"
)</f>
        <v>No Gap / Overpaid</v>
      </c>
    </row>
    <row r="1611" spans="1:30" x14ac:dyDescent="0.3">
      <c r="A1611">
        <v>1610</v>
      </c>
      <c r="B1611" s="1">
        <v>210000</v>
      </c>
      <c r="C1611" s="1" t="str" cm="1">
        <f t="array" ref="C1611">_xlfn.IFS(Table2[[#This Row],[LIMIT_BAL]]&lt;=100000,"Low",Table2[[#This Row],[LIMIT_BAL]]&lt;=300000,"Medium",
TRUE,"High"
)</f>
        <v>Medium</v>
      </c>
      <c r="D1611" t="s">
        <v>2041</v>
      </c>
      <c r="E1611" t="s">
        <v>2043</v>
      </c>
      <c r="F1611" t="s">
        <v>2028</v>
      </c>
      <c r="G1611">
        <v>43</v>
      </c>
      <c r="H1611" t="str" cm="1">
        <f t="array" ref="H1611">_xlfn.IFS(
Table2[[#This Row],[AGE]]&lt;30,"Young",
Table2[[#This Row],[AGE]]&lt;40,"Middle Age",
Table2[[#This Row],[AGE]]&lt;50,"Senior",
TRUE,"Super Senior"
)</f>
        <v>Senior</v>
      </c>
      <c r="I1611">
        <v>0</v>
      </c>
      <c r="J1611">
        <v>0</v>
      </c>
      <c r="K1611">
        <v>0</v>
      </c>
      <c r="L1611">
        <v>0</v>
      </c>
      <c r="M1611">
        <v>2</v>
      </c>
      <c r="N1611">
        <v>0</v>
      </c>
      <c r="O1611" s="1">
        <v>80527</v>
      </c>
      <c r="P1611" s="1">
        <v>82332</v>
      </c>
      <c r="Q1611" s="1">
        <v>84043</v>
      </c>
      <c r="R1611" s="1">
        <v>88508</v>
      </c>
      <c r="S1611" s="1">
        <v>85802</v>
      </c>
      <c r="T1611" s="1">
        <v>85280</v>
      </c>
      <c r="U1611" s="1">
        <v>4000</v>
      </c>
      <c r="V1611" s="1">
        <v>4000</v>
      </c>
      <c r="W1611" s="1">
        <v>7000</v>
      </c>
      <c r="X1611" s="1">
        <v>0</v>
      </c>
      <c r="Y1611" s="1">
        <v>3500</v>
      </c>
      <c r="Z1611" s="1">
        <v>7000</v>
      </c>
      <c r="AA1611">
        <v>0</v>
      </c>
      <c r="AB1611" t="str">
        <f t="shared" si="25"/>
        <v>Not Defaulter</v>
      </c>
      <c r="AC1611" s="1">
        <f>Table2[[#This Row],[BILL_AMT1]]-Table2[[#This Row],[PAY_AMT1]]</f>
        <v>76527</v>
      </c>
      <c r="AD1611" s="1" t="str" cm="1">
        <f t="array" ref="AD1611">_xlfn.IFS(Table2[[#This Row],[PAYMENT GAP]]&lt;=0,"No Gap / Overpaid",Table2[[#This Row],[PAYMENT GAP]]&lt;=25000,"Low Gap",Table2[[#This Row],[PAYMENT GAP]]&lt;=100000,"Medium Gap",
TRUE,"High Gap"
)</f>
        <v>Medium Gap</v>
      </c>
    </row>
    <row r="1612" spans="1:30" x14ac:dyDescent="0.3">
      <c r="A1612">
        <v>1611</v>
      </c>
      <c r="B1612" s="1">
        <v>30000</v>
      </c>
      <c r="C1612" s="1" t="str" cm="1">
        <f t="array" ref="C1612">_xlfn.IFS(Table2[[#This Row],[LIMIT_BAL]]&lt;=100000,"Low",Table2[[#This Row],[LIMIT_BAL]]&lt;=300000,"Medium",
TRUE,"High"
)</f>
        <v>Low</v>
      </c>
      <c r="D1612" t="s">
        <v>2041</v>
      </c>
      <c r="E1612" t="s">
        <v>2043</v>
      </c>
      <c r="F1612" t="s">
        <v>2029</v>
      </c>
      <c r="G1612">
        <v>23</v>
      </c>
      <c r="H1612" t="str" cm="1">
        <f t="array" ref="H1612">_xlfn.IFS(
Table2[[#This Row],[AGE]]&lt;30,"Young",
Table2[[#This Row],[AGE]]&lt;40,"Middle Age",
Table2[[#This Row],[AGE]]&lt;50,"Senior",
TRUE,"Super Senior"
)</f>
        <v>Young</v>
      </c>
      <c r="I1612">
        <v>0</v>
      </c>
      <c r="J1612">
        <v>0</v>
      </c>
      <c r="K1612">
        <v>0</v>
      </c>
      <c r="L1612">
        <v>2</v>
      </c>
      <c r="M1612">
        <v>0</v>
      </c>
      <c r="N1612">
        <v>0</v>
      </c>
      <c r="O1612" s="1">
        <v>24285</v>
      </c>
      <c r="P1612" s="1">
        <v>26143</v>
      </c>
      <c r="Q1612" s="1">
        <v>26929</v>
      </c>
      <c r="R1612" s="1">
        <v>19610</v>
      </c>
      <c r="S1612" s="1">
        <v>20591</v>
      </c>
      <c r="T1612" s="1">
        <v>19472</v>
      </c>
      <c r="U1612" s="1">
        <v>3002</v>
      </c>
      <c r="V1612" s="1">
        <v>2130</v>
      </c>
      <c r="W1612" s="1">
        <v>2</v>
      </c>
      <c r="X1612" s="1">
        <v>3004</v>
      </c>
      <c r="Y1612" s="1">
        <v>8013</v>
      </c>
      <c r="Z1612" s="1">
        <v>0</v>
      </c>
      <c r="AA1612">
        <v>0</v>
      </c>
      <c r="AB1612" t="str">
        <f t="shared" si="25"/>
        <v>Not Defaulter</v>
      </c>
      <c r="AC1612" s="1">
        <f>Table2[[#This Row],[BILL_AMT1]]-Table2[[#This Row],[PAY_AMT1]]</f>
        <v>21283</v>
      </c>
      <c r="AD1612" s="1" t="str" cm="1">
        <f t="array" ref="AD1612">_xlfn.IFS(Table2[[#This Row],[PAYMENT GAP]]&lt;=0,"No Gap / Overpaid",Table2[[#This Row],[PAYMENT GAP]]&lt;=25000,"Low Gap",Table2[[#This Row],[PAYMENT GAP]]&lt;=100000,"Medium Gap",
TRUE,"High Gap"
)</f>
        <v>Low Gap</v>
      </c>
    </row>
    <row r="1613" spans="1:30" x14ac:dyDescent="0.3">
      <c r="A1613">
        <v>1612</v>
      </c>
      <c r="B1613" s="1">
        <v>300000</v>
      </c>
      <c r="C1613" s="1" t="str" cm="1">
        <f t="array" ref="C1613">_xlfn.IFS(Table2[[#This Row],[LIMIT_BAL]]&lt;=100000,"Low",Table2[[#This Row],[LIMIT_BAL]]&lt;=300000,"Medium",
TRUE,"High"
)</f>
        <v>Medium</v>
      </c>
      <c r="D1613" t="s">
        <v>2041</v>
      </c>
      <c r="E1613" t="s">
        <v>2027</v>
      </c>
      <c r="F1613" t="s">
        <v>2028</v>
      </c>
      <c r="G1613">
        <v>30</v>
      </c>
      <c r="H1613" t="str" cm="1">
        <f t="array" ref="H1613">_xlfn.IFS(
Table2[[#This Row],[AGE]]&lt;30,"Young",
Table2[[#This Row],[AGE]]&lt;40,"Middle Age",
Table2[[#This Row],[AGE]]&lt;50,"Senior",
TRUE,"Super Senior"
)</f>
        <v>Middle Age</v>
      </c>
      <c r="I1613">
        <v>-1</v>
      </c>
      <c r="J1613">
        <v>-1</v>
      </c>
      <c r="K1613">
        <v>0</v>
      </c>
      <c r="L1613">
        <v>0</v>
      </c>
      <c r="M1613">
        <v>-1</v>
      </c>
      <c r="N1613">
        <v>-1</v>
      </c>
      <c r="O1613" s="1">
        <v>12090</v>
      </c>
      <c r="P1613" s="1">
        <v>15035</v>
      </c>
      <c r="Q1613" s="1">
        <v>25895</v>
      </c>
      <c r="R1613" s="1">
        <v>16416</v>
      </c>
      <c r="S1613" s="1">
        <v>3972</v>
      </c>
      <c r="T1613" s="1">
        <v>2200</v>
      </c>
      <c r="U1613" s="1">
        <v>15042</v>
      </c>
      <c r="V1613" s="1">
        <v>25500</v>
      </c>
      <c r="W1613" s="1">
        <v>6000</v>
      </c>
      <c r="X1613" s="1">
        <v>3972</v>
      </c>
      <c r="Y1613" s="1">
        <v>2200</v>
      </c>
      <c r="Z1613" s="1">
        <v>0</v>
      </c>
      <c r="AA1613">
        <v>0</v>
      </c>
      <c r="AB1613" t="str">
        <f t="shared" si="25"/>
        <v>Not Defaulter</v>
      </c>
      <c r="AC1613" s="1">
        <f>Table2[[#This Row],[BILL_AMT1]]-Table2[[#This Row],[PAY_AMT1]]</f>
        <v>-2952</v>
      </c>
      <c r="AD1613" s="1" t="str" cm="1">
        <f t="array" ref="AD1613">_xlfn.IFS(Table2[[#This Row],[PAYMENT GAP]]&lt;=0,"No Gap / Overpaid",Table2[[#This Row],[PAYMENT GAP]]&lt;=25000,"Low Gap",Table2[[#This Row],[PAYMENT GAP]]&lt;=100000,"Medium Gap",
TRUE,"High Gap"
)</f>
        <v>No Gap / Overpaid</v>
      </c>
    </row>
    <row r="1614" spans="1:30" x14ac:dyDescent="0.3">
      <c r="A1614">
        <v>1613</v>
      </c>
      <c r="B1614" s="1">
        <v>190000</v>
      </c>
      <c r="C1614" s="1" t="str" cm="1">
        <f t="array" ref="C1614">_xlfn.IFS(Table2[[#This Row],[LIMIT_BAL]]&lt;=100000,"Low",Table2[[#This Row],[LIMIT_BAL]]&lt;=300000,"Medium",
TRUE,"High"
)</f>
        <v>Medium</v>
      </c>
      <c r="D1614" t="s">
        <v>2041</v>
      </c>
      <c r="E1614" t="s">
        <v>2027</v>
      </c>
      <c r="F1614" t="s">
        <v>2028</v>
      </c>
      <c r="G1614">
        <v>38</v>
      </c>
      <c r="H1614" t="str" cm="1">
        <f t="array" ref="H1614">_xlfn.IFS(
Table2[[#This Row],[AGE]]&lt;30,"Young",
Table2[[#This Row],[AGE]]&lt;40,"Middle Age",
Table2[[#This Row],[AGE]]&lt;50,"Senior",
TRUE,"Super Senior"
)</f>
        <v>Middle Age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 s="1">
        <v>89619</v>
      </c>
      <c r="P1614" s="1">
        <v>103095</v>
      </c>
      <c r="Q1614" s="1">
        <v>110000</v>
      </c>
      <c r="R1614" s="1">
        <v>115674</v>
      </c>
      <c r="S1614" s="1">
        <v>121313</v>
      </c>
      <c r="T1614" s="1">
        <v>15538</v>
      </c>
      <c r="U1614" s="1">
        <v>15000</v>
      </c>
      <c r="V1614" s="1">
        <v>10000</v>
      </c>
      <c r="W1614" s="1">
        <v>5674</v>
      </c>
      <c r="X1614" s="1">
        <v>11313</v>
      </c>
      <c r="Y1614" s="1">
        <v>5538</v>
      </c>
      <c r="Z1614" s="1">
        <v>18272</v>
      </c>
      <c r="AA1614">
        <v>0</v>
      </c>
      <c r="AB1614" t="str">
        <f t="shared" si="25"/>
        <v>Not Defaulter</v>
      </c>
      <c r="AC1614" s="1">
        <f>Table2[[#This Row],[BILL_AMT1]]-Table2[[#This Row],[PAY_AMT1]]</f>
        <v>74619</v>
      </c>
      <c r="AD1614" s="1" t="str" cm="1">
        <f t="array" ref="AD1614">_xlfn.IFS(Table2[[#This Row],[PAYMENT GAP]]&lt;=0,"No Gap / Overpaid",Table2[[#This Row],[PAYMENT GAP]]&lt;=25000,"Low Gap",Table2[[#This Row],[PAYMENT GAP]]&lt;=100000,"Medium Gap",
TRUE,"High Gap"
)</f>
        <v>Medium Gap</v>
      </c>
    </row>
    <row r="1615" spans="1:30" x14ac:dyDescent="0.3">
      <c r="A1615">
        <v>1614</v>
      </c>
      <c r="B1615" s="1">
        <v>130000</v>
      </c>
      <c r="C1615" s="1" t="str" cm="1">
        <f t="array" ref="C1615">_xlfn.IFS(Table2[[#This Row],[LIMIT_BAL]]&lt;=100000,"Low",Table2[[#This Row],[LIMIT_BAL]]&lt;=300000,"Medium",
TRUE,"High"
)</f>
        <v>Medium</v>
      </c>
      <c r="D1615" t="s">
        <v>2041</v>
      </c>
      <c r="E1615" t="s">
        <v>2026</v>
      </c>
      <c r="F1615" t="s">
        <v>2028</v>
      </c>
      <c r="G1615">
        <v>35</v>
      </c>
      <c r="H1615" t="str" cm="1">
        <f t="array" ref="H1615">_xlfn.IFS(
Table2[[#This Row],[AGE]]&lt;30,"Young",
Table2[[#This Row],[AGE]]&lt;40,"Middle Age",
Table2[[#This Row],[AGE]]&lt;50,"Senior",
TRUE,"Super Senior"
)</f>
        <v>Middle Age</v>
      </c>
      <c r="I1615">
        <v>-1</v>
      </c>
      <c r="J1615">
        <v>-1</v>
      </c>
      <c r="K1615">
        <v>-1</v>
      </c>
      <c r="L1615">
        <v>-1</v>
      </c>
      <c r="M1615">
        <v>-1</v>
      </c>
      <c r="N1615">
        <v>-1</v>
      </c>
      <c r="O1615" s="1">
        <v>6348</v>
      </c>
      <c r="P1615" s="1">
        <v>321</v>
      </c>
      <c r="Q1615" s="1">
        <v>321</v>
      </c>
      <c r="R1615" s="1">
        <v>0</v>
      </c>
      <c r="S1615" s="1">
        <v>321</v>
      </c>
      <c r="T1615" s="1">
        <v>0</v>
      </c>
      <c r="U1615" s="1">
        <v>321</v>
      </c>
      <c r="V1615" s="1">
        <v>321</v>
      </c>
      <c r="W1615" s="1">
        <v>0</v>
      </c>
      <c r="X1615" s="1">
        <v>321</v>
      </c>
      <c r="Y1615" s="1">
        <v>0</v>
      </c>
      <c r="Z1615" s="1">
        <v>0</v>
      </c>
      <c r="AA1615">
        <v>1</v>
      </c>
      <c r="AB1615" t="str">
        <f t="shared" si="25"/>
        <v>Defaulter</v>
      </c>
      <c r="AC1615" s="1">
        <f>Table2[[#This Row],[BILL_AMT1]]-Table2[[#This Row],[PAY_AMT1]]</f>
        <v>6027</v>
      </c>
      <c r="AD1615" s="1" t="str" cm="1">
        <f t="array" ref="AD1615">_xlfn.IFS(Table2[[#This Row],[PAYMENT GAP]]&lt;=0,"No Gap / Overpaid",Table2[[#This Row],[PAYMENT GAP]]&lt;=25000,"Low Gap",Table2[[#This Row],[PAYMENT GAP]]&lt;=100000,"Medium Gap",
TRUE,"High Gap"
)</f>
        <v>Low Gap</v>
      </c>
    </row>
    <row r="1616" spans="1:30" x14ac:dyDescent="0.3">
      <c r="A1616">
        <v>1615</v>
      </c>
      <c r="B1616" s="1">
        <v>360000</v>
      </c>
      <c r="C1616" s="1" t="str" cm="1">
        <f t="array" ref="C1616">_xlfn.IFS(Table2[[#This Row],[LIMIT_BAL]]&lt;=100000,"Low",Table2[[#This Row],[LIMIT_BAL]]&lt;=300000,"Medium",
TRUE,"High"
)</f>
        <v>High</v>
      </c>
      <c r="D1616" t="s">
        <v>2042</v>
      </c>
      <c r="E1616" t="s">
        <v>2043</v>
      </c>
      <c r="F1616" t="s">
        <v>2028</v>
      </c>
      <c r="G1616">
        <v>44</v>
      </c>
      <c r="H1616" t="str" cm="1">
        <f t="array" ref="H1616">_xlfn.IFS(
Table2[[#This Row],[AGE]]&lt;30,"Young",
Table2[[#This Row],[AGE]]&lt;40,"Middle Age",
Table2[[#This Row],[AGE]]&lt;50,"Senior",
TRUE,"Super Senior"
)</f>
        <v>Senior</v>
      </c>
      <c r="I1616">
        <v>0</v>
      </c>
      <c r="J1616">
        <v>0</v>
      </c>
      <c r="K1616">
        <v>0</v>
      </c>
      <c r="L1616">
        <v>0</v>
      </c>
      <c r="M1616">
        <v>2</v>
      </c>
      <c r="N1616">
        <v>0</v>
      </c>
      <c r="O1616" s="1">
        <v>270248</v>
      </c>
      <c r="P1616" s="1">
        <v>138566</v>
      </c>
      <c r="Q1616" s="1">
        <v>142337</v>
      </c>
      <c r="R1616" s="1">
        <v>149758</v>
      </c>
      <c r="S1616" s="1">
        <v>147152</v>
      </c>
      <c r="T1616" s="1">
        <v>149460</v>
      </c>
      <c r="U1616" s="1">
        <v>5000</v>
      </c>
      <c r="V1616" s="1">
        <v>5000</v>
      </c>
      <c r="W1616" s="1">
        <v>8600</v>
      </c>
      <c r="X1616" s="1">
        <v>0</v>
      </c>
      <c r="Y1616" s="1">
        <v>5000</v>
      </c>
      <c r="Z1616" s="1">
        <v>5000</v>
      </c>
      <c r="AA1616">
        <v>0</v>
      </c>
      <c r="AB1616" t="str">
        <f t="shared" si="25"/>
        <v>Not Defaulter</v>
      </c>
      <c r="AC1616" s="1">
        <f>Table2[[#This Row],[BILL_AMT1]]-Table2[[#This Row],[PAY_AMT1]]</f>
        <v>265248</v>
      </c>
      <c r="AD1616" s="1" t="str" cm="1">
        <f t="array" ref="AD1616">_xlfn.IFS(Table2[[#This Row],[PAYMENT GAP]]&lt;=0,"No Gap / Overpaid",Table2[[#This Row],[PAYMENT GAP]]&lt;=25000,"Low Gap",Table2[[#This Row],[PAYMENT GAP]]&lt;=100000,"Medium Gap",
TRUE,"High Gap"
)</f>
        <v>High Gap</v>
      </c>
    </row>
    <row r="1617" spans="1:30" x14ac:dyDescent="0.3">
      <c r="A1617">
        <v>1616</v>
      </c>
      <c r="B1617" s="1">
        <v>320000</v>
      </c>
      <c r="C1617" s="1" t="str" cm="1">
        <f t="array" ref="C1617">_xlfn.IFS(Table2[[#This Row],[LIMIT_BAL]]&lt;=100000,"Low",Table2[[#This Row],[LIMIT_BAL]]&lt;=300000,"Medium",
TRUE,"High"
)</f>
        <v>High</v>
      </c>
      <c r="D1617" t="s">
        <v>2042</v>
      </c>
      <c r="E1617" t="s">
        <v>2026</v>
      </c>
      <c r="F1617" t="s">
        <v>2028</v>
      </c>
      <c r="G1617">
        <v>35</v>
      </c>
      <c r="H1617" t="str" cm="1">
        <f t="array" ref="H1617">_xlfn.IFS(
Table2[[#This Row],[AGE]]&lt;30,"Young",
Table2[[#This Row],[AGE]]&lt;40,"Middle Age",
Table2[[#This Row],[AGE]]&lt;50,"Senior",
TRUE,"Super Senior"
)</f>
        <v>Middle Age</v>
      </c>
      <c r="I1617">
        <v>1</v>
      </c>
      <c r="J1617">
        <v>-2</v>
      </c>
      <c r="K1617">
        <v>-2</v>
      </c>
      <c r="L1617">
        <v>-2</v>
      </c>
      <c r="M1617">
        <v>-2</v>
      </c>
      <c r="N1617">
        <v>-2</v>
      </c>
      <c r="O1617" s="1">
        <v>291</v>
      </c>
      <c r="P1617" s="1">
        <v>2594</v>
      </c>
      <c r="Q1617" s="1">
        <v>2691</v>
      </c>
      <c r="R1617" s="1">
        <v>291</v>
      </c>
      <c r="S1617" s="1">
        <v>291</v>
      </c>
      <c r="T1617" s="1">
        <v>291</v>
      </c>
      <c r="U1617" s="1">
        <v>2594</v>
      </c>
      <c r="V1617" s="1">
        <v>2691</v>
      </c>
      <c r="W1617" s="1">
        <v>291</v>
      </c>
      <c r="X1617" s="1">
        <v>291</v>
      </c>
      <c r="Y1617" s="1">
        <v>291</v>
      </c>
      <c r="Z1617" s="1">
        <v>3124</v>
      </c>
      <c r="AA1617">
        <v>1</v>
      </c>
      <c r="AB1617" t="str">
        <f t="shared" si="25"/>
        <v>Defaulter</v>
      </c>
      <c r="AC1617" s="1">
        <f>Table2[[#This Row],[BILL_AMT1]]-Table2[[#This Row],[PAY_AMT1]]</f>
        <v>-2303</v>
      </c>
      <c r="AD1617" s="1" t="str" cm="1">
        <f t="array" ref="AD1617">_xlfn.IFS(Table2[[#This Row],[PAYMENT GAP]]&lt;=0,"No Gap / Overpaid",Table2[[#This Row],[PAYMENT GAP]]&lt;=25000,"Low Gap",Table2[[#This Row],[PAYMENT GAP]]&lt;=100000,"Medium Gap",
TRUE,"High Gap"
)</f>
        <v>No Gap / Overpaid</v>
      </c>
    </row>
    <row r="1618" spans="1:30" x14ac:dyDescent="0.3">
      <c r="A1618">
        <v>1617</v>
      </c>
      <c r="B1618" s="1">
        <v>20000</v>
      </c>
      <c r="C1618" s="1" t="str" cm="1">
        <f t="array" ref="C1618">_xlfn.IFS(Table2[[#This Row],[LIMIT_BAL]]&lt;=100000,"Low",Table2[[#This Row],[LIMIT_BAL]]&lt;=300000,"Medium",
TRUE,"High"
)</f>
        <v>Low</v>
      </c>
      <c r="D1618" t="s">
        <v>2042</v>
      </c>
      <c r="E1618" t="s">
        <v>2043</v>
      </c>
      <c r="F1618" t="s">
        <v>2055</v>
      </c>
      <c r="G1618">
        <v>35</v>
      </c>
      <c r="H1618" t="str" cm="1">
        <f t="array" ref="H1618">_xlfn.IFS(
Table2[[#This Row],[AGE]]&lt;30,"Young",
Table2[[#This Row],[AGE]]&lt;40,"Middle Age",
Table2[[#This Row],[AGE]]&lt;50,"Senior",
TRUE,"Super Senior"
)</f>
        <v>Middle Age</v>
      </c>
      <c r="I1618">
        <v>1</v>
      </c>
      <c r="J1618">
        <v>-2</v>
      </c>
      <c r="K1618">
        <v>-2</v>
      </c>
      <c r="L1618">
        <v>-2</v>
      </c>
      <c r="M1618">
        <v>-2</v>
      </c>
      <c r="N1618">
        <v>-2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>
        <v>1</v>
      </c>
      <c r="AB1618" t="str">
        <f t="shared" si="25"/>
        <v>Defaulter</v>
      </c>
      <c r="AC1618" s="1">
        <f>Table2[[#This Row],[BILL_AMT1]]-Table2[[#This Row],[PAY_AMT1]]</f>
        <v>0</v>
      </c>
      <c r="AD1618" s="1" t="str" cm="1">
        <f t="array" ref="AD1618">_xlfn.IFS(Table2[[#This Row],[PAYMENT GAP]]&lt;=0,"No Gap / Overpaid",Table2[[#This Row],[PAYMENT GAP]]&lt;=25000,"Low Gap",Table2[[#This Row],[PAYMENT GAP]]&lt;=100000,"Medium Gap",
TRUE,"High Gap"
)</f>
        <v>No Gap / Overpaid</v>
      </c>
    </row>
    <row r="1619" spans="1:30" x14ac:dyDescent="0.3">
      <c r="A1619">
        <v>1618</v>
      </c>
      <c r="B1619" s="1">
        <v>360000</v>
      </c>
      <c r="C1619" s="1" t="str" cm="1">
        <f t="array" ref="C1619">_xlfn.IFS(Table2[[#This Row],[LIMIT_BAL]]&lt;=100000,"Low",Table2[[#This Row],[LIMIT_BAL]]&lt;=300000,"Medium",
TRUE,"High"
)</f>
        <v>High</v>
      </c>
      <c r="D1619" t="s">
        <v>2042</v>
      </c>
      <c r="E1619" t="s">
        <v>2026</v>
      </c>
      <c r="F1619" t="s">
        <v>2028</v>
      </c>
      <c r="G1619">
        <v>32</v>
      </c>
      <c r="H1619" t="str" cm="1">
        <f t="array" ref="H1619">_xlfn.IFS(
Table2[[#This Row],[AGE]]&lt;30,"Young",
Table2[[#This Row],[AGE]]&lt;40,"Middle Age",
Table2[[#This Row],[AGE]]&lt;50,"Senior",
TRUE,"Super Senior"
)</f>
        <v>Middle Age</v>
      </c>
      <c r="I1619">
        <v>-2</v>
      </c>
      <c r="J1619">
        <v>-2</v>
      </c>
      <c r="K1619">
        <v>-2</v>
      </c>
      <c r="L1619">
        <v>-2</v>
      </c>
      <c r="M1619">
        <v>-2</v>
      </c>
      <c r="N1619">
        <v>-2</v>
      </c>
      <c r="O1619" s="1">
        <v>10729</v>
      </c>
      <c r="P1619" s="1">
        <v>2523</v>
      </c>
      <c r="Q1619" s="1">
        <v>-2</v>
      </c>
      <c r="R1619" s="1">
        <v>-2</v>
      </c>
      <c r="S1619" s="1">
        <v>-2</v>
      </c>
      <c r="T1619" s="1">
        <v>-2</v>
      </c>
      <c r="U1619" s="1">
        <v>2535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>
        <v>0</v>
      </c>
      <c r="AB1619" t="str">
        <f t="shared" si="25"/>
        <v>Not Defaulter</v>
      </c>
      <c r="AC1619" s="1">
        <f>Table2[[#This Row],[BILL_AMT1]]-Table2[[#This Row],[PAY_AMT1]]</f>
        <v>8194</v>
      </c>
      <c r="AD1619" s="1" t="str" cm="1">
        <f t="array" ref="AD1619">_xlfn.IFS(Table2[[#This Row],[PAYMENT GAP]]&lt;=0,"No Gap / Overpaid",Table2[[#This Row],[PAYMENT GAP]]&lt;=25000,"Low Gap",Table2[[#This Row],[PAYMENT GAP]]&lt;=100000,"Medium Gap",
TRUE,"High Gap"
)</f>
        <v>Low Gap</v>
      </c>
    </row>
    <row r="1620" spans="1:30" x14ac:dyDescent="0.3">
      <c r="A1620">
        <v>1619</v>
      </c>
      <c r="B1620" s="1">
        <v>190000</v>
      </c>
      <c r="C1620" s="1" t="str" cm="1">
        <f t="array" ref="C1620">_xlfn.IFS(Table2[[#This Row],[LIMIT_BAL]]&lt;=100000,"Low",Table2[[#This Row],[LIMIT_BAL]]&lt;=300000,"Medium",
TRUE,"High"
)</f>
        <v>Medium</v>
      </c>
      <c r="D1620" t="s">
        <v>2041</v>
      </c>
      <c r="E1620" t="s">
        <v>2043</v>
      </c>
      <c r="F1620" t="s">
        <v>2029</v>
      </c>
      <c r="G1620">
        <v>25</v>
      </c>
      <c r="H1620" t="str" cm="1">
        <f t="array" ref="H1620">_xlfn.IFS(
Table2[[#This Row],[AGE]]&lt;30,"Young",
Table2[[#This Row],[AGE]]&lt;40,"Middle Age",
Table2[[#This Row],[AGE]]&lt;50,"Senior",
TRUE,"Super Senior"
)</f>
        <v>Young</v>
      </c>
      <c r="I1620">
        <v>0</v>
      </c>
      <c r="J1620">
        <v>0</v>
      </c>
      <c r="K1620">
        <v>0</v>
      </c>
      <c r="L1620">
        <v>0</v>
      </c>
      <c r="M1620">
        <v>-1</v>
      </c>
      <c r="N1620">
        <v>0</v>
      </c>
      <c r="O1620" s="1">
        <v>110031</v>
      </c>
      <c r="P1620" s="1">
        <v>105500</v>
      </c>
      <c r="Q1620" s="1">
        <v>104430</v>
      </c>
      <c r="R1620" s="1">
        <v>93</v>
      </c>
      <c r="S1620" s="1">
        <v>158481</v>
      </c>
      <c r="T1620" s="1">
        <v>161866</v>
      </c>
      <c r="U1620" s="1">
        <v>8614</v>
      </c>
      <c r="V1620" s="1">
        <v>5000</v>
      </c>
      <c r="W1620" s="1">
        <v>93</v>
      </c>
      <c r="X1620" s="1">
        <v>159212</v>
      </c>
      <c r="Y1620" s="1">
        <v>5800</v>
      </c>
      <c r="Z1620" s="1">
        <v>5500</v>
      </c>
      <c r="AA1620">
        <v>0</v>
      </c>
      <c r="AB1620" t="str">
        <f t="shared" si="25"/>
        <v>Not Defaulter</v>
      </c>
      <c r="AC1620" s="1">
        <f>Table2[[#This Row],[BILL_AMT1]]-Table2[[#This Row],[PAY_AMT1]]</f>
        <v>101417</v>
      </c>
      <c r="AD1620" s="1" t="str" cm="1">
        <f t="array" ref="AD1620">_xlfn.IFS(Table2[[#This Row],[PAYMENT GAP]]&lt;=0,"No Gap / Overpaid",Table2[[#This Row],[PAYMENT GAP]]&lt;=25000,"Low Gap",Table2[[#This Row],[PAYMENT GAP]]&lt;=100000,"Medium Gap",
TRUE,"High Gap"
)</f>
        <v>High Gap</v>
      </c>
    </row>
    <row r="1621" spans="1:30" x14ac:dyDescent="0.3">
      <c r="A1621">
        <v>1620</v>
      </c>
      <c r="B1621" s="1">
        <v>90000</v>
      </c>
      <c r="C1621" s="1" t="str" cm="1">
        <f t="array" ref="C1621">_xlfn.IFS(Table2[[#This Row],[LIMIT_BAL]]&lt;=100000,"Low",Table2[[#This Row],[LIMIT_BAL]]&lt;=300000,"Medium",
TRUE,"High"
)</f>
        <v>Low</v>
      </c>
      <c r="D1621" t="s">
        <v>2041</v>
      </c>
      <c r="E1621" t="s">
        <v>2043</v>
      </c>
      <c r="F1621" t="s">
        <v>2029</v>
      </c>
      <c r="G1621">
        <v>33</v>
      </c>
      <c r="H1621" t="str" cm="1">
        <f t="array" ref="H1621">_xlfn.IFS(
Table2[[#This Row],[AGE]]&lt;30,"Young",
Table2[[#This Row],[AGE]]&lt;40,"Middle Age",
Table2[[#This Row],[AGE]]&lt;50,"Senior",
TRUE,"Super Senior"
)</f>
        <v>Middle Age</v>
      </c>
      <c r="I1621">
        <v>0</v>
      </c>
      <c r="J1621">
        <v>0</v>
      </c>
      <c r="K1621">
        <v>-1</v>
      </c>
      <c r="L1621">
        <v>-1</v>
      </c>
      <c r="M1621">
        <v>0</v>
      </c>
      <c r="N1621">
        <v>0</v>
      </c>
      <c r="O1621" s="1">
        <v>63626</v>
      </c>
      <c r="P1621" s="1">
        <v>1788</v>
      </c>
      <c r="Q1621" s="1">
        <v>1988</v>
      </c>
      <c r="R1621" s="1">
        <v>55970</v>
      </c>
      <c r="S1621" s="1">
        <v>59612</v>
      </c>
      <c r="T1621" s="1">
        <v>40281</v>
      </c>
      <c r="U1621" s="1">
        <v>1000</v>
      </c>
      <c r="V1621" s="1">
        <v>2000</v>
      </c>
      <c r="W1621" s="1">
        <v>61000</v>
      </c>
      <c r="X1621" s="1">
        <v>5000</v>
      </c>
      <c r="Y1621" s="1">
        <v>1800</v>
      </c>
      <c r="Z1621" s="1">
        <v>1200</v>
      </c>
      <c r="AA1621">
        <v>1</v>
      </c>
      <c r="AB1621" t="str">
        <f t="shared" si="25"/>
        <v>Defaulter</v>
      </c>
      <c r="AC1621" s="1">
        <f>Table2[[#This Row],[BILL_AMT1]]-Table2[[#This Row],[PAY_AMT1]]</f>
        <v>62626</v>
      </c>
      <c r="AD1621" s="1" t="str" cm="1">
        <f t="array" ref="AD1621">_xlfn.IFS(Table2[[#This Row],[PAYMENT GAP]]&lt;=0,"No Gap / Overpaid",Table2[[#This Row],[PAYMENT GAP]]&lt;=25000,"Low Gap",Table2[[#This Row],[PAYMENT GAP]]&lt;=100000,"Medium Gap",
TRUE,"High Gap"
)</f>
        <v>Medium Gap</v>
      </c>
    </row>
    <row r="1622" spans="1:30" x14ac:dyDescent="0.3">
      <c r="A1622">
        <v>1621</v>
      </c>
      <c r="B1622" s="1">
        <v>30000</v>
      </c>
      <c r="C1622" s="1" t="str" cm="1">
        <f t="array" ref="C1622">_xlfn.IFS(Table2[[#This Row],[LIMIT_BAL]]&lt;=100000,"Low",Table2[[#This Row],[LIMIT_BAL]]&lt;=300000,"Medium",
TRUE,"High"
)</f>
        <v>Low</v>
      </c>
      <c r="D1622" t="s">
        <v>2041</v>
      </c>
      <c r="E1622" t="s">
        <v>2026</v>
      </c>
      <c r="F1622" t="s">
        <v>2029</v>
      </c>
      <c r="G1622">
        <v>26</v>
      </c>
      <c r="H1622" t="str" cm="1">
        <f t="array" ref="H1622">_xlfn.IFS(
Table2[[#This Row],[AGE]]&lt;30,"Young",
Table2[[#This Row],[AGE]]&lt;40,"Middle Age",
Table2[[#This Row],[AGE]]&lt;50,"Senior",
TRUE,"Super Senior"
)</f>
        <v>Young</v>
      </c>
      <c r="I1622">
        <v>-1</v>
      </c>
      <c r="J1622">
        <v>-1</v>
      </c>
      <c r="K1622">
        <v>-1</v>
      </c>
      <c r="L1622">
        <v>-1</v>
      </c>
      <c r="M1622">
        <v>-1</v>
      </c>
      <c r="N1622">
        <v>2</v>
      </c>
      <c r="O1622" s="1">
        <v>2635</v>
      </c>
      <c r="P1622" s="1">
        <v>807</v>
      </c>
      <c r="Q1622" s="1">
        <v>11428</v>
      </c>
      <c r="R1622" s="1">
        <v>2462</v>
      </c>
      <c r="S1622" s="1">
        <v>3605</v>
      </c>
      <c r="T1622" s="1">
        <v>1559</v>
      </c>
      <c r="U1622" s="1">
        <v>1270</v>
      </c>
      <c r="V1622" s="1">
        <v>11500</v>
      </c>
      <c r="W1622" s="1">
        <v>2462</v>
      </c>
      <c r="X1622" s="1">
        <v>1559</v>
      </c>
      <c r="Y1622" s="1">
        <v>0</v>
      </c>
      <c r="Z1622" s="1">
        <v>3192</v>
      </c>
      <c r="AA1622">
        <v>0</v>
      </c>
      <c r="AB1622" t="str">
        <f t="shared" si="25"/>
        <v>Not Defaulter</v>
      </c>
      <c r="AC1622" s="1">
        <f>Table2[[#This Row],[BILL_AMT1]]-Table2[[#This Row],[PAY_AMT1]]</f>
        <v>1365</v>
      </c>
      <c r="AD1622" s="1" t="str" cm="1">
        <f t="array" ref="AD1622">_xlfn.IFS(Table2[[#This Row],[PAYMENT GAP]]&lt;=0,"No Gap / Overpaid",Table2[[#This Row],[PAYMENT GAP]]&lt;=25000,"Low Gap",Table2[[#This Row],[PAYMENT GAP]]&lt;=100000,"Medium Gap",
TRUE,"High Gap"
)</f>
        <v>Low Gap</v>
      </c>
    </row>
    <row r="1623" spans="1:30" x14ac:dyDescent="0.3">
      <c r="A1623">
        <v>1622</v>
      </c>
      <c r="B1623" s="1">
        <v>240000</v>
      </c>
      <c r="C1623" s="1" t="str" cm="1">
        <f t="array" ref="C1623">_xlfn.IFS(Table2[[#This Row],[LIMIT_BAL]]&lt;=100000,"Low",Table2[[#This Row],[LIMIT_BAL]]&lt;=300000,"Medium",
TRUE,"High"
)</f>
        <v>Medium</v>
      </c>
      <c r="D1623" t="s">
        <v>2042</v>
      </c>
      <c r="E1623" t="s">
        <v>2026</v>
      </c>
      <c r="F1623" t="s">
        <v>2029</v>
      </c>
      <c r="G1623">
        <v>29</v>
      </c>
      <c r="H1623" t="str" cm="1">
        <f t="array" ref="H1623">_xlfn.IFS(
Table2[[#This Row],[AGE]]&lt;30,"Young",
Table2[[#This Row],[AGE]]&lt;40,"Middle Age",
Table2[[#This Row],[AGE]]&lt;50,"Senior",
TRUE,"Super Senior"
)</f>
        <v>Young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 s="1">
        <v>240248</v>
      </c>
      <c r="P1623" s="1">
        <v>221277</v>
      </c>
      <c r="Q1623" s="1">
        <v>201606</v>
      </c>
      <c r="R1623" s="1">
        <v>183454</v>
      </c>
      <c r="S1623" s="1">
        <v>180255</v>
      </c>
      <c r="T1623" s="1">
        <v>184230</v>
      </c>
      <c r="U1623" s="1">
        <v>11000</v>
      </c>
      <c r="V1623" s="1">
        <v>9100</v>
      </c>
      <c r="W1623" s="1">
        <v>8000</v>
      </c>
      <c r="X1623" s="1">
        <v>8000</v>
      </c>
      <c r="Y1623" s="1">
        <v>7000</v>
      </c>
      <c r="Z1623" s="1">
        <v>8000</v>
      </c>
      <c r="AA1623">
        <v>0</v>
      </c>
      <c r="AB1623" t="str">
        <f t="shared" si="25"/>
        <v>Not Defaulter</v>
      </c>
      <c r="AC1623" s="1">
        <f>Table2[[#This Row],[BILL_AMT1]]-Table2[[#This Row],[PAY_AMT1]]</f>
        <v>229248</v>
      </c>
      <c r="AD1623" s="1" t="str" cm="1">
        <f t="array" ref="AD1623">_xlfn.IFS(Table2[[#This Row],[PAYMENT GAP]]&lt;=0,"No Gap / Overpaid",Table2[[#This Row],[PAYMENT GAP]]&lt;=25000,"Low Gap",Table2[[#This Row],[PAYMENT GAP]]&lt;=100000,"Medium Gap",
TRUE,"High Gap"
)</f>
        <v>High Gap</v>
      </c>
    </row>
    <row r="1624" spans="1:30" x14ac:dyDescent="0.3">
      <c r="A1624">
        <v>1623</v>
      </c>
      <c r="B1624" s="1">
        <v>40000</v>
      </c>
      <c r="C1624" s="1" t="str" cm="1">
        <f t="array" ref="C1624">_xlfn.IFS(Table2[[#This Row],[LIMIT_BAL]]&lt;=100000,"Low",Table2[[#This Row],[LIMIT_BAL]]&lt;=300000,"Medium",
TRUE,"High"
)</f>
        <v>Low</v>
      </c>
      <c r="D1624" t="s">
        <v>2041</v>
      </c>
      <c r="E1624" t="s">
        <v>2026</v>
      </c>
      <c r="F1624" t="s">
        <v>2029</v>
      </c>
      <c r="G1624">
        <v>26</v>
      </c>
      <c r="H1624" t="str" cm="1">
        <f t="array" ref="H1624">_xlfn.IFS(
Table2[[#This Row],[AGE]]&lt;30,"Young",
Table2[[#This Row],[AGE]]&lt;40,"Middle Age",
Table2[[#This Row],[AGE]]&lt;50,"Senior",
TRUE,"Super Senior"
)</f>
        <v>Young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 s="1">
        <v>12308</v>
      </c>
      <c r="P1624" s="1">
        <v>13604</v>
      </c>
      <c r="Q1624" s="1">
        <v>14873</v>
      </c>
      <c r="R1624" s="1">
        <v>15624</v>
      </c>
      <c r="S1624" s="1">
        <v>15972</v>
      </c>
      <c r="T1624" s="1">
        <v>16308</v>
      </c>
      <c r="U1624" s="1">
        <v>1500</v>
      </c>
      <c r="V1624" s="1">
        <v>1500</v>
      </c>
      <c r="W1624" s="1">
        <v>1000</v>
      </c>
      <c r="X1624" s="1">
        <v>600</v>
      </c>
      <c r="Y1624" s="1">
        <v>600</v>
      </c>
      <c r="Z1624" s="1">
        <v>1700</v>
      </c>
      <c r="AA1624">
        <v>0</v>
      </c>
      <c r="AB1624" t="str">
        <f t="shared" si="25"/>
        <v>Not Defaulter</v>
      </c>
      <c r="AC1624" s="1">
        <f>Table2[[#This Row],[BILL_AMT1]]-Table2[[#This Row],[PAY_AMT1]]</f>
        <v>10808</v>
      </c>
      <c r="AD1624" s="1" t="str" cm="1">
        <f t="array" ref="AD1624">_xlfn.IFS(Table2[[#This Row],[PAYMENT GAP]]&lt;=0,"No Gap / Overpaid",Table2[[#This Row],[PAYMENT GAP]]&lt;=25000,"Low Gap",Table2[[#This Row],[PAYMENT GAP]]&lt;=100000,"Medium Gap",
TRUE,"High Gap"
)</f>
        <v>Low Gap</v>
      </c>
    </row>
    <row r="1625" spans="1:30" x14ac:dyDescent="0.3">
      <c r="A1625">
        <v>1624</v>
      </c>
      <c r="B1625" s="1">
        <v>170000</v>
      </c>
      <c r="C1625" s="1" t="str" cm="1">
        <f t="array" ref="C1625">_xlfn.IFS(Table2[[#This Row],[LIMIT_BAL]]&lt;=100000,"Low",Table2[[#This Row],[LIMIT_BAL]]&lt;=300000,"Medium",
TRUE,"High"
)</f>
        <v>Medium</v>
      </c>
      <c r="D1625" t="s">
        <v>2042</v>
      </c>
      <c r="E1625" t="s">
        <v>2043</v>
      </c>
      <c r="F1625" t="s">
        <v>2029</v>
      </c>
      <c r="G1625">
        <v>36</v>
      </c>
      <c r="H1625" t="str" cm="1">
        <f t="array" ref="H1625">_xlfn.IFS(
Table2[[#This Row],[AGE]]&lt;30,"Young",
Table2[[#This Row],[AGE]]&lt;40,"Middle Age",
Table2[[#This Row],[AGE]]&lt;50,"Senior",
TRUE,"Super Senior"
)</f>
        <v>Middle Age</v>
      </c>
      <c r="I1625">
        <v>-1</v>
      </c>
      <c r="J1625">
        <v>-1</v>
      </c>
      <c r="K1625">
        <v>-1</v>
      </c>
      <c r="L1625">
        <v>-1</v>
      </c>
      <c r="M1625">
        <v>-1</v>
      </c>
      <c r="N1625">
        <v>-1</v>
      </c>
      <c r="O1625" s="1">
        <v>2104</v>
      </c>
      <c r="P1625" s="1">
        <v>2074</v>
      </c>
      <c r="Q1625" s="1">
        <v>10719</v>
      </c>
      <c r="R1625" s="1">
        <v>12654</v>
      </c>
      <c r="S1625" s="1">
        <v>25784</v>
      </c>
      <c r="T1625" s="1">
        <v>19950</v>
      </c>
      <c r="U1625" s="1">
        <v>2081</v>
      </c>
      <c r="V1625" s="1">
        <v>10725</v>
      </c>
      <c r="W1625" s="1">
        <v>12654</v>
      </c>
      <c r="X1625" s="1">
        <v>25784</v>
      </c>
      <c r="Y1625" s="1">
        <v>19950</v>
      </c>
      <c r="Z1625" s="1">
        <v>200</v>
      </c>
      <c r="AA1625">
        <v>0</v>
      </c>
      <c r="AB1625" t="str">
        <f t="shared" si="25"/>
        <v>Not Defaulter</v>
      </c>
      <c r="AC1625" s="1">
        <f>Table2[[#This Row],[BILL_AMT1]]-Table2[[#This Row],[PAY_AMT1]]</f>
        <v>23</v>
      </c>
      <c r="AD1625" s="1" t="str" cm="1">
        <f t="array" ref="AD1625">_xlfn.IFS(Table2[[#This Row],[PAYMENT GAP]]&lt;=0,"No Gap / Overpaid",Table2[[#This Row],[PAYMENT GAP]]&lt;=25000,"Low Gap",Table2[[#This Row],[PAYMENT GAP]]&lt;=100000,"Medium Gap",
TRUE,"High Gap"
)</f>
        <v>Low Gap</v>
      </c>
    </row>
    <row r="1626" spans="1:30" x14ac:dyDescent="0.3">
      <c r="A1626">
        <v>1625</v>
      </c>
      <c r="B1626" s="1">
        <v>180000</v>
      </c>
      <c r="C1626" s="1" t="str" cm="1">
        <f t="array" ref="C1626">_xlfn.IFS(Table2[[#This Row],[LIMIT_BAL]]&lt;=100000,"Low",Table2[[#This Row],[LIMIT_BAL]]&lt;=300000,"Medium",
TRUE,"High"
)</f>
        <v>Medium</v>
      </c>
      <c r="D1626" t="s">
        <v>2042</v>
      </c>
      <c r="E1626" t="s">
        <v>2026</v>
      </c>
      <c r="F1626" t="s">
        <v>2029</v>
      </c>
      <c r="G1626">
        <v>37</v>
      </c>
      <c r="H1626" t="str" cm="1">
        <f t="array" ref="H1626">_xlfn.IFS(
Table2[[#This Row],[AGE]]&lt;30,"Young",
Table2[[#This Row],[AGE]]&lt;40,"Middle Age",
Table2[[#This Row],[AGE]]&lt;50,"Senior",
TRUE,"Super Senior"
)</f>
        <v>Middle Age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 s="1">
        <v>22121</v>
      </c>
      <c r="P1626" s="1">
        <v>31681</v>
      </c>
      <c r="Q1626" s="1">
        <v>32552</v>
      </c>
      <c r="R1626" s="1">
        <v>34004</v>
      </c>
      <c r="S1626" s="1">
        <v>35792</v>
      </c>
      <c r="T1626" s="1">
        <v>36645</v>
      </c>
      <c r="U1626" s="1">
        <v>10000</v>
      </c>
      <c r="V1626" s="1">
        <v>1700</v>
      </c>
      <c r="W1626" s="1">
        <v>2000</v>
      </c>
      <c r="X1626" s="1">
        <v>2500</v>
      </c>
      <c r="Y1626" s="1">
        <v>1600</v>
      </c>
      <c r="Z1626" s="1">
        <v>2000</v>
      </c>
      <c r="AA1626">
        <v>0</v>
      </c>
      <c r="AB1626" t="str">
        <f t="shared" si="25"/>
        <v>Not Defaulter</v>
      </c>
      <c r="AC1626" s="1">
        <f>Table2[[#This Row],[BILL_AMT1]]-Table2[[#This Row],[PAY_AMT1]]</f>
        <v>12121</v>
      </c>
      <c r="AD1626" s="1" t="str" cm="1">
        <f t="array" ref="AD1626">_xlfn.IFS(Table2[[#This Row],[PAYMENT GAP]]&lt;=0,"No Gap / Overpaid",Table2[[#This Row],[PAYMENT GAP]]&lt;=25000,"Low Gap",Table2[[#This Row],[PAYMENT GAP]]&lt;=100000,"Medium Gap",
TRUE,"High Gap"
)</f>
        <v>Low Gap</v>
      </c>
    </row>
    <row r="1627" spans="1:30" x14ac:dyDescent="0.3">
      <c r="A1627">
        <v>1626</v>
      </c>
      <c r="B1627" s="1">
        <v>20000</v>
      </c>
      <c r="C1627" s="1" t="str" cm="1">
        <f t="array" ref="C1627">_xlfn.IFS(Table2[[#This Row],[LIMIT_BAL]]&lt;=100000,"Low",Table2[[#This Row],[LIMIT_BAL]]&lt;=300000,"Medium",
TRUE,"High"
)</f>
        <v>Low</v>
      </c>
      <c r="D1627" t="s">
        <v>2042</v>
      </c>
      <c r="E1627" t="s">
        <v>2027</v>
      </c>
      <c r="F1627" t="s">
        <v>2028</v>
      </c>
      <c r="G1627">
        <v>63</v>
      </c>
      <c r="H1627" t="str" cm="1">
        <f t="array" ref="H1627">_xlfn.IFS(
Table2[[#This Row],[AGE]]&lt;30,"Young",
Table2[[#This Row],[AGE]]&lt;40,"Middle Age",
Table2[[#This Row],[AGE]]&lt;50,"Senior",
TRUE,"Super Senior"
)</f>
        <v>Super Senior</v>
      </c>
      <c r="I1627">
        <v>2</v>
      </c>
      <c r="J1627">
        <v>2</v>
      </c>
      <c r="K1627">
        <v>2</v>
      </c>
      <c r="L1627">
        <v>2</v>
      </c>
      <c r="M1627">
        <v>2</v>
      </c>
      <c r="N1627">
        <v>0</v>
      </c>
      <c r="O1627" s="1">
        <v>16097</v>
      </c>
      <c r="P1627" s="1">
        <v>16951</v>
      </c>
      <c r="Q1627" s="1">
        <v>17090</v>
      </c>
      <c r="R1627" s="1">
        <v>17128</v>
      </c>
      <c r="S1627" s="1">
        <v>16725</v>
      </c>
      <c r="T1627" s="1">
        <v>17263</v>
      </c>
      <c r="U1627" s="1">
        <v>1400</v>
      </c>
      <c r="V1627" s="1">
        <v>700</v>
      </c>
      <c r="W1627" s="1">
        <v>600</v>
      </c>
      <c r="X1627" s="1">
        <v>0</v>
      </c>
      <c r="Y1627" s="1">
        <v>800</v>
      </c>
      <c r="Z1627" s="1">
        <v>772</v>
      </c>
      <c r="AA1627">
        <v>1</v>
      </c>
      <c r="AB1627" t="str">
        <f t="shared" si="25"/>
        <v>Defaulter</v>
      </c>
      <c r="AC1627" s="1">
        <f>Table2[[#This Row],[BILL_AMT1]]-Table2[[#This Row],[PAY_AMT1]]</f>
        <v>14697</v>
      </c>
      <c r="AD1627" s="1" t="str" cm="1">
        <f t="array" ref="AD1627">_xlfn.IFS(Table2[[#This Row],[PAYMENT GAP]]&lt;=0,"No Gap / Overpaid",Table2[[#This Row],[PAYMENT GAP]]&lt;=25000,"Low Gap",Table2[[#This Row],[PAYMENT GAP]]&lt;=100000,"Medium Gap",
TRUE,"High Gap"
)</f>
        <v>Low Gap</v>
      </c>
    </row>
    <row r="1628" spans="1:30" x14ac:dyDescent="0.3">
      <c r="A1628">
        <v>1627</v>
      </c>
      <c r="B1628" s="1">
        <v>150000</v>
      </c>
      <c r="C1628" s="1" t="str" cm="1">
        <f t="array" ref="C1628">_xlfn.IFS(Table2[[#This Row],[LIMIT_BAL]]&lt;=100000,"Low",Table2[[#This Row],[LIMIT_BAL]]&lt;=300000,"Medium",
TRUE,"High"
)</f>
        <v>Medium</v>
      </c>
      <c r="D1628" t="s">
        <v>2041</v>
      </c>
      <c r="E1628" t="s">
        <v>2027</v>
      </c>
      <c r="F1628" t="s">
        <v>2028</v>
      </c>
      <c r="G1628">
        <v>48</v>
      </c>
      <c r="H1628" t="str" cm="1">
        <f t="array" ref="H1628">_xlfn.IFS(
Table2[[#This Row],[AGE]]&lt;30,"Young",
Table2[[#This Row],[AGE]]&lt;40,"Middle Age",
Table2[[#This Row],[AGE]]&lt;50,"Senior",
TRUE,"Super Senior"
)</f>
        <v>Senior</v>
      </c>
      <c r="I1628">
        <v>0</v>
      </c>
      <c r="J1628">
        <v>0</v>
      </c>
      <c r="K1628">
        <v>2</v>
      </c>
      <c r="L1628">
        <v>0</v>
      </c>
      <c r="M1628">
        <v>0</v>
      </c>
      <c r="N1628">
        <v>0</v>
      </c>
      <c r="O1628" s="1">
        <v>37800</v>
      </c>
      <c r="P1628" s="1">
        <v>40874</v>
      </c>
      <c r="Q1628" s="1">
        <v>39922</v>
      </c>
      <c r="R1628" s="1">
        <v>40953</v>
      </c>
      <c r="S1628" s="1">
        <v>42136</v>
      </c>
      <c r="T1628" s="1">
        <v>43279</v>
      </c>
      <c r="U1628" s="1">
        <v>4000</v>
      </c>
      <c r="V1628" s="1">
        <v>0</v>
      </c>
      <c r="W1628" s="1">
        <v>2000</v>
      </c>
      <c r="X1628" s="1">
        <v>2000</v>
      </c>
      <c r="Y1628" s="1">
        <v>2000</v>
      </c>
      <c r="Z1628" s="1">
        <v>2000</v>
      </c>
      <c r="AA1628">
        <v>0</v>
      </c>
      <c r="AB1628" t="str">
        <f t="shared" si="25"/>
        <v>Not Defaulter</v>
      </c>
      <c r="AC1628" s="1">
        <f>Table2[[#This Row],[BILL_AMT1]]-Table2[[#This Row],[PAY_AMT1]]</f>
        <v>33800</v>
      </c>
      <c r="AD1628" s="1" t="str" cm="1">
        <f t="array" ref="AD1628">_xlfn.IFS(Table2[[#This Row],[PAYMENT GAP]]&lt;=0,"No Gap / Overpaid",Table2[[#This Row],[PAYMENT GAP]]&lt;=25000,"Low Gap",Table2[[#This Row],[PAYMENT GAP]]&lt;=100000,"Medium Gap",
TRUE,"High Gap"
)</f>
        <v>Medium Gap</v>
      </c>
    </row>
    <row r="1629" spans="1:30" x14ac:dyDescent="0.3">
      <c r="A1629">
        <v>1628</v>
      </c>
      <c r="B1629" s="1">
        <v>50000</v>
      </c>
      <c r="C1629" s="1" t="str" cm="1">
        <f t="array" ref="C1629">_xlfn.IFS(Table2[[#This Row],[LIMIT_BAL]]&lt;=100000,"Low",Table2[[#This Row],[LIMIT_BAL]]&lt;=300000,"Medium",
TRUE,"High"
)</f>
        <v>Low</v>
      </c>
      <c r="D1629" t="s">
        <v>2041</v>
      </c>
      <c r="E1629" t="s">
        <v>2043</v>
      </c>
      <c r="F1629" t="s">
        <v>2028</v>
      </c>
      <c r="G1629">
        <v>47</v>
      </c>
      <c r="H1629" t="str" cm="1">
        <f t="array" ref="H1629">_xlfn.IFS(
Table2[[#This Row],[AGE]]&lt;30,"Young",
Table2[[#This Row],[AGE]]&lt;40,"Middle Age",
Table2[[#This Row],[AGE]]&lt;50,"Senior",
TRUE,"Super Senior"
)</f>
        <v>Senior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 s="1">
        <v>44624</v>
      </c>
      <c r="P1629" s="1">
        <v>45128</v>
      </c>
      <c r="Q1629" s="1">
        <v>3837</v>
      </c>
      <c r="R1629" s="1">
        <v>3913</v>
      </c>
      <c r="S1629" s="1">
        <v>4146</v>
      </c>
      <c r="T1629" s="1">
        <v>4225</v>
      </c>
      <c r="U1629" s="1">
        <v>2355</v>
      </c>
      <c r="V1629" s="1">
        <v>1064</v>
      </c>
      <c r="W1629" s="1">
        <v>140</v>
      </c>
      <c r="X1629" s="1">
        <v>296</v>
      </c>
      <c r="Y1629" s="1">
        <v>296</v>
      </c>
      <c r="Z1629" s="1">
        <v>301</v>
      </c>
      <c r="AA1629">
        <v>1</v>
      </c>
      <c r="AB1629" t="str">
        <f t="shared" si="25"/>
        <v>Defaulter</v>
      </c>
      <c r="AC1629" s="1">
        <f>Table2[[#This Row],[BILL_AMT1]]-Table2[[#This Row],[PAY_AMT1]]</f>
        <v>42269</v>
      </c>
      <c r="AD1629" s="1" t="str" cm="1">
        <f t="array" ref="AD1629">_xlfn.IFS(Table2[[#This Row],[PAYMENT GAP]]&lt;=0,"No Gap / Overpaid",Table2[[#This Row],[PAYMENT GAP]]&lt;=25000,"Low Gap",Table2[[#This Row],[PAYMENT GAP]]&lt;=100000,"Medium Gap",
TRUE,"High Gap"
)</f>
        <v>Medium Gap</v>
      </c>
    </row>
    <row r="1630" spans="1:30" x14ac:dyDescent="0.3">
      <c r="A1630">
        <v>1629</v>
      </c>
      <c r="B1630" s="1">
        <v>140000</v>
      </c>
      <c r="C1630" s="1" t="str" cm="1">
        <f t="array" ref="C1630">_xlfn.IFS(Table2[[#This Row],[LIMIT_BAL]]&lt;=100000,"Low",Table2[[#This Row],[LIMIT_BAL]]&lt;=300000,"Medium",
TRUE,"High"
)</f>
        <v>Medium</v>
      </c>
      <c r="D1630" t="s">
        <v>2041</v>
      </c>
      <c r="E1630" t="s">
        <v>2027</v>
      </c>
      <c r="F1630" t="s">
        <v>2028</v>
      </c>
      <c r="G1630">
        <v>31</v>
      </c>
      <c r="H1630" t="str" cm="1">
        <f t="array" ref="H1630">_xlfn.IFS(
Table2[[#This Row],[AGE]]&lt;30,"Young",
Table2[[#This Row],[AGE]]&lt;40,"Middle Age",
Table2[[#This Row],[AGE]]&lt;50,"Senior",
TRUE,"Super Senior"
)</f>
        <v>Middle Age</v>
      </c>
      <c r="I1630">
        <v>2</v>
      </c>
      <c r="J1630">
        <v>2</v>
      </c>
      <c r="K1630">
        <v>2</v>
      </c>
      <c r="L1630">
        <v>2</v>
      </c>
      <c r="M1630">
        <v>2</v>
      </c>
      <c r="N1630">
        <v>2</v>
      </c>
      <c r="O1630" s="1">
        <v>89910</v>
      </c>
      <c r="P1630" s="1">
        <v>92588</v>
      </c>
      <c r="Q1630" s="1">
        <v>91936</v>
      </c>
      <c r="R1630" s="1">
        <v>94623</v>
      </c>
      <c r="S1630" s="1">
        <v>94952</v>
      </c>
      <c r="T1630" s="1">
        <v>95234</v>
      </c>
      <c r="U1630" s="1">
        <v>5000</v>
      </c>
      <c r="V1630" s="1">
        <v>1800</v>
      </c>
      <c r="W1630" s="1">
        <v>5000</v>
      </c>
      <c r="X1630" s="1">
        <v>1900</v>
      </c>
      <c r="Y1630" s="1">
        <v>4700</v>
      </c>
      <c r="Z1630" s="1">
        <v>0</v>
      </c>
      <c r="AA1630">
        <v>0</v>
      </c>
      <c r="AB1630" t="str">
        <f t="shared" si="25"/>
        <v>Not Defaulter</v>
      </c>
      <c r="AC1630" s="1">
        <f>Table2[[#This Row],[BILL_AMT1]]-Table2[[#This Row],[PAY_AMT1]]</f>
        <v>84910</v>
      </c>
      <c r="AD1630" s="1" t="str" cm="1">
        <f t="array" ref="AD1630">_xlfn.IFS(Table2[[#This Row],[PAYMENT GAP]]&lt;=0,"No Gap / Overpaid",Table2[[#This Row],[PAYMENT GAP]]&lt;=25000,"Low Gap",Table2[[#This Row],[PAYMENT GAP]]&lt;=100000,"Medium Gap",
TRUE,"High Gap"
)</f>
        <v>Medium Gap</v>
      </c>
    </row>
    <row r="1631" spans="1:30" x14ac:dyDescent="0.3">
      <c r="A1631">
        <v>1630</v>
      </c>
      <c r="B1631" s="1">
        <v>50000</v>
      </c>
      <c r="C1631" s="1" t="str" cm="1">
        <f t="array" ref="C1631">_xlfn.IFS(Table2[[#This Row],[LIMIT_BAL]]&lt;=100000,"Low",Table2[[#This Row],[LIMIT_BAL]]&lt;=300000,"Medium",
TRUE,"High"
)</f>
        <v>Low</v>
      </c>
      <c r="D1631" t="s">
        <v>2042</v>
      </c>
      <c r="E1631" t="s">
        <v>2027</v>
      </c>
      <c r="F1631" t="s">
        <v>2029</v>
      </c>
      <c r="G1631">
        <v>31</v>
      </c>
      <c r="H1631" t="str" cm="1">
        <f t="array" ref="H1631">_xlfn.IFS(
Table2[[#This Row],[AGE]]&lt;30,"Young",
Table2[[#This Row],[AGE]]&lt;40,"Middle Age",
Table2[[#This Row],[AGE]]&lt;50,"Senior",
TRUE,"Super Senior"
)</f>
        <v>Middle Age</v>
      </c>
      <c r="I1631">
        <v>0</v>
      </c>
      <c r="J1631">
        <v>0</v>
      </c>
      <c r="K1631">
        <v>0</v>
      </c>
      <c r="L1631">
        <v>0</v>
      </c>
      <c r="M1631">
        <v>2</v>
      </c>
      <c r="N1631">
        <v>0</v>
      </c>
      <c r="O1631" s="1">
        <v>40011</v>
      </c>
      <c r="P1631" s="1">
        <v>33648</v>
      </c>
      <c r="Q1631" s="1">
        <v>35082</v>
      </c>
      <c r="R1631" s="1">
        <v>38286</v>
      </c>
      <c r="S1631" s="1">
        <v>37543</v>
      </c>
      <c r="T1631" s="1">
        <v>0</v>
      </c>
      <c r="U1631" s="1">
        <v>1566</v>
      </c>
      <c r="V1631" s="1">
        <v>2000</v>
      </c>
      <c r="W1631" s="1">
        <v>3800</v>
      </c>
      <c r="X1631" s="1">
        <v>0</v>
      </c>
      <c r="Y1631" s="1">
        <v>1546</v>
      </c>
      <c r="Z1631" s="1">
        <v>0</v>
      </c>
      <c r="AA1631">
        <v>0</v>
      </c>
      <c r="AB1631" t="str">
        <f t="shared" si="25"/>
        <v>Not Defaulter</v>
      </c>
      <c r="AC1631" s="1">
        <f>Table2[[#This Row],[BILL_AMT1]]-Table2[[#This Row],[PAY_AMT1]]</f>
        <v>38445</v>
      </c>
      <c r="AD1631" s="1" t="str" cm="1">
        <f t="array" ref="AD1631">_xlfn.IFS(Table2[[#This Row],[PAYMENT GAP]]&lt;=0,"No Gap / Overpaid",Table2[[#This Row],[PAYMENT GAP]]&lt;=25000,"Low Gap",Table2[[#This Row],[PAYMENT GAP]]&lt;=100000,"Medium Gap",
TRUE,"High Gap"
)</f>
        <v>Medium Gap</v>
      </c>
    </row>
    <row r="1632" spans="1:30" x14ac:dyDescent="0.3">
      <c r="A1632">
        <v>1631</v>
      </c>
      <c r="B1632" s="1">
        <v>200000</v>
      </c>
      <c r="C1632" s="1" t="str" cm="1">
        <f t="array" ref="C1632">_xlfn.IFS(Table2[[#This Row],[LIMIT_BAL]]&lt;=100000,"Low",Table2[[#This Row],[LIMIT_BAL]]&lt;=300000,"Medium",
TRUE,"High"
)</f>
        <v>Medium</v>
      </c>
      <c r="D1632" t="s">
        <v>2042</v>
      </c>
      <c r="E1632" t="s">
        <v>2026</v>
      </c>
      <c r="F1632" t="s">
        <v>2029</v>
      </c>
      <c r="G1632">
        <v>34</v>
      </c>
      <c r="H1632" t="str" cm="1">
        <f t="array" ref="H1632">_xlfn.IFS(
Table2[[#This Row],[AGE]]&lt;30,"Young",
Table2[[#This Row],[AGE]]&lt;40,"Middle Age",
Table2[[#This Row],[AGE]]&lt;50,"Senior",
TRUE,"Super Senior"
)</f>
        <v>Middle Age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 s="1">
        <v>67002</v>
      </c>
      <c r="P1632" s="1">
        <v>76429</v>
      </c>
      <c r="Q1632" s="1">
        <v>94564</v>
      </c>
      <c r="R1632" s="1">
        <v>95859</v>
      </c>
      <c r="S1632" s="1">
        <v>99593</v>
      </c>
      <c r="T1632" s="1">
        <v>101834</v>
      </c>
      <c r="U1632" s="1">
        <v>10000</v>
      </c>
      <c r="V1632" s="1">
        <v>18900</v>
      </c>
      <c r="W1632" s="1">
        <v>3000</v>
      </c>
      <c r="X1632" s="1">
        <v>4524</v>
      </c>
      <c r="Y1632" s="1">
        <v>3084</v>
      </c>
      <c r="Z1632" s="1">
        <v>3242</v>
      </c>
      <c r="AA1632">
        <v>0</v>
      </c>
      <c r="AB1632" t="str">
        <f t="shared" si="25"/>
        <v>Not Defaulter</v>
      </c>
      <c r="AC1632" s="1">
        <f>Table2[[#This Row],[BILL_AMT1]]-Table2[[#This Row],[PAY_AMT1]]</f>
        <v>57002</v>
      </c>
      <c r="AD1632" s="1" t="str" cm="1">
        <f t="array" ref="AD1632">_xlfn.IFS(Table2[[#This Row],[PAYMENT GAP]]&lt;=0,"No Gap / Overpaid",Table2[[#This Row],[PAYMENT GAP]]&lt;=25000,"Low Gap",Table2[[#This Row],[PAYMENT GAP]]&lt;=100000,"Medium Gap",
TRUE,"High Gap"
)</f>
        <v>Medium Gap</v>
      </c>
    </row>
    <row r="1633" spans="1:30" x14ac:dyDescent="0.3">
      <c r="A1633">
        <v>1632</v>
      </c>
      <c r="B1633" s="1">
        <v>100000</v>
      </c>
      <c r="C1633" s="1" t="str" cm="1">
        <f t="array" ref="C1633">_xlfn.IFS(Table2[[#This Row],[LIMIT_BAL]]&lt;=100000,"Low",Table2[[#This Row],[LIMIT_BAL]]&lt;=300000,"Medium",
TRUE,"High"
)</f>
        <v>Low</v>
      </c>
      <c r="D1633" t="s">
        <v>2041</v>
      </c>
      <c r="E1633" t="s">
        <v>2026</v>
      </c>
      <c r="F1633" t="s">
        <v>2028</v>
      </c>
      <c r="G1633">
        <v>43</v>
      </c>
      <c r="H1633" t="str" cm="1">
        <f t="array" ref="H1633">_xlfn.IFS(
Table2[[#This Row],[AGE]]&lt;30,"Young",
Table2[[#This Row],[AGE]]&lt;40,"Middle Age",
Table2[[#This Row],[AGE]]&lt;50,"Senior",
TRUE,"Super Senior"
)</f>
        <v>Senior</v>
      </c>
      <c r="I1633">
        <v>-1</v>
      </c>
      <c r="J1633">
        <v>-1</v>
      </c>
      <c r="K1633">
        <v>-1</v>
      </c>
      <c r="L1633">
        <v>-1</v>
      </c>
      <c r="M1633">
        <v>-1</v>
      </c>
      <c r="N1633">
        <v>-1</v>
      </c>
      <c r="O1633" s="1">
        <v>9122</v>
      </c>
      <c r="P1633" s="1">
        <v>22971</v>
      </c>
      <c r="Q1633" s="1">
        <v>15537</v>
      </c>
      <c r="R1633" s="1">
        <v>27075</v>
      </c>
      <c r="S1633" s="1">
        <v>8423</v>
      </c>
      <c r="T1633" s="1">
        <v>37259</v>
      </c>
      <c r="U1633" s="1">
        <v>22982</v>
      </c>
      <c r="V1633" s="1">
        <v>15561</v>
      </c>
      <c r="W1633" s="1">
        <v>27091</v>
      </c>
      <c r="X1633" s="1">
        <v>8423</v>
      </c>
      <c r="Y1633" s="1">
        <v>37259</v>
      </c>
      <c r="Z1633" s="1">
        <v>16751</v>
      </c>
      <c r="AA1633">
        <v>0</v>
      </c>
      <c r="AB1633" t="str">
        <f t="shared" si="25"/>
        <v>Not Defaulter</v>
      </c>
      <c r="AC1633" s="1">
        <f>Table2[[#This Row],[BILL_AMT1]]-Table2[[#This Row],[PAY_AMT1]]</f>
        <v>-13860</v>
      </c>
      <c r="AD1633" s="1" t="str" cm="1">
        <f t="array" ref="AD1633">_xlfn.IFS(Table2[[#This Row],[PAYMENT GAP]]&lt;=0,"No Gap / Overpaid",Table2[[#This Row],[PAYMENT GAP]]&lt;=25000,"Low Gap",Table2[[#This Row],[PAYMENT GAP]]&lt;=100000,"Medium Gap",
TRUE,"High Gap"
)</f>
        <v>No Gap / Overpaid</v>
      </c>
    </row>
    <row r="1634" spans="1:30" x14ac:dyDescent="0.3">
      <c r="A1634">
        <v>1633</v>
      </c>
      <c r="B1634" s="1">
        <v>250000</v>
      </c>
      <c r="C1634" s="1" t="str" cm="1">
        <f t="array" ref="C1634">_xlfn.IFS(Table2[[#This Row],[LIMIT_BAL]]&lt;=100000,"Low",Table2[[#This Row],[LIMIT_BAL]]&lt;=300000,"Medium",
TRUE,"High"
)</f>
        <v>Medium</v>
      </c>
      <c r="D1634" t="s">
        <v>2041</v>
      </c>
      <c r="E1634" t="s">
        <v>2026</v>
      </c>
      <c r="F1634" t="s">
        <v>2029</v>
      </c>
      <c r="G1634">
        <v>32</v>
      </c>
      <c r="H1634" t="str" cm="1">
        <f t="array" ref="H1634">_xlfn.IFS(
Table2[[#This Row],[AGE]]&lt;30,"Young",
Table2[[#This Row],[AGE]]&lt;40,"Middle Age",
Table2[[#This Row],[AGE]]&lt;50,"Senior",
TRUE,"Super Senior"
)</f>
        <v>Middle Age</v>
      </c>
      <c r="I1634">
        <v>0</v>
      </c>
      <c r="J1634">
        <v>0</v>
      </c>
      <c r="K1634">
        <v>0</v>
      </c>
      <c r="L1634">
        <v>0</v>
      </c>
      <c r="M1634">
        <v>-1</v>
      </c>
      <c r="N1634">
        <v>-1</v>
      </c>
      <c r="O1634" s="1">
        <v>33323</v>
      </c>
      <c r="P1634" s="1">
        <v>30090</v>
      </c>
      <c r="Q1634" s="1">
        <v>21218</v>
      </c>
      <c r="R1634" s="1">
        <v>10875</v>
      </c>
      <c r="S1634" s="1">
        <v>3328</v>
      </c>
      <c r="T1634" s="1">
        <v>1460</v>
      </c>
      <c r="U1634" s="1">
        <v>2038</v>
      </c>
      <c r="V1634" s="1">
        <v>2065</v>
      </c>
      <c r="W1634" s="1">
        <v>52</v>
      </c>
      <c r="X1634" s="1">
        <v>3336</v>
      </c>
      <c r="Y1634" s="1">
        <v>1460</v>
      </c>
      <c r="Z1634" s="1">
        <v>1000</v>
      </c>
      <c r="AA1634">
        <v>0</v>
      </c>
      <c r="AB1634" t="str">
        <f t="shared" si="25"/>
        <v>Not Defaulter</v>
      </c>
      <c r="AC1634" s="1">
        <f>Table2[[#This Row],[BILL_AMT1]]-Table2[[#This Row],[PAY_AMT1]]</f>
        <v>31285</v>
      </c>
      <c r="AD1634" s="1" t="str" cm="1">
        <f t="array" ref="AD1634">_xlfn.IFS(Table2[[#This Row],[PAYMENT GAP]]&lt;=0,"No Gap / Overpaid",Table2[[#This Row],[PAYMENT GAP]]&lt;=25000,"Low Gap",Table2[[#This Row],[PAYMENT GAP]]&lt;=100000,"Medium Gap",
TRUE,"High Gap"
)</f>
        <v>Medium Gap</v>
      </c>
    </row>
    <row r="1635" spans="1:30" x14ac:dyDescent="0.3">
      <c r="A1635">
        <v>1634</v>
      </c>
      <c r="B1635" s="1">
        <v>80000</v>
      </c>
      <c r="C1635" s="1" t="str" cm="1">
        <f t="array" ref="C1635">_xlfn.IFS(Table2[[#This Row],[LIMIT_BAL]]&lt;=100000,"Low",Table2[[#This Row],[LIMIT_BAL]]&lt;=300000,"Medium",
TRUE,"High"
)</f>
        <v>Low</v>
      </c>
      <c r="D1635" t="s">
        <v>2041</v>
      </c>
      <c r="E1635" t="s">
        <v>2026</v>
      </c>
      <c r="F1635" t="s">
        <v>2029</v>
      </c>
      <c r="G1635">
        <v>38</v>
      </c>
      <c r="H1635" t="str" cm="1">
        <f t="array" ref="H1635">_xlfn.IFS(
Table2[[#This Row],[AGE]]&lt;30,"Young",
Table2[[#This Row],[AGE]]&lt;40,"Middle Age",
Table2[[#This Row],[AGE]]&lt;50,"Senior",
TRUE,"Super Senior"
)</f>
        <v>Middle Age</v>
      </c>
      <c r="I1635">
        <v>-2</v>
      </c>
      <c r="J1635">
        <v>-2</v>
      </c>
      <c r="K1635">
        <v>-2</v>
      </c>
      <c r="L1635">
        <v>-2</v>
      </c>
      <c r="M1635">
        <v>-2</v>
      </c>
      <c r="N1635">
        <v>-2</v>
      </c>
      <c r="O1635" s="1">
        <v>1927</v>
      </c>
      <c r="P1635" s="1">
        <v>446</v>
      </c>
      <c r="Q1635" s="1">
        <v>909</v>
      </c>
      <c r="R1635" s="1">
        <v>1740</v>
      </c>
      <c r="S1635" s="1">
        <v>2190</v>
      </c>
      <c r="T1635" s="1">
        <v>518</v>
      </c>
      <c r="U1635" s="1">
        <v>446</v>
      </c>
      <c r="V1635" s="1">
        <v>909</v>
      </c>
      <c r="W1635" s="1">
        <v>1740</v>
      </c>
      <c r="X1635" s="1">
        <v>2190</v>
      </c>
      <c r="Y1635" s="1">
        <v>518</v>
      </c>
      <c r="Z1635" s="1">
        <v>5062</v>
      </c>
      <c r="AA1635">
        <v>0</v>
      </c>
      <c r="AB1635" t="str">
        <f t="shared" si="25"/>
        <v>Not Defaulter</v>
      </c>
      <c r="AC1635" s="1">
        <f>Table2[[#This Row],[BILL_AMT1]]-Table2[[#This Row],[PAY_AMT1]]</f>
        <v>1481</v>
      </c>
      <c r="AD1635" s="1" t="str" cm="1">
        <f t="array" ref="AD1635">_xlfn.IFS(Table2[[#This Row],[PAYMENT GAP]]&lt;=0,"No Gap / Overpaid",Table2[[#This Row],[PAYMENT GAP]]&lt;=25000,"Low Gap",Table2[[#This Row],[PAYMENT GAP]]&lt;=100000,"Medium Gap",
TRUE,"High Gap"
)</f>
        <v>Low Gap</v>
      </c>
    </row>
    <row r="1636" spans="1:30" x14ac:dyDescent="0.3">
      <c r="A1636">
        <v>1635</v>
      </c>
      <c r="B1636" s="1">
        <v>170000</v>
      </c>
      <c r="C1636" s="1" t="str" cm="1">
        <f t="array" ref="C1636">_xlfn.IFS(Table2[[#This Row],[LIMIT_BAL]]&lt;=100000,"Low",Table2[[#This Row],[LIMIT_BAL]]&lt;=300000,"Medium",
TRUE,"High"
)</f>
        <v>Medium</v>
      </c>
      <c r="D1636" t="s">
        <v>2041</v>
      </c>
      <c r="E1636" t="s">
        <v>2043</v>
      </c>
      <c r="F1636" t="s">
        <v>2028</v>
      </c>
      <c r="G1636">
        <v>50</v>
      </c>
      <c r="H1636" t="str" cm="1">
        <f t="array" ref="H1636">_xlfn.IFS(
Table2[[#This Row],[AGE]]&lt;30,"Young",
Table2[[#This Row],[AGE]]&lt;40,"Middle Age",
Table2[[#This Row],[AGE]]&lt;50,"Senior",
TRUE,"Super Senior"
)</f>
        <v>Super Senior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s="1">
        <v>177956</v>
      </c>
      <c r="P1636" s="1">
        <v>176155</v>
      </c>
      <c r="Q1636" s="1">
        <v>171665</v>
      </c>
      <c r="R1636" s="1">
        <v>65479</v>
      </c>
      <c r="S1636" s="1">
        <v>61234</v>
      </c>
      <c r="T1636" s="1">
        <v>42484</v>
      </c>
      <c r="U1636" s="1">
        <v>7262</v>
      </c>
      <c r="V1636" s="1">
        <v>5586</v>
      </c>
      <c r="W1636" s="1">
        <v>2272</v>
      </c>
      <c r="X1636" s="1">
        <v>2998</v>
      </c>
      <c r="Y1636" s="1">
        <v>39321</v>
      </c>
      <c r="Z1636" s="1">
        <v>1390</v>
      </c>
      <c r="AA1636">
        <v>0</v>
      </c>
      <c r="AB1636" t="str">
        <f t="shared" si="25"/>
        <v>Not Defaulter</v>
      </c>
      <c r="AC1636" s="1">
        <f>Table2[[#This Row],[BILL_AMT1]]-Table2[[#This Row],[PAY_AMT1]]</f>
        <v>170694</v>
      </c>
      <c r="AD1636" s="1" t="str" cm="1">
        <f t="array" ref="AD1636">_xlfn.IFS(Table2[[#This Row],[PAYMENT GAP]]&lt;=0,"No Gap / Overpaid",Table2[[#This Row],[PAYMENT GAP]]&lt;=25000,"Low Gap",Table2[[#This Row],[PAYMENT GAP]]&lt;=100000,"Medium Gap",
TRUE,"High Gap"
)</f>
        <v>High Gap</v>
      </c>
    </row>
    <row r="1637" spans="1:30" x14ac:dyDescent="0.3">
      <c r="A1637">
        <v>1636</v>
      </c>
      <c r="B1637" s="1">
        <v>80000</v>
      </c>
      <c r="C1637" s="1" t="str" cm="1">
        <f t="array" ref="C1637">_xlfn.IFS(Table2[[#This Row],[LIMIT_BAL]]&lt;=100000,"Low",Table2[[#This Row],[LIMIT_BAL]]&lt;=300000,"Medium",
TRUE,"High"
)</f>
        <v>Low</v>
      </c>
      <c r="D1637" t="s">
        <v>2042</v>
      </c>
      <c r="E1637" t="s">
        <v>2027</v>
      </c>
      <c r="F1637" t="s">
        <v>2029</v>
      </c>
      <c r="G1637">
        <v>29</v>
      </c>
      <c r="H1637" t="str" cm="1">
        <f t="array" ref="H1637">_xlfn.IFS(
Table2[[#This Row],[AGE]]&lt;30,"Young",
Table2[[#This Row],[AGE]]&lt;40,"Middle Age",
Table2[[#This Row],[AGE]]&lt;50,"Senior",
TRUE,"Super Senior"
)</f>
        <v>Young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 s="1">
        <v>46638</v>
      </c>
      <c r="P1637" s="1">
        <v>47680</v>
      </c>
      <c r="Q1637" s="1">
        <v>48395</v>
      </c>
      <c r="R1637" s="1">
        <v>49356</v>
      </c>
      <c r="S1637" s="1">
        <v>50560</v>
      </c>
      <c r="T1637" s="1">
        <v>51431</v>
      </c>
      <c r="U1637" s="1">
        <v>2091</v>
      </c>
      <c r="V1637" s="1">
        <v>1806</v>
      </c>
      <c r="W1637" s="1">
        <v>1767</v>
      </c>
      <c r="X1637" s="1">
        <v>2000</v>
      </c>
      <c r="Y1637" s="1">
        <v>1767</v>
      </c>
      <c r="Z1637" s="1">
        <v>1740</v>
      </c>
      <c r="AA1637">
        <v>0</v>
      </c>
      <c r="AB1637" t="str">
        <f t="shared" si="25"/>
        <v>Not Defaulter</v>
      </c>
      <c r="AC1637" s="1">
        <f>Table2[[#This Row],[BILL_AMT1]]-Table2[[#This Row],[PAY_AMT1]]</f>
        <v>44547</v>
      </c>
      <c r="AD1637" s="1" t="str" cm="1">
        <f t="array" ref="AD1637">_xlfn.IFS(Table2[[#This Row],[PAYMENT GAP]]&lt;=0,"No Gap / Overpaid",Table2[[#This Row],[PAYMENT GAP]]&lt;=25000,"Low Gap",Table2[[#This Row],[PAYMENT GAP]]&lt;=100000,"Medium Gap",
TRUE,"High Gap"
)</f>
        <v>Medium Gap</v>
      </c>
    </row>
    <row r="1638" spans="1:30" x14ac:dyDescent="0.3">
      <c r="A1638">
        <v>1637</v>
      </c>
      <c r="B1638" s="1">
        <v>50000</v>
      </c>
      <c r="C1638" s="1" t="str" cm="1">
        <f t="array" ref="C1638">_xlfn.IFS(Table2[[#This Row],[LIMIT_BAL]]&lt;=100000,"Low",Table2[[#This Row],[LIMIT_BAL]]&lt;=300000,"Medium",
TRUE,"High"
)</f>
        <v>Low</v>
      </c>
      <c r="D1638" t="s">
        <v>2042</v>
      </c>
      <c r="E1638" t="s">
        <v>2043</v>
      </c>
      <c r="F1638" t="s">
        <v>2028</v>
      </c>
      <c r="G1638">
        <v>49</v>
      </c>
      <c r="H1638" t="str" cm="1">
        <f t="array" ref="H1638">_xlfn.IFS(
Table2[[#This Row],[AGE]]&lt;30,"Young",
Table2[[#This Row],[AGE]]&lt;40,"Middle Age",
Table2[[#This Row],[AGE]]&lt;50,"Senior",
TRUE,"Super Senior"
)</f>
        <v>Senior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 s="1">
        <v>49816</v>
      </c>
      <c r="P1638" s="1">
        <v>49749</v>
      </c>
      <c r="Q1638" s="1">
        <v>48589</v>
      </c>
      <c r="R1638" s="1">
        <v>59469</v>
      </c>
      <c r="S1638" s="1">
        <v>20239</v>
      </c>
      <c r="T1638" s="1">
        <v>20059</v>
      </c>
      <c r="U1638" s="1">
        <v>3000</v>
      </c>
      <c r="V1638" s="1">
        <v>2000</v>
      </c>
      <c r="W1638" s="1">
        <v>1900</v>
      </c>
      <c r="X1638" s="1">
        <v>1004</v>
      </c>
      <c r="Y1638" s="1">
        <v>1600</v>
      </c>
      <c r="Z1638" s="1">
        <v>700</v>
      </c>
      <c r="AA1638">
        <v>0</v>
      </c>
      <c r="AB1638" t="str">
        <f t="shared" si="25"/>
        <v>Not Defaulter</v>
      </c>
      <c r="AC1638" s="1">
        <f>Table2[[#This Row],[BILL_AMT1]]-Table2[[#This Row],[PAY_AMT1]]</f>
        <v>46816</v>
      </c>
      <c r="AD1638" s="1" t="str" cm="1">
        <f t="array" ref="AD1638">_xlfn.IFS(Table2[[#This Row],[PAYMENT GAP]]&lt;=0,"No Gap / Overpaid",Table2[[#This Row],[PAYMENT GAP]]&lt;=25000,"Low Gap",Table2[[#This Row],[PAYMENT GAP]]&lt;=100000,"Medium Gap",
TRUE,"High Gap"
)</f>
        <v>Medium Gap</v>
      </c>
    </row>
    <row r="1639" spans="1:30" x14ac:dyDescent="0.3">
      <c r="A1639">
        <v>1638</v>
      </c>
      <c r="B1639" s="1">
        <v>30000</v>
      </c>
      <c r="C1639" s="1" t="str" cm="1">
        <f t="array" ref="C1639">_xlfn.IFS(Table2[[#This Row],[LIMIT_BAL]]&lt;=100000,"Low",Table2[[#This Row],[LIMIT_BAL]]&lt;=300000,"Medium",
TRUE,"High"
)</f>
        <v>Low</v>
      </c>
      <c r="D1639" t="s">
        <v>2041</v>
      </c>
      <c r="E1639" t="s">
        <v>2027</v>
      </c>
      <c r="F1639" t="s">
        <v>2029</v>
      </c>
      <c r="G1639">
        <v>40</v>
      </c>
      <c r="H1639" t="str" cm="1">
        <f t="array" ref="H1639">_xlfn.IFS(
Table2[[#This Row],[AGE]]&lt;30,"Young",
Table2[[#This Row],[AGE]]&lt;40,"Middle Age",
Table2[[#This Row],[AGE]]&lt;50,"Senior",
TRUE,"Super Senior"
)</f>
        <v>Senior</v>
      </c>
      <c r="I1639">
        <v>2</v>
      </c>
      <c r="J1639">
        <v>2</v>
      </c>
      <c r="K1639">
        <v>2</v>
      </c>
      <c r="L1639">
        <v>2</v>
      </c>
      <c r="M1639">
        <v>0</v>
      </c>
      <c r="N1639">
        <v>0</v>
      </c>
      <c r="O1639" s="1">
        <v>23687</v>
      </c>
      <c r="P1639" s="1">
        <v>23020</v>
      </c>
      <c r="Q1639" s="1">
        <v>25218</v>
      </c>
      <c r="R1639" s="1">
        <v>24514</v>
      </c>
      <c r="S1639" s="1">
        <v>25030</v>
      </c>
      <c r="T1639" s="1">
        <v>25557</v>
      </c>
      <c r="U1639" s="1">
        <v>0</v>
      </c>
      <c r="V1639" s="1">
        <v>2579</v>
      </c>
      <c r="W1639" s="1">
        <v>0</v>
      </c>
      <c r="X1639" s="1">
        <v>909</v>
      </c>
      <c r="Y1639" s="1">
        <v>944</v>
      </c>
      <c r="Z1639" s="1">
        <v>4642</v>
      </c>
      <c r="AA1639">
        <v>0</v>
      </c>
      <c r="AB1639" t="str">
        <f t="shared" si="25"/>
        <v>Not Defaulter</v>
      </c>
      <c r="AC1639" s="1">
        <f>Table2[[#This Row],[BILL_AMT1]]-Table2[[#This Row],[PAY_AMT1]]</f>
        <v>23687</v>
      </c>
      <c r="AD1639" s="1" t="str" cm="1">
        <f t="array" ref="AD1639">_xlfn.IFS(Table2[[#This Row],[PAYMENT GAP]]&lt;=0,"No Gap / Overpaid",Table2[[#This Row],[PAYMENT GAP]]&lt;=25000,"Low Gap",Table2[[#This Row],[PAYMENT GAP]]&lt;=100000,"Medium Gap",
TRUE,"High Gap"
)</f>
        <v>Low Gap</v>
      </c>
    </row>
    <row r="1640" spans="1:30" x14ac:dyDescent="0.3">
      <c r="A1640">
        <v>1639</v>
      </c>
      <c r="B1640" s="1">
        <v>70000</v>
      </c>
      <c r="C1640" s="1" t="str" cm="1">
        <f t="array" ref="C1640">_xlfn.IFS(Table2[[#This Row],[LIMIT_BAL]]&lt;=100000,"Low",Table2[[#This Row],[LIMIT_BAL]]&lt;=300000,"Medium",
TRUE,"High"
)</f>
        <v>Low</v>
      </c>
      <c r="D1640" t="s">
        <v>2041</v>
      </c>
      <c r="E1640" t="s">
        <v>2026</v>
      </c>
      <c r="F1640" t="s">
        <v>2029</v>
      </c>
      <c r="G1640">
        <v>34</v>
      </c>
      <c r="H1640" t="str" cm="1">
        <f t="array" ref="H1640">_xlfn.IFS(
Table2[[#This Row],[AGE]]&lt;30,"Young",
Table2[[#This Row],[AGE]]&lt;40,"Middle Age",
Table2[[#This Row],[AGE]]&lt;50,"Senior",
TRUE,"Super Senior"
)</f>
        <v>Middle Age</v>
      </c>
      <c r="I1640">
        <v>1</v>
      </c>
      <c r="J1640">
        <v>3</v>
      </c>
      <c r="K1640">
        <v>2</v>
      </c>
      <c r="L1640">
        <v>0</v>
      </c>
      <c r="M1640">
        <v>0</v>
      </c>
      <c r="N1640">
        <v>0</v>
      </c>
      <c r="O1640" s="1">
        <v>70971</v>
      </c>
      <c r="P1640" s="1">
        <v>71272</v>
      </c>
      <c r="Q1640" s="1">
        <v>69405</v>
      </c>
      <c r="R1640" s="1">
        <v>34045</v>
      </c>
      <c r="S1640" s="1">
        <v>34995</v>
      </c>
      <c r="T1640" s="1">
        <v>36025</v>
      </c>
      <c r="U1640" s="1">
        <v>2000</v>
      </c>
      <c r="V1640" s="1">
        <v>0</v>
      </c>
      <c r="W1640" s="1">
        <v>1220</v>
      </c>
      <c r="X1640" s="1">
        <v>1500</v>
      </c>
      <c r="Y1640" s="1">
        <v>1725</v>
      </c>
      <c r="Z1640" s="1">
        <v>0</v>
      </c>
      <c r="AA1640">
        <v>1</v>
      </c>
      <c r="AB1640" t="str">
        <f t="shared" si="25"/>
        <v>Defaulter</v>
      </c>
      <c r="AC1640" s="1">
        <f>Table2[[#This Row],[BILL_AMT1]]-Table2[[#This Row],[PAY_AMT1]]</f>
        <v>68971</v>
      </c>
      <c r="AD1640" s="1" t="str" cm="1">
        <f t="array" ref="AD1640">_xlfn.IFS(Table2[[#This Row],[PAYMENT GAP]]&lt;=0,"No Gap / Overpaid",Table2[[#This Row],[PAYMENT GAP]]&lt;=25000,"Low Gap",Table2[[#This Row],[PAYMENT GAP]]&lt;=100000,"Medium Gap",
TRUE,"High Gap"
)</f>
        <v>Medium Gap</v>
      </c>
    </row>
    <row r="1641" spans="1:30" x14ac:dyDescent="0.3">
      <c r="A1641">
        <v>1640</v>
      </c>
      <c r="B1641" s="1">
        <v>30000</v>
      </c>
      <c r="C1641" s="1" t="str" cm="1">
        <f t="array" ref="C1641">_xlfn.IFS(Table2[[#This Row],[LIMIT_BAL]]&lt;=100000,"Low",Table2[[#This Row],[LIMIT_BAL]]&lt;=300000,"Medium",
TRUE,"High"
)</f>
        <v>Low</v>
      </c>
      <c r="D1641" t="s">
        <v>2041</v>
      </c>
      <c r="E1641" t="s">
        <v>2027</v>
      </c>
      <c r="F1641" t="s">
        <v>2028</v>
      </c>
      <c r="G1641">
        <v>47</v>
      </c>
      <c r="H1641" t="str" cm="1">
        <f t="array" ref="H1641">_xlfn.IFS(
Table2[[#This Row],[AGE]]&lt;30,"Young",
Table2[[#This Row],[AGE]]&lt;40,"Middle Age",
Table2[[#This Row],[AGE]]&lt;50,"Senior",
TRUE,"Super Senior"
)</f>
        <v>Senior</v>
      </c>
      <c r="I1641">
        <v>-1</v>
      </c>
      <c r="J1641">
        <v>-1</v>
      </c>
      <c r="K1641">
        <v>-1</v>
      </c>
      <c r="L1641">
        <v>-1</v>
      </c>
      <c r="M1641">
        <v>-1</v>
      </c>
      <c r="N1641">
        <v>-1</v>
      </c>
      <c r="O1641" s="1">
        <v>1355</v>
      </c>
      <c r="P1641" s="1">
        <v>5137</v>
      </c>
      <c r="Q1641" s="1">
        <v>1392</v>
      </c>
      <c r="R1641" s="1">
        <v>696</v>
      </c>
      <c r="S1641" s="1">
        <v>0</v>
      </c>
      <c r="T1641" s="1">
        <v>696</v>
      </c>
      <c r="U1641" s="1">
        <v>5174</v>
      </c>
      <c r="V1641" s="1">
        <v>1392</v>
      </c>
      <c r="W1641" s="1">
        <v>696</v>
      </c>
      <c r="X1641" s="1">
        <v>0</v>
      </c>
      <c r="Y1641" s="1">
        <v>696</v>
      </c>
      <c r="Z1641" s="1">
        <v>696</v>
      </c>
      <c r="AA1641">
        <v>0</v>
      </c>
      <c r="AB1641" t="str">
        <f t="shared" si="25"/>
        <v>Not Defaulter</v>
      </c>
      <c r="AC1641" s="1">
        <f>Table2[[#This Row],[BILL_AMT1]]-Table2[[#This Row],[PAY_AMT1]]</f>
        <v>-3819</v>
      </c>
      <c r="AD1641" s="1" t="str" cm="1">
        <f t="array" ref="AD1641">_xlfn.IFS(Table2[[#This Row],[PAYMENT GAP]]&lt;=0,"No Gap / Overpaid",Table2[[#This Row],[PAYMENT GAP]]&lt;=25000,"Low Gap",Table2[[#This Row],[PAYMENT GAP]]&lt;=100000,"Medium Gap",
TRUE,"High Gap"
)</f>
        <v>No Gap / Overpaid</v>
      </c>
    </row>
    <row r="1642" spans="1:30" x14ac:dyDescent="0.3">
      <c r="A1642">
        <v>1641</v>
      </c>
      <c r="B1642" s="1">
        <v>200000</v>
      </c>
      <c r="C1642" s="1" t="str" cm="1">
        <f t="array" ref="C1642">_xlfn.IFS(Table2[[#This Row],[LIMIT_BAL]]&lt;=100000,"Low",Table2[[#This Row],[LIMIT_BAL]]&lt;=300000,"Medium",
TRUE,"High"
)</f>
        <v>Medium</v>
      </c>
      <c r="D1642" t="s">
        <v>2042</v>
      </c>
      <c r="E1642" t="s">
        <v>2026</v>
      </c>
      <c r="F1642" t="s">
        <v>2028</v>
      </c>
      <c r="G1642">
        <v>34</v>
      </c>
      <c r="H1642" t="str" cm="1">
        <f t="array" ref="H1642">_xlfn.IFS(
Table2[[#This Row],[AGE]]&lt;30,"Young",
Table2[[#This Row],[AGE]]&lt;40,"Middle Age",
Table2[[#This Row],[AGE]]&lt;50,"Senior",
TRUE,"Super Senior"
)</f>
        <v>Middle Age</v>
      </c>
      <c r="I1642">
        <v>-1</v>
      </c>
      <c r="J1642">
        <v>-1</v>
      </c>
      <c r="K1642">
        <v>-1</v>
      </c>
      <c r="L1642">
        <v>-1</v>
      </c>
      <c r="M1642">
        <v>-1</v>
      </c>
      <c r="N1642">
        <v>-1</v>
      </c>
      <c r="O1642" s="1">
        <v>5023</v>
      </c>
      <c r="P1642" s="1">
        <v>618</v>
      </c>
      <c r="Q1642" s="1">
        <v>605</v>
      </c>
      <c r="R1642" s="1">
        <v>3098</v>
      </c>
      <c r="S1642" s="1">
        <v>805</v>
      </c>
      <c r="T1642" s="1">
        <v>2154</v>
      </c>
      <c r="U1642" s="1">
        <v>621</v>
      </c>
      <c r="V1642" s="1">
        <v>608</v>
      </c>
      <c r="W1642" s="1">
        <v>3114</v>
      </c>
      <c r="X1642" s="1">
        <v>1003</v>
      </c>
      <c r="Y1642" s="1">
        <v>2164</v>
      </c>
      <c r="Z1642" s="1">
        <v>1210</v>
      </c>
      <c r="AA1642">
        <v>0</v>
      </c>
      <c r="AB1642" t="str">
        <f t="shared" si="25"/>
        <v>Not Defaulter</v>
      </c>
      <c r="AC1642" s="1">
        <f>Table2[[#This Row],[BILL_AMT1]]-Table2[[#This Row],[PAY_AMT1]]</f>
        <v>4402</v>
      </c>
      <c r="AD1642" s="1" t="str" cm="1">
        <f t="array" ref="AD1642">_xlfn.IFS(Table2[[#This Row],[PAYMENT GAP]]&lt;=0,"No Gap / Overpaid",Table2[[#This Row],[PAYMENT GAP]]&lt;=25000,"Low Gap",Table2[[#This Row],[PAYMENT GAP]]&lt;=100000,"Medium Gap",
TRUE,"High Gap"
)</f>
        <v>Low Gap</v>
      </c>
    </row>
    <row r="1643" spans="1:30" x14ac:dyDescent="0.3">
      <c r="A1643">
        <v>1642</v>
      </c>
      <c r="B1643" s="1">
        <v>100000</v>
      </c>
      <c r="C1643" s="1" t="str" cm="1">
        <f t="array" ref="C1643">_xlfn.IFS(Table2[[#This Row],[LIMIT_BAL]]&lt;=100000,"Low",Table2[[#This Row],[LIMIT_BAL]]&lt;=300000,"Medium",
TRUE,"High"
)</f>
        <v>Low</v>
      </c>
      <c r="D1643" t="s">
        <v>2041</v>
      </c>
      <c r="E1643" t="s">
        <v>2043</v>
      </c>
      <c r="F1643" t="s">
        <v>2029</v>
      </c>
      <c r="G1643">
        <v>27</v>
      </c>
      <c r="H1643" t="str" cm="1">
        <f t="array" ref="H1643">_xlfn.IFS(
Table2[[#This Row],[AGE]]&lt;30,"Young",
Table2[[#This Row],[AGE]]&lt;40,"Middle Age",
Table2[[#This Row],[AGE]]&lt;50,"Senior",
TRUE,"Super Senior"
)</f>
        <v>Young</v>
      </c>
      <c r="I1643">
        <v>-1</v>
      </c>
      <c r="J1643">
        <v>-1</v>
      </c>
      <c r="K1643">
        <v>-1</v>
      </c>
      <c r="L1643">
        <v>-2</v>
      </c>
      <c r="M1643">
        <v>-2</v>
      </c>
      <c r="N1643">
        <v>-2</v>
      </c>
      <c r="O1643" s="1">
        <v>11540</v>
      </c>
      <c r="P1643" s="1">
        <v>1300</v>
      </c>
      <c r="Q1643" s="1">
        <v>0</v>
      </c>
      <c r="R1643" s="1">
        <v>0</v>
      </c>
      <c r="S1643" s="1">
        <v>0</v>
      </c>
      <c r="T1643" s="1">
        <v>0</v>
      </c>
      <c r="U1643" s="1">
        <v>1303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>
        <v>0</v>
      </c>
      <c r="AB1643" t="str">
        <f t="shared" si="25"/>
        <v>Not Defaulter</v>
      </c>
      <c r="AC1643" s="1">
        <f>Table2[[#This Row],[BILL_AMT1]]-Table2[[#This Row],[PAY_AMT1]]</f>
        <v>10237</v>
      </c>
      <c r="AD1643" s="1" t="str" cm="1">
        <f t="array" ref="AD1643">_xlfn.IFS(Table2[[#This Row],[PAYMENT GAP]]&lt;=0,"No Gap / Overpaid",Table2[[#This Row],[PAYMENT GAP]]&lt;=25000,"Low Gap",Table2[[#This Row],[PAYMENT GAP]]&lt;=100000,"Medium Gap",
TRUE,"High Gap"
)</f>
        <v>Low Gap</v>
      </c>
    </row>
    <row r="1644" spans="1:30" x14ac:dyDescent="0.3">
      <c r="A1644">
        <v>1643</v>
      </c>
      <c r="B1644" s="1">
        <v>20000</v>
      </c>
      <c r="C1644" s="1" t="str" cm="1">
        <f t="array" ref="C1644">_xlfn.IFS(Table2[[#This Row],[LIMIT_BAL]]&lt;=100000,"Low",Table2[[#This Row],[LIMIT_BAL]]&lt;=300000,"Medium",
TRUE,"High"
)</f>
        <v>Low</v>
      </c>
      <c r="D1644" t="s">
        <v>2042</v>
      </c>
      <c r="E1644" t="s">
        <v>2043</v>
      </c>
      <c r="F1644" t="s">
        <v>2029</v>
      </c>
      <c r="G1644">
        <v>44</v>
      </c>
      <c r="H1644" t="str" cm="1">
        <f t="array" ref="H1644">_xlfn.IFS(
Table2[[#This Row],[AGE]]&lt;30,"Young",
Table2[[#This Row],[AGE]]&lt;40,"Middle Age",
Table2[[#This Row],[AGE]]&lt;50,"Senior",
TRUE,"Super Senior"
)</f>
        <v>Senior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 s="1">
        <v>17636</v>
      </c>
      <c r="P1644" s="1">
        <v>17947</v>
      </c>
      <c r="Q1644" s="1">
        <v>17914</v>
      </c>
      <c r="R1644" s="1">
        <v>18357</v>
      </c>
      <c r="S1644" s="1">
        <v>19155</v>
      </c>
      <c r="T1644" s="1">
        <v>10200</v>
      </c>
      <c r="U1644" s="1">
        <v>1375</v>
      </c>
      <c r="V1644" s="1">
        <v>1122</v>
      </c>
      <c r="W1644" s="1">
        <v>565</v>
      </c>
      <c r="X1644" s="1">
        <v>1000</v>
      </c>
      <c r="Y1644" s="1">
        <v>204</v>
      </c>
      <c r="Z1644" s="1">
        <v>0</v>
      </c>
      <c r="AA1644">
        <v>1</v>
      </c>
      <c r="AB1644" t="str">
        <f t="shared" si="25"/>
        <v>Defaulter</v>
      </c>
      <c r="AC1644" s="1">
        <f>Table2[[#This Row],[BILL_AMT1]]-Table2[[#This Row],[PAY_AMT1]]</f>
        <v>16261</v>
      </c>
      <c r="AD1644" s="1" t="str" cm="1">
        <f t="array" ref="AD1644">_xlfn.IFS(Table2[[#This Row],[PAYMENT GAP]]&lt;=0,"No Gap / Overpaid",Table2[[#This Row],[PAYMENT GAP]]&lt;=25000,"Low Gap",Table2[[#This Row],[PAYMENT GAP]]&lt;=100000,"Medium Gap",
TRUE,"High Gap"
)</f>
        <v>Low Gap</v>
      </c>
    </row>
    <row r="1645" spans="1:30" x14ac:dyDescent="0.3">
      <c r="A1645">
        <v>1644</v>
      </c>
      <c r="B1645" s="1">
        <v>200000</v>
      </c>
      <c r="C1645" s="1" t="str" cm="1">
        <f t="array" ref="C1645">_xlfn.IFS(Table2[[#This Row],[LIMIT_BAL]]&lt;=100000,"Low",Table2[[#This Row],[LIMIT_BAL]]&lt;=300000,"Medium",
TRUE,"High"
)</f>
        <v>Medium</v>
      </c>
      <c r="D1645" t="s">
        <v>2042</v>
      </c>
      <c r="E1645" t="s">
        <v>2026</v>
      </c>
      <c r="F1645" t="s">
        <v>2029</v>
      </c>
      <c r="G1645">
        <v>29</v>
      </c>
      <c r="H1645" t="str" cm="1">
        <f t="array" ref="H1645">_xlfn.IFS(
Table2[[#This Row],[AGE]]&lt;30,"Young",
Table2[[#This Row],[AGE]]&lt;40,"Middle Age",
Table2[[#This Row],[AGE]]&lt;50,"Senior",
TRUE,"Super Senior"
)</f>
        <v>Young</v>
      </c>
      <c r="I1645">
        <v>-1</v>
      </c>
      <c r="J1645">
        <v>-1</v>
      </c>
      <c r="K1645">
        <v>-2</v>
      </c>
      <c r="L1645">
        <v>-2</v>
      </c>
      <c r="M1645">
        <v>-2</v>
      </c>
      <c r="N1645">
        <v>-2</v>
      </c>
      <c r="O1645" s="1">
        <v>2290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>
        <v>0</v>
      </c>
      <c r="AB1645" t="str">
        <f t="shared" si="25"/>
        <v>Not Defaulter</v>
      </c>
      <c r="AC1645" s="1">
        <f>Table2[[#This Row],[BILL_AMT1]]-Table2[[#This Row],[PAY_AMT1]]</f>
        <v>2290</v>
      </c>
      <c r="AD1645" s="1" t="str" cm="1">
        <f t="array" ref="AD1645">_xlfn.IFS(Table2[[#This Row],[PAYMENT GAP]]&lt;=0,"No Gap / Overpaid",Table2[[#This Row],[PAYMENT GAP]]&lt;=25000,"Low Gap",Table2[[#This Row],[PAYMENT GAP]]&lt;=100000,"Medium Gap",
TRUE,"High Gap"
)</f>
        <v>Low Gap</v>
      </c>
    </row>
    <row r="1646" spans="1:30" x14ac:dyDescent="0.3">
      <c r="A1646">
        <v>1645</v>
      </c>
      <c r="B1646" s="1">
        <v>50000</v>
      </c>
      <c r="C1646" s="1" t="str" cm="1">
        <f t="array" ref="C1646">_xlfn.IFS(Table2[[#This Row],[LIMIT_BAL]]&lt;=100000,"Low",Table2[[#This Row],[LIMIT_BAL]]&lt;=300000,"Medium",
TRUE,"High"
)</f>
        <v>Low</v>
      </c>
      <c r="D1646" t="s">
        <v>2042</v>
      </c>
      <c r="E1646" t="s">
        <v>2027</v>
      </c>
      <c r="F1646" t="s">
        <v>2028</v>
      </c>
      <c r="G1646">
        <v>72</v>
      </c>
      <c r="H1646" t="str" cm="1">
        <f t="array" ref="H1646">_xlfn.IFS(
Table2[[#This Row],[AGE]]&lt;30,"Young",
Table2[[#This Row],[AGE]]&lt;40,"Middle Age",
Table2[[#This Row],[AGE]]&lt;50,"Senior",
TRUE,"Super Senior"
)</f>
        <v>Super Senior</v>
      </c>
      <c r="I1646">
        <v>2</v>
      </c>
      <c r="J1646">
        <v>0</v>
      </c>
      <c r="K1646">
        <v>0</v>
      </c>
      <c r="L1646">
        <v>0</v>
      </c>
      <c r="M1646">
        <v>2</v>
      </c>
      <c r="N1646">
        <v>2</v>
      </c>
      <c r="O1646" s="1">
        <v>35417</v>
      </c>
      <c r="P1646" s="1">
        <v>36453</v>
      </c>
      <c r="Q1646" s="1">
        <v>37166</v>
      </c>
      <c r="R1646" s="1">
        <v>39710</v>
      </c>
      <c r="S1646" s="1">
        <v>40519</v>
      </c>
      <c r="T1646" s="1">
        <v>41324</v>
      </c>
      <c r="U1646" s="1">
        <v>1908</v>
      </c>
      <c r="V1646" s="1">
        <v>1621</v>
      </c>
      <c r="W1646" s="1">
        <v>3165</v>
      </c>
      <c r="X1646" s="1">
        <v>1600</v>
      </c>
      <c r="Y1646" s="1">
        <v>1620</v>
      </c>
      <c r="Z1646" s="1">
        <v>0</v>
      </c>
      <c r="AA1646">
        <v>1</v>
      </c>
      <c r="AB1646" t="str">
        <f t="shared" si="25"/>
        <v>Defaulter</v>
      </c>
      <c r="AC1646" s="1">
        <f>Table2[[#This Row],[BILL_AMT1]]-Table2[[#This Row],[PAY_AMT1]]</f>
        <v>33509</v>
      </c>
      <c r="AD1646" s="1" t="str" cm="1">
        <f t="array" ref="AD1646">_xlfn.IFS(Table2[[#This Row],[PAYMENT GAP]]&lt;=0,"No Gap / Overpaid",Table2[[#This Row],[PAYMENT GAP]]&lt;=25000,"Low Gap",Table2[[#This Row],[PAYMENT GAP]]&lt;=100000,"Medium Gap",
TRUE,"High Gap"
)</f>
        <v>Medium Gap</v>
      </c>
    </row>
    <row r="1647" spans="1:30" x14ac:dyDescent="0.3">
      <c r="A1647">
        <v>1646</v>
      </c>
      <c r="B1647" s="1">
        <v>50000</v>
      </c>
      <c r="C1647" s="1" t="str" cm="1">
        <f t="array" ref="C1647">_xlfn.IFS(Table2[[#This Row],[LIMIT_BAL]]&lt;=100000,"Low",Table2[[#This Row],[LIMIT_BAL]]&lt;=300000,"Medium",
TRUE,"High"
)</f>
        <v>Low</v>
      </c>
      <c r="D1647" t="s">
        <v>2042</v>
      </c>
      <c r="E1647" t="s">
        <v>2043</v>
      </c>
      <c r="F1647" t="s">
        <v>2028</v>
      </c>
      <c r="G1647">
        <v>48</v>
      </c>
      <c r="H1647" t="str" cm="1">
        <f t="array" ref="H1647">_xlfn.IFS(
Table2[[#This Row],[AGE]]&lt;30,"Young",
Table2[[#This Row],[AGE]]&lt;40,"Middle Age",
Table2[[#This Row],[AGE]]&lt;50,"Senior",
TRUE,"Super Senior"
)</f>
        <v>Senior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 s="1">
        <v>40931</v>
      </c>
      <c r="P1647" s="1">
        <v>40892</v>
      </c>
      <c r="Q1647" s="1">
        <v>41612</v>
      </c>
      <c r="R1647" s="1">
        <v>18825</v>
      </c>
      <c r="S1647" s="1">
        <v>18019</v>
      </c>
      <c r="T1647" s="1">
        <v>18124</v>
      </c>
      <c r="U1647" s="1">
        <v>1880</v>
      </c>
      <c r="V1647" s="1">
        <v>1650</v>
      </c>
      <c r="W1647" s="1">
        <v>10000</v>
      </c>
      <c r="X1647" s="1">
        <v>1000</v>
      </c>
      <c r="Y1647" s="1">
        <v>700</v>
      </c>
      <c r="Z1647" s="1">
        <v>600</v>
      </c>
      <c r="AA1647">
        <v>1</v>
      </c>
      <c r="AB1647" t="str">
        <f t="shared" si="25"/>
        <v>Defaulter</v>
      </c>
      <c r="AC1647" s="1">
        <f>Table2[[#This Row],[BILL_AMT1]]-Table2[[#This Row],[PAY_AMT1]]</f>
        <v>39051</v>
      </c>
      <c r="AD1647" s="1" t="str" cm="1">
        <f t="array" ref="AD1647">_xlfn.IFS(Table2[[#This Row],[PAYMENT GAP]]&lt;=0,"No Gap / Overpaid",Table2[[#This Row],[PAYMENT GAP]]&lt;=25000,"Low Gap",Table2[[#This Row],[PAYMENT GAP]]&lt;=100000,"Medium Gap",
TRUE,"High Gap"
)</f>
        <v>Medium Gap</v>
      </c>
    </row>
    <row r="1648" spans="1:30" x14ac:dyDescent="0.3">
      <c r="A1648">
        <v>1647</v>
      </c>
      <c r="B1648" s="1">
        <v>50000</v>
      </c>
      <c r="C1648" s="1" t="str" cm="1">
        <f t="array" ref="C1648">_xlfn.IFS(Table2[[#This Row],[LIMIT_BAL]]&lt;=100000,"Low",Table2[[#This Row],[LIMIT_BAL]]&lt;=300000,"Medium",
TRUE,"High"
)</f>
        <v>Low</v>
      </c>
      <c r="D1648" t="s">
        <v>2041</v>
      </c>
      <c r="E1648" t="s">
        <v>2026</v>
      </c>
      <c r="F1648" t="s">
        <v>2029</v>
      </c>
      <c r="G1648">
        <v>27</v>
      </c>
      <c r="H1648" t="str" cm="1">
        <f t="array" ref="H1648">_xlfn.IFS(
Table2[[#This Row],[AGE]]&lt;30,"Young",
Table2[[#This Row],[AGE]]&lt;40,"Middle Age",
Table2[[#This Row],[AGE]]&lt;50,"Senior",
TRUE,"Super Senior"
)</f>
        <v>Young</v>
      </c>
      <c r="I1648">
        <v>1</v>
      </c>
      <c r="J1648">
        <v>2</v>
      </c>
      <c r="K1648">
        <v>2</v>
      </c>
      <c r="L1648">
        <v>2</v>
      </c>
      <c r="M1648">
        <v>2</v>
      </c>
      <c r="N1648">
        <v>2</v>
      </c>
      <c r="O1648" s="1">
        <v>36794</v>
      </c>
      <c r="P1648" s="1">
        <v>35922</v>
      </c>
      <c r="Q1648" s="1">
        <v>39319</v>
      </c>
      <c r="R1648" s="1">
        <v>38387</v>
      </c>
      <c r="S1648" s="1">
        <v>42764</v>
      </c>
      <c r="T1648" s="1">
        <v>41926</v>
      </c>
      <c r="U1648" s="1">
        <v>0</v>
      </c>
      <c r="V1648" s="1">
        <v>4000</v>
      </c>
      <c r="W1648" s="1">
        <v>0</v>
      </c>
      <c r="X1648" s="1">
        <v>5000</v>
      </c>
      <c r="Y1648" s="1">
        <v>0</v>
      </c>
      <c r="Z1648" s="1">
        <v>5000</v>
      </c>
      <c r="AA1648">
        <v>1</v>
      </c>
      <c r="AB1648" t="str">
        <f t="shared" si="25"/>
        <v>Defaulter</v>
      </c>
      <c r="AC1648" s="1">
        <f>Table2[[#This Row],[BILL_AMT1]]-Table2[[#This Row],[PAY_AMT1]]</f>
        <v>36794</v>
      </c>
      <c r="AD1648" s="1" t="str" cm="1">
        <f t="array" ref="AD1648">_xlfn.IFS(Table2[[#This Row],[PAYMENT GAP]]&lt;=0,"No Gap / Overpaid",Table2[[#This Row],[PAYMENT GAP]]&lt;=25000,"Low Gap",Table2[[#This Row],[PAYMENT GAP]]&lt;=100000,"Medium Gap",
TRUE,"High Gap"
)</f>
        <v>Medium Gap</v>
      </c>
    </row>
    <row r="1649" spans="1:30" x14ac:dyDescent="0.3">
      <c r="A1649">
        <v>1648</v>
      </c>
      <c r="B1649" s="1">
        <v>220000</v>
      </c>
      <c r="C1649" s="1" t="str" cm="1">
        <f t="array" ref="C1649">_xlfn.IFS(Table2[[#This Row],[LIMIT_BAL]]&lt;=100000,"Low",Table2[[#This Row],[LIMIT_BAL]]&lt;=300000,"Medium",
TRUE,"High"
)</f>
        <v>Medium</v>
      </c>
      <c r="D1649" t="s">
        <v>2042</v>
      </c>
      <c r="E1649" t="s">
        <v>2043</v>
      </c>
      <c r="F1649" t="s">
        <v>2028</v>
      </c>
      <c r="G1649">
        <v>44</v>
      </c>
      <c r="H1649" t="str" cm="1">
        <f t="array" ref="H1649">_xlfn.IFS(
Table2[[#This Row],[AGE]]&lt;30,"Young",
Table2[[#This Row],[AGE]]&lt;40,"Middle Age",
Table2[[#This Row],[AGE]]&lt;50,"Senior",
TRUE,"Super Senior"
)</f>
        <v>Senior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 s="1">
        <v>217743</v>
      </c>
      <c r="P1649" s="1">
        <v>180357</v>
      </c>
      <c r="Q1649" s="1">
        <v>183453</v>
      </c>
      <c r="R1649" s="1">
        <v>176900</v>
      </c>
      <c r="S1649" s="1">
        <v>118965</v>
      </c>
      <c r="T1649" s="1">
        <v>172907</v>
      </c>
      <c r="U1649" s="1">
        <v>7000</v>
      </c>
      <c r="V1649" s="1">
        <v>8000</v>
      </c>
      <c r="W1649" s="1">
        <v>8000</v>
      </c>
      <c r="X1649" s="1">
        <v>6000</v>
      </c>
      <c r="Y1649" s="1">
        <v>60000</v>
      </c>
      <c r="Z1649" s="1">
        <v>7000</v>
      </c>
      <c r="AA1649">
        <v>0</v>
      </c>
      <c r="AB1649" t="str">
        <f t="shared" si="25"/>
        <v>Not Defaulter</v>
      </c>
      <c r="AC1649" s="1">
        <f>Table2[[#This Row],[BILL_AMT1]]-Table2[[#This Row],[PAY_AMT1]]</f>
        <v>210743</v>
      </c>
      <c r="AD1649" s="1" t="str" cm="1">
        <f t="array" ref="AD1649">_xlfn.IFS(Table2[[#This Row],[PAYMENT GAP]]&lt;=0,"No Gap / Overpaid",Table2[[#This Row],[PAYMENT GAP]]&lt;=25000,"Low Gap",Table2[[#This Row],[PAYMENT GAP]]&lt;=100000,"Medium Gap",
TRUE,"High Gap"
)</f>
        <v>High Gap</v>
      </c>
    </row>
    <row r="1650" spans="1:30" x14ac:dyDescent="0.3">
      <c r="A1650">
        <v>1649</v>
      </c>
      <c r="B1650" s="1">
        <v>240000</v>
      </c>
      <c r="C1650" s="1" t="str" cm="1">
        <f t="array" ref="C1650">_xlfn.IFS(Table2[[#This Row],[LIMIT_BAL]]&lt;=100000,"Low",Table2[[#This Row],[LIMIT_BAL]]&lt;=300000,"Medium",
TRUE,"High"
)</f>
        <v>Medium</v>
      </c>
      <c r="D1650" t="s">
        <v>2041</v>
      </c>
      <c r="E1650" t="s">
        <v>2027</v>
      </c>
      <c r="F1650" t="s">
        <v>2028</v>
      </c>
      <c r="G1650">
        <v>39</v>
      </c>
      <c r="H1650" t="str" cm="1">
        <f t="array" ref="H1650">_xlfn.IFS(
Table2[[#This Row],[AGE]]&lt;30,"Young",
Table2[[#This Row],[AGE]]&lt;40,"Middle Age",
Table2[[#This Row],[AGE]]&lt;50,"Senior",
TRUE,"Super Senior"
)</f>
        <v>Middle Age</v>
      </c>
      <c r="I1650">
        <v>-2</v>
      </c>
      <c r="J1650">
        <v>-2</v>
      </c>
      <c r="K1650">
        <v>-2</v>
      </c>
      <c r="L1650">
        <v>-2</v>
      </c>
      <c r="M1650">
        <v>-2</v>
      </c>
      <c r="N1650">
        <v>-2</v>
      </c>
      <c r="O1650" s="1">
        <v>0</v>
      </c>
      <c r="P1650" s="1">
        <v>1234</v>
      </c>
      <c r="Q1650" s="1">
        <v>0</v>
      </c>
      <c r="R1650" s="1">
        <v>0</v>
      </c>
      <c r="S1650" s="1">
        <v>620</v>
      </c>
      <c r="T1650" s="1">
        <v>0</v>
      </c>
      <c r="U1650" s="1">
        <v>1234</v>
      </c>
      <c r="V1650" s="1">
        <v>0</v>
      </c>
      <c r="W1650" s="1">
        <v>0</v>
      </c>
      <c r="X1650" s="1">
        <v>620</v>
      </c>
      <c r="Y1650" s="1">
        <v>0</v>
      </c>
      <c r="Z1650" s="1">
        <v>0</v>
      </c>
      <c r="AA1650">
        <v>0</v>
      </c>
      <c r="AB1650" t="str">
        <f t="shared" si="25"/>
        <v>Not Defaulter</v>
      </c>
      <c r="AC1650" s="1">
        <f>Table2[[#This Row],[BILL_AMT1]]-Table2[[#This Row],[PAY_AMT1]]</f>
        <v>-1234</v>
      </c>
      <c r="AD1650" s="1" t="str" cm="1">
        <f t="array" ref="AD1650">_xlfn.IFS(Table2[[#This Row],[PAYMENT GAP]]&lt;=0,"No Gap / Overpaid",Table2[[#This Row],[PAYMENT GAP]]&lt;=25000,"Low Gap",Table2[[#This Row],[PAYMENT GAP]]&lt;=100000,"Medium Gap",
TRUE,"High Gap"
)</f>
        <v>No Gap / Overpaid</v>
      </c>
    </row>
    <row r="1651" spans="1:30" x14ac:dyDescent="0.3">
      <c r="A1651">
        <v>1650</v>
      </c>
      <c r="B1651" s="1">
        <v>50000</v>
      </c>
      <c r="C1651" s="1" t="str" cm="1">
        <f t="array" ref="C1651">_xlfn.IFS(Table2[[#This Row],[LIMIT_BAL]]&lt;=100000,"Low",Table2[[#This Row],[LIMIT_BAL]]&lt;=300000,"Medium",
TRUE,"High"
)</f>
        <v>Low</v>
      </c>
      <c r="D1651" t="s">
        <v>2042</v>
      </c>
      <c r="E1651" t="s">
        <v>2026</v>
      </c>
      <c r="F1651" t="s">
        <v>2028</v>
      </c>
      <c r="G1651">
        <v>40</v>
      </c>
      <c r="H1651" t="str" cm="1">
        <f t="array" ref="H1651">_xlfn.IFS(
Table2[[#This Row],[AGE]]&lt;30,"Young",
Table2[[#This Row],[AGE]]&lt;40,"Middle Age",
Table2[[#This Row],[AGE]]&lt;50,"Senior",
TRUE,"Super Senior"
)</f>
        <v>Senior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 s="1">
        <v>42549</v>
      </c>
      <c r="P1651" s="1">
        <v>36110</v>
      </c>
      <c r="Q1651" s="1">
        <v>9715</v>
      </c>
      <c r="R1651" s="1">
        <v>8965</v>
      </c>
      <c r="S1651" s="1">
        <v>6652</v>
      </c>
      <c r="T1651" s="1">
        <v>7385</v>
      </c>
      <c r="U1651" s="1">
        <v>2200</v>
      </c>
      <c r="V1651" s="1">
        <v>2000</v>
      </c>
      <c r="W1651" s="1">
        <v>1000</v>
      </c>
      <c r="X1651" s="1">
        <v>500</v>
      </c>
      <c r="Y1651" s="1">
        <v>1000</v>
      </c>
      <c r="Z1651" s="1">
        <v>400</v>
      </c>
      <c r="AA1651">
        <v>0</v>
      </c>
      <c r="AB1651" t="str">
        <f t="shared" si="25"/>
        <v>Not Defaulter</v>
      </c>
      <c r="AC1651" s="1">
        <f>Table2[[#This Row],[BILL_AMT1]]-Table2[[#This Row],[PAY_AMT1]]</f>
        <v>40349</v>
      </c>
      <c r="AD1651" s="1" t="str" cm="1">
        <f t="array" ref="AD1651">_xlfn.IFS(Table2[[#This Row],[PAYMENT GAP]]&lt;=0,"No Gap / Overpaid",Table2[[#This Row],[PAYMENT GAP]]&lt;=25000,"Low Gap",Table2[[#This Row],[PAYMENT GAP]]&lt;=100000,"Medium Gap",
TRUE,"High Gap"
)</f>
        <v>Medium Gap</v>
      </c>
    </row>
    <row r="1652" spans="1:30" x14ac:dyDescent="0.3">
      <c r="A1652">
        <v>1651</v>
      </c>
      <c r="B1652" s="1">
        <v>500000</v>
      </c>
      <c r="C1652" s="1" t="str" cm="1">
        <f t="array" ref="C1652">_xlfn.IFS(Table2[[#This Row],[LIMIT_BAL]]&lt;=100000,"Low",Table2[[#This Row],[LIMIT_BAL]]&lt;=300000,"Medium",
TRUE,"High"
)</f>
        <v>High</v>
      </c>
      <c r="D1652" t="s">
        <v>2041</v>
      </c>
      <c r="E1652" t="s">
        <v>2026</v>
      </c>
      <c r="F1652" t="s">
        <v>2028</v>
      </c>
      <c r="G1652">
        <v>45</v>
      </c>
      <c r="H1652" t="str" cm="1">
        <f t="array" ref="H1652">_xlfn.IFS(
Table2[[#This Row],[AGE]]&lt;30,"Young",
Table2[[#This Row],[AGE]]&lt;40,"Middle Age",
Table2[[#This Row],[AGE]]&lt;50,"Senior",
TRUE,"Super Senior"
)</f>
        <v>Senior</v>
      </c>
      <c r="I1652">
        <v>-1</v>
      </c>
      <c r="J1652">
        <v>-1</v>
      </c>
      <c r="K1652">
        <v>-1</v>
      </c>
      <c r="L1652">
        <v>-1</v>
      </c>
      <c r="M1652">
        <v>-1</v>
      </c>
      <c r="N1652">
        <v>-1</v>
      </c>
      <c r="O1652" s="1">
        <v>36954</v>
      </c>
      <c r="P1652" s="1">
        <v>-24704</v>
      </c>
      <c r="Q1652" s="1">
        <v>22999</v>
      </c>
      <c r="R1652" s="1">
        <v>18339</v>
      </c>
      <c r="S1652" s="1">
        <v>-3876</v>
      </c>
      <c r="T1652" s="1">
        <v>15586</v>
      </c>
      <c r="U1652" s="1">
        <v>0</v>
      </c>
      <c r="V1652" s="1">
        <v>83000</v>
      </c>
      <c r="W1652" s="1">
        <v>0</v>
      </c>
      <c r="X1652" s="1">
        <v>0</v>
      </c>
      <c r="Y1652" s="1">
        <v>20000</v>
      </c>
      <c r="Z1652" s="1">
        <v>18000</v>
      </c>
      <c r="AA1652">
        <v>0</v>
      </c>
      <c r="AB1652" t="str">
        <f t="shared" si="25"/>
        <v>Not Defaulter</v>
      </c>
      <c r="AC1652" s="1">
        <f>Table2[[#This Row],[BILL_AMT1]]-Table2[[#This Row],[PAY_AMT1]]</f>
        <v>36954</v>
      </c>
      <c r="AD1652" s="1" t="str" cm="1">
        <f t="array" ref="AD1652">_xlfn.IFS(Table2[[#This Row],[PAYMENT GAP]]&lt;=0,"No Gap / Overpaid",Table2[[#This Row],[PAYMENT GAP]]&lt;=25000,"Low Gap",Table2[[#This Row],[PAYMENT GAP]]&lt;=100000,"Medium Gap",
TRUE,"High Gap"
)</f>
        <v>Medium Gap</v>
      </c>
    </row>
    <row r="1653" spans="1:30" x14ac:dyDescent="0.3">
      <c r="A1653">
        <v>1652</v>
      </c>
      <c r="B1653" s="1">
        <v>170000</v>
      </c>
      <c r="C1653" s="1" t="str" cm="1">
        <f t="array" ref="C1653">_xlfn.IFS(Table2[[#This Row],[LIMIT_BAL]]&lt;=100000,"Low",Table2[[#This Row],[LIMIT_BAL]]&lt;=300000,"Medium",
TRUE,"High"
)</f>
        <v>Medium</v>
      </c>
      <c r="D1653" t="s">
        <v>2042</v>
      </c>
      <c r="E1653" t="s">
        <v>2026</v>
      </c>
      <c r="F1653" t="s">
        <v>2029</v>
      </c>
      <c r="G1653">
        <v>26</v>
      </c>
      <c r="H1653" t="str" cm="1">
        <f t="array" ref="H1653">_xlfn.IFS(
Table2[[#This Row],[AGE]]&lt;30,"Young",
Table2[[#This Row],[AGE]]&lt;40,"Middle Age",
Table2[[#This Row],[AGE]]&lt;50,"Senior",
TRUE,"Super Senior"
)</f>
        <v>Young</v>
      </c>
      <c r="I1653">
        <v>-1</v>
      </c>
      <c r="J1653">
        <v>-1</v>
      </c>
      <c r="K1653">
        <v>-1</v>
      </c>
      <c r="L1653">
        <v>-1</v>
      </c>
      <c r="M1653">
        <v>-1</v>
      </c>
      <c r="N1653">
        <v>-1</v>
      </c>
      <c r="O1653" s="1">
        <v>23594</v>
      </c>
      <c r="P1653" s="1">
        <v>1512</v>
      </c>
      <c r="Q1653" s="1">
        <v>1362</v>
      </c>
      <c r="R1653" s="1">
        <v>1591</v>
      </c>
      <c r="S1653" s="1">
        <v>3524</v>
      </c>
      <c r="T1653" s="1">
        <v>8545</v>
      </c>
      <c r="U1653" s="1">
        <v>1512</v>
      </c>
      <c r="V1653" s="1">
        <v>1362</v>
      </c>
      <c r="W1653" s="1">
        <v>1591</v>
      </c>
      <c r="X1653" s="1">
        <v>3524</v>
      </c>
      <c r="Y1653" s="1">
        <v>8545</v>
      </c>
      <c r="Z1653" s="1">
        <v>1485</v>
      </c>
      <c r="AA1653">
        <v>0</v>
      </c>
      <c r="AB1653" t="str">
        <f t="shared" si="25"/>
        <v>Not Defaulter</v>
      </c>
      <c r="AC1653" s="1">
        <f>Table2[[#This Row],[BILL_AMT1]]-Table2[[#This Row],[PAY_AMT1]]</f>
        <v>22082</v>
      </c>
      <c r="AD1653" s="1" t="str" cm="1">
        <f t="array" ref="AD1653">_xlfn.IFS(Table2[[#This Row],[PAYMENT GAP]]&lt;=0,"No Gap / Overpaid",Table2[[#This Row],[PAYMENT GAP]]&lt;=25000,"Low Gap",Table2[[#This Row],[PAYMENT GAP]]&lt;=100000,"Medium Gap",
TRUE,"High Gap"
)</f>
        <v>Low Gap</v>
      </c>
    </row>
    <row r="1654" spans="1:30" x14ac:dyDescent="0.3">
      <c r="A1654">
        <v>1653</v>
      </c>
      <c r="B1654" s="1">
        <v>30000</v>
      </c>
      <c r="C1654" s="1" t="str" cm="1">
        <f t="array" ref="C1654">_xlfn.IFS(Table2[[#This Row],[LIMIT_BAL]]&lt;=100000,"Low",Table2[[#This Row],[LIMIT_BAL]]&lt;=300000,"Medium",
TRUE,"High"
)</f>
        <v>Low</v>
      </c>
      <c r="D1654" t="s">
        <v>2042</v>
      </c>
      <c r="E1654" t="s">
        <v>2026</v>
      </c>
      <c r="F1654" t="s">
        <v>2028</v>
      </c>
      <c r="G1654">
        <v>34</v>
      </c>
      <c r="H1654" t="str" cm="1">
        <f t="array" ref="H1654">_xlfn.IFS(
Table2[[#This Row],[AGE]]&lt;30,"Young",
Table2[[#This Row],[AGE]]&lt;40,"Middle Age",
Table2[[#This Row],[AGE]]&lt;50,"Senior",
TRUE,"Super Senior"
)</f>
        <v>Middle Age</v>
      </c>
      <c r="I1654">
        <v>-1</v>
      </c>
      <c r="J1654">
        <v>-1</v>
      </c>
      <c r="K1654">
        <v>-1</v>
      </c>
      <c r="L1654">
        <v>-2</v>
      </c>
      <c r="M1654">
        <v>-2</v>
      </c>
      <c r="N1654">
        <v>-2</v>
      </c>
      <c r="O1654" s="1">
        <v>220</v>
      </c>
      <c r="P1654" s="1">
        <v>2500</v>
      </c>
      <c r="Q1654" s="1">
        <v>0</v>
      </c>
      <c r="R1654" s="1">
        <v>0</v>
      </c>
      <c r="S1654" s="1">
        <v>0</v>
      </c>
      <c r="T1654" s="1">
        <v>0</v>
      </c>
      <c r="U1654" s="1">
        <v>2500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>
        <v>0</v>
      </c>
      <c r="AB1654" t="str">
        <f t="shared" si="25"/>
        <v>Not Defaulter</v>
      </c>
      <c r="AC1654" s="1">
        <f>Table2[[#This Row],[BILL_AMT1]]-Table2[[#This Row],[PAY_AMT1]]</f>
        <v>-2280</v>
      </c>
      <c r="AD1654" s="1" t="str" cm="1">
        <f t="array" ref="AD1654">_xlfn.IFS(Table2[[#This Row],[PAYMENT GAP]]&lt;=0,"No Gap / Overpaid",Table2[[#This Row],[PAYMENT GAP]]&lt;=25000,"Low Gap",Table2[[#This Row],[PAYMENT GAP]]&lt;=100000,"Medium Gap",
TRUE,"High Gap"
)</f>
        <v>No Gap / Overpaid</v>
      </c>
    </row>
    <row r="1655" spans="1:30" x14ac:dyDescent="0.3">
      <c r="A1655">
        <v>1654</v>
      </c>
      <c r="B1655" s="1">
        <v>300000</v>
      </c>
      <c r="C1655" s="1" t="str" cm="1">
        <f t="array" ref="C1655">_xlfn.IFS(Table2[[#This Row],[LIMIT_BAL]]&lt;=100000,"Low",Table2[[#This Row],[LIMIT_BAL]]&lt;=300000,"Medium",
TRUE,"High"
)</f>
        <v>Medium</v>
      </c>
      <c r="D1655" t="s">
        <v>2042</v>
      </c>
      <c r="E1655" t="s">
        <v>2026</v>
      </c>
      <c r="F1655" t="s">
        <v>2028</v>
      </c>
      <c r="G1655">
        <v>43</v>
      </c>
      <c r="H1655" t="str" cm="1">
        <f t="array" ref="H1655">_xlfn.IFS(
Table2[[#This Row],[AGE]]&lt;30,"Young",
Table2[[#This Row],[AGE]]&lt;40,"Middle Age",
Table2[[#This Row],[AGE]]&lt;50,"Senior",
TRUE,"Super Senior"
)</f>
        <v>Senior</v>
      </c>
      <c r="I1655">
        <v>1</v>
      </c>
      <c r="J1655">
        <v>-2</v>
      </c>
      <c r="K1655">
        <v>-2</v>
      </c>
      <c r="L1655">
        <v>-2</v>
      </c>
      <c r="M1655">
        <v>-2</v>
      </c>
      <c r="N1655">
        <v>-2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>
        <v>1</v>
      </c>
      <c r="AB1655" t="str">
        <f t="shared" si="25"/>
        <v>Defaulter</v>
      </c>
      <c r="AC1655" s="1">
        <f>Table2[[#This Row],[BILL_AMT1]]-Table2[[#This Row],[PAY_AMT1]]</f>
        <v>0</v>
      </c>
      <c r="AD1655" s="1" t="str" cm="1">
        <f t="array" ref="AD1655">_xlfn.IFS(Table2[[#This Row],[PAYMENT GAP]]&lt;=0,"No Gap / Overpaid",Table2[[#This Row],[PAYMENT GAP]]&lt;=25000,"Low Gap",Table2[[#This Row],[PAYMENT GAP]]&lt;=100000,"Medium Gap",
TRUE,"High Gap"
)</f>
        <v>No Gap / Overpaid</v>
      </c>
    </row>
    <row r="1656" spans="1:30" x14ac:dyDescent="0.3">
      <c r="A1656">
        <v>1655</v>
      </c>
      <c r="B1656" s="1">
        <v>50000</v>
      </c>
      <c r="C1656" s="1" t="str" cm="1">
        <f t="array" ref="C1656">_xlfn.IFS(Table2[[#This Row],[LIMIT_BAL]]&lt;=100000,"Low",Table2[[#This Row],[LIMIT_BAL]]&lt;=300000,"Medium",
TRUE,"High"
)</f>
        <v>Low</v>
      </c>
      <c r="D1656" t="s">
        <v>2042</v>
      </c>
      <c r="E1656" t="s">
        <v>2043</v>
      </c>
      <c r="F1656" t="s">
        <v>2029</v>
      </c>
      <c r="G1656">
        <v>30</v>
      </c>
      <c r="H1656" t="str" cm="1">
        <f t="array" ref="H1656">_xlfn.IFS(
Table2[[#This Row],[AGE]]&lt;30,"Young",
Table2[[#This Row],[AGE]]&lt;40,"Middle Age",
Table2[[#This Row],[AGE]]&lt;50,"Senior",
TRUE,"Super Senior"
)</f>
        <v>Middle Age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 s="1">
        <v>50507</v>
      </c>
      <c r="P1656" s="1">
        <v>48751</v>
      </c>
      <c r="Q1656" s="1">
        <v>44688</v>
      </c>
      <c r="R1656" s="1">
        <v>19823</v>
      </c>
      <c r="S1656" s="1">
        <v>13645</v>
      </c>
      <c r="T1656" s="1">
        <v>10876</v>
      </c>
      <c r="U1656" s="1">
        <v>4000</v>
      </c>
      <c r="V1656" s="1">
        <v>2220</v>
      </c>
      <c r="W1656" s="1">
        <v>1000</v>
      </c>
      <c r="X1656" s="1">
        <v>1500</v>
      </c>
      <c r="Y1656" s="1">
        <v>1000</v>
      </c>
      <c r="Z1656" s="1">
        <v>1500</v>
      </c>
      <c r="AA1656">
        <v>0</v>
      </c>
      <c r="AB1656" t="str">
        <f t="shared" si="25"/>
        <v>Not Defaulter</v>
      </c>
      <c r="AC1656" s="1">
        <f>Table2[[#This Row],[BILL_AMT1]]-Table2[[#This Row],[PAY_AMT1]]</f>
        <v>46507</v>
      </c>
      <c r="AD1656" s="1" t="str" cm="1">
        <f t="array" ref="AD1656">_xlfn.IFS(Table2[[#This Row],[PAYMENT GAP]]&lt;=0,"No Gap / Overpaid",Table2[[#This Row],[PAYMENT GAP]]&lt;=25000,"Low Gap",Table2[[#This Row],[PAYMENT GAP]]&lt;=100000,"Medium Gap",
TRUE,"High Gap"
)</f>
        <v>Medium Gap</v>
      </c>
    </row>
    <row r="1657" spans="1:30" x14ac:dyDescent="0.3">
      <c r="A1657">
        <v>1656</v>
      </c>
      <c r="B1657" s="1">
        <v>100000</v>
      </c>
      <c r="C1657" s="1" t="str" cm="1">
        <f t="array" ref="C1657">_xlfn.IFS(Table2[[#This Row],[LIMIT_BAL]]&lt;=100000,"Low",Table2[[#This Row],[LIMIT_BAL]]&lt;=300000,"Medium",
TRUE,"High"
)</f>
        <v>Low</v>
      </c>
      <c r="D1657" t="s">
        <v>2041</v>
      </c>
      <c r="E1657" t="s">
        <v>2027</v>
      </c>
      <c r="F1657" t="s">
        <v>2028</v>
      </c>
      <c r="G1657">
        <v>31</v>
      </c>
      <c r="H1657" t="str" cm="1">
        <f t="array" ref="H1657">_xlfn.IFS(
Table2[[#This Row],[AGE]]&lt;30,"Young",
Table2[[#This Row],[AGE]]&lt;40,"Middle Age",
Table2[[#This Row],[AGE]]&lt;50,"Senior",
TRUE,"Super Senior"
)</f>
        <v>Middle Age</v>
      </c>
      <c r="I1657">
        <v>-1</v>
      </c>
      <c r="J1657">
        <v>-1</v>
      </c>
      <c r="K1657">
        <v>-1</v>
      </c>
      <c r="L1657">
        <v>-2</v>
      </c>
      <c r="M1657">
        <v>-2</v>
      </c>
      <c r="N1657">
        <v>-2</v>
      </c>
      <c r="O1657" s="1">
        <v>16033</v>
      </c>
      <c r="P1657" s="1">
        <v>1716</v>
      </c>
      <c r="Q1657" s="1">
        <v>1200</v>
      </c>
      <c r="R1657" s="1">
        <v>0</v>
      </c>
      <c r="S1657" s="1">
        <v>0</v>
      </c>
      <c r="T1657" s="1">
        <v>1300</v>
      </c>
      <c r="U1657" s="1">
        <v>1716</v>
      </c>
      <c r="V1657" s="1">
        <v>1200</v>
      </c>
      <c r="W1657" s="1">
        <v>0</v>
      </c>
      <c r="X1657" s="1">
        <v>0</v>
      </c>
      <c r="Y1657" s="1">
        <v>1300</v>
      </c>
      <c r="Z1657" s="1">
        <v>6455</v>
      </c>
      <c r="AA1657">
        <v>0</v>
      </c>
      <c r="AB1657" t="str">
        <f t="shared" si="25"/>
        <v>Not Defaulter</v>
      </c>
      <c r="AC1657" s="1">
        <f>Table2[[#This Row],[BILL_AMT1]]-Table2[[#This Row],[PAY_AMT1]]</f>
        <v>14317</v>
      </c>
      <c r="AD1657" s="1" t="str" cm="1">
        <f t="array" ref="AD1657">_xlfn.IFS(Table2[[#This Row],[PAYMENT GAP]]&lt;=0,"No Gap / Overpaid",Table2[[#This Row],[PAYMENT GAP]]&lt;=25000,"Low Gap",Table2[[#This Row],[PAYMENT GAP]]&lt;=100000,"Medium Gap",
TRUE,"High Gap"
)</f>
        <v>Low Gap</v>
      </c>
    </row>
    <row r="1658" spans="1:30" x14ac:dyDescent="0.3">
      <c r="A1658">
        <v>1657</v>
      </c>
      <c r="B1658" s="1">
        <v>150000</v>
      </c>
      <c r="C1658" s="1" t="str" cm="1">
        <f t="array" ref="C1658">_xlfn.IFS(Table2[[#This Row],[LIMIT_BAL]]&lt;=100000,"Low",Table2[[#This Row],[LIMIT_BAL]]&lt;=300000,"Medium",
TRUE,"High"
)</f>
        <v>Medium</v>
      </c>
      <c r="D1658" t="s">
        <v>2041</v>
      </c>
      <c r="E1658" t="s">
        <v>2026</v>
      </c>
      <c r="F1658" t="s">
        <v>2029</v>
      </c>
      <c r="G1658">
        <v>29</v>
      </c>
      <c r="H1658" t="str" cm="1">
        <f t="array" ref="H1658">_xlfn.IFS(
Table2[[#This Row],[AGE]]&lt;30,"Young",
Table2[[#This Row],[AGE]]&lt;40,"Middle Age",
Table2[[#This Row],[AGE]]&lt;50,"Senior",
TRUE,"Super Senior"
)</f>
        <v>Young</v>
      </c>
      <c r="I1658">
        <v>0</v>
      </c>
      <c r="J1658">
        <v>0</v>
      </c>
      <c r="K1658">
        <v>2</v>
      </c>
      <c r="L1658">
        <v>0</v>
      </c>
      <c r="M1658">
        <v>0</v>
      </c>
      <c r="N1658">
        <v>0</v>
      </c>
      <c r="O1658" s="1">
        <v>108817</v>
      </c>
      <c r="P1658" s="1">
        <v>83654</v>
      </c>
      <c r="Q1658" s="1">
        <v>79713</v>
      </c>
      <c r="R1658" s="1">
        <v>64468</v>
      </c>
      <c r="S1658" s="1">
        <v>66488</v>
      </c>
      <c r="T1658" s="1">
        <v>58131</v>
      </c>
      <c r="U1658" s="1">
        <v>7500</v>
      </c>
      <c r="V1658" s="1">
        <v>0</v>
      </c>
      <c r="W1658" s="1">
        <v>4000</v>
      </c>
      <c r="X1658" s="1">
        <v>4000</v>
      </c>
      <c r="Y1658" s="1">
        <v>4000</v>
      </c>
      <c r="Z1658" s="1">
        <v>3500</v>
      </c>
      <c r="AA1658">
        <v>1</v>
      </c>
      <c r="AB1658" t="str">
        <f t="shared" si="25"/>
        <v>Defaulter</v>
      </c>
      <c r="AC1658" s="1">
        <f>Table2[[#This Row],[BILL_AMT1]]-Table2[[#This Row],[PAY_AMT1]]</f>
        <v>101317</v>
      </c>
      <c r="AD1658" s="1" t="str" cm="1">
        <f t="array" ref="AD1658">_xlfn.IFS(Table2[[#This Row],[PAYMENT GAP]]&lt;=0,"No Gap / Overpaid",Table2[[#This Row],[PAYMENT GAP]]&lt;=25000,"Low Gap",Table2[[#This Row],[PAYMENT GAP]]&lt;=100000,"Medium Gap",
TRUE,"High Gap"
)</f>
        <v>High Gap</v>
      </c>
    </row>
    <row r="1659" spans="1:30" x14ac:dyDescent="0.3">
      <c r="A1659">
        <v>1658</v>
      </c>
      <c r="B1659" s="1">
        <v>50000</v>
      </c>
      <c r="C1659" s="1" t="str" cm="1">
        <f t="array" ref="C1659">_xlfn.IFS(Table2[[#This Row],[LIMIT_BAL]]&lt;=100000,"Low",Table2[[#This Row],[LIMIT_BAL]]&lt;=300000,"Medium",
TRUE,"High"
)</f>
        <v>Low</v>
      </c>
      <c r="D1659" t="s">
        <v>2042</v>
      </c>
      <c r="E1659" t="s">
        <v>2026</v>
      </c>
      <c r="F1659" t="s">
        <v>2029</v>
      </c>
      <c r="G1659">
        <v>28</v>
      </c>
      <c r="H1659" t="str" cm="1">
        <f t="array" ref="H1659">_xlfn.IFS(
Table2[[#This Row],[AGE]]&lt;30,"Young",
Table2[[#This Row],[AGE]]&lt;40,"Middle Age",
Table2[[#This Row],[AGE]]&lt;50,"Senior",
TRUE,"Super Senior"
)</f>
        <v>Young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 s="1">
        <v>46176</v>
      </c>
      <c r="P1659" s="1">
        <v>40870</v>
      </c>
      <c r="Q1659" s="1">
        <v>41590</v>
      </c>
      <c r="R1659" s="1">
        <v>42419</v>
      </c>
      <c r="S1659" s="1">
        <v>43307</v>
      </c>
      <c r="T1659" s="1">
        <v>44167</v>
      </c>
      <c r="U1659" s="1">
        <v>2000</v>
      </c>
      <c r="V1659" s="1">
        <v>1700</v>
      </c>
      <c r="W1659" s="1">
        <v>1519</v>
      </c>
      <c r="X1659" s="1">
        <v>1572</v>
      </c>
      <c r="Y1659" s="1">
        <v>1580</v>
      </c>
      <c r="Z1659" s="1">
        <v>1637</v>
      </c>
      <c r="AA1659">
        <v>0</v>
      </c>
      <c r="AB1659" t="str">
        <f t="shared" si="25"/>
        <v>Not Defaulter</v>
      </c>
      <c r="AC1659" s="1">
        <f>Table2[[#This Row],[BILL_AMT1]]-Table2[[#This Row],[PAY_AMT1]]</f>
        <v>44176</v>
      </c>
      <c r="AD1659" s="1" t="str" cm="1">
        <f t="array" ref="AD1659">_xlfn.IFS(Table2[[#This Row],[PAYMENT GAP]]&lt;=0,"No Gap / Overpaid",Table2[[#This Row],[PAYMENT GAP]]&lt;=25000,"Low Gap",Table2[[#This Row],[PAYMENT GAP]]&lt;=100000,"Medium Gap",
TRUE,"High Gap"
)</f>
        <v>Medium Gap</v>
      </c>
    </row>
    <row r="1660" spans="1:30" x14ac:dyDescent="0.3">
      <c r="A1660">
        <v>1659</v>
      </c>
      <c r="B1660" s="1">
        <v>190000</v>
      </c>
      <c r="C1660" s="1" t="str" cm="1">
        <f t="array" ref="C1660">_xlfn.IFS(Table2[[#This Row],[LIMIT_BAL]]&lt;=100000,"Low",Table2[[#This Row],[LIMIT_BAL]]&lt;=300000,"Medium",
TRUE,"High"
)</f>
        <v>Medium</v>
      </c>
      <c r="D1660" t="s">
        <v>2041</v>
      </c>
      <c r="E1660" t="s">
        <v>2043</v>
      </c>
      <c r="F1660" t="s">
        <v>2029</v>
      </c>
      <c r="G1660">
        <v>31</v>
      </c>
      <c r="H1660" t="str" cm="1">
        <f t="array" ref="H1660">_xlfn.IFS(
Table2[[#This Row],[AGE]]&lt;30,"Young",
Table2[[#This Row],[AGE]]&lt;40,"Middle Age",
Table2[[#This Row],[AGE]]&lt;50,"Senior",
TRUE,"Super Senior"
)</f>
        <v>Middle Age</v>
      </c>
      <c r="I1660">
        <v>-1</v>
      </c>
      <c r="J1660">
        <v>-1</v>
      </c>
      <c r="K1660">
        <v>-1</v>
      </c>
      <c r="L1660">
        <v>-1</v>
      </c>
      <c r="M1660">
        <v>-2</v>
      </c>
      <c r="N1660">
        <v>-1</v>
      </c>
      <c r="O1660" s="1">
        <v>771</v>
      </c>
      <c r="P1660" s="1">
        <v>0</v>
      </c>
      <c r="Q1660" s="1">
        <v>4251</v>
      </c>
      <c r="R1660" s="1">
        <v>0</v>
      </c>
      <c r="S1660" s="1">
        <v>0</v>
      </c>
      <c r="T1660" s="1">
        <v>6732</v>
      </c>
      <c r="U1660" s="1">
        <v>0</v>
      </c>
      <c r="V1660" s="1">
        <v>4251</v>
      </c>
      <c r="W1660" s="1">
        <v>0</v>
      </c>
      <c r="X1660" s="1">
        <v>0</v>
      </c>
      <c r="Y1660" s="1">
        <v>6732</v>
      </c>
      <c r="Z1660" s="1">
        <v>11306</v>
      </c>
      <c r="AA1660">
        <v>0</v>
      </c>
      <c r="AB1660" t="str">
        <f t="shared" si="25"/>
        <v>Not Defaulter</v>
      </c>
      <c r="AC1660" s="1">
        <f>Table2[[#This Row],[BILL_AMT1]]-Table2[[#This Row],[PAY_AMT1]]</f>
        <v>771</v>
      </c>
      <c r="AD1660" s="1" t="str" cm="1">
        <f t="array" ref="AD1660">_xlfn.IFS(Table2[[#This Row],[PAYMENT GAP]]&lt;=0,"No Gap / Overpaid",Table2[[#This Row],[PAYMENT GAP]]&lt;=25000,"Low Gap",Table2[[#This Row],[PAYMENT GAP]]&lt;=100000,"Medium Gap",
TRUE,"High Gap"
)</f>
        <v>Low Gap</v>
      </c>
    </row>
    <row r="1661" spans="1:30" x14ac:dyDescent="0.3">
      <c r="A1661">
        <v>1660</v>
      </c>
      <c r="B1661" s="1">
        <v>20000</v>
      </c>
      <c r="C1661" s="1" t="str" cm="1">
        <f t="array" ref="C1661">_xlfn.IFS(Table2[[#This Row],[LIMIT_BAL]]&lt;=100000,"Low",Table2[[#This Row],[LIMIT_BAL]]&lt;=300000,"Medium",
TRUE,"High"
)</f>
        <v>Low</v>
      </c>
      <c r="D1661" t="s">
        <v>2041</v>
      </c>
      <c r="E1661" t="s">
        <v>2027</v>
      </c>
      <c r="F1661" t="s">
        <v>2029</v>
      </c>
      <c r="G1661">
        <v>22</v>
      </c>
      <c r="H1661" t="str" cm="1">
        <f t="array" ref="H1661">_xlfn.IFS(
Table2[[#This Row],[AGE]]&lt;30,"Young",
Table2[[#This Row],[AGE]]&lt;40,"Middle Age",
Table2[[#This Row],[AGE]]&lt;50,"Senior",
TRUE,"Super Senior"
)</f>
        <v>Young</v>
      </c>
      <c r="I1661">
        <v>0</v>
      </c>
      <c r="J1661">
        <v>0</v>
      </c>
      <c r="K1661">
        <v>0</v>
      </c>
      <c r="L1661">
        <v>0</v>
      </c>
      <c r="M1661">
        <v>-1</v>
      </c>
      <c r="N1661">
        <v>-1</v>
      </c>
      <c r="O1661" s="1">
        <v>14562</v>
      </c>
      <c r="P1661" s="1">
        <v>5991</v>
      </c>
      <c r="Q1661" s="1">
        <v>6870</v>
      </c>
      <c r="R1661" s="1">
        <v>0</v>
      </c>
      <c r="S1661" s="1">
        <v>2734</v>
      </c>
      <c r="T1661" s="1">
        <v>0</v>
      </c>
      <c r="U1661" s="1">
        <v>1121</v>
      </c>
      <c r="V1661" s="1">
        <v>1000</v>
      </c>
      <c r="W1661" s="1">
        <v>0</v>
      </c>
      <c r="X1661" s="1">
        <v>1367</v>
      </c>
      <c r="Y1661" s="1">
        <v>0</v>
      </c>
      <c r="Z1661" s="1">
        <v>0</v>
      </c>
      <c r="AA1661">
        <v>0</v>
      </c>
      <c r="AB1661" t="str">
        <f t="shared" si="25"/>
        <v>Not Defaulter</v>
      </c>
      <c r="AC1661" s="1">
        <f>Table2[[#This Row],[BILL_AMT1]]-Table2[[#This Row],[PAY_AMT1]]</f>
        <v>13441</v>
      </c>
      <c r="AD1661" s="1" t="str" cm="1">
        <f t="array" ref="AD1661">_xlfn.IFS(Table2[[#This Row],[PAYMENT GAP]]&lt;=0,"No Gap / Overpaid",Table2[[#This Row],[PAYMENT GAP]]&lt;=25000,"Low Gap",Table2[[#This Row],[PAYMENT GAP]]&lt;=100000,"Medium Gap",
TRUE,"High Gap"
)</f>
        <v>Low Gap</v>
      </c>
    </row>
    <row r="1662" spans="1:30" x14ac:dyDescent="0.3">
      <c r="A1662">
        <v>1661</v>
      </c>
      <c r="B1662" s="1">
        <v>50000</v>
      </c>
      <c r="C1662" s="1" t="str" cm="1">
        <f t="array" ref="C1662">_xlfn.IFS(Table2[[#This Row],[LIMIT_BAL]]&lt;=100000,"Low",Table2[[#This Row],[LIMIT_BAL]]&lt;=300000,"Medium",
TRUE,"High"
)</f>
        <v>Low</v>
      </c>
      <c r="D1662" t="s">
        <v>2041</v>
      </c>
      <c r="E1662" t="s">
        <v>2027</v>
      </c>
      <c r="F1662" t="s">
        <v>2028</v>
      </c>
      <c r="G1662">
        <v>55</v>
      </c>
      <c r="H1662" t="str" cm="1">
        <f t="array" ref="H1662">_xlfn.IFS(
Table2[[#This Row],[AGE]]&lt;30,"Young",
Table2[[#This Row],[AGE]]&lt;40,"Middle Age",
Table2[[#This Row],[AGE]]&lt;50,"Senior",
TRUE,"Super Senior"
)</f>
        <v>Super Senior</v>
      </c>
      <c r="I1662">
        <v>1</v>
      </c>
      <c r="J1662">
        <v>2</v>
      </c>
      <c r="K1662">
        <v>2</v>
      </c>
      <c r="L1662">
        <v>2</v>
      </c>
      <c r="M1662">
        <v>0</v>
      </c>
      <c r="N1662">
        <v>0</v>
      </c>
      <c r="O1662" s="1">
        <v>49003</v>
      </c>
      <c r="P1662" s="1">
        <v>49067</v>
      </c>
      <c r="Q1662" s="1">
        <v>50498</v>
      </c>
      <c r="R1662" s="1">
        <v>47579</v>
      </c>
      <c r="S1662" s="1">
        <v>47567</v>
      </c>
      <c r="T1662" s="1">
        <v>48155</v>
      </c>
      <c r="U1662" s="1">
        <v>2005</v>
      </c>
      <c r="V1662" s="1">
        <v>3900</v>
      </c>
      <c r="W1662" s="1">
        <v>0</v>
      </c>
      <c r="X1662" s="1">
        <v>2000</v>
      </c>
      <c r="Y1662" s="1">
        <v>1900</v>
      </c>
      <c r="Z1662" s="1">
        <v>1900</v>
      </c>
      <c r="AA1662">
        <v>0</v>
      </c>
      <c r="AB1662" t="str">
        <f t="shared" si="25"/>
        <v>Not Defaulter</v>
      </c>
      <c r="AC1662" s="1">
        <f>Table2[[#This Row],[BILL_AMT1]]-Table2[[#This Row],[PAY_AMT1]]</f>
        <v>46998</v>
      </c>
      <c r="AD1662" s="1" t="str" cm="1">
        <f t="array" ref="AD1662">_xlfn.IFS(Table2[[#This Row],[PAYMENT GAP]]&lt;=0,"No Gap / Overpaid",Table2[[#This Row],[PAYMENT GAP]]&lt;=25000,"Low Gap",Table2[[#This Row],[PAYMENT GAP]]&lt;=100000,"Medium Gap",
TRUE,"High Gap"
)</f>
        <v>Medium Gap</v>
      </c>
    </row>
    <row r="1663" spans="1:30" x14ac:dyDescent="0.3">
      <c r="A1663">
        <v>1662</v>
      </c>
      <c r="B1663" s="1">
        <v>30000</v>
      </c>
      <c r="C1663" s="1" t="str" cm="1">
        <f t="array" ref="C1663">_xlfn.IFS(Table2[[#This Row],[LIMIT_BAL]]&lt;=100000,"Low",Table2[[#This Row],[LIMIT_BAL]]&lt;=300000,"Medium",
TRUE,"High"
)</f>
        <v>Low</v>
      </c>
      <c r="D1663" t="s">
        <v>2041</v>
      </c>
      <c r="E1663" t="s">
        <v>2043</v>
      </c>
      <c r="F1663" t="s">
        <v>2028</v>
      </c>
      <c r="G1663">
        <v>39</v>
      </c>
      <c r="H1663" t="str" cm="1">
        <f t="array" ref="H1663">_xlfn.IFS(
Table2[[#This Row],[AGE]]&lt;30,"Young",
Table2[[#This Row],[AGE]]&lt;40,"Middle Age",
Table2[[#This Row],[AGE]]&lt;50,"Senior",
TRUE,"Super Senior"
)</f>
        <v>Middle Age</v>
      </c>
      <c r="I1663">
        <v>-1</v>
      </c>
      <c r="J1663">
        <v>-1</v>
      </c>
      <c r="K1663">
        <v>-1</v>
      </c>
      <c r="L1663">
        <v>-1</v>
      </c>
      <c r="M1663">
        <v>-1</v>
      </c>
      <c r="N1663">
        <v>-1</v>
      </c>
      <c r="O1663" s="1">
        <v>223</v>
      </c>
      <c r="P1663" s="1">
        <v>223</v>
      </c>
      <c r="Q1663" s="1">
        <v>223</v>
      </c>
      <c r="R1663" s="1">
        <v>223</v>
      </c>
      <c r="S1663" s="1">
        <v>223</v>
      </c>
      <c r="T1663" s="1">
        <v>675</v>
      </c>
      <c r="U1663" s="1">
        <v>223</v>
      </c>
      <c r="V1663" s="1">
        <v>223</v>
      </c>
      <c r="W1663" s="1">
        <v>223</v>
      </c>
      <c r="X1663" s="1">
        <v>223</v>
      </c>
      <c r="Y1663" s="1">
        <v>675</v>
      </c>
      <c r="Z1663" s="1">
        <v>10473</v>
      </c>
      <c r="AA1663">
        <v>1</v>
      </c>
      <c r="AB1663" t="str">
        <f t="shared" si="25"/>
        <v>Defaulter</v>
      </c>
      <c r="AC1663" s="1">
        <f>Table2[[#This Row],[BILL_AMT1]]-Table2[[#This Row],[PAY_AMT1]]</f>
        <v>0</v>
      </c>
      <c r="AD1663" s="1" t="str" cm="1">
        <f t="array" ref="AD1663">_xlfn.IFS(Table2[[#This Row],[PAYMENT GAP]]&lt;=0,"No Gap / Overpaid",Table2[[#This Row],[PAYMENT GAP]]&lt;=25000,"Low Gap",Table2[[#This Row],[PAYMENT GAP]]&lt;=100000,"Medium Gap",
TRUE,"High Gap"
)</f>
        <v>No Gap / Overpaid</v>
      </c>
    </row>
    <row r="1664" spans="1:30" x14ac:dyDescent="0.3">
      <c r="A1664">
        <v>1663</v>
      </c>
      <c r="B1664" s="1">
        <v>90000</v>
      </c>
      <c r="C1664" s="1" t="str" cm="1">
        <f t="array" ref="C1664">_xlfn.IFS(Table2[[#This Row],[LIMIT_BAL]]&lt;=100000,"Low",Table2[[#This Row],[LIMIT_BAL]]&lt;=300000,"Medium",
TRUE,"High"
)</f>
        <v>Low</v>
      </c>
      <c r="D1664" t="s">
        <v>2041</v>
      </c>
      <c r="E1664" t="s">
        <v>2026</v>
      </c>
      <c r="F1664" t="s">
        <v>2029</v>
      </c>
      <c r="G1664">
        <v>27</v>
      </c>
      <c r="H1664" t="str" cm="1">
        <f t="array" ref="H1664">_xlfn.IFS(
Table2[[#This Row],[AGE]]&lt;30,"Young",
Table2[[#This Row],[AGE]]&lt;40,"Middle Age",
Table2[[#This Row],[AGE]]&lt;50,"Senior",
TRUE,"Super Senior"
)</f>
        <v>Young</v>
      </c>
      <c r="I1664">
        <v>-2</v>
      </c>
      <c r="J1664">
        <v>-2</v>
      </c>
      <c r="K1664">
        <v>2</v>
      </c>
      <c r="L1664">
        <v>2</v>
      </c>
      <c r="M1664">
        <v>-2</v>
      </c>
      <c r="N1664">
        <v>-2</v>
      </c>
      <c r="O1664" s="1">
        <v>1179</v>
      </c>
      <c r="P1664" s="1">
        <v>6346</v>
      </c>
      <c r="Q1664" s="1">
        <v>4607</v>
      </c>
      <c r="R1664" s="1">
        <v>-6</v>
      </c>
      <c r="S1664" s="1">
        <v>-2153</v>
      </c>
      <c r="T1664" s="1">
        <v>-4306</v>
      </c>
      <c r="U1664" s="1">
        <v>7020</v>
      </c>
      <c r="V1664" s="1">
        <v>2980</v>
      </c>
      <c r="W1664" s="1">
        <v>3000</v>
      </c>
      <c r="X1664" s="1">
        <v>0</v>
      </c>
      <c r="Y1664" s="1">
        <v>0</v>
      </c>
      <c r="Z1664" s="1">
        <v>0</v>
      </c>
      <c r="AA1664">
        <v>0</v>
      </c>
      <c r="AB1664" t="str">
        <f t="shared" si="25"/>
        <v>Not Defaulter</v>
      </c>
      <c r="AC1664" s="1">
        <f>Table2[[#This Row],[BILL_AMT1]]-Table2[[#This Row],[PAY_AMT1]]</f>
        <v>-5841</v>
      </c>
      <c r="AD1664" s="1" t="str" cm="1">
        <f t="array" ref="AD1664">_xlfn.IFS(Table2[[#This Row],[PAYMENT GAP]]&lt;=0,"No Gap / Overpaid",Table2[[#This Row],[PAYMENT GAP]]&lt;=25000,"Low Gap",Table2[[#This Row],[PAYMENT GAP]]&lt;=100000,"Medium Gap",
TRUE,"High Gap"
)</f>
        <v>No Gap / Overpaid</v>
      </c>
    </row>
    <row r="1665" spans="1:30" x14ac:dyDescent="0.3">
      <c r="A1665">
        <v>1664</v>
      </c>
      <c r="B1665" s="1">
        <v>500000</v>
      </c>
      <c r="C1665" s="1" t="str" cm="1">
        <f t="array" ref="C1665">_xlfn.IFS(Table2[[#This Row],[LIMIT_BAL]]&lt;=100000,"Low",Table2[[#This Row],[LIMIT_BAL]]&lt;=300000,"Medium",
TRUE,"High"
)</f>
        <v>High</v>
      </c>
      <c r="D1665" t="s">
        <v>2041</v>
      </c>
      <c r="E1665" t="s">
        <v>2026</v>
      </c>
      <c r="F1665" t="s">
        <v>2029</v>
      </c>
      <c r="G1665">
        <v>36</v>
      </c>
      <c r="H1665" t="str" cm="1">
        <f t="array" ref="H1665">_xlfn.IFS(
Table2[[#This Row],[AGE]]&lt;30,"Young",
Table2[[#This Row],[AGE]]&lt;40,"Middle Age",
Table2[[#This Row],[AGE]]&lt;50,"Senior",
TRUE,"Super Senior"
)</f>
        <v>Middle Age</v>
      </c>
      <c r="I1665">
        <v>-2</v>
      </c>
      <c r="J1665">
        <v>-2</v>
      </c>
      <c r="K1665">
        <v>-2</v>
      </c>
      <c r="L1665">
        <v>-2</v>
      </c>
      <c r="M1665">
        <v>-2</v>
      </c>
      <c r="N1665">
        <v>-2</v>
      </c>
      <c r="O1665" s="1">
        <v>-312</v>
      </c>
      <c r="P1665" s="1">
        <v>-2479</v>
      </c>
      <c r="Q1665" s="1">
        <v>2479</v>
      </c>
      <c r="R1665" s="1">
        <v>2479</v>
      </c>
      <c r="S1665" s="1">
        <v>763</v>
      </c>
      <c r="T1665" s="1">
        <v>288</v>
      </c>
      <c r="U1665" s="1">
        <v>0</v>
      </c>
      <c r="V1665" s="1">
        <v>4958</v>
      </c>
      <c r="W1665" s="1">
        <v>0</v>
      </c>
      <c r="X1665" s="1">
        <v>763</v>
      </c>
      <c r="Y1665" s="1">
        <v>0</v>
      </c>
      <c r="Z1665" s="1">
        <v>14472</v>
      </c>
      <c r="AA1665">
        <v>1</v>
      </c>
      <c r="AB1665" t="str">
        <f t="shared" si="25"/>
        <v>Defaulter</v>
      </c>
      <c r="AC1665" s="1">
        <f>Table2[[#This Row],[BILL_AMT1]]-Table2[[#This Row],[PAY_AMT1]]</f>
        <v>-312</v>
      </c>
      <c r="AD1665" s="1" t="str" cm="1">
        <f t="array" ref="AD1665">_xlfn.IFS(Table2[[#This Row],[PAYMENT GAP]]&lt;=0,"No Gap / Overpaid",Table2[[#This Row],[PAYMENT GAP]]&lt;=25000,"Low Gap",Table2[[#This Row],[PAYMENT GAP]]&lt;=100000,"Medium Gap",
TRUE,"High Gap"
)</f>
        <v>No Gap / Overpaid</v>
      </c>
    </row>
    <row r="1666" spans="1:30" x14ac:dyDescent="0.3">
      <c r="A1666">
        <v>1665</v>
      </c>
      <c r="B1666" s="1">
        <v>280000</v>
      </c>
      <c r="C1666" s="1" t="str" cm="1">
        <f t="array" ref="C1666">_xlfn.IFS(Table2[[#This Row],[LIMIT_BAL]]&lt;=100000,"Low",Table2[[#This Row],[LIMIT_BAL]]&lt;=300000,"Medium",
TRUE,"High"
)</f>
        <v>Medium</v>
      </c>
      <c r="D1666" t="s">
        <v>2042</v>
      </c>
      <c r="E1666" t="s">
        <v>2026</v>
      </c>
      <c r="F1666" t="s">
        <v>2028</v>
      </c>
      <c r="G1666">
        <v>40</v>
      </c>
      <c r="H1666" t="str" cm="1">
        <f t="array" ref="H1666">_xlfn.IFS(
Table2[[#This Row],[AGE]]&lt;30,"Young",
Table2[[#This Row],[AGE]]&lt;40,"Middle Age",
Table2[[#This Row],[AGE]]&lt;50,"Senior",
TRUE,"Super Senior"
)</f>
        <v>Senior</v>
      </c>
      <c r="I1666">
        <v>-1</v>
      </c>
      <c r="J1666">
        <v>-1</v>
      </c>
      <c r="K1666">
        <v>-1</v>
      </c>
      <c r="L1666">
        <v>-1</v>
      </c>
      <c r="M1666">
        <v>-1</v>
      </c>
      <c r="N1666">
        <v>-1</v>
      </c>
      <c r="O1666" s="1">
        <v>5310</v>
      </c>
      <c r="P1666" s="1">
        <v>2196</v>
      </c>
      <c r="Q1666" s="1">
        <v>2928</v>
      </c>
      <c r="R1666" s="1">
        <v>9564</v>
      </c>
      <c r="S1666" s="1">
        <v>22017</v>
      </c>
      <c r="T1666" s="1">
        <v>5220</v>
      </c>
      <c r="U1666" s="1">
        <v>2196</v>
      </c>
      <c r="V1666" s="1">
        <v>2928</v>
      </c>
      <c r="W1666" s="1">
        <v>9564</v>
      </c>
      <c r="X1666" s="1">
        <v>22017</v>
      </c>
      <c r="Y1666" s="1">
        <v>5220</v>
      </c>
      <c r="Z1666" s="1">
        <v>1964</v>
      </c>
      <c r="AA1666">
        <v>0</v>
      </c>
      <c r="AB1666" t="str">
        <f t="shared" si="25"/>
        <v>Not Defaulter</v>
      </c>
      <c r="AC1666" s="1">
        <f>Table2[[#This Row],[BILL_AMT1]]-Table2[[#This Row],[PAY_AMT1]]</f>
        <v>3114</v>
      </c>
      <c r="AD1666" s="1" t="str" cm="1">
        <f t="array" ref="AD1666">_xlfn.IFS(Table2[[#This Row],[PAYMENT GAP]]&lt;=0,"No Gap / Overpaid",Table2[[#This Row],[PAYMENT GAP]]&lt;=25000,"Low Gap",Table2[[#This Row],[PAYMENT GAP]]&lt;=100000,"Medium Gap",
TRUE,"High Gap"
)</f>
        <v>Low Gap</v>
      </c>
    </row>
    <row r="1667" spans="1:30" x14ac:dyDescent="0.3">
      <c r="A1667">
        <v>1666</v>
      </c>
      <c r="B1667" s="1">
        <v>30000</v>
      </c>
      <c r="C1667" s="1" t="str" cm="1">
        <f t="array" ref="C1667">_xlfn.IFS(Table2[[#This Row],[LIMIT_BAL]]&lt;=100000,"Low",Table2[[#This Row],[LIMIT_BAL]]&lt;=300000,"Medium",
TRUE,"High"
)</f>
        <v>Low</v>
      </c>
      <c r="D1667" t="s">
        <v>2042</v>
      </c>
      <c r="E1667" t="s">
        <v>2043</v>
      </c>
      <c r="F1667" t="s">
        <v>2028</v>
      </c>
      <c r="G1667">
        <v>31</v>
      </c>
      <c r="H1667" t="str" cm="1">
        <f t="array" ref="H1667">_xlfn.IFS(
Table2[[#This Row],[AGE]]&lt;30,"Young",
Table2[[#This Row],[AGE]]&lt;40,"Middle Age",
Table2[[#This Row],[AGE]]&lt;50,"Senior",
TRUE,"Super Senior"
)</f>
        <v>Middle Age</v>
      </c>
      <c r="I1667">
        <v>0</v>
      </c>
      <c r="J1667">
        <v>0</v>
      </c>
      <c r="K1667">
        <v>0</v>
      </c>
      <c r="L1667">
        <v>-1</v>
      </c>
      <c r="M1667">
        <v>-1</v>
      </c>
      <c r="N1667">
        <v>-2</v>
      </c>
      <c r="O1667" s="1">
        <v>13265</v>
      </c>
      <c r="P1667" s="1">
        <v>7206</v>
      </c>
      <c r="Q1667" s="1">
        <v>0</v>
      </c>
      <c r="R1667" s="1">
        <v>2320</v>
      </c>
      <c r="S1667" s="1">
        <v>0</v>
      </c>
      <c r="T1667" s="1">
        <v>0</v>
      </c>
      <c r="U1667" s="1">
        <v>1632</v>
      </c>
      <c r="V1667" s="1">
        <v>780</v>
      </c>
      <c r="W1667" s="1">
        <v>2320</v>
      </c>
      <c r="X1667" s="1">
        <v>0</v>
      </c>
      <c r="Y1667" s="1">
        <v>0</v>
      </c>
      <c r="Z1667" s="1">
        <v>0</v>
      </c>
      <c r="AA1667">
        <v>0</v>
      </c>
      <c r="AB1667" t="str">
        <f t="shared" ref="AB1667:AB1730" si="26">IF(AA1667=1,"Defaulter","Not Defaulter")</f>
        <v>Not Defaulter</v>
      </c>
      <c r="AC1667" s="1">
        <f>Table2[[#This Row],[BILL_AMT1]]-Table2[[#This Row],[PAY_AMT1]]</f>
        <v>11633</v>
      </c>
      <c r="AD1667" s="1" t="str" cm="1">
        <f t="array" ref="AD1667">_xlfn.IFS(Table2[[#This Row],[PAYMENT GAP]]&lt;=0,"No Gap / Overpaid",Table2[[#This Row],[PAYMENT GAP]]&lt;=25000,"Low Gap",Table2[[#This Row],[PAYMENT GAP]]&lt;=100000,"Medium Gap",
TRUE,"High Gap"
)</f>
        <v>Low Gap</v>
      </c>
    </row>
    <row r="1668" spans="1:30" x14ac:dyDescent="0.3">
      <c r="A1668">
        <v>1667</v>
      </c>
      <c r="B1668" s="1">
        <v>90000</v>
      </c>
      <c r="C1668" s="1" t="str" cm="1">
        <f t="array" ref="C1668">_xlfn.IFS(Table2[[#This Row],[LIMIT_BAL]]&lt;=100000,"Low",Table2[[#This Row],[LIMIT_BAL]]&lt;=300000,"Medium",
TRUE,"High"
)</f>
        <v>Low</v>
      </c>
      <c r="D1668" t="s">
        <v>2041</v>
      </c>
      <c r="E1668" t="s">
        <v>2043</v>
      </c>
      <c r="F1668" t="s">
        <v>2028</v>
      </c>
      <c r="G1668">
        <v>36</v>
      </c>
      <c r="H1668" t="str" cm="1">
        <f t="array" ref="H1668">_xlfn.IFS(
Table2[[#This Row],[AGE]]&lt;30,"Young",
Table2[[#This Row],[AGE]]&lt;40,"Middle Age",
Table2[[#This Row],[AGE]]&lt;50,"Senior",
TRUE,"Super Senior"
)</f>
        <v>Middle Age</v>
      </c>
      <c r="I1668">
        <v>2</v>
      </c>
      <c r="J1668">
        <v>2</v>
      </c>
      <c r="K1668">
        <v>2</v>
      </c>
      <c r="L1668">
        <v>2</v>
      </c>
      <c r="M1668">
        <v>2</v>
      </c>
      <c r="N1668">
        <v>2</v>
      </c>
      <c r="O1668" s="1">
        <v>49295</v>
      </c>
      <c r="P1668" s="1">
        <v>50206</v>
      </c>
      <c r="Q1668" s="1">
        <v>50781</v>
      </c>
      <c r="R1668" s="1">
        <v>51840</v>
      </c>
      <c r="S1668" s="1">
        <v>52607</v>
      </c>
      <c r="T1668" s="1">
        <v>53784</v>
      </c>
      <c r="U1668" s="1">
        <v>2000</v>
      </c>
      <c r="V1668" s="1">
        <v>1700</v>
      </c>
      <c r="W1668" s="1">
        <v>2200</v>
      </c>
      <c r="X1668" s="1">
        <v>1750</v>
      </c>
      <c r="Y1668" s="1">
        <v>2200</v>
      </c>
      <c r="Z1668" s="1">
        <v>2000</v>
      </c>
      <c r="AA1668">
        <v>0</v>
      </c>
      <c r="AB1668" t="str">
        <f t="shared" si="26"/>
        <v>Not Defaulter</v>
      </c>
      <c r="AC1668" s="1">
        <f>Table2[[#This Row],[BILL_AMT1]]-Table2[[#This Row],[PAY_AMT1]]</f>
        <v>47295</v>
      </c>
      <c r="AD1668" s="1" t="str" cm="1">
        <f t="array" ref="AD1668">_xlfn.IFS(Table2[[#This Row],[PAYMENT GAP]]&lt;=0,"No Gap / Overpaid",Table2[[#This Row],[PAYMENT GAP]]&lt;=25000,"Low Gap",Table2[[#This Row],[PAYMENT GAP]]&lt;=100000,"Medium Gap",
TRUE,"High Gap"
)</f>
        <v>Medium Gap</v>
      </c>
    </row>
    <row r="1669" spans="1:30" x14ac:dyDescent="0.3">
      <c r="A1669">
        <v>1668</v>
      </c>
      <c r="B1669" s="1">
        <v>200000</v>
      </c>
      <c r="C1669" s="1" t="str" cm="1">
        <f t="array" ref="C1669">_xlfn.IFS(Table2[[#This Row],[LIMIT_BAL]]&lt;=100000,"Low",Table2[[#This Row],[LIMIT_BAL]]&lt;=300000,"Medium",
TRUE,"High"
)</f>
        <v>Medium</v>
      </c>
      <c r="D1669" t="s">
        <v>2042</v>
      </c>
      <c r="E1669" t="s">
        <v>2043</v>
      </c>
      <c r="F1669" t="s">
        <v>2028</v>
      </c>
      <c r="G1669">
        <v>42</v>
      </c>
      <c r="H1669" t="str" cm="1">
        <f t="array" ref="H1669">_xlfn.IFS(
Table2[[#This Row],[AGE]]&lt;30,"Young",
Table2[[#This Row],[AGE]]&lt;40,"Middle Age",
Table2[[#This Row],[AGE]]&lt;50,"Senior",
TRUE,"Super Senior"
)</f>
        <v>Senior</v>
      </c>
      <c r="I1669">
        <v>1</v>
      </c>
      <c r="J1669">
        <v>2</v>
      </c>
      <c r="K1669">
        <v>0</v>
      </c>
      <c r="L1669">
        <v>0</v>
      </c>
      <c r="M1669">
        <v>2</v>
      </c>
      <c r="N1669">
        <v>2</v>
      </c>
      <c r="O1669" s="1">
        <v>38187</v>
      </c>
      <c r="P1669" s="1">
        <v>35827</v>
      </c>
      <c r="Q1669" s="1">
        <v>19208</v>
      </c>
      <c r="R1669" s="1">
        <v>20023</v>
      </c>
      <c r="S1669" s="1">
        <v>19572</v>
      </c>
      <c r="T1669" s="1">
        <v>19652</v>
      </c>
      <c r="U1669" s="1">
        <v>44</v>
      </c>
      <c r="V1669" s="1">
        <v>1303</v>
      </c>
      <c r="W1669" s="1">
        <v>1522</v>
      </c>
      <c r="X1669" s="1">
        <v>0</v>
      </c>
      <c r="Y1669" s="1">
        <v>1099</v>
      </c>
      <c r="Z1669" s="1">
        <v>1339</v>
      </c>
      <c r="AA1669">
        <v>1</v>
      </c>
      <c r="AB1669" t="str">
        <f t="shared" si="26"/>
        <v>Defaulter</v>
      </c>
      <c r="AC1669" s="1">
        <f>Table2[[#This Row],[BILL_AMT1]]-Table2[[#This Row],[PAY_AMT1]]</f>
        <v>38143</v>
      </c>
      <c r="AD1669" s="1" t="str" cm="1">
        <f t="array" ref="AD1669">_xlfn.IFS(Table2[[#This Row],[PAYMENT GAP]]&lt;=0,"No Gap / Overpaid",Table2[[#This Row],[PAYMENT GAP]]&lt;=25000,"Low Gap",Table2[[#This Row],[PAYMENT GAP]]&lt;=100000,"Medium Gap",
TRUE,"High Gap"
)</f>
        <v>Medium Gap</v>
      </c>
    </row>
    <row r="1670" spans="1:30" x14ac:dyDescent="0.3">
      <c r="A1670">
        <v>1669</v>
      </c>
      <c r="B1670" s="1">
        <v>100000</v>
      </c>
      <c r="C1670" s="1" t="str" cm="1">
        <f t="array" ref="C1670">_xlfn.IFS(Table2[[#This Row],[LIMIT_BAL]]&lt;=100000,"Low",Table2[[#This Row],[LIMIT_BAL]]&lt;=300000,"Medium",
TRUE,"High"
)</f>
        <v>Low</v>
      </c>
      <c r="D1670" t="s">
        <v>2042</v>
      </c>
      <c r="E1670" t="s">
        <v>2043</v>
      </c>
      <c r="F1670" t="s">
        <v>2029</v>
      </c>
      <c r="G1670">
        <v>30</v>
      </c>
      <c r="H1670" t="str" cm="1">
        <f t="array" ref="H1670">_xlfn.IFS(
Table2[[#This Row],[AGE]]&lt;30,"Young",
Table2[[#This Row],[AGE]]&lt;40,"Middle Age",
Table2[[#This Row],[AGE]]&lt;50,"Senior",
TRUE,"Super Senior"
)</f>
        <v>Middle Age</v>
      </c>
      <c r="I1670">
        <v>-2</v>
      </c>
      <c r="J1670">
        <v>-2</v>
      </c>
      <c r="K1670">
        <v>-2</v>
      </c>
      <c r="L1670">
        <v>-2</v>
      </c>
      <c r="M1670">
        <v>-2</v>
      </c>
      <c r="N1670">
        <v>-2</v>
      </c>
      <c r="O1670" s="1">
        <v>914</v>
      </c>
      <c r="P1670" s="1">
        <v>1170</v>
      </c>
      <c r="Q1670" s="1">
        <v>0</v>
      </c>
      <c r="R1670" s="1">
        <v>0</v>
      </c>
      <c r="S1670" s="1">
        <v>1756</v>
      </c>
      <c r="T1670" s="1">
        <v>0</v>
      </c>
      <c r="U1670" s="1">
        <v>1475</v>
      </c>
      <c r="V1670" s="1">
        <v>0</v>
      </c>
      <c r="W1670" s="1">
        <v>0</v>
      </c>
      <c r="X1670" s="1">
        <v>1756</v>
      </c>
      <c r="Y1670" s="1">
        <v>0</v>
      </c>
      <c r="Z1670" s="1">
        <v>0</v>
      </c>
      <c r="AA1670">
        <v>0</v>
      </c>
      <c r="AB1670" t="str">
        <f t="shared" si="26"/>
        <v>Not Defaulter</v>
      </c>
      <c r="AC1670" s="1">
        <f>Table2[[#This Row],[BILL_AMT1]]-Table2[[#This Row],[PAY_AMT1]]</f>
        <v>-561</v>
      </c>
      <c r="AD1670" s="1" t="str" cm="1">
        <f t="array" ref="AD1670">_xlfn.IFS(Table2[[#This Row],[PAYMENT GAP]]&lt;=0,"No Gap / Overpaid",Table2[[#This Row],[PAYMENT GAP]]&lt;=25000,"Low Gap",Table2[[#This Row],[PAYMENT GAP]]&lt;=100000,"Medium Gap",
TRUE,"High Gap"
)</f>
        <v>No Gap / Overpaid</v>
      </c>
    </row>
    <row r="1671" spans="1:30" x14ac:dyDescent="0.3">
      <c r="A1671">
        <v>1670</v>
      </c>
      <c r="B1671" s="1">
        <v>20000</v>
      </c>
      <c r="C1671" s="1" t="str" cm="1">
        <f t="array" ref="C1671">_xlfn.IFS(Table2[[#This Row],[LIMIT_BAL]]&lt;=100000,"Low",Table2[[#This Row],[LIMIT_BAL]]&lt;=300000,"Medium",
TRUE,"High"
)</f>
        <v>Low</v>
      </c>
      <c r="D1671" t="s">
        <v>2042</v>
      </c>
      <c r="E1671" t="s">
        <v>2027</v>
      </c>
      <c r="F1671" t="s">
        <v>2029</v>
      </c>
      <c r="G1671">
        <v>40</v>
      </c>
      <c r="H1671" t="str" cm="1">
        <f t="array" ref="H1671">_xlfn.IFS(
Table2[[#This Row],[AGE]]&lt;30,"Young",
Table2[[#This Row],[AGE]]&lt;40,"Middle Age",
Table2[[#This Row],[AGE]]&lt;50,"Senior",
TRUE,"Super Senior"
)</f>
        <v>Senior</v>
      </c>
      <c r="I1671">
        <v>0</v>
      </c>
      <c r="J1671">
        <v>0</v>
      </c>
      <c r="K1671">
        <v>2</v>
      </c>
      <c r="L1671">
        <v>3</v>
      </c>
      <c r="M1671">
        <v>2</v>
      </c>
      <c r="N1671">
        <v>2</v>
      </c>
      <c r="O1671" s="1">
        <v>12649</v>
      </c>
      <c r="P1671" s="1">
        <v>15526</v>
      </c>
      <c r="Q1671" s="1">
        <v>16383</v>
      </c>
      <c r="R1671" s="1">
        <v>15831</v>
      </c>
      <c r="S1671" s="1">
        <v>15438</v>
      </c>
      <c r="T1671" s="1">
        <v>17371</v>
      </c>
      <c r="U1671" s="1">
        <v>3103</v>
      </c>
      <c r="V1671" s="1">
        <v>1408</v>
      </c>
      <c r="W1671" s="1">
        <v>0</v>
      </c>
      <c r="X1671" s="1">
        <v>0</v>
      </c>
      <c r="Y1671" s="1">
        <v>2346</v>
      </c>
      <c r="Z1671" s="1">
        <v>0</v>
      </c>
      <c r="AA1671">
        <v>0</v>
      </c>
      <c r="AB1671" t="str">
        <f t="shared" si="26"/>
        <v>Not Defaulter</v>
      </c>
      <c r="AC1671" s="1">
        <f>Table2[[#This Row],[BILL_AMT1]]-Table2[[#This Row],[PAY_AMT1]]</f>
        <v>9546</v>
      </c>
      <c r="AD1671" s="1" t="str" cm="1">
        <f t="array" ref="AD1671">_xlfn.IFS(Table2[[#This Row],[PAYMENT GAP]]&lt;=0,"No Gap / Overpaid",Table2[[#This Row],[PAYMENT GAP]]&lt;=25000,"Low Gap",Table2[[#This Row],[PAYMENT GAP]]&lt;=100000,"Medium Gap",
TRUE,"High Gap"
)</f>
        <v>Low Gap</v>
      </c>
    </row>
    <row r="1672" spans="1:30" x14ac:dyDescent="0.3">
      <c r="A1672">
        <v>1671</v>
      </c>
      <c r="B1672" s="1">
        <v>50000</v>
      </c>
      <c r="C1672" s="1" t="str" cm="1">
        <f t="array" ref="C1672">_xlfn.IFS(Table2[[#This Row],[LIMIT_BAL]]&lt;=100000,"Low",Table2[[#This Row],[LIMIT_BAL]]&lt;=300000,"Medium",
TRUE,"High"
)</f>
        <v>Low</v>
      </c>
      <c r="D1672" t="s">
        <v>2042</v>
      </c>
      <c r="E1672" t="s">
        <v>2043</v>
      </c>
      <c r="F1672" t="s">
        <v>2028</v>
      </c>
      <c r="G1672">
        <v>51</v>
      </c>
      <c r="H1672" t="str" cm="1">
        <f t="array" ref="H1672">_xlfn.IFS(
Table2[[#This Row],[AGE]]&lt;30,"Young",
Table2[[#This Row],[AGE]]&lt;40,"Middle Age",
Table2[[#This Row],[AGE]]&lt;50,"Senior",
TRUE,"Super Senior"
)</f>
        <v>Super Senior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 s="1">
        <v>49613</v>
      </c>
      <c r="P1672" s="1">
        <v>49326</v>
      </c>
      <c r="Q1672" s="1">
        <v>47010</v>
      </c>
      <c r="R1672" s="1">
        <v>20661</v>
      </c>
      <c r="S1672" s="1">
        <v>14528</v>
      </c>
      <c r="T1672" s="1">
        <v>15544</v>
      </c>
      <c r="U1672" s="1">
        <v>3036</v>
      </c>
      <c r="V1672" s="1">
        <v>6000</v>
      </c>
      <c r="W1672" s="1">
        <v>1000</v>
      </c>
      <c r="X1672" s="1">
        <v>2000</v>
      </c>
      <c r="Y1672" s="1">
        <v>2500</v>
      </c>
      <c r="Z1672" s="1">
        <v>3000</v>
      </c>
      <c r="AA1672">
        <v>0</v>
      </c>
      <c r="AB1672" t="str">
        <f t="shared" si="26"/>
        <v>Not Defaulter</v>
      </c>
      <c r="AC1672" s="1">
        <f>Table2[[#This Row],[BILL_AMT1]]-Table2[[#This Row],[PAY_AMT1]]</f>
        <v>46577</v>
      </c>
      <c r="AD1672" s="1" t="str" cm="1">
        <f t="array" ref="AD1672">_xlfn.IFS(Table2[[#This Row],[PAYMENT GAP]]&lt;=0,"No Gap / Overpaid",Table2[[#This Row],[PAYMENT GAP]]&lt;=25000,"Low Gap",Table2[[#This Row],[PAYMENT GAP]]&lt;=100000,"Medium Gap",
TRUE,"High Gap"
)</f>
        <v>Medium Gap</v>
      </c>
    </row>
    <row r="1673" spans="1:30" x14ac:dyDescent="0.3">
      <c r="A1673">
        <v>1672</v>
      </c>
      <c r="B1673" s="1">
        <v>50000</v>
      </c>
      <c r="C1673" s="1" t="str" cm="1">
        <f t="array" ref="C1673">_xlfn.IFS(Table2[[#This Row],[LIMIT_BAL]]&lt;=100000,"Low",Table2[[#This Row],[LIMIT_BAL]]&lt;=300000,"Medium",
TRUE,"High"
)</f>
        <v>Low</v>
      </c>
      <c r="D1673" t="s">
        <v>2041</v>
      </c>
      <c r="E1673" t="s">
        <v>2043</v>
      </c>
      <c r="F1673" t="s">
        <v>2055</v>
      </c>
      <c r="G1673">
        <v>51</v>
      </c>
      <c r="H1673" t="str" cm="1">
        <f t="array" ref="H1673">_xlfn.IFS(
Table2[[#This Row],[AGE]]&lt;30,"Young",
Table2[[#This Row],[AGE]]&lt;40,"Middle Age",
Table2[[#This Row],[AGE]]&lt;50,"Senior",
TRUE,"Super Senior"
)</f>
        <v>Super Senior</v>
      </c>
      <c r="I1673">
        <v>0</v>
      </c>
      <c r="J1673">
        <v>-1</v>
      </c>
      <c r="K1673">
        <v>0</v>
      </c>
      <c r="L1673">
        <v>0</v>
      </c>
      <c r="M1673">
        <v>0</v>
      </c>
      <c r="N1673">
        <v>-2</v>
      </c>
      <c r="O1673" s="1">
        <v>10571</v>
      </c>
      <c r="P1673" s="1">
        <v>2477</v>
      </c>
      <c r="Q1673" s="1">
        <v>3234</v>
      </c>
      <c r="R1673" s="1">
        <v>2904</v>
      </c>
      <c r="S1673" s="1">
        <v>0</v>
      </c>
      <c r="T1673" s="1">
        <v>0</v>
      </c>
      <c r="U1673" s="1">
        <v>2477</v>
      </c>
      <c r="V1673" s="1">
        <v>2904</v>
      </c>
      <c r="W1673" s="1">
        <v>0</v>
      </c>
      <c r="X1673" s="1">
        <v>0</v>
      </c>
      <c r="Y1673" s="1">
        <v>0</v>
      </c>
      <c r="Z1673" s="1">
        <v>0</v>
      </c>
      <c r="AA1673">
        <v>0</v>
      </c>
      <c r="AB1673" t="str">
        <f t="shared" si="26"/>
        <v>Not Defaulter</v>
      </c>
      <c r="AC1673" s="1">
        <f>Table2[[#This Row],[BILL_AMT1]]-Table2[[#This Row],[PAY_AMT1]]</f>
        <v>8094</v>
      </c>
      <c r="AD1673" s="1" t="str" cm="1">
        <f t="array" ref="AD1673">_xlfn.IFS(Table2[[#This Row],[PAYMENT GAP]]&lt;=0,"No Gap / Overpaid",Table2[[#This Row],[PAYMENT GAP]]&lt;=25000,"Low Gap",Table2[[#This Row],[PAYMENT GAP]]&lt;=100000,"Medium Gap",
TRUE,"High Gap"
)</f>
        <v>Low Gap</v>
      </c>
    </row>
    <row r="1674" spans="1:30" x14ac:dyDescent="0.3">
      <c r="A1674">
        <v>1673</v>
      </c>
      <c r="B1674" s="1">
        <v>290000</v>
      </c>
      <c r="C1674" s="1" t="str" cm="1">
        <f t="array" ref="C1674">_xlfn.IFS(Table2[[#This Row],[LIMIT_BAL]]&lt;=100000,"Low",Table2[[#This Row],[LIMIT_BAL]]&lt;=300000,"Medium",
TRUE,"High"
)</f>
        <v>Medium</v>
      </c>
      <c r="D1674" t="s">
        <v>2042</v>
      </c>
      <c r="E1674" t="s">
        <v>2027</v>
      </c>
      <c r="F1674" t="s">
        <v>2029</v>
      </c>
      <c r="G1674">
        <v>32</v>
      </c>
      <c r="H1674" t="str" cm="1">
        <f t="array" ref="H1674">_xlfn.IFS(
Table2[[#This Row],[AGE]]&lt;30,"Young",
Table2[[#This Row],[AGE]]&lt;40,"Middle Age",
Table2[[#This Row],[AGE]]&lt;50,"Senior",
TRUE,"Super Senior"
)</f>
        <v>Middle Age</v>
      </c>
      <c r="I1674">
        <v>-1</v>
      </c>
      <c r="J1674">
        <v>-1</v>
      </c>
      <c r="K1674">
        <v>-1</v>
      </c>
      <c r="L1674">
        <v>-1</v>
      </c>
      <c r="M1674">
        <v>-1</v>
      </c>
      <c r="N1674">
        <v>0</v>
      </c>
      <c r="O1674" s="1">
        <v>1520</v>
      </c>
      <c r="P1674" s="1">
        <v>1200</v>
      </c>
      <c r="Q1674" s="1">
        <v>0</v>
      </c>
      <c r="R1674" s="1">
        <v>1000</v>
      </c>
      <c r="S1674" s="1">
        <v>28661</v>
      </c>
      <c r="T1674" s="1">
        <v>8976</v>
      </c>
      <c r="U1674" s="1">
        <v>1200</v>
      </c>
      <c r="V1674" s="1">
        <v>0</v>
      </c>
      <c r="W1674" s="1">
        <v>1000</v>
      </c>
      <c r="X1674" s="1">
        <v>9948</v>
      </c>
      <c r="Y1674" s="1">
        <v>8974</v>
      </c>
      <c r="Z1674" s="1">
        <v>175000</v>
      </c>
      <c r="AA1674">
        <v>0</v>
      </c>
      <c r="AB1674" t="str">
        <f t="shared" si="26"/>
        <v>Not Defaulter</v>
      </c>
      <c r="AC1674" s="1">
        <f>Table2[[#This Row],[BILL_AMT1]]-Table2[[#This Row],[PAY_AMT1]]</f>
        <v>320</v>
      </c>
      <c r="AD1674" s="1" t="str" cm="1">
        <f t="array" ref="AD1674">_xlfn.IFS(Table2[[#This Row],[PAYMENT GAP]]&lt;=0,"No Gap / Overpaid",Table2[[#This Row],[PAYMENT GAP]]&lt;=25000,"Low Gap",Table2[[#This Row],[PAYMENT GAP]]&lt;=100000,"Medium Gap",
TRUE,"High Gap"
)</f>
        <v>Low Gap</v>
      </c>
    </row>
    <row r="1675" spans="1:30" x14ac:dyDescent="0.3">
      <c r="A1675">
        <v>1674</v>
      </c>
      <c r="B1675" s="1">
        <v>220000</v>
      </c>
      <c r="C1675" s="1" t="str" cm="1">
        <f t="array" ref="C1675">_xlfn.IFS(Table2[[#This Row],[LIMIT_BAL]]&lt;=100000,"Low",Table2[[#This Row],[LIMIT_BAL]]&lt;=300000,"Medium",
TRUE,"High"
)</f>
        <v>Medium</v>
      </c>
      <c r="D1675" t="s">
        <v>2041</v>
      </c>
      <c r="E1675" t="s">
        <v>2026</v>
      </c>
      <c r="F1675" t="s">
        <v>2029</v>
      </c>
      <c r="G1675">
        <v>36</v>
      </c>
      <c r="H1675" t="str" cm="1">
        <f t="array" ref="H1675">_xlfn.IFS(
Table2[[#This Row],[AGE]]&lt;30,"Young",
Table2[[#This Row],[AGE]]&lt;40,"Middle Age",
Table2[[#This Row],[AGE]]&lt;50,"Senior",
TRUE,"Super Senior"
)</f>
        <v>Middle Age</v>
      </c>
      <c r="I1675">
        <v>-2</v>
      </c>
      <c r="J1675">
        <v>-2</v>
      </c>
      <c r="K1675">
        <v>-2</v>
      </c>
      <c r="L1675">
        <v>-2</v>
      </c>
      <c r="M1675">
        <v>-2</v>
      </c>
      <c r="N1675">
        <v>-2</v>
      </c>
      <c r="O1675" s="1">
        <v>0</v>
      </c>
      <c r="P1675" s="1">
        <v>420</v>
      </c>
      <c r="Q1675" s="1">
        <v>0</v>
      </c>
      <c r="R1675" s="1">
        <v>584</v>
      </c>
      <c r="S1675" s="1">
        <v>790</v>
      </c>
      <c r="T1675" s="1">
        <v>0</v>
      </c>
      <c r="U1675" s="1">
        <v>420</v>
      </c>
      <c r="V1675" s="1">
        <v>0</v>
      </c>
      <c r="W1675" s="1">
        <v>584</v>
      </c>
      <c r="X1675" s="1">
        <v>790</v>
      </c>
      <c r="Y1675" s="1">
        <v>0</v>
      </c>
      <c r="Z1675" s="1">
        <v>1309</v>
      </c>
      <c r="AA1675">
        <v>0</v>
      </c>
      <c r="AB1675" t="str">
        <f t="shared" si="26"/>
        <v>Not Defaulter</v>
      </c>
      <c r="AC1675" s="1">
        <f>Table2[[#This Row],[BILL_AMT1]]-Table2[[#This Row],[PAY_AMT1]]</f>
        <v>-420</v>
      </c>
      <c r="AD1675" s="1" t="str" cm="1">
        <f t="array" ref="AD1675">_xlfn.IFS(Table2[[#This Row],[PAYMENT GAP]]&lt;=0,"No Gap / Overpaid",Table2[[#This Row],[PAYMENT GAP]]&lt;=25000,"Low Gap",Table2[[#This Row],[PAYMENT GAP]]&lt;=100000,"Medium Gap",
TRUE,"High Gap"
)</f>
        <v>No Gap / Overpaid</v>
      </c>
    </row>
    <row r="1676" spans="1:30" x14ac:dyDescent="0.3">
      <c r="A1676">
        <v>1675</v>
      </c>
      <c r="B1676" s="1">
        <v>440000</v>
      </c>
      <c r="C1676" s="1" t="str" cm="1">
        <f t="array" ref="C1676">_xlfn.IFS(Table2[[#This Row],[LIMIT_BAL]]&lt;=100000,"Low",Table2[[#This Row],[LIMIT_BAL]]&lt;=300000,"Medium",
TRUE,"High"
)</f>
        <v>High</v>
      </c>
      <c r="D1676" t="s">
        <v>2042</v>
      </c>
      <c r="E1676" t="s">
        <v>2026</v>
      </c>
      <c r="F1676" t="s">
        <v>2028</v>
      </c>
      <c r="G1676">
        <v>37</v>
      </c>
      <c r="H1676" t="str" cm="1">
        <f t="array" ref="H1676">_xlfn.IFS(
Table2[[#This Row],[AGE]]&lt;30,"Young",
Table2[[#This Row],[AGE]]&lt;40,"Middle Age",
Table2[[#This Row],[AGE]]&lt;50,"Senior",
TRUE,"Super Senior"
)</f>
        <v>Middle Age</v>
      </c>
      <c r="I1676">
        <v>-1</v>
      </c>
      <c r="J1676">
        <v>-1</v>
      </c>
      <c r="K1676">
        <v>-1</v>
      </c>
      <c r="L1676">
        <v>-1</v>
      </c>
      <c r="M1676">
        <v>-1</v>
      </c>
      <c r="N1676">
        <v>-1</v>
      </c>
      <c r="O1676" s="1">
        <v>4330</v>
      </c>
      <c r="P1676" s="1">
        <v>8369</v>
      </c>
      <c r="Q1676" s="1">
        <v>16786</v>
      </c>
      <c r="R1676" s="1">
        <v>396</v>
      </c>
      <c r="S1676" s="1">
        <v>600</v>
      </c>
      <c r="T1676" s="1">
        <v>3596</v>
      </c>
      <c r="U1676" s="1">
        <v>8369</v>
      </c>
      <c r="V1676" s="1">
        <v>16786</v>
      </c>
      <c r="W1676" s="1">
        <v>396</v>
      </c>
      <c r="X1676" s="1">
        <v>600</v>
      </c>
      <c r="Y1676" s="1">
        <v>3596</v>
      </c>
      <c r="Z1676" s="1">
        <v>4095</v>
      </c>
      <c r="AA1676">
        <v>0</v>
      </c>
      <c r="AB1676" t="str">
        <f t="shared" si="26"/>
        <v>Not Defaulter</v>
      </c>
      <c r="AC1676" s="1">
        <f>Table2[[#This Row],[BILL_AMT1]]-Table2[[#This Row],[PAY_AMT1]]</f>
        <v>-4039</v>
      </c>
      <c r="AD1676" s="1" t="str" cm="1">
        <f t="array" ref="AD1676">_xlfn.IFS(Table2[[#This Row],[PAYMENT GAP]]&lt;=0,"No Gap / Overpaid",Table2[[#This Row],[PAYMENT GAP]]&lt;=25000,"Low Gap",Table2[[#This Row],[PAYMENT GAP]]&lt;=100000,"Medium Gap",
TRUE,"High Gap"
)</f>
        <v>No Gap / Overpaid</v>
      </c>
    </row>
    <row r="1677" spans="1:30" x14ac:dyDescent="0.3">
      <c r="A1677">
        <v>1676</v>
      </c>
      <c r="B1677" s="1">
        <v>50000</v>
      </c>
      <c r="C1677" s="1" t="str" cm="1">
        <f t="array" ref="C1677">_xlfn.IFS(Table2[[#This Row],[LIMIT_BAL]]&lt;=100000,"Low",Table2[[#This Row],[LIMIT_BAL]]&lt;=300000,"Medium",
TRUE,"High"
)</f>
        <v>Low</v>
      </c>
      <c r="D1677" t="s">
        <v>2042</v>
      </c>
      <c r="E1677" t="s">
        <v>2043</v>
      </c>
      <c r="F1677" t="s">
        <v>2029</v>
      </c>
      <c r="G1677">
        <v>49</v>
      </c>
      <c r="H1677" t="str" cm="1">
        <f t="array" ref="H1677">_xlfn.IFS(
Table2[[#This Row],[AGE]]&lt;30,"Young",
Table2[[#This Row],[AGE]]&lt;40,"Middle Age",
Table2[[#This Row],[AGE]]&lt;50,"Senior",
TRUE,"Super Senior"
)</f>
        <v>Senior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 s="1">
        <v>90231</v>
      </c>
      <c r="P1677" s="1">
        <v>90647</v>
      </c>
      <c r="Q1677" s="1">
        <v>92309</v>
      </c>
      <c r="R1677" s="1">
        <v>93880</v>
      </c>
      <c r="S1677" s="1">
        <v>99418</v>
      </c>
      <c r="T1677" s="1">
        <v>101392</v>
      </c>
      <c r="U1677" s="1">
        <v>2852</v>
      </c>
      <c r="V1677" s="1">
        <v>2784</v>
      </c>
      <c r="W1677" s="1">
        <v>2603</v>
      </c>
      <c r="X1677" s="1">
        <v>10000</v>
      </c>
      <c r="Y1677" s="1">
        <v>3164</v>
      </c>
      <c r="Z1677" s="1">
        <v>2868</v>
      </c>
      <c r="AA1677">
        <v>1</v>
      </c>
      <c r="AB1677" t="str">
        <f t="shared" si="26"/>
        <v>Defaulter</v>
      </c>
      <c r="AC1677" s="1">
        <f>Table2[[#This Row],[BILL_AMT1]]-Table2[[#This Row],[PAY_AMT1]]</f>
        <v>87379</v>
      </c>
      <c r="AD1677" s="1" t="str" cm="1">
        <f t="array" ref="AD1677">_xlfn.IFS(Table2[[#This Row],[PAYMENT GAP]]&lt;=0,"No Gap / Overpaid",Table2[[#This Row],[PAYMENT GAP]]&lt;=25000,"Low Gap",Table2[[#This Row],[PAYMENT GAP]]&lt;=100000,"Medium Gap",
TRUE,"High Gap"
)</f>
        <v>Medium Gap</v>
      </c>
    </row>
    <row r="1678" spans="1:30" x14ac:dyDescent="0.3">
      <c r="A1678">
        <v>1677</v>
      </c>
      <c r="B1678" s="1">
        <v>300000</v>
      </c>
      <c r="C1678" s="1" t="str" cm="1">
        <f t="array" ref="C1678">_xlfn.IFS(Table2[[#This Row],[LIMIT_BAL]]&lt;=100000,"Low",Table2[[#This Row],[LIMIT_BAL]]&lt;=300000,"Medium",
TRUE,"High"
)</f>
        <v>Medium</v>
      </c>
      <c r="D1678" t="s">
        <v>2042</v>
      </c>
      <c r="E1678" t="s">
        <v>2026</v>
      </c>
      <c r="F1678" t="s">
        <v>2029</v>
      </c>
      <c r="G1678">
        <v>31</v>
      </c>
      <c r="H1678" t="str" cm="1">
        <f t="array" ref="H1678">_xlfn.IFS(
Table2[[#This Row],[AGE]]&lt;30,"Young",
Table2[[#This Row],[AGE]]&lt;40,"Middle Age",
Table2[[#This Row],[AGE]]&lt;50,"Senior",
TRUE,"Super Senior"
)</f>
        <v>Middle Age</v>
      </c>
      <c r="I1678">
        <v>-1</v>
      </c>
      <c r="J1678">
        <v>-1</v>
      </c>
      <c r="K1678">
        <v>-1</v>
      </c>
      <c r="L1678">
        <v>-1</v>
      </c>
      <c r="M1678">
        <v>-1</v>
      </c>
      <c r="N1678">
        <v>-1</v>
      </c>
      <c r="O1678" s="1">
        <v>40779</v>
      </c>
      <c r="P1678" s="1">
        <v>5401</v>
      </c>
      <c r="Q1678" s="1">
        <v>2444</v>
      </c>
      <c r="R1678" s="1">
        <v>578</v>
      </c>
      <c r="S1678" s="1">
        <v>390</v>
      </c>
      <c r="T1678" s="1">
        <v>1424</v>
      </c>
      <c r="U1678" s="1">
        <v>5401</v>
      </c>
      <c r="V1678" s="1">
        <v>2444</v>
      </c>
      <c r="W1678" s="1">
        <v>578</v>
      </c>
      <c r="X1678" s="1">
        <v>390</v>
      </c>
      <c r="Y1678" s="1">
        <v>1424</v>
      </c>
      <c r="Z1678" s="1">
        <v>390</v>
      </c>
      <c r="AA1678">
        <v>0</v>
      </c>
      <c r="AB1678" t="str">
        <f t="shared" si="26"/>
        <v>Not Defaulter</v>
      </c>
      <c r="AC1678" s="1">
        <f>Table2[[#This Row],[BILL_AMT1]]-Table2[[#This Row],[PAY_AMT1]]</f>
        <v>35378</v>
      </c>
      <c r="AD1678" s="1" t="str" cm="1">
        <f t="array" ref="AD1678">_xlfn.IFS(Table2[[#This Row],[PAYMENT GAP]]&lt;=0,"No Gap / Overpaid",Table2[[#This Row],[PAYMENT GAP]]&lt;=25000,"Low Gap",Table2[[#This Row],[PAYMENT GAP]]&lt;=100000,"Medium Gap",
TRUE,"High Gap"
)</f>
        <v>Medium Gap</v>
      </c>
    </row>
    <row r="1679" spans="1:30" x14ac:dyDescent="0.3">
      <c r="A1679">
        <v>1678</v>
      </c>
      <c r="B1679" s="1">
        <v>290000</v>
      </c>
      <c r="C1679" s="1" t="str" cm="1">
        <f t="array" ref="C1679">_xlfn.IFS(Table2[[#This Row],[LIMIT_BAL]]&lt;=100000,"Low",Table2[[#This Row],[LIMIT_BAL]]&lt;=300000,"Medium",
TRUE,"High"
)</f>
        <v>Medium</v>
      </c>
      <c r="D1679" t="s">
        <v>2041</v>
      </c>
      <c r="E1679" t="s">
        <v>2026</v>
      </c>
      <c r="F1679" t="s">
        <v>2028</v>
      </c>
      <c r="G1679">
        <v>50</v>
      </c>
      <c r="H1679" t="str" cm="1">
        <f t="array" ref="H1679">_xlfn.IFS(
Table2[[#This Row],[AGE]]&lt;30,"Young",
Table2[[#This Row],[AGE]]&lt;40,"Middle Age",
Table2[[#This Row],[AGE]]&lt;50,"Senior",
TRUE,"Super Senior"
)</f>
        <v>Super Senior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 s="1">
        <v>165563</v>
      </c>
      <c r="P1679" s="1">
        <v>128747</v>
      </c>
      <c r="Q1679" s="1">
        <v>120469</v>
      </c>
      <c r="R1679" s="1">
        <v>78892</v>
      </c>
      <c r="S1679" s="1">
        <v>81561</v>
      </c>
      <c r="T1679" s="1">
        <v>83687</v>
      </c>
      <c r="U1679" s="1">
        <v>7000</v>
      </c>
      <c r="V1679" s="1">
        <v>10009</v>
      </c>
      <c r="W1679" s="1">
        <v>5000</v>
      </c>
      <c r="X1679" s="1">
        <v>5000</v>
      </c>
      <c r="Y1679" s="1">
        <v>5000</v>
      </c>
      <c r="Z1679" s="1">
        <v>10000</v>
      </c>
      <c r="AA1679">
        <v>0</v>
      </c>
      <c r="AB1679" t="str">
        <f t="shared" si="26"/>
        <v>Not Defaulter</v>
      </c>
      <c r="AC1679" s="1">
        <f>Table2[[#This Row],[BILL_AMT1]]-Table2[[#This Row],[PAY_AMT1]]</f>
        <v>158563</v>
      </c>
      <c r="AD1679" s="1" t="str" cm="1">
        <f t="array" ref="AD1679">_xlfn.IFS(Table2[[#This Row],[PAYMENT GAP]]&lt;=0,"No Gap / Overpaid",Table2[[#This Row],[PAYMENT GAP]]&lt;=25000,"Low Gap",Table2[[#This Row],[PAYMENT GAP]]&lt;=100000,"Medium Gap",
TRUE,"High Gap"
)</f>
        <v>High Gap</v>
      </c>
    </row>
    <row r="1680" spans="1:30" x14ac:dyDescent="0.3">
      <c r="A1680">
        <v>1679</v>
      </c>
      <c r="B1680" s="1">
        <v>390000</v>
      </c>
      <c r="C1680" s="1" t="str" cm="1">
        <f t="array" ref="C1680">_xlfn.IFS(Table2[[#This Row],[LIMIT_BAL]]&lt;=100000,"Low",Table2[[#This Row],[LIMIT_BAL]]&lt;=300000,"Medium",
TRUE,"High"
)</f>
        <v>High</v>
      </c>
      <c r="D1680" t="s">
        <v>2042</v>
      </c>
      <c r="E1680" t="s">
        <v>2043</v>
      </c>
      <c r="F1680" t="s">
        <v>2028</v>
      </c>
      <c r="G1680">
        <v>40</v>
      </c>
      <c r="H1680" t="str" cm="1">
        <f t="array" ref="H1680">_xlfn.IFS(
Table2[[#This Row],[AGE]]&lt;30,"Young",
Table2[[#This Row],[AGE]]&lt;40,"Middle Age",
Table2[[#This Row],[AGE]]&lt;50,"Senior",
TRUE,"Super Senior"
)</f>
        <v>Senior</v>
      </c>
      <c r="I1680">
        <v>1</v>
      </c>
      <c r="J1680">
        <v>2</v>
      </c>
      <c r="K1680">
        <v>0</v>
      </c>
      <c r="L1680">
        <v>0</v>
      </c>
      <c r="M1680">
        <v>0</v>
      </c>
      <c r="N1680">
        <v>0</v>
      </c>
      <c r="O1680" s="1">
        <v>424244</v>
      </c>
      <c r="P1680" s="1">
        <v>395060</v>
      </c>
      <c r="Q1680" s="1">
        <v>258372</v>
      </c>
      <c r="R1680" s="1">
        <v>261498</v>
      </c>
      <c r="S1680" s="1">
        <v>213003</v>
      </c>
      <c r="T1680" s="1">
        <v>102423</v>
      </c>
      <c r="U1680" s="1">
        <v>587</v>
      </c>
      <c r="V1680" s="1">
        <v>9500</v>
      </c>
      <c r="W1680" s="1">
        <v>30140</v>
      </c>
      <c r="X1680" s="1">
        <v>4235</v>
      </c>
      <c r="Y1680" s="1">
        <v>1998</v>
      </c>
      <c r="Z1680" s="1">
        <v>25226</v>
      </c>
      <c r="AA1680">
        <v>0</v>
      </c>
      <c r="AB1680" t="str">
        <f t="shared" si="26"/>
        <v>Not Defaulter</v>
      </c>
      <c r="AC1680" s="1">
        <f>Table2[[#This Row],[BILL_AMT1]]-Table2[[#This Row],[PAY_AMT1]]</f>
        <v>423657</v>
      </c>
      <c r="AD1680" s="1" t="str" cm="1">
        <f t="array" ref="AD1680">_xlfn.IFS(Table2[[#This Row],[PAYMENT GAP]]&lt;=0,"No Gap / Overpaid",Table2[[#This Row],[PAYMENT GAP]]&lt;=25000,"Low Gap",Table2[[#This Row],[PAYMENT GAP]]&lt;=100000,"Medium Gap",
TRUE,"High Gap"
)</f>
        <v>High Gap</v>
      </c>
    </row>
    <row r="1681" spans="1:30" x14ac:dyDescent="0.3">
      <c r="A1681">
        <v>1680</v>
      </c>
      <c r="B1681" s="1">
        <v>50000</v>
      </c>
      <c r="C1681" s="1" t="str" cm="1">
        <f t="array" ref="C1681">_xlfn.IFS(Table2[[#This Row],[LIMIT_BAL]]&lt;=100000,"Low",Table2[[#This Row],[LIMIT_BAL]]&lt;=300000,"Medium",
TRUE,"High"
)</f>
        <v>Low</v>
      </c>
      <c r="D1681" t="s">
        <v>2041</v>
      </c>
      <c r="E1681" t="s">
        <v>2043</v>
      </c>
      <c r="F1681" t="s">
        <v>2029</v>
      </c>
      <c r="G1681">
        <v>24</v>
      </c>
      <c r="H1681" t="str" cm="1">
        <f t="array" ref="H1681">_xlfn.IFS(
Table2[[#This Row],[AGE]]&lt;30,"Young",
Table2[[#This Row],[AGE]]&lt;40,"Middle Age",
Table2[[#This Row],[AGE]]&lt;50,"Senior",
TRUE,"Super Senior"
)</f>
        <v>Young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 s="1">
        <v>29186</v>
      </c>
      <c r="P1681" s="1">
        <v>29792</v>
      </c>
      <c r="Q1681" s="1">
        <v>26660</v>
      </c>
      <c r="R1681" s="1">
        <v>27416</v>
      </c>
      <c r="S1681" s="1">
        <v>27836</v>
      </c>
      <c r="T1681" s="1">
        <v>28473</v>
      </c>
      <c r="U1681" s="1">
        <v>1500</v>
      </c>
      <c r="V1681" s="1">
        <v>1500</v>
      </c>
      <c r="W1681" s="1">
        <v>1200</v>
      </c>
      <c r="X1681" s="1">
        <v>1010</v>
      </c>
      <c r="Y1681" s="1">
        <v>1100</v>
      </c>
      <c r="Z1681" s="1">
        <v>980</v>
      </c>
      <c r="AA1681">
        <v>0</v>
      </c>
      <c r="AB1681" t="str">
        <f t="shared" si="26"/>
        <v>Not Defaulter</v>
      </c>
      <c r="AC1681" s="1">
        <f>Table2[[#This Row],[BILL_AMT1]]-Table2[[#This Row],[PAY_AMT1]]</f>
        <v>27686</v>
      </c>
      <c r="AD1681" s="1" t="str" cm="1">
        <f t="array" ref="AD1681">_xlfn.IFS(Table2[[#This Row],[PAYMENT GAP]]&lt;=0,"No Gap / Overpaid",Table2[[#This Row],[PAYMENT GAP]]&lt;=25000,"Low Gap",Table2[[#This Row],[PAYMENT GAP]]&lt;=100000,"Medium Gap",
TRUE,"High Gap"
)</f>
        <v>Medium Gap</v>
      </c>
    </row>
    <row r="1682" spans="1:30" x14ac:dyDescent="0.3">
      <c r="A1682">
        <v>1681</v>
      </c>
      <c r="B1682" s="1">
        <v>220000</v>
      </c>
      <c r="C1682" s="1" t="str" cm="1">
        <f t="array" ref="C1682">_xlfn.IFS(Table2[[#This Row],[LIMIT_BAL]]&lt;=100000,"Low",Table2[[#This Row],[LIMIT_BAL]]&lt;=300000,"Medium",
TRUE,"High"
)</f>
        <v>Medium</v>
      </c>
      <c r="D1682" t="s">
        <v>2041</v>
      </c>
      <c r="E1682" t="s">
        <v>2043</v>
      </c>
      <c r="F1682" t="s">
        <v>2029</v>
      </c>
      <c r="G1682">
        <v>31</v>
      </c>
      <c r="H1682" t="str" cm="1">
        <f t="array" ref="H1682">_xlfn.IFS(
Table2[[#This Row],[AGE]]&lt;30,"Young",
Table2[[#This Row],[AGE]]&lt;40,"Middle Age",
Table2[[#This Row],[AGE]]&lt;50,"Senior",
TRUE,"Super Senior"
)</f>
        <v>Middle Age</v>
      </c>
      <c r="I1682">
        <v>-1</v>
      </c>
      <c r="J1682">
        <v>-1</v>
      </c>
      <c r="K1682">
        <v>-2</v>
      </c>
      <c r="L1682">
        <v>-1</v>
      </c>
      <c r="M1682">
        <v>-1</v>
      </c>
      <c r="N1682">
        <v>-2</v>
      </c>
      <c r="O1682" s="1">
        <v>38746</v>
      </c>
      <c r="P1682" s="1">
        <v>0</v>
      </c>
      <c r="Q1682" s="1">
        <v>0</v>
      </c>
      <c r="R1682" s="1">
        <v>110699</v>
      </c>
      <c r="S1682" s="1">
        <v>0</v>
      </c>
      <c r="T1682" s="1">
        <v>0</v>
      </c>
      <c r="U1682" s="1">
        <v>0</v>
      </c>
      <c r="V1682" s="1">
        <v>0</v>
      </c>
      <c r="W1682" s="1">
        <v>110699</v>
      </c>
      <c r="X1682" s="1">
        <v>0</v>
      </c>
      <c r="Y1682" s="1">
        <v>0</v>
      </c>
      <c r="Z1682" s="1">
        <v>0</v>
      </c>
      <c r="AA1682">
        <v>1</v>
      </c>
      <c r="AB1682" t="str">
        <f t="shared" si="26"/>
        <v>Defaulter</v>
      </c>
      <c r="AC1682" s="1">
        <f>Table2[[#This Row],[BILL_AMT1]]-Table2[[#This Row],[PAY_AMT1]]</f>
        <v>38746</v>
      </c>
      <c r="AD1682" s="1" t="str" cm="1">
        <f t="array" ref="AD1682">_xlfn.IFS(Table2[[#This Row],[PAYMENT GAP]]&lt;=0,"No Gap / Overpaid",Table2[[#This Row],[PAYMENT GAP]]&lt;=25000,"Low Gap",Table2[[#This Row],[PAYMENT GAP]]&lt;=100000,"Medium Gap",
TRUE,"High Gap"
)</f>
        <v>Medium Gap</v>
      </c>
    </row>
    <row r="1683" spans="1:30" x14ac:dyDescent="0.3">
      <c r="A1683">
        <v>1682</v>
      </c>
      <c r="B1683" s="1">
        <v>150000</v>
      </c>
      <c r="C1683" s="1" t="str" cm="1">
        <f t="array" ref="C1683">_xlfn.IFS(Table2[[#This Row],[LIMIT_BAL]]&lt;=100000,"Low",Table2[[#This Row],[LIMIT_BAL]]&lt;=300000,"Medium",
TRUE,"High"
)</f>
        <v>Medium</v>
      </c>
      <c r="D1683" t="s">
        <v>2041</v>
      </c>
      <c r="E1683" t="s">
        <v>2043</v>
      </c>
      <c r="F1683" t="s">
        <v>2029</v>
      </c>
      <c r="G1683">
        <v>29</v>
      </c>
      <c r="H1683" t="str" cm="1">
        <f t="array" ref="H1683">_xlfn.IFS(
Table2[[#This Row],[AGE]]&lt;30,"Young",
Table2[[#This Row],[AGE]]&lt;40,"Middle Age",
Table2[[#This Row],[AGE]]&lt;50,"Senior",
TRUE,"Super Senior"
)</f>
        <v>Young</v>
      </c>
      <c r="I1683">
        <v>0</v>
      </c>
      <c r="J1683">
        <v>0</v>
      </c>
      <c r="K1683">
        <v>-1</v>
      </c>
      <c r="L1683">
        <v>0</v>
      </c>
      <c r="M1683">
        <v>0</v>
      </c>
      <c r="N1683">
        <v>0</v>
      </c>
      <c r="O1683" s="1">
        <v>3559</v>
      </c>
      <c r="P1683" s="1">
        <v>4724</v>
      </c>
      <c r="Q1683" s="1">
        <v>2629</v>
      </c>
      <c r="R1683" s="1">
        <v>2584</v>
      </c>
      <c r="S1683" s="1">
        <v>1371</v>
      </c>
      <c r="T1683" s="1">
        <v>0</v>
      </c>
      <c r="U1683" s="1">
        <v>1222</v>
      </c>
      <c r="V1683" s="1">
        <v>2634</v>
      </c>
      <c r="W1683" s="1">
        <v>1008</v>
      </c>
      <c r="X1683" s="1">
        <v>506</v>
      </c>
      <c r="Y1683" s="1">
        <v>0</v>
      </c>
      <c r="Z1683" s="1">
        <v>0</v>
      </c>
      <c r="AA1683">
        <v>0</v>
      </c>
      <c r="AB1683" t="str">
        <f t="shared" si="26"/>
        <v>Not Defaulter</v>
      </c>
      <c r="AC1683" s="1">
        <f>Table2[[#This Row],[BILL_AMT1]]-Table2[[#This Row],[PAY_AMT1]]</f>
        <v>2337</v>
      </c>
      <c r="AD1683" s="1" t="str" cm="1">
        <f t="array" ref="AD1683">_xlfn.IFS(Table2[[#This Row],[PAYMENT GAP]]&lt;=0,"No Gap / Overpaid",Table2[[#This Row],[PAYMENT GAP]]&lt;=25000,"Low Gap",Table2[[#This Row],[PAYMENT GAP]]&lt;=100000,"Medium Gap",
TRUE,"High Gap"
)</f>
        <v>Low Gap</v>
      </c>
    </row>
    <row r="1684" spans="1:30" x14ac:dyDescent="0.3">
      <c r="A1684">
        <v>1683</v>
      </c>
      <c r="B1684" s="1">
        <v>50000</v>
      </c>
      <c r="C1684" s="1" t="str" cm="1">
        <f t="array" ref="C1684">_xlfn.IFS(Table2[[#This Row],[LIMIT_BAL]]&lt;=100000,"Low",Table2[[#This Row],[LIMIT_BAL]]&lt;=300000,"Medium",
TRUE,"High"
)</f>
        <v>Low</v>
      </c>
      <c r="D1684" t="s">
        <v>2042</v>
      </c>
      <c r="E1684" t="s">
        <v>2026</v>
      </c>
      <c r="F1684" t="s">
        <v>2029</v>
      </c>
      <c r="G1684">
        <v>24</v>
      </c>
      <c r="H1684" t="str" cm="1">
        <f t="array" ref="H1684">_xlfn.IFS(
Table2[[#This Row],[AGE]]&lt;30,"Young",
Table2[[#This Row],[AGE]]&lt;40,"Middle Age",
Table2[[#This Row],[AGE]]&lt;50,"Senior",
TRUE,"Super Senior"
)</f>
        <v>Young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 s="1">
        <v>50963</v>
      </c>
      <c r="P1684" s="1">
        <v>49720</v>
      </c>
      <c r="Q1684" s="1">
        <v>50839</v>
      </c>
      <c r="R1684" s="1">
        <v>93436</v>
      </c>
      <c r="S1684" s="1">
        <v>46733</v>
      </c>
      <c r="T1684" s="1">
        <v>50925</v>
      </c>
      <c r="U1684" s="1">
        <v>1844</v>
      </c>
      <c r="V1684" s="1">
        <v>1963</v>
      </c>
      <c r="W1684" s="1">
        <v>2635</v>
      </c>
      <c r="X1684" s="1">
        <v>1750</v>
      </c>
      <c r="Y1684" s="1">
        <v>5000</v>
      </c>
      <c r="Z1684" s="1">
        <v>2160</v>
      </c>
      <c r="AA1684">
        <v>0</v>
      </c>
      <c r="AB1684" t="str">
        <f t="shared" si="26"/>
        <v>Not Defaulter</v>
      </c>
      <c r="AC1684" s="1">
        <f>Table2[[#This Row],[BILL_AMT1]]-Table2[[#This Row],[PAY_AMT1]]</f>
        <v>49119</v>
      </c>
      <c r="AD1684" s="1" t="str" cm="1">
        <f t="array" ref="AD1684">_xlfn.IFS(Table2[[#This Row],[PAYMENT GAP]]&lt;=0,"No Gap / Overpaid",Table2[[#This Row],[PAYMENT GAP]]&lt;=25000,"Low Gap",Table2[[#This Row],[PAYMENT GAP]]&lt;=100000,"Medium Gap",
TRUE,"High Gap"
)</f>
        <v>Medium Gap</v>
      </c>
    </row>
    <row r="1685" spans="1:30" x14ac:dyDescent="0.3">
      <c r="A1685">
        <v>1684</v>
      </c>
      <c r="B1685" s="1">
        <v>200000</v>
      </c>
      <c r="C1685" s="1" t="str" cm="1">
        <f t="array" ref="C1685">_xlfn.IFS(Table2[[#This Row],[LIMIT_BAL]]&lt;=100000,"Low",Table2[[#This Row],[LIMIT_BAL]]&lt;=300000,"Medium",
TRUE,"High"
)</f>
        <v>Medium</v>
      </c>
      <c r="D1685" t="s">
        <v>2042</v>
      </c>
      <c r="E1685" t="s">
        <v>2026</v>
      </c>
      <c r="F1685" t="s">
        <v>2028</v>
      </c>
      <c r="G1685">
        <v>44</v>
      </c>
      <c r="H1685" t="str" cm="1">
        <f t="array" ref="H1685">_xlfn.IFS(
Table2[[#This Row],[AGE]]&lt;30,"Young",
Table2[[#This Row],[AGE]]&lt;40,"Middle Age",
Table2[[#This Row],[AGE]]&lt;50,"Senior",
TRUE,"Super Senior"
)</f>
        <v>Senior</v>
      </c>
      <c r="I1685">
        <v>-1</v>
      </c>
      <c r="J1685">
        <v>-1</v>
      </c>
      <c r="K1685">
        <v>-2</v>
      </c>
      <c r="L1685">
        <v>-2</v>
      </c>
      <c r="M1685">
        <v>-2</v>
      </c>
      <c r="N1685">
        <v>-2</v>
      </c>
      <c r="O1685" s="1">
        <v>667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>
        <v>0</v>
      </c>
      <c r="AB1685" t="str">
        <f t="shared" si="26"/>
        <v>Not Defaulter</v>
      </c>
      <c r="AC1685" s="1">
        <f>Table2[[#This Row],[BILL_AMT1]]-Table2[[#This Row],[PAY_AMT1]]</f>
        <v>667</v>
      </c>
      <c r="AD1685" s="1" t="str" cm="1">
        <f t="array" ref="AD1685">_xlfn.IFS(Table2[[#This Row],[PAYMENT GAP]]&lt;=0,"No Gap / Overpaid",Table2[[#This Row],[PAYMENT GAP]]&lt;=25000,"Low Gap",Table2[[#This Row],[PAYMENT GAP]]&lt;=100000,"Medium Gap",
TRUE,"High Gap"
)</f>
        <v>Low Gap</v>
      </c>
    </row>
    <row r="1686" spans="1:30" x14ac:dyDescent="0.3">
      <c r="A1686">
        <v>1685</v>
      </c>
      <c r="B1686" s="1">
        <v>120000</v>
      </c>
      <c r="C1686" s="1" t="str" cm="1">
        <f t="array" ref="C1686">_xlfn.IFS(Table2[[#This Row],[LIMIT_BAL]]&lt;=100000,"Low",Table2[[#This Row],[LIMIT_BAL]]&lt;=300000,"Medium",
TRUE,"High"
)</f>
        <v>Medium</v>
      </c>
      <c r="D1686" t="s">
        <v>2041</v>
      </c>
      <c r="E1686" t="s">
        <v>2043</v>
      </c>
      <c r="F1686" t="s">
        <v>2029</v>
      </c>
      <c r="G1686">
        <v>30</v>
      </c>
      <c r="H1686" t="str" cm="1">
        <f t="array" ref="H1686">_xlfn.IFS(
Table2[[#This Row],[AGE]]&lt;30,"Young",
Table2[[#This Row],[AGE]]&lt;40,"Middle Age",
Table2[[#This Row],[AGE]]&lt;50,"Senior",
TRUE,"Super Senior"
)</f>
        <v>Middle Age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 s="1">
        <v>16812</v>
      </c>
      <c r="P1686" s="1">
        <v>17571</v>
      </c>
      <c r="Q1686" s="1">
        <v>18013</v>
      </c>
      <c r="R1686" s="1">
        <v>18197</v>
      </c>
      <c r="S1686" s="1">
        <v>9032</v>
      </c>
      <c r="T1686" s="1">
        <v>11951</v>
      </c>
      <c r="U1686" s="1">
        <v>1358</v>
      </c>
      <c r="V1686" s="1">
        <v>1126</v>
      </c>
      <c r="W1686" s="1">
        <v>636</v>
      </c>
      <c r="X1686" s="1">
        <v>650</v>
      </c>
      <c r="Y1686" s="1">
        <v>4000</v>
      </c>
      <c r="Z1686" s="1">
        <v>1800</v>
      </c>
      <c r="AA1686">
        <v>0</v>
      </c>
      <c r="AB1686" t="str">
        <f t="shared" si="26"/>
        <v>Not Defaulter</v>
      </c>
      <c r="AC1686" s="1">
        <f>Table2[[#This Row],[BILL_AMT1]]-Table2[[#This Row],[PAY_AMT1]]</f>
        <v>15454</v>
      </c>
      <c r="AD1686" s="1" t="str" cm="1">
        <f t="array" ref="AD1686">_xlfn.IFS(Table2[[#This Row],[PAYMENT GAP]]&lt;=0,"No Gap / Overpaid",Table2[[#This Row],[PAYMENT GAP]]&lt;=25000,"Low Gap",Table2[[#This Row],[PAYMENT GAP]]&lt;=100000,"Medium Gap",
TRUE,"High Gap"
)</f>
        <v>Low Gap</v>
      </c>
    </row>
    <row r="1687" spans="1:30" x14ac:dyDescent="0.3">
      <c r="A1687">
        <v>1686</v>
      </c>
      <c r="B1687" s="1">
        <v>230000</v>
      </c>
      <c r="C1687" s="1" t="str" cm="1">
        <f t="array" ref="C1687">_xlfn.IFS(Table2[[#This Row],[LIMIT_BAL]]&lt;=100000,"Low",Table2[[#This Row],[LIMIT_BAL]]&lt;=300000,"Medium",
TRUE,"High"
)</f>
        <v>Medium</v>
      </c>
      <c r="D1687" t="s">
        <v>2041</v>
      </c>
      <c r="E1687" t="s">
        <v>2026</v>
      </c>
      <c r="F1687" t="s">
        <v>2028</v>
      </c>
      <c r="G1687">
        <v>61</v>
      </c>
      <c r="H1687" t="str" cm="1">
        <f t="array" ref="H1687">_xlfn.IFS(
Table2[[#This Row],[AGE]]&lt;30,"Young",
Table2[[#This Row],[AGE]]&lt;40,"Middle Age",
Table2[[#This Row],[AGE]]&lt;50,"Senior",
TRUE,"Super Senior"
)</f>
        <v>Super Senior</v>
      </c>
      <c r="I1687">
        <v>-2</v>
      </c>
      <c r="J1687">
        <v>-2</v>
      </c>
      <c r="K1687">
        <v>-2</v>
      </c>
      <c r="L1687">
        <v>-2</v>
      </c>
      <c r="M1687">
        <v>-2</v>
      </c>
      <c r="N1687">
        <v>-2</v>
      </c>
      <c r="O1687" s="1">
        <v>1443</v>
      </c>
      <c r="P1687" s="1">
        <v>1443</v>
      </c>
      <c r="Q1687" s="1">
        <v>1443</v>
      </c>
      <c r="R1687" s="1">
        <v>1443</v>
      </c>
      <c r="S1687" s="1">
        <v>1443</v>
      </c>
      <c r="T1687" s="1">
        <v>1443</v>
      </c>
      <c r="U1687" s="1">
        <v>1443</v>
      </c>
      <c r="V1687" s="1">
        <v>1443</v>
      </c>
      <c r="W1687" s="1">
        <v>1443</v>
      </c>
      <c r="X1687" s="1">
        <v>1443</v>
      </c>
      <c r="Y1687" s="1">
        <v>1443</v>
      </c>
      <c r="Z1687" s="1">
        <v>1443</v>
      </c>
      <c r="AA1687">
        <v>0</v>
      </c>
      <c r="AB1687" t="str">
        <f t="shared" si="26"/>
        <v>Not Defaulter</v>
      </c>
      <c r="AC1687" s="1">
        <f>Table2[[#This Row],[BILL_AMT1]]-Table2[[#This Row],[PAY_AMT1]]</f>
        <v>0</v>
      </c>
      <c r="AD1687" s="1" t="str" cm="1">
        <f t="array" ref="AD1687">_xlfn.IFS(Table2[[#This Row],[PAYMENT GAP]]&lt;=0,"No Gap / Overpaid",Table2[[#This Row],[PAYMENT GAP]]&lt;=25000,"Low Gap",Table2[[#This Row],[PAYMENT GAP]]&lt;=100000,"Medium Gap",
TRUE,"High Gap"
)</f>
        <v>No Gap / Overpaid</v>
      </c>
    </row>
    <row r="1688" spans="1:30" x14ac:dyDescent="0.3">
      <c r="A1688">
        <v>1687</v>
      </c>
      <c r="B1688" s="1">
        <v>180000</v>
      </c>
      <c r="C1688" s="1" t="str" cm="1">
        <f t="array" ref="C1688">_xlfn.IFS(Table2[[#This Row],[LIMIT_BAL]]&lt;=100000,"Low",Table2[[#This Row],[LIMIT_BAL]]&lt;=300000,"Medium",
TRUE,"High"
)</f>
        <v>Medium</v>
      </c>
      <c r="D1688" t="s">
        <v>2041</v>
      </c>
      <c r="E1688" t="s">
        <v>2043</v>
      </c>
      <c r="F1688" t="s">
        <v>2028</v>
      </c>
      <c r="G1688">
        <v>28</v>
      </c>
      <c r="H1688" t="str" cm="1">
        <f t="array" ref="H1688">_xlfn.IFS(
Table2[[#This Row],[AGE]]&lt;30,"Young",
Table2[[#This Row],[AGE]]&lt;40,"Middle Age",
Table2[[#This Row],[AGE]]&lt;50,"Senior",
TRUE,"Super Senior"
)</f>
        <v>Young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 s="1">
        <v>133868</v>
      </c>
      <c r="P1688" s="1">
        <v>125613</v>
      </c>
      <c r="Q1688" s="1">
        <v>86893</v>
      </c>
      <c r="R1688" s="1">
        <v>89014</v>
      </c>
      <c r="S1688" s="1">
        <v>91946</v>
      </c>
      <c r="T1688" s="1">
        <v>93237</v>
      </c>
      <c r="U1688" s="1">
        <v>5300</v>
      </c>
      <c r="V1688" s="1">
        <v>4000</v>
      </c>
      <c r="W1688" s="1">
        <v>4000</v>
      </c>
      <c r="X1688" s="1">
        <v>10000</v>
      </c>
      <c r="Y1688" s="1">
        <v>3200</v>
      </c>
      <c r="Z1688" s="1">
        <v>3100</v>
      </c>
      <c r="AA1688">
        <v>0</v>
      </c>
      <c r="AB1688" t="str">
        <f t="shared" si="26"/>
        <v>Not Defaulter</v>
      </c>
      <c r="AC1688" s="1">
        <f>Table2[[#This Row],[BILL_AMT1]]-Table2[[#This Row],[PAY_AMT1]]</f>
        <v>128568</v>
      </c>
      <c r="AD1688" s="1" t="str" cm="1">
        <f t="array" ref="AD1688">_xlfn.IFS(Table2[[#This Row],[PAYMENT GAP]]&lt;=0,"No Gap / Overpaid",Table2[[#This Row],[PAYMENT GAP]]&lt;=25000,"Low Gap",Table2[[#This Row],[PAYMENT GAP]]&lt;=100000,"Medium Gap",
TRUE,"High Gap"
)</f>
        <v>High Gap</v>
      </c>
    </row>
    <row r="1689" spans="1:30" x14ac:dyDescent="0.3">
      <c r="A1689">
        <v>1688</v>
      </c>
      <c r="B1689" s="1">
        <v>20000</v>
      </c>
      <c r="C1689" s="1" t="str" cm="1">
        <f t="array" ref="C1689">_xlfn.IFS(Table2[[#This Row],[LIMIT_BAL]]&lt;=100000,"Low",Table2[[#This Row],[LIMIT_BAL]]&lt;=300000,"Medium",
TRUE,"High"
)</f>
        <v>Low</v>
      </c>
      <c r="D1689" t="s">
        <v>2042</v>
      </c>
      <c r="E1689" t="s">
        <v>2026</v>
      </c>
      <c r="F1689" t="s">
        <v>2029</v>
      </c>
      <c r="G1689">
        <v>22</v>
      </c>
      <c r="H1689" t="str" cm="1">
        <f t="array" ref="H1689">_xlfn.IFS(
Table2[[#This Row],[AGE]]&lt;30,"Young",
Table2[[#This Row],[AGE]]&lt;40,"Middle Age",
Table2[[#This Row],[AGE]]&lt;50,"Senior",
TRUE,"Super Senior"
)</f>
        <v>Young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 s="1">
        <v>23538</v>
      </c>
      <c r="P1689" s="1">
        <v>22780</v>
      </c>
      <c r="Q1689" s="1">
        <v>23623</v>
      </c>
      <c r="R1689" s="1">
        <v>19600</v>
      </c>
      <c r="S1689" s="1">
        <v>20100</v>
      </c>
      <c r="T1689" s="1">
        <v>0</v>
      </c>
      <c r="U1689" s="1">
        <v>3000</v>
      </c>
      <c r="V1689" s="1">
        <v>1400</v>
      </c>
      <c r="W1689" s="1">
        <v>2500</v>
      </c>
      <c r="X1689" s="1">
        <v>500</v>
      </c>
      <c r="Y1689" s="1">
        <v>0</v>
      </c>
      <c r="Z1689" s="1">
        <v>0</v>
      </c>
      <c r="AA1689">
        <v>0</v>
      </c>
      <c r="AB1689" t="str">
        <f t="shared" si="26"/>
        <v>Not Defaulter</v>
      </c>
      <c r="AC1689" s="1">
        <f>Table2[[#This Row],[BILL_AMT1]]-Table2[[#This Row],[PAY_AMT1]]</f>
        <v>20538</v>
      </c>
      <c r="AD1689" s="1" t="str" cm="1">
        <f t="array" ref="AD1689">_xlfn.IFS(Table2[[#This Row],[PAYMENT GAP]]&lt;=0,"No Gap / Overpaid",Table2[[#This Row],[PAYMENT GAP]]&lt;=25000,"Low Gap",Table2[[#This Row],[PAYMENT GAP]]&lt;=100000,"Medium Gap",
TRUE,"High Gap"
)</f>
        <v>Low Gap</v>
      </c>
    </row>
    <row r="1690" spans="1:30" x14ac:dyDescent="0.3">
      <c r="A1690">
        <v>1689</v>
      </c>
      <c r="B1690" s="1">
        <v>20000</v>
      </c>
      <c r="C1690" s="1" t="str" cm="1">
        <f t="array" ref="C1690">_xlfn.IFS(Table2[[#This Row],[LIMIT_BAL]]&lt;=100000,"Low",Table2[[#This Row],[LIMIT_BAL]]&lt;=300000,"Medium",
TRUE,"High"
)</f>
        <v>Low</v>
      </c>
      <c r="D1690" t="s">
        <v>2042</v>
      </c>
      <c r="E1690" t="s">
        <v>2043</v>
      </c>
      <c r="F1690" t="s">
        <v>2029</v>
      </c>
      <c r="G1690">
        <v>23</v>
      </c>
      <c r="H1690" t="str" cm="1">
        <f t="array" ref="H1690">_xlfn.IFS(
Table2[[#This Row],[AGE]]&lt;30,"Young",
Table2[[#This Row],[AGE]]&lt;40,"Middle Age",
Table2[[#This Row],[AGE]]&lt;50,"Senior",
TRUE,"Super Senior"
)</f>
        <v>Young</v>
      </c>
      <c r="I1690">
        <v>0</v>
      </c>
      <c r="J1690">
        <v>0</v>
      </c>
      <c r="K1690">
        <v>2</v>
      </c>
      <c r="L1690">
        <v>0</v>
      </c>
      <c r="M1690">
        <v>0</v>
      </c>
      <c r="N1690">
        <v>0</v>
      </c>
      <c r="O1690" s="1">
        <v>18804</v>
      </c>
      <c r="P1690" s="1">
        <v>17855</v>
      </c>
      <c r="Q1690" s="1">
        <v>17199</v>
      </c>
      <c r="R1690" s="1">
        <v>17548</v>
      </c>
      <c r="S1690" s="1">
        <v>17992</v>
      </c>
      <c r="T1690" s="1">
        <v>31150</v>
      </c>
      <c r="U1690" s="1">
        <v>2150</v>
      </c>
      <c r="V1690" s="1">
        <v>1000</v>
      </c>
      <c r="W1690" s="1">
        <v>504</v>
      </c>
      <c r="X1690" s="1">
        <v>600</v>
      </c>
      <c r="Y1690" s="1">
        <v>4000</v>
      </c>
      <c r="Z1690" s="1">
        <v>4000</v>
      </c>
      <c r="AA1690">
        <v>0</v>
      </c>
      <c r="AB1690" t="str">
        <f t="shared" si="26"/>
        <v>Not Defaulter</v>
      </c>
      <c r="AC1690" s="1">
        <f>Table2[[#This Row],[BILL_AMT1]]-Table2[[#This Row],[PAY_AMT1]]</f>
        <v>16654</v>
      </c>
      <c r="AD1690" s="1" t="str" cm="1">
        <f t="array" ref="AD1690">_xlfn.IFS(Table2[[#This Row],[PAYMENT GAP]]&lt;=0,"No Gap / Overpaid",Table2[[#This Row],[PAYMENT GAP]]&lt;=25000,"Low Gap",Table2[[#This Row],[PAYMENT GAP]]&lt;=100000,"Medium Gap",
TRUE,"High Gap"
)</f>
        <v>Low Gap</v>
      </c>
    </row>
    <row r="1691" spans="1:30" x14ac:dyDescent="0.3">
      <c r="A1691">
        <v>1690</v>
      </c>
      <c r="B1691" s="1">
        <v>50000</v>
      </c>
      <c r="C1691" s="1" t="str" cm="1">
        <f t="array" ref="C1691">_xlfn.IFS(Table2[[#This Row],[LIMIT_BAL]]&lt;=100000,"Low",Table2[[#This Row],[LIMIT_BAL]]&lt;=300000,"Medium",
TRUE,"High"
)</f>
        <v>Low</v>
      </c>
      <c r="D1691" t="s">
        <v>2042</v>
      </c>
      <c r="E1691" t="s">
        <v>2027</v>
      </c>
      <c r="F1691" t="s">
        <v>2028</v>
      </c>
      <c r="G1691">
        <v>46</v>
      </c>
      <c r="H1691" t="str" cm="1">
        <f t="array" ref="H1691">_xlfn.IFS(
Table2[[#This Row],[AGE]]&lt;30,"Young",
Table2[[#This Row],[AGE]]&lt;40,"Middle Age",
Table2[[#This Row],[AGE]]&lt;50,"Senior",
TRUE,"Super Senior"
)</f>
        <v>Senior</v>
      </c>
      <c r="I1691">
        <v>-1</v>
      </c>
      <c r="J1691">
        <v>2</v>
      </c>
      <c r="K1691">
        <v>2</v>
      </c>
      <c r="L1691">
        <v>-2</v>
      </c>
      <c r="M1691">
        <v>-2</v>
      </c>
      <c r="N1691">
        <v>-2</v>
      </c>
      <c r="O1691" s="1">
        <v>13473</v>
      </c>
      <c r="P1691" s="1">
        <v>12800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>
        <v>1</v>
      </c>
      <c r="AB1691" t="str">
        <f t="shared" si="26"/>
        <v>Defaulter</v>
      </c>
      <c r="AC1691" s="1">
        <f>Table2[[#This Row],[BILL_AMT1]]-Table2[[#This Row],[PAY_AMT1]]</f>
        <v>13473</v>
      </c>
      <c r="AD1691" s="1" t="str" cm="1">
        <f t="array" ref="AD1691">_xlfn.IFS(Table2[[#This Row],[PAYMENT GAP]]&lt;=0,"No Gap / Overpaid",Table2[[#This Row],[PAYMENT GAP]]&lt;=25000,"Low Gap",Table2[[#This Row],[PAYMENT GAP]]&lt;=100000,"Medium Gap",
TRUE,"High Gap"
)</f>
        <v>Low Gap</v>
      </c>
    </row>
    <row r="1692" spans="1:30" x14ac:dyDescent="0.3">
      <c r="A1692">
        <v>1691</v>
      </c>
      <c r="B1692" s="1">
        <v>290000</v>
      </c>
      <c r="C1692" s="1" t="str" cm="1">
        <f t="array" ref="C1692">_xlfn.IFS(Table2[[#This Row],[LIMIT_BAL]]&lt;=100000,"Low",Table2[[#This Row],[LIMIT_BAL]]&lt;=300000,"Medium",
TRUE,"High"
)</f>
        <v>Medium</v>
      </c>
      <c r="D1692" t="s">
        <v>2041</v>
      </c>
      <c r="E1692" t="s">
        <v>2026</v>
      </c>
      <c r="F1692" t="s">
        <v>2029</v>
      </c>
      <c r="G1692">
        <v>24</v>
      </c>
      <c r="H1692" t="str" cm="1">
        <f t="array" ref="H1692">_xlfn.IFS(
Table2[[#This Row],[AGE]]&lt;30,"Young",
Table2[[#This Row],[AGE]]&lt;40,"Middle Age",
Table2[[#This Row],[AGE]]&lt;50,"Senior",
TRUE,"Super Senior"
)</f>
        <v>Young</v>
      </c>
      <c r="I1692">
        <v>-2</v>
      </c>
      <c r="J1692">
        <v>-2</v>
      </c>
      <c r="K1692">
        <v>-1</v>
      </c>
      <c r="L1692">
        <v>-1</v>
      </c>
      <c r="M1692">
        <v>-1</v>
      </c>
      <c r="N1692">
        <v>0</v>
      </c>
      <c r="O1692" s="1">
        <v>14931</v>
      </c>
      <c r="P1692" s="1">
        <v>15090</v>
      </c>
      <c r="Q1692" s="1">
        <v>19239</v>
      </c>
      <c r="R1692" s="1">
        <v>4940</v>
      </c>
      <c r="S1692" s="1">
        <v>93332</v>
      </c>
      <c r="T1692" s="1">
        <v>96112</v>
      </c>
      <c r="U1692" s="1">
        <v>15090</v>
      </c>
      <c r="V1692" s="1">
        <v>19239</v>
      </c>
      <c r="W1692" s="1">
        <v>4975</v>
      </c>
      <c r="X1692" s="1">
        <v>96151</v>
      </c>
      <c r="Y1692" s="1">
        <v>5500</v>
      </c>
      <c r="Z1692" s="1">
        <v>4000</v>
      </c>
      <c r="AA1692">
        <v>0</v>
      </c>
      <c r="AB1692" t="str">
        <f t="shared" si="26"/>
        <v>Not Defaulter</v>
      </c>
      <c r="AC1692" s="1">
        <f>Table2[[#This Row],[BILL_AMT1]]-Table2[[#This Row],[PAY_AMT1]]</f>
        <v>-159</v>
      </c>
      <c r="AD1692" s="1" t="str" cm="1">
        <f t="array" ref="AD1692">_xlfn.IFS(Table2[[#This Row],[PAYMENT GAP]]&lt;=0,"No Gap / Overpaid",Table2[[#This Row],[PAYMENT GAP]]&lt;=25000,"Low Gap",Table2[[#This Row],[PAYMENT GAP]]&lt;=100000,"Medium Gap",
TRUE,"High Gap"
)</f>
        <v>No Gap / Overpaid</v>
      </c>
    </row>
    <row r="1693" spans="1:30" x14ac:dyDescent="0.3">
      <c r="A1693">
        <v>1692</v>
      </c>
      <c r="B1693" s="1">
        <v>290000</v>
      </c>
      <c r="C1693" s="1" t="str" cm="1">
        <f t="array" ref="C1693">_xlfn.IFS(Table2[[#This Row],[LIMIT_BAL]]&lt;=100000,"Low",Table2[[#This Row],[LIMIT_BAL]]&lt;=300000,"Medium",
TRUE,"High"
)</f>
        <v>Medium</v>
      </c>
      <c r="D1693" t="s">
        <v>2041</v>
      </c>
      <c r="E1693" t="s">
        <v>2043</v>
      </c>
      <c r="F1693" t="s">
        <v>2029</v>
      </c>
      <c r="G1693">
        <v>54</v>
      </c>
      <c r="H1693" t="str" cm="1">
        <f t="array" ref="H1693">_xlfn.IFS(
Table2[[#This Row],[AGE]]&lt;30,"Young",
Table2[[#This Row],[AGE]]&lt;40,"Middle Age",
Table2[[#This Row],[AGE]]&lt;50,"Senior",
TRUE,"Super Senior"
)</f>
        <v>Super Senior</v>
      </c>
      <c r="I1693">
        <v>-2</v>
      </c>
      <c r="J1693">
        <v>-2</v>
      </c>
      <c r="K1693">
        <v>-2</v>
      </c>
      <c r="L1693">
        <v>-2</v>
      </c>
      <c r="M1693">
        <v>-2</v>
      </c>
      <c r="N1693">
        <v>-2</v>
      </c>
      <c r="O1693" s="1">
        <v>-68</v>
      </c>
      <c r="P1693" s="1">
        <v>-68</v>
      </c>
      <c r="Q1693" s="1">
        <v>-68</v>
      </c>
      <c r="R1693" s="1">
        <v>675</v>
      </c>
      <c r="S1693" s="1">
        <v>-6</v>
      </c>
      <c r="T1693" s="1">
        <v>2168</v>
      </c>
      <c r="U1693" s="1">
        <v>0</v>
      </c>
      <c r="V1693" s="1">
        <v>0</v>
      </c>
      <c r="W1693" s="1">
        <v>743</v>
      </c>
      <c r="X1693" s="1">
        <v>0</v>
      </c>
      <c r="Y1693" s="1">
        <v>2174</v>
      </c>
      <c r="Z1693" s="1">
        <v>972</v>
      </c>
      <c r="AA1693">
        <v>0</v>
      </c>
      <c r="AB1693" t="str">
        <f t="shared" si="26"/>
        <v>Not Defaulter</v>
      </c>
      <c r="AC1693" s="1">
        <f>Table2[[#This Row],[BILL_AMT1]]-Table2[[#This Row],[PAY_AMT1]]</f>
        <v>-68</v>
      </c>
      <c r="AD1693" s="1" t="str" cm="1">
        <f t="array" ref="AD1693">_xlfn.IFS(Table2[[#This Row],[PAYMENT GAP]]&lt;=0,"No Gap / Overpaid",Table2[[#This Row],[PAYMENT GAP]]&lt;=25000,"Low Gap",Table2[[#This Row],[PAYMENT GAP]]&lt;=100000,"Medium Gap",
TRUE,"High Gap"
)</f>
        <v>No Gap / Overpaid</v>
      </c>
    </row>
    <row r="1694" spans="1:30" x14ac:dyDescent="0.3">
      <c r="A1694">
        <v>1693</v>
      </c>
      <c r="B1694" s="1">
        <v>150000</v>
      </c>
      <c r="C1694" s="1" t="str" cm="1">
        <f t="array" ref="C1694">_xlfn.IFS(Table2[[#This Row],[LIMIT_BAL]]&lt;=100000,"Low",Table2[[#This Row],[LIMIT_BAL]]&lt;=300000,"Medium",
TRUE,"High"
)</f>
        <v>Medium</v>
      </c>
      <c r="D1694" t="s">
        <v>2041</v>
      </c>
      <c r="E1694" t="s">
        <v>2026</v>
      </c>
      <c r="F1694" t="s">
        <v>2029</v>
      </c>
      <c r="G1694">
        <v>27</v>
      </c>
      <c r="H1694" t="str" cm="1">
        <f t="array" ref="H1694">_xlfn.IFS(
Table2[[#This Row],[AGE]]&lt;30,"Young",
Table2[[#This Row],[AGE]]&lt;40,"Middle Age",
Table2[[#This Row],[AGE]]&lt;50,"Senior",
TRUE,"Super Senior"
)</f>
        <v>Young</v>
      </c>
      <c r="I1694">
        <v>-2</v>
      </c>
      <c r="J1694">
        <v>-2</v>
      </c>
      <c r="K1694">
        <v>-2</v>
      </c>
      <c r="L1694">
        <v>-2</v>
      </c>
      <c r="M1694">
        <v>-2</v>
      </c>
      <c r="N1694">
        <v>-2</v>
      </c>
      <c r="O1694" s="1">
        <v>0</v>
      </c>
      <c r="P1694" s="1">
        <v>610</v>
      </c>
      <c r="Q1694" s="1">
        <v>610</v>
      </c>
      <c r="R1694" s="1">
        <v>0</v>
      </c>
      <c r="S1694" s="1">
        <v>610</v>
      </c>
      <c r="T1694" s="1">
        <v>0</v>
      </c>
      <c r="U1694" s="1">
        <v>610</v>
      </c>
      <c r="V1694" s="1">
        <v>610</v>
      </c>
      <c r="W1694" s="1">
        <v>0</v>
      </c>
      <c r="X1694" s="1">
        <v>610</v>
      </c>
      <c r="Y1694" s="1">
        <v>0</v>
      </c>
      <c r="Z1694" s="1">
        <v>0</v>
      </c>
      <c r="AA1694">
        <v>0</v>
      </c>
      <c r="AB1694" t="str">
        <f t="shared" si="26"/>
        <v>Not Defaulter</v>
      </c>
      <c r="AC1694" s="1">
        <f>Table2[[#This Row],[BILL_AMT1]]-Table2[[#This Row],[PAY_AMT1]]</f>
        <v>-610</v>
      </c>
      <c r="AD1694" s="1" t="str" cm="1">
        <f t="array" ref="AD1694">_xlfn.IFS(Table2[[#This Row],[PAYMENT GAP]]&lt;=0,"No Gap / Overpaid",Table2[[#This Row],[PAYMENT GAP]]&lt;=25000,"Low Gap",Table2[[#This Row],[PAYMENT GAP]]&lt;=100000,"Medium Gap",
TRUE,"High Gap"
)</f>
        <v>No Gap / Overpaid</v>
      </c>
    </row>
    <row r="1695" spans="1:30" x14ac:dyDescent="0.3">
      <c r="A1695">
        <v>1694</v>
      </c>
      <c r="B1695" s="1">
        <v>190000</v>
      </c>
      <c r="C1695" s="1" t="str" cm="1">
        <f t="array" ref="C1695">_xlfn.IFS(Table2[[#This Row],[LIMIT_BAL]]&lt;=100000,"Low",Table2[[#This Row],[LIMIT_BAL]]&lt;=300000,"Medium",
TRUE,"High"
)</f>
        <v>Medium</v>
      </c>
      <c r="D1695" t="s">
        <v>2041</v>
      </c>
      <c r="E1695" t="s">
        <v>2043</v>
      </c>
      <c r="F1695" t="s">
        <v>2029</v>
      </c>
      <c r="G1695">
        <v>53</v>
      </c>
      <c r="H1695" t="str" cm="1">
        <f t="array" ref="H1695">_xlfn.IFS(
Table2[[#This Row],[AGE]]&lt;30,"Young",
Table2[[#This Row],[AGE]]&lt;40,"Middle Age",
Table2[[#This Row],[AGE]]&lt;50,"Senior",
TRUE,"Super Senior"
)</f>
        <v>Super Senior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 s="1">
        <v>173058</v>
      </c>
      <c r="P1695" s="1">
        <v>133198</v>
      </c>
      <c r="Q1695" s="1">
        <v>131891</v>
      </c>
      <c r="R1695" s="1">
        <v>133516</v>
      </c>
      <c r="S1695" s="1">
        <v>135008</v>
      </c>
      <c r="T1695" s="1">
        <v>136486</v>
      </c>
      <c r="U1695" s="1">
        <v>6300</v>
      </c>
      <c r="V1695" s="1">
        <v>5000</v>
      </c>
      <c r="W1695" s="1">
        <v>5000</v>
      </c>
      <c r="X1695" s="1">
        <v>5000</v>
      </c>
      <c r="Y1695" s="1">
        <v>5100</v>
      </c>
      <c r="Z1695" s="1">
        <v>5000</v>
      </c>
      <c r="AA1695">
        <v>0</v>
      </c>
      <c r="AB1695" t="str">
        <f t="shared" si="26"/>
        <v>Not Defaulter</v>
      </c>
      <c r="AC1695" s="1">
        <f>Table2[[#This Row],[BILL_AMT1]]-Table2[[#This Row],[PAY_AMT1]]</f>
        <v>166758</v>
      </c>
      <c r="AD1695" s="1" t="str" cm="1">
        <f t="array" ref="AD1695">_xlfn.IFS(Table2[[#This Row],[PAYMENT GAP]]&lt;=0,"No Gap / Overpaid",Table2[[#This Row],[PAYMENT GAP]]&lt;=25000,"Low Gap",Table2[[#This Row],[PAYMENT GAP]]&lt;=100000,"Medium Gap",
TRUE,"High Gap"
)</f>
        <v>High Gap</v>
      </c>
    </row>
    <row r="1696" spans="1:30" x14ac:dyDescent="0.3">
      <c r="A1696">
        <v>1695</v>
      </c>
      <c r="B1696" s="1">
        <v>80000</v>
      </c>
      <c r="C1696" s="1" t="str" cm="1">
        <f t="array" ref="C1696">_xlfn.IFS(Table2[[#This Row],[LIMIT_BAL]]&lt;=100000,"Low",Table2[[#This Row],[LIMIT_BAL]]&lt;=300000,"Medium",
TRUE,"High"
)</f>
        <v>Low</v>
      </c>
      <c r="D1696" t="s">
        <v>2041</v>
      </c>
      <c r="E1696" t="s">
        <v>2043</v>
      </c>
      <c r="F1696" t="s">
        <v>2029</v>
      </c>
      <c r="G1696">
        <v>25</v>
      </c>
      <c r="H1696" t="str" cm="1">
        <f t="array" ref="H1696">_xlfn.IFS(
Table2[[#This Row],[AGE]]&lt;30,"Young",
Table2[[#This Row],[AGE]]&lt;40,"Middle Age",
Table2[[#This Row],[AGE]]&lt;50,"Senior",
TRUE,"Super Senior"
)</f>
        <v>Young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 s="1">
        <v>81003</v>
      </c>
      <c r="P1696" s="1">
        <v>85894</v>
      </c>
      <c r="Q1696" s="1">
        <v>87061</v>
      </c>
      <c r="R1696" s="1">
        <v>89008</v>
      </c>
      <c r="S1696" s="1">
        <v>93523</v>
      </c>
      <c r="T1696" s="1">
        <v>80288</v>
      </c>
      <c r="U1696" s="1">
        <v>8213</v>
      </c>
      <c r="V1696" s="1">
        <v>3491</v>
      </c>
      <c r="W1696" s="1">
        <v>3508</v>
      </c>
      <c r="X1696" s="1">
        <v>19523</v>
      </c>
      <c r="Y1696" s="1">
        <v>3288</v>
      </c>
      <c r="Z1696" s="1">
        <v>1570</v>
      </c>
      <c r="AA1696">
        <v>1</v>
      </c>
      <c r="AB1696" t="str">
        <f t="shared" si="26"/>
        <v>Defaulter</v>
      </c>
      <c r="AC1696" s="1">
        <f>Table2[[#This Row],[BILL_AMT1]]-Table2[[#This Row],[PAY_AMT1]]</f>
        <v>72790</v>
      </c>
      <c r="AD1696" s="1" t="str" cm="1">
        <f t="array" ref="AD1696">_xlfn.IFS(Table2[[#This Row],[PAYMENT GAP]]&lt;=0,"No Gap / Overpaid",Table2[[#This Row],[PAYMENT GAP]]&lt;=25000,"Low Gap",Table2[[#This Row],[PAYMENT GAP]]&lt;=100000,"Medium Gap",
TRUE,"High Gap"
)</f>
        <v>Medium Gap</v>
      </c>
    </row>
    <row r="1697" spans="1:30" x14ac:dyDescent="0.3">
      <c r="A1697">
        <v>1696</v>
      </c>
      <c r="B1697" s="1">
        <v>250000</v>
      </c>
      <c r="C1697" s="1" t="str" cm="1">
        <f t="array" ref="C1697">_xlfn.IFS(Table2[[#This Row],[LIMIT_BAL]]&lt;=100000,"Low",Table2[[#This Row],[LIMIT_BAL]]&lt;=300000,"Medium",
TRUE,"High"
)</f>
        <v>Medium</v>
      </c>
      <c r="D1697" t="s">
        <v>2042</v>
      </c>
      <c r="E1697" t="s">
        <v>2027</v>
      </c>
      <c r="F1697" t="s">
        <v>2028</v>
      </c>
      <c r="G1697">
        <v>47</v>
      </c>
      <c r="H1697" t="str" cm="1">
        <f t="array" ref="H1697">_xlfn.IFS(
Table2[[#This Row],[AGE]]&lt;30,"Young",
Table2[[#This Row],[AGE]]&lt;40,"Middle Age",
Table2[[#This Row],[AGE]]&lt;50,"Senior",
TRUE,"Super Senior"
)</f>
        <v>Senior</v>
      </c>
      <c r="I1697">
        <v>-1</v>
      </c>
      <c r="J1697">
        <v>-1</v>
      </c>
      <c r="K1697">
        <v>-1</v>
      </c>
      <c r="L1697">
        <v>-1</v>
      </c>
      <c r="M1697">
        <v>-1</v>
      </c>
      <c r="N1697">
        <v>-1</v>
      </c>
      <c r="O1697" s="1">
        <v>1170</v>
      </c>
      <c r="P1697" s="1">
        <v>1863</v>
      </c>
      <c r="Q1697" s="1">
        <v>3100</v>
      </c>
      <c r="R1697" s="1">
        <v>2560</v>
      </c>
      <c r="S1697" s="1">
        <v>2580</v>
      </c>
      <c r="T1697" s="1">
        <v>3699</v>
      </c>
      <c r="U1697" s="1">
        <v>1863</v>
      </c>
      <c r="V1697" s="1">
        <v>3112</v>
      </c>
      <c r="W1697" s="1">
        <v>2950</v>
      </c>
      <c r="X1697" s="1">
        <v>2580</v>
      </c>
      <c r="Y1697" s="1">
        <v>3699</v>
      </c>
      <c r="Z1697" s="1">
        <v>0</v>
      </c>
      <c r="AA1697">
        <v>0</v>
      </c>
      <c r="AB1697" t="str">
        <f t="shared" si="26"/>
        <v>Not Defaulter</v>
      </c>
      <c r="AC1697" s="1">
        <f>Table2[[#This Row],[BILL_AMT1]]-Table2[[#This Row],[PAY_AMT1]]</f>
        <v>-693</v>
      </c>
      <c r="AD1697" s="1" t="str" cm="1">
        <f t="array" ref="AD1697">_xlfn.IFS(Table2[[#This Row],[PAYMENT GAP]]&lt;=0,"No Gap / Overpaid",Table2[[#This Row],[PAYMENT GAP]]&lt;=25000,"Low Gap",Table2[[#This Row],[PAYMENT GAP]]&lt;=100000,"Medium Gap",
TRUE,"High Gap"
)</f>
        <v>No Gap / Overpaid</v>
      </c>
    </row>
    <row r="1698" spans="1:30" x14ac:dyDescent="0.3">
      <c r="A1698">
        <v>1697</v>
      </c>
      <c r="B1698" s="1">
        <v>20000</v>
      </c>
      <c r="C1698" s="1" t="str" cm="1">
        <f t="array" ref="C1698">_xlfn.IFS(Table2[[#This Row],[LIMIT_BAL]]&lt;=100000,"Low",Table2[[#This Row],[LIMIT_BAL]]&lt;=300000,"Medium",
TRUE,"High"
)</f>
        <v>Low</v>
      </c>
      <c r="D1698" t="s">
        <v>2042</v>
      </c>
      <c r="E1698" t="s">
        <v>2043</v>
      </c>
      <c r="F1698" t="s">
        <v>2028</v>
      </c>
      <c r="G1698">
        <v>35</v>
      </c>
      <c r="H1698" t="str" cm="1">
        <f t="array" ref="H1698">_xlfn.IFS(
Table2[[#This Row],[AGE]]&lt;30,"Young",
Table2[[#This Row],[AGE]]&lt;40,"Middle Age",
Table2[[#This Row],[AGE]]&lt;50,"Senior",
TRUE,"Super Senior"
)</f>
        <v>Middle Age</v>
      </c>
      <c r="I1698">
        <v>1</v>
      </c>
      <c r="J1698">
        <v>2</v>
      </c>
      <c r="K1698">
        <v>2</v>
      </c>
      <c r="L1698">
        <v>0</v>
      </c>
      <c r="M1698">
        <v>0</v>
      </c>
      <c r="N1698">
        <v>0</v>
      </c>
      <c r="O1698" s="1">
        <v>19755</v>
      </c>
      <c r="P1698" s="1">
        <v>19661</v>
      </c>
      <c r="Q1698" s="1">
        <v>20018</v>
      </c>
      <c r="R1698" s="1">
        <v>20427</v>
      </c>
      <c r="S1698" s="1">
        <v>19377</v>
      </c>
      <c r="T1698" s="1">
        <v>19386</v>
      </c>
      <c r="U1698" s="1">
        <v>1000</v>
      </c>
      <c r="V1698" s="1">
        <v>1000</v>
      </c>
      <c r="W1698" s="1">
        <v>1000</v>
      </c>
      <c r="X1698" s="1">
        <v>1500</v>
      </c>
      <c r="Y1698" s="1">
        <v>900</v>
      </c>
      <c r="Z1698" s="1">
        <v>1000</v>
      </c>
      <c r="AA1698">
        <v>1</v>
      </c>
      <c r="AB1698" t="str">
        <f t="shared" si="26"/>
        <v>Defaulter</v>
      </c>
      <c r="AC1698" s="1">
        <f>Table2[[#This Row],[BILL_AMT1]]-Table2[[#This Row],[PAY_AMT1]]</f>
        <v>18755</v>
      </c>
      <c r="AD1698" s="1" t="str" cm="1">
        <f t="array" ref="AD1698">_xlfn.IFS(Table2[[#This Row],[PAYMENT GAP]]&lt;=0,"No Gap / Overpaid",Table2[[#This Row],[PAYMENT GAP]]&lt;=25000,"Low Gap",Table2[[#This Row],[PAYMENT GAP]]&lt;=100000,"Medium Gap",
TRUE,"High Gap"
)</f>
        <v>Low Gap</v>
      </c>
    </row>
    <row r="1699" spans="1:30" x14ac:dyDescent="0.3">
      <c r="A1699">
        <v>1698</v>
      </c>
      <c r="B1699" s="1">
        <v>180000</v>
      </c>
      <c r="C1699" s="1" t="str" cm="1">
        <f t="array" ref="C1699">_xlfn.IFS(Table2[[#This Row],[LIMIT_BAL]]&lt;=100000,"Low",Table2[[#This Row],[LIMIT_BAL]]&lt;=300000,"Medium",
TRUE,"High"
)</f>
        <v>Medium</v>
      </c>
      <c r="D1699" t="s">
        <v>2041</v>
      </c>
      <c r="E1699" t="s">
        <v>2027</v>
      </c>
      <c r="F1699" t="s">
        <v>2028</v>
      </c>
      <c r="G1699">
        <v>45</v>
      </c>
      <c r="H1699" t="str" cm="1">
        <f t="array" ref="H1699">_xlfn.IFS(
Table2[[#This Row],[AGE]]&lt;30,"Young",
Table2[[#This Row],[AGE]]&lt;40,"Middle Age",
Table2[[#This Row],[AGE]]&lt;50,"Senior",
TRUE,"Super Senior"
)</f>
        <v>Senior</v>
      </c>
      <c r="I1699">
        <v>-1</v>
      </c>
      <c r="J1699">
        <v>-1</v>
      </c>
      <c r="K1699">
        <v>-1</v>
      </c>
      <c r="L1699">
        <v>-1</v>
      </c>
      <c r="M1699">
        <v>-1</v>
      </c>
      <c r="N1699">
        <v>-1</v>
      </c>
      <c r="O1699" s="1">
        <v>396</v>
      </c>
      <c r="P1699" s="1">
        <v>396</v>
      </c>
      <c r="Q1699" s="1">
        <v>396</v>
      </c>
      <c r="R1699" s="1">
        <v>396</v>
      </c>
      <c r="S1699" s="1">
        <v>396</v>
      </c>
      <c r="T1699" s="1">
        <v>396</v>
      </c>
      <c r="U1699" s="1">
        <v>396</v>
      </c>
      <c r="V1699" s="1">
        <v>396</v>
      </c>
      <c r="W1699" s="1">
        <v>396</v>
      </c>
      <c r="X1699" s="1">
        <v>396</v>
      </c>
      <c r="Y1699" s="1">
        <v>396</v>
      </c>
      <c r="Z1699" s="1">
        <v>396</v>
      </c>
      <c r="AA1699">
        <v>0</v>
      </c>
      <c r="AB1699" t="str">
        <f t="shared" si="26"/>
        <v>Not Defaulter</v>
      </c>
      <c r="AC1699" s="1">
        <f>Table2[[#This Row],[BILL_AMT1]]-Table2[[#This Row],[PAY_AMT1]]</f>
        <v>0</v>
      </c>
      <c r="AD1699" s="1" t="str" cm="1">
        <f t="array" ref="AD1699">_xlfn.IFS(Table2[[#This Row],[PAYMENT GAP]]&lt;=0,"No Gap / Overpaid",Table2[[#This Row],[PAYMENT GAP]]&lt;=25000,"Low Gap",Table2[[#This Row],[PAYMENT GAP]]&lt;=100000,"Medium Gap",
TRUE,"High Gap"
)</f>
        <v>No Gap / Overpaid</v>
      </c>
    </row>
    <row r="1700" spans="1:30" x14ac:dyDescent="0.3">
      <c r="A1700">
        <v>1699</v>
      </c>
      <c r="B1700" s="1">
        <v>80000</v>
      </c>
      <c r="C1700" s="1" t="str" cm="1">
        <f t="array" ref="C1700">_xlfn.IFS(Table2[[#This Row],[LIMIT_BAL]]&lt;=100000,"Low",Table2[[#This Row],[LIMIT_BAL]]&lt;=300000,"Medium",
TRUE,"High"
)</f>
        <v>Low</v>
      </c>
      <c r="D1700" t="s">
        <v>2042</v>
      </c>
      <c r="E1700" t="s">
        <v>2026</v>
      </c>
      <c r="F1700" t="s">
        <v>2029</v>
      </c>
      <c r="G1700">
        <v>25</v>
      </c>
      <c r="H1700" t="str" cm="1">
        <f t="array" ref="H1700">_xlfn.IFS(
Table2[[#This Row],[AGE]]&lt;30,"Young",
Table2[[#This Row],[AGE]]&lt;40,"Middle Age",
Table2[[#This Row],[AGE]]&lt;50,"Senior",
TRUE,"Super Senior"
)</f>
        <v>Young</v>
      </c>
      <c r="I1700">
        <v>-1</v>
      </c>
      <c r="J1700">
        <v>-1</v>
      </c>
      <c r="K1700">
        <v>-1</v>
      </c>
      <c r="L1700">
        <v>-1</v>
      </c>
      <c r="M1700">
        <v>-1</v>
      </c>
      <c r="N1700">
        <v>2</v>
      </c>
      <c r="O1700" s="1">
        <v>2109</v>
      </c>
      <c r="P1700" s="1">
        <v>1257</v>
      </c>
      <c r="Q1700" s="1">
        <v>466</v>
      </c>
      <c r="R1700" s="1">
        <v>628</v>
      </c>
      <c r="S1700" s="1">
        <v>2395</v>
      </c>
      <c r="T1700" s="1">
        <v>930</v>
      </c>
      <c r="U1700" s="1">
        <v>1257</v>
      </c>
      <c r="V1700" s="1">
        <v>466</v>
      </c>
      <c r="W1700" s="1">
        <v>628</v>
      </c>
      <c r="X1700" s="1">
        <v>2395</v>
      </c>
      <c r="Y1700" s="1">
        <v>0</v>
      </c>
      <c r="Z1700" s="1">
        <v>601</v>
      </c>
      <c r="AA1700">
        <v>0</v>
      </c>
      <c r="AB1700" t="str">
        <f t="shared" si="26"/>
        <v>Not Defaulter</v>
      </c>
      <c r="AC1700" s="1">
        <f>Table2[[#This Row],[BILL_AMT1]]-Table2[[#This Row],[PAY_AMT1]]</f>
        <v>852</v>
      </c>
      <c r="AD1700" s="1" t="str" cm="1">
        <f t="array" ref="AD1700">_xlfn.IFS(Table2[[#This Row],[PAYMENT GAP]]&lt;=0,"No Gap / Overpaid",Table2[[#This Row],[PAYMENT GAP]]&lt;=25000,"Low Gap",Table2[[#This Row],[PAYMENT GAP]]&lt;=100000,"Medium Gap",
TRUE,"High Gap"
)</f>
        <v>Low Gap</v>
      </c>
    </row>
    <row r="1701" spans="1:30" x14ac:dyDescent="0.3">
      <c r="A1701">
        <v>1700</v>
      </c>
      <c r="B1701" s="1">
        <v>300000</v>
      </c>
      <c r="C1701" s="1" t="str" cm="1">
        <f t="array" ref="C1701">_xlfn.IFS(Table2[[#This Row],[LIMIT_BAL]]&lt;=100000,"Low",Table2[[#This Row],[LIMIT_BAL]]&lt;=300000,"Medium",
TRUE,"High"
)</f>
        <v>Medium</v>
      </c>
      <c r="D1701" t="s">
        <v>2042</v>
      </c>
      <c r="E1701" t="s">
        <v>2026</v>
      </c>
      <c r="F1701" t="s">
        <v>2029</v>
      </c>
      <c r="G1701">
        <v>31</v>
      </c>
      <c r="H1701" t="str" cm="1">
        <f t="array" ref="H1701">_xlfn.IFS(
Table2[[#This Row],[AGE]]&lt;30,"Young",
Table2[[#This Row],[AGE]]&lt;40,"Middle Age",
Table2[[#This Row],[AGE]]&lt;50,"Senior",
TRUE,"Super Senior"
)</f>
        <v>Middle Age</v>
      </c>
      <c r="I1701">
        <v>-1</v>
      </c>
      <c r="J1701">
        <v>-1</v>
      </c>
      <c r="K1701">
        <v>-1</v>
      </c>
      <c r="L1701">
        <v>-1</v>
      </c>
      <c r="M1701">
        <v>0</v>
      </c>
      <c r="N1701">
        <v>-1</v>
      </c>
      <c r="O1701" s="1">
        <v>2166</v>
      </c>
      <c r="P1701" s="1">
        <v>2894</v>
      </c>
      <c r="Q1701" s="1">
        <v>8903</v>
      </c>
      <c r="R1701" s="1">
        <v>12445</v>
      </c>
      <c r="S1701" s="1">
        <v>24650</v>
      </c>
      <c r="T1701" s="1">
        <v>8339</v>
      </c>
      <c r="U1701" s="1">
        <v>2918</v>
      </c>
      <c r="V1701" s="1">
        <v>8974</v>
      </c>
      <c r="W1701" s="1">
        <v>12457</v>
      </c>
      <c r="X1701" s="1">
        <v>15113</v>
      </c>
      <c r="Y1701" s="1">
        <v>8369</v>
      </c>
      <c r="Z1701" s="1">
        <v>3832</v>
      </c>
      <c r="AA1701">
        <v>0</v>
      </c>
      <c r="AB1701" t="str">
        <f t="shared" si="26"/>
        <v>Not Defaulter</v>
      </c>
      <c r="AC1701" s="1">
        <f>Table2[[#This Row],[BILL_AMT1]]-Table2[[#This Row],[PAY_AMT1]]</f>
        <v>-752</v>
      </c>
      <c r="AD1701" s="1" t="str" cm="1">
        <f t="array" ref="AD1701">_xlfn.IFS(Table2[[#This Row],[PAYMENT GAP]]&lt;=0,"No Gap / Overpaid",Table2[[#This Row],[PAYMENT GAP]]&lt;=25000,"Low Gap",Table2[[#This Row],[PAYMENT GAP]]&lt;=100000,"Medium Gap",
TRUE,"High Gap"
)</f>
        <v>No Gap / Overpaid</v>
      </c>
    </row>
    <row r="1702" spans="1:30" x14ac:dyDescent="0.3">
      <c r="A1702">
        <v>1701</v>
      </c>
      <c r="B1702" s="1">
        <v>50000</v>
      </c>
      <c r="C1702" s="1" t="str" cm="1">
        <f t="array" ref="C1702">_xlfn.IFS(Table2[[#This Row],[LIMIT_BAL]]&lt;=100000,"Low",Table2[[#This Row],[LIMIT_BAL]]&lt;=300000,"Medium",
TRUE,"High"
)</f>
        <v>Low</v>
      </c>
      <c r="D1702" t="s">
        <v>2041</v>
      </c>
      <c r="E1702" t="s">
        <v>2027</v>
      </c>
      <c r="F1702" t="s">
        <v>2028</v>
      </c>
      <c r="G1702">
        <v>51</v>
      </c>
      <c r="H1702" t="str" cm="1">
        <f t="array" ref="H1702">_xlfn.IFS(
Table2[[#This Row],[AGE]]&lt;30,"Young",
Table2[[#This Row],[AGE]]&lt;40,"Middle Age",
Table2[[#This Row],[AGE]]&lt;50,"Senior",
TRUE,"Super Senior"
)</f>
        <v>Super Senior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-1</v>
      </c>
      <c r="O1702" s="1">
        <v>20454</v>
      </c>
      <c r="P1702" s="1">
        <v>21899</v>
      </c>
      <c r="Q1702" s="1">
        <v>20895</v>
      </c>
      <c r="R1702" s="1">
        <v>11241</v>
      </c>
      <c r="S1702" s="1">
        <v>-861</v>
      </c>
      <c r="T1702" s="1">
        <v>38040</v>
      </c>
      <c r="U1702" s="1">
        <v>2100</v>
      </c>
      <c r="V1702" s="1">
        <v>2000</v>
      </c>
      <c r="W1702" s="1">
        <v>1000</v>
      </c>
      <c r="X1702" s="1">
        <v>0</v>
      </c>
      <c r="Y1702" s="1">
        <v>39500</v>
      </c>
      <c r="Z1702" s="1">
        <v>1500</v>
      </c>
      <c r="AA1702">
        <v>0</v>
      </c>
      <c r="AB1702" t="str">
        <f t="shared" si="26"/>
        <v>Not Defaulter</v>
      </c>
      <c r="AC1702" s="1">
        <f>Table2[[#This Row],[BILL_AMT1]]-Table2[[#This Row],[PAY_AMT1]]</f>
        <v>18354</v>
      </c>
      <c r="AD1702" s="1" t="str" cm="1">
        <f t="array" ref="AD1702">_xlfn.IFS(Table2[[#This Row],[PAYMENT GAP]]&lt;=0,"No Gap / Overpaid",Table2[[#This Row],[PAYMENT GAP]]&lt;=25000,"Low Gap",Table2[[#This Row],[PAYMENT GAP]]&lt;=100000,"Medium Gap",
TRUE,"High Gap"
)</f>
        <v>Low Gap</v>
      </c>
    </row>
    <row r="1703" spans="1:30" x14ac:dyDescent="0.3">
      <c r="A1703">
        <v>1702</v>
      </c>
      <c r="B1703" s="1">
        <v>70000</v>
      </c>
      <c r="C1703" s="1" t="str" cm="1">
        <f t="array" ref="C1703">_xlfn.IFS(Table2[[#This Row],[LIMIT_BAL]]&lt;=100000,"Low",Table2[[#This Row],[LIMIT_BAL]]&lt;=300000,"Medium",
TRUE,"High"
)</f>
        <v>Low</v>
      </c>
      <c r="D1703" t="s">
        <v>2041</v>
      </c>
      <c r="E1703" t="s">
        <v>2026</v>
      </c>
      <c r="F1703" t="s">
        <v>2028</v>
      </c>
      <c r="G1703">
        <v>40</v>
      </c>
      <c r="H1703" t="str" cm="1">
        <f t="array" ref="H1703">_xlfn.IFS(
Table2[[#This Row],[AGE]]&lt;30,"Young",
Table2[[#This Row],[AGE]]&lt;40,"Middle Age",
Table2[[#This Row],[AGE]]&lt;50,"Senior",
TRUE,"Super Senior"
)</f>
        <v>Senior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 s="1">
        <v>51959</v>
      </c>
      <c r="P1703" s="1">
        <v>40519</v>
      </c>
      <c r="Q1703" s="1">
        <v>31310</v>
      </c>
      <c r="R1703" s="1">
        <v>28929</v>
      </c>
      <c r="S1703" s="1">
        <v>29535</v>
      </c>
      <c r="T1703" s="1">
        <v>28160</v>
      </c>
      <c r="U1703" s="1">
        <v>1597</v>
      </c>
      <c r="V1703" s="1">
        <v>1407</v>
      </c>
      <c r="W1703" s="1">
        <v>972</v>
      </c>
      <c r="X1703" s="1">
        <v>1007</v>
      </c>
      <c r="Y1703" s="1">
        <v>1028</v>
      </c>
      <c r="Z1703" s="1">
        <v>913</v>
      </c>
      <c r="AA1703">
        <v>0</v>
      </c>
      <c r="AB1703" t="str">
        <f t="shared" si="26"/>
        <v>Not Defaulter</v>
      </c>
      <c r="AC1703" s="1">
        <f>Table2[[#This Row],[BILL_AMT1]]-Table2[[#This Row],[PAY_AMT1]]</f>
        <v>50362</v>
      </c>
      <c r="AD1703" s="1" t="str" cm="1">
        <f t="array" ref="AD1703">_xlfn.IFS(Table2[[#This Row],[PAYMENT GAP]]&lt;=0,"No Gap / Overpaid",Table2[[#This Row],[PAYMENT GAP]]&lt;=25000,"Low Gap",Table2[[#This Row],[PAYMENT GAP]]&lt;=100000,"Medium Gap",
TRUE,"High Gap"
)</f>
        <v>Medium Gap</v>
      </c>
    </row>
    <row r="1704" spans="1:30" x14ac:dyDescent="0.3">
      <c r="A1704">
        <v>1703</v>
      </c>
      <c r="B1704" s="1">
        <v>150000</v>
      </c>
      <c r="C1704" s="1" t="str" cm="1">
        <f t="array" ref="C1704">_xlfn.IFS(Table2[[#This Row],[LIMIT_BAL]]&lt;=100000,"Low",Table2[[#This Row],[LIMIT_BAL]]&lt;=300000,"Medium",
TRUE,"High"
)</f>
        <v>Medium</v>
      </c>
      <c r="D1704" t="s">
        <v>2041</v>
      </c>
      <c r="E1704" t="s">
        <v>2026</v>
      </c>
      <c r="F1704" t="s">
        <v>2029</v>
      </c>
      <c r="G1704">
        <v>30</v>
      </c>
      <c r="H1704" t="str" cm="1">
        <f t="array" ref="H1704">_xlfn.IFS(
Table2[[#This Row],[AGE]]&lt;30,"Young",
Table2[[#This Row],[AGE]]&lt;40,"Middle Age",
Table2[[#This Row],[AGE]]&lt;50,"Senior",
TRUE,"Super Senior"
)</f>
        <v>Middle Age</v>
      </c>
      <c r="I1704">
        <v>0</v>
      </c>
      <c r="J1704">
        <v>0</v>
      </c>
      <c r="K1704">
        <v>2</v>
      </c>
      <c r="L1704">
        <v>0</v>
      </c>
      <c r="M1704">
        <v>0</v>
      </c>
      <c r="N1704">
        <v>2</v>
      </c>
      <c r="O1704" s="1">
        <v>44795</v>
      </c>
      <c r="P1704" s="1">
        <v>43700</v>
      </c>
      <c r="Q1704" s="1">
        <v>19543</v>
      </c>
      <c r="R1704" s="1">
        <v>34648</v>
      </c>
      <c r="S1704" s="1">
        <v>24241</v>
      </c>
      <c r="T1704" s="1">
        <v>19339</v>
      </c>
      <c r="U1704" s="1">
        <v>10000</v>
      </c>
      <c r="V1704" s="1">
        <v>20</v>
      </c>
      <c r="W1704" s="1">
        <v>30000</v>
      </c>
      <c r="X1704" s="1">
        <v>19800</v>
      </c>
      <c r="Y1704" s="1">
        <v>0</v>
      </c>
      <c r="Z1704" s="1">
        <v>5000</v>
      </c>
      <c r="AA1704">
        <v>1</v>
      </c>
      <c r="AB1704" t="str">
        <f t="shared" si="26"/>
        <v>Defaulter</v>
      </c>
      <c r="AC1704" s="1">
        <f>Table2[[#This Row],[BILL_AMT1]]-Table2[[#This Row],[PAY_AMT1]]</f>
        <v>34795</v>
      </c>
      <c r="AD1704" s="1" t="str" cm="1">
        <f t="array" ref="AD1704">_xlfn.IFS(Table2[[#This Row],[PAYMENT GAP]]&lt;=0,"No Gap / Overpaid",Table2[[#This Row],[PAYMENT GAP]]&lt;=25000,"Low Gap",Table2[[#This Row],[PAYMENT GAP]]&lt;=100000,"Medium Gap",
TRUE,"High Gap"
)</f>
        <v>Medium Gap</v>
      </c>
    </row>
    <row r="1705" spans="1:30" x14ac:dyDescent="0.3">
      <c r="A1705">
        <v>1704</v>
      </c>
      <c r="B1705" s="1">
        <v>320000</v>
      </c>
      <c r="C1705" s="1" t="str" cm="1">
        <f t="array" ref="C1705">_xlfn.IFS(Table2[[#This Row],[LIMIT_BAL]]&lt;=100000,"Low",Table2[[#This Row],[LIMIT_BAL]]&lt;=300000,"Medium",
TRUE,"High"
)</f>
        <v>High</v>
      </c>
      <c r="D1705" t="s">
        <v>2041</v>
      </c>
      <c r="E1705" t="s">
        <v>2026</v>
      </c>
      <c r="F1705" t="s">
        <v>2029</v>
      </c>
      <c r="G1705">
        <v>29</v>
      </c>
      <c r="H1705" t="str" cm="1">
        <f t="array" ref="H1705">_xlfn.IFS(
Table2[[#This Row],[AGE]]&lt;30,"Young",
Table2[[#This Row],[AGE]]&lt;40,"Middle Age",
Table2[[#This Row],[AGE]]&lt;50,"Senior",
TRUE,"Super Senior"
)</f>
        <v>Young</v>
      </c>
      <c r="I1705">
        <v>-1</v>
      </c>
      <c r="J1705">
        <v>-1</v>
      </c>
      <c r="K1705">
        <v>-1</v>
      </c>
      <c r="L1705">
        <v>-1</v>
      </c>
      <c r="M1705">
        <v>-1</v>
      </c>
      <c r="N1705">
        <v>0</v>
      </c>
      <c r="O1705" s="1">
        <v>179226</v>
      </c>
      <c r="P1705" s="1">
        <v>-200</v>
      </c>
      <c r="Q1705" s="1">
        <v>200</v>
      </c>
      <c r="R1705" s="1">
        <v>0</v>
      </c>
      <c r="S1705" s="1">
        <v>10000</v>
      </c>
      <c r="T1705" s="1">
        <v>210000</v>
      </c>
      <c r="U1705" s="1">
        <v>0</v>
      </c>
      <c r="V1705" s="1">
        <v>400</v>
      </c>
      <c r="W1705" s="1">
        <v>0</v>
      </c>
      <c r="X1705" s="1">
        <v>10000</v>
      </c>
      <c r="Y1705" s="1">
        <v>200000</v>
      </c>
      <c r="Z1705" s="1">
        <v>0</v>
      </c>
      <c r="AA1705">
        <v>0</v>
      </c>
      <c r="AB1705" t="str">
        <f t="shared" si="26"/>
        <v>Not Defaulter</v>
      </c>
      <c r="AC1705" s="1">
        <f>Table2[[#This Row],[BILL_AMT1]]-Table2[[#This Row],[PAY_AMT1]]</f>
        <v>179226</v>
      </c>
      <c r="AD1705" s="1" t="str" cm="1">
        <f t="array" ref="AD1705">_xlfn.IFS(Table2[[#This Row],[PAYMENT GAP]]&lt;=0,"No Gap / Overpaid",Table2[[#This Row],[PAYMENT GAP]]&lt;=25000,"Low Gap",Table2[[#This Row],[PAYMENT GAP]]&lt;=100000,"Medium Gap",
TRUE,"High Gap"
)</f>
        <v>High Gap</v>
      </c>
    </row>
    <row r="1706" spans="1:30" x14ac:dyDescent="0.3">
      <c r="A1706">
        <v>1705</v>
      </c>
      <c r="B1706" s="1">
        <v>60000</v>
      </c>
      <c r="C1706" s="1" t="str" cm="1">
        <f t="array" ref="C1706">_xlfn.IFS(Table2[[#This Row],[LIMIT_BAL]]&lt;=100000,"Low",Table2[[#This Row],[LIMIT_BAL]]&lt;=300000,"Medium",
TRUE,"High"
)</f>
        <v>Low</v>
      </c>
      <c r="D1706" t="s">
        <v>2041</v>
      </c>
      <c r="E1706" t="s">
        <v>2026</v>
      </c>
      <c r="F1706" t="s">
        <v>2029</v>
      </c>
      <c r="G1706">
        <v>24</v>
      </c>
      <c r="H1706" t="str" cm="1">
        <f t="array" ref="H1706">_xlfn.IFS(
Table2[[#This Row],[AGE]]&lt;30,"Young",
Table2[[#This Row],[AGE]]&lt;40,"Middle Age",
Table2[[#This Row],[AGE]]&lt;50,"Senior",
TRUE,"Super Senior"
)</f>
        <v>Young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 s="1">
        <v>60381</v>
      </c>
      <c r="P1706" s="1">
        <v>39798</v>
      </c>
      <c r="Q1706" s="1">
        <v>38344</v>
      </c>
      <c r="R1706" s="1">
        <v>37311</v>
      </c>
      <c r="S1706" s="1">
        <v>37428</v>
      </c>
      <c r="T1706" s="1">
        <v>38187</v>
      </c>
      <c r="U1706" s="1">
        <v>1639</v>
      </c>
      <c r="V1706" s="1">
        <v>1590</v>
      </c>
      <c r="W1706" s="1">
        <v>1500</v>
      </c>
      <c r="X1706" s="1">
        <v>1354</v>
      </c>
      <c r="Y1706" s="1">
        <v>1377</v>
      </c>
      <c r="Z1706" s="1">
        <v>1514</v>
      </c>
      <c r="AA1706">
        <v>0</v>
      </c>
      <c r="AB1706" t="str">
        <f t="shared" si="26"/>
        <v>Not Defaulter</v>
      </c>
      <c r="AC1706" s="1">
        <f>Table2[[#This Row],[BILL_AMT1]]-Table2[[#This Row],[PAY_AMT1]]</f>
        <v>58742</v>
      </c>
      <c r="AD1706" s="1" t="str" cm="1">
        <f t="array" ref="AD1706">_xlfn.IFS(Table2[[#This Row],[PAYMENT GAP]]&lt;=0,"No Gap / Overpaid",Table2[[#This Row],[PAYMENT GAP]]&lt;=25000,"Low Gap",Table2[[#This Row],[PAYMENT GAP]]&lt;=100000,"Medium Gap",
TRUE,"High Gap"
)</f>
        <v>Medium Gap</v>
      </c>
    </row>
    <row r="1707" spans="1:30" x14ac:dyDescent="0.3">
      <c r="A1707">
        <v>1706</v>
      </c>
      <c r="B1707" s="1">
        <v>20000</v>
      </c>
      <c r="C1707" s="1" t="str" cm="1">
        <f t="array" ref="C1707">_xlfn.IFS(Table2[[#This Row],[LIMIT_BAL]]&lt;=100000,"Low",Table2[[#This Row],[LIMIT_BAL]]&lt;=300000,"Medium",
TRUE,"High"
)</f>
        <v>Low</v>
      </c>
      <c r="D1707" t="s">
        <v>2042</v>
      </c>
      <c r="E1707" t="s">
        <v>2027</v>
      </c>
      <c r="F1707" t="s">
        <v>2029</v>
      </c>
      <c r="G1707">
        <v>32</v>
      </c>
      <c r="H1707" t="str" cm="1">
        <f t="array" ref="H1707">_xlfn.IFS(
Table2[[#This Row],[AGE]]&lt;30,"Young",
Table2[[#This Row],[AGE]]&lt;40,"Middle Age",
Table2[[#This Row],[AGE]]&lt;50,"Senior",
TRUE,"Super Senior"
)</f>
        <v>Middle Age</v>
      </c>
      <c r="I1707">
        <v>0</v>
      </c>
      <c r="J1707">
        <v>0</v>
      </c>
      <c r="K1707">
        <v>2</v>
      </c>
      <c r="L1707">
        <v>2</v>
      </c>
      <c r="M1707">
        <v>2</v>
      </c>
      <c r="N1707">
        <v>0</v>
      </c>
      <c r="O1707" s="1">
        <v>3677</v>
      </c>
      <c r="P1707" s="1">
        <v>6002</v>
      </c>
      <c r="Q1707" s="1">
        <v>5758</v>
      </c>
      <c r="R1707" s="1">
        <v>12619</v>
      </c>
      <c r="S1707" s="1">
        <v>12274</v>
      </c>
      <c r="T1707" s="1">
        <v>15049</v>
      </c>
      <c r="U1707" s="1">
        <v>2400</v>
      </c>
      <c r="V1707" s="1">
        <v>0</v>
      </c>
      <c r="W1707" s="1">
        <v>7000</v>
      </c>
      <c r="X1707" s="1">
        <v>0</v>
      </c>
      <c r="Y1707" s="1">
        <v>3000</v>
      </c>
      <c r="Z1707" s="1">
        <v>4000</v>
      </c>
      <c r="AA1707">
        <v>1</v>
      </c>
      <c r="AB1707" t="str">
        <f t="shared" si="26"/>
        <v>Defaulter</v>
      </c>
      <c r="AC1707" s="1">
        <f>Table2[[#This Row],[BILL_AMT1]]-Table2[[#This Row],[PAY_AMT1]]</f>
        <v>1277</v>
      </c>
      <c r="AD1707" s="1" t="str" cm="1">
        <f t="array" ref="AD1707">_xlfn.IFS(Table2[[#This Row],[PAYMENT GAP]]&lt;=0,"No Gap / Overpaid",Table2[[#This Row],[PAYMENT GAP]]&lt;=25000,"Low Gap",Table2[[#This Row],[PAYMENT GAP]]&lt;=100000,"Medium Gap",
TRUE,"High Gap"
)</f>
        <v>Low Gap</v>
      </c>
    </row>
    <row r="1708" spans="1:30" x14ac:dyDescent="0.3">
      <c r="A1708">
        <v>1707</v>
      </c>
      <c r="B1708" s="1">
        <v>230000</v>
      </c>
      <c r="C1708" s="1" t="str" cm="1">
        <f t="array" ref="C1708">_xlfn.IFS(Table2[[#This Row],[LIMIT_BAL]]&lt;=100000,"Low",Table2[[#This Row],[LIMIT_BAL]]&lt;=300000,"Medium",
TRUE,"High"
)</f>
        <v>Medium</v>
      </c>
      <c r="D1708" t="s">
        <v>2042</v>
      </c>
      <c r="E1708" t="s">
        <v>2026</v>
      </c>
      <c r="F1708" t="s">
        <v>2029</v>
      </c>
      <c r="G1708">
        <v>35</v>
      </c>
      <c r="H1708" t="str" cm="1">
        <f t="array" ref="H1708">_xlfn.IFS(
Table2[[#This Row],[AGE]]&lt;30,"Young",
Table2[[#This Row],[AGE]]&lt;40,"Middle Age",
Table2[[#This Row],[AGE]]&lt;50,"Senior",
TRUE,"Super Senior"
)</f>
        <v>Middle Age</v>
      </c>
      <c r="I1708">
        <v>2</v>
      </c>
      <c r="J1708">
        <v>2</v>
      </c>
      <c r="K1708">
        <v>2</v>
      </c>
      <c r="L1708">
        <v>2</v>
      </c>
      <c r="M1708">
        <v>2</v>
      </c>
      <c r="N1708">
        <v>2</v>
      </c>
      <c r="O1708" s="1">
        <v>117277</v>
      </c>
      <c r="P1708" s="1">
        <v>119823</v>
      </c>
      <c r="Q1708" s="1">
        <v>120988</v>
      </c>
      <c r="R1708" s="1">
        <v>121464</v>
      </c>
      <c r="S1708" s="1">
        <v>123740</v>
      </c>
      <c r="T1708" s="1">
        <v>120937</v>
      </c>
      <c r="U1708" s="1">
        <v>5800</v>
      </c>
      <c r="V1708" s="1">
        <v>4500</v>
      </c>
      <c r="W1708" s="1">
        <v>3800</v>
      </c>
      <c r="X1708" s="1">
        <v>5000</v>
      </c>
      <c r="Y1708" s="1">
        <v>0</v>
      </c>
      <c r="Z1708" s="1">
        <v>4500</v>
      </c>
      <c r="AA1708">
        <v>0</v>
      </c>
      <c r="AB1708" t="str">
        <f t="shared" si="26"/>
        <v>Not Defaulter</v>
      </c>
      <c r="AC1708" s="1">
        <f>Table2[[#This Row],[BILL_AMT1]]-Table2[[#This Row],[PAY_AMT1]]</f>
        <v>111477</v>
      </c>
      <c r="AD1708" s="1" t="str" cm="1">
        <f t="array" ref="AD1708">_xlfn.IFS(Table2[[#This Row],[PAYMENT GAP]]&lt;=0,"No Gap / Overpaid",Table2[[#This Row],[PAYMENT GAP]]&lt;=25000,"Low Gap",Table2[[#This Row],[PAYMENT GAP]]&lt;=100000,"Medium Gap",
TRUE,"High Gap"
)</f>
        <v>High Gap</v>
      </c>
    </row>
    <row r="1709" spans="1:30" x14ac:dyDescent="0.3">
      <c r="A1709">
        <v>1708</v>
      </c>
      <c r="B1709" s="1">
        <v>310000</v>
      </c>
      <c r="C1709" s="1" t="str" cm="1">
        <f t="array" ref="C1709">_xlfn.IFS(Table2[[#This Row],[LIMIT_BAL]]&lt;=100000,"Low",Table2[[#This Row],[LIMIT_BAL]]&lt;=300000,"Medium",
TRUE,"High"
)</f>
        <v>High</v>
      </c>
      <c r="D1709" t="s">
        <v>2041</v>
      </c>
      <c r="E1709" t="s">
        <v>2043</v>
      </c>
      <c r="F1709" t="s">
        <v>2028</v>
      </c>
      <c r="G1709">
        <v>29</v>
      </c>
      <c r="H1709" t="str" cm="1">
        <f t="array" ref="H1709">_xlfn.IFS(
Table2[[#This Row],[AGE]]&lt;30,"Young",
Table2[[#This Row],[AGE]]&lt;40,"Middle Age",
Table2[[#This Row],[AGE]]&lt;50,"Senior",
TRUE,"Super Senior"
)</f>
        <v>Young</v>
      </c>
      <c r="I1709">
        <v>0</v>
      </c>
      <c r="J1709">
        <v>0</v>
      </c>
      <c r="K1709">
        <v>0</v>
      </c>
      <c r="L1709">
        <v>-1</v>
      </c>
      <c r="M1709">
        <v>0</v>
      </c>
      <c r="N1709">
        <v>0</v>
      </c>
      <c r="O1709" s="1">
        <v>74955</v>
      </c>
      <c r="P1709" s="1">
        <v>77730</v>
      </c>
      <c r="Q1709" s="1">
        <v>78497</v>
      </c>
      <c r="R1709" s="1">
        <v>72529</v>
      </c>
      <c r="S1709" s="1">
        <v>76345</v>
      </c>
      <c r="T1709" s="1">
        <v>79072</v>
      </c>
      <c r="U1709" s="1">
        <v>4000</v>
      </c>
      <c r="V1709" s="1">
        <v>5000</v>
      </c>
      <c r="W1709" s="1">
        <v>72529</v>
      </c>
      <c r="X1709" s="1">
        <v>5000</v>
      </c>
      <c r="Y1709" s="1">
        <v>4000</v>
      </c>
      <c r="Z1709" s="1">
        <v>4000</v>
      </c>
      <c r="AA1709">
        <v>0</v>
      </c>
      <c r="AB1709" t="str">
        <f t="shared" si="26"/>
        <v>Not Defaulter</v>
      </c>
      <c r="AC1709" s="1">
        <f>Table2[[#This Row],[BILL_AMT1]]-Table2[[#This Row],[PAY_AMT1]]</f>
        <v>70955</v>
      </c>
      <c r="AD1709" s="1" t="str" cm="1">
        <f t="array" ref="AD1709">_xlfn.IFS(Table2[[#This Row],[PAYMENT GAP]]&lt;=0,"No Gap / Overpaid",Table2[[#This Row],[PAYMENT GAP]]&lt;=25000,"Low Gap",Table2[[#This Row],[PAYMENT GAP]]&lt;=100000,"Medium Gap",
TRUE,"High Gap"
)</f>
        <v>Medium Gap</v>
      </c>
    </row>
    <row r="1710" spans="1:30" x14ac:dyDescent="0.3">
      <c r="A1710">
        <v>1709</v>
      </c>
      <c r="B1710" s="1">
        <v>230000</v>
      </c>
      <c r="C1710" s="1" t="str" cm="1">
        <f t="array" ref="C1710">_xlfn.IFS(Table2[[#This Row],[LIMIT_BAL]]&lt;=100000,"Low",Table2[[#This Row],[LIMIT_BAL]]&lt;=300000,"Medium",
TRUE,"High"
)</f>
        <v>Medium</v>
      </c>
      <c r="D1710" t="s">
        <v>2041</v>
      </c>
      <c r="E1710" t="s">
        <v>2026</v>
      </c>
      <c r="F1710" t="s">
        <v>2029</v>
      </c>
      <c r="G1710">
        <v>36</v>
      </c>
      <c r="H1710" t="str" cm="1">
        <f t="array" ref="H1710">_xlfn.IFS(
Table2[[#This Row],[AGE]]&lt;30,"Young",
Table2[[#This Row],[AGE]]&lt;40,"Middle Age",
Table2[[#This Row],[AGE]]&lt;50,"Senior",
TRUE,"Super Senior"
)</f>
        <v>Middle Age</v>
      </c>
      <c r="I1710">
        <v>-1</v>
      </c>
      <c r="J1710">
        <v>-1</v>
      </c>
      <c r="K1710">
        <v>-1</v>
      </c>
      <c r="L1710">
        <v>0</v>
      </c>
      <c r="M1710">
        <v>0</v>
      </c>
      <c r="N1710">
        <v>0</v>
      </c>
      <c r="O1710" s="1">
        <v>1545</v>
      </c>
      <c r="P1710" s="1">
        <v>306</v>
      </c>
      <c r="Q1710" s="1">
        <v>8389</v>
      </c>
      <c r="R1710" s="1">
        <v>7465</v>
      </c>
      <c r="S1710" s="1">
        <v>6549</v>
      </c>
      <c r="T1710" s="1">
        <v>576</v>
      </c>
      <c r="U1710" s="1">
        <v>306</v>
      </c>
      <c r="V1710" s="1">
        <v>8389</v>
      </c>
      <c r="W1710" s="1">
        <v>9</v>
      </c>
      <c r="X1710" s="1">
        <v>0</v>
      </c>
      <c r="Y1710" s="1">
        <v>0</v>
      </c>
      <c r="Z1710" s="1">
        <v>342</v>
      </c>
      <c r="AA1710">
        <v>0</v>
      </c>
      <c r="AB1710" t="str">
        <f t="shared" si="26"/>
        <v>Not Defaulter</v>
      </c>
      <c r="AC1710" s="1">
        <f>Table2[[#This Row],[BILL_AMT1]]-Table2[[#This Row],[PAY_AMT1]]</f>
        <v>1239</v>
      </c>
      <c r="AD1710" s="1" t="str" cm="1">
        <f t="array" ref="AD1710">_xlfn.IFS(Table2[[#This Row],[PAYMENT GAP]]&lt;=0,"No Gap / Overpaid",Table2[[#This Row],[PAYMENT GAP]]&lt;=25000,"Low Gap",Table2[[#This Row],[PAYMENT GAP]]&lt;=100000,"Medium Gap",
TRUE,"High Gap"
)</f>
        <v>Low Gap</v>
      </c>
    </row>
    <row r="1711" spans="1:30" x14ac:dyDescent="0.3">
      <c r="A1711">
        <v>1710</v>
      </c>
      <c r="B1711" s="1">
        <v>200000</v>
      </c>
      <c r="C1711" s="1" t="str" cm="1">
        <f t="array" ref="C1711">_xlfn.IFS(Table2[[#This Row],[LIMIT_BAL]]&lt;=100000,"Low",Table2[[#This Row],[LIMIT_BAL]]&lt;=300000,"Medium",
TRUE,"High"
)</f>
        <v>Medium</v>
      </c>
      <c r="D1711" t="s">
        <v>2041</v>
      </c>
      <c r="E1711" t="s">
        <v>2026</v>
      </c>
      <c r="F1711" t="s">
        <v>2028</v>
      </c>
      <c r="G1711">
        <v>40</v>
      </c>
      <c r="H1711" t="str" cm="1">
        <f t="array" ref="H1711">_xlfn.IFS(
Table2[[#This Row],[AGE]]&lt;30,"Young",
Table2[[#This Row],[AGE]]&lt;40,"Middle Age",
Table2[[#This Row],[AGE]]&lt;50,"Senior",
TRUE,"Super Senior"
)</f>
        <v>Senior</v>
      </c>
      <c r="I1711">
        <v>-2</v>
      </c>
      <c r="J1711">
        <v>-2</v>
      </c>
      <c r="K1711">
        <v>-2</v>
      </c>
      <c r="L1711">
        <v>-2</v>
      </c>
      <c r="M1711">
        <v>-2</v>
      </c>
      <c r="N1711">
        <v>-2</v>
      </c>
      <c r="O1711" s="1">
        <v>2552</v>
      </c>
      <c r="P1711" s="1">
        <v>8064</v>
      </c>
      <c r="Q1711" s="1">
        <v>32082</v>
      </c>
      <c r="R1711" s="1">
        <v>6914</v>
      </c>
      <c r="S1711" s="1">
        <v>1905</v>
      </c>
      <c r="T1711" s="1">
        <v>3244</v>
      </c>
      <c r="U1711" s="1">
        <v>8084</v>
      </c>
      <c r="V1711" s="1">
        <v>32105</v>
      </c>
      <c r="W1711" s="1">
        <v>7186</v>
      </c>
      <c r="X1711" s="1">
        <v>1905</v>
      </c>
      <c r="Y1711" s="1">
        <v>3244</v>
      </c>
      <c r="Z1711" s="1">
        <v>9768</v>
      </c>
      <c r="AA1711">
        <v>0</v>
      </c>
      <c r="AB1711" t="str">
        <f t="shared" si="26"/>
        <v>Not Defaulter</v>
      </c>
      <c r="AC1711" s="1">
        <f>Table2[[#This Row],[BILL_AMT1]]-Table2[[#This Row],[PAY_AMT1]]</f>
        <v>-5532</v>
      </c>
      <c r="AD1711" s="1" t="str" cm="1">
        <f t="array" ref="AD1711">_xlfn.IFS(Table2[[#This Row],[PAYMENT GAP]]&lt;=0,"No Gap / Overpaid",Table2[[#This Row],[PAYMENT GAP]]&lt;=25000,"Low Gap",Table2[[#This Row],[PAYMENT GAP]]&lt;=100000,"Medium Gap",
TRUE,"High Gap"
)</f>
        <v>No Gap / Overpaid</v>
      </c>
    </row>
    <row r="1712" spans="1:30" x14ac:dyDescent="0.3">
      <c r="A1712">
        <v>1711</v>
      </c>
      <c r="B1712" s="1">
        <v>100000</v>
      </c>
      <c r="C1712" s="1" t="str" cm="1">
        <f t="array" ref="C1712">_xlfn.IFS(Table2[[#This Row],[LIMIT_BAL]]&lt;=100000,"Low",Table2[[#This Row],[LIMIT_BAL]]&lt;=300000,"Medium",
TRUE,"High"
)</f>
        <v>Low</v>
      </c>
      <c r="D1712" t="s">
        <v>2041</v>
      </c>
      <c r="E1712" t="s">
        <v>2026</v>
      </c>
      <c r="F1712" t="s">
        <v>2029</v>
      </c>
      <c r="G1712">
        <v>30</v>
      </c>
      <c r="H1712" t="str" cm="1">
        <f t="array" ref="H1712">_xlfn.IFS(
Table2[[#This Row],[AGE]]&lt;30,"Young",
Table2[[#This Row],[AGE]]&lt;40,"Middle Age",
Table2[[#This Row],[AGE]]&lt;50,"Senior",
TRUE,"Super Senior"
)</f>
        <v>Middle Age</v>
      </c>
      <c r="I1712">
        <v>0</v>
      </c>
      <c r="J1712">
        <v>0</v>
      </c>
      <c r="K1712">
        <v>0</v>
      </c>
      <c r="L1712">
        <v>0</v>
      </c>
      <c r="M1712">
        <v>2</v>
      </c>
      <c r="N1712">
        <v>0</v>
      </c>
      <c r="O1712" s="1">
        <v>28383</v>
      </c>
      <c r="P1712" s="1">
        <v>32903</v>
      </c>
      <c r="Q1712" s="1">
        <v>42283</v>
      </c>
      <c r="R1712" s="1">
        <v>51539</v>
      </c>
      <c r="S1712" s="1">
        <v>50583</v>
      </c>
      <c r="T1712" s="1">
        <v>52588</v>
      </c>
      <c r="U1712" s="1">
        <v>5000</v>
      </c>
      <c r="V1712" s="1">
        <v>10000</v>
      </c>
      <c r="W1712" s="1">
        <v>10000</v>
      </c>
      <c r="X1712" s="1">
        <v>0</v>
      </c>
      <c r="Y1712" s="1">
        <v>2846</v>
      </c>
      <c r="Z1712" s="1">
        <v>1936</v>
      </c>
      <c r="AA1712">
        <v>1</v>
      </c>
      <c r="AB1712" t="str">
        <f t="shared" si="26"/>
        <v>Defaulter</v>
      </c>
      <c r="AC1712" s="1">
        <f>Table2[[#This Row],[BILL_AMT1]]-Table2[[#This Row],[PAY_AMT1]]</f>
        <v>23383</v>
      </c>
      <c r="AD1712" s="1" t="str" cm="1">
        <f t="array" ref="AD1712">_xlfn.IFS(Table2[[#This Row],[PAYMENT GAP]]&lt;=0,"No Gap / Overpaid",Table2[[#This Row],[PAYMENT GAP]]&lt;=25000,"Low Gap",Table2[[#This Row],[PAYMENT GAP]]&lt;=100000,"Medium Gap",
TRUE,"High Gap"
)</f>
        <v>Low Gap</v>
      </c>
    </row>
    <row r="1713" spans="1:30" x14ac:dyDescent="0.3">
      <c r="A1713">
        <v>1712</v>
      </c>
      <c r="B1713" s="1">
        <v>310000</v>
      </c>
      <c r="C1713" s="1" t="str" cm="1">
        <f t="array" ref="C1713">_xlfn.IFS(Table2[[#This Row],[LIMIT_BAL]]&lt;=100000,"Low",Table2[[#This Row],[LIMIT_BAL]]&lt;=300000,"Medium",
TRUE,"High"
)</f>
        <v>High</v>
      </c>
      <c r="D1713" t="s">
        <v>2042</v>
      </c>
      <c r="E1713" t="s">
        <v>2043</v>
      </c>
      <c r="F1713" t="s">
        <v>2028</v>
      </c>
      <c r="G1713">
        <v>64</v>
      </c>
      <c r="H1713" t="str" cm="1">
        <f t="array" ref="H1713">_xlfn.IFS(
Table2[[#This Row],[AGE]]&lt;30,"Young",
Table2[[#This Row],[AGE]]&lt;40,"Middle Age",
Table2[[#This Row],[AGE]]&lt;50,"Senior",
TRUE,"Super Senior"
)</f>
        <v>Super Senior</v>
      </c>
      <c r="I1713">
        <v>-1</v>
      </c>
      <c r="J1713">
        <v>-1</v>
      </c>
      <c r="K1713">
        <v>-1</v>
      </c>
      <c r="L1713">
        <v>0</v>
      </c>
      <c r="M1713">
        <v>-1</v>
      </c>
      <c r="N1713">
        <v>-1</v>
      </c>
      <c r="O1713" s="1">
        <v>1920</v>
      </c>
      <c r="P1713" s="1">
        <v>0</v>
      </c>
      <c r="Q1713" s="1">
        <v>10124</v>
      </c>
      <c r="R1713" s="1">
        <v>10130</v>
      </c>
      <c r="S1713" s="1">
        <v>7958</v>
      </c>
      <c r="T1713" s="1">
        <v>0</v>
      </c>
      <c r="U1713" s="1">
        <v>0</v>
      </c>
      <c r="V1713" s="1">
        <v>10124</v>
      </c>
      <c r="W1713" s="1">
        <v>6</v>
      </c>
      <c r="X1713" s="1">
        <v>7958</v>
      </c>
      <c r="Y1713" s="1">
        <v>0</v>
      </c>
      <c r="Z1713" s="1">
        <v>0</v>
      </c>
      <c r="AA1713">
        <v>0</v>
      </c>
      <c r="AB1713" t="str">
        <f t="shared" si="26"/>
        <v>Not Defaulter</v>
      </c>
      <c r="AC1713" s="1">
        <f>Table2[[#This Row],[BILL_AMT1]]-Table2[[#This Row],[PAY_AMT1]]</f>
        <v>1920</v>
      </c>
      <c r="AD1713" s="1" t="str" cm="1">
        <f t="array" ref="AD1713">_xlfn.IFS(Table2[[#This Row],[PAYMENT GAP]]&lt;=0,"No Gap / Overpaid",Table2[[#This Row],[PAYMENT GAP]]&lt;=25000,"Low Gap",Table2[[#This Row],[PAYMENT GAP]]&lt;=100000,"Medium Gap",
TRUE,"High Gap"
)</f>
        <v>Low Gap</v>
      </c>
    </row>
    <row r="1714" spans="1:30" x14ac:dyDescent="0.3">
      <c r="A1714">
        <v>1713</v>
      </c>
      <c r="B1714" s="1">
        <v>180000</v>
      </c>
      <c r="C1714" s="1" t="str" cm="1">
        <f t="array" ref="C1714">_xlfn.IFS(Table2[[#This Row],[LIMIT_BAL]]&lt;=100000,"Low",Table2[[#This Row],[LIMIT_BAL]]&lt;=300000,"Medium",
TRUE,"High"
)</f>
        <v>Medium</v>
      </c>
      <c r="D1714" t="s">
        <v>2042</v>
      </c>
      <c r="E1714" t="s">
        <v>2027</v>
      </c>
      <c r="F1714" t="s">
        <v>2028</v>
      </c>
      <c r="G1714">
        <v>33</v>
      </c>
      <c r="H1714" t="str" cm="1">
        <f t="array" ref="H1714">_xlfn.IFS(
Table2[[#This Row],[AGE]]&lt;30,"Young",
Table2[[#This Row],[AGE]]&lt;40,"Middle Age",
Table2[[#This Row],[AGE]]&lt;50,"Senior",
TRUE,"Super Senior"
)</f>
        <v>Middle Age</v>
      </c>
      <c r="I1714">
        <v>2</v>
      </c>
      <c r="J1714">
        <v>2</v>
      </c>
      <c r="K1714">
        <v>0</v>
      </c>
      <c r="L1714">
        <v>0</v>
      </c>
      <c r="M1714">
        <v>0</v>
      </c>
      <c r="N1714">
        <v>2</v>
      </c>
      <c r="O1714" s="1">
        <v>159999</v>
      </c>
      <c r="P1714" s="1">
        <v>156038</v>
      </c>
      <c r="Q1714" s="1">
        <v>159924</v>
      </c>
      <c r="R1714" s="1">
        <v>162775</v>
      </c>
      <c r="S1714" s="1">
        <v>174719</v>
      </c>
      <c r="T1714" s="1">
        <v>178651</v>
      </c>
      <c r="U1714" s="1">
        <v>0</v>
      </c>
      <c r="V1714" s="1">
        <v>8000</v>
      </c>
      <c r="W1714" s="1">
        <v>7000</v>
      </c>
      <c r="X1714" s="1">
        <v>15000</v>
      </c>
      <c r="Y1714" s="1">
        <v>7000</v>
      </c>
      <c r="Z1714" s="1">
        <v>0</v>
      </c>
      <c r="AA1714">
        <v>1</v>
      </c>
      <c r="AB1714" t="str">
        <f t="shared" si="26"/>
        <v>Defaulter</v>
      </c>
      <c r="AC1714" s="1">
        <f>Table2[[#This Row],[BILL_AMT1]]-Table2[[#This Row],[PAY_AMT1]]</f>
        <v>159999</v>
      </c>
      <c r="AD1714" s="1" t="str" cm="1">
        <f t="array" ref="AD1714">_xlfn.IFS(Table2[[#This Row],[PAYMENT GAP]]&lt;=0,"No Gap / Overpaid",Table2[[#This Row],[PAYMENT GAP]]&lt;=25000,"Low Gap",Table2[[#This Row],[PAYMENT GAP]]&lt;=100000,"Medium Gap",
TRUE,"High Gap"
)</f>
        <v>High Gap</v>
      </c>
    </row>
    <row r="1715" spans="1:30" x14ac:dyDescent="0.3">
      <c r="A1715">
        <v>1714</v>
      </c>
      <c r="B1715" s="1">
        <v>390000</v>
      </c>
      <c r="C1715" s="1" t="str" cm="1">
        <f t="array" ref="C1715">_xlfn.IFS(Table2[[#This Row],[LIMIT_BAL]]&lt;=100000,"Low",Table2[[#This Row],[LIMIT_BAL]]&lt;=300000,"Medium",
TRUE,"High"
)</f>
        <v>High</v>
      </c>
      <c r="D1715" t="s">
        <v>2041</v>
      </c>
      <c r="E1715" t="s">
        <v>2026</v>
      </c>
      <c r="F1715" t="s">
        <v>2028</v>
      </c>
      <c r="G1715">
        <v>38</v>
      </c>
      <c r="H1715" t="str" cm="1">
        <f t="array" ref="H1715">_xlfn.IFS(
Table2[[#This Row],[AGE]]&lt;30,"Young",
Table2[[#This Row],[AGE]]&lt;40,"Middle Age",
Table2[[#This Row],[AGE]]&lt;50,"Senior",
TRUE,"Super Senior"
)</f>
        <v>Middle Age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 s="1">
        <v>164418</v>
      </c>
      <c r="P1715" s="1">
        <v>167501</v>
      </c>
      <c r="Q1715" s="1">
        <v>134282</v>
      </c>
      <c r="R1715" s="1">
        <v>128701</v>
      </c>
      <c r="S1715" s="1">
        <v>131529</v>
      </c>
      <c r="T1715" s="1">
        <v>135242</v>
      </c>
      <c r="U1715" s="1">
        <v>9000</v>
      </c>
      <c r="V1715" s="1">
        <v>7027</v>
      </c>
      <c r="W1715" s="1">
        <v>5000</v>
      </c>
      <c r="X1715" s="1">
        <v>5000</v>
      </c>
      <c r="Y1715" s="1">
        <v>6000</v>
      </c>
      <c r="Z1715" s="1">
        <v>5000</v>
      </c>
      <c r="AA1715">
        <v>0</v>
      </c>
      <c r="AB1715" t="str">
        <f t="shared" si="26"/>
        <v>Not Defaulter</v>
      </c>
      <c r="AC1715" s="1">
        <f>Table2[[#This Row],[BILL_AMT1]]-Table2[[#This Row],[PAY_AMT1]]</f>
        <v>155418</v>
      </c>
      <c r="AD1715" s="1" t="str" cm="1">
        <f t="array" ref="AD1715">_xlfn.IFS(Table2[[#This Row],[PAYMENT GAP]]&lt;=0,"No Gap / Overpaid",Table2[[#This Row],[PAYMENT GAP]]&lt;=25000,"Low Gap",Table2[[#This Row],[PAYMENT GAP]]&lt;=100000,"Medium Gap",
TRUE,"High Gap"
)</f>
        <v>High Gap</v>
      </c>
    </row>
    <row r="1716" spans="1:30" x14ac:dyDescent="0.3">
      <c r="A1716">
        <v>1715</v>
      </c>
      <c r="B1716" s="1">
        <v>20000</v>
      </c>
      <c r="C1716" s="1" t="str" cm="1">
        <f t="array" ref="C1716">_xlfn.IFS(Table2[[#This Row],[LIMIT_BAL]]&lt;=100000,"Low",Table2[[#This Row],[LIMIT_BAL]]&lt;=300000,"Medium",
TRUE,"High"
)</f>
        <v>Low</v>
      </c>
      <c r="D1716" t="s">
        <v>2041</v>
      </c>
      <c r="E1716" t="s">
        <v>2026</v>
      </c>
      <c r="F1716" t="s">
        <v>2029</v>
      </c>
      <c r="G1716">
        <v>26</v>
      </c>
      <c r="H1716" t="str" cm="1">
        <f t="array" ref="H1716">_xlfn.IFS(
Table2[[#This Row],[AGE]]&lt;30,"Young",
Table2[[#This Row],[AGE]]&lt;40,"Middle Age",
Table2[[#This Row],[AGE]]&lt;50,"Senior",
TRUE,"Super Senior"
)</f>
        <v>Young</v>
      </c>
      <c r="I1716">
        <v>1</v>
      </c>
      <c r="J1716">
        <v>-2</v>
      </c>
      <c r="K1716">
        <v>-1</v>
      </c>
      <c r="L1716">
        <v>-1</v>
      </c>
      <c r="M1716">
        <v>-1</v>
      </c>
      <c r="N1716">
        <v>-1</v>
      </c>
      <c r="O1716" s="1">
        <v>0</v>
      </c>
      <c r="P1716" s="1">
        <v>0</v>
      </c>
      <c r="Q1716" s="1">
        <v>450</v>
      </c>
      <c r="R1716" s="1">
        <v>-150</v>
      </c>
      <c r="S1716" s="1">
        <v>750</v>
      </c>
      <c r="T1716" s="1">
        <v>568</v>
      </c>
      <c r="U1716" s="1">
        <v>0</v>
      </c>
      <c r="V1716" s="1">
        <v>450</v>
      </c>
      <c r="W1716" s="1">
        <v>0</v>
      </c>
      <c r="X1716" s="1">
        <v>900</v>
      </c>
      <c r="Y1716" s="1">
        <v>568</v>
      </c>
      <c r="Z1716" s="1">
        <v>1769</v>
      </c>
      <c r="AA1716">
        <v>0</v>
      </c>
      <c r="AB1716" t="str">
        <f t="shared" si="26"/>
        <v>Not Defaulter</v>
      </c>
      <c r="AC1716" s="1">
        <f>Table2[[#This Row],[BILL_AMT1]]-Table2[[#This Row],[PAY_AMT1]]</f>
        <v>0</v>
      </c>
      <c r="AD1716" s="1" t="str" cm="1">
        <f t="array" ref="AD1716">_xlfn.IFS(Table2[[#This Row],[PAYMENT GAP]]&lt;=0,"No Gap / Overpaid",Table2[[#This Row],[PAYMENT GAP]]&lt;=25000,"Low Gap",Table2[[#This Row],[PAYMENT GAP]]&lt;=100000,"Medium Gap",
TRUE,"High Gap"
)</f>
        <v>No Gap / Overpaid</v>
      </c>
    </row>
    <row r="1717" spans="1:30" x14ac:dyDescent="0.3">
      <c r="A1717">
        <v>1716</v>
      </c>
      <c r="B1717" s="1">
        <v>50000</v>
      </c>
      <c r="C1717" s="1" t="str" cm="1">
        <f t="array" ref="C1717">_xlfn.IFS(Table2[[#This Row],[LIMIT_BAL]]&lt;=100000,"Low",Table2[[#This Row],[LIMIT_BAL]]&lt;=300000,"Medium",
TRUE,"High"
)</f>
        <v>Low</v>
      </c>
      <c r="D1717" t="s">
        <v>2041</v>
      </c>
      <c r="E1717" t="s">
        <v>2043</v>
      </c>
      <c r="F1717" t="s">
        <v>2028</v>
      </c>
      <c r="G1717">
        <v>26</v>
      </c>
      <c r="H1717" t="str" cm="1">
        <f t="array" ref="H1717">_xlfn.IFS(
Table2[[#This Row],[AGE]]&lt;30,"Young",
Table2[[#This Row],[AGE]]&lt;40,"Middle Age",
Table2[[#This Row],[AGE]]&lt;50,"Senior",
TRUE,"Super Senior"
)</f>
        <v>Young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 s="1">
        <v>45663</v>
      </c>
      <c r="P1717" s="1">
        <v>43522</v>
      </c>
      <c r="Q1717" s="1">
        <v>43193</v>
      </c>
      <c r="R1717" s="1">
        <v>18768</v>
      </c>
      <c r="S1717" s="1">
        <v>19182</v>
      </c>
      <c r="T1717" s="1">
        <v>19447</v>
      </c>
      <c r="U1717" s="1">
        <v>2300</v>
      </c>
      <c r="V1717" s="1">
        <v>2349</v>
      </c>
      <c r="W1717" s="1">
        <v>800</v>
      </c>
      <c r="X1717" s="1">
        <v>835</v>
      </c>
      <c r="Y1717" s="1">
        <v>726</v>
      </c>
      <c r="Z1717" s="1">
        <v>361</v>
      </c>
      <c r="AA1717">
        <v>0</v>
      </c>
      <c r="AB1717" t="str">
        <f t="shared" si="26"/>
        <v>Not Defaulter</v>
      </c>
      <c r="AC1717" s="1">
        <f>Table2[[#This Row],[BILL_AMT1]]-Table2[[#This Row],[PAY_AMT1]]</f>
        <v>43363</v>
      </c>
      <c r="AD1717" s="1" t="str" cm="1">
        <f t="array" ref="AD1717">_xlfn.IFS(Table2[[#This Row],[PAYMENT GAP]]&lt;=0,"No Gap / Overpaid",Table2[[#This Row],[PAYMENT GAP]]&lt;=25000,"Low Gap",Table2[[#This Row],[PAYMENT GAP]]&lt;=100000,"Medium Gap",
TRUE,"High Gap"
)</f>
        <v>Medium Gap</v>
      </c>
    </row>
    <row r="1718" spans="1:30" x14ac:dyDescent="0.3">
      <c r="A1718">
        <v>1717</v>
      </c>
      <c r="B1718" s="1">
        <v>140000</v>
      </c>
      <c r="C1718" s="1" t="str" cm="1">
        <f t="array" ref="C1718">_xlfn.IFS(Table2[[#This Row],[LIMIT_BAL]]&lt;=100000,"Low",Table2[[#This Row],[LIMIT_BAL]]&lt;=300000,"Medium",
TRUE,"High"
)</f>
        <v>Medium</v>
      </c>
      <c r="D1718" t="s">
        <v>2042</v>
      </c>
      <c r="E1718" t="s">
        <v>2026</v>
      </c>
      <c r="F1718" t="s">
        <v>2029</v>
      </c>
      <c r="G1718">
        <v>29</v>
      </c>
      <c r="H1718" t="str" cm="1">
        <f t="array" ref="H1718">_xlfn.IFS(
Table2[[#This Row],[AGE]]&lt;30,"Young",
Table2[[#This Row],[AGE]]&lt;40,"Middle Age",
Table2[[#This Row],[AGE]]&lt;50,"Senior",
TRUE,"Super Senior"
)</f>
        <v>Young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s="1">
        <v>142087</v>
      </c>
      <c r="P1718" s="1">
        <v>255846</v>
      </c>
      <c r="Q1718" s="1">
        <v>140057</v>
      </c>
      <c r="R1718" s="1">
        <v>100177</v>
      </c>
      <c r="S1718" s="1">
        <v>100873</v>
      </c>
      <c r="T1718" s="1">
        <v>98363</v>
      </c>
      <c r="U1718" s="1">
        <v>5528</v>
      </c>
      <c r="V1718" s="1">
        <v>4500</v>
      </c>
      <c r="W1718" s="1">
        <v>3500</v>
      </c>
      <c r="X1718" s="1">
        <v>4000</v>
      </c>
      <c r="Y1718" s="1">
        <v>4000</v>
      </c>
      <c r="Z1718" s="1">
        <v>4000</v>
      </c>
      <c r="AA1718">
        <v>0</v>
      </c>
      <c r="AB1718" t="str">
        <f t="shared" si="26"/>
        <v>Not Defaulter</v>
      </c>
      <c r="AC1718" s="1">
        <f>Table2[[#This Row],[BILL_AMT1]]-Table2[[#This Row],[PAY_AMT1]]</f>
        <v>136559</v>
      </c>
      <c r="AD1718" s="1" t="str" cm="1">
        <f t="array" ref="AD1718">_xlfn.IFS(Table2[[#This Row],[PAYMENT GAP]]&lt;=0,"No Gap / Overpaid",Table2[[#This Row],[PAYMENT GAP]]&lt;=25000,"Low Gap",Table2[[#This Row],[PAYMENT GAP]]&lt;=100000,"Medium Gap",
TRUE,"High Gap"
)</f>
        <v>High Gap</v>
      </c>
    </row>
    <row r="1719" spans="1:30" x14ac:dyDescent="0.3">
      <c r="A1719">
        <v>1718</v>
      </c>
      <c r="B1719" s="1">
        <v>170000</v>
      </c>
      <c r="C1719" s="1" t="str" cm="1">
        <f t="array" ref="C1719">_xlfn.IFS(Table2[[#This Row],[LIMIT_BAL]]&lt;=100000,"Low",Table2[[#This Row],[LIMIT_BAL]]&lt;=300000,"Medium",
TRUE,"High"
)</f>
        <v>Medium</v>
      </c>
      <c r="D1719" t="s">
        <v>2042</v>
      </c>
      <c r="E1719" t="s">
        <v>2026</v>
      </c>
      <c r="F1719" t="s">
        <v>2029</v>
      </c>
      <c r="G1719">
        <v>37</v>
      </c>
      <c r="H1719" t="str" cm="1">
        <f t="array" ref="H1719">_xlfn.IFS(
Table2[[#This Row],[AGE]]&lt;30,"Young",
Table2[[#This Row],[AGE]]&lt;40,"Middle Age",
Table2[[#This Row],[AGE]]&lt;50,"Senior",
TRUE,"Super Senior"
)</f>
        <v>Middle Age</v>
      </c>
      <c r="I1719">
        <v>-1</v>
      </c>
      <c r="J1719">
        <v>-1</v>
      </c>
      <c r="K1719">
        <v>-1</v>
      </c>
      <c r="L1719">
        <v>-1</v>
      </c>
      <c r="M1719">
        <v>-1</v>
      </c>
      <c r="N1719">
        <v>-1</v>
      </c>
      <c r="O1719" s="1">
        <v>4334</v>
      </c>
      <c r="P1719" s="1">
        <v>1343</v>
      </c>
      <c r="Q1719" s="1">
        <v>1078</v>
      </c>
      <c r="R1719" s="1">
        <v>1392</v>
      </c>
      <c r="S1719" s="1">
        <v>1606</v>
      </c>
      <c r="T1719" s="1">
        <v>9955</v>
      </c>
      <c r="U1719" s="1">
        <v>1343</v>
      </c>
      <c r="V1719" s="1">
        <v>1078</v>
      </c>
      <c r="W1719" s="1">
        <v>1392</v>
      </c>
      <c r="X1719" s="1">
        <v>1606</v>
      </c>
      <c r="Y1719" s="1">
        <v>9955</v>
      </c>
      <c r="Z1719" s="1">
        <v>4382</v>
      </c>
      <c r="AA1719">
        <v>1</v>
      </c>
      <c r="AB1719" t="str">
        <f t="shared" si="26"/>
        <v>Defaulter</v>
      </c>
      <c r="AC1719" s="1">
        <f>Table2[[#This Row],[BILL_AMT1]]-Table2[[#This Row],[PAY_AMT1]]</f>
        <v>2991</v>
      </c>
      <c r="AD1719" s="1" t="str" cm="1">
        <f t="array" ref="AD1719">_xlfn.IFS(Table2[[#This Row],[PAYMENT GAP]]&lt;=0,"No Gap / Overpaid",Table2[[#This Row],[PAYMENT GAP]]&lt;=25000,"Low Gap",Table2[[#This Row],[PAYMENT GAP]]&lt;=100000,"Medium Gap",
TRUE,"High Gap"
)</f>
        <v>Low Gap</v>
      </c>
    </row>
    <row r="1720" spans="1:30" x14ac:dyDescent="0.3">
      <c r="A1720">
        <v>1719</v>
      </c>
      <c r="B1720" s="1">
        <v>250000</v>
      </c>
      <c r="C1720" s="1" t="str" cm="1">
        <f t="array" ref="C1720">_xlfn.IFS(Table2[[#This Row],[LIMIT_BAL]]&lt;=100000,"Low",Table2[[#This Row],[LIMIT_BAL]]&lt;=300000,"Medium",
TRUE,"High"
)</f>
        <v>Medium</v>
      </c>
      <c r="D1720" t="s">
        <v>2041</v>
      </c>
      <c r="E1720" t="s">
        <v>2043</v>
      </c>
      <c r="F1720" t="s">
        <v>2028</v>
      </c>
      <c r="G1720">
        <v>45</v>
      </c>
      <c r="H1720" t="str" cm="1">
        <f t="array" ref="H1720">_xlfn.IFS(
Table2[[#This Row],[AGE]]&lt;30,"Young",
Table2[[#This Row],[AGE]]&lt;40,"Middle Age",
Table2[[#This Row],[AGE]]&lt;50,"Senior",
TRUE,"Super Senior"
)</f>
        <v>Senior</v>
      </c>
      <c r="I1720">
        <v>-2</v>
      </c>
      <c r="J1720">
        <v>-2</v>
      </c>
      <c r="K1720">
        <v>-2</v>
      </c>
      <c r="L1720">
        <v>-2</v>
      </c>
      <c r="M1720">
        <v>-2</v>
      </c>
      <c r="N1720">
        <v>-2</v>
      </c>
      <c r="O1720" s="1">
        <v>100323</v>
      </c>
      <c r="P1720" s="1">
        <v>37494</v>
      </c>
      <c r="Q1720" s="1">
        <v>41300</v>
      </c>
      <c r="R1720" s="1">
        <v>0</v>
      </c>
      <c r="S1720" s="1">
        <v>0</v>
      </c>
      <c r="T1720" s="1">
        <v>0</v>
      </c>
      <c r="U1720" s="1">
        <v>2500</v>
      </c>
      <c r="V1720" s="1">
        <v>5300</v>
      </c>
      <c r="W1720" s="1">
        <v>0</v>
      </c>
      <c r="X1720" s="1">
        <v>0</v>
      </c>
      <c r="Y1720" s="1">
        <v>0</v>
      </c>
      <c r="Z1720" s="1">
        <v>0</v>
      </c>
      <c r="AA1720">
        <v>0</v>
      </c>
      <c r="AB1720" t="str">
        <f t="shared" si="26"/>
        <v>Not Defaulter</v>
      </c>
      <c r="AC1720" s="1">
        <f>Table2[[#This Row],[BILL_AMT1]]-Table2[[#This Row],[PAY_AMT1]]</f>
        <v>97823</v>
      </c>
      <c r="AD1720" s="1" t="str" cm="1">
        <f t="array" ref="AD1720">_xlfn.IFS(Table2[[#This Row],[PAYMENT GAP]]&lt;=0,"No Gap / Overpaid",Table2[[#This Row],[PAYMENT GAP]]&lt;=25000,"Low Gap",Table2[[#This Row],[PAYMENT GAP]]&lt;=100000,"Medium Gap",
TRUE,"High Gap"
)</f>
        <v>Medium Gap</v>
      </c>
    </row>
    <row r="1721" spans="1:30" x14ac:dyDescent="0.3">
      <c r="A1721">
        <v>1720</v>
      </c>
      <c r="B1721" s="1">
        <v>50000</v>
      </c>
      <c r="C1721" s="1" t="str" cm="1">
        <f t="array" ref="C1721">_xlfn.IFS(Table2[[#This Row],[LIMIT_BAL]]&lt;=100000,"Low",Table2[[#This Row],[LIMIT_BAL]]&lt;=300000,"Medium",
TRUE,"High"
)</f>
        <v>Low</v>
      </c>
      <c r="D1721" t="s">
        <v>2041</v>
      </c>
      <c r="E1721" t="s">
        <v>2027</v>
      </c>
      <c r="F1721" t="s">
        <v>2028</v>
      </c>
      <c r="G1721">
        <v>40</v>
      </c>
      <c r="H1721" t="str" cm="1">
        <f t="array" ref="H1721">_xlfn.IFS(
Table2[[#This Row],[AGE]]&lt;30,"Young",
Table2[[#This Row],[AGE]]&lt;40,"Middle Age",
Table2[[#This Row],[AGE]]&lt;50,"Senior",
TRUE,"Super Senior"
)</f>
        <v>Senior</v>
      </c>
      <c r="I1721">
        <v>2</v>
      </c>
      <c r="J1721">
        <v>2</v>
      </c>
      <c r="K1721">
        <v>0</v>
      </c>
      <c r="L1721">
        <v>0</v>
      </c>
      <c r="M1721">
        <v>0</v>
      </c>
      <c r="N1721">
        <v>0</v>
      </c>
      <c r="O1721" s="1">
        <v>49157</v>
      </c>
      <c r="P1721" s="1">
        <v>47990</v>
      </c>
      <c r="Q1721" s="1">
        <v>38426</v>
      </c>
      <c r="R1721" s="1">
        <v>7816</v>
      </c>
      <c r="S1721" s="1">
        <v>7859</v>
      </c>
      <c r="T1721" s="1">
        <v>7979</v>
      </c>
      <c r="U1721" s="1">
        <v>0</v>
      </c>
      <c r="V1721" s="1">
        <v>2050</v>
      </c>
      <c r="W1721" s="1">
        <v>500</v>
      </c>
      <c r="X1721" s="1">
        <v>500</v>
      </c>
      <c r="Y1721" s="1">
        <v>400</v>
      </c>
      <c r="Z1721" s="1">
        <v>400</v>
      </c>
      <c r="AA1721">
        <v>1</v>
      </c>
      <c r="AB1721" t="str">
        <f t="shared" si="26"/>
        <v>Defaulter</v>
      </c>
      <c r="AC1721" s="1">
        <f>Table2[[#This Row],[BILL_AMT1]]-Table2[[#This Row],[PAY_AMT1]]</f>
        <v>49157</v>
      </c>
      <c r="AD1721" s="1" t="str" cm="1">
        <f t="array" ref="AD1721">_xlfn.IFS(Table2[[#This Row],[PAYMENT GAP]]&lt;=0,"No Gap / Overpaid",Table2[[#This Row],[PAYMENT GAP]]&lt;=25000,"Low Gap",Table2[[#This Row],[PAYMENT GAP]]&lt;=100000,"Medium Gap",
TRUE,"High Gap"
)</f>
        <v>Medium Gap</v>
      </c>
    </row>
    <row r="1722" spans="1:30" x14ac:dyDescent="0.3">
      <c r="A1722">
        <v>1721</v>
      </c>
      <c r="B1722" s="1">
        <v>250000</v>
      </c>
      <c r="C1722" s="1" t="str" cm="1">
        <f t="array" ref="C1722">_xlfn.IFS(Table2[[#This Row],[LIMIT_BAL]]&lt;=100000,"Low",Table2[[#This Row],[LIMIT_BAL]]&lt;=300000,"Medium",
TRUE,"High"
)</f>
        <v>Medium</v>
      </c>
      <c r="D1722" t="s">
        <v>2041</v>
      </c>
      <c r="E1722" t="s">
        <v>2026</v>
      </c>
      <c r="F1722" t="s">
        <v>2029</v>
      </c>
      <c r="G1722">
        <v>36</v>
      </c>
      <c r="H1722" t="str" cm="1">
        <f t="array" ref="H1722">_xlfn.IFS(
Table2[[#This Row],[AGE]]&lt;30,"Young",
Table2[[#This Row],[AGE]]&lt;40,"Middle Age",
Table2[[#This Row],[AGE]]&lt;50,"Senior",
TRUE,"Super Senior"
)</f>
        <v>Middle Age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s="1">
        <v>130360</v>
      </c>
      <c r="P1722" s="1">
        <v>133799</v>
      </c>
      <c r="Q1722" s="1">
        <v>137119</v>
      </c>
      <c r="R1722" s="1">
        <v>141367</v>
      </c>
      <c r="S1722" s="1">
        <v>133174</v>
      </c>
      <c r="T1722" s="1">
        <v>136481</v>
      </c>
      <c r="U1722" s="1">
        <v>5000</v>
      </c>
      <c r="V1722" s="1">
        <v>5000</v>
      </c>
      <c r="W1722" s="1">
        <v>5847</v>
      </c>
      <c r="X1722" s="1">
        <v>5000</v>
      </c>
      <c r="Y1722" s="1">
        <v>5000</v>
      </c>
      <c r="Z1722" s="1">
        <v>5018</v>
      </c>
      <c r="AA1722">
        <v>0</v>
      </c>
      <c r="AB1722" t="str">
        <f t="shared" si="26"/>
        <v>Not Defaulter</v>
      </c>
      <c r="AC1722" s="1">
        <f>Table2[[#This Row],[BILL_AMT1]]-Table2[[#This Row],[PAY_AMT1]]</f>
        <v>125360</v>
      </c>
      <c r="AD1722" s="1" t="str" cm="1">
        <f t="array" ref="AD1722">_xlfn.IFS(Table2[[#This Row],[PAYMENT GAP]]&lt;=0,"No Gap / Overpaid",Table2[[#This Row],[PAYMENT GAP]]&lt;=25000,"Low Gap",Table2[[#This Row],[PAYMENT GAP]]&lt;=100000,"Medium Gap",
TRUE,"High Gap"
)</f>
        <v>High Gap</v>
      </c>
    </row>
    <row r="1723" spans="1:30" x14ac:dyDescent="0.3">
      <c r="A1723">
        <v>1722</v>
      </c>
      <c r="B1723" s="1">
        <v>90000</v>
      </c>
      <c r="C1723" s="1" t="str" cm="1">
        <f t="array" ref="C1723">_xlfn.IFS(Table2[[#This Row],[LIMIT_BAL]]&lt;=100000,"Low",Table2[[#This Row],[LIMIT_BAL]]&lt;=300000,"Medium",
TRUE,"High"
)</f>
        <v>Low</v>
      </c>
      <c r="D1723" t="s">
        <v>2042</v>
      </c>
      <c r="E1723" t="s">
        <v>2026</v>
      </c>
      <c r="F1723" t="s">
        <v>2029</v>
      </c>
      <c r="G1723">
        <v>27</v>
      </c>
      <c r="H1723" t="str" cm="1">
        <f t="array" ref="H1723">_xlfn.IFS(
Table2[[#This Row],[AGE]]&lt;30,"Young",
Table2[[#This Row],[AGE]]&lt;40,"Middle Age",
Table2[[#This Row],[AGE]]&lt;50,"Senior",
TRUE,"Super Senior"
)</f>
        <v>Young</v>
      </c>
      <c r="I1723">
        <v>0</v>
      </c>
      <c r="J1723">
        <v>0</v>
      </c>
      <c r="K1723">
        <v>0</v>
      </c>
      <c r="L1723">
        <v>2</v>
      </c>
      <c r="M1723">
        <v>2</v>
      </c>
      <c r="N1723">
        <v>2</v>
      </c>
      <c r="O1723" s="1">
        <v>56608</v>
      </c>
      <c r="P1723" s="1">
        <v>57897</v>
      </c>
      <c r="Q1723" s="1">
        <v>63686</v>
      </c>
      <c r="R1723" s="1">
        <v>65233</v>
      </c>
      <c r="S1723" s="1">
        <v>66637</v>
      </c>
      <c r="T1723" s="1">
        <v>67882</v>
      </c>
      <c r="U1723" s="1">
        <v>2800</v>
      </c>
      <c r="V1723" s="1">
        <v>7400</v>
      </c>
      <c r="W1723" s="1">
        <v>3200</v>
      </c>
      <c r="X1723" s="1">
        <v>2600</v>
      </c>
      <c r="Y1723" s="1">
        <v>2500</v>
      </c>
      <c r="Z1723" s="1">
        <v>2500</v>
      </c>
      <c r="AA1723">
        <v>0</v>
      </c>
      <c r="AB1723" t="str">
        <f t="shared" si="26"/>
        <v>Not Defaulter</v>
      </c>
      <c r="AC1723" s="1">
        <f>Table2[[#This Row],[BILL_AMT1]]-Table2[[#This Row],[PAY_AMT1]]</f>
        <v>53808</v>
      </c>
      <c r="AD1723" s="1" t="str" cm="1">
        <f t="array" ref="AD1723">_xlfn.IFS(Table2[[#This Row],[PAYMENT GAP]]&lt;=0,"No Gap / Overpaid",Table2[[#This Row],[PAYMENT GAP]]&lt;=25000,"Low Gap",Table2[[#This Row],[PAYMENT GAP]]&lt;=100000,"Medium Gap",
TRUE,"High Gap"
)</f>
        <v>Medium Gap</v>
      </c>
    </row>
    <row r="1724" spans="1:30" x14ac:dyDescent="0.3">
      <c r="A1724">
        <v>1723</v>
      </c>
      <c r="B1724" s="1">
        <v>90000</v>
      </c>
      <c r="C1724" s="1" t="str" cm="1">
        <f t="array" ref="C1724">_xlfn.IFS(Table2[[#This Row],[LIMIT_BAL]]&lt;=100000,"Low",Table2[[#This Row],[LIMIT_BAL]]&lt;=300000,"Medium",
TRUE,"High"
)</f>
        <v>Low</v>
      </c>
      <c r="D1724" t="s">
        <v>2042</v>
      </c>
      <c r="E1724" t="s">
        <v>2043</v>
      </c>
      <c r="F1724" t="s">
        <v>2028</v>
      </c>
      <c r="G1724">
        <v>44</v>
      </c>
      <c r="H1724" t="str" cm="1">
        <f t="array" ref="H1724">_xlfn.IFS(
Table2[[#This Row],[AGE]]&lt;30,"Young",
Table2[[#This Row],[AGE]]&lt;40,"Middle Age",
Table2[[#This Row],[AGE]]&lt;50,"Senior",
TRUE,"Super Senior"
)</f>
        <v>Senior</v>
      </c>
      <c r="I1724">
        <v>2</v>
      </c>
      <c r="J1724">
        <v>0</v>
      </c>
      <c r="K1724">
        <v>0</v>
      </c>
      <c r="L1724">
        <v>0</v>
      </c>
      <c r="M1724">
        <v>0</v>
      </c>
      <c r="N1724">
        <v>0</v>
      </c>
      <c r="O1724" s="1">
        <v>89875</v>
      </c>
      <c r="P1724" s="1">
        <v>92338</v>
      </c>
      <c r="Q1724" s="1">
        <v>87511</v>
      </c>
      <c r="R1724" s="1">
        <v>47796</v>
      </c>
      <c r="S1724" s="1">
        <v>48306</v>
      </c>
      <c r="T1724" s="1">
        <v>49054</v>
      </c>
      <c r="U1724" s="1">
        <v>4000</v>
      </c>
      <c r="V1724" s="1">
        <v>4200</v>
      </c>
      <c r="W1724" s="1">
        <v>1700</v>
      </c>
      <c r="X1724" s="1">
        <v>1800</v>
      </c>
      <c r="Y1724" s="1">
        <v>2083</v>
      </c>
      <c r="Z1724" s="1">
        <v>1827</v>
      </c>
      <c r="AA1724">
        <v>1</v>
      </c>
      <c r="AB1724" t="str">
        <f t="shared" si="26"/>
        <v>Defaulter</v>
      </c>
      <c r="AC1724" s="1">
        <f>Table2[[#This Row],[BILL_AMT1]]-Table2[[#This Row],[PAY_AMT1]]</f>
        <v>85875</v>
      </c>
      <c r="AD1724" s="1" t="str" cm="1">
        <f t="array" ref="AD1724">_xlfn.IFS(Table2[[#This Row],[PAYMENT GAP]]&lt;=0,"No Gap / Overpaid",Table2[[#This Row],[PAYMENT GAP]]&lt;=25000,"Low Gap",Table2[[#This Row],[PAYMENT GAP]]&lt;=100000,"Medium Gap",
TRUE,"High Gap"
)</f>
        <v>Medium Gap</v>
      </c>
    </row>
    <row r="1725" spans="1:30" x14ac:dyDescent="0.3">
      <c r="A1725">
        <v>1724</v>
      </c>
      <c r="B1725" s="1">
        <v>160000</v>
      </c>
      <c r="C1725" s="1" t="str" cm="1">
        <f t="array" ref="C1725">_xlfn.IFS(Table2[[#This Row],[LIMIT_BAL]]&lt;=100000,"Low",Table2[[#This Row],[LIMIT_BAL]]&lt;=300000,"Medium",
TRUE,"High"
)</f>
        <v>Medium</v>
      </c>
      <c r="D1725" t="s">
        <v>2041</v>
      </c>
      <c r="E1725" t="s">
        <v>2026</v>
      </c>
      <c r="F1725" t="s">
        <v>2029</v>
      </c>
      <c r="G1725">
        <v>27</v>
      </c>
      <c r="H1725" t="str" cm="1">
        <f t="array" ref="H1725">_xlfn.IFS(
Table2[[#This Row],[AGE]]&lt;30,"Young",
Table2[[#This Row],[AGE]]&lt;40,"Middle Age",
Table2[[#This Row],[AGE]]&lt;50,"Senior",
TRUE,"Super Senior"
)</f>
        <v>Young</v>
      </c>
      <c r="I1725">
        <v>0</v>
      </c>
      <c r="J1725">
        <v>0</v>
      </c>
      <c r="K1725">
        <v>-2</v>
      </c>
      <c r="L1725">
        <v>-1</v>
      </c>
      <c r="M1725">
        <v>-1</v>
      </c>
      <c r="N1725">
        <v>-1</v>
      </c>
      <c r="O1725" s="1">
        <v>13234</v>
      </c>
      <c r="P1725" s="1">
        <v>0</v>
      </c>
      <c r="Q1725" s="1">
        <v>6000</v>
      </c>
      <c r="R1725" s="1">
        <v>15866</v>
      </c>
      <c r="S1725" s="1">
        <v>4168</v>
      </c>
      <c r="T1725" s="1">
        <v>2067</v>
      </c>
      <c r="U1725" s="1">
        <v>0</v>
      </c>
      <c r="V1725" s="1">
        <v>6000</v>
      </c>
      <c r="W1725" s="1">
        <v>15866</v>
      </c>
      <c r="X1725" s="1">
        <v>4168</v>
      </c>
      <c r="Y1725" s="1">
        <v>2067</v>
      </c>
      <c r="Z1725" s="1">
        <v>11826</v>
      </c>
      <c r="AA1725">
        <v>0</v>
      </c>
      <c r="AB1725" t="str">
        <f t="shared" si="26"/>
        <v>Not Defaulter</v>
      </c>
      <c r="AC1725" s="1">
        <f>Table2[[#This Row],[BILL_AMT1]]-Table2[[#This Row],[PAY_AMT1]]</f>
        <v>13234</v>
      </c>
      <c r="AD1725" s="1" t="str" cm="1">
        <f t="array" ref="AD1725">_xlfn.IFS(Table2[[#This Row],[PAYMENT GAP]]&lt;=0,"No Gap / Overpaid",Table2[[#This Row],[PAYMENT GAP]]&lt;=25000,"Low Gap",Table2[[#This Row],[PAYMENT GAP]]&lt;=100000,"Medium Gap",
TRUE,"High Gap"
)</f>
        <v>Low Gap</v>
      </c>
    </row>
    <row r="1726" spans="1:30" x14ac:dyDescent="0.3">
      <c r="A1726">
        <v>1725</v>
      </c>
      <c r="B1726" s="1">
        <v>360000</v>
      </c>
      <c r="C1726" s="1" t="str" cm="1">
        <f t="array" ref="C1726">_xlfn.IFS(Table2[[#This Row],[LIMIT_BAL]]&lt;=100000,"Low",Table2[[#This Row],[LIMIT_BAL]]&lt;=300000,"Medium",
TRUE,"High"
)</f>
        <v>High</v>
      </c>
      <c r="D1726" t="s">
        <v>2042</v>
      </c>
      <c r="E1726" t="s">
        <v>2043</v>
      </c>
      <c r="F1726" t="s">
        <v>2029</v>
      </c>
      <c r="G1726">
        <v>29</v>
      </c>
      <c r="H1726" t="str" cm="1">
        <f t="array" ref="H1726">_xlfn.IFS(
Table2[[#This Row],[AGE]]&lt;30,"Young",
Table2[[#This Row],[AGE]]&lt;40,"Middle Age",
Table2[[#This Row],[AGE]]&lt;50,"Senior",
TRUE,"Super Senior"
)</f>
        <v>Young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 s="1">
        <v>114527</v>
      </c>
      <c r="P1726" s="1">
        <v>119487</v>
      </c>
      <c r="Q1726" s="1">
        <v>113438</v>
      </c>
      <c r="R1726" s="1">
        <v>112940</v>
      </c>
      <c r="S1726" s="1">
        <v>122122</v>
      </c>
      <c r="T1726" s="1">
        <v>121547</v>
      </c>
      <c r="U1726" s="1">
        <v>20046</v>
      </c>
      <c r="V1726" s="1">
        <v>5046</v>
      </c>
      <c r="W1726" s="1">
        <v>10000</v>
      </c>
      <c r="X1726" s="1">
        <v>10048</v>
      </c>
      <c r="Y1726" s="1">
        <v>10043</v>
      </c>
      <c r="Z1726" s="1">
        <v>5014</v>
      </c>
      <c r="AA1726">
        <v>0</v>
      </c>
      <c r="AB1726" t="str">
        <f t="shared" si="26"/>
        <v>Not Defaulter</v>
      </c>
      <c r="AC1726" s="1">
        <f>Table2[[#This Row],[BILL_AMT1]]-Table2[[#This Row],[PAY_AMT1]]</f>
        <v>94481</v>
      </c>
      <c r="AD1726" s="1" t="str" cm="1">
        <f t="array" ref="AD1726">_xlfn.IFS(Table2[[#This Row],[PAYMENT GAP]]&lt;=0,"No Gap / Overpaid",Table2[[#This Row],[PAYMENT GAP]]&lt;=25000,"Low Gap",Table2[[#This Row],[PAYMENT GAP]]&lt;=100000,"Medium Gap",
TRUE,"High Gap"
)</f>
        <v>Medium Gap</v>
      </c>
    </row>
    <row r="1727" spans="1:30" x14ac:dyDescent="0.3">
      <c r="A1727">
        <v>1726</v>
      </c>
      <c r="B1727" s="1">
        <v>330000</v>
      </c>
      <c r="C1727" s="1" t="str" cm="1">
        <f t="array" ref="C1727">_xlfn.IFS(Table2[[#This Row],[LIMIT_BAL]]&lt;=100000,"Low",Table2[[#This Row],[LIMIT_BAL]]&lt;=300000,"Medium",
TRUE,"High"
)</f>
        <v>High</v>
      </c>
      <c r="D1727" t="s">
        <v>2041</v>
      </c>
      <c r="E1727" t="s">
        <v>2026</v>
      </c>
      <c r="F1727" t="s">
        <v>2029</v>
      </c>
      <c r="G1727">
        <v>26</v>
      </c>
      <c r="H1727" t="str" cm="1">
        <f t="array" ref="H1727">_xlfn.IFS(
Table2[[#This Row],[AGE]]&lt;30,"Young",
Table2[[#This Row],[AGE]]&lt;40,"Middle Age",
Table2[[#This Row],[AGE]]&lt;50,"Senior",
TRUE,"Super Senior"
)</f>
        <v>Young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 s="1">
        <v>58667</v>
      </c>
      <c r="P1727" s="1">
        <v>38323</v>
      </c>
      <c r="Q1727" s="1">
        <v>32726</v>
      </c>
      <c r="R1727" s="1">
        <v>43579</v>
      </c>
      <c r="S1727" s="1">
        <v>28908</v>
      </c>
      <c r="T1727" s="1">
        <v>20777</v>
      </c>
      <c r="U1727" s="1">
        <v>2213</v>
      </c>
      <c r="V1727" s="1">
        <v>5000</v>
      </c>
      <c r="W1727" s="1">
        <v>20000</v>
      </c>
      <c r="X1727" s="1">
        <v>1000</v>
      </c>
      <c r="Y1727" s="1">
        <v>672</v>
      </c>
      <c r="Z1727" s="1">
        <v>1200</v>
      </c>
      <c r="AA1727">
        <v>0</v>
      </c>
      <c r="AB1727" t="str">
        <f t="shared" si="26"/>
        <v>Not Defaulter</v>
      </c>
      <c r="AC1727" s="1">
        <f>Table2[[#This Row],[BILL_AMT1]]-Table2[[#This Row],[PAY_AMT1]]</f>
        <v>56454</v>
      </c>
      <c r="AD1727" s="1" t="str" cm="1">
        <f t="array" ref="AD1727">_xlfn.IFS(Table2[[#This Row],[PAYMENT GAP]]&lt;=0,"No Gap / Overpaid",Table2[[#This Row],[PAYMENT GAP]]&lt;=25000,"Low Gap",Table2[[#This Row],[PAYMENT GAP]]&lt;=100000,"Medium Gap",
TRUE,"High Gap"
)</f>
        <v>Medium Gap</v>
      </c>
    </row>
    <row r="1728" spans="1:30" x14ac:dyDescent="0.3">
      <c r="A1728">
        <v>1727</v>
      </c>
      <c r="B1728" s="1">
        <v>50000</v>
      </c>
      <c r="C1728" s="1" t="str" cm="1">
        <f t="array" ref="C1728">_xlfn.IFS(Table2[[#This Row],[LIMIT_BAL]]&lt;=100000,"Low",Table2[[#This Row],[LIMIT_BAL]]&lt;=300000,"Medium",
TRUE,"High"
)</f>
        <v>Low</v>
      </c>
      <c r="D1728" t="s">
        <v>2041</v>
      </c>
      <c r="E1728" t="s">
        <v>2027</v>
      </c>
      <c r="F1728" t="s">
        <v>2028</v>
      </c>
      <c r="G1728">
        <v>54</v>
      </c>
      <c r="H1728" t="str" cm="1">
        <f t="array" ref="H1728">_xlfn.IFS(
Table2[[#This Row],[AGE]]&lt;30,"Young",
Table2[[#This Row],[AGE]]&lt;40,"Middle Age",
Table2[[#This Row],[AGE]]&lt;50,"Senior",
TRUE,"Super Senior"
)</f>
        <v>Super Senior</v>
      </c>
      <c r="I1728">
        <v>1</v>
      </c>
      <c r="J1728">
        <v>2</v>
      </c>
      <c r="K1728">
        <v>0</v>
      </c>
      <c r="L1728">
        <v>0</v>
      </c>
      <c r="M1728">
        <v>0</v>
      </c>
      <c r="N1728">
        <v>0</v>
      </c>
      <c r="O1728" s="1">
        <v>64069</v>
      </c>
      <c r="P1728" s="1">
        <v>59153</v>
      </c>
      <c r="Q1728" s="1">
        <v>56275</v>
      </c>
      <c r="R1728" s="1">
        <v>53936</v>
      </c>
      <c r="S1728" s="1">
        <v>51740</v>
      </c>
      <c r="T1728" s="1">
        <v>49043</v>
      </c>
      <c r="U1728" s="1">
        <v>0</v>
      </c>
      <c r="V1728" s="1">
        <v>2031</v>
      </c>
      <c r="W1728" s="1">
        <v>1918</v>
      </c>
      <c r="X1728" s="1">
        <v>1993</v>
      </c>
      <c r="Y1728" s="1">
        <v>1614</v>
      </c>
      <c r="Z1728" s="1">
        <v>1789</v>
      </c>
      <c r="AA1728">
        <v>0</v>
      </c>
      <c r="AB1728" t="str">
        <f t="shared" si="26"/>
        <v>Not Defaulter</v>
      </c>
      <c r="AC1728" s="1">
        <f>Table2[[#This Row],[BILL_AMT1]]-Table2[[#This Row],[PAY_AMT1]]</f>
        <v>64069</v>
      </c>
      <c r="AD1728" s="1" t="str" cm="1">
        <f t="array" ref="AD1728">_xlfn.IFS(Table2[[#This Row],[PAYMENT GAP]]&lt;=0,"No Gap / Overpaid",Table2[[#This Row],[PAYMENT GAP]]&lt;=25000,"Low Gap",Table2[[#This Row],[PAYMENT GAP]]&lt;=100000,"Medium Gap",
TRUE,"High Gap"
)</f>
        <v>Medium Gap</v>
      </c>
    </row>
    <row r="1729" spans="1:30" x14ac:dyDescent="0.3">
      <c r="A1729">
        <v>1728</v>
      </c>
      <c r="B1729" s="1">
        <v>60000</v>
      </c>
      <c r="C1729" s="1" t="str" cm="1">
        <f t="array" ref="C1729">_xlfn.IFS(Table2[[#This Row],[LIMIT_BAL]]&lt;=100000,"Low",Table2[[#This Row],[LIMIT_BAL]]&lt;=300000,"Medium",
TRUE,"High"
)</f>
        <v>Low</v>
      </c>
      <c r="D1729" t="s">
        <v>2041</v>
      </c>
      <c r="E1729" t="s">
        <v>2043</v>
      </c>
      <c r="F1729" t="s">
        <v>2028</v>
      </c>
      <c r="G1729">
        <v>42</v>
      </c>
      <c r="H1729" t="str" cm="1">
        <f t="array" ref="H1729">_xlfn.IFS(
Table2[[#This Row],[AGE]]&lt;30,"Young",
Table2[[#This Row],[AGE]]&lt;40,"Middle Age",
Table2[[#This Row],[AGE]]&lt;50,"Senior",
TRUE,"Super Senior"
)</f>
        <v>Senior</v>
      </c>
      <c r="I1729">
        <v>2</v>
      </c>
      <c r="J1729">
        <v>2</v>
      </c>
      <c r="K1729">
        <v>0</v>
      </c>
      <c r="L1729">
        <v>0</v>
      </c>
      <c r="M1729">
        <v>0</v>
      </c>
      <c r="N1729">
        <v>0</v>
      </c>
      <c r="O1729" s="1">
        <v>57598</v>
      </c>
      <c r="P1729" s="1">
        <v>50821</v>
      </c>
      <c r="Q1729" s="1">
        <v>19638</v>
      </c>
      <c r="R1729" s="1">
        <v>18919</v>
      </c>
      <c r="S1729" s="1">
        <v>16853</v>
      </c>
      <c r="T1729" s="1">
        <v>29682</v>
      </c>
      <c r="U1729" s="1">
        <v>0</v>
      </c>
      <c r="V1729" s="1">
        <v>2000</v>
      </c>
      <c r="W1729" s="1">
        <v>2000</v>
      </c>
      <c r="X1729" s="1">
        <v>1000</v>
      </c>
      <c r="Y1729" s="1">
        <v>20000</v>
      </c>
      <c r="Z1729" s="1">
        <v>10000</v>
      </c>
      <c r="AA1729">
        <v>1</v>
      </c>
      <c r="AB1729" t="str">
        <f t="shared" si="26"/>
        <v>Defaulter</v>
      </c>
      <c r="AC1729" s="1">
        <f>Table2[[#This Row],[BILL_AMT1]]-Table2[[#This Row],[PAY_AMT1]]</f>
        <v>57598</v>
      </c>
      <c r="AD1729" s="1" t="str" cm="1">
        <f t="array" ref="AD1729">_xlfn.IFS(Table2[[#This Row],[PAYMENT GAP]]&lt;=0,"No Gap / Overpaid",Table2[[#This Row],[PAYMENT GAP]]&lt;=25000,"Low Gap",Table2[[#This Row],[PAYMENT GAP]]&lt;=100000,"Medium Gap",
TRUE,"High Gap"
)</f>
        <v>Medium Gap</v>
      </c>
    </row>
    <row r="1730" spans="1:30" x14ac:dyDescent="0.3">
      <c r="A1730">
        <v>1729</v>
      </c>
      <c r="B1730" s="1">
        <v>10000</v>
      </c>
      <c r="C1730" s="1" t="str" cm="1">
        <f t="array" ref="C1730">_xlfn.IFS(Table2[[#This Row],[LIMIT_BAL]]&lt;=100000,"Low",Table2[[#This Row],[LIMIT_BAL]]&lt;=300000,"Medium",
TRUE,"High"
)</f>
        <v>Low</v>
      </c>
      <c r="D1730" t="s">
        <v>2041</v>
      </c>
      <c r="E1730" t="s">
        <v>2027</v>
      </c>
      <c r="F1730" t="s">
        <v>2029</v>
      </c>
      <c r="G1730">
        <v>42</v>
      </c>
      <c r="H1730" t="str" cm="1">
        <f t="array" ref="H1730">_xlfn.IFS(
Table2[[#This Row],[AGE]]&lt;30,"Young",
Table2[[#This Row],[AGE]]&lt;40,"Middle Age",
Table2[[#This Row],[AGE]]&lt;50,"Senior",
TRUE,"Super Senior"
)</f>
        <v>Senior</v>
      </c>
      <c r="I1730">
        <v>0</v>
      </c>
      <c r="J1730">
        <v>0</v>
      </c>
      <c r="K1730">
        <v>-1</v>
      </c>
      <c r="L1730">
        <v>-1</v>
      </c>
      <c r="M1730">
        <v>-1</v>
      </c>
      <c r="N1730">
        <v>-1</v>
      </c>
      <c r="O1730" s="1">
        <v>4908</v>
      </c>
      <c r="P1730" s="1">
        <v>5665</v>
      </c>
      <c r="Q1730" s="1">
        <v>381</v>
      </c>
      <c r="R1730" s="1">
        <v>390</v>
      </c>
      <c r="S1730" s="1">
        <v>0</v>
      </c>
      <c r="T1730" s="1">
        <v>780</v>
      </c>
      <c r="U1730" s="1">
        <v>1275</v>
      </c>
      <c r="V1730" s="1">
        <v>381</v>
      </c>
      <c r="W1730" s="1">
        <v>399</v>
      </c>
      <c r="X1730" s="1">
        <v>0</v>
      </c>
      <c r="Y1730" s="1">
        <v>780</v>
      </c>
      <c r="Z1730" s="1">
        <v>0</v>
      </c>
      <c r="AA1730">
        <v>0</v>
      </c>
      <c r="AB1730" t="str">
        <f t="shared" si="26"/>
        <v>Not Defaulter</v>
      </c>
      <c r="AC1730" s="1">
        <f>Table2[[#This Row],[BILL_AMT1]]-Table2[[#This Row],[PAY_AMT1]]</f>
        <v>3633</v>
      </c>
      <c r="AD1730" s="1" t="str" cm="1">
        <f t="array" ref="AD1730">_xlfn.IFS(Table2[[#This Row],[PAYMENT GAP]]&lt;=0,"No Gap / Overpaid",Table2[[#This Row],[PAYMENT GAP]]&lt;=25000,"Low Gap",Table2[[#This Row],[PAYMENT GAP]]&lt;=100000,"Medium Gap",
TRUE,"High Gap"
)</f>
        <v>Low Gap</v>
      </c>
    </row>
    <row r="1731" spans="1:30" x14ac:dyDescent="0.3">
      <c r="A1731">
        <v>1730</v>
      </c>
      <c r="B1731" s="1">
        <v>70000</v>
      </c>
      <c r="C1731" s="1" t="str" cm="1">
        <f t="array" ref="C1731">_xlfn.IFS(Table2[[#This Row],[LIMIT_BAL]]&lt;=100000,"Low",Table2[[#This Row],[LIMIT_BAL]]&lt;=300000,"Medium",
TRUE,"High"
)</f>
        <v>Low</v>
      </c>
      <c r="D1731" t="s">
        <v>2042</v>
      </c>
      <c r="E1731" t="s">
        <v>2043</v>
      </c>
      <c r="F1731" t="s">
        <v>2028</v>
      </c>
      <c r="G1731">
        <v>41</v>
      </c>
      <c r="H1731" t="str" cm="1">
        <f t="array" ref="H1731">_xlfn.IFS(
Table2[[#This Row],[AGE]]&lt;30,"Young",
Table2[[#This Row],[AGE]]&lt;40,"Middle Age",
Table2[[#This Row],[AGE]]&lt;50,"Senior",
TRUE,"Super Senior"
)</f>
        <v>Senior</v>
      </c>
      <c r="I1731">
        <v>1</v>
      </c>
      <c r="J1731">
        <v>2</v>
      </c>
      <c r="K1731">
        <v>2</v>
      </c>
      <c r="L1731">
        <v>2</v>
      </c>
      <c r="M1731">
        <v>0</v>
      </c>
      <c r="N1731">
        <v>0</v>
      </c>
      <c r="O1731" s="1">
        <v>34779</v>
      </c>
      <c r="P1731" s="1">
        <v>35921</v>
      </c>
      <c r="Q1731" s="1">
        <v>36536</v>
      </c>
      <c r="R1731" s="1">
        <v>35651</v>
      </c>
      <c r="S1731" s="1">
        <v>36427</v>
      </c>
      <c r="T1731" s="1">
        <v>37169</v>
      </c>
      <c r="U1731" s="1">
        <v>2000</v>
      </c>
      <c r="V1731" s="1">
        <v>1500</v>
      </c>
      <c r="W1731" s="1">
        <v>0</v>
      </c>
      <c r="X1731" s="1">
        <v>1500</v>
      </c>
      <c r="Y1731" s="1">
        <v>1500</v>
      </c>
      <c r="Z1731" s="1">
        <v>3000</v>
      </c>
      <c r="AA1731">
        <v>0</v>
      </c>
      <c r="AB1731" t="str">
        <f t="shared" ref="AB1731:AB1794" si="27">IF(AA1731=1,"Defaulter","Not Defaulter")</f>
        <v>Not Defaulter</v>
      </c>
      <c r="AC1731" s="1">
        <f>Table2[[#This Row],[BILL_AMT1]]-Table2[[#This Row],[PAY_AMT1]]</f>
        <v>32779</v>
      </c>
      <c r="AD1731" s="1" t="str" cm="1">
        <f t="array" ref="AD1731">_xlfn.IFS(Table2[[#This Row],[PAYMENT GAP]]&lt;=0,"No Gap / Overpaid",Table2[[#This Row],[PAYMENT GAP]]&lt;=25000,"Low Gap",Table2[[#This Row],[PAYMENT GAP]]&lt;=100000,"Medium Gap",
TRUE,"High Gap"
)</f>
        <v>Medium Gap</v>
      </c>
    </row>
    <row r="1732" spans="1:30" x14ac:dyDescent="0.3">
      <c r="A1732">
        <v>1731</v>
      </c>
      <c r="B1732" s="1">
        <v>150000</v>
      </c>
      <c r="C1732" s="1" t="str" cm="1">
        <f t="array" ref="C1732">_xlfn.IFS(Table2[[#This Row],[LIMIT_BAL]]&lt;=100000,"Low",Table2[[#This Row],[LIMIT_BAL]]&lt;=300000,"Medium",
TRUE,"High"
)</f>
        <v>Medium</v>
      </c>
      <c r="D1732" t="s">
        <v>2041</v>
      </c>
      <c r="E1732" t="s">
        <v>2026</v>
      </c>
      <c r="F1732" t="s">
        <v>2028</v>
      </c>
      <c r="G1732">
        <v>31</v>
      </c>
      <c r="H1732" t="str" cm="1">
        <f t="array" ref="H1732">_xlfn.IFS(
Table2[[#This Row],[AGE]]&lt;30,"Young",
Table2[[#This Row],[AGE]]&lt;40,"Middle Age",
Table2[[#This Row],[AGE]]&lt;50,"Senior",
TRUE,"Super Senior"
)</f>
        <v>Middle Age</v>
      </c>
      <c r="I1732">
        <v>-2</v>
      </c>
      <c r="J1732">
        <v>-2</v>
      </c>
      <c r="K1732">
        <v>-2</v>
      </c>
      <c r="L1732">
        <v>-2</v>
      </c>
      <c r="M1732">
        <v>-2</v>
      </c>
      <c r="N1732">
        <v>-2</v>
      </c>
      <c r="O1732" s="1">
        <v>2977</v>
      </c>
      <c r="P1732" s="1">
        <v>1408</v>
      </c>
      <c r="Q1732" s="1">
        <v>0</v>
      </c>
      <c r="R1732" s="1">
        <v>0</v>
      </c>
      <c r="S1732" s="1">
        <v>0</v>
      </c>
      <c r="T1732" s="1">
        <v>0</v>
      </c>
      <c r="U1732" s="1">
        <v>1408</v>
      </c>
      <c r="V1732" s="1">
        <v>0</v>
      </c>
      <c r="W1732" s="1">
        <v>0</v>
      </c>
      <c r="X1732" s="1">
        <v>0</v>
      </c>
      <c r="Y1732" s="1">
        <v>0</v>
      </c>
      <c r="Z1732" s="1">
        <v>4400</v>
      </c>
      <c r="AA1732">
        <v>1</v>
      </c>
      <c r="AB1732" t="str">
        <f t="shared" si="27"/>
        <v>Defaulter</v>
      </c>
      <c r="AC1732" s="1">
        <f>Table2[[#This Row],[BILL_AMT1]]-Table2[[#This Row],[PAY_AMT1]]</f>
        <v>1569</v>
      </c>
      <c r="AD1732" s="1" t="str" cm="1">
        <f t="array" ref="AD1732">_xlfn.IFS(Table2[[#This Row],[PAYMENT GAP]]&lt;=0,"No Gap / Overpaid",Table2[[#This Row],[PAYMENT GAP]]&lt;=25000,"Low Gap",Table2[[#This Row],[PAYMENT GAP]]&lt;=100000,"Medium Gap",
TRUE,"High Gap"
)</f>
        <v>Low Gap</v>
      </c>
    </row>
    <row r="1733" spans="1:30" x14ac:dyDescent="0.3">
      <c r="A1733">
        <v>1732</v>
      </c>
      <c r="B1733" s="1">
        <v>250000</v>
      </c>
      <c r="C1733" s="1" t="str" cm="1">
        <f t="array" ref="C1733">_xlfn.IFS(Table2[[#This Row],[LIMIT_BAL]]&lt;=100000,"Low",Table2[[#This Row],[LIMIT_BAL]]&lt;=300000,"Medium",
TRUE,"High"
)</f>
        <v>Medium</v>
      </c>
      <c r="D1733" t="s">
        <v>2041</v>
      </c>
      <c r="E1733" t="s">
        <v>2043</v>
      </c>
      <c r="F1733" t="s">
        <v>2029</v>
      </c>
      <c r="G1733">
        <v>33</v>
      </c>
      <c r="H1733" t="str" cm="1">
        <f t="array" ref="H1733">_xlfn.IFS(
Table2[[#This Row],[AGE]]&lt;30,"Young",
Table2[[#This Row],[AGE]]&lt;40,"Middle Age",
Table2[[#This Row],[AGE]]&lt;50,"Senior",
TRUE,"Super Senior"
)</f>
        <v>Middle Age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 s="1">
        <v>255223</v>
      </c>
      <c r="P1733" s="1">
        <v>47070</v>
      </c>
      <c r="Q1733" s="1">
        <v>48130</v>
      </c>
      <c r="R1733" s="1">
        <v>49625</v>
      </c>
      <c r="S1733" s="1">
        <v>51500</v>
      </c>
      <c r="T1733" s="1">
        <v>0</v>
      </c>
      <c r="U1733" s="1">
        <v>1600</v>
      </c>
      <c r="V1733" s="1">
        <v>1650</v>
      </c>
      <c r="W1733" s="1">
        <v>2100</v>
      </c>
      <c r="X1733" s="1">
        <v>3000</v>
      </c>
      <c r="Y1733" s="1">
        <v>0</v>
      </c>
      <c r="Z1733" s="1">
        <v>94825</v>
      </c>
      <c r="AA1733">
        <v>1</v>
      </c>
      <c r="AB1733" t="str">
        <f t="shared" si="27"/>
        <v>Defaulter</v>
      </c>
      <c r="AC1733" s="1">
        <f>Table2[[#This Row],[BILL_AMT1]]-Table2[[#This Row],[PAY_AMT1]]</f>
        <v>253623</v>
      </c>
      <c r="AD1733" s="1" t="str" cm="1">
        <f t="array" ref="AD1733">_xlfn.IFS(Table2[[#This Row],[PAYMENT GAP]]&lt;=0,"No Gap / Overpaid",Table2[[#This Row],[PAYMENT GAP]]&lt;=25000,"Low Gap",Table2[[#This Row],[PAYMENT GAP]]&lt;=100000,"Medium Gap",
TRUE,"High Gap"
)</f>
        <v>High Gap</v>
      </c>
    </row>
    <row r="1734" spans="1:30" x14ac:dyDescent="0.3">
      <c r="A1734">
        <v>1733</v>
      </c>
      <c r="B1734" s="1">
        <v>130000</v>
      </c>
      <c r="C1734" s="1" t="str" cm="1">
        <f t="array" ref="C1734">_xlfn.IFS(Table2[[#This Row],[LIMIT_BAL]]&lt;=100000,"Low",Table2[[#This Row],[LIMIT_BAL]]&lt;=300000,"Medium",
TRUE,"High"
)</f>
        <v>Medium</v>
      </c>
      <c r="D1734" t="s">
        <v>2041</v>
      </c>
      <c r="E1734" t="s">
        <v>2027</v>
      </c>
      <c r="F1734" t="s">
        <v>2028</v>
      </c>
      <c r="G1734">
        <v>33</v>
      </c>
      <c r="H1734" t="str" cm="1">
        <f t="array" ref="H1734">_xlfn.IFS(
Table2[[#This Row],[AGE]]&lt;30,"Young",
Table2[[#This Row],[AGE]]&lt;40,"Middle Age",
Table2[[#This Row],[AGE]]&lt;50,"Senior",
TRUE,"Super Senior"
)</f>
        <v>Middle Age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 s="1">
        <v>122199</v>
      </c>
      <c r="P1734" s="1">
        <v>125283</v>
      </c>
      <c r="Q1734" s="1">
        <v>120957</v>
      </c>
      <c r="R1734" s="1">
        <v>41771</v>
      </c>
      <c r="S1734" s="1">
        <v>42648</v>
      </c>
      <c r="T1734" s="1">
        <v>43495</v>
      </c>
      <c r="U1734" s="1">
        <v>5100</v>
      </c>
      <c r="V1734" s="1">
        <v>3085</v>
      </c>
      <c r="W1734" s="1">
        <v>1493</v>
      </c>
      <c r="X1734" s="1">
        <v>1548</v>
      </c>
      <c r="Y1734" s="1">
        <v>1556</v>
      </c>
      <c r="Z1734" s="1">
        <v>1700</v>
      </c>
      <c r="AA1734">
        <v>0</v>
      </c>
      <c r="AB1734" t="str">
        <f t="shared" si="27"/>
        <v>Not Defaulter</v>
      </c>
      <c r="AC1734" s="1">
        <f>Table2[[#This Row],[BILL_AMT1]]-Table2[[#This Row],[PAY_AMT1]]</f>
        <v>117099</v>
      </c>
      <c r="AD1734" s="1" t="str" cm="1">
        <f t="array" ref="AD1734">_xlfn.IFS(Table2[[#This Row],[PAYMENT GAP]]&lt;=0,"No Gap / Overpaid",Table2[[#This Row],[PAYMENT GAP]]&lt;=25000,"Low Gap",Table2[[#This Row],[PAYMENT GAP]]&lt;=100000,"Medium Gap",
TRUE,"High Gap"
)</f>
        <v>High Gap</v>
      </c>
    </row>
    <row r="1735" spans="1:30" x14ac:dyDescent="0.3">
      <c r="A1735">
        <v>1734</v>
      </c>
      <c r="B1735" s="1">
        <v>130000</v>
      </c>
      <c r="C1735" s="1" t="str" cm="1">
        <f t="array" ref="C1735">_xlfn.IFS(Table2[[#This Row],[LIMIT_BAL]]&lt;=100000,"Low",Table2[[#This Row],[LIMIT_BAL]]&lt;=300000,"Medium",
TRUE,"High"
)</f>
        <v>Medium</v>
      </c>
      <c r="D1735" t="s">
        <v>2042</v>
      </c>
      <c r="E1735" t="s">
        <v>2026</v>
      </c>
      <c r="F1735" t="s">
        <v>2029</v>
      </c>
      <c r="G1735">
        <v>27</v>
      </c>
      <c r="H1735" t="str" cm="1">
        <f t="array" ref="H1735">_xlfn.IFS(
Table2[[#This Row],[AGE]]&lt;30,"Young",
Table2[[#This Row],[AGE]]&lt;40,"Middle Age",
Table2[[#This Row],[AGE]]&lt;50,"Senior",
TRUE,"Super Senior"
)</f>
        <v>Young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 s="1">
        <v>84664</v>
      </c>
      <c r="P1735" s="1">
        <v>72079</v>
      </c>
      <c r="Q1735" s="1">
        <v>24934</v>
      </c>
      <c r="R1735" s="1">
        <v>17810</v>
      </c>
      <c r="S1735" s="1">
        <v>11705</v>
      </c>
      <c r="T1735" s="1">
        <v>10007</v>
      </c>
      <c r="U1735" s="1">
        <v>2039</v>
      </c>
      <c r="V1735" s="1">
        <v>2007</v>
      </c>
      <c r="W1735" s="1">
        <v>1000</v>
      </c>
      <c r="X1735" s="1">
        <v>1000</v>
      </c>
      <c r="Y1735" s="1">
        <v>600</v>
      </c>
      <c r="Z1735" s="1">
        <v>2000</v>
      </c>
      <c r="AA1735">
        <v>0</v>
      </c>
      <c r="AB1735" t="str">
        <f t="shared" si="27"/>
        <v>Not Defaulter</v>
      </c>
      <c r="AC1735" s="1">
        <f>Table2[[#This Row],[BILL_AMT1]]-Table2[[#This Row],[PAY_AMT1]]</f>
        <v>82625</v>
      </c>
      <c r="AD1735" s="1" t="str" cm="1">
        <f t="array" ref="AD1735">_xlfn.IFS(Table2[[#This Row],[PAYMENT GAP]]&lt;=0,"No Gap / Overpaid",Table2[[#This Row],[PAYMENT GAP]]&lt;=25000,"Low Gap",Table2[[#This Row],[PAYMENT GAP]]&lt;=100000,"Medium Gap",
TRUE,"High Gap"
)</f>
        <v>Medium Gap</v>
      </c>
    </row>
    <row r="1736" spans="1:30" x14ac:dyDescent="0.3">
      <c r="A1736">
        <v>1735</v>
      </c>
      <c r="B1736" s="1">
        <v>100000</v>
      </c>
      <c r="C1736" s="1" t="str" cm="1">
        <f t="array" ref="C1736">_xlfn.IFS(Table2[[#This Row],[LIMIT_BAL]]&lt;=100000,"Low",Table2[[#This Row],[LIMIT_BAL]]&lt;=300000,"Medium",
TRUE,"High"
)</f>
        <v>Low</v>
      </c>
      <c r="D1736" t="s">
        <v>2041</v>
      </c>
      <c r="E1736" t="s">
        <v>2043</v>
      </c>
      <c r="F1736" t="s">
        <v>2028</v>
      </c>
      <c r="G1736">
        <v>36</v>
      </c>
      <c r="H1736" t="str" cm="1">
        <f t="array" ref="H1736">_xlfn.IFS(
Table2[[#This Row],[AGE]]&lt;30,"Young",
Table2[[#This Row],[AGE]]&lt;40,"Middle Age",
Table2[[#This Row],[AGE]]&lt;50,"Senior",
TRUE,"Super Senior"
)</f>
        <v>Middle Age</v>
      </c>
      <c r="I1736">
        <v>-2</v>
      </c>
      <c r="J1736">
        <v>-2</v>
      </c>
      <c r="K1736">
        <v>-2</v>
      </c>
      <c r="L1736">
        <v>-2</v>
      </c>
      <c r="M1736">
        <v>-2</v>
      </c>
      <c r="N1736">
        <v>-2</v>
      </c>
      <c r="O1736" s="1">
        <v>2205</v>
      </c>
      <c r="P1736" s="1">
        <v>0</v>
      </c>
      <c r="Q1736" s="1">
        <v>1983</v>
      </c>
      <c r="R1736" s="1">
        <v>3543</v>
      </c>
      <c r="S1736" s="1">
        <v>0</v>
      </c>
      <c r="T1736" s="1">
        <v>0</v>
      </c>
      <c r="U1736" s="1">
        <v>0</v>
      </c>
      <c r="V1736" s="1">
        <v>1983</v>
      </c>
      <c r="W1736" s="1">
        <v>3543</v>
      </c>
      <c r="X1736" s="1">
        <v>0</v>
      </c>
      <c r="Y1736" s="1">
        <v>0</v>
      </c>
      <c r="Z1736" s="1">
        <v>2645</v>
      </c>
      <c r="AA1736">
        <v>0</v>
      </c>
      <c r="AB1736" t="str">
        <f t="shared" si="27"/>
        <v>Not Defaulter</v>
      </c>
      <c r="AC1736" s="1">
        <f>Table2[[#This Row],[BILL_AMT1]]-Table2[[#This Row],[PAY_AMT1]]</f>
        <v>2205</v>
      </c>
      <c r="AD1736" s="1" t="str" cm="1">
        <f t="array" ref="AD1736">_xlfn.IFS(Table2[[#This Row],[PAYMENT GAP]]&lt;=0,"No Gap / Overpaid",Table2[[#This Row],[PAYMENT GAP]]&lt;=25000,"Low Gap",Table2[[#This Row],[PAYMENT GAP]]&lt;=100000,"Medium Gap",
TRUE,"High Gap"
)</f>
        <v>Low Gap</v>
      </c>
    </row>
    <row r="1737" spans="1:30" x14ac:dyDescent="0.3">
      <c r="A1737">
        <v>1736</v>
      </c>
      <c r="B1737" s="1">
        <v>130000</v>
      </c>
      <c r="C1737" s="1" t="str" cm="1">
        <f t="array" ref="C1737">_xlfn.IFS(Table2[[#This Row],[LIMIT_BAL]]&lt;=100000,"Low",Table2[[#This Row],[LIMIT_BAL]]&lt;=300000,"Medium",
TRUE,"High"
)</f>
        <v>Medium</v>
      </c>
      <c r="D1737" t="s">
        <v>2042</v>
      </c>
      <c r="E1737" t="s">
        <v>2043</v>
      </c>
      <c r="F1737" t="s">
        <v>2029</v>
      </c>
      <c r="G1737">
        <v>37</v>
      </c>
      <c r="H1737" t="str" cm="1">
        <f t="array" ref="H1737">_xlfn.IFS(
Table2[[#This Row],[AGE]]&lt;30,"Young",
Table2[[#This Row],[AGE]]&lt;40,"Middle Age",
Table2[[#This Row],[AGE]]&lt;50,"Senior",
TRUE,"Super Senior"
)</f>
        <v>Middle Age</v>
      </c>
      <c r="I1737">
        <v>0</v>
      </c>
      <c r="J1737">
        <v>0</v>
      </c>
      <c r="K1737">
        <v>0</v>
      </c>
      <c r="L1737">
        <v>-2</v>
      </c>
      <c r="M1737">
        <v>-2</v>
      </c>
      <c r="N1737">
        <v>-2</v>
      </c>
      <c r="O1737" s="1">
        <v>131446</v>
      </c>
      <c r="P1737" s="1">
        <v>102650</v>
      </c>
      <c r="Q1737" s="1">
        <v>0</v>
      </c>
      <c r="R1737" s="1">
        <v>0</v>
      </c>
      <c r="S1737" s="1">
        <v>0</v>
      </c>
      <c r="T1737" s="1">
        <v>0</v>
      </c>
      <c r="U1737" s="1">
        <v>5000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>
        <v>0</v>
      </c>
      <c r="AB1737" t="str">
        <f t="shared" si="27"/>
        <v>Not Defaulter</v>
      </c>
      <c r="AC1737" s="1">
        <f>Table2[[#This Row],[BILL_AMT1]]-Table2[[#This Row],[PAY_AMT1]]</f>
        <v>126446</v>
      </c>
      <c r="AD1737" s="1" t="str" cm="1">
        <f t="array" ref="AD1737">_xlfn.IFS(Table2[[#This Row],[PAYMENT GAP]]&lt;=0,"No Gap / Overpaid",Table2[[#This Row],[PAYMENT GAP]]&lt;=25000,"Low Gap",Table2[[#This Row],[PAYMENT GAP]]&lt;=100000,"Medium Gap",
TRUE,"High Gap"
)</f>
        <v>High Gap</v>
      </c>
    </row>
    <row r="1738" spans="1:30" x14ac:dyDescent="0.3">
      <c r="A1738">
        <v>1737</v>
      </c>
      <c r="B1738" s="1">
        <v>80000</v>
      </c>
      <c r="C1738" s="1" t="str" cm="1">
        <f t="array" ref="C1738">_xlfn.IFS(Table2[[#This Row],[LIMIT_BAL]]&lt;=100000,"Low",Table2[[#This Row],[LIMIT_BAL]]&lt;=300000,"Medium",
TRUE,"High"
)</f>
        <v>Low</v>
      </c>
      <c r="D1738" t="s">
        <v>2041</v>
      </c>
      <c r="E1738" t="s">
        <v>2043</v>
      </c>
      <c r="F1738" t="s">
        <v>2029</v>
      </c>
      <c r="G1738">
        <v>29</v>
      </c>
      <c r="H1738" t="str" cm="1">
        <f t="array" ref="H1738">_xlfn.IFS(
Table2[[#This Row],[AGE]]&lt;30,"Young",
Table2[[#This Row],[AGE]]&lt;40,"Middle Age",
Table2[[#This Row],[AGE]]&lt;50,"Senior",
TRUE,"Super Senior"
)</f>
        <v>Young</v>
      </c>
      <c r="I1738">
        <v>2</v>
      </c>
      <c r="J1738">
        <v>0</v>
      </c>
      <c r="K1738">
        <v>0</v>
      </c>
      <c r="L1738">
        <v>0</v>
      </c>
      <c r="M1738">
        <v>0</v>
      </c>
      <c r="N1738">
        <v>0</v>
      </c>
      <c r="O1738" s="1">
        <v>77416</v>
      </c>
      <c r="P1738" s="1">
        <v>75500</v>
      </c>
      <c r="Q1738" s="1">
        <v>69313</v>
      </c>
      <c r="R1738" s="1">
        <v>67972</v>
      </c>
      <c r="S1738" s="1">
        <v>66800</v>
      </c>
      <c r="T1738" s="1">
        <v>68693</v>
      </c>
      <c r="U1738" s="1">
        <v>2661</v>
      </c>
      <c r="V1738" s="1">
        <v>2509</v>
      </c>
      <c r="W1738" s="1">
        <v>2500</v>
      </c>
      <c r="X1738" s="1">
        <v>3000</v>
      </c>
      <c r="Y1738" s="1">
        <v>3000</v>
      </c>
      <c r="Z1738" s="1">
        <v>3000</v>
      </c>
      <c r="AA1738">
        <v>1</v>
      </c>
      <c r="AB1738" t="str">
        <f t="shared" si="27"/>
        <v>Defaulter</v>
      </c>
      <c r="AC1738" s="1">
        <f>Table2[[#This Row],[BILL_AMT1]]-Table2[[#This Row],[PAY_AMT1]]</f>
        <v>74755</v>
      </c>
      <c r="AD1738" s="1" t="str" cm="1">
        <f t="array" ref="AD1738">_xlfn.IFS(Table2[[#This Row],[PAYMENT GAP]]&lt;=0,"No Gap / Overpaid",Table2[[#This Row],[PAYMENT GAP]]&lt;=25000,"Low Gap",Table2[[#This Row],[PAYMENT GAP]]&lt;=100000,"Medium Gap",
TRUE,"High Gap"
)</f>
        <v>Medium Gap</v>
      </c>
    </row>
    <row r="1739" spans="1:30" x14ac:dyDescent="0.3">
      <c r="A1739">
        <v>1738</v>
      </c>
      <c r="B1739" s="1">
        <v>380000</v>
      </c>
      <c r="C1739" s="1" t="str" cm="1">
        <f t="array" ref="C1739">_xlfn.IFS(Table2[[#This Row],[LIMIT_BAL]]&lt;=100000,"Low",Table2[[#This Row],[LIMIT_BAL]]&lt;=300000,"Medium",
TRUE,"High"
)</f>
        <v>High</v>
      </c>
      <c r="D1739" t="s">
        <v>2042</v>
      </c>
      <c r="E1739" t="s">
        <v>2026</v>
      </c>
      <c r="F1739" t="s">
        <v>2029</v>
      </c>
      <c r="G1739">
        <v>41</v>
      </c>
      <c r="H1739" t="str" cm="1">
        <f t="array" ref="H1739">_xlfn.IFS(
Table2[[#This Row],[AGE]]&lt;30,"Young",
Table2[[#This Row],[AGE]]&lt;40,"Middle Age",
Table2[[#This Row],[AGE]]&lt;50,"Senior",
TRUE,"Super Senior"
)</f>
        <v>Senior</v>
      </c>
      <c r="I1739">
        <v>0</v>
      </c>
      <c r="J1739">
        <v>0</v>
      </c>
      <c r="K1739">
        <v>2</v>
      </c>
      <c r="L1739">
        <v>0</v>
      </c>
      <c r="M1739">
        <v>0</v>
      </c>
      <c r="N1739">
        <v>0</v>
      </c>
      <c r="O1739" s="1">
        <v>350341</v>
      </c>
      <c r="P1739" s="1">
        <v>357703</v>
      </c>
      <c r="Q1739" s="1">
        <v>344460</v>
      </c>
      <c r="R1739" s="1">
        <v>347754</v>
      </c>
      <c r="S1739" s="1">
        <v>334891</v>
      </c>
      <c r="T1739" s="1">
        <v>340728</v>
      </c>
      <c r="U1739" s="1">
        <v>28400</v>
      </c>
      <c r="V1739" s="1">
        <v>0</v>
      </c>
      <c r="W1739" s="1">
        <v>12800</v>
      </c>
      <c r="X1739" s="1">
        <v>12500</v>
      </c>
      <c r="Y1739" s="1">
        <v>12500</v>
      </c>
      <c r="Z1739" s="1">
        <v>12000</v>
      </c>
      <c r="AA1739">
        <v>0</v>
      </c>
      <c r="AB1739" t="str">
        <f t="shared" si="27"/>
        <v>Not Defaulter</v>
      </c>
      <c r="AC1739" s="1">
        <f>Table2[[#This Row],[BILL_AMT1]]-Table2[[#This Row],[PAY_AMT1]]</f>
        <v>321941</v>
      </c>
      <c r="AD1739" s="1" t="str" cm="1">
        <f t="array" ref="AD1739">_xlfn.IFS(Table2[[#This Row],[PAYMENT GAP]]&lt;=0,"No Gap / Overpaid",Table2[[#This Row],[PAYMENT GAP]]&lt;=25000,"Low Gap",Table2[[#This Row],[PAYMENT GAP]]&lt;=100000,"Medium Gap",
TRUE,"High Gap"
)</f>
        <v>High Gap</v>
      </c>
    </row>
    <row r="1740" spans="1:30" x14ac:dyDescent="0.3">
      <c r="A1740">
        <v>1739</v>
      </c>
      <c r="B1740" s="1">
        <v>20000</v>
      </c>
      <c r="C1740" s="1" t="str" cm="1">
        <f t="array" ref="C1740">_xlfn.IFS(Table2[[#This Row],[LIMIT_BAL]]&lt;=100000,"Low",Table2[[#This Row],[LIMIT_BAL]]&lt;=300000,"Medium",
TRUE,"High"
)</f>
        <v>Low</v>
      </c>
      <c r="D1740" t="s">
        <v>2041</v>
      </c>
      <c r="E1740" t="s">
        <v>2043</v>
      </c>
      <c r="F1740" t="s">
        <v>2029</v>
      </c>
      <c r="G1740">
        <v>23</v>
      </c>
      <c r="H1740" t="str" cm="1">
        <f t="array" ref="H1740">_xlfn.IFS(
Table2[[#This Row],[AGE]]&lt;30,"Young",
Table2[[#This Row],[AGE]]&lt;40,"Middle Age",
Table2[[#This Row],[AGE]]&lt;50,"Senior",
TRUE,"Super Senior"
)</f>
        <v>Young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 s="1">
        <v>17257</v>
      </c>
      <c r="P1740" s="1">
        <v>17417</v>
      </c>
      <c r="Q1740" s="1">
        <v>14462</v>
      </c>
      <c r="R1740" s="1">
        <v>14750</v>
      </c>
      <c r="S1740" s="1">
        <v>15215</v>
      </c>
      <c r="T1740" s="1">
        <v>16209</v>
      </c>
      <c r="U1740" s="1">
        <v>1230</v>
      </c>
      <c r="V1740" s="1">
        <v>1239</v>
      </c>
      <c r="W1740" s="1">
        <v>527</v>
      </c>
      <c r="X1740" s="1">
        <v>702</v>
      </c>
      <c r="Y1740" s="1">
        <v>1400</v>
      </c>
      <c r="Z1740" s="1">
        <v>0</v>
      </c>
      <c r="AA1740">
        <v>1</v>
      </c>
      <c r="AB1740" t="str">
        <f t="shared" si="27"/>
        <v>Defaulter</v>
      </c>
      <c r="AC1740" s="1">
        <f>Table2[[#This Row],[BILL_AMT1]]-Table2[[#This Row],[PAY_AMT1]]</f>
        <v>16027</v>
      </c>
      <c r="AD1740" s="1" t="str" cm="1">
        <f t="array" ref="AD1740">_xlfn.IFS(Table2[[#This Row],[PAYMENT GAP]]&lt;=0,"No Gap / Overpaid",Table2[[#This Row],[PAYMENT GAP]]&lt;=25000,"Low Gap",Table2[[#This Row],[PAYMENT GAP]]&lt;=100000,"Medium Gap",
TRUE,"High Gap"
)</f>
        <v>Low Gap</v>
      </c>
    </row>
    <row r="1741" spans="1:30" x14ac:dyDescent="0.3">
      <c r="A1741">
        <v>1740</v>
      </c>
      <c r="B1741" s="1">
        <v>20000</v>
      </c>
      <c r="C1741" s="1" t="str" cm="1">
        <f t="array" ref="C1741">_xlfn.IFS(Table2[[#This Row],[LIMIT_BAL]]&lt;=100000,"Low",Table2[[#This Row],[LIMIT_BAL]]&lt;=300000,"Medium",
TRUE,"High"
)</f>
        <v>Low</v>
      </c>
      <c r="D1741" t="s">
        <v>2042</v>
      </c>
      <c r="E1741" t="s">
        <v>2043</v>
      </c>
      <c r="F1741" t="s">
        <v>2029</v>
      </c>
      <c r="G1741">
        <v>25</v>
      </c>
      <c r="H1741" t="str" cm="1">
        <f t="array" ref="H1741">_xlfn.IFS(
Table2[[#This Row],[AGE]]&lt;30,"Young",
Table2[[#This Row],[AGE]]&lt;40,"Middle Age",
Table2[[#This Row],[AGE]]&lt;50,"Senior",
TRUE,"Super Senior"
)</f>
        <v>Young</v>
      </c>
      <c r="I1741">
        <v>0</v>
      </c>
      <c r="J1741">
        <v>0</v>
      </c>
      <c r="K1741">
        <v>3</v>
      </c>
      <c r="L1741">
        <v>2</v>
      </c>
      <c r="M1741">
        <v>2</v>
      </c>
      <c r="N1741">
        <v>-1</v>
      </c>
      <c r="O1741" s="1">
        <v>15789</v>
      </c>
      <c r="P1741" s="1">
        <v>21698</v>
      </c>
      <c r="Q1741" s="1">
        <v>21054</v>
      </c>
      <c r="R1741" s="1">
        <v>20355</v>
      </c>
      <c r="S1741" s="1">
        <v>19980</v>
      </c>
      <c r="T1741" s="1">
        <v>3470</v>
      </c>
      <c r="U1741" s="1">
        <v>6500</v>
      </c>
      <c r="V1741" s="1">
        <v>0</v>
      </c>
      <c r="W1741" s="1">
        <v>0</v>
      </c>
      <c r="X1741" s="1">
        <v>10000</v>
      </c>
      <c r="Y1741" s="1">
        <v>25065</v>
      </c>
      <c r="Z1741" s="1">
        <v>177</v>
      </c>
      <c r="AA1741">
        <v>0</v>
      </c>
      <c r="AB1741" t="str">
        <f t="shared" si="27"/>
        <v>Not Defaulter</v>
      </c>
      <c r="AC1741" s="1">
        <f>Table2[[#This Row],[BILL_AMT1]]-Table2[[#This Row],[PAY_AMT1]]</f>
        <v>9289</v>
      </c>
      <c r="AD1741" s="1" t="str" cm="1">
        <f t="array" ref="AD1741">_xlfn.IFS(Table2[[#This Row],[PAYMENT GAP]]&lt;=0,"No Gap / Overpaid",Table2[[#This Row],[PAYMENT GAP]]&lt;=25000,"Low Gap",Table2[[#This Row],[PAYMENT GAP]]&lt;=100000,"Medium Gap",
TRUE,"High Gap"
)</f>
        <v>Low Gap</v>
      </c>
    </row>
    <row r="1742" spans="1:30" x14ac:dyDescent="0.3">
      <c r="A1742">
        <v>1741</v>
      </c>
      <c r="B1742" s="1">
        <v>140000</v>
      </c>
      <c r="C1742" s="1" t="str" cm="1">
        <f t="array" ref="C1742">_xlfn.IFS(Table2[[#This Row],[LIMIT_BAL]]&lt;=100000,"Low",Table2[[#This Row],[LIMIT_BAL]]&lt;=300000,"Medium",
TRUE,"High"
)</f>
        <v>Medium</v>
      </c>
      <c r="D1742" t="s">
        <v>2042</v>
      </c>
      <c r="E1742" t="s">
        <v>2026</v>
      </c>
      <c r="F1742" t="s">
        <v>2028</v>
      </c>
      <c r="G1742">
        <v>54</v>
      </c>
      <c r="H1742" t="str" cm="1">
        <f t="array" ref="H1742">_xlfn.IFS(
Table2[[#This Row],[AGE]]&lt;30,"Young",
Table2[[#This Row],[AGE]]&lt;40,"Middle Age",
Table2[[#This Row],[AGE]]&lt;50,"Senior",
TRUE,"Super Senior"
)</f>
        <v>Super Senior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 s="1">
        <v>139406</v>
      </c>
      <c r="P1742" s="1">
        <v>140295</v>
      </c>
      <c r="Q1742" s="1">
        <v>134000</v>
      </c>
      <c r="R1742" s="1">
        <v>74388</v>
      </c>
      <c r="S1742" s="1">
        <v>92555</v>
      </c>
      <c r="T1742" s="1">
        <v>86993</v>
      </c>
      <c r="U1742" s="1">
        <v>5545</v>
      </c>
      <c r="V1742" s="1">
        <v>4200</v>
      </c>
      <c r="W1742" s="1">
        <v>3105</v>
      </c>
      <c r="X1742" s="1">
        <v>86417</v>
      </c>
      <c r="Y1742" s="1">
        <v>3936</v>
      </c>
      <c r="Z1742" s="1">
        <v>48390</v>
      </c>
      <c r="AA1742">
        <v>1</v>
      </c>
      <c r="AB1742" t="str">
        <f t="shared" si="27"/>
        <v>Defaulter</v>
      </c>
      <c r="AC1742" s="1">
        <f>Table2[[#This Row],[BILL_AMT1]]-Table2[[#This Row],[PAY_AMT1]]</f>
        <v>133861</v>
      </c>
      <c r="AD1742" s="1" t="str" cm="1">
        <f t="array" ref="AD1742">_xlfn.IFS(Table2[[#This Row],[PAYMENT GAP]]&lt;=0,"No Gap / Overpaid",Table2[[#This Row],[PAYMENT GAP]]&lt;=25000,"Low Gap",Table2[[#This Row],[PAYMENT GAP]]&lt;=100000,"Medium Gap",
TRUE,"High Gap"
)</f>
        <v>High Gap</v>
      </c>
    </row>
    <row r="1743" spans="1:30" x14ac:dyDescent="0.3">
      <c r="A1743">
        <v>1742</v>
      </c>
      <c r="B1743" s="1">
        <v>180000</v>
      </c>
      <c r="C1743" s="1" t="str" cm="1">
        <f t="array" ref="C1743">_xlfn.IFS(Table2[[#This Row],[LIMIT_BAL]]&lt;=100000,"Low",Table2[[#This Row],[LIMIT_BAL]]&lt;=300000,"Medium",
TRUE,"High"
)</f>
        <v>Medium</v>
      </c>
      <c r="D1743" t="s">
        <v>2042</v>
      </c>
      <c r="E1743" t="s">
        <v>2026</v>
      </c>
      <c r="F1743" t="s">
        <v>2029</v>
      </c>
      <c r="G1743">
        <v>33</v>
      </c>
      <c r="H1743" t="str" cm="1">
        <f t="array" ref="H1743">_xlfn.IFS(
Table2[[#This Row],[AGE]]&lt;30,"Young",
Table2[[#This Row],[AGE]]&lt;40,"Middle Age",
Table2[[#This Row],[AGE]]&lt;50,"Senior",
TRUE,"Super Senior"
)</f>
        <v>Middle Age</v>
      </c>
      <c r="I1743">
        <v>-1</v>
      </c>
      <c r="J1743">
        <v>-1</v>
      </c>
      <c r="K1743">
        <v>-1</v>
      </c>
      <c r="L1743">
        <v>-1</v>
      </c>
      <c r="M1743">
        <v>-1</v>
      </c>
      <c r="N1743">
        <v>-1</v>
      </c>
      <c r="O1743" s="1">
        <v>2217</v>
      </c>
      <c r="P1743" s="1">
        <v>0</v>
      </c>
      <c r="Q1743" s="1">
        <v>8264</v>
      </c>
      <c r="R1743" s="1">
        <v>0</v>
      </c>
      <c r="S1743" s="1">
        <v>3278</v>
      </c>
      <c r="T1743" s="1">
        <v>0</v>
      </c>
      <c r="U1743" s="1">
        <v>0</v>
      </c>
      <c r="V1743" s="1">
        <v>8264</v>
      </c>
      <c r="W1743" s="1">
        <v>0</v>
      </c>
      <c r="X1743" s="1">
        <v>3278</v>
      </c>
      <c r="Y1743" s="1">
        <v>0</v>
      </c>
      <c r="Z1743" s="1">
        <v>4646</v>
      </c>
      <c r="AA1743">
        <v>0</v>
      </c>
      <c r="AB1743" t="str">
        <f t="shared" si="27"/>
        <v>Not Defaulter</v>
      </c>
      <c r="AC1743" s="1">
        <f>Table2[[#This Row],[BILL_AMT1]]-Table2[[#This Row],[PAY_AMT1]]</f>
        <v>2217</v>
      </c>
      <c r="AD1743" s="1" t="str" cm="1">
        <f t="array" ref="AD1743">_xlfn.IFS(Table2[[#This Row],[PAYMENT GAP]]&lt;=0,"No Gap / Overpaid",Table2[[#This Row],[PAYMENT GAP]]&lt;=25000,"Low Gap",Table2[[#This Row],[PAYMENT GAP]]&lt;=100000,"Medium Gap",
TRUE,"High Gap"
)</f>
        <v>Low Gap</v>
      </c>
    </row>
    <row r="1744" spans="1:30" x14ac:dyDescent="0.3">
      <c r="A1744">
        <v>1743</v>
      </c>
      <c r="B1744" s="1">
        <v>230000</v>
      </c>
      <c r="C1744" s="1" t="str" cm="1">
        <f t="array" ref="C1744">_xlfn.IFS(Table2[[#This Row],[LIMIT_BAL]]&lt;=100000,"Low",Table2[[#This Row],[LIMIT_BAL]]&lt;=300000,"Medium",
TRUE,"High"
)</f>
        <v>Medium</v>
      </c>
      <c r="D1744" t="s">
        <v>2041</v>
      </c>
      <c r="E1744" t="s">
        <v>2026</v>
      </c>
      <c r="F1744" t="s">
        <v>2029</v>
      </c>
      <c r="G1744">
        <v>29</v>
      </c>
      <c r="H1744" t="str" cm="1">
        <f t="array" ref="H1744">_xlfn.IFS(
Table2[[#This Row],[AGE]]&lt;30,"Young",
Table2[[#This Row],[AGE]]&lt;40,"Middle Age",
Table2[[#This Row],[AGE]]&lt;50,"Senior",
TRUE,"Super Senior"
)</f>
        <v>Young</v>
      </c>
      <c r="I1744">
        <v>-2</v>
      </c>
      <c r="J1744">
        <v>-2</v>
      </c>
      <c r="K1744">
        <v>-2</v>
      </c>
      <c r="L1744">
        <v>-2</v>
      </c>
      <c r="M1744">
        <v>-2</v>
      </c>
      <c r="N1744">
        <v>-2</v>
      </c>
      <c r="O1744" s="1">
        <v>-5</v>
      </c>
      <c r="P1744" s="1">
        <v>-5</v>
      </c>
      <c r="Q1744" s="1">
        <v>2969</v>
      </c>
      <c r="R1744" s="1">
        <v>3419</v>
      </c>
      <c r="S1744" s="1">
        <v>0</v>
      </c>
      <c r="T1744" s="1">
        <v>1841</v>
      </c>
      <c r="U1744" s="1">
        <v>0</v>
      </c>
      <c r="V1744" s="1">
        <v>2974</v>
      </c>
      <c r="W1744" s="1">
        <v>3425</v>
      </c>
      <c r="X1744" s="1">
        <v>0</v>
      </c>
      <c r="Y1744" s="1">
        <v>1841</v>
      </c>
      <c r="Z1744" s="1">
        <v>200</v>
      </c>
      <c r="AA1744">
        <v>0</v>
      </c>
      <c r="AB1744" t="str">
        <f t="shared" si="27"/>
        <v>Not Defaulter</v>
      </c>
      <c r="AC1744" s="1">
        <f>Table2[[#This Row],[BILL_AMT1]]-Table2[[#This Row],[PAY_AMT1]]</f>
        <v>-5</v>
      </c>
      <c r="AD1744" s="1" t="str" cm="1">
        <f t="array" ref="AD1744">_xlfn.IFS(Table2[[#This Row],[PAYMENT GAP]]&lt;=0,"No Gap / Overpaid",Table2[[#This Row],[PAYMENT GAP]]&lt;=25000,"Low Gap",Table2[[#This Row],[PAYMENT GAP]]&lt;=100000,"Medium Gap",
TRUE,"High Gap"
)</f>
        <v>No Gap / Overpaid</v>
      </c>
    </row>
    <row r="1745" spans="1:30" x14ac:dyDescent="0.3">
      <c r="A1745">
        <v>1744</v>
      </c>
      <c r="B1745" s="1">
        <v>90000</v>
      </c>
      <c r="C1745" s="1" t="str" cm="1">
        <f t="array" ref="C1745">_xlfn.IFS(Table2[[#This Row],[LIMIT_BAL]]&lt;=100000,"Low",Table2[[#This Row],[LIMIT_BAL]]&lt;=300000,"Medium",
TRUE,"High"
)</f>
        <v>Low</v>
      </c>
      <c r="D1745" t="s">
        <v>2042</v>
      </c>
      <c r="E1745" t="s">
        <v>2026</v>
      </c>
      <c r="F1745" t="s">
        <v>2029</v>
      </c>
      <c r="G1745">
        <v>32</v>
      </c>
      <c r="H1745" t="str" cm="1">
        <f t="array" ref="H1745">_xlfn.IFS(
Table2[[#This Row],[AGE]]&lt;30,"Young",
Table2[[#This Row],[AGE]]&lt;40,"Middle Age",
Table2[[#This Row],[AGE]]&lt;50,"Senior",
TRUE,"Super Senior"
)</f>
        <v>Middle Age</v>
      </c>
      <c r="I1745">
        <v>-1</v>
      </c>
      <c r="J1745">
        <v>-1</v>
      </c>
      <c r="K1745">
        <v>-1</v>
      </c>
      <c r="L1745">
        <v>-1</v>
      </c>
      <c r="M1745">
        <v>-1</v>
      </c>
      <c r="N1745">
        <v>2</v>
      </c>
      <c r="O1745" s="1">
        <v>6546</v>
      </c>
      <c r="P1745" s="1">
        <v>1485</v>
      </c>
      <c r="Q1745" s="1">
        <v>25558</v>
      </c>
      <c r="R1745" s="1">
        <v>1443</v>
      </c>
      <c r="S1745" s="1">
        <v>1677</v>
      </c>
      <c r="T1745" s="1">
        <v>1480</v>
      </c>
      <c r="U1745" s="1">
        <v>1498</v>
      </c>
      <c r="V1745" s="1">
        <v>25572</v>
      </c>
      <c r="W1745" s="1">
        <v>1443</v>
      </c>
      <c r="X1745" s="1">
        <v>257</v>
      </c>
      <c r="Y1745" s="1">
        <v>0</v>
      </c>
      <c r="Z1745" s="1">
        <v>58</v>
      </c>
      <c r="AA1745">
        <v>0</v>
      </c>
      <c r="AB1745" t="str">
        <f t="shared" si="27"/>
        <v>Not Defaulter</v>
      </c>
      <c r="AC1745" s="1">
        <f>Table2[[#This Row],[BILL_AMT1]]-Table2[[#This Row],[PAY_AMT1]]</f>
        <v>5048</v>
      </c>
      <c r="AD1745" s="1" t="str" cm="1">
        <f t="array" ref="AD1745">_xlfn.IFS(Table2[[#This Row],[PAYMENT GAP]]&lt;=0,"No Gap / Overpaid",Table2[[#This Row],[PAYMENT GAP]]&lt;=25000,"Low Gap",Table2[[#This Row],[PAYMENT GAP]]&lt;=100000,"Medium Gap",
TRUE,"High Gap"
)</f>
        <v>Low Gap</v>
      </c>
    </row>
    <row r="1746" spans="1:30" x14ac:dyDescent="0.3">
      <c r="A1746">
        <v>1745</v>
      </c>
      <c r="B1746" s="1">
        <v>160000</v>
      </c>
      <c r="C1746" s="1" t="str" cm="1">
        <f t="array" ref="C1746">_xlfn.IFS(Table2[[#This Row],[LIMIT_BAL]]&lt;=100000,"Low",Table2[[#This Row],[LIMIT_BAL]]&lt;=300000,"Medium",
TRUE,"High"
)</f>
        <v>Medium</v>
      </c>
      <c r="D1746" t="s">
        <v>2042</v>
      </c>
      <c r="E1746" t="s">
        <v>2043</v>
      </c>
      <c r="F1746" t="s">
        <v>2029</v>
      </c>
      <c r="G1746">
        <v>29</v>
      </c>
      <c r="H1746" t="str" cm="1">
        <f t="array" ref="H1746">_xlfn.IFS(
Table2[[#This Row],[AGE]]&lt;30,"Young",
Table2[[#This Row],[AGE]]&lt;40,"Middle Age",
Table2[[#This Row],[AGE]]&lt;50,"Senior",
TRUE,"Super Senior"
)</f>
        <v>Young</v>
      </c>
      <c r="I1746">
        <v>-1</v>
      </c>
      <c r="J1746">
        <v>-1</v>
      </c>
      <c r="K1746">
        <v>-1</v>
      </c>
      <c r="L1746">
        <v>-1</v>
      </c>
      <c r="M1746">
        <v>-1</v>
      </c>
      <c r="N1746">
        <v>-1</v>
      </c>
      <c r="O1746" s="1">
        <v>7002</v>
      </c>
      <c r="P1746" s="1">
        <v>6696</v>
      </c>
      <c r="Q1746" s="1">
        <v>6062</v>
      </c>
      <c r="R1746" s="1">
        <v>4203</v>
      </c>
      <c r="S1746" s="1">
        <v>5780</v>
      </c>
      <c r="T1746" s="1">
        <v>12575</v>
      </c>
      <c r="U1746" s="1">
        <v>7229</v>
      </c>
      <c r="V1746" s="1">
        <v>6085</v>
      </c>
      <c r="W1746" s="1">
        <v>4230</v>
      </c>
      <c r="X1746" s="1">
        <v>5797</v>
      </c>
      <c r="Y1746" s="1">
        <v>12589</v>
      </c>
      <c r="Z1746" s="1">
        <v>6233</v>
      </c>
      <c r="AA1746">
        <v>0</v>
      </c>
      <c r="AB1746" t="str">
        <f t="shared" si="27"/>
        <v>Not Defaulter</v>
      </c>
      <c r="AC1746" s="1">
        <f>Table2[[#This Row],[BILL_AMT1]]-Table2[[#This Row],[PAY_AMT1]]</f>
        <v>-227</v>
      </c>
      <c r="AD1746" s="1" t="str" cm="1">
        <f t="array" ref="AD1746">_xlfn.IFS(Table2[[#This Row],[PAYMENT GAP]]&lt;=0,"No Gap / Overpaid",Table2[[#This Row],[PAYMENT GAP]]&lt;=25000,"Low Gap",Table2[[#This Row],[PAYMENT GAP]]&lt;=100000,"Medium Gap",
TRUE,"High Gap"
)</f>
        <v>No Gap / Overpaid</v>
      </c>
    </row>
    <row r="1747" spans="1:30" x14ac:dyDescent="0.3">
      <c r="A1747">
        <v>1746</v>
      </c>
      <c r="B1747" s="1">
        <v>50000</v>
      </c>
      <c r="C1747" s="1" t="str" cm="1">
        <f t="array" ref="C1747">_xlfn.IFS(Table2[[#This Row],[LIMIT_BAL]]&lt;=100000,"Low",Table2[[#This Row],[LIMIT_BAL]]&lt;=300000,"Medium",
TRUE,"High"
)</f>
        <v>Low</v>
      </c>
      <c r="D1747" t="s">
        <v>2041</v>
      </c>
      <c r="E1747" t="s">
        <v>2026</v>
      </c>
      <c r="F1747" t="s">
        <v>2029</v>
      </c>
      <c r="G1747">
        <v>22</v>
      </c>
      <c r="H1747" t="str" cm="1">
        <f t="array" ref="H1747">_xlfn.IFS(
Table2[[#This Row],[AGE]]&lt;30,"Young",
Table2[[#This Row],[AGE]]&lt;40,"Middle Age",
Table2[[#This Row],[AGE]]&lt;50,"Senior",
TRUE,"Super Senior"
)</f>
        <v>Young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 s="1">
        <v>49459</v>
      </c>
      <c r="P1747" s="1">
        <v>49281</v>
      </c>
      <c r="Q1747" s="1">
        <v>50071</v>
      </c>
      <c r="R1747" s="1">
        <v>10104</v>
      </c>
      <c r="S1747" s="1">
        <v>9208</v>
      </c>
      <c r="T1747" s="1">
        <v>10075</v>
      </c>
      <c r="U1747" s="1">
        <v>2300</v>
      </c>
      <c r="V1747" s="1">
        <v>2000</v>
      </c>
      <c r="W1747" s="1">
        <v>1000</v>
      </c>
      <c r="X1747" s="1">
        <v>500</v>
      </c>
      <c r="Y1747" s="1">
        <v>1000</v>
      </c>
      <c r="Z1747" s="1">
        <v>500</v>
      </c>
      <c r="AA1747">
        <v>0</v>
      </c>
      <c r="AB1747" t="str">
        <f t="shared" si="27"/>
        <v>Not Defaulter</v>
      </c>
      <c r="AC1747" s="1">
        <f>Table2[[#This Row],[BILL_AMT1]]-Table2[[#This Row],[PAY_AMT1]]</f>
        <v>47159</v>
      </c>
      <c r="AD1747" s="1" t="str" cm="1">
        <f t="array" ref="AD1747">_xlfn.IFS(Table2[[#This Row],[PAYMENT GAP]]&lt;=0,"No Gap / Overpaid",Table2[[#This Row],[PAYMENT GAP]]&lt;=25000,"Low Gap",Table2[[#This Row],[PAYMENT GAP]]&lt;=100000,"Medium Gap",
TRUE,"High Gap"
)</f>
        <v>Medium Gap</v>
      </c>
    </row>
    <row r="1748" spans="1:30" x14ac:dyDescent="0.3">
      <c r="A1748">
        <v>1747</v>
      </c>
      <c r="B1748" s="1">
        <v>140000</v>
      </c>
      <c r="C1748" s="1" t="str" cm="1">
        <f t="array" ref="C1748">_xlfn.IFS(Table2[[#This Row],[LIMIT_BAL]]&lt;=100000,"Low",Table2[[#This Row],[LIMIT_BAL]]&lt;=300000,"Medium",
TRUE,"High"
)</f>
        <v>Medium</v>
      </c>
      <c r="D1748" t="s">
        <v>2041</v>
      </c>
      <c r="E1748" t="s">
        <v>2043</v>
      </c>
      <c r="F1748" t="s">
        <v>2029</v>
      </c>
      <c r="G1748">
        <v>29</v>
      </c>
      <c r="H1748" t="str" cm="1">
        <f t="array" ref="H1748">_xlfn.IFS(
Table2[[#This Row],[AGE]]&lt;30,"Young",
Table2[[#This Row],[AGE]]&lt;40,"Middle Age",
Table2[[#This Row],[AGE]]&lt;50,"Senior",
TRUE,"Super Senior"
)</f>
        <v>Young</v>
      </c>
      <c r="I1748">
        <v>-2</v>
      </c>
      <c r="J1748">
        <v>-2</v>
      </c>
      <c r="K1748">
        <v>-2</v>
      </c>
      <c r="L1748">
        <v>-2</v>
      </c>
      <c r="M1748">
        <v>-2</v>
      </c>
      <c r="N1748">
        <v>-2</v>
      </c>
      <c r="O1748" s="1">
        <v>945</v>
      </c>
      <c r="P1748" s="1">
        <v>945</v>
      </c>
      <c r="Q1748" s="1">
        <v>0</v>
      </c>
      <c r="R1748" s="1">
        <v>0</v>
      </c>
      <c r="S1748" s="1">
        <v>0</v>
      </c>
      <c r="T1748" s="1">
        <v>0</v>
      </c>
      <c r="U1748" s="1">
        <v>945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>
        <v>0</v>
      </c>
      <c r="AB1748" t="str">
        <f t="shared" si="27"/>
        <v>Not Defaulter</v>
      </c>
      <c r="AC1748" s="1">
        <f>Table2[[#This Row],[BILL_AMT1]]-Table2[[#This Row],[PAY_AMT1]]</f>
        <v>0</v>
      </c>
      <c r="AD1748" s="1" t="str" cm="1">
        <f t="array" ref="AD1748">_xlfn.IFS(Table2[[#This Row],[PAYMENT GAP]]&lt;=0,"No Gap / Overpaid",Table2[[#This Row],[PAYMENT GAP]]&lt;=25000,"Low Gap",Table2[[#This Row],[PAYMENT GAP]]&lt;=100000,"Medium Gap",
TRUE,"High Gap"
)</f>
        <v>No Gap / Overpaid</v>
      </c>
    </row>
    <row r="1749" spans="1:30" x14ac:dyDescent="0.3">
      <c r="A1749">
        <v>1748</v>
      </c>
      <c r="B1749" s="1">
        <v>250000</v>
      </c>
      <c r="C1749" s="1" t="str" cm="1">
        <f t="array" ref="C1749">_xlfn.IFS(Table2[[#This Row],[LIMIT_BAL]]&lt;=100000,"Low",Table2[[#This Row],[LIMIT_BAL]]&lt;=300000,"Medium",
TRUE,"High"
)</f>
        <v>Medium</v>
      </c>
      <c r="D1749" t="s">
        <v>2041</v>
      </c>
      <c r="E1749" t="s">
        <v>2043</v>
      </c>
      <c r="F1749" t="s">
        <v>2028</v>
      </c>
      <c r="G1749">
        <v>31</v>
      </c>
      <c r="H1749" t="str" cm="1">
        <f t="array" ref="H1749">_xlfn.IFS(
Table2[[#This Row],[AGE]]&lt;30,"Young",
Table2[[#This Row],[AGE]]&lt;40,"Middle Age",
Table2[[#This Row],[AGE]]&lt;50,"Senior",
TRUE,"Super Senior"
)</f>
        <v>Middle Age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 s="1">
        <v>42441</v>
      </c>
      <c r="P1749" s="1">
        <v>43061</v>
      </c>
      <c r="Q1749" s="1">
        <v>29385</v>
      </c>
      <c r="R1749" s="1">
        <v>27677</v>
      </c>
      <c r="S1749" s="1">
        <v>86250</v>
      </c>
      <c r="T1749" s="1">
        <v>65710</v>
      </c>
      <c r="U1749" s="1">
        <v>4000</v>
      </c>
      <c r="V1749" s="1">
        <v>3000</v>
      </c>
      <c r="W1749" s="1">
        <v>901</v>
      </c>
      <c r="X1749" s="1">
        <v>63000</v>
      </c>
      <c r="Y1749" s="1">
        <v>2700</v>
      </c>
      <c r="Z1749" s="1">
        <v>2000</v>
      </c>
      <c r="AA1749">
        <v>0</v>
      </c>
      <c r="AB1749" t="str">
        <f t="shared" si="27"/>
        <v>Not Defaulter</v>
      </c>
      <c r="AC1749" s="1">
        <f>Table2[[#This Row],[BILL_AMT1]]-Table2[[#This Row],[PAY_AMT1]]</f>
        <v>38441</v>
      </c>
      <c r="AD1749" s="1" t="str" cm="1">
        <f t="array" ref="AD1749">_xlfn.IFS(Table2[[#This Row],[PAYMENT GAP]]&lt;=0,"No Gap / Overpaid",Table2[[#This Row],[PAYMENT GAP]]&lt;=25000,"Low Gap",Table2[[#This Row],[PAYMENT GAP]]&lt;=100000,"Medium Gap",
TRUE,"High Gap"
)</f>
        <v>Medium Gap</v>
      </c>
    </row>
    <row r="1750" spans="1:30" x14ac:dyDescent="0.3">
      <c r="A1750">
        <v>1749</v>
      </c>
      <c r="B1750" s="1">
        <v>120000</v>
      </c>
      <c r="C1750" s="1" t="str" cm="1">
        <f t="array" ref="C1750">_xlfn.IFS(Table2[[#This Row],[LIMIT_BAL]]&lt;=100000,"Low",Table2[[#This Row],[LIMIT_BAL]]&lt;=300000,"Medium",
TRUE,"High"
)</f>
        <v>Medium</v>
      </c>
      <c r="D1750" t="s">
        <v>2041</v>
      </c>
      <c r="E1750" t="s">
        <v>2043</v>
      </c>
      <c r="F1750" t="s">
        <v>2029</v>
      </c>
      <c r="G1750">
        <v>24</v>
      </c>
      <c r="H1750" t="str" cm="1">
        <f t="array" ref="H1750">_xlfn.IFS(
Table2[[#This Row],[AGE]]&lt;30,"Young",
Table2[[#This Row],[AGE]]&lt;40,"Middle Age",
Table2[[#This Row],[AGE]]&lt;50,"Senior",
TRUE,"Super Senior"
)</f>
        <v>Young</v>
      </c>
      <c r="I1750">
        <v>-1</v>
      </c>
      <c r="J1750">
        <v>-1</v>
      </c>
      <c r="K1750">
        <v>-2</v>
      </c>
      <c r="L1750">
        <v>-1</v>
      </c>
      <c r="M1750">
        <v>-1</v>
      </c>
      <c r="N1750">
        <v>-1</v>
      </c>
      <c r="O1750" s="1">
        <v>100</v>
      </c>
      <c r="P1750" s="1">
        <v>0</v>
      </c>
      <c r="Q1750" s="1">
        <v>0</v>
      </c>
      <c r="R1750" s="1">
        <v>618</v>
      </c>
      <c r="S1750" s="1">
        <v>9614</v>
      </c>
      <c r="T1750" s="1">
        <v>39133</v>
      </c>
      <c r="U1750" s="1">
        <v>0</v>
      </c>
      <c r="V1750" s="1">
        <v>0</v>
      </c>
      <c r="W1750" s="1">
        <v>618</v>
      </c>
      <c r="X1750" s="1">
        <v>9614</v>
      </c>
      <c r="Y1750" s="1">
        <v>39133</v>
      </c>
      <c r="Z1750" s="1">
        <v>1500</v>
      </c>
      <c r="AA1750">
        <v>0</v>
      </c>
      <c r="AB1750" t="str">
        <f t="shared" si="27"/>
        <v>Not Defaulter</v>
      </c>
      <c r="AC1750" s="1">
        <f>Table2[[#This Row],[BILL_AMT1]]-Table2[[#This Row],[PAY_AMT1]]</f>
        <v>100</v>
      </c>
      <c r="AD1750" s="1" t="str" cm="1">
        <f t="array" ref="AD1750">_xlfn.IFS(Table2[[#This Row],[PAYMENT GAP]]&lt;=0,"No Gap / Overpaid",Table2[[#This Row],[PAYMENT GAP]]&lt;=25000,"Low Gap",Table2[[#This Row],[PAYMENT GAP]]&lt;=100000,"Medium Gap",
TRUE,"High Gap"
)</f>
        <v>Low Gap</v>
      </c>
    </row>
    <row r="1751" spans="1:30" x14ac:dyDescent="0.3">
      <c r="A1751">
        <v>1750</v>
      </c>
      <c r="B1751" s="1">
        <v>120000</v>
      </c>
      <c r="C1751" s="1" t="str" cm="1">
        <f t="array" ref="C1751">_xlfn.IFS(Table2[[#This Row],[LIMIT_BAL]]&lt;=100000,"Low",Table2[[#This Row],[LIMIT_BAL]]&lt;=300000,"Medium",
TRUE,"High"
)</f>
        <v>Medium</v>
      </c>
      <c r="D1751" t="s">
        <v>2041</v>
      </c>
      <c r="E1751" t="s">
        <v>2026</v>
      </c>
      <c r="F1751" t="s">
        <v>2029</v>
      </c>
      <c r="G1751">
        <v>27</v>
      </c>
      <c r="H1751" t="str" cm="1">
        <f t="array" ref="H1751">_xlfn.IFS(
Table2[[#This Row],[AGE]]&lt;30,"Young",
Table2[[#This Row],[AGE]]&lt;40,"Middle Age",
Table2[[#This Row],[AGE]]&lt;50,"Senior",
TRUE,"Super Senior"
)</f>
        <v>Young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 s="1">
        <v>79072</v>
      </c>
      <c r="P1751" s="1">
        <v>80795</v>
      </c>
      <c r="Q1751" s="1">
        <v>82451</v>
      </c>
      <c r="R1751" s="1">
        <v>84177</v>
      </c>
      <c r="S1751" s="1">
        <v>85945</v>
      </c>
      <c r="T1751" s="1">
        <v>87813</v>
      </c>
      <c r="U1751" s="1">
        <v>3000</v>
      </c>
      <c r="V1751" s="1">
        <v>3000</v>
      </c>
      <c r="W1751" s="1">
        <v>3100</v>
      </c>
      <c r="X1751" s="1">
        <v>3122</v>
      </c>
      <c r="Y1751" s="1">
        <v>3300</v>
      </c>
      <c r="Z1751" s="1">
        <v>3060</v>
      </c>
      <c r="AA1751">
        <v>0</v>
      </c>
      <c r="AB1751" t="str">
        <f t="shared" si="27"/>
        <v>Not Defaulter</v>
      </c>
      <c r="AC1751" s="1">
        <f>Table2[[#This Row],[BILL_AMT1]]-Table2[[#This Row],[PAY_AMT1]]</f>
        <v>76072</v>
      </c>
      <c r="AD1751" s="1" t="str" cm="1">
        <f t="array" ref="AD1751">_xlfn.IFS(Table2[[#This Row],[PAYMENT GAP]]&lt;=0,"No Gap / Overpaid",Table2[[#This Row],[PAYMENT GAP]]&lt;=25000,"Low Gap",Table2[[#This Row],[PAYMENT GAP]]&lt;=100000,"Medium Gap",
TRUE,"High Gap"
)</f>
        <v>Medium Gap</v>
      </c>
    </row>
    <row r="1752" spans="1:30" x14ac:dyDescent="0.3">
      <c r="A1752">
        <v>1751</v>
      </c>
      <c r="B1752" s="1">
        <v>260000</v>
      </c>
      <c r="C1752" s="1" t="str" cm="1">
        <f t="array" ref="C1752">_xlfn.IFS(Table2[[#This Row],[LIMIT_BAL]]&lt;=100000,"Low",Table2[[#This Row],[LIMIT_BAL]]&lt;=300000,"Medium",
TRUE,"High"
)</f>
        <v>Medium</v>
      </c>
      <c r="D1752" t="s">
        <v>2041</v>
      </c>
      <c r="E1752" t="s">
        <v>2043</v>
      </c>
      <c r="F1752" t="s">
        <v>2028</v>
      </c>
      <c r="G1752">
        <v>40</v>
      </c>
      <c r="H1752" t="str" cm="1">
        <f t="array" ref="H1752">_xlfn.IFS(
Table2[[#This Row],[AGE]]&lt;30,"Young",
Table2[[#This Row],[AGE]]&lt;40,"Middle Age",
Table2[[#This Row],[AGE]]&lt;50,"Senior",
TRUE,"Super Senior"
)</f>
        <v>Senior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 s="1">
        <v>243196</v>
      </c>
      <c r="P1752" s="1">
        <v>258720</v>
      </c>
      <c r="Q1752" s="1">
        <v>178102</v>
      </c>
      <c r="R1752" s="1">
        <v>77215</v>
      </c>
      <c r="S1752" s="1">
        <v>79331</v>
      </c>
      <c r="T1752" s="1">
        <v>81483</v>
      </c>
      <c r="U1752" s="1">
        <v>20008</v>
      </c>
      <c r="V1752" s="1">
        <v>7500</v>
      </c>
      <c r="W1752" s="1">
        <v>3000</v>
      </c>
      <c r="X1752" s="1">
        <v>3500</v>
      </c>
      <c r="Y1752" s="1">
        <v>3605</v>
      </c>
      <c r="Z1752" s="1">
        <v>3750</v>
      </c>
      <c r="AA1752">
        <v>0</v>
      </c>
      <c r="AB1752" t="str">
        <f t="shared" si="27"/>
        <v>Not Defaulter</v>
      </c>
      <c r="AC1752" s="1">
        <f>Table2[[#This Row],[BILL_AMT1]]-Table2[[#This Row],[PAY_AMT1]]</f>
        <v>223188</v>
      </c>
      <c r="AD1752" s="1" t="str" cm="1">
        <f t="array" ref="AD1752">_xlfn.IFS(Table2[[#This Row],[PAYMENT GAP]]&lt;=0,"No Gap / Overpaid",Table2[[#This Row],[PAYMENT GAP]]&lt;=25000,"Low Gap",Table2[[#This Row],[PAYMENT GAP]]&lt;=100000,"Medium Gap",
TRUE,"High Gap"
)</f>
        <v>High Gap</v>
      </c>
    </row>
    <row r="1753" spans="1:30" x14ac:dyDescent="0.3">
      <c r="A1753">
        <v>1752</v>
      </c>
      <c r="B1753" s="1">
        <v>10000</v>
      </c>
      <c r="C1753" s="1" t="str" cm="1">
        <f t="array" ref="C1753">_xlfn.IFS(Table2[[#This Row],[LIMIT_BAL]]&lt;=100000,"Low",Table2[[#This Row],[LIMIT_BAL]]&lt;=300000,"Medium",
TRUE,"High"
)</f>
        <v>Low</v>
      </c>
      <c r="D1753" t="s">
        <v>2042</v>
      </c>
      <c r="E1753" t="s">
        <v>2043</v>
      </c>
      <c r="F1753" t="s">
        <v>2029</v>
      </c>
      <c r="G1753">
        <v>38</v>
      </c>
      <c r="H1753" t="str" cm="1">
        <f t="array" ref="H1753">_xlfn.IFS(
Table2[[#This Row],[AGE]]&lt;30,"Young",
Table2[[#This Row],[AGE]]&lt;40,"Middle Age",
Table2[[#This Row],[AGE]]&lt;50,"Senior",
TRUE,"Super Senior"
)</f>
        <v>Middle Age</v>
      </c>
      <c r="I1753">
        <v>2</v>
      </c>
      <c r="J1753">
        <v>2</v>
      </c>
      <c r="K1753">
        <v>3</v>
      </c>
      <c r="L1753">
        <v>3</v>
      </c>
      <c r="M1753">
        <v>3</v>
      </c>
      <c r="N1753">
        <v>3</v>
      </c>
      <c r="O1753" s="1">
        <v>1050</v>
      </c>
      <c r="P1753" s="1">
        <v>1050</v>
      </c>
      <c r="Q1753" s="1">
        <v>1050</v>
      </c>
      <c r="R1753" s="1">
        <v>1050</v>
      </c>
      <c r="S1753" s="1">
        <v>1050</v>
      </c>
      <c r="T1753" s="1">
        <v>1050</v>
      </c>
      <c r="U1753" s="1">
        <v>0</v>
      </c>
      <c r="V1753" s="1">
        <v>0</v>
      </c>
      <c r="W1753" s="1">
        <v>0</v>
      </c>
      <c r="X1753" s="1">
        <v>0</v>
      </c>
      <c r="Y1753" s="1">
        <v>0</v>
      </c>
      <c r="Z1753" s="1">
        <v>0</v>
      </c>
      <c r="AA1753">
        <v>1</v>
      </c>
      <c r="AB1753" t="str">
        <f t="shared" si="27"/>
        <v>Defaulter</v>
      </c>
      <c r="AC1753" s="1">
        <f>Table2[[#This Row],[BILL_AMT1]]-Table2[[#This Row],[PAY_AMT1]]</f>
        <v>1050</v>
      </c>
      <c r="AD1753" s="1" t="str" cm="1">
        <f t="array" ref="AD1753">_xlfn.IFS(Table2[[#This Row],[PAYMENT GAP]]&lt;=0,"No Gap / Overpaid",Table2[[#This Row],[PAYMENT GAP]]&lt;=25000,"Low Gap",Table2[[#This Row],[PAYMENT GAP]]&lt;=100000,"Medium Gap",
TRUE,"High Gap"
)</f>
        <v>Low Gap</v>
      </c>
    </row>
    <row r="1754" spans="1:30" x14ac:dyDescent="0.3">
      <c r="A1754">
        <v>1753</v>
      </c>
      <c r="B1754" s="1">
        <v>60000</v>
      </c>
      <c r="C1754" s="1" t="str" cm="1">
        <f t="array" ref="C1754">_xlfn.IFS(Table2[[#This Row],[LIMIT_BAL]]&lt;=100000,"Low",Table2[[#This Row],[LIMIT_BAL]]&lt;=300000,"Medium",
TRUE,"High"
)</f>
        <v>Low</v>
      </c>
      <c r="D1754" t="s">
        <v>2041</v>
      </c>
      <c r="E1754" t="s">
        <v>2043</v>
      </c>
      <c r="F1754" t="s">
        <v>2028</v>
      </c>
      <c r="G1754">
        <v>38</v>
      </c>
      <c r="H1754" t="str" cm="1">
        <f t="array" ref="H1754">_xlfn.IFS(
Table2[[#This Row],[AGE]]&lt;30,"Young",
Table2[[#This Row],[AGE]]&lt;40,"Middle Age",
Table2[[#This Row],[AGE]]&lt;50,"Senior",
TRUE,"Super Senior"
)</f>
        <v>Middle Age</v>
      </c>
      <c r="I1754">
        <v>-2</v>
      </c>
      <c r="J1754">
        <v>-2</v>
      </c>
      <c r="K1754">
        <v>-2</v>
      </c>
      <c r="L1754">
        <v>-2</v>
      </c>
      <c r="M1754">
        <v>-2</v>
      </c>
      <c r="N1754">
        <v>-2</v>
      </c>
      <c r="O1754" s="1">
        <v>4764</v>
      </c>
      <c r="P1754" s="1">
        <v>30500</v>
      </c>
      <c r="Q1754" s="1">
        <v>0</v>
      </c>
      <c r="R1754" s="1">
        <v>0</v>
      </c>
      <c r="S1754" s="1">
        <v>52829</v>
      </c>
      <c r="T1754" s="1">
        <v>41404</v>
      </c>
      <c r="U1754" s="1">
        <v>30500</v>
      </c>
      <c r="V1754" s="1">
        <v>0</v>
      </c>
      <c r="W1754" s="1">
        <v>0</v>
      </c>
      <c r="X1754" s="1">
        <v>52829</v>
      </c>
      <c r="Y1754" s="1">
        <v>41404</v>
      </c>
      <c r="Z1754" s="1">
        <v>22401</v>
      </c>
      <c r="AA1754">
        <v>0</v>
      </c>
      <c r="AB1754" t="str">
        <f t="shared" si="27"/>
        <v>Not Defaulter</v>
      </c>
      <c r="AC1754" s="1">
        <f>Table2[[#This Row],[BILL_AMT1]]-Table2[[#This Row],[PAY_AMT1]]</f>
        <v>-25736</v>
      </c>
      <c r="AD1754" s="1" t="str" cm="1">
        <f t="array" ref="AD1754">_xlfn.IFS(Table2[[#This Row],[PAYMENT GAP]]&lt;=0,"No Gap / Overpaid",Table2[[#This Row],[PAYMENT GAP]]&lt;=25000,"Low Gap",Table2[[#This Row],[PAYMENT GAP]]&lt;=100000,"Medium Gap",
TRUE,"High Gap"
)</f>
        <v>No Gap / Overpaid</v>
      </c>
    </row>
    <row r="1755" spans="1:30" x14ac:dyDescent="0.3">
      <c r="A1755">
        <v>1754</v>
      </c>
      <c r="B1755" s="1">
        <v>60000</v>
      </c>
      <c r="C1755" s="1" t="str" cm="1">
        <f t="array" ref="C1755">_xlfn.IFS(Table2[[#This Row],[LIMIT_BAL]]&lt;=100000,"Low",Table2[[#This Row],[LIMIT_BAL]]&lt;=300000,"Medium",
TRUE,"High"
)</f>
        <v>Low</v>
      </c>
      <c r="D1755" t="s">
        <v>2041</v>
      </c>
      <c r="E1755" t="s">
        <v>2043</v>
      </c>
      <c r="F1755" t="s">
        <v>2028</v>
      </c>
      <c r="G1755">
        <v>29</v>
      </c>
      <c r="H1755" t="str" cm="1">
        <f t="array" ref="H1755">_xlfn.IFS(
Table2[[#This Row],[AGE]]&lt;30,"Young",
Table2[[#This Row],[AGE]]&lt;40,"Middle Age",
Table2[[#This Row],[AGE]]&lt;50,"Senior",
TRUE,"Super Senior"
)</f>
        <v>Young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 s="1">
        <v>33147</v>
      </c>
      <c r="P1755" s="1">
        <v>54511</v>
      </c>
      <c r="Q1755" s="1">
        <v>56167</v>
      </c>
      <c r="R1755" s="1">
        <v>28609</v>
      </c>
      <c r="S1755" s="1">
        <v>27660</v>
      </c>
      <c r="T1755" s="1">
        <v>27059</v>
      </c>
      <c r="U1755" s="1">
        <v>24511</v>
      </c>
      <c r="V1755" s="1">
        <v>6000</v>
      </c>
      <c r="W1755" s="1">
        <v>17000</v>
      </c>
      <c r="X1755" s="1">
        <v>1984</v>
      </c>
      <c r="Y1755" s="1">
        <v>1100</v>
      </c>
      <c r="Z1755" s="1">
        <v>1600</v>
      </c>
      <c r="AA1755">
        <v>0</v>
      </c>
      <c r="AB1755" t="str">
        <f t="shared" si="27"/>
        <v>Not Defaulter</v>
      </c>
      <c r="AC1755" s="1">
        <f>Table2[[#This Row],[BILL_AMT1]]-Table2[[#This Row],[PAY_AMT1]]</f>
        <v>8636</v>
      </c>
      <c r="AD1755" s="1" t="str" cm="1">
        <f t="array" ref="AD1755">_xlfn.IFS(Table2[[#This Row],[PAYMENT GAP]]&lt;=0,"No Gap / Overpaid",Table2[[#This Row],[PAYMENT GAP]]&lt;=25000,"Low Gap",Table2[[#This Row],[PAYMENT GAP]]&lt;=100000,"Medium Gap",
TRUE,"High Gap"
)</f>
        <v>Low Gap</v>
      </c>
    </row>
    <row r="1756" spans="1:30" x14ac:dyDescent="0.3">
      <c r="A1756">
        <v>1755</v>
      </c>
      <c r="B1756" s="1">
        <v>50000</v>
      </c>
      <c r="C1756" s="1" t="str" cm="1">
        <f t="array" ref="C1756">_xlfn.IFS(Table2[[#This Row],[LIMIT_BAL]]&lt;=100000,"Low",Table2[[#This Row],[LIMIT_BAL]]&lt;=300000,"Medium",
TRUE,"High"
)</f>
        <v>Low</v>
      </c>
      <c r="D1756" t="s">
        <v>2042</v>
      </c>
      <c r="E1756" t="s">
        <v>2043</v>
      </c>
      <c r="F1756" t="s">
        <v>2029</v>
      </c>
      <c r="G1756">
        <v>27</v>
      </c>
      <c r="H1756" t="str" cm="1">
        <f t="array" ref="H1756">_xlfn.IFS(
Table2[[#This Row],[AGE]]&lt;30,"Young",
Table2[[#This Row],[AGE]]&lt;40,"Middle Age",
Table2[[#This Row],[AGE]]&lt;50,"Senior",
TRUE,"Super Senior"
)</f>
        <v>Young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 s="1">
        <v>17771</v>
      </c>
      <c r="P1756" s="1">
        <v>18794</v>
      </c>
      <c r="Q1756" s="1">
        <v>19062</v>
      </c>
      <c r="R1756" s="1">
        <v>19443</v>
      </c>
      <c r="S1756" s="1">
        <v>19849</v>
      </c>
      <c r="T1756" s="1">
        <v>20287</v>
      </c>
      <c r="U1756" s="1">
        <v>1311</v>
      </c>
      <c r="V1756" s="1">
        <v>1299</v>
      </c>
      <c r="W1756" s="1">
        <v>680</v>
      </c>
      <c r="X1756" s="1">
        <v>703</v>
      </c>
      <c r="Y1756" s="1">
        <v>750</v>
      </c>
      <c r="Z1756" s="1">
        <v>626</v>
      </c>
      <c r="AA1756">
        <v>0</v>
      </c>
      <c r="AB1756" t="str">
        <f t="shared" si="27"/>
        <v>Not Defaulter</v>
      </c>
      <c r="AC1756" s="1">
        <f>Table2[[#This Row],[BILL_AMT1]]-Table2[[#This Row],[PAY_AMT1]]</f>
        <v>16460</v>
      </c>
      <c r="AD1756" s="1" t="str" cm="1">
        <f t="array" ref="AD1756">_xlfn.IFS(Table2[[#This Row],[PAYMENT GAP]]&lt;=0,"No Gap / Overpaid",Table2[[#This Row],[PAYMENT GAP]]&lt;=25000,"Low Gap",Table2[[#This Row],[PAYMENT GAP]]&lt;=100000,"Medium Gap",
TRUE,"High Gap"
)</f>
        <v>Low Gap</v>
      </c>
    </row>
    <row r="1757" spans="1:30" x14ac:dyDescent="0.3">
      <c r="A1757">
        <v>1756</v>
      </c>
      <c r="B1757" s="1">
        <v>130000</v>
      </c>
      <c r="C1757" s="1" t="str" cm="1">
        <f t="array" ref="C1757">_xlfn.IFS(Table2[[#This Row],[LIMIT_BAL]]&lt;=100000,"Low",Table2[[#This Row],[LIMIT_BAL]]&lt;=300000,"Medium",
TRUE,"High"
)</f>
        <v>Medium</v>
      </c>
      <c r="D1757" t="s">
        <v>2042</v>
      </c>
      <c r="E1757" t="s">
        <v>2027</v>
      </c>
      <c r="F1757" t="s">
        <v>2028</v>
      </c>
      <c r="G1757">
        <v>34</v>
      </c>
      <c r="H1757" t="str" cm="1">
        <f t="array" ref="H1757">_xlfn.IFS(
Table2[[#This Row],[AGE]]&lt;30,"Young",
Table2[[#This Row],[AGE]]&lt;40,"Middle Age",
Table2[[#This Row],[AGE]]&lt;50,"Senior",
TRUE,"Super Senior"
)</f>
        <v>Middle Age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 s="1">
        <v>5444</v>
      </c>
      <c r="P1757" s="1">
        <v>5927</v>
      </c>
      <c r="Q1757" s="1">
        <v>7106</v>
      </c>
      <c r="R1757" s="1">
        <v>7106</v>
      </c>
      <c r="S1757" s="1">
        <v>8106</v>
      </c>
      <c r="T1757" s="1">
        <v>9106</v>
      </c>
      <c r="U1757" s="1">
        <v>1321</v>
      </c>
      <c r="V1757" s="1">
        <v>1500</v>
      </c>
      <c r="W1757" s="1">
        <v>0</v>
      </c>
      <c r="X1757" s="1">
        <v>1000</v>
      </c>
      <c r="Y1757" s="1">
        <v>1000</v>
      </c>
      <c r="Z1757" s="1">
        <v>598</v>
      </c>
      <c r="AA1757">
        <v>0</v>
      </c>
      <c r="AB1757" t="str">
        <f t="shared" si="27"/>
        <v>Not Defaulter</v>
      </c>
      <c r="AC1757" s="1">
        <f>Table2[[#This Row],[BILL_AMT1]]-Table2[[#This Row],[PAY_AMT1]]</f>
        <v>4123</v>
      </c>
      <c r="AD1757" s="1" t="str" cm="1">
        <f t="array" ref="AD1757">_xlfn.IFS(Table2[[#This Row],[PAYMENT GAP]]&lt;=0,"No Gap / Overpaid",Table2[[#This Row],[PAYMENT GAP]]&lt;=25000,"Low Gap",Table2[[#This Row],[PAYMENT GAP]]&lt;=100000,"Medium Gap",
TRUE,"High Gap"
)</f>
        <v>Low Gap</v>
      </c>
    </row>
    <row r="1758" spans="1:30" x14ac:dyDescent="0.3">
      <c r="A1758">
        <v>1757</v>
      </c>
      <c r="B1758" s="1">
        <v>130000</v>
      </c>
      <c r="C1758" s="1" t="str" cm="1">
        <f t="array" ref="C1758">_xlfn.IFS(Table2[[#This Row],[LIMIT_BAL]]&lt;=100000,"Low",Table2[[#This Row],[LIMIT_BAL]]&lt;=300000,"Medium",
TRUE,"High"
)</f>
        <v>Medium</v>
      </c>
      <c r="D1758" t="s">
        <v>2042</v>
      </c>
      <c r="E1758" t="s">
        <v>2026</v>
      </c>
      <c r="F1758" t="s">
        <v>2029</v>
      </c>
      <c r="G1758">
        <v>34</v>
      </c>
      <c r="H1758" t="str" cm="1">
        <f t="array" ref="H1758">_xlfn.IFS(
Table2[[#This Row],[AGE]]&lt;30,"Young",
Table2[[#This Row],[AGE]]&lt;40,"Middle Age",
Table2[[#This Row],[AGE]]&lt;50,"Senior",
TRUE,"Super Senior"
)</f>
        <v>Middle Age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 s="1">
        <v>31179</v>
      </c>
      <c r="P1758" s="1">
        <v>30569</v>
      </c>
      <c r="Q1758" s="1">
        <v>28659</v>
      </c>
      <c r="R1758" s="1">
        <v>26952</v>
      </c>
      <c r="S1758" s="1">
        <v>15852</v>
      </c>
      <c r="T1758" s="1">
        <v>0</v>
      </c>
      <c r="U1758" s="1">
        <v>2002</v>
      </c>
      <c r="V1758" s="1">
        <v>1400</v>
      </c>
      <c r="W1758" s="1">
        <v>600</v>
      </c>
      <c r="X1758" s="1">
        <v>1000</v>
      </c>
      <c r="Y1758" s="1">
        <v>0</v>
      </c>
      <c r="Z1758" s="1">
        <v>0</v>
      </c>
      <c r="AA1758">
        <v>0</v>
      </c>
      <c r="AB1758" t="str">
        <f t="shared" si="27"/>
        <v>Not Defaulter</v>
      </c>
      <c r="AC1758" s="1">
        <f>Table2[[#This Row],[BILL_AMT1]]-Table2[[#This Row],[PAY_AMT1]]</f>
        <v>29177</v>
      </c>
      <c r="AD1758" s="1" t="str" cm="1">
        <f t="array" ref="AD1758">_xlfn.IFS(Table2[[#This Row],[PAYMENT GAP]]&lt;=0,"No Gap / Overpaid",Table2[[#This Row],[PAYMENT GAP]]&lt;=25000,"Low Gap",Table2[[#This Row],[PAYMENT GAP]]&lt;=100000,"Medium Gap",
TRUE,"High Gap"
)</f>
        <v>Medium Gap</v>
      </c>
    </row>
    <row r="1759" spans="1:30" x14ac:dyDescent="0.3">
      <c r="A1759">
        <v>1758</v>
      </c>
      <c r="B1759" s="1">
        <v>360000</v>
      </c>
      <c r="C1759" s="1" t="str" cm="1">
        <f t="array" ref="C1759">_xlfn.IFS(Table2[[#This Row],[LIMIT_BAL]]&lt;=100000,"Low",Table2[[#This Row],[LIMIT_BAL]]&lt;=300000,"Medium",
TRUE,"High"
)</f>
        <v>High</v>
      </c>
      <c r="D1759" t="s">
        <v>2041</v>
      </c>
      <c r="E1759" t="s">
        <v>2026</v>
      </c>
      <c r="F1759" t="s">
        <v>2029</v>
      </c>
      <c r="G1759">
        <v>32</v>
      </c>
      <c r="H1759" t="str" cm="1">
        <f t="array" ref="H1759">_xlfn.IFS(
Table2[[#This Row],[AGE]]&lt;30,"Young",
Table2[[#This Row],[AGE]]&lt;40,"Middle Age",
Table2[[#This Row],[AGE]]&lt;50,"Senior",
TRUE,"Super Senior"
)</f>
        <v>Middle Age</v>
      </c>
      <c r="I1759">
        <v>-2</v>
      </c>
      <c r="J1759">
        <v>-2</v>
      </c>
      <c r="K1759">
        <v>-2</v>
      </c>
      <c r="L1759">
        <v>-2</v>
      </c>
      <c r="M1759">
        <v>-2</v>
      </c>
      <c r="N1759">
        <v>-2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>
        <v>0</v>
      </c>
      <c r="AB1759" t="str">
        <f t="shared" si="27"/>
        <v>Not Defaulter</v>
      </c>
      <c r="AC1759" s="1">
        <f>Table2[[#This Row],[BILL_AMT1]]-Table2[[#This Row],[PAY_AMT1]]</f>
        <v>0</v>
      </c>
      <c r="AD1759" s="1" t="str" cm="1">
        <f t="array" ref="AD1759">_xlfn.IFS(Table2[[#This Row],[PAYMENT GAP]]&lt;=0,"No Gap / Overpaid",Table2[[#This Row],[PAYMENT GAP]]&lt;=25000,"Low Gap",Table2[[#This Row],[PAYMENT GAP]]&lt;=100000,"Medium Gap",
TRUE,"High Gap"
)</f>
        <v>No Gap / Overpaid</v>
      </c>
    </row>
    <row r="1760" spans="1:30" x14ac:dyDescent="0.3">
      <c r="A1760">
        <v>1759</v>
      </c>
      <c r="B1760" s="1">
        <v>80000</v>
      </c>
      <c r="C1760" s="1" t="str" cm="1">
        <f t="array" ref="C1760">_xlfn.IFS(Table2[[#This Row],[LIMIT_BAL]]&lt;=100000,"Low",Table2[[#This Row],[LIMIT_BAL]]&lt;=300000,"Medium",
TRUE,"High"
)</f>
        <v>Low</v>
      </c>
      <c r="D1760" t="s">
        <v>2041</v>
      </c>
      <c r="E1760" t="s">
        <v>2043</v>
      </c>
      <c r="F1760" t="s">
        <v>2028</v>
      </c>
      <c r="G1760">
        <v>36</v>
      </c>
      <c r="H1760" t="str" cm="1">
        <f t="array" ref="H1760">_xlfn.IFS(
Table2[[#This Row],[AGE]]&lt;30,"Young",
Table2[[#This Row],[AGE]]&lt;40,"Middle Age",
Table2[[#This Row],[AGE]]&lt;50,"Senior",
TRUE,"Super Senior"
)</f>
        <v>Middle Age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 s="1">
        <v>20366</v>
      </c>
      <c r="P1760" s="1">
        <v>21084</v>
      </c>
      <c r="Q1760" s="1">
        <v>22411</v>
      </c>
      <c r="R1760" s="1">
        <v>23624</v>
      </c>
      <c r="S1760" s="1">
        <v>23964</v>
      </c>
      <c r="T1760" s="1">
        <v>25661</v>
      </c>
      <c r="U1760" s="1">
        <v>1352</v>
      </c>
      <c r="V1760" s="1">
        <v>1679</v>
      </c>
      <c r="W1760" s="1">
        <v>1892</v>
      </c>
      <c r="X1760" s="1">
        <v>870</v>
      </c>
      <c r="Y1760" s="1">
        <v>2096</v>
      </c>
      <c r="Z1760" s="1">
        <v>0</v>
      </c>
      <c r="AA1760">
        <v>0</v>
      </c>
      <c r="AB1760" t="str">
        <f t="shared" si="27"/>
        <v>Not Defaulter</v>
      </c>
      <c r="AC1760" s="1">
        <f>Table2[[#This Row],[BILL_AMT1]]-Table2[[#This Row],[PAY_AMT1]]</f>
        <v>19014</v>
      </c>
      <c r="AD1760" s="1" t="str" cm="1">
        <f t="array" ref="AD1760">_xlfn.IFS(Table2[[#This Row],[PAYMENT GAP]]&lt;=0,"No Gap / Overpaid",Table2[[#This Row],[PAYMENT GAP]]&lt;=25000,"Low Gap",Table2[[#This Row],[PAYMENT GAP]]&lt;=100000,"Medium Gap",
TRUE,"High Gap"
)</f>
        <v>Low Gap</v>
      </c>
    </row>
    <row r="1761" spans="1:30" x14ac:dyDescent="0.3">
      <c r="A1761">
        <v>1760</v>
      </c>
      <c r="B1761" s="1">
        <v>50000</v>
      </c>
      <c r="C1761" s="1" t="str" cm="1">
        <f t="array" ref="C1761">_xlfn.IFS(Table2[[#This Row],[LIMIT_BAL]]&lt;=100000,"Low",Table2[[#This Row],[LIMIT_BAL]]&lt;=300000,"Medium",
TRUE,"High"
)</f>
        <v>Low</v>
      </c>
      <c r="D1761" t="s">
        <v>2042</v>
      </c>
      <c r="E1761" t="s">
        <v>2043</v>
      </c>
      <c r="F1761" t="s">
        <v>2029</v>
      </c>
      <c r="G1761">
        <v>26</v>
      </c>
      <c r="H1761" t="str" cm="1">
        <f t="array" ref="H1761">_xlfn.IFS(
Table2[[#This Row],[AGE]]&lt;30,"Young",
Table2[[#This Row],[AGE]]&lt;40,"Middle Age",
Table2[[#This Row],[AGE]]&lt;50,"Senior",
TRUE,"Super Senior"
)</f>
        <v>Young</v>
      </c>
      <c r="I1761">
        <v>1</v>
      </c>
      <c r="J1761">
        <v>-2</v>
      </c>
      <c r="K1761">
        <v>-2</v>
      </c>
      <c r="L1761">
        <v>-2</v>
      </c>
      <c r="M1761">
        <v>-2</v>
      </c>
      <c r="N1761">
        <v>-2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>
        <v>0</v>
      </c>
      <c r="AB1761" t="str">
        <f t="shared" si="27"/>
        <v>Not Defaulter</v>
      </c>
      <c r="AC1761" s="1">
        <f>Table2[[#This Row],[BILL_AMT1]]-Table2[[#This Row],[PAY_AMT1]]</f>
        <v>0</v>
      </c>
      <c r="AD1761" s="1" t="str" cm="1">
        <f t="array" ref="AD1761">_xlfn.IFS(Table2[[#This Row],[PAYMENT GAP]]&lt;=0,"No Gap / Overpaid",Table2[[#This Row],[PAYMENT GAP]]&lt;=25000,"Low Gap",Table2[[#This Row],[PAYMENT GAP]]&lt;=100000,"Medium Gap",
TRUE,"High Gap"
)</f>
        <v>No Gap / Overpaid</v>
      </c>
    </row>
    <row r="1762" spans="1:30" x14ac:dyDescent="0.3">
      <c r="A1762">
        <v>1761</v>
      </c>
      <c r="B1762" s="1">
        <v>290000</v>
      </c>
      <c r="C1762" s="1" t="str" cm="1">
        <f t="array" ref="C1762">_xlfn.IFS(Table2[[#This Row],[LIMIT_BAL]]&lt;=100000,"Low",Table2[[#This Row],[LIMIT_BAL]]&lt;=300000,"Medium",
TRUE,"High"
)</f>
        <v>Medium</v>
      </c>
      <c r="D1762" t="s">
        <v>2041</v>
      </c>
      <c r="E1762" t="s">
        <v>2026</v>
      </c>
      <c r="F1762" t="s">
        <v>2028</v>
      </c>
      <c r="G1762">
        <v>33</v>
      </c>
      <c r="H1762" t="str" cm="1">
        <f t="array" ref="H1762">_xlfn.IFS(
Table2[[#This Row],[AGE]]&lt;30,"Young",
Table2[[#This Row],[AGE]]&lt;40,"Middle Age",
Table2[[#This Row],[AGE]]&lt;50,"Senior",
TRUE,"Super Senior"
)</f>
        <v>Middle Age</v>
      </c>
      <c r="I1762">
        <v>1</v>
      </c>
      <c r="J1762">
        <v>2</v>
      </c>
      <c r="K1762">
        <v>-1</v>
      </c>
      <c r="L1762">
        <v>-1</v>
      </c>
      <c r="M1762">
        <v>-1</v>
      </c>
      <c r="N1762">
        <v>-1</v>
      </c>
      <c r="O1762" s="1">
        <v>7064</v>
      </c>
      <c r="P1762" s="1">
        <v>1875</v>
      </c>
      <c r="Q1762" s="1">
        <v>1814</v>
      </c>
      <c r="R1762" s="1">
        <v>8537</v>
      </c>
      <c r="S1762" s="1">
        <v>25576</v>
      </c>
      <c r="T1762" s="1">
        <v>13475</v>
      </c>
      <c r="U1762" s="1">
        <v>0</v>
      </c>
      <c r="V1762" s="1">
        <v>1814</v>
      </c>
      <c r="W1762" s="1">
        <v>8537</v>
      </c>
      <c r="X1762" s="1">
        <v>25576</v>
      </c>
      <c r="Y1762" s="1">
        <v>13475</v>
      </c>
      <c r="Z1762" s="1">
        <v>6000</v>
      </c>
      <c r="AA1762">
        <v>0</v>
      </c>
      <c r="AB1762" t="str">
        <f t="shared" si="27"/>
        <v>Not Defaulter</v>
      </c>
      <c r="AC1762" s="1">
        <f>Table2[[#This Row],[BILL_AMT1]]-Table2[[#This Row],[PAY_AMT1]]</f>
        <v>7064</v>
      </c>
      <c r="AD1762" s="1" t="str" cm="1">
        <f t="array" ref="AD1762">_xlfn.IFS(Table2[[#This Row],[PAYMENT GAP]]&lt;=0,"No Gap / Overpaid",Table2[[#This Row],[PAYMENT GAP]]&lt;=25000,"Low Gap",Table2[[#This Row],[PAYMENT GAP]]&lt;=100000,"Medium Gap",
TRUE,"High Gap"
)</f>
        <v>Low Gap</v>
      </c>
    </row>
    <row r="1763" spans="1:30" x14ac:dyDescent="0.3">
      <c r="A1763">
        <v>1762</v>
      </c>
      <c r="B1763" s="1">
        <v>200000</v>
      </c>
      <c r="C1763" s="1" t="str" cm="1">
        <f t="array" ref="C1763">_xlfn.IFS(Table2[[#This Row],[LIMIT_BAL]]&lt;=100000,"Low",Table2[[#This Row],[LIMIT_BAL]]&lt;=300000,"Medium",
TRUE,"High"
)</f>
        <v>Medium</v>
      </c>
      <c r="D1763" t="s">
        <v>2042</v>
      </c>
      <c r="E1763" t="s">
        <v>2026</v>
      </c>
      <c r="F1763" t="s">
        <v>2028</v>
      </c>
      <c r="G1763">
        <v>53</v>
      </c>
      <c r="H1763" t="str" cm="1">
        <f t="array" ref="H1763">_xlfn.IFS(
Table2[[#This Row],[AGE]]&lt;30,"Young",
Table2[[#This Row],[AGE]]&lt;40,"Middle Age",
Table2[[#This Row],[AGE]]&lt;50,"Senior",
TRUE,"Super Senior"
)</f>
        <v>Super Senior</v>
      </c>
      <c r="I1763">
        <v>0</v>
      </c>
      <c r="J1763">
        <v>0</v>
      </c>
      <c r="K1763">
        <v>-2</v>
      </c>
      <c r="L1763">
        <v>-2</v>
      </c>
      <c r="M1763">
        <v>-1</v>
      </c>
      <c r="N1763">
        <v>-1</v>
      </c>
      <c r="O1763" s="1">
        <v>195050</v>
      </c>
      <c r="P1763" s="1">
        <v>0</v>
      </c>
      <c r="Q1763" s="1">
        <v>0</v>
      </c>
      <c r="R1763" s="1">
        <v>0</v>
      </c>
      <c r="S1763" s="1">
        <v>1000</v>
      </c>
      <c r="T1763" s="1">
        <v>0</v>
      </c>
      <c r="U1763" s="1">
        <v>0</v>
      </c>
      <c r="V1763" s="1">
        <v>0</v>
      </c>
      <c r="W1763" s="1">
        <v>0</v>
      </c>
      <c r="X1763" s="1">
        <v>1000</v>
      </c>
      <c r="Y1763" s="1">
        <v>0</v>
      </c>
      <c r="Z1763" s="1">
        <v>0</v>
      </c>
      <c r="AA1763">
        <v>0</v>
      </c>
      <c r="AB1763" t="str">
        <f t="shared" si="27"/>
        <v>Not Defaulter</v>
      </c>
      <c r="AC1763" s="1">
        <f>Table2[[#This Row],[BILL_AMT1]]-Table2[[#This Row],[PAY_AMT1]]</f>
        <v>195050</v>
      </c>
      <c r="AD1763" s="1" t="str" cm="1">
        <f t="array" ref="AD1763">_xlfn.IFS(Table2[[#This Row],[PAYMENT GAP]]&lt;=0,"No Gap / Overpaid",Table2[[#This Row],[PAYMENT GAP]]&lt;=25000,"Low Gap",Table2[[#This Row],[PAYMENT GAP]]&lt;=100000,"Medium Gap",
TRUE,"High Gap"
)</f>
        <v>High Gap</v>
      </c>
    </row>
    <row r="1764" spans="1:30" x14ac:dyDescent="0.3">
      <c r="A1764">
        <v>1763</v>
      </c>
      <c r="B1764" s="1">
        <v>20000</v>
      </c>
      <c r="C1764" s="1" t="str" cm="1">
        <f t="array" ref="C1764">_xlfn.IFS(Table2[[#This Row],[LIMIT_BAL]]&lt;=100000,"Low",Table2[[#This Row],[LIMIT_BAL]]&lt;=300000,"Medium",
TRUE,"High"
)</f>
        <v>Low</v>
      </c>
      <c r="D1764" t="s">
        <v>2042</v>
      </c>
      <c r="E1764" t="s">
        <v>2043</v>
      </c>
      <c r="F1764" t="s">
        <v>2029</v>
      </c>
      <c r="G1764">
        <v>27</v>
      </c>
      <c r="H1764" t="str" cm="1">
        <f t="array" ref="H1764">_xlfn.IFS(
Table2[[#This Row],[AGE]]&lt;30,"Young",
Table2[[#This Row],[AGE]]&lt;40,"Middle Age",
Table2[[#This Row],[AGE]]&lt;50,"Senior",
TRUE,"Super Senior"
)</f>
        <v>Young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-2</v>
      </c>
      <c r="O1764" s="1">
        <v>18290</v>
      </c>
      <c r="P1764" s="1">
        <v>20144</v>
      </c>
      <c r="Q1764" s="1">
        <v>19106</v>
      </c>
      <c r="R1764" s="1">
        <v>19292</v>
      </c>
      <c r="S1764" s="1">
        <v>0</v>
      </c>
      <c r="T1764" s="1">
        <v>0</v>
      </c>
      <c r="U1764" s="1">
        <v>2458</v>
      </c>
      <c r="V1764" s="1">
        <v>1200</v>
      </c>
      <c r="W1764" s="1">
        <v>386</v>
      </c>
      <c r="X1764" s="1">
        <v>1000</v>
      </c>
      <c r="Y1764" s="1">
        <v>0</v>
      </c>
      <c r="Z1764" s="1">
        <v>0</v>
      </c>
      <c r="AA1764">
        <v>0</v>
      </c>
      <c r="AB1764" t="str">
        <f t="shared" si="27"/>
        <v>Not Defaulter</v>
      </c>
      <c r="AC1764" s="1">
        <f>Table2[[#This Row],[BILL_AMT1]]-Table2[[#This Row],[PAY_AMT1]]</f>
        <v>15832</v>
      </c>
      <c r="AD1764" s="1" t="str" cm="1">
        <f t="array" ref="AD1764">_xlfn.IFS(Table2[[#This Row],[PAYMENT GAP]]&lt;=0,"No Gap / Overpaid",Table2[[#This Row],[PAYMENT GAP]]&lt;=25000,"Low Gap",Table2[[#This Row],[PAYMENT GAP]]&lt;=100000,"Medium Gap",
TRUE,"High Gap"
)</f>
        <v>Low Gap</v>
      </c>
    </row>
    <row r="1765" spans="1:30" x14ac:dyDescent="0.3">
      <c r="A1765">
        <v>1764</v>
      </c>
      <c r="B1765" s="1">
        <v>500000</v>
      </c>
      <c r="C1765" s="1" t="str" cm="1">
        <f t="array" ref="C1765">_xlfn.IFS(Table2[[#This Row],[LIMIT_BAL]]&lt;=100000,"Low",Table2[[#This Row],[LIMIT_BAL]]&lt;=300000,"Medium",
TRUE,"High"
)</f>
        <v>High</v>
      </c>
      <c r="D1765" t="s">
        <v>2042</v>
      </c>
      <c r="E1765" t="s">
        <v>2026</v>
      </c>
      <c r="F1765" t="s">
        <v>2029</v>
      </c>
      <c r="G1765">
        <v>33</v>
      </c>
      <c r="H1765" t="str" cm="1">
        <f t="array" ref="H1765">_xlfn.IFS(
Table2[[#This Row],[AGE]]&lt;30,"Young",
Table2[[#This Row],[AGE]]&lt;40,"Middle Age",
Table2[[#This Row],[AGE]]&lt;50,"Senior",
TRUE,"Super Senior"
)</f>
        <v>Middle Age</v>
      </c>
      <c r="I1765">
        <v>-1</v>
      </c>
      <c r="J1765">
        <v>-1</v>
      </c>
      <c r="K1765">
        <v>-1</v>
      </c>
      <c r="L1765">
        <v>-2</v>
      </c>
      <c r="M1765">
        <v>-1</v>
      </c>
      <c r="N1765">
        <v>-1</v>
      </c>
      <c r="O1765" s="1">
        <v>5379</v>
      </c>
      <c r="P1765" s="1">
        <v>2062</v>
      </c>
      <c r="Q1765" s="1">
        <v>10515</v>
      </c>
      <c r="R1765" s="1">
        <v>4158</v>
      </c>
      <c r="S1765" s="1">
        <v>7958</v>
      </c>
      <c r="T1765" s="1">
        <v>-196</v>
      </c>
      <c r="U1765" s="1">
        <v>2065</v>
      </c>
      <c r="V1765" s="1">
        <v>10556</v>
      </c>
      <c r="W1765" s="1">
        <v>4170</v>
      </c>
      <c r="X1765" s="1">
        <v>7963</v>
      </c>
      <c r="Y1765" s="1">
        <v>196</v>
      </c>
      <c r="Z1765" s="1">
        <v>7083</v>
      </c>
      <c r="AA1765">
        <v>0</v>
      </c>
      <c r="AB1765" t="str">
        <f t="shared" si="27"/>
        <v>Not Defaulter</v>
      </c>
      <c r="AC1765" s="1">
        <f>Table2[[#This Row],[BILL_AMT1]]-Table2[[#This Row],[PAY_AMT1]]</f>
        <v>3314</v>
      </c>
      <c r="AD1765" s="1" t="str" cm="1">
        <f t="array" ref="AD1765">_xlfn.IFS(Table2[[#This Row],[PAYMENT GAP]]&lt;=0,"No Gap / Overpaid",Table2[[#This Row],[PAYMENT GAP]]&lt;=25000,"Low Gap",Table2[[#This Row],[PAYMENT GAP]]&lt;=100000,"Medium Gap",
TRUE,"High Gap"
)</f>
        <v>Low Gap</v>
      </c>
    </row>
    <row r="1766" spans="1:30" x14ac:dyDescent="0.3">
      <c r="A1766">
        <v>1765</v>
      </c>
      <c r="B1766" s="1">
        <v>130000</v>
      </c>
      <c r="C1766" s="1" t="str" cm="1">
        <f t="array" ref="C1766">_xlfn.IFS(Table2[[#This Row],[LIMIT_BAL]]&lt;=100000,"Low",Table2[[#This Row],[LIMIT_BAL]]&lt;=300000,"Medium",
TRUE,"High"
)</f>
        <v>Medium</v>
      </c>
      <c r="D1766" t="s">
        <v>2041</v>
      </c>
      <c r="E1766" t="s">
        <v>2026</v>
      </c>
      <c r="F1766" t="s">
        <v>2029</v>
      </c>
      <c r="G1766">
        <v>26</v>
      </c>
      <c r="H1766" t="str" cm="1">
        <f t="array" ref="H1766">_xlfn.IFS(
Table2[[#This Row],[AGE]]&lt;30,"Young",
Table2[[#This Row],[AGE]]&lt;40,"Middle Age",
Table2[[#This Row],[AGE]]&lt;50,"Senior",
TRUE,"Super Senior"
)</f>
        <v>Young</v>
      </c>
      <c r="I1766">
        <v>1</v>
      </c>
      <c r="J1766">
        <v>2</v>
      </c>
      <c r="K1766">
        <v>2</v>
      </c>
      <c r="L1766">
        <v>2</v>
      </c>
      <c r="M1766">
        <v>2</v>
      </c>
      <c r="N1766">
        <v>2</v>
      </c>
      <c r="O1766" s="1">
        <v>22415</v>
      </c>
      <c r="P1766" s="1">
        <v>21146</v>
      </c>
      <c r="Q1766" s="1">
        <v>23647</v>
      </c>
      <c r="R1766" s="1">
        <v>22984</v>
      </c>
      <c r="S1766" s="1">
        <v>24315</v>
      </c>
      <c r="T1766" s="1">
        <v>23155</v>
      </c>
      <c r="U1766" s="1">
        <v>0</v>
      </c>
      <c r="V1766" s="1">
        <v>3500</v>
      </c>
      <c r="W1766" s="1">
        <v>0</v>
      </c>
      <c r="X1766" s="1">
        <v>2000</v>
      </c>
      <c r="Y1766" s="1">
        <v>0</v>
      </c>
      <c r="Z1766" s="1">
        <v>2000</v>
      </c>
      <c r="AA1766">
        <v>0</v>
      </c>
      <c r="AB1766" t="str">
        <f t="shared" si="27"/>
        <v>Not Defaulter</v>
      </c>
      <c r="AC1766" s="1">
        <f>Table2[[#This Row],[BILL_AMT1]]-Table2[[#This Row],[PAY_AMT1]]</f>
        <v>22415</v>
      </c>
      <c r="AD1766" s="1" t="str" cm="1">
        <f t="array" ref="AD1766">_xlfn.IFS(Table2[[#This Row],[PAYMENT GAP]]&lt;=0,"No Gap / Overpaid",Table2[[#This Row],[PAYMENT GAP]]&lt;=25000,"Low Gap",Table2[[#This Row],[PAYMENT GAP]]&lt;=100000,"Medium Gap",
TRUE,"High Gap"
)</f>
        <v>Low Gap</v>
      </c>
    </row>
    <row r="1767" spans="1:30" x14ac:dyDescent="0.3">
      <c r="A1767">
        <v>1766</v>
      </c>
      <c r="B1767" s="1">
        <v>30000</v>
      </c>
      <c r="C1767" s="1" t="str" cm="1">
        <f t="array" ref="C1767">_xlfn.IFS(Table2[[#This Row],[LIMIT_BAL]]&lt;=100000,"Low",Table2[[#This Row],[LIMIT_BAL]]&lt;=300000,"Medium",
TRUE,"High"
)</f>
        <v>Low</v>
      </c>
      <c r="D1767" t="s">
        <v>2041</v>
      </c>
      <c r="E1767" t="s">
        <v>2026</v>
      </c>
      <c r="F1767" t="s">
        <v>2029</v>
      </c>
      <c r="G1767">
        <v>27</v>
      </c>
      <c r="H1767" t="str" cm="1">
        <f t="array" ref="H1767">_xlfn.IFS(
Table2[[#This Row],[AGE]]&lt;30,"Young",
Table2[[#This Row],[AGE]]&lt;40,"Middle Age",
Table2[[#This Row],[AGE]]&lt;50,"Senior",
TRUE,"Super Senior"
)</f>
        <v>Young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 s="1">
        <v>23447</v>
      </c>
      <c r="P1767" s="1">
        <v>24563</v>
      </c>
      <c r="Q1767" s="1">
        <v>25650</v>
      </c>
      <c r="R1767" s="1">
        <v>26222</v>
      </c>
      <c r="S1767" s="1">
        <v>26800</v>
      </c>
      <c r="T1767" s="1">
        <v>27554</v>
      </c>
      <c r="U1767" s="1">
        <v>1500</v>
      </c>
      <c r="V1767" s="1">
        <v>1500</v>
      </c>
      <c r="W1767" s="1">
        <v>1000</v>
      </c>
      <c r="X1767" s="1">
        <v>1000</v>
      </c>
      <c r="Y1767" s="1">
        <v>1200</v>
      </c>
      <c r="Z1767" s="1">
        <v>4271</v>
      </c>
      <c r="AA1767">
        <v>1</v>
      </c>
      <c r="AB1767" t="str">
        <f t="shared" si="27"/>
        <v>Defaulter</v>
      </c>
      <c r="AC1767" s="1">
        <f>Table2[[#This Row],[BILL_AMT1]]-Table2[[#This Row],[PAY_AMT1]]</f>
        <v>21947</v>
      </c>
      <c r="AD1767" s="1" t="str" cm="1">
        <f t="array" ref="AD1767">_xlfn.IFS(Table2[[#This Row],[PAYMENT GAP]]&lt;=0,"No Gap / Overpaid",Table2[[#This Row],[PAYMENT GAP]]&lt;=25000,"Low Gap",Table2[[#This Row],[PAYMENT GAP]]&lt;=100000,"Medium Gap",
TRUE,"High Gap"
)</f>
        <v>Low Gap</v>
      </c>
    </row>
    <row r="1768" spans="1:30" x14ac:dyDescent="0.3">
      <c r="A1768">
        <v>1767</v>
      </c>
      <c r="B1768" s="1">
        <v>20000</v>
      </c>
      <c r="C1768" s="1" t="str" cm="1">
        <f t="array" ref="C1768">_xlfn.IFS(Table2[[#This Row],[LIMIT_BAL]]&lt;=100000,"Low",Table2[[#This Row],[LIMIT_BAL]]&lt;=300000,"Medium",
TRUE,"High"
)</f>
        <v>Low</v>
      </c>
      <c r="D1768" t="s">
        <v>2041</v>
      </c>
      <c r="E1768" t="s">
        <v>2026</v>
      </c>
      <c r="F1768" t="s">
        <v>2029</v>
      </c>
      <c r="G1768">
        <v>24</v>
      </c>
      <c r="H1768" t="str" cm="1">
        <f t="array" ref="H1768">_xlfn.IFS(
Table2[[#This Row],[AGE]]&lt;30,"Young",
Table2[[#This Row],[AGE]]&lt;40,"Middle Age",
Table2[[#This Row],[AGE]]&lt;50,"Senior",
TRUE,"Super Senior"
)</f>
        <v>Young</v>
      </c>
      <c r="I1768">
        <v>2</v>
      </c>
      <c r="J1768">
        <v>2</v>
      </c>
      <c r="K1768">
        <v>2</v>
      </c>
      <c r="L1768">
        <v>0</v>
      </c>
      <c r="M1768">
        <v>0</v>
      </c>
      <c r="N1768">
        <v>0</v>
      </c>
      <c r="O1768" s="1">
        <v>7919</v>
      </c>
      <c r="P1768" s="1">
        <v>8637</v>
      </c>
      <c r="Q1768" s="1">
        <v>9339</v>
      </c>
      <c r="R1768" s="1">
        <v>10029</v>
      </c>
      <c r="S1768" s="1">
        <v>10615</v>
      </c>
      <c r="T1768" s="1">
        <v>11285</v>
      </c>
      <c r="U1768" s="1">
        <v>1000</v>
      </c>
      <c r="V1768" s="1">
        <v>1000</v>
      </c>
      <c r="W1768" s="1">
        <v>1000</v>
      </c>
      <c r="X1768" s="1">
        <v>900</v>
      </c>
      <c r="Y1768" s="1">
        <v>1000</v>
      </c>
      <c r="Z1768" s="1">
        <v>500</v>
      </c>
      <c r="AA1768">
        <v>1</v>
      </c>
      <c r="AB1768" t="str">
        <f t="shared" si="27"/>
        <v>Defaulter</v>
      </c>
      <c r="AC1768" s="1">
        <f>Table2[[#This Row],[BILL_AMT1]]-Table2[[#This Row],[PAY_AMT1]]</f>
        <v>6919</v>
      </c>
      <c r="AD1768" s="1" t="str" cm="1">
        <f t="array" ref="AD1768">_xlfn.IFS(Table2[[#This Row],[PAYMENT GAP]]&lt;=0,"No Gap / Overpaid",Table2[[#This Row],[PAYMENT GAP]]&lt;=25000,"Low Gap",Table2[[#This Row],[PAYMENT GAP]]&lt;=100000,"Medium Gap",
TRUE,"High Gap"
)</f>
        <v>Low Gap</v>
      </c>
    </row>
    <row r="1769" spans="1:30" x14ac:dyDescent="0.3">
      <c r="A1769">
        <v>1768</v>
      </c>
      <c r="B1769" s="1">
        <v>70000</v>
      </c>
      <c r="C1769" s="1" t="str" cm="1">
        <f t="array" ref="C1769">_xlfn.IFS(Table2[[#This Row],[LIMIT_BAL]]&lt;=100000,"Low",Table2[[#This Row],[LIMIT_BAL]]&lt;=300000,"Medium",
TRUE,"High"
)</f>
        <v>Low</v>
      </c>
      <c r="D1769" t="s">
        <v>2041</v>
      </c>
      <c r="E1769" t="s">
        <v>2043</v>
      </c>
      <c r="F1769" t="s">
        <v>2029</v>
      </c>
      <c r="G1769">
        <v>26</v>
      </c>
      <c r="H1769" t="str" cm="1">
        <f t="array" ref="H1769">_xlfn.IFS(
Table2[[#This Row],[AGE]]&lt;30,"Young",
Table2[[#This Row],[AGE]]&lt;40,"Middle Age",
Table2[[#This Row],[AGE]]&lt;50,"Senior",
TRUE,"Super Senior"
)</f>
        <v>Young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 s="1">
        <v>30139</v>
      </c>
      <c r="P1769" s="1">
        <v>8241</v>
      </c>
      <c r="Q1769" s="1">
        <v>8398</v>
      </c>
      <c r="R1769" s="1">
        <v>8864</v>
      </c>
      <c r="S1769" s="1">
        <v>9301</v>
      </c>
      <c r="T1769" s="1">
        <v>10702</v>
      </c>
      <c r="U1769" s="1">
        <v>2000</v>
      </c>
      <c r="V1769" s="1">
        <v>2000</v>
      </c>
      <c r="W1769" s="1">
        <v>2000</v>
      </c>
      <c r="X1769" s="1">
        <v>2000</v>
      </c>
      <c r="Y1769" s="1">
        <v>3000</v>
      </c>
      <c r="Z1769" s="1">
        <v>1500</v>
      </c>
      <c r="AA1769">
        <v>0</v>
      </c>
      <c r="AB1769" t="str">
        <f t="shared" si="27"/>
        <v>Not Defaulter</v>
      </c>
      <c r="AC1769" s="1">
        <f>Table2[[#This Row],[BILL_AMT1]]-Table2[[#This Row],[PAY_AMT1]]</f>
        <v>28139</v>
      </c>
      <c r="AD1769" s="1" t="str" cm="1">
        <f t="array" ref="AD1769">_xlfn.IFS(Table2[[#This Row],[PAYMENT GAP]]&lt;=0,"No Gap / Overpaid",Table2[[#This Row],[PAYMENT GAP]]&lt;=25000,"Low Gap",Table2[[#This Row],[PAYMENT GAP]]&lt;=100000,"Medium Gap",
TRUE,"High Gap"
)</f>
        <v>Medium Gap</v>
      </c>
    </row>
    <row r="1770" spans="1:30" x14ac:dyDescent="0.3">
      <c r="A1770">
        <v>1769</v>
      </c>
      <c r="B1770" s="1">
        <v>200000</v>
      </c>
      <c r="C1770" s="1" t="str" cm="1">
        <f t="array" ref="C1770">_xlfn.IFS(Table2[[#This Row],[LIMIT_BAL]]&lt;=100000,"Low",Table2[[#This Row],[LIMIT_BAL]]&lt;=300000,"Medium",
TRUE,"High"
)</f>
        <v>Medium</v>
      </c>
      <c r="D1770" t="s">
        <v>2042</v>
      </c>
      <c r="E1770" t="s">
        <v>2026</v>
      </c>
      <c r="F1770" t="s">
        <v>2029</v>
      </c>
      <c r="G1770">
        <v>27</v>
      </c>
      <c r="H1770" t="str" cm="1">
        <f t="array" ref="H1770">_xlfn.IFS(
Table2[[#This Row],[AGE]]&lt;30,"Young",
Table2[[#This Row],[AGE]]&lt;40,"Middle Age",
Table2[[#This Row],[AGE]]&lt;50,"Senior",
TRUE,"Super Senior"
)</f>
        <v>Young</v>
      </c>
      <c r="I1770">
        <v>-1</v>
      </c>
      <c r="J1770">
        <v>-1</v>
      </c>
      <c r="K1770">
        <v>-1</v>
      </c>
      <c r="L1770">
        <v>-1</v>
      </c>
      <c r="M1770">
        <v>-1</v>
      </c>
      <c r="N1770">
        <v>-1</v>
      </c>
      <c r="O1770" s="1">
        <v>4890</v>
      </c>
      <c r="P1770" s="1">
        <v>3630</v>
      </c>
      <c r="Q1770" s="1">
        <v>4882</v>
      </c>
      <c r="R1770" s="1">
        <v>10955</v>
      </c>
      <c r="S1770" s="1">
        <v>10435</v>
      </c>
      <c r="T1770" s="1">
        <v>1665</v>
      </c>
      <c r="U1770" s="1">
        <v>3630</v>
      </c>
      <c r="V1770" s="1">
        <v>4882</v>
      </c>
      <c r="W1770" s="1">
        <v>11034</v>
      </c>
      <c r="X1770" s="1">
        <v>10435</v>
      </c>
      <c r="Y1770" s="1">
        <v>1665</v>
      </c>
      <c r="Z1770" s="1">
        <v>3765</v>
      </c>
      <c r="AA1770">
        <v>0</v>
      </c>
      <c r="AB1770" t="str">
        <f t="shared" si="27"/>
        <v>Not Defaulter</v>
      </c>
      <c r="AC1770" s="1">
        <f>Table2[[#This Row],[BILL_AMT1]]-Table2[[#This Row],[PAY_AMT1]]</f>
        <v>1260</v>
      </c>
      <c r="AD1770" s="1" t="str" cm="1">
        <f t="array" ref="AD1770">_xlfn.IFS(Table2[[#This Row],[PAYMENT GAP]]&lt;=0,"No Gap / Overpaid",Table2[[#This Row],[PAYMENT GAP]]&lt;=25000,"Low Gap",Table2[[#This Row],[PAYMENT GAP]]&lt;=100000,"Medium Gap",
TRUE,"High Gap"
)</f>
        <v>Low Gap</v>
      </c>
    </row>
    <row r="1771" spans="1:30" x14ac:dyDescent="0.3">
      <c r="A1771">
        <v>1770</v>
      </c>
      <c r="B1771" s="1">
        <v>50000</v>
      </c>
      <c r="C1771" s="1" t="str" cm="1">
        <f t="array" ref="C1771">_xlfn.IFS(Table2[[#This Row],[LIMIT_BAL]]&lt;=100000,"Low",Table2[[#This Row],[LIMIT_BAL]]&lt;=300000,"Medium",
TRUE,"High"
)</f>
        <v>Low</v>
      </c>
      <c r="D1771" t="s">
        <v>2041</v>
      </c>
      <c r="E1771" t="s">
        <v>2043</v>
      </c>
      <c r="F1771" t="s">
        <v>2028</v>
      </c>
      <c r="G1771">
        <v>46</v>
      </c>
      <c r="H1771" t="str" cm="1">
        <f t="array" ref="H1771">_xlfn.IFS(
Table2[[#This Row],[AGE]]&lt;30,"Young",
Table2[[#This Row],[AGE]]&lt;40,"Middle Age",
Table2[[#This Row],[AGE]]&lt;50,"Senior",
TRUE,"Super Senior"
)</f>
        <v>Senior</v>
      </c>
      <c r="I1771">
        <v>-1</v>
      </c>
      <c r="J1771">
        <v>-1</v>
      </c>
      <c r="K1771">
        <v>-1</v>
      </c>
      <c r="L1771">
        <v>-1</v>
      </c>
      <c r="M1771">
        <v>-1</v>
      </c>
      <c r="N1771">
        <v>-1</v>
      </c>
      <c r="O1771" s="1">
        <v>569</v>
      </c>
      <c r="P1771" s="1">
        <v>1436</v>
      </c>
      <c r="Q1771" s="1">
        <v>3220</v>
      </c>
      <c r="R1771" s="1">
        <v>6592</v>
      </c>
      <c r="S1771" s="1">
        <v>5085</v>
      </c>
      <c r="T1771" s="1">
        <v>1050</v>
      </c>
      <c r="U1771" s="1">
        <v>1440</v>
      </c>
      <c r="V1771" s="1">
        <v>3224</v>
      </c>
      <c r="W1771" s="1">
        <v>6621</v>
      </c>
      <c r="X1771" s="1">
        <v>5396</v>
      </c>
      <c r="Y1771" s="1">
        <v>1050</v>
      </c>
      <c r="Z1771" s="1">
        <v>0</v>
      </c>
      <c r="AA1771">
        <v>1</v>
      </c>
      <c r="AB1771" t="str">
        <f t="shared" si="27"/>
        <v>Defaulter</v>
      </c>
      <c r="AC1771" s="1">
        <f>Table2[[#This Row],[BILL_AMT1]]-Table2[[#This Row],[PAY_AMT1]]</f>
        <v>-871</v>
      </c>
      <c r="AD1771" s="1" t="str" cm="1">
        <f t="array" ref="AD1771">_xlfn.IFS(Table2[[#This Row],[PAYMENT GAP]]&lt;=0,"No Gap / Overpaid",Table2[[#This Row],[PAYMENT GAP]]&lt;=25000,"Low Gap",Table2[[#This Row],[PAYMENT GAP]]&lt;=100000,"Medium Gap",
TRUE,"High Gap"
)</f>
        <v>No Gap / Overpaid</v>
      </c>
    </row>
    <row r="1772" spans="1:30" x14ac:dyDescent="0.3">
      <c r="A1772">
        <v>1771</v>
      </c>
      <c r="B1772" s="1">
        <v>360000</v>
      </c>
      <c r="C1772" s="1" t="str" cm="1">
        <f t="array" ref="C1772">_xlfn.IFS(Table2[[#This Row],[LIMIT_BAL]]&lt;=100000,"Low",Table2[[#This Row],[LIMIT_BAL]]&lt;=300000,"Medium",
TRUE,"High"
)</f>
        <v>High</v>
      </c>
      <c r="D1772" t="s">
        <v>2042</v>
      </c>
      <c r="E1772" t="s">
        <v>2043</v>
      </c>
      <c r="F1772" t="s">
        <v>2028</v>
      </c>
      <c r="G1772">
        <v>56</v>
      </c>
      <c r="H1772" t="str" cm="1">
        <f t="array" ref="H1772">_xlfn.IFS(
Table2[[#This Row],[AGE]]&lt;30,"Young",
Table2[[#This Row],[AGE]]&lt;40,"Middle Age",
Table2[[#This Row],[AGE]]&lt;50,"Senior",
TRUE,"Super Senior"
)</f>
        <v>Super Senior</v>
      </c>
      <c r="I1772">
        <v>-1</v>
      </c>
      <c r="J1772">
        <v>-1</v>
      </c>
      <c r="K1772">
        <v>-1</v>
      </c>
      <c r="L1772">
        <v>-1</v>
      </c>
      <c r="M1772">
        <v>-1</v>
      </c>
      <c r="N1772">
        <v>-1</v>
      </c>
      <c r="O1772" s="1">
        <v>750</v>
      </c>
      <c r="P1772" s="1">
        <v>1224</v>
      </c>
      <c r="Q1772" s="1">
        <v>3206</v>
      </c>
      <c r="R1772" s="1">
        <v>291</v>
      </c>
      <c r="S1772" s="1">
        <v>951</v>
      </c>
      <c r="T1772" s="1">
        <v>2941</v>
      </c>
      <c r="U1772" s="1">
        <v>1236</v>
      </c>
      <c r="V1772" s="1">
        <v>3537</v>
      </c>
      <c r="W1772" s="1">
        <v>291</v>
      </c>
      <c r="X1772" s="1">
        <v>951</v>
      </c>
      <c r="Y1772" s="1">
        <v>2941</v>
      </c>
      <c r="Z1772" s="1">
        <v>291</v>
      </c>
      <c r="AA1772">
        <v>0</v>
      </c>
      <c r="AB1772" t="str">
        <f t="shared" si="27"/>
        <v>Not Defaulter</v>
      </c>
      <c r="AC1772" s="1">
        <f>Table2[[#This Row],[BILL_AMT1]]-Table2[[#This Row],[PAY_AMT1]]</f>
        <v>-486</v>
      </c>
      <c r="AD1772" s="1" t="str" cm="1">
        <f t="array" ref="AD1772">_xlfn.IFS(Table2[[#This Row],[PAYMENT GAP]]&lt;=0,"No Gap / Overpaid",Table2[[#This Row],[PAYMENT GAP]]&lt;=25000,"Low Gap",Table2[[#This Row],[PAYMENT GAP]]&lt;=100000,"Medium Gap",
TRUE,"High Gap"
)</f>
        <v>No Gap / Overpaid</v>
      </c>
    </row>
    <row r="1773" spans="1:30" x14ac:dyDescent="0.3">
      <c r="A1773">
        <v>1772</v>
      </c>
      <c r="B1773" s="1">
        <v>50000</v>
      </c>
      <c r="C1773" s="1" t="str" cm="1">
        <f t="array" ref="C1773">_xlfn.IFS(Table2[[#This Row],[LIMIT_BAL]]&lt;=100000,"Low",Table2[[#This Row],[LIMIT_BAL]]&lt;=300000,"Medium",
TRUE,"High"
)</f>
        <v>Low</v>
      </c>
      <c r="D1773" t="s">
        <v>2041</v>
      </c>
      <c r="E1773" t="s">
        <v>2027</v>
      </c>
      <c r="F1773" t="s">
        <v>2028</v>
      </c>
      <c r="G1773">
        <v>56</v>
      </c>
      <c r="H1773" t="str" cm="1">
        <f t="array" ref="H1773">_xlfn.IFS(
Table2[[#This Row],[AGE]]&lt;30,"Young",
Table2[[#This Row],[AGE]]&lt;40,"Middle Age",
Table2[[#This Row],[AGE]]&lt;50,"Senior",
TRUE,"Super Senior"
)</f>
        <v>Super Senior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 s="1">
        <v>33197</v>
      </c>
      <c r="P1773" s="1">
        <v>34961</v>
      </c>
      <c r="Q1773" s="1">
        <v>28913</v>
      </c>
      <c r="R1773" s="1">
        <v>29093</v>
      </c>
      <c r="S1773" s="1">
        <v>29306</v>
      </c>
      <c r="T1773" s="1">
        <v>29506</v>
      </c>
      <c r="U1773" s="1">
        <v>2407</v>
      </c>
      <c r="V1773" s="1">
        <v>2960</v>
      </c>
      <c r="W1773" s="1">
        <v>1029</v>
      </c>
      <c r="X1773" s="1">
        <v>1059</v>
      </c>
      <c r="Y1773" s="1">
        <v>1073</v>
      </c>
      <c r="Z1773" s="1">
        <v>1200</v>
      </c>
      <c r="AA1773">
        <v>0</v>
      </c>
      <c r="AB1773" t="str">
        <f t="shared" si="27"/>
        <v>Not Defaulter</v>
      </c>
      <c r="AC1773" s="1">
        <f>Table2[[#This Row],[BILL_AMT1]]-Table2[[#This Row],[PAY_AMT1]]</f>
        <v>30790</v>
      </c>
      <c r="AD1773" s="1" t="str" cm="1">
        <f t="array" ref="AD1773">_xlfn.IFS(Table2[[#This Row],[PAYMENT GAP]]&lt;=0,"No Gap / Overpaid",Table2[[#This Row],[PAYMENT GAP]]&lt;=25000,"Low Gap",Table2[[#This Row],[PAYMENT GAP]]&lt;=100000,"Medium Gap",
TRUE,"High Gap"
)</f>
        <v>Medium Gap</v>
      </c>
    </row>
    <row r="1774" spans="1:30" x14ac:dyDescent="0.3">
      <c r="A1774">
        <v>1773</v>
      </c>
      <c r="B1774" s="1">
        <v>180000</v>
      </c>
      <c r="C1774" s="1" t="str" cm="1">
        <f t="array" ref="C1774">_xlfn.IFS(Table2[[#This Row],[LIMIT_BAL]]&lt;=100000,"Low",Table2[[#This Row],[LIMIT_BAL]]&lt;=300000,"Medium",
TRUE,"High"
)</f>
        <v>Medium</v>
      </c>
      <c r="D1774" t="s">
        <v>2041</v>
      </c>
      <c r="E1774" t="s">
        <v>2027</v>
      </c>
      <c r="F1774" t="s">
        <v>2028</v>
      </c>
      <c r="G1774">
        <v>26</v>
      </c>
      <c r="H1774" t="str" cm="1">
        <f t="array" ref="H1774">_xlfn.IFS(
Table2[[#This Row],[AGE]]&lt;30,"Young",
Table2[[#This Row],[AGE]]&lt;40,"Middle Age",
Table2[[#This Row],[AGE]]&lt;50,"Senior",
TRUE,"Super Senior"
)</f>
        <v>Young</v>
      </c>
      <c r="I1774">
        <v>0</v>
      </c>
      <c r="J1774">
        <v>0</v>
      </c>
      <c r="K1774">
        <v>0</v>
      </c>
      <c r="L1774">
        <v>-2</v>
      </c>
      <c r="M1774">
        <v>-2</v>
      </c>
      <c r="N1774">
        <v>-2</v>
      </c>
      <c r="O1774" s="1">
        <v>32023</v>
      </c>
      <c r="P1774" s="1">
        <v>20233</v>
      </c>
      <c r="Q1774" s="1">
        <v>0</v>
      </c>
      <c r="R1774" s="1">
        <v>0</v>
      </c>
      <c r="S1774" s="1">
        <v>0</v>
      </c>
      <c r="T1774" s="1">
        <v>0</v>
      </c>
      <c r="U1774" s="1">
        <v>10000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>
        <v>0</v>
      </c>
      <c r="AB1774" t="str">
        <f t="shared" si="27"/>
        <v>Not Defaulter</v>
      </c>
      <c r="AC1774" s="1">
        <f>Table2[[#This Row],[BILL_AMT1]]-Table2[[#This Row],[PAY_AMT1]]</f>
        <v>22023</v>
      </c>
      <c r="AD1774" s="1" t="str" cm="1">
        <f t="array" ref="AD1774">_xlfn.IFS(Table2[[#This Row],[PAYMENT GAP]]&lt;=0,"No Gap / Overpaid",Table2[[#This Row],[PAYMENT GAP]]&lt;=25000,"Low Gap",Table2[[#This Row],[PAYMENT GAP]]&lt;=100000,"Medium Gap",
TRUE,"High Gap"
)</f>
        <v>Low Gap</v>
      </c>
    </row>
    <row r="1775" spans="1:30" x14ac:dyDescent="0.3">
      <c r="A1775">
        <v>1774</v>
      </c>
      <c r="B1775" s="1">
        <v>50000</v>
      </c>
      <c r="C1775" s="1" t="str" cm="1">
        <f t="array" ref="C1775">_xlfn.IFS(Table2[[#This Row],[LIMIT_BAL]]&lt;=100000,"Low",Table2[[#This Row],[LIMIT_BAL]]&lt;=300000,"Medium",
TRUE,"High"
)</f>
        <v>Low</v>
      </c>
      <c r="D1775" t="s">
        <v>2042</v>
      </c>
      <c r="E1775" t="s">
        <v>2043</v>
      </c>
      <c r="F1775" t="s">
        <v>2029</v>
      </c>
      <c r="G1775">
        <v>25</v>
      </c>
      <c r="H1775" t="str" cm="1">
        <f t="array" ref="H1775">_xlfn.IFS(
Table2[[#This Row],[AGE]]&lt;30,"Young",
Table2[[#This Row],[AGE]]&lt;40,"Middle Age",
Table2[[#This Row],[AGE]]&lt;50,"Senior",
TRUE,"Super Senior"
)</f>
        <v>Young</v>
      </c>
      <c r="I1775">
        <v>2</v>
      </c>
      <c r="J1775">
        <v>2</v>
      </c>
      <c r="K1775">
        <v>0</v>
      </c>
      <c r="L1775">
        <v>0</v>
      </c>
      <c r="M1775">
        <v>0</v>
      </c>
      <c r="N1775">
        <v>2</v>
      </c>
      <c r="O1775" s="1">
        <v>7180</v>
      </c>
      <c r="P1775" s="1">
        <v>6922</v>
      </c>
      <c r="Q1775" s="1">
        <v>7849</v>
      </c>
      <c r="R1775" s="1">
        <v>8018</v>
      </c>
      <c r="S1775" s="1">
        <v>8884</v>
      </c>
      <c r="T1775" s="1">
        <v>8593</v>
      </c>
      <c r="U1775" s="1">
        <v>0</v>
      </c>
      <c r="V1775" s="1">
        <v>1200</v>
      </c>
      <c r="W1775" s="1">
        <v>300</v>
      </c>
      <c r="X1775" s="1">
        <v>1000</v>
      </c>
      <c r="Y1775" s="1">
        <v>0</v>
      </c>
      <c r="Z1775" s="1">
        <v>1000</v>
      </c>
      <c r="AA1775">
        <v>1</v>
      </c>
      <c r="AB1775" t="str">
        <f t="shared" si="27"/>
        <v>Defaulter</v>
      </c>
      <c r="AC1775" s="1">
        <f>Table2[[#This Row],[BILL_AMT1]]-Table2[[#This Row],[PAY_AMT1]]</f>
        <v>7180</v>
      </c>
      <c r="AD1775" s="1" t="str" cm="1">
        <f t="array" ref="AD1775">_xlfn.IFS(Table2[[#This Row],[PAYMENT GAP]]&lt;=0,"No Gap / Overpaid",Table2[[#This Row],[PAYMENT GAP]]&lt;=25000,"Low Gap",Table2[[#This Row],[PAYMENT GAP]]&lt;=100000,"Medium Gap",
TRUE,"High Gap"
)</f>
        <v>Low Gap</v>
      </c>
    </row>
    <row r="1776" spans="1:30" x14ac:dyDescent="0.3">
      <c r="A1776">
        <v>1775</v>
      </c>
      <c r="B1776" s="1">
        <v>120000</v>
      </c>
      <c r="C1776" s="1" t="str" cm="1">
        <f t="array" ref="C1776">_xlfn.IFS(Table2[[#This Row],[LIMIT_BAL]]&lt;=100000,"Low",Table2[[#This Row],[LIMIT_BAL]]&lt;=300000,"Medium",
TRUE,"High"
)</f>
        <v>Medium</v>
      </c>
      <c r="D1776" t="s">
        <v>2041</v>
      </c>
      <c r="E1776" t="s">
        <v>2026</v>
      </c>
      <c r="F1776" t="s">
        <v>2029</v>
      </c>
      <c r="G1776">
        <v>28</v>
      </c>
      <c r="H1776" t="str" cm="1">
        <f t="array" ref="H1776">_xlfn.IFS(
Table2[[#This Row],[AGE]]&lt;30,"Young",
Table2[[#This Row],[AGE]]&lt;40,"Middle Age",
Table2[[#This Row],[AGE]]&lt;50,"Senior",
TRUE,"Super Senior"
)</f>
        <v>Young</v>
      </c>
      <c r="I1776">
        <v>-2</v>
      </c>
      <c r="J1776">
        <v>-2</v>
      </c>
      <c r="K1776">
        <v>-2</v>
      </c>
      <c r="L1776">
        <v>-2</v>
      </c>
      <c r="M1776">
        <v>-2</v>
      </c>
      <c r="N1776">
        <v>-2</v>
      </c>
      <c r="O1776" s="1">
        <v>-8</v>
      </c>
      <c r="P1776" s="1">
        <v>2046</v>
      </c>
      <c r="Q1776" s="1">
        <v>0</v>
      </c>
      <c r="R1776" s="1">
        <v>409</v>
      </c>
      <c r="S1776" s="1">
        <v>872</v>
      </c>
      <c r="T1776" s="1">
        <v>1539</v>
      </c>
      <c r="U1776" s="1">
        <v>2054</v>
      </c>
      <c r="V1776" s="1">
        <v>0</v>
      </c>
      <c r="W1776" s="1">
        <v>409</v>
      </c>
      <c r="X1776" s="1">
        <v>872</v>
      </c>
      <c r="Y1776" s="1">
        <v>1539</v>
      </c>
      <c r="Z1776" s="1">
        <v>580</v>
      </c>
      <c r="AA1776">
        <v>0</v>
      </c>
      <c r="AB1776" t="str">
        <f t="shared" si="27"/>
        <v>Not Defaulter</v>
      </c>
      <c r="AC1776" s="1">
        <f>Table2[[#This Row],[BILL_AMT1]]-Table2[[#This Row],[PAY_AMT1]]</f>
        <v>-2062</v>
      </c>
      <c r="AD1776" s="1" t="str" cm="1">
        <f t="array" ref="AD1776">_xlfn.IFS(Table2[[#This Row],[PAYMENT GAP]]&lt;=0,"No Gap / Overpaid",Table2[[#This Row],[PAYMENT GAP]]&lt;=25000,"Low Gap",Table2[[#This Row],[PAYMENT GAP]]&lt;=100000,"Medium Gap",
TRUE,"High Gap"
)</f>
        <v>No Gap / Overpaid</v>
      </c>
    </row>
    <row r="1777" spans="1:30" x14ac:dyDescent="0.3">
      <c r="A1777">
        <v>1776</v>
      </c>
      <c r="B1777" s="1">
        <v>80000</v>
      </c>
      <c r="C1777" s="1" t="str" cm="1">
        <f t="array" ref="C1777">_xlfn.IFS(Table2[[#This Row],[LIMIT_BAL]]&lt;=100000,"Low",Table2[[#This Row],[LIMIT_BAL]]&lt;=300000,"Medium",
TRUE,"High"
)</f>
        <v>Low</v>
      </c>
      <c r="D1777" t="s">
        <v>2041</v>
      </c>
      <c r="E1777" t="s">
        <v>2043</v>
      </c>
      <c r="F1777" t="s">
        <v>2028</v>
      </c>
      <c r="G1777">
        <v>37</v>
      </c>
      <c r="H1777" t="str" cm="1">
        <f t="array" ref="H1777">_xlfn.IFS(
Table2[[#This Row],[AGE]]&lt;30,"Young",
Table2[[#This Row],[AGE]]&lt;40,"Middle Age",
Table2[[#This Row],[AGE]]&lt;50,"Senior",
TRUE,"Super Senior"
)</f>
        <v>Middle Age</v>
      </c>
      <c r="I1777">
        <v>2</v>
      </c>
      <c r="J1777">
        <v>2</v>
      </c>
      <c r="K1777">
        <v>2</v>
      </c>
      <c r="L1777">
        <v>2</v>
      </c>
      <c r="M1777">
        <v>2</v>
      </c>
      <c r="N1777">
        <v>2</v>
      </c>
      <c r="O1777" s="1">
        <v>15234</v>
      </c>
      <c r="P1777" s="1">
        <v>16893</v>
      </c>
      <c r="Q1777" s="1">
        <v>17834</v>
      </c>
      <c r="R1777" s="1">
        <v>17250</v>
      </c>
      <c r="S1777" s="1">
        <v>18470</v>
      </c>
      <c r="T1777" s="1">
        <v>18023</v>
      </c>
      <c r="U1777" s="1">
        <v>2200</v>
      </c>
      <c r="V1777" s="1">
        <v>1500</v>
      </c>
      <c r="W1777" s="1">
        <v>0</v>
      </c>
      <c r="X1777" s="1">
        <v>1500</v>
      </c>
      <c r="Y1777" s="1">
        <v>0</v>
      </c>
      <c r="Z1777" s="1">
        <v>1600</v>
      </c>
      <c r="AA1777">
        <v>1</v>
      </c>
      <c r="AB1777" t="str">
        <f t="shared" si="27"/>
        <v>Defaulter</v>
      </c>
      <c r="AC1777" s="1">
        <f>Table2[[#This Row],[BILL_AMT1]]-Table2[[#This Row],[PAY_AMT1]]</f>
        <v>13034</v>
      </c>
      <c r="AD1777" s="1" t="str" cm="1">
        <f t="array" ref="AD1777">_xlfn.IFS(Table2[[#This Row],[PAYMENT GAP]]&lt;=0,"No Gap / Overpaid",Table2[[#This Row],[PAYMENT GAP]]&lt;=25000,"Low Gap",Table2[[#This Row],[PAYMENT GAP]]&lt;=100000,"Medium Gap",
TRUE,"High Gap"
)</f>
        <v>Low Gap</v>
      </c>
    </row>
    <row r="1778" spans="1:30" x14ac:dyDescent="0.3">
      <c r="A1778">
        <v>1777</v>
      </c>
      <c r="B1778" s="1">
        <v>330000</v>
      </c>
      <c r="C1778" s="1" t="str" cm="1">
        <f t="array" ref="C1778">_xlfn.IFS(Table2[[#This Row],[LIMIT_BAL]]&lt;=100000,"Low",Table2[[#This Row],[LIMIT_BAL]]&lt;=300000,"Medium",
TRUE,"High"
)</f>
        <v>High</v>
      </c>
      <c r="D1778" t="s">
        <v>2041</v>
      </c>
      <c r="E1778" t="s">
        <v>2026</v>
      </c>
      <c r="F1778" t="s">
        <v>2028</v>
      </c>
      <c r="G1778">
        <v>47</v>
      </c>
      <c r="H1778" t="str" cm="1">
        <f t="array" ref="H1778">_xlfn.IFS(
Table2[[#This Row],[AGE]]&lt;30,"Young",
Table2[[#This Row],[AGE]]&lt;40,"Middle Age",
Table2[[#This Row],[AGE]]&lt;50,"Senior",
TRUE,"Super Senior"
)</f>
        <v>Senior</v>
      </c>
      <c r="I1778">
        <v>1</v>
      </c>
      <c r="J1778">
        <v>-2</v>
      </c>
      <c r="K1778">
        <v>-2</v>
      </c>
      <c r="L1778">
        <v>-2</v>
      </c>
      <c r="M1778">
        <v>-2</v>
      </c>
      <c r="N1778">
        <v>-1</v>
      </c>
      <c r="O1778" s="1">
        <v>2246</v>
      </c>
      <c r="P1778" s="1">
        <v>13990</v>
      </c>
      <c r="Q1778" s="1">
        <v>20992</v>
      </c>
      <c r="R1778" s="1">
        <v>681</v>
      </c>
      <c r="S1778" s="1">
        <v>0</v>
      </c>
      <c r="T1778" s="1">
        <v>5180</v>
      </c>
      <c r="U1778" s="1">
        <v>13990</v>
      </c>
      <c r="V1778" s="1">
        <v>21060</v>
      </c>
      <c r="W1778" s="1">
        <v>681</v>
      </c>
      <c r="X1778" s="1">
        <v>0</v>
      </c>
      <c r="Y1778" s="1">
        <v>5180</v>
      </c>
      <c r="Z1778" s="1">
        <v>3820</v>
      </c>
      <c r="AA1778">
        <v>0</v>
      </c>
      <c r="AB1778" t="str">
        <f t="shared" si="27"/>
        <v>Not Defaulter</v>
      </c>
      <c r="AC1778" s="1">
        <f>Table2[[#This Row],[BILL_AMT1]]-Table2[[#This Row],[PAY_AMT1]]</f>
        <v>-11744</v>
      </c>
      <c r="AD1778" s="1" t="str" cm="1">
        <f t="array" ref="AD1778">_xlfn.IFS(Table2[[#This Row],[PAYMENT GAP]]&lt;=0,"No Gap / Overpaid",Table2[[#This Row],[PAYMENT GAP]]&lt;=25000,"Low Gap",Table2[[#This Row],[PAYMENT GAP]]&lt;=100000,"Medium Gap",
TRUE,"High Gap"
)</f>
        <v>No Gap / Overpaid</v>
      </c>
    </row>
    <row r="1779" spans="1:30" x14ac:dyDescent="0.3">
      <c r="A1779">
        <v>1778</v>
      </c>
      <c r="B1779" s="1">
        <v>40000</v>
      </c>
      <c r="C1779" s="1" t="str" cm="1">
        <f t="array" ref="C1779">_xlfn.IFS(Table2[[#This Row],[LIMIT_BAL]]&lt;=100000,"Low",Table2[[#This Row],[LIMIT_BAL]]&lt;=300000,"Medium",
TRUE,"High"
)</f>
        <v>Low</v>
      </c>
      <c r="D1779" t="s">
        <v>2042</v>
      </c>
      <c r="E1779" t="s">
        <v>2027</v>
      </c>
      <c r="F1779" t="s">
        <v>2028</v>
      </c>
      <c r="G1779">
        <v>43</v>
      </c>
      <c r="H1779" t="str" cm="1">
        <f t="array" ref="H1779">_xlfn.IFS(
Table2[[#This Row],[AGE]]&lt;30,"Young",
Table2[[#This Row],[AGE]]&lt;40,"Middle Age",
Table2[[#This Row],[AGE]]&lt;50,"Senior",
TRUE,"Super Senior"
)</f>
        <v>Senior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 s="1">
        <v>41094</v>
      </c>
      <c r="P1779" s="1">
        <v>36554</v>
      </c>
      <c r="Q1779" s="1">
        <v>37568</v>
      </c>
      <c r="R1779" s="1">
        <v>38314</v>
      </c>
      <c r="S1779" s="1">
        <v>39141</v>
      </c>
      <c r="T1779" s="1">
        <v>40231</v>
      </c>
      <c r="U1779" s="1">
        <v>1611</v>
      </c>
      <c r="V1779" s="1">
        <v>1625</v>
      </c>
      <c r="W1779" s="1">
        <v>1371</v>
      </c>
      <c r="X1779" s="1">
        <v>1444</v>
      </c>
      <c r="Y1779" s="1">
        <v>1765</v>
      </c>
      <c r="Z1779" s="1">
        <v>1283</v>
      </c>
      <c r="AA1779">
        <v>1</v>
      </c>
      <c r="AB1779" t="str">
        <f t="shared" si="27"/>
        <v>Defaulter</v>
      </c>
      <c r="AC1779" s="1">
        <f>Table2[[#This Row],[BILL_AMT1]]-Table2[[#This Row],[PAY_AMT1]]</f>
        <v>39483</v>
      </c>
      <c r="AD1779" s="1" t="str" cm="1">
        <f t="array" ref="AD1779">_xlfn.IFS(Table2[[#This Row],[PAYMENT GAP]]&lt;=0,"No Gap / Overpaid",Table2[[#This Row],[PAYMENT GAP]]&lt;=25000,"Low Gap",Table2[[#This Row],[PAYMENT GAP]]&lt;=100000,"Medium Gap",
TRUE,"High Gap"
)</f>
        <v>Medium Gap</v>
      </c>
    </row>
    <row r="1780" spans="1:30" x14ac:dyDescent="0.3">
      <c r="A1780">
        <v>1779</v>
      </c>
      <c r="B1780" s="1">
        <v>50000</v>
      </c>
      <c r="C1780" s="1" t="str" cm="1">
        <f t="array" ref="C1780">_xlfn.IFS(Table2[[#This Row],[LIMIT_BAL]]&lt;=100000,"Low",Table2[[#This Row],[LIMIT_BAL]]&lt;=300000,"Medium",
TRUE,"High"
)</f>
        <v>Low</v>
      </c>
      <c r="D1780" t="s">
        <v>2042</v>
      </c>
      <c r="E1780" t="s">
        <v>2043</v>
      </c>
      <c r="F1780" t="s">
        <v>2029</v>
      </c>
      <c r="G1780">
        <v>26</v>
      </c>
      <c r="H1780" t="str" cm="1">
        <f t="array" ref="H1780">_xlfn.IFS(
Table2[[#This Row],[AGE]]&lt;30,"Young",
Table2[[#This Row],[AGE]]&lt;40,"Middle Age",
Table2[[#This Row],[AGE]]&lt;50,"Senior",
TRUE,"Super Senior"
)</f>
        <v>Young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 s="1">
        <v>27570</v>
      </c>
      <c r="P1780" s="1">
        <v>28820</v>
      </c>
      <c r="Q1780" s="1">
        <v>29400</v>
      </c>
      <c r="R1780" s="1">
        <v>5124</v>
      </c>
      <c r="S1780" s="1">
        <v>6874</v>
      </c>
      <c r="T1780" s="1">
        <v>7654</v>
      </c>
      <c r="U1780" s="1">
        <v>2000</v>
      </c>
      <c r="V1780" s="1">
        <v>1200</v>
      </c>
      <c r="W1780" s="1">
        <v>1000</v>
      </c>
      <c r="X1780" s="1">
        <v>2000</v>
      </c>
      <c r="Y1780" s="1">
        <v>1000</v>
      </c>
      <c r="Z1780" s="1">
        <v>1979</v>
      </c>
      <c r="AA1780">
        <v>0</v>
      </c>
      <c r="AB1780" t="str">
        <f t="shared" si="27"/>
        <v>Not Defaulter</v>
      </c>
      <c r="AC1780" s="1">
        <f>Table2[[#This Row],[BILL_AMT1]]-Table2[[#This Row],[PAY_AMT1]]</f>
        <v>25570</v>
      </c>
      <c r="AD1780" s="1" t="str" cm="1">
        <f t="array" ref="AD1780">_xlfn.IFS(Table2[[#This Row],[PAYMENT GAP]]&lt;=0,"No Gap / Overpaid",Table2[[#This Row],[PAYMENT GAP]]&lt;=25000,"Low Gap",Table2[[#This Row],[PAYMENT GAP]]&lt;=100000,"Medium Gap",
TRUE,"High Gap"
)</f>
        <v>Medium Gap</v>
      </c>
    </row>
    <row r="1781" spans="1:30" x14ac:dyDescent="0.3">
      <c r="A1781">
        <v>1780</v>
      </c>
      <c r="B1781" s="1">
        <v>80000</v>
      </c>
      <c r="C1781" s="1" t="str" cm="1">
        <f t="array" ref="C1781">_xlfn.IFS(Table2[[#This Row],[LIMIT_BAL]]&lt;=100000,"Low",Table2[[#This Row],[LIMIT_BAL]]&lt;=300000,"Medium",
TRUE,"High"
)</f>
        <v>Low</v>
      </c>
      <c r="D1781" t="s">
        <v>2042</v>
      </c>
      <c r="E1781" t="s">
        <v>2027</v>
      </c>
      <c r="F1781" t="s">
        <v>2028</v>
      </c>
      <c r="G1781">
        <v>48</v>
      </c>
      <c r="H1781" t="str" cm="1">
        <f t="array" ref="H1781">_xlfn.IFS(
Table2[[#This Row],[AGE]]&lt;30,"Young",
Table2[[#This Row],[AGE]]&lt;40,"Middle Age",
Table2[[#This Row],[AGE]]&lt;50,"Senior",
TRUE,"Super Senior"
)</f>
        <v>Senior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 s="1">
        <v>71515</v>
      </c>
      <c r="P1781" s="1">
        <v>70287</v>
      </c>
      <c r="Q1781" s="1">
        <v>61892</v>
      </c>
      <c r="R1781" s="1">
        <v>26779</v>
      </c>
      <c r="S1781" s="1">
        <v>25464</v>
      </c>
      <c r="T1781" s="1">
        <v>25993</v>
      </c>
      <c r="U1781" s="1">
        <v>3679</v>
      </c>
      <c r="V1781" s="1">
        <v>2305</v>
      </c>
      <c r="W1781" s="1">
        <v>924</v>
      </c>
      <c r="X1781" s="1">
        <v>1069</v>
      </c>
      <c r="Y1781" s="1">
        <v>1100</v>
      </c>
      <c r="Z1781" s="1">
        <v>1110</v>
      </c>
      <c r="AA1781">
        <v>0</v>
      </c>
      <c r="AB1781" t="str">
        <f t="shared" si="27"/>
        <v>Not Defaulter</v>
      </c>
      <c r="AC1781" s="1">
        <f>Table2[[#This Row],[BILL_AMT1]]-Table2[[#This Row],[PAY_AMT1]]</f>
        <v>67836</v>
      </c>
      <c r="AD1781" s="1" t="str" cm="1">
        <f t="array" ref="AD1781">_xlfn.IFS(Table2[[#This Row],[PAYMENT GAP]]&lt;=0,"No Gap / Overpaid",Table2[[#This Row],[PAYMENT GAP]]&lt;=25000,"Low Gap",Table2[[#This Row],[PAYMENT GAP]]&lt;=100000,"Medium Gap",
TRUE,"High Gap"
)</f>
        <v>Medium Gap</v>
      </c>
    </row>
    <row r="1782" spans="1:30" x14ac:dyDescent="0.3">
      <c r="A1782">
        <v>1781</v>
      </c>
      <c r="B1782" s="1">
        <v>450000</v>
      </c>
      <c r="C1782" s="1" t="str" cm="1">
        <f t="array" ref="C1782">_xlfn.IFS(Table2[[#This Row],[LIMIT_BAL]]&lt;=100000,"Low",Table2[[#This Row],[LIMIT_BAL]]&lt;=300000,"Medium",
TRUE,"High"
)</f>
        <v>High</v>
      </c>
      <c r="D1782" t="s">
        <v>2042</v>
      </c>
      <c r="E1782" t="s">
        <v>2026</v>
      </c>
      <c r="F1782" t="s">
        <v>2028</v>
      </c>
      <c r="G1782">
        <v>41</v>
      </c>
      <c r="H1782" t="str" cm="1">
        <f t="array" ref="H1782">_xlfn.IFS(
Table2[[#This Row],[AGE]]&lt;30,"Young",
Table2[[#This Row],[AGE]]&lt;40,"Middle Age",
Table2[[#This Row],[AGE]]&lt;50,"Senior",
TRUE,"Super Senior"
)</f>
        <v>Senior</v>
      </c>
      <c r="I1782">
        <v>-1</v>
      </c>
      <c r="J1782">
        <v>-1</v>
      </c>
      <c r="K1782">
        <v>-1</v>
      </c>
      <c r="L1782">
        <v>-2</v>
      </c>
      <c r="M1782">
        <v>-1</v>
      </c>
      <c r="N1782">
        <v>-1</v>
      </c>
      <c r="O1782" s="1">
        <v>697</v>
      </c>
      <c r="P1782" s="1">
        <v>500</v>
      </c>
      <c r="Q1782" s="1">
        <v>0</v>
      </c>
      <c r="R1782" s="1">
        <v>0</v>
      </c>
      <c r="S1782" s="1">
        <v>461</v>
      </c>
      <c r="T1782" s="1">
        <v>-3</v>
      </c>
      <c r="U1782" s="1">
        <v>505</v>
      </c>
      <c r="V1782" s="1">
        <v>0</v>
      </c>
      <c r="W1782" s="1">
        <v>0</v>
      </c>
      <c r="X1782" s="1">
        <v>461</v>
      </c>
      <c r="Y1782" s="1">
        <v>3</v>
      </c>
      <c r="Z1782" s="1">
        <v>0</v>
      </c>
      <c r="AA1782">
        <v>0</v>
      </c>
      <c r="AB1782" t="str">
        <f t="shared" si="27"/>
        <v>Not Defaulter</v>
      </c>
      <c r="AC1782" s="1">
        <f>Table2[[#This Row],[BILL_AMT1]]-Table2[[#This Row],[PAY_AMT1]]</f>
        <v>192</v>
      </c>
      <c r="AD1782" s="1" t="str" cm="1">
        <f t="array" ref="AD1782">_xlfn.IFS(Table2[[#This Row],[PAYMENT GAP]]&lt;=0,"No Gap / Overpaid",Table2[[#This Row],[PAYMENT GAP]]&lt;=25000,"Low Gap",Table2[[#This Row],[PAYMENT GAP]]&lt;=100000,"Medium Gap",
TRUE,"High Gap"
)</f>
        <v>Low Gap</v>
      </c>
    </row>
    <row r="1783" spans="1:30" x14ac:dyDescent="0.3">
      <c r="A1783">
        <v>1782</v>
      </c>
      <c r="B1783" s="1">
        <v>30000</v>
      </c>
      <c r="C1783" s="1" t="str" cm="1">
        <f t="array" ref="C1783">_xlfn.IFS(Table2[[#This Row],[LIMIT_BAL]]&lt;=100000,"Low",Table2[[#This Row],[LIMIT_BAL]]&lt;=300000,"Medium",
TRUE,"High"
)</f>
        <v>Low</v>
      </c>
      <c r="D1783" t="s">
        <v>2041</v>
      </c>
      <c r="E1783" t="s">
        <v>2027</v>
      </c>
      <c r="F1783" t="s">
        <v>2028</v>
      </c>
      <c r="G1783">
        <v>48</v>
      </c>
      <c r="H1783" t="str" cm="1">
        <f t="array" ref="H1783">_xlfn.IFS(
Table2[[#This Row],[AGE]]&lt;30,"Young",
Table2[[#This Row],[AGE]]&lt;40,"Middle Age",
Table2[[#This Row],[AGE]]&lt;50,"Senior",
TRUE,"Super Senior"
)</f>
        <v>Senior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 s="1">
        <v>27947</v>
      </c>
      <c r="P1783" s="1">
        <v>27035</v>
      </c>
      <c r="Q1783" s="1">
        <v>27876</v>
      </c>
      <c r="R1783" s="1">
        <v>26640</v>
      </c>
      <c r="S1783" s="1">
        <v>25896</v>
      </c>
      <c r="T1783" s="1">
        <v>25481</v>
      </c>
      <c r="U1783" s="1">
        <v>2000</v>
      </c>
      <c r="V1783" s="1">
        <v>1800</v>
      </c>
      <c r="W1783" s="1">
        <v>1500</v>
      </c>
      <c r="X1783" s="1">
        <v>1500</v>
      </c>
      <c r="Y1783" s="1">
        <v>1500</v>
      </c>
      <c r="Z1783" s="1">
        <v>1500</v>
      </c>
      <c r="AA1783">
        <v>0</v>
      </c>
      <c r="AB1783" t="str">
        <f t="shared" si="27"/>
        <v>Not Defaulter</v>
      </c>
      <c r="AC1783" s="1">
        <f>Table2[[#This Row],[BILL_AMT1]]-Table2[[#This Row],[PAY_AMT1]]</f>
        <v>25947</v>
      </c>
      <c r="AD1783" s="1" t="str" cm="1">
        <f t="array" ref="AD1783">_xlfn.IFS(Table2[[#This Row],[PAYMENT GAP]]&lt;=0,"No Gap / Overpaid",Table2[[#This Row],[PAYMENT GAP]]&lt;=25000,"Low Gap",Table2[[#This Row],[PAYMENT GAP]]&lt;=100000,"Medium Gap",
TRUE,"High Gap"
)</f>
        <v>Medium Gap</v>
      </c>
    </row>
    <row r="1784" spans="1:30" x14ac:dyDescent="0.3">
      <c r="A1784">
        <v>1783</v>
      </c>
      <c r="B1784" s="1">
        <v>160000</v>
      </c>
      <c r="C1784" s="1" t="str" cm="1">
        <f t="array" ref="C1784">_xlfn.IFS(Table2[[#This Row],[LIMIT_BAL]]&lt;=100000,"Low",Table2[[#This Row],[LIMIT_BAL]]&lt;=300000,"Medium",
TRUE,"High"
)</f>
        <v>Medium</v>
      </c>
      <c r="D1784" t="s">
        <v>2042</v>
      </c>
      <c r="E1784" t="s">
        <v>2043</v>
      </c>
      <c r="F1784" t="s">
        <v>2028</v>
      </c>
      <c r="G1784">
        <v>28</v>
      </c>
      <c r="H1784" t="str" cm="1">
        <f t="array" ref="H1784">_xlfn.IFS(
Table2[[#This Row],[AGE]]&lt;30,"Young",
Table2[[#This Row],[AGE]]&lt;40,"Middle Age",
Table2[[#This Row],[AGE]]&lt;50,"Senior",
TRUE,"Super Senior"
)</f>
        <v>Young</v>
      </c>
      <c r="I1784">
        <v>0</v>
      </c>
      <c r="J1784">
        <v>0</v>
      </c>
      <c r="K1784">
        <v>2</v>
      </c>
      <c r="L1784">
        <v>2</v>
      </c>
      <c r="M1784">
        <v>0</v>
      </c>
      <c r="N1784">
        <v>0</v>
      </c>
      <c r="O1784" s="1">
        <v>62312</v>
      </c>
      <c r="P1784" s="1">
        <v>66965</v>
      </c>
      <c r="Q1784" s="1">
        <v>67648</v>
      </c>
      <c r="R1784" s="1">
        <v>66020</v>
      </c>
      <c r="S1784" s="1">
        <v>67386</v>
      </c>
      <c r="T1784" s="1">
        <v>68336</v>
      </c>
      <c r="U1784" s="1">
        <v>5856</v>
      </c>
      <c r="V1784" s="1">
        <v>2311</v>
      </c>
      <c r="W1784" s="1">
        <v>0</v>
      </c>
      <c r="X1784" s="1">
        <v>2377</v>
      </c>
      <c r="Y1784" s="1">
        <v>2000</v>
      </c>
      <c r="Z1784" s="1">
        <v>1881</v>
      </c>
      <c r="AA1784">
        <v>0</v>
      </c>
      <c r="AB1784" t="str">
        <f t="shared" si="27"/>
        <v>Not Defaulter</v>
      </c>
      <c r="AC1784" s="1">
        <f>Table2[[#This Row],[BILL_AMT1]]-Table2[[#This Row],[PAY_AMT1]]</f>
        <v>56456</v>
      </c>
      <c r="AD1784" s="1" t="str" cm="1">
        <f t="array" ref="AD1784">_xlfn.IFS(Table2[[#This Row],[PAYMENT GAP]]&lt;=0,"No Gap / Overpaid",Table2[[#This Row],[PAYMENT GAP]]&lt;=25000,"Low Gap",Table2[[#This Row],[PAYMENT GAP]]&lt;=100000,"Medium Gap",
TRUE,"High Gap"
)</f>
        <v>Medium Gap</v>
      </c>
    </row>
    <row r="1785" spans="1:30" x14ac:dyDescent="0.3">
      <c r="A1785">
        <v>1784</v>
      </c>
      <c r="B1785" s="1">
        <v>80000</v>
      </c>
      <c r="C1785" s="1" t="str" cm="1">
        <f t="array" ref="C1785">_xlfn.IFS(Table2[[#This Row],[LIMIT_BAL]]&lt;=100000,"Low",Table2[[#This Row],[LIMIT_BAL]]&lt;=300000,"Medium",
TRUE,"High"
)</f>
        <v>Low</v>
      </c>
      <c r="D1785" t="s">
        <v>2041</v>
      </c>
      <c r="E1785" t="s">
        <v>2026</v>
      </c>
      <c r="F1785" t="s">
        <v>2029</v>
      </c>
      <c r="G1785">
        <v>22</v>
      </c>
      <c r="H1785" t="str" cm="1">
        <f t="array" ref="H1785">_xlfn.IFS(
Table2[[#This Row],[AGE]]&lt;30,"Young",
Table2[[#This Row],[AGE]]&lt;40,"Middle Age",
Table2[[#This Row],[AGE]]&lt;50,"Senior",
TRUE,"Super Senior"
)</f>
        <v>Young</v>
      </c>
      <c r="I1785">
        <v>-1</v>
      </c>
      <c r="J1785">
        <v>-1</v>
      </c>
      <c r="K1785">
        <v>0</v>
      </c>
      <c r="L1785">
        <v>0</v>
      </c>
      <c r="M1785">
        <v>-2</v>
      </c>
      <c r="N1785">
        <v>-2</v>
      </c>
      <c r="O1785" s="1">
        <v>10439</v>
      </c>
      <c r="P1785" s="1">
        <v>11501</v>
      </c>
      <c r="Q1785" s="1">
        <v>12113</v>
      </c>
      <c r="R1785" s="1">
        <v>-33</v>
      </c>
      <c r="S1785" s="1">
        <v>2748</v>
      </c>
      <c r="T1785" s="1">
        <v>90</v>
      </c>
      <c r="U1785" s="1">
        <v>11501</v>
      </c>
      <c r="V1785" s="1">
        <v>1000</v>
      </c>
      <c r="W1785" s="1">
        <v>33</v>
      </c>
      <c r="X1785" s="1">
        <v>2871</v>
      </c>
      <c r="Y1785" s="1">
        <v>90</v>
      </c>
      <c r="Z1785" s="1">
        <v>0</v>
      </c>
      <c r="AA1785">
        <v>0</v>
      </c>
      <c r="AB1785" t="str">
        <f t="shared" si="27"/>
        <v>Not Defaulter</v>
      </c>
      <c r="AC1785" s="1">
        <f>Table2[[#This Row],[BILL_AMT1]]-Table2[[#This Row],[PAY_AMT1]]</f>
        <v>-1062</v>
      </c>
      <c r="AD1785" s="1" t="str" cm="1">
        <f t="array" ref="AD1785">_xlfn.IFS(Table2[[#This Row],[PAYMENT GAP]]&lt;=0,"No Gap / Overpaid",Table2[[#This Row],[PAYMENT GAP]]&lt;=25000,"Low Gap",Table2[[#This Row],[PAYMENT GAP]]&lt;=100000,"Medium Gap",
TRUE,"High Gap"
)</f>
        <v>No Gap / Overpaid</v>
      </c>
    </row>
    <row r="1786" spans="1:30" x14ac:dyDescent="0.3">
      <c r="A1786">
        <v>1785</v>
      </c>
      <c r="B1786" s="1">
        <v>400000</v>
      </c>
      <c r="C1786" s="1" t="str" cm="1">
        <f t="array" ref="C1786">_xlfn.IFS(Table2[[#This Row],[LIMIT_BAL]]&lt;=100000,"Low",Table2[[#This Row],[LIMIT_BAL]]&lt;=300000,"Medium",
TRUE,"High"
)</f>
        <v>High</v>
      </c>
      <c r="D1786" t="s">
        <v>2042</v>
      </c>
      <c r="E1786" t="s">
        <v>2043</v>
      </c>
      <c r="F1786" t="s">
        <v>2028</v>
      </c>
      <c r="G1786">
        <v>34</v>
      </c>
      <c r="H1786" t="str" cm="1">
        <f t="array" ref="H1786">_xlfn.IFS(
Table2[[#This Row],[AGE]]&lt;30,"Young",
Table2[[#This Row],[AGE]]&lt;40,"Middle Age",
Table2[[#This Row],[AGE]]&lt;50,"Senior",
TRUE,"Super Senior"
)</f>
        <v>Middle Age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2</v>
      </c>
      <c r="O1786" s="1">
        <v>52271</v>
      </c>
      <c r="P1786" s="1">
        <v>56788</v>
      </c>
      <c r="Q1786" s="1">
        <v>60049</v>
      </c>
      <c r="R1786" s="1">
        <v>60876</v>
      </c>
      <c r="S1786" s="1">
        <v>65178</v>
      </c>
      <c r="T1786" s="1">
        <v>45933</v>
      </c>
      <c r="U1786" s="1">
        <v>6000</v>
      </c>
      <c r="V1786" s="1">
        <v>5000</v>
      </c>
      <c r="W1786" s="1">
        <v>1902</v>
      </c>
      <c r="X1786" s="1">
        <v>5000</v>
      </c>
      <c r="Y1786" s="1">
        <v>0</v>
      </c>
      <c r="Z1786" s="1">
        <v>5000</v>
      </c>
      <c r="AA1786">
        <v>0</v>
      </c>
      <c r="AB1786" t="str">
        <f t="shared" si="27"/>
        <v>Not Defaulter</v>
      </c>
      <c r="AC1786" s="1">
        <f>Table2[[#This Row],[BILL_AMT1]]-Table2[[#This Row],[PAY_AMT1]]</f>
        <v>46271</v>
      </c>
      <c r="AD1786" s="1" t="str" cm="1">
        <f t="array" ref="AD1786">_xlfn.IFS(Table2[[#This Row],[PAYMENT GAP]]&lt;=0,"No Gap / Overpaid",Table2[[#This Row],[PAYMENT GAP]]&lt;=25000,"Low Gap",Table2[[#This Row],[PAYMENT GAP]]&lt;=100000,"Medium Gap",
TRUE,"High Gap"
)</f>
        <v>Medium Gap</v>
      </c>
    </row>
    <row r="1787" spans="1:30" x14ac:dyDescent="0.3">
      <c r="A1787">
        <v>1786</v>
      </c>
      <c r="B1787" s="1">
        <v>220000</v>
      </c>
      <c r="C1787" s="1" t="str" cm="1">
        <f t="array" ref="C1787">_xlfn.IFS(Table2[[#This Row],[LIMIT_BAL]]&lt;=100000,"Low",Table2[[#This Row],[LIMIT_BAL]]&lt;=300000,"Medium",
TRUE,"High"
)</f>
        <v>Medium</v>
      </c>
      <c r="D1787" t="s">
        <v>2042</v>
      </c>
      <c r="E1787" t="s">
        <v>2043</v>
      </c>
      <c r="F1787" t="s">
        <v>2028</v>
      </c>
      <c r="G1787">
        <v>60</v>
      </c>
      <c r="H1787" t="str" cm="1">
        <f t="array" ref="H1787">_xlfn.IFS(
Table2[[#This Row],[AGE]]&lt;30,"Young",
Table2[[#This Row],[AGE]]&lt;40,"Middle Age",
Table2[[#This Row],[AGE]]&lt;50,"Senior",
TRUE,"Super Senior"
)</f>
        <v>Super Senior</v>
      </c>
      <c r="I1787">
        <v>-1</v>
      </c>
      <c r="J1787">
        <v>-1</v>
      </c>
      <c r="K1787">
        <v>-1</v>
      </c>
      <c r="L1787">
        <v>-1</v>
      </c>
      <c r="M1787">
        <v>-1</v>
      </c>
      <c r="N1787">
        <v>-1</v>
      </c>
      <c r="O1787" s="1">
        <v>1994</v>
      </c>
      <c r="P1787" s="1">
        <v>1598</v>
      </c>
      <c r="Q1787" s="1">
        <v>6944</v>
      </c>
      <c r="R1787" s="1">
        <v>7161</v>
      </c>
      <c r="S1787" s="1">
        <v>1534</v>
      </c>
      <c r="T1787" s="1">
        <v>11248</v>
      </c>
      <c r="U1787" s="1">
        <v>1606</v>
      </c>
      <c r="V1787" s="1">
        <v>6978</v>
      </c>
      <c r="W1787" s="1">
        <v>7196</v>
      </c>
      <c r="X1787" s="1">
        <v>1541</v>
      </c>
      <c r="Y1787" s="1">
        <v>11304</v>
      </c>
      <c r="Z1787" s="1">
        <v>483</v>
      </c>
      <c r="AA1787">
        <v>1</v>
      </c>
      <c r="AB1787" t="str">
        <f t="shared" si="27"/>
        <v>Defaulter</v>
      </c>
      <c r="AC1787" s="1">
        <f>Table2[[#This Row],[BILL_AMT1]]-Table2[[#This Row],[PAY_AMT1]]</f>
        <v>388</v>
      </c>
      <c r="AD1787" s="1" t="str" cm="1">
        <f t="array" ref="AD1787">_xlfn.IFS(Table2[[#This Row],[PAYMENT GAP]]&lt;=0,"No Gap / Overpaid",Table2[[#This Row],[PAYMENT GAP]]&lt;=25000,"Low Gap",Table2[[#This Row],[PAYMENT GAP]]&lt;=100000,"Medium Gap",
TRUE,"High Gap"
)</f>
        <v>Low Gap</v>
      </c>
    </row>
    <row r="1788" spans="1:30" x14ac:dyDescent="0.3">
      <c r="A1788">
        <v>1787</v>
      </c>
      <c r="B1788" s="1">
        <v>40000</v>
      </c>
      <c r="C1788" s="1" t="str" cm="1">
        <f t="array" ref="C1788">_xlfn.IFS(Table2[[#This Row],[LIMIT_BAL]]&lt;=100000,"Low",Table2[[#This Row],[LIMIT_BAL]]&lt;=300000,"Medium",
TRUE,"High"
)</f>
        <v>Low</v>
      </c>
      <c r="D1788" t="s">
        <v>2041</v>
      </c>
      <c r="E1788" t="s">
        <v>2043</v>
      </c>
      <c r="F1788" t="s">
        <v>2028</v>
      </c>
      <c r="G1788">
        <v>25</v>
      </c>
      <c r="H1788" t="str" cm="1">
        <f t="array" ref="H1788">_xlfn.IFS(
Table2[[#This Row],[AGE]]&lt;30,"Young",
Table2[[#This Row],[AGE]]&lt;40,"Middle Age",
Table2[[#This Row],[AGE]]&lt;50,"Senior",
TRUE,"Super Senior"
)</f>
        <v>Young</v>
      </c>
      <c r="I1788">
        <v>0</v>
      </c>
      <c r="J1788">
        <v>0</v>
      </c>
      <c r="K1788">
        <v>2</v>
      </c>
      <c r="L1788">
        <v>2</v>
      </c>
      <c r="M1788">
        <v>2</v>
      </c>
      <c r="N1788">
        <v>2</v>
      </c>
      <c r="O1788" s="1">
        <v>21590</v>
      </c>
      <c r="P1788" s="1">
        <v>24326</v>
      </c>
      <c r="Q1788" s="1">
        <v>23642</v>
      </c>
      <c r="R1788" s="1">
        <v>25936</v>
      </c>
      <c r="S1788" s="1">
        <v>25384</v>
      </c>
      <c r="T1788" s="1">
        <v>26905</v>
      </c>
      <c r="U1788" s="1">
        <v>3400</v>
      </c>
      <c r="V1788" s="1">
        <v>0</v>
      </c>
      <c r="W1788" s="1">
        <v>3000</v>
      </c>
      <c r="X1788" s="1">
        <v>0</v>
      </c>
      <c r="Y1788" s="1">
        <v>2100</v>
      </c>
      <c r="Z1788" s="1">
        <v>0</v>
      </c>
      <c r="AA1788">
        <v>1</v>
      </c>
      <c r="AB1788" t="str">
        <f t="shared" si="27"/>
        <v>Defaulter</v>
      </c>
      <c r="AC1788" s="1">
        <f>Table2[[#This Row],[BILL_AMT1]]-Table2[[#This Row],[PAY_AMT1]]</f>
        <v>18190</v>
      </c>
      <c r="AD1788" s="1" t="str" cm="1">
        <f t="array" ref="AD1788">_xlfn.IFS(Table2[[#This Row],[PAYMENT GAP]]&lt;=0,"No Gap / Overpaid",Table2[[#This Row],[PAYMENT GAP]]&lt;=25000,"Low Gap",Table2[[#This Row],[PAYMENT GAP]]&lt;=100000,"Medium Gap",
TRUE,"High Gap"
)</f>
        <v>Low Gap</v>
      </c>
    </row>
    <row r="1789" spans="1:30" x14ac:dyDescent="0.3">
      <c r="A1789">
        <v>1788</v>
      </c>
      <c r="B1789" s="1">
        <v>280000</v>
      </c>
      <c r="C1789" s="1" t="str" cm="1">
        <f t="array" ref="C1789">_xlfn.IFS(Table2[[#This Row],[LIMIT_BAL]]&lt;=100000,"Low",Table2[[#This Row],[LIMIT_BAL]]&lt;=300000,"Medium",
TRUE,"High"
)</f>
        <v>Medium</v>
      </c>
      <c r="D1789" t="s">
        <v>2041</v>
      </c>
      <c r="E1789" t="s">
        <v>2043</v>
      </c>
      <c r="F1789" t="s">
        <v>2029</v>
      </c>
      <c r="G1789">
        <v>27</v>
      </c>
      <c r="H1789" t="str" cm="1">
        <f t="array" ref="H1789">_xlfn.IFS(
Table2[[#This Row],[AGE]]&lt;30,"Young",
Table2[[#This Row],[AGE]]&lt;40,"Middle Age",
Table2[[#This Row],[AGE]]&lt;50,"Senior",
TRUE,"Super Senior"
)</f>
        <v>Young</v>
      </c>
      <c r="I1789">
        <v>-1</v>
      </c>
      <c r="J1789">
        <v>0</v>
      </c>
      <c r="K1789">
        <v>0</v>
      </c>
      <c r="L1789">
        <v>0</v>
      </c>
      <c r="M1789">
        <v>2</v>
      </c>
      <c r="N1789">
        <v>0</v>
      </c>
      <c r="O1789" s="1">
        <v>82742</v>
      </c>
      <c r="P1789" s="1">
        <v>153791</v>
      </c>
      <c r="Q1789" s="1">
        <v>85601</v>
      </c>
      <c r="R1789" s="1">
        <v>108984</v>
      </c>
      <c r="S1789" s="1">
        <v>105275</v>
      </c>
      <c r="T1789" s="1">
        <v>117635</v>
      </c>
      <c r="U1789" s="1">
        <v>10077</v>
      </c>
      <c r="V1789" s="1">
        <v>27785</v>
      </c>
      <c r="W1789" s="1">
        <v>30000</v>
      </c>
      <c r="X1789" s="1">
        <v>23</v>
      </c>
      <c r="Y1789" s="1">
        <v>20000</v>
      </c>
      <c r="Z1789" s="1">
        <v>3406</v>
      </c>
      <c r="AA1789">
        <v>0</v>
      </c>
      <c r="AB1789" t="str">
        <f t="shared" si="27"/>
        <v>Not Defaulter</v>
      </c>
      <c r="AC1789" s="1">
        <f>Table2[[#This Row],[BILL_AMT1]]-Table2[[#This Row],[PAY_AMT1]]</f>
        <v>72665</v>
      </c>
      <c r="AD1789" s="1" t="str" cm="1">
        <f t="array" ref="AD1789">_xlfn.IFS(Table2[[#This Row],[PAYMENT GAP]]&lt;=0,"No Gap / Overpaid",Table2[[#This Row],[PAYMENT GAP]]&lt;=25000,"Low Gap",Table2[[#This Row],[PAYMENT GAP]]&lt;=100000,"Medium Gap",
TRUE,"High Gap"
)</f>
        <v>Medium Gap</v>
      </c>
    </row>
    <row r="1790" spans="1:30" x14ac:dyDescent="0.3">
      <c r="A1790">
        <v>1789</v>
      </c>
      <c r="B1790" s="1">
        <v>50000</v>
      </c>
      <c r="C1790" s="1" t="str" cm="1">
        <f t="array" ref="C1790">_xlfn.IFS(Table2[[#This Row],[LIMIT_BAL]]&lt;=100000,"Low",Table2[[#This Row],[LIMIT_BAL]]&lt;=300000,"Medium",
TRUE,"High"
)</f>
        <v>Low</v>
      </c>
      <c r="D1790" t="s">
        <v>2041</v>
      </c>
      <c r="E1790" t="s">
        <v>2026</v>
      </c>
      <c r="F1790" t="s">
        <v>2029</v>
      </c>
      <c r="G1790">
        <v>25</v>
      </c>
      <c r="H1790" t="str" cm="1">
        <f t="array" ref="H1790">_xlfn.IFS(
Table2[[#This Row],[AGE]]&lt;30,"Young",
Table2[[#This Row],[AGE]]&lt;40,"Middle Age",
Table2[[#This Row],[AGE]]&lt;50,"Senior",
TRUE,"Super Senior"
)</f>
        <v>Young</v>
      </c>
      <c r="I1790">
        <v>0</v>
      </c>
      <c r="J1790">
        <v>0</v>
      </c>
      <c r="K1790">
        <v>0</v>
      </c>
      <c r="L1790">
        <v>-2</v>
      </c>
      <c r="M1790">
        <v>-2</v>
      </c>
      <c r="N1790">
        <v>-2</v>
      </c>
      <c r="O1790" s="1">
        <v>50380</v>
      </c>
      <c r="P1790" s="1">
        <v>38712</v>
      </c>
      <c r="Q1790" s="1">
        <v>0</v>
      </c>
      <c r="R1790" s="1">
        <v>0</v>
      </c>
      <c r="S1790" s="1">
        <v>0</v>
      </c>
      <c r="T1790" s="1">
        <v>0</v>
      </c>
      <c r="U1790" s="1">
        <v>4000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>
        <v>0</v>
      </c>
      <c r="AB1790" t="str">
        <f t="shared" si="27"/>
        <v>Not Defaulter</v>
      </c>
      <c r="AC1790" s="1">
        <f>Table2[[#This Row],[BILL_AMT1]]-Table2[[#This Row],[PAY_AMT1]]</f>
        <v>46380</v>
      </c>
      <c r="AD1790" s="1" t="str" cm="1">
        <f t="array" ref="AD1790">_xlfn.IFS(Table2[[#This Row],[PAYMENT GAP]]&lt;=0,"No Gap / Overpaid",Table2[[#This Row],[PAYMENT GAP]]&lt;=25000,"Low Gap",Table2[[#This Row],[PAYMENT GAP]]&lt;=100000,"Medium Gap",
TRUE,"High Gap"
)</f>
        <v>Medium Gap</v>
      </c>
    </row>
    <row r="1791" spans="1:30" x14ac:dyDescent="0.3">
      <c r="A1791">
        <v>1790</v>
      </c>
      <c r="B1791" s="1">
        <v>110000</v>
      </c>
      <c r="C1791" s="1" t="str" cm="1">
        <f t="array" ref="C1791">_xlfn.IFS(Table2[[#This Row],[LIMIT_BAL]]&lt;=100000,"Low",Table2[[#This Row],[LIMIT_BAL]]&lt;=300000,"Medium",
TRUE,"High"
)</f>
        <v>Medium</v>
      </c>
      <c r="D1791" t="s">
        <v>2042</v>
      </c>
      <c r="E1791" t="s">
        <v>2043</v>
      </c>
      <c r="F1791" t="s">
        <v>2029</v>
      </c>
      <c r="G1791">
        <v>26</v>
      </c>
      <c r="H1791" t="str" cm="1">
        <f t="array" ref="H1791">_xlfn.IFS(
Table2[[#This Row],[AGE]]&lt;30,"Young",
Table2[[#This Row],[AGE]]&lt;40,"Middle Age",
Table2[[#This Row],[AGE]]&lt;50,"Senior",
TRUE,"Super Senior"
)</f>
        <v>Young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 s="1">
        <v>106417</v>
      </c>
      <c r="P1791" s="1">
        <v>103587</v>
      </c>
      <c r="Q1791" s="1">
        <v>56676</v>
      </c>
      <c r="R1791" s="1">
        <v>47332</v>
      </c>
      <c r="S1791" s="1">
        <v>45171</v>
      </c>
      <c r="T1791" s="1">
        <v>47092</v>
      </c>
      <c r="U1791" s="1">
        <v>9026</v>
      </c>
      <c r="V1791" s="1">
        <v>6000</v>
      </c>
      <c r="W1791" s="1">
        <v>2000</v>
      </c>
      <c r="X1791" s="1">
        <v>2000</v>
      </c>
      <c r="Y1791" s="1">
        <v>3000</v>
      </c>
      <c r="Z1791" s="1">
        <v>4006</v>
      </c>
      <c r="AA1791">
        <v>0</v>
      </c>
      <c r="AB1791" t="str">
        <f t="shared" si="27"/>
        <v>Not Defaulter</v>
      </c>
      <c r="AC1791" s="1">
        <f>Table2[[#This Row],[BILL_AMT1]]-Table2[[#This Row],[PAY_AMT1]]</f>
        <v>97391</v>
      </c>
      <c r="AD1791" s="1" t="str" cm="1">
        <f t="array" ref="AD1791">_xlfn.IFS(Table2[[#This Row],[PAYMENT GAP]]&lt;=0,"No Gap / Overpaid",Table2[[#This Row],[PAYMENT GAP]]&lt;=25000,"Low Gap",Table2[[#This Row],[PAYMENT GAP]]&lt;=100000,"Medium Gap",
TRUE,"High Gap"
)</f>
        <v>Medium Gap</v>
      </c>
    </row>
    <row r="1792" spans="1:30" x14ac:dyDescent="0.3">
      <c r="A1792">
        <v>1791</v>
      </c>
      <c r="B1792" s="1">
        <v>180000</v>
      </c>
      <c r="C1792" s="1" t="str" cm="1">
        <f t="array" ref="C1792">_xlfn.IFS(Table2[[#This Row],[LIMIT_BAL]]&lt;=100000,"Low",Table2[[#This Row],[LIMIT_BAL]]&lt;=300000,"Medium",
TRUE,"High"
)</f>
        <v>Medium</v>
      </c>
      <c r="D1792" t="s">
        <v>2041</v>
      </c>
      <c r="E1792" t="s">
        <v>2026</v>
      </c>
      <c r="F1792" t="s">
        <v>2028</v>
      </c>
      <c r="G1792">
        <v>44</v>
      </c>
      <c r="H1792" t="str" cm="1">
        <f t="array" ref="H1792">_xlfn.IFS(
Table2[[#This Row],[AGE]]&lt;30,"Young",
Table2[[#This Row],[AGE]]&lt;40,"Middle Age",
Table2[[#This Row],[AGE]]&lt;50,"Senior",
TRUE,"Super Senior"
)</f>
        <v>Senior</v>
      </c>
      <c r="I1792">
        <v>1</v>
      </c>
      <c r="J1792">
        <v>-1</v>
      </c>
      <c r="K1792">
        <v>-1</v>
      </c>
      <c r="L1792">
        <v>-1</v>
      </c>
      <c r="M1792">
        <v>-1</v>
      </c>
      <c r="N1792">
        <v>-1</v>
      </c>
      <c r="O1792" s="1">
        <v>2788</v>
      </c>
      <c r="P1792" s="1">
        <v>5646</v>
      </c>
      <c r="Q1792" s="1">
        <v>13647</v>
      </c>
      <c r="R1792" s="1">
        <v>30848</v>
      </c>
      <c r="S1792" s="1">
        <v>15520</v>
      </c>
      <c r="T1792" s="1">
        <v>558</v>
      </c>
      <c r="U1792" s="1">
        <v>5646</v>
      </c>
      <c r="V1792" s="1">
        <v>13901</v>
      </c>
      <c r="W1792" s="1">
        <v>30848</v>
      </c>
      <c r="X1792" s="1">
        <v>15520</v>
      </c>
      <c r="Y1792" s="1">
        <v>558</v>
      </c>
      <c r="Z1792" s="1">
        <v>26733</v>
      </c>
      <c r="AA1792">
        <v>0</v>
      </c>
      <c r="AB1792" t="str">
        <f t="shared" si="27"/>
        <v>Not Defaulter</v>
      </c>
      <c r="AC1792" s="1">
        <f>Table2[[#This Row],[BILL_AMT1]]-Table2[[#This Row],[PAY_AMT1]]</f>
        <v>-2858</v>
      </c>
      <c r="AD1792" s="1" t="str" cm="1">
        <f t="array" ref="AD1792">_xlfn.IFS(Table2[[#This Row],[PAYMENT GAP]]&lt;=0,"No Gap / Overpaid",Table2[[#This Row],[PAYMENT GAP]]&lt;=25000,"Low Gap",Table2[[#This Row],[PAYMENT GAP]]&lt;=100000,"Medium Gap",
TRUE,"High Gap"
)</f>
        <v>No Gap / Overpaid</v>
      </c>
    </row>
    <row r="1793" spans="1:30" x14ac:dyDescent="0.3">
      <c r="A1793">
        <v>1792</v>
      </c>
      <c r="B1793" s="1">
        <v>200000</v>
      </c>
      <c r="C1793" s="1" t="str" cm="1">
        <f t="array" ref="C1793">_xlfn.IFS(Table2[[#This Row],[LIMIT_BAL]]&lt;=100000,"Low",Table2[[#This Row],[LIMIT_BAL]]&lt;=300000,"Medium",
TRUE,"High"
)</f>
        <v>Medium</v>
      </c>
      <c r="D1793" t="s">
        <v>2041</v>
      </c>
      <c r="E1793" t="s">
        <v>2026</v>
      </c>
      <c r="F1793" t="s">
        <v>2029</v>
      </c>
      <c r="G1793">
        <v>26</v>
      </c>
      <c r="H1793" t="str" cm="1">
        <f t="array" ref="H1793">_xlfn.IFS(
Table2[[#This Row],[AGE]]&lt;30,"Young",
Table2[[#This Row],[AGE]]&lt;40,"Middle Age",
Table2[[#This Row],[AGE]]&lt;50,"Senior",
TRUE,"Super Senior"
)</f>
        <v>Young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 s="1">
        <v>18630</v>
      </c>
      <c r="P1793" s="1">
        <v>15996</v>
      </c>
      <c r="Q1793" s="1">
        <v>16304</v>
      </c>
      <c r="R1793" s="1">
        <v>14973</v>
      </c>
      <c r="S1793" s="1">
        <v>20542</v>
      </c>
      <c r="T1793" s="1">
        <v>15810</v>
      </c>
      <c r="U1793" s="1">
        <v>1502</v>
      </c>
      <c r="V1793" s="1">
        <v>1200</v>
      </c>
      <c r="W1793" s="1">
        <v>300</v>
      </c>
      <c r="X1793" s="1">
        <v>7000</v>
      </c>
      <c r="Y1793" s="1">
        <v>8000</v>
      </c>
      <c r="Z1793" s="1">
        <v>4000</v>
      </c>
      <c r="AA1793">
        <v>0</v>
      </c>
      <c r="AB1793" t="str">
        <f t="shared" si="27"/>
        <v>Not Defaulter</v>
      </c>
      <c r="AC1793" s="1">
        <f>Table2[[#This Row],[BILL_AMT1]]-Table2[[#This Row],[PAY_AMT1]]</f>
        <v>17128</v>
      </c>
      <c r="AD1793" s="1" t="str" cm="1">
        <f t="array" ref="AD1793">_xlfn.IFS(Table2[[#This Row],[PAYMENT GAP]]&lt;=0,"No Gap / Overpaid",Table2[[#This Row],[PAYMENT GAP]]&lt;=25000,"Low Gap",Table2[[#This Row],[PAYMENT GAP]]&lt;=100000,"Medium Gap",
TRUE,"High Gap"
)</f>
        <v>Low Gap</v>
      </c>
    </row>
    <row r="1794" spans="1:30" x14ac:dyDescent="0.3">
      <c r="A1794">
        <v>1793</v>
      </c>
      <c r="B1794" s="1">
        <v>390000</v>
      </c>
      <c r="C1794" s="1" t="str" cm="1">
        <f t="array" ref="C1794">_xlfn.IFS(Table2[[#This Row],[LIMIT_BAL]]&lt;=100000,"Low",Table2[[#This Row],[LIMIT_BAL]]&lt;=300000,"Medium",
TRUE,"High"
)</f>
        <v>High</v>
      </c>
      <c r="D1794" t="s">
        <v>2041</v>
      </c>
      <c r="E1794" t="s">
        <v>2026</v>
      </c>
      <c r="F1794" t="s">
        <v>2029</v>
      </c>
      <c r="G1794">
        <v>33</v>
      </c>
      <c r="H1794" t="str" cm="1">
        <f t="array" ref="H1794">_xlfn.IFS(
Table2[[#This Row],[AGE]]&lt;30,"Young",
Table2[[#This Row],[AGE]]&lt;40,"Middle Age",
Table2[[#This Row],[AGE]]&lt;50,"Senior",
TRUE,"Super Senior"
)</f>
        <v>Middle Age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 s="1">
        <v>85538</v>
      </c>
      <c r="P1794" s="1">
        <v>79875</v>
      </c>
      <c r="Q1794" s="1">
        <v>82853</v>
      </c>
      <c r="R1794" s="1">
        <v>82747</v>
      </c>
      <c r="S1794" s="1">
        <v>44143</v>
      </c>
      <c r="T1794" s="1">
        <v>38488</v>
      </c>
      <c r="U1794" s="1">
        <v>3500</v>
      </c>
      <c r="V1794" s="1">
        <v>4502</v>
      </c>
      <c r="W1794" s="1">
        <v>3518</v>
      </c>
      <c r="X1794" s="1">
        <v>2003</v>
      </c>
      <c r="Y1794" s="1">
        <v>3001</v>
      </c>
      <c r="Z1794" s="1">
        <v>3000</v>
      </c>
      <c r="AA1794">
        <v>0</v>
      </c>
      <c r="AB1794" t="str">
        <f t="shared" si="27"/>
        <v>Not Defaulter</v>
      </c>
      <c r="AC1794" s="1">
        <f>Table2[[#This Row],[BILL_AMT1]]-Table2[[#This Row],[PAY_AMT1]]</f>
        <v>82038</v>
      </c>
      <c r="AD1794" s="1" t="str" cm="1">
        <f t="array" ref="AD1794">_xlfn.IFS(Table2[[#This Row],[PAYMENT GAP]]&lt;=0,"No Gap / Overpaid",Table2[[#This Row],[PAYMENT GAP]]&lt;=25000,"Low Gap",Table2[[#This Row],[PAYMENT GAP]]&lt;=100000,"Medium Gap",
TRUE,"High Gap"
)</f>
        <v>Medium Gap</v>
      </c>
    </row>
    <row r="1795" spans="1:30" x14ac:dyDescent="0.3">
      <c r="A1795">
        <v>1794</v>
      </c>
      <c r="B1795" s="1">
        <v>400000</v>
      </c>
      <c r="C1795" s="1" t="str" cm="1">
        <f t="array" ref="C1795">_xlfn.IFS(Table2[[#This Row],[LIMIT_BAL]]&lt;=100000,"Low",Table2[[#This Row],[LIMIT_BAL]]&lt;=300000,"Medium",
TRUE,"High"
)</f>
        <v>High</v>
      </c>
      <c r="D1795" t="s">
        <v>2041</v>
      </c>
      <c r="E1795" t="s">
        <v>2026</v>
      </c>
      <c r="F1795" t="s">
        <v>2029</v>
      </c>
      <c r="G1795">
        <v>29</v>
      </c>
      <c r="H1795" t="str" cm="1">
        <f t="array" ref="H1795">_xlfn.IFS(
Table2[[#This Row],[AGE]]&lt;30,"Young",
Table2[[#This Row],[AGE]]&lt;40,"Middle Age",
Table2[[#This Row],[AGE]]&lt;50,"Senior",
TRUE,"Super Senior"
)</f>
        <v>Young</v>
      </c>
      <c r="I1795">
        <v>-1</v>
      </c>
      <c r="J1795">
        <v>0</v>
      </c>
      <c r="K1795">
        <v>0</v>
      </c>
      <c r="L1795">
        <v>0</v>
      </c>
      <c r="M1795">
        <v>0</v>
      </c>
      <c r="N1795">
        <v>0</v>
      </c>
      <c r="O1795" s="1">
        <v>5154</v>
      </c>
      <c r="P1795" s="1">
        <v>6016</v>
      </c>
      <c r="Q1795" s="1">
        <v>7056</v>
      </c>
      <c r="R1795" s="1">
        <v>7310</v>
      </c>
      <c r="S1795" s="1">
        <v>9943</v>
      </c>
      <c r="T1795" s="1">
        <v>12849</v>
      </c>
      <c r="U1795" s="1">
        <v>1060</v>
      </c>
      <c r="V1795" s="1">
        <v>1100</v>
      </c>
      <c r="W1795" s="1">
        <v>310</v>
      </c>
      <c r="X1795" s="1">
        <v>3000</v>
      </c>
      <c r="Y1795" s="1">
        <v>3000</v>
      </c>
      <c r="Z1795" s="1">
        <v>6100</v>
      </c>
      <c r="AA1795">
        <v>0</v>
      </c>
      <c r="AB1795" t="str">
        <f t="shared" ref="AB1795:AB1858" si="28">IF(AA1795=1,"Defaulter","Not Defaulter")</f>
        <v>Not Defaulter</v>
      </c>
      <c r="AC1795" s="1">
        <f>Table2[[#This Row],[BILL_AMT1]]-Table2[[#This Row],[PAY_AMT1]]</f>
        <v>4094</v>
      </c>
      <c r="AD1795" s="1" t="str" cm="1">
        <f t="array" ref="AD1795">_xlfn.IFS(Table2[[#This Row],[PAYMENT GAP]]&lt;=0,"No Gap / Overpaid",Table2[[#This Row],[PAYMENT GAP]]&lt;=25000,"Low Gap",Table2[[#This Row],[PAYMENT GAP]]&lt;=100000,"Medium Gap",
TRUE,"High Gap"
)</f>
        <v>Low Gap</v>
      </c>
    </row>
    <row r="1796" spans="1:30" x14ac:dyDescent="0.3">
      <c r="A1796">
        <v>1795</v>
      </c>
      <c r="B1796" s="1">
        <v>120000</v>
      </c>
      <c r="C1796" s="1" t="str" cm="1">
        <f t="array" ref="C1796">_xlfn.IFS(Table2[[#This Row],[LIMIT_BAL]]&lt;=100000,"Low",Table2[[#This Row],[LIMIT_BAL]]&lt;=300000,"Medium",
TRUE,"High"
)</f>
        <v>Medium</v>
      </c>
      <c r="D1796" t="s">
        <v>2041</v>
      </c>
      <c r="E1796" t="s">
        <v>2027</v>
      </c>
      <c r="F1796" t="s">
        <v>2029</v>
      </c>
      <c r="G1796">
        <v>37</v>
      </c>
      <c r="H1796" t="str" cm="1">
        <f t="array" ref="H1796">_xlfn.IFS(
Table2[[#This Row],[AGE]]&lt;30,"Young",
Table2[[#This Row],[AGE]]&lt;40,"Middle Age",
Table2[[#This Row],[AGE]]&lt;50,"Senior",
TRUE,"Super Senior"
)</f>
        <v>Middle Age</v>
      </c>
      <c r="I1796">
        <v>-1</v>
      </c>
      <c r="J1796">
        <v>-1</v>
      </c>
      <c r="K1796">
        <v>-1</v>
      </c>
      <c r="L1796">
        <v>-1</v>
      </c>
      <c r="M1796">
        <v>-1</v>
      </c>
      <c r="N1796">
        <v>-1</v>
      </c>
      <c r="O1796" s="1">
        <v>776</v>
      </c>
      <c r="P1796" s="1">
        <v>1616</v>
      </c>
      <c r="Q1796" s="1">
        <v>776</v>
      </c>
      <c r="R1796" s="1">
        <v>776</v>
      </c>
      <c r="S1796" s="1">
        <v>776</v>
      </c>
      <c r="T1796" s="1">
        <v>776</v>
      </c>
      <c r="U1796" s="1">
        <v>1616</v>
      </c>
      <c r="V1796" s="1">
        <v>776</v>
      </c>
      <c r="W1796" s="1">
        <v>776</v>
      </c>
      <c r="X1796" s="1">
        <v>776</v>
      </c>
      <c r="Y1796" s="1">
        <v>776</v>
      </c>
      <c r="Z1796" s="1">
        <v>776</v>
      </c>
      <c r="AA1796">
        <v>1</v>
      </c>
      <c r="AB1796" t="str">
        <f t="shared" si="28"/>
        <v>Defaulter</v>
      </c>
      <c r="AC1796" s="1">
        <f>Table2[[#This Row],[BILL_AMT1]]-Table2[[#This Row],[PAY_AMT1]]</f>
        <v>-840</v>
      </c>
      <c r="AD1796" s="1" t="str" cm="1">
        <f t="array" ref="AD1796">_xlfn.IFS(Table2[[#This Row],[PAYMENT GAP]]&lt;=0,"No Gap / Overpaid",Table2[[#This Row],[PAYMENT GAP]]&lt;=25000,"Low Gap",Table2[[#This Row],[PAYMENT GAP]]&lt;=100000,"Medium Gap",
TRUE,"High Gap"
)</f>
        <v>No Gap / Overpaid</v>
      </c>
    </row>
    <row r="1797" spans="1:30" x14ac:dyDescent="0.3">
      <c r="A1797">
        <v>1796</v>
      </c>
      <c r="B1797" s="1">
        <v>200000</v>
      </c>
      <c r="C1797" s="1" t="str" cm="1">
        <f t="array" ref="C1797">_xlfn.IFS(Table2[[#This Row],[LIMIT_BAL]]&lt;=100000,"Low",Table2[[#This Row],[LIMIT_BAL]]&lt;=300000,"Medium",
TRUE,"High"
)</f>
        <v>Medium</v>
      </c>
      <c r="D1797" t="s">
        <v>2042</v>
      </c>
      <c r="E1797" t="s">
        <v>2026</v>
      </c>
      <c r="F1797" t="s">
        <v>2029</v>
      </c>
      <c r="G1797">
        <v>34</v>
      </c>
      <c r="H1797" t="str" cm="1">
        <f t="array" ref="H1797">_xlfn.IFS(
Table2[[#This Row],[AGE]]&lt;30,"Young",
Table2[[#This Row],[AGE]]&lt;40,"Middle Age",
Table2[[#This Row],[AGE]]&lt;50,"Senior",
TRUE,"Super Senior"
)</f>
        <v>Middle Age</v>
      </c>
      <c r="I1797">
        <v>1</v>
      </c>
      <c r="J1797">
        <v>-2</v>
      </c>
      <c r="K1797">
        <v>-2</v>
      </c>
      <c r="L1797">
        <v>-2</v>
      </c>
      <c r="M1797">
        <v>-2</v>
      </c>
      <c r="N1797">
        <v>-2</v>
      </c>
      <c r="O1797" s="1">
        <v>-800</v>
      </c>
      <c r="P1797" s="1">
        <v>-2685</v>
      </c>
      <c r="Q1797" s="1">
        <v>-6144</v>
      </c>
      <c r="R1797" s="1">
        <v>-7905</v>
      </c>
      <c r="S1797" s="1">
        <v>-10213</v>
      </c>
      <c r="T1797" s="1">
        <v>-11060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0</v>
      </c>
      <c r="AA1797">
        <v>0</v>
      </c>
      <c r="AB1797" t="str">
        <f t="shared" si="28"/>
        <v>Not Defaulter</v>
      </c>
      <c r="AC1797" s="1">
        <f>Table2[[#This Row],[BILL_AMT1]]-Table2[[#This Row],[PAY_AMT1]]</f>
        <v>-800</v>
      </c>
      <c r="AD1797" s="1" t="str" cm="1">
        <f t="array" ref="AD1797">_xlfn.IFS(Table2[[#This Row],[PAYMENT GAP]]&lt;=0,"No Gap / Overpaid",Table2[[#This Row],[PAYMENT GAP]]&lt;=25000,"Low Gap",Table2[[#This Row],[PAYMENT GAP]]&lt;=100000,"Medium Gap",
TRUE,"High Gap"
)</f>
        <v>No Gap / Overpaid</v>
      </c>
    </row>
    <row r="1798" spans="1:30" x14ac:dyDescent="0.3">
      <c r="A1798">
        <v>1797</v>
      </c>
      <c r="B1798" s="1">
        <v>280000</v>
      </c>
      <c r="C1798" s="1" t="str" cm="1">
        <f t="array" ref="C1798">_xlfn.IFS(Table2[[#This Row],[LIMIT_BAL]]&lt;=100000,"Low",Table2[[#This Row],[LIMIT_BAL]]&lt;=300000,"Medium",
TRUE,"High"
)</f>
        <v>Medium</v>
      </c>
      <c r="D1798" t="s">
        <v>2042</v>
      </c>
      <c r="E1798" t="s">
        <v>2043</v>
      </c>
      <c r="F1798" t="s">
        <v>2028</v>
      </c>
      <c r="G1798">
        <v>33</v>
      </c>
      <c r="H1798" t="str" cm="1">
        <f t="array" ref="H1798">_xlfn.IFS(
Table2[[#This Row],[AGE]]&lt;30,"Young",
Table2[[#This Row],[AGE]]&lt;40,"Middle Age",
Table2[[#This Row],[AGE]]&lt;50,"Senior",
TRUE,"Super Senior"
)</f>
        <v>Middle Age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 s="1">
        <v>207982</v>
      </c>
      <c r="P1798" s="1">
        <v>196055</v>
      </c>
      <c r="Q1798" s="1">
        <v>182099</v>
      </c>
      <c r="R1798" s="1">
        <v>185925</v>
      </c>
      <c r="S1798" s="1">
        <v>188224</v>
      </c>
      <c r="T1798" s="1">
        <v>186529</v>
      </c>
      <c r="U1798" s="1">
        <v>8644</v>
      </c>
      <c r="V1798" s="1">
        <v>6445</v>
      </c>
      <c r="W1798" s="1">
        <v>15934</v>
      </c>
      <c r="X1798" s="1">
        <v>7016</v>
      </c>
      <c r="Y1798" s="1">
        <v>6753</v>
      </c>
      <c r="Z1798" s="1">
        <v>6008</v>
      </c>
      <c r="AA1798">
        <v>0</v>
      </c>
      <c r="AB1798" t="str">
        <f t="shared" si="28"/>
        <v>Not Defaulter</v>
      </c>
      <c r="AC1798" s="1">
        <f>Table2[[#This Row],[BILL_AMT1]]-Table2[[#This Row],[PAY_AMT1]]</f>
        <v>199338</v>
      </c>
      <c r="AD1798" s="1" t="str" cm="1">
        <f t="array" ref="AD1798">_xlfn.IFS(Table2[[#This Row],[PAYMENT GAP]]&lt;=0,"No Gap / Overpaid",Table2[[#This Row],[PAYMENT GAP]]&lt;=25000,"Low Gap",Table2[[#This Row],[PAYMENT GAP]]&lt;=100000,"Medium Gap",
TRUE,"High Gap"
)</f>
        <v>High Gap</v>
      </c>
    </row>
    <row r="1799" spans="1:30" x14ac:dyDescent="0.3">
      <c r="A1799">
        <v>1798</v>
      </c>
      <c r="B1799" s="1">
        <v>230000</v>
      </c>
      <c r="C1799" s="1" t="str" cm="1">
        <f t="array" ref="C1799">_xlfn.IFS(Table2[[#This Row],[LIMIT_BAL]]&lt;=100000,"Low",Table2[[#This Row],[LIMIT_BAL]]&lt;=300000,"Medium",
TRUE,"High"
)</f>
        <v>Medium</v>
      </c>
      <c r="D1799" t="s">
        <v>2041</v>
      </c>
      <c r="E1799" t="s">
        <v>2026</v>
      </c>
      <c r="F1799" t="s">
        <v>2029</v>
      </c>
      <c r="G1799">
        <v>27</v>
      </c>
      <c r="H1799" t="str" cm="1">
        <f t="array" ref="H1799">_xlfn.IFS(
Table2[[#This Row],[AGE]]&lt;30,"Young",
Table2[[#This Row],[AGE]]&lt;40,"Middle Age",
Table2[[#This Row],[AGE]]&lt;50,"Senior",
TRUE,"Super Senior"
)</f>
        <v>Young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 s="1">
        <v>105217</v>
      </c>
      <c r="P1799" s="1">
        <v>107857</v>
      </c>
      <c r="Q1799" s="1">
        <v>110177</v>
      </c>
      <c r="R1799" s="1">
        <v>60137</v>
      </c>
      <c r="S1799" s="1">
        <v>62035</v>
      </c>
      <c r="T1799" s="1">
        <v>64034</v>
      </c>
      <c r="U1799" s="1">
        <v>4326</v>
      </c>
      <c r="V1799" s="1">
        <v>4533</v>
      </c>
      <c r="W1799" s="1">
        <v>2337</v>
      </c>
      <c r="X1799" s="1">
        <v>3035</v>
      </c>
      <c r="Y1799" s="1">
        <v>3034</v>
      </c>
      <c r="Z1799" s="1">
        <v>3101</v>
      </c>
      <c r="AA1799">
        <v>0</v>
      </c>
      <c r="AB1799" t="str">
        <f t="shared" si="28"/>
        <v>Not Defaulter</v>
      </c>
      <c r="AC1799" s="1">
        <f>Table2[[#This Row],[BILL_AMT1]]-Table2[[#This Row],[PAY_AMT1]]</f>
        <v>100891</v>
      </c>
      <c r="AD1799" s="1" t="str" cm="1">
        <f t="array" ref="AD1799">_xlfn.IFS(Table2[[#This Row],[PAYMENT GAP]]&lt;=0,"No Gap / Overpaid",Table2[[#This Row],[PAYMENT GAP]]&lt;=25000,"Low Gap",Table2[[#This Row],[PAYMENT GAP]]&lt;=100000,"Medium Gap",
TRUE,"High Gap"
)</f>
        <v>High Gap</v>
      </c>
    </row>
    <row r="1800" spans="1:30" x14ac:dyDescent="0.3">
      <c r="A1800">
        <v>1799</v>
      </c>
      <c r="B1800" s="1">
        <v>280000</v>
      </c>
      <c r="C1800" s="1" t="str" cm="1">
        <f t="array" ref="C1800">_xlfn.IFS(Table2[[#This Row],[LIMIT_BAL]]&lt;=100000,"Low",Table2[[#This Row],[LIMIT_BAL]]&lt;=300000,"Medium",
TRUE,"High"
)</f>
        <v>Medium</v>
      </c>
      <c r="D1800" t="s">
        <v>2041</v>
      </c>
      <c r="E1800" t="s">
        <v>2026</v>
      </c>
      <c r="F1800" t="s">
        <v>2028</v>
      </c>
      <c r="G1800">
        <v>36</v>
      </c>
      <c r="H1800" t="str" cm="1">
        <f t="array" ref="H1800">_xlfn.IFS(
Table2[[#This Row],[AGE]]&lt;30,"Young",
Table2[[#This Row],[AGE]]&lt;40,"Middle Age",
Table2[[#This Row],[AGE]]&lt;50,"Senior",
TRUE,"Super Senior"
)</f>
        <v>Middle Age</v>
      </c>
      <c r="I1800">
        <v>-1</v>
      </c>
      <c r="J1800">
        <v>-1</v>
      </c>
      <c r="K1800">
        <v>-1</v>
      </c>
      <c r="L1800">
        <v>-1</v>
      </c>
      <c r="M1800">
        <v>-1</v>
      </c>
      <c r="N1800">
        <v>-1</v>
      </c>
      <c r="O1800" s="1">
        <v>21251</v>
      </c>
      <c r="P1800" s="1">
        <v>33746</v>
      </c>
      <c r="Q1800" s="1">
        <v>8689</v>
      </c>
      <c r="R1800" s="1">
        <v>41652</v>
      </c>
      <c r="S1800" s="1">
        <v>9031</v>
      </c>
      <c r="T1800" s="1">
        <v>14106</v>
      </c>
      <c r="U1800" s="1">
        <v>33840</v>
      </c>
      <c r="V1800" s="1">
        <v>8689</v>
      </c>
      <c r="W1800" s="1">
        <v>41652</v>
      </c>
      <c r="X1800" s="1">
        <v>9031</v>
      </c>
      <c r="Y1800" s="1">
        <v>14106</v>
      </c>
      <c r="Z1800" s="1">
        <v>6680</v>
      </c>
      <c r="AA1800">
        <v>0</v>
      </c>
      <c r="AB1800" t="str">
        <f t="shared" si="28"/>
        <v>Not Defaulter</v>
      </c>
      <c r="AC1800" s="1">
        <f>Table2[[#This Row],[BILL_AMT1]]-Table2[[#This Row],[PAY_AMT1]]</f>
        <v>-12589</v>
      </c>
      <c r="AD1800" s="1" t="str" cm="1">
        <f t="array" ref="AD1800">_xlfn.IFS(Table2[[#This Row],[PAYMENT GAP]]&lt;=0,"No Gap / Overpaid",Table2[[#This Row],[PAYMENT GAP]]&lt;=25000,"Low Gap",Table2[[#This Row],[PAYMENT GAP]]&lt;=100000,"Medium Gap",
TRUE,"High Gap"
)</f>
        <v>No Gap / Overpaid</v>
      </c>
    </row>
    <row r="1801" spans="1:30" x14ac:dyDescent="0.3">
      <c r="A1801">
        <v>1800</v>
      </c>
      <c r="B1801" s="1">
        <v>130000</v>
      </c>
      <c r="C1801" s="1" t="str" cm="1">
        <f t="array" ref="C1801">_xlfn.IFS(Table2[[#This Row],[LIMIT_BAL]]&lt;=100000,"Low",Table2[[#This Row],[LIMIT_BAL]]&lt;=300000,"Medium",
TRUE,"High"
)</f>
        <v>Medium</v>
      </c>
      <c r="D1801" t="s">
        <v>2042</v>
      </c>
      <c r="E1801" t="s">
        <v>2027</v>
      </c>
      <c r="F1801" t="s">
        <v>2029</v>
      </c>
      <c r="G1801">
        <v>28</v>
      </c>
      <c r="H1801" t="str" cm="1">
        <f t="array" ref="H1801">_xlfn.IFS(
Table2[[#This Row],[AGE]]&lt;30,"Young",
Table2[[#This Row],[AGE]]&lt;40,"Middle Age",
Table2[[#This Row],[AGE]]&lt;50,"Senior",
TRUE,"Super Senior"
)</f>
        <v>Young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 s="1">
        <v>132258</v>
      </c>
      <c r="P1801" s="1">
        <v>133781</v>
      </c>
      <c r="Q1801" s="1">
        <v>133834</v>
      </c>
      <c r="R1801" s="1">
        <v>132336</v>
      </c>
      <c r="S1801" s="1">
        <v>132614</v>
      </c>
      <c r="T1801" s="1">
        <v>132208</v>
      </c>
      <c r="U1801" s="1">
        <v>6900</v>
      </c>
      <c r="V1801" s="1">
        <v>7000</v>
      </c>
      <c r="W1801" s="1">
        <v>7000</v>
      </c>
      <c r="X1801" s="1">
        <v>6000</v>
      </c>
      <c r="Y1801" s="1">
        <v>5500</v>
      </c>
      <c r="Z1801" s="1">
        <v>6000</v>
      </c>
      <c r="AA1801">
        <v>0</v>
      </c>
      <c r="AB1801" t="str">
        <f t="shared" si="28"/>
        <v>Not Defaulter</v>
      </c>
      <c r="AC1801" s="1">
        <f>Table2[[#This Row],[BILL_AMT1]]-Table2[[#This Row],[PAY_AMT1]]</f>
        <v>125358</v>
      </c>
      <c r="AD1801" s="1" t="str" cm="1">
        <f t="array" ref="AD1801">_xlfn.IFS(Table2[[#This Row],[PAYMENT GAP]]&lt;=0,"No Gap / Overpaid",Table2[[#This Row],[PAYMENT GAP]]&lt;=25000,"Low Gap",Table2[[#This Row],[PAYMENT GAP]]&lt;=100000,"Medium Gap",
TRUE,"High Gap"
)</f>
        <v>High Gap</v>
      </c>
    </row>
    <row r="1802" spans="1:30" x14ac:dyDescent="0.3">
      <c r="A1802">
        <v>1801</v>
      </c>
      <c r="B1802" s="1">
        <v>160000</v>
      </c>
      <c r="C1802" s="1" t="str" cm="1">
        <f t="array" ref="C1802">_xlfn.IFS(Table2[[#This Row],[LIMIT_BAL]]&lt;=100000,"Low",Table2[[#This Row],[LIMIT_BAL]]&lt;=300000,"Medium",
TRUE,"High"
)</f>
        <v>Medium</v>
      </c>
      <c r="D1802" t="s">
        <v>2041</v>
      </c>
      <c r="E1802" t="s">
        <v>2043</v>
      </c>
      <c r="F1802" t="s">
        <v>2028</v>
      </c>
      <c r="G1802">
        <v>35</v>
      </c>
      <c r="H1802" t="str" cm="1">
        <f t="array" ref="H1802">_xlfn.IFS(
Table2[[#This Row],[AGE]]&lt;30,"Young",
Table2[[#This Row],[AGE]]&lt;40,"Middle Age",
Table2[[#This Row],[AGE]]&lt;50,"Senior",
TRUE,"Super Senior"
)</f>
        <v>Middle Age</v>
      </c>
      <c r="I1802">
        <v>-1</v>
      </c>
      <c r="J1802">
        <v>-1</v>
      </c>
      <c r="K1802">
        <v>-1</v>
      </c>
      <c r="L1802">
        <v>-1</v>
      </c>
      <c r="M1802">
        <v>-1</v>
      </c>
      <c r="N1802">
        <v>-1</v>
      </c>
      <c r="O1802" s="1">
        <v>776</v>
      </c>
      <c r="P1802" s="1">
        <v>1172</v>
      </c>
      <c r="Q1802" s="1">
        <v>380</v>
      </c>
      <c r="R1802" s="1">
        <v>776</v>
      </c>
      <c r="S1802" s="1">
        <v>1172</v>
      </c>
      <c r="T1802" s="1">
        <v>380</v>
      </c>
      <c r="U1802" s="1">
        <v>1172</v>
      </c>
      <c r="V1802" s="1">
        <v>380</v>
      </c>
      <c r="W1802" s="1">
        <v>776</v>
      </c>
      <c r="X1802" s="1">
        <v>1172</v>
      </c>
      <c r="Y1802" s="1">
        <v>380</v>
      </c>
      <c r="Z1802" s="1">
        <v>776</v>
      </c>
      <c r="AA1802">
        <v>1</v>
      </c>
      <c r="AB1802" t="str">
        <f t="shared" si="28"/>
        <v>Defaulter</v>
      </c>
      <c r="AC1802" s="1">
        <f>Table2[[#This Row],[BILL_AMT1]]-Table2[[#This Row],[PAY_AMT1]]</f>
        <v>-396</v>
      </c>
      <c r="AD1802" s="1" t="str" cm="1">
        <f t="array" ref="AD1802">_xlfn.IFS(Table2[[#This Row],[PAYMENT GAP]]&lt;=0,"No Gap / Overpaid",Table2[[#This Row],[PAYMENT GAP]]&lt;=25000,"Low Gap",Table2[[#This Row],[PAYMENT GAP]]&lt;=100000,"Medium Gap",
TRUE,"High Gap"
)</f>
        <v>No Gap / Overpaid</v>
      </c>
    </row>
    <row r="1803" spans="1:30" x14ac:dyDescent="0.3">
      <c r="A1803">
        <v>1802</v>
      </c>
      <c r="B1803" s="1">
        <v>120000</v>
      </c>
      <c r="C1803" s="1" t="str" cm="1">
        <f t="array" ref="C1803">_xlfn.IFS(Table2[[#This Row],[LIMIT_BAL]]&lt;=100000,"Low",Table2[[#This Row],[LIMIT_BAL]]&lt;=300000,"Medium",
TRUE,"High"
)</f>
        <v>Medium</v>
      </c>
      <c r="D1803" t="s">
        <v>2042</v>
      </c>
      <c r="E1803" t="s">
        <v>2027</v>
      </c>
      <c r="F1803" t="s">
        <v>2028</v>
      </c>
      <c r="G1803">
        <v>47</v>
      </c>
      <c r="H1803" t="str" cm="1">
        <f t="array" ref="H1803">_xlfn.IFS(
Table2[[#This Row],[AGE]]&lt;30,"Young",
Table2[[#This Row],[AGE]]&lt;40,"Middle Age",
Table2[[#This Row],[AGE]]&lt;50,"Senior",
TRUE,"Super Senior"
)</f>
        <v>Senior</v>
      </c>
      <c r="I1803">
        <v>-1</v>
      </c>
      <c r="J1803">
        <v>-1</v>
      </c>
      <c r="K1803">
        <v>-1</v>
      </c>
      <c r="L1803">
        <v>-1</v>
      </c>
      <c r="M1803">
        <v>-1</v>
      </c>
      <c r="N1803">
        <v>-1</v>
      </c>
      <c r="O1803" s="1">
        <v>1051</v>
      </c>
      <c r="P1803" s="1">
        <v>671</v>
      </c>
      <c r="Q1803" s="1">
        <v>291</v>
      </c>
      <c r="R1803" s="1">
        <v>1051</v>
      </c>
      <c r="S1803" s="1">
        <v>291</v>
      </c>
      <c r="T1803" s="1">
        <v>671</v>
      </c>
      <c r="U1803" s="1">
        <v>671</v>
      </c>
      <c r="V1803" s="1">
        <v>291</v>
      </c>
      <c r="W1803" s="1">
        <v>1051</v>
      </c>
      <c r="X1803" s="1">
        <v>291</v>
      </c>
      <c r="Y1803" s="1">
        <v>671</v>
      </c>
      <c r="Z1803" s="1">
        <v>1051</v>
      </c>
      <c r="AA1803">
        <v>0</v>
      </c>
      <c r="AB1803" t="str">
        <f t="shared" si="28"/>
        <v>Not Defaulter</v>
      </c>
      <c r="AC1803" s="1">
        <f>Table2[[#This Row],[BILL_AMT1]]-Table2[[#This Row],[PAY_AMT1]]</f>
        <v>380</v>
      </c>
      <c r="AD1803" s="1" t="str" cm="1">
        <f t="array" ref="AD1803">_xlfn.IFS(Table2[[#This Row],[PAYMENT GAP]]&lt;=0,"No Gap / Overpaid",Table2[[#This Row],[PAYMENT GAP]]&lt;=25000,"Low Gap",Table2[[#This Row],[PAYMENT GAP]]&lt;=100000,"Medium Gap",
TRUE,"High Gap"
)</f>
        <v>Low Gap</v>
      </c>
    </row>
    <row r="1804" spans="1:30" x14ac:dyDescent="0.3">
      <c r="A1804">
        <v>1803</v>
      </c>
      <c r="B1804" s="1">
        <v>300000</v>
      </c>
      <c r="C1804" s="1" t="str" cm="1">
        <f t="array" ref="C1804">_xlfn.IFS(Table2[[#This Row],[LIMIT_BAL]]&lt;=100000,"Low",Table2[[#This Row],[LIMIT_BAL]]&lt;=300000,"Medium",
TRUE,"High"
)</f>
        <v>Medium</v>
      </c>
      <c r="D1804" t="s">
        <v>2041</v>
      </c>
      <c r="E1804" t="s">
        <v>2027</v>
      </c>
      <c r="F1804" t="s">
        <v>2028</v>
      </c>
      <c r="G1804">
        <v>31</v>
      </c>
      <c r="H1804" t="str" cm="1">
        <f t="array" ref="H1804">_xlfn.IFS(
Table2[[#This Row],[AGE]]&lt;30,"Young",
Table2[[#This Row],[AGE]]&lt;40,"Middle Age",
Table2[[#This Row],[AGE]]&lt;50,"Senior",
TRUE,"Super Senior"
)</f>
        <v>Middle Age</v>
      </c>
      <c r="I1804">
        <v>-1</v>
      </c>
      <c r="J1804">
        <v>-1</v>
      </c>
      <c r="K1804">
        <v>-1</v>
      </c>
      <c r="L1804">
        <v>-1</v>
      </c>
      <c r="M1804">
        <v>-1</v>
      </c>
      <c r="N1804">
        <v>-1</v>
      </c>
      <c r="O1804" s="1">
        <v>331</v>
      </c>
      <c r="P1804" s="1">
        <v>331</v>
      </c>
      <c r="Q1804" s="1">
        <v>331</v>
      </c>
      <c r="R1804" s="1">
        <v>331</v>
      </c>
      <c r="S1804" s="1">
        <v>-1</v>
      </c>
      <c r="T1804" s="1">
        <v>199</v>
      </c>
      <c r="U1804" s="1">
        <v>332</v>
      </c>
      <c r="V1804" s="1">
        <v>332</v>
      </c>
      <c r="W1804" s="1">
        <v>332</v>
      </c>
      <c r="X1804" s="1">
        <v>0</v>
      </c>
      <c r="Y1804" s="1">
        <v>200</v>
      </c>
      <c r="Z1804" s="1">
        <v>0</v>
      </c>
      <c r="AA1804">
        <v>0</v>
      </c>
      <c r="AB1804" t="str">
        <f t="shared" si="28"/>
        <v>Not Defaulter</v>
      </c>
      <c r="AC1804" s="1">
        <f>Table2[[#This Row],[BILL_AMT1]]-Table2[[#This Row],[PAY_AMT1]]</f>
        <v>-1</v>
      </c>
      <c r="AD1804" s="1" t="str" cm="1">
        <f t="array" ref="AD1804">_xlfn.IFS(Table2[[#This Row],[PAYMENT GAP]]&lt;=0,"No Gap / Overpaid",Table2[[#This Row],[PAYMENT GAP]]&lt;=25000,"Low Gap",Table2[[#This Row],[PAYMENT GAP]]&lt;=100000,"Medium Gap",
TRUE,"High Gap"
)</f>
        <v>No Gap / Overpaid</v>
      </c>
    </row>
    <row r="1805" spans="1:30" x14ac:dyDescent="0.3">
      <c r="A1805">
        <v>1804</v>
      </c>
      <c r="B1805" s="1">
        <v>20000</v>
      </c>
      <c r="C1805" s="1" t="str" cm="1">
        <f t="array" ref="C1805">_xlfn.IFS(Table2[[#This Row],[LIMIT_BAL]]&lt;=100000,"Low",Table2[[#This Row],[LIMIT_BAL]]&lt;=300000,"Medium",
TRUE,"High"
)</f>
        <v>Low</v>
      </c>
      <c r="D1805" t="s">
        <v>2041</v>
      </c>
      <c r="E1805" t="s">
        <v>2026</v>
      </c>
      <c r="F1805" t="s">
        <v>2029</v>
      </c>
      <c r="G1805">
        <v>31</v>
      </c>
      <c r="H1805" t="str" cm="1">
        <f t="array" ref="H1805">_xlfn.IFS(
Table2[[#This Row],[AGE]]&lt;30,"Young",
Table2[[#This Row],[AGE]]&lt;40,"Middle Age",
Table2[[#This Row],[AGE]]&lt;50,"Senior",
TRUE,"Super Senior"
)</f>
        <v>Middle Age</v>
      </c>
      <c r="I1805">
        <v>-2</v>
      </c>
      <c r="J1805">
        <v>-2</v>
      </c>
      <c r="K1805">
        <v>-2</v>
      </c>
      <c r="L1805">
        <v>-2</v>
      </c>
      <c r="M1805">
        <v>-2</v>
      </c>
      <c r="N1805">
        <v>-2</v>
      </c>
      <c r="O1805" s="1">
        <v>264</v>
      </c>
      <c r="P1805" s="1">
        <v>264</v>
      </c>
      <c r="Q1805" s="1">
        <v>2227</v>
      </c>
      <c r="R1805" s="1">
        <v>1357</v>
      </c>
      <c r="S1805" s="1">
        <v>1357</v>
      </c>
      <c r="T1805" s="1">
        <v>4500</v>
      </c>
      <c r="U1805" s="1">
        <v>264</v>
      </c>
      <c r="V1805" s="1">
        <v>2227</v>
      </c>
      <c r="W1805" s="1">
        <v>1357</v>
      </c>
      <c r="X1805" s="1">
        <v>1357</v>
      </c>
      <c r="Y1805" s="1">
        <v>4500</v>
      </c>
      <c r="Z1805" s="1">
        <v>1357</v>
      </c>
      <c r="AA1805">
        <v>0</v>
      </c>
      <c r="AB1805" t="str">
        <f t="shared" si="28"/>
        <v>Not Defaulter</v>
      </c>
      <c r="AC1805" s="1">
        <f>Table2[[#This Row],[BILL_AMT1]]-Table2[[#This Row],[PAY_AMT1]]</f>
        <v>0</v>
      </c>
      <c r="AD1805" s="1" t="str" cm="1">
        <f t="array" ref="AD1805">_xlfn.IFS(Table2[[#This Row],[PAYMENT GAP]]&lt;=0,"No Gap / Overpaid",Table2[[#This Row],[PAYMENT GAP]]&lt;=25000,"Low Gap",Table2[[#This Row],[PAYMENT GAP]]&lt;=100000,"Medium Gap",
TRUE,"High Gap"
)</f>
        <v>No Gap / Overpaid</v>
      </c>
    </row>
    <row r="1806" spans="1:30" x14ac:dyDescent="0.3">
      <c r="A1806">
        <v>1805</v>
      </c>
      <c r="B1806" s="1">
        <v>450000</v>
      </c>
      <c r="C1806" s="1" t="str" cm="1">
        <f t="array" ref="C1806">_xlfn.IFS(Table2[[#This Row],[LIMIT_BAL]]&lt;=100000,"Low",Table2[[#This Row],[LIMIT_BAL]]&lt;=300000,"Medium",
TRUE,"High"
)</f>
        <v>High</v>
      </c>
      <c r="D1806" t="s">
        <v>2042</v>
      </c>
      <c r="E1806" t="s">
        <v>2026</v>
      </c>
      <c r="F1806" t="s">
        <v>2029</v>
      </c>
      <c r="G1806">
        <v>31</v>
      </c>
      <c r="H1806" t="str" cm="1">
        <f t="array" ref="H1806">_xlfn.IFS(
Table2[[#This Row],[AGE]]&lt;30,"Young",
Table2[[#This Row],[AGE]]&lt;40,"Middle Age",
Table2[[#This Row],[AGE]]&lt;50,"Senior",
TRUE,"Super Senior"
)</f>
        <v>Middle Age</v>
      </c>
      <c r="I1806">
        <v>-1</v>
      </c>
      <c r="J1806">
        <v>-1</v>
      </c>
      <c r="K1806">
        <v>-1</v>
      </c>
      <c r="L1806">
        <v>-1</v>
      </c>
      <c r="M1806">
        <v>-1</v>
      </c>
      <c r="N1806">
        <v>-1</v>
      </c>
      <c r="O1806" s="1">
        <v>10350</v>
      </c>
      <c r="P1806" s="1">
        <v>3629</v>
      </c>
      <c r="Q1806" s="1">
        <v>3271</v>
      </c>
      <c r="R1806" s="1">
        <v>6271</v>
      </c>
      <c r="S1806" s="1">
        <v>2135</v>
      </c>
      <c r="T1806" s="1">
        <v>2546</v>
      </c>
      <c r="U1806" s="1">
        <v>3629</v>
      </c>
      <c r="V1806" s="1">
        <v>3271</v>
      </c>
      <c r="W1806" s="1">
        <v>6271</v>
      </c>
      <c r="X1806" s="1">
        <v>2135</v>
      </c>
      <c r="Y1806" s="1">
        <v>2546</v>
      </c>
      <c r="Z1806" s="1">
        <v>4877</v>
      </c>
      <c r="AA1806">
        <v>1</v>
      </c>
      <c r="AB1806" t="str">
        <f t="shared" si="28"/>
        <v>Defaulter</v>
      </c>
      <c r="AC1806" s="1">
        <f>Table2[[#This Row],[BILL_AMT1]]-Table2[[#This Row],[PAY_AMT1]]</f>
        <v>6721</v>
      </c>
      <c r="AD1806" s="1" t="str" cm="1">
        <f t="array" ref="AD1806">_xlfn.IFS(Table2[[#This Row],[PAYMENT GAP]]&lt;=0,"No Gap / Overpaid",Table2[[#This Row],[PAYMENT GAP]]&lt;=25000,"Low Gap",Table2[[#This Row],[PAYMENT GAP]]&lt;=100000,"Medium Gap",
TRUE,"High Gap"
)</f>
        <v>Low Gap</v>
      </c>
    </row>
    <row r="1807" spans="1:30" x14ac:dyDescent="0.3">
      <c r="A1807">
        <v>1806</v>
      </c>
      <c r="B1807" s="1">
        <v>250000</v>
      </c>
      <c r="C1807" s="1" t="str" cm="1">
        <f t="array" ref="C1807">_xlfn.IFS(Table2[[#This Row],[LIMIT_BAL]]&lt;=100000,"Low",Table2[[#This Row],[LIMIT_BAL]]&lt;=300000,"Medium",
TRUE,"High"
)</f>
        <v>Medium</v>
      </c>
      <c r="D1807" t="s">
        <v>2042</v>
      </c>
      <c r="E1807" t="s">
        <v>2043</v>
      </c>
      <c r="F1807" t="s">
        <v>2028</v>
      </c>
      <c r="G1807">
        <v>30</v>
      </c>
      <c r="H1807" t="str" cm="1">
        <f t="array" ref="H1807">_xlfn.IFS(
Table2[[#This Row],[AGE]]&lt;30,"Young",
Table2[[#This Row],[AGE]]&lt;40,"Middle Age",
Table2[[#This Row],[AGE]]&lt;50,"Senior",
TRUE,"Super Senior"
)</f>
        <v>Middle Age</v>
      </c>
      <c r="I1807">
        <v>-2</v>
      </c>
      <c r="J1807">
        <v>-2</v>
      </c>
      <c r="K1807">
        <v>-2</v>
      </c>
      <c r="L1807">
        <v>-2</v>
      </c>
      <c r="M1807">
        <v>-2</v>
      </c>
      <c r="N1807">
        <v>-2</v>
      </c>
      <c r="O1807" s="1">
        <v>2419</v>
      </c>
      <c r="P1807" s="1">
        <v>28965</v>
      </c>
      <c r="Q1807" s="1">
        <v>44179</v>
      </c>
      <c r="R1807" s="1">
        <v>37145</v>
      </c>
      <c r="S1807" s="1">
        <v>46733</v>
      </c>
      <c r="T1807" s="1">
        <v>46963</v>
      </c>
      <c r="U1807" s="1">
        <v>29062</v>
      </c>
      <c r="V1807" s="1">
        <v>44385</v>
      </c>
      <c r="W1807" s="1">
        <v>40682</v>
      </c>
      <c r="X1807" s="1">
        <v>46873</v>
      </c>
      <c r="Y1807" s="1">
        <v>47104</v>
      </c>
      <c r="Z1807" s="1">
        <v>52448</v>
      </c>
      <c r="AA1807">
        <v>0</v>
      </c>
      <c r="AB1807" t="str">
        <f t="shared" si="28"/>
        <v>Not Defaulter</v>
      </c>
      <c r="AC1807" s="1">
        <f>Table2[[#This Row],[BILL_AMT1]]-Table2[[#This Row],[PAY_AMT1]]</f>
        <v>-26643</v>
      </c>
      <c r="AD1807" s="1" t="str" cm="1">
        <f t="array" ref="AD1807">_xlfn.IFS(Table2[[#This Row],[PAYMENT GAP]]&lt;=0,"No Gap / Overpaid",Table2[[#This Row],[PAYMENT GAP]]&lt;=25000,"Low Gap",Table2[[#This Row],[PAYMENT GAP]]&lt;=100000,"Medium Gap",
TRUE,"High Gap"
)</f>
        <v>No Gap / Overpaid</v>
      </c>
    </row>
    <row r="1808" spans="1:30" x14ac:dyDescent="0.3">
      <c r="A1808">
        <v>1807</v>
      </c>
      <c r="B1808" s="1">
        <v>100000</v>
      </c>
      <c r="C1808" s="1" t="str" cm="1">
        <f t="array" ref="C1808">_xlfn.IFS(Table2[[#This Row],[LIMIT_BAL]]&lt;=100000,"Low",Table2[[#This Row],[LIMIT_BAL]]&lt;=300000,"Medium",
TRUE,"High"
)</f>
        <v>Low</v>
      </c>
      <c r="D1808" t="s">
        <v>2041</v>
      </c>
      <c r="E1808" t="s">
        <v>2043</v>
      </c>
      <c r="F1808" t="s">
        <v>2028</v>
      </c>
      <c r="G1808">
        <v>58</v>
      </c>
      <c r="H1808" t="str" cm="1">
        <f t="array" ref="H1808">_xlfn.IFS(
Table2[[#This Row],[AGE]]&lt;30,"Young",
Table2[[#This Row],[AGE]]&lt;40,"Middle Age",
Table2[[#This Row],[AGE]]&lt;50,"Senior",
TRUE,"Super Senior"
)</f>
        <v>Super Senior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 s="1">
        <v>101249</v>
      </c>
      <c r="P1808" s="1">
        <v>101476</v>
      </c>
      <c r="Q1808" s="1">
        <v>94893</v>
      </c>
      <c r="R1808" s="1">
        <v>101301</v>
      </c>
      <c r="S1808" s="1">
        <v>101451</v>
      </c>
      <c r="T1808" s="1">
        <v>99319</v>
      </c>
      <c r="U1808" s="1">
        <v>3642</v>
      </c>
      <c r="V1808" s="1">
        <v>4230</v>
      </c>
      <c r="W1808" s="1">
        <v>10000</v>
      </c>
      <c r="X1808" s="1">
        <v>3582</v>
      </c>
      <c r="Y1808" s="1">
        <v>5000</v>
      </c>
      <c r="Z1808" s="1">
        <v>4133</v>
      </c>
      <c r="AA1808">
        <v>0</v>
      </c>
      <c r="AB1808" t="str">
        <f t="shared" si="28"/>
        <v>Not Defaulter</v>
      </c>
      <c r="AC1808" s="1">
        <f>Table2[[#This Row],[BILL_AMT1]]-Table2[[#This Row],[PAY_AMT1]]</f>
        <v>97607</v>
      </c>
      <c r="AD1808" s="1" t="str" cm="1">
        <f t="array" ref="AD1808">_xlfn.IFS(Table2[[#This Row],[PAYMENT GAP]]&lt;=0,"No Gap / Overpaid",Table2[[#This Row],[PAYMENT GAP]]&lt;=25000,"Low Gap",Table2[[#This Row],[PAYMENT GAP]]&lt;=100000,"Medium Gap",
TRUE,"High Gap"
)</f>
        <v>Medium Gap</v>
      </c>
    </row>
    <row r="1809" spans="1:30" x14ac:dyDescent="0.3">
      <c r="A1809">
        <v>1808</v>
      </c>
      <c r="B1809" s="1">
        <v>150000</v>
      </c>
      <c r="C1809" s="1" t="str" cm="1">
        <f t="array" ref="C1809">_xlfn.IFS(Table2[[#This Row],[LIMIT_BAL]]&lt;=100000,"Low",Table2[[#This Row],[LIMIT_BAL]]&lt;=300000,"Medium",
TRUE,"High"
)</f>
        <v>Medium</v>
      </c>
      <c r="D1809" t="s">
        <v>2041</v>
      </c>
      <c r="E1809" t="s">
        <v>2043</v>
      </c>
      <c r="F1809" t="s">
        <v>2029</v>
      </c>
      <c r="G1809">
        <v>27</v>
      </c>
      <c r="H1809" t="str" cm="1">
        <f t="array" ref="H1809">_xlfn.IFS(
Table2[[#This Row],[AGE]]&lt;30,"Young",
Table2[[#This Row],[AGE]]&lt;40,"Middle Age",
Table2[[#This Row],[AGE]]&lt;50,"Senior",
TRUE,"Super Senior"
)</f>
        <v>Young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 s="1">
        <v>23165</v>
      </c>
      <c r="P1809" s="1">
        <v>24515</v>
      </c>
      <c r="Q1809" s="1">
        <v>25592</v>
      </c>
      <c r="R1809" s="1">
        <v>24949</v>
      </c>
      <c r="S1809" s="1">
        <v>26846</v>
      </c>
      <c r="T1809" s="1">
        <v>26908</v>
      </c>
      <c r="U1809" s="1">
        <v>1723</v>
      </c>
      <c r="V1809" s="1">
        <v>1800</v>
      </c>
      <c r="W1809" s="1">
        <v>1100</v>
      </c>
      <c r="X1809" s="1">
        <v>2300</v>
      </c>
      <c r="Y1809" s="1">
        <v>1000</v>
      </c>
      <c r="Z1809" s="1">
        <v>1300</v>
      </c>
      <c r="AA1809">
        <v>0</v>
      </c>
      <c r="AB1809" t="str">
        <f t="shared" si="28"/>
        <v>Not Defaulter</v>
      </c>
      <c r="AC1809" s="1">
        <f>Table2[[#This Row],[BILL_AMT1]]-Table2[[#This Row],[PAY_AMT1]]</f>
        <v>21442</v>
      </c>
      <c r="AD1809" s="1" t="str" cm="1">
        <f t="array" ref="AD1809">_xlfn.IFS(Table2[[#This Row],[PAYMENT GAP]]&lt;=0,"No Gap / Overpaid",Table2[[#This Row],[PAYMENT GAP]]&lt;=25000,"Low Gap",Table2[[#This Row],[PAYMENT GAP]]&lt;=100000,"Medium Gap",
TRUE,"High Gap"
)</f>
        <v>Low Gap</v>
      </c>
    </row>
    <row r="1810" spans="1:30" x14ac:dyDescent="0.3">
      <c r="A1810">
        <v>1809</v>
      </c>
      <c r="B1810" s="1">
        <v>140000</v>
      </c>
      <c r="C1810" s="1" t="str" cm="1">
        <f t="array" ref="C1810">_xlfn.IFS(Table2[[#This Row],[LIMIT_BAL]]&lt;=100000,"Low",Table2[[#This Row],[LIMIT_BAL]]&lt;=300000,"Medium",
TRUE,"High"
)</f>
        <v>Medium</v>
      </c>
      <c r="D1810" t="s">
        <v>2042</v>
      </c>
      <c r="E1810" t="s">
        <v>2043</v>
      </c>
      <c r="F1810" t="s">
        <v>2029</v>
      </c>
      <c r="G1810">
        <v>35</v>
      </c>
      <c r="H1810" t="str" cm="1">
        <f t="array" ref="H1810">_xlfn.IFS(
Table2[[#This Row],[AGE]]&lt;30,"Young",
Table2[[#This Row],[AGE]]&lt;40,"Middle Age",
Table2[[#This Row],[AGE]]&lt;50,"Senior",
TRUE,"Super Senior"
)</f>
        <v>Middle Age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 s="1">
        <v>101038</v>
      </c>
      <c r="P1810" s="1">
        <v>66734</v>
      </c>
      <c r="Q1810" s="1">
        <v>64018</v>
      </c>
      <c r="R1810" s="1">
        <v>64656</v>
      </c>
      <c r="S1810" s="1">
        <v>65341</v>
      </c>
      <c r="T1810" s="1">
        <v>66277</v>
      </c>
      <c r="U1810" s="1">
        <v>4215</v>
      </c>
      <c r="V1810" s="1">
        <v>3221</v>
      </c>
      <c r="W1810" s="1">
        <v>2066</v>
      </c>
      <c r="X1810" s="1">
        <v>1864</v>
      </c>
      <c r="Y1810" s="1">
        <v>1895</v>
      </c>
      <c r="Z1810" s="1">
        <v>1883</v>
      </c>
      <c r="AA1810">
        <v>0</v>
      </c>
      <c r="AB1810" t="str">
        <f t="shared" si="28"/>
        <v>Not Defaulter</v>
      </c>
      <c r="AC1810" s="1">
        <f>Table2[[#This Row],[BILL_AMT1]]-Table2[[#This Row],[PAY_AMT1]]</f>
        <v>96823</v>
      </c>
      <c r="AD1810" s="1" t="str" cm="1">
        <f t="array" ref="AD1810">_xlfn.IFS(Table2[[#This Row],[PAYMENT GAP]]&lt;=0,"No Gap / Overpaid",Table2[[#This Row],[PAYMENT GAP]]&lt;=25000,"Low Gap",Table2[[#This Row],[PAYMENT GAP]]&lt;=100000,"Medium Gap",
TRUE,"High Gap"
)</f>
        <v>Medium Gap</v>
      </c>
    </row>
    <row r="1811" spans="1:30" x14ac:dyDescent="0.3">
      <c r="A1811">
        <v>1810</v>
      </c>
      <c r="B1811" s="1">
        <v>500000</v>
      </c>
      <c r="C1811" s="1" t="str" cm="1">
        <f t="array" ref="C1811">_xlfn.IFS(Table2[[#This Row],[LIMIT_BAL]]&lt;=100000,"Low",Table2[[#This Row],[LIMIT_BAL]]&lt;=300000,"Medium",
TRUE,"High"
)</f>
        <v>High</v>
      </c>
      <c r="D1811" t="s">
        <v>2041</v>
      </c>
      <c r="E1811" t="s">
        <v>2026</v>
      </c>
      <c r="F1811" t="s">
        <v>2029</v>
      </c>
      <c r="G1811">
        <v>46</v>
      </c>
      <c r="H1811" t="str" cm="1">
        <f t="array" ref="H1811">_xlfn.IFS(
Table2[[#This Row],[AGE]]&lt;30,"Young",
Table2[[#This Row],[AGE]]&lt;40,"Middle Age",
Table2[[#This Row],[AGE]]&lt;50,"Senior",
TRUE,"Super Senior"
)</f>
        <v>Senior</v>
      </c>
      <c r="I1811">
        <v>-2</v>
      </c>
      <c r="J1811">
        <v>-1</v>
      </c>
      <c r="K1811">
        <v>-1</v>
      </c>
      <c r="L1811">
        <v>-1</v>
      </c>
      <c r="M1811">
        <v>-1</v>
      </c>
      <c r="N1811">
        <v>-1</v>
      </c>
      <c r="O1811" s="1">
        <v>33332</v>
      </c>
      <c r="P1811" s="1">
        <v>163500</v>
      </c>
      <c r="Q1811" s="1">
        <v>60560</v>
      </c>
      <c r="R1811" s="1">
        <v>104734</v>
      </c>
      <c r="S1811" s="1">
        <v>41018</v>
      </c>
      <c r="T1811" s="1">
        <v>6258</v>
      </c>
      <c r="U1811" s="1">
        <v>163500</v>
      </c>
      <c r="V1811" s="1">
        <v>70160</v>
      </c>
      <c r="W1811" s="1">
        <v>104734</v>
      </c>
      <c r="X1811" s="1">
        <v>41018</v>
      </c>
      <c r="Y1811" s="1">
        <v>6258</v>
      </c>
      <c r="Z1811" s="1">
        <v>70356</v>
      </c>
      <c r="AA1811">
        <v>0</v>
      </c>
      <c r="AB1811" t="str">
        <f t="shared" si="28"/>
        <v>Not Defaulter</v>
      </c>
      <c r="AC1811" s="1">
        <f>Table2[[#This Row],[BILL_AMT1]]-Table2[[#This Row],[PAY_AMT1]]</f>
        <v>-130168</v>
      </c>
      <c r="AD1811" s="1" t="str" cm="1">
        <f t="array" ref="AD1811">_xlfn.IFS(Table2[[#This Row],[PAYMENT GAP]]&lt;=0,"No Gap / Overpaid",Table2[[#This Row],[PAYMENT GAP]]&lt;=25000,"Low Gap",Table2[[#This Row],[PAYMENT GAP]]&lt;=100000,"Medium Gap",
TRUE,"High Gap"
)</f>
        <v>No Gap / Overpaid</v>
      </c>
    </row>
    <row r="1812" spans="1:30" x14ac:dyDescent="0.3">
      <c r="A1812">
        <v>1811</v>
      </c>
      <c r="B1812" s="1">
        <v>20000</v>
      </c>
      <c r="C1812" s="1" t="str" cm="1">
        <f t="array" ref="C1812">_xlfn.IFS(Table2[[#This Row],[LIMIT_BAL]]&lt;=100000,"Low",Table2[[#This Row],[LIMIT_BAL]]&lt;=300000,"Medium",
TRUE,"High"
)</f>
        <v>Low</v>
      </c>
      <c r="D1812" t="s">
        <v>2042</v>
      </c>
      <c r="E1812" t="s">
        <v>2043</v>
      </c>
      <c r="F1812" t="s">
        <v>2029</v>
      </c>
      <c r="G1812">
        <v>36</v>
      </c>
      <c r="H1812" t="str" cm="1">
        <f t="array" ref="H1812">_xlfn.IFS(
Table2[[#This Row],[AGE]]&lt;30,"Young",
Table2[[#This Row],[AGE]]&lt;40,"Middle Age",
Table2[[#This Row],[AGE]]&lt;50,"Senior",
TRUE,"Super Senior"
)</f>
        <v>Middle Age</v>
      </c>
      <c r="I1812">
        <v>-1</v>
      </c>
      <c r="J1812">
        <v>-1</v>
      </c>
      <c r="K1812">
        <v>-1</v>
      </c>
      <c r="L1812">
        <v>0</v>
      </c>
      <c r="M1812">
        <v>0</v>
      </c>
      <c r="N1812">
        <v>0</v>
      </c>
      <c r="O1812" s="1">
        <v>3152</v>
      </c>
      <c r="P1812" s="1">
        <v>0</v>
      </c>
      <c r="Q1812" s="1">
        <v>4956</v>
      </c>
      <c r="R1812" s="1">
        <v>10148</v>
      </c>
      <c r="S1812" s="1">
        <v>6979</v>
      </c>
      <c r="T1812" s="1">
        <v>8353</v>
      </c>
      <c r="U1812" s="1">
        <v>0</v>
      </c>
      <c r="V1812" s="1">
        <v>4956</v>
      </c>
      <c r="W1812" s="1">
        <v>200</v>
      </c>
      <c r="X1812" s="1">
        <v>2000</v>
      </c>
      <c r="Y1812" s="1">
        <v>1500</v>
      </c>
      <c r="Z1812" s="1">
        <v>500</v>
      </c>
      <c r="AA1812">
        <v>0</v>
      </c>
      <c r="AB1812" t="str">
        <f t="shared" si="28"/>
        <v>Not Defaulter</v>
      </c>
      <c r="AC1812" s="1">
        <f>Table2[[#This Row],[BILL_AMT1]]-Table2[[#This Row],[PAY_AMT1]]</f>
        <v>3152</v>
      </c>
      <c r="AD1812" s="1" t="str" cm="1">
        <f t="array" ref="AD1812">_xlfn.IFS(Table2[[#This Row],[PAYMENT GAP]]&lt;=0,"No Gap / Overpaid",Table2[[#This Row],[PAYMENT GAP]]&lt;=25000,"Low Gap",Table2[[#This Row],[PAYMENT GAP]]&lt;=100000,"Medium Gap",
TRUE,"High Gap"
)</f>
        <v>Low Gap</v>
      </c>
    </row>
    <row r="1813" spans="1:30" x14ac:dyDescent="0.3">
      <c r="A1813">
        <v>1812</v>
      </c>
      <c r="B1813" s="1">
        <v>50000</v>
      </c>
      <c r="C1813" s="1" t="str" cm="1">
        <f t="array" ref="C1813">_xlfn.IFS(Table2[[#This Row],[LIMIT_BAL]]&lt;=100000,"Low",Table2[[#This Row],[LIMIT_BAL]]&lt;=300000,"Medium",
TRUE,"High"
)</f>
        <v>Low</v>
      </c>
      <c r="D1813" t="s">
        <v>2042</v>
      </c>
      <c r="E1813" t="s">
        <v>2043</v>
      </c>
      <c r="F1813" t="s">
        <v>2029</v>
      </c>
      <c r="G1813">
        <v>53</v>
      </c>
      <c r="H1813" t="str" cm="1">
        <f t="array" ref="H1813">_xlfn.IFS(
Table2[[#This Row],[AGE]]&lt;30,"Young",
Table2[[#This Row],[AGE]]&lt;40,"Middle Age",
Table2[[#This Row],[AGE]]&lt;50,"Senior",
TRUE,"Super Senior"
)</f>
        <v>Super Senior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 s="1">
        <v>18922</v>
      </c>
      <c r="P1813" s="1">
        <v>19486</v>
      </c>
      <c r="Q1813" s="1">
        <v>19917</v>
      </c>
      <c r="R1813" s="1">
        <v>20017</v>
      </c>
      <c r="S1813" s="1">
        <v>20146</v>
      </c>
      <c r="T1813" s="1">
        <v>20221</v>
      </c>
      <c r="U1813" s="1">
        <v>1329</v>
      </c>
      <c r="V1813" s="1">
        <v>1310</v>
      </c>
      <c r="W1813" s="1">
        <v>680</v>
      </c>
      <c r="X1813" s="1">
        <v>705</v>
      </c>
      <c r="Y1813" s="1">
        <v>728</v>
      </c>
      <c r="Z1813" s="1">
        <v>690</v>
      </c>
      <c r="AA1813">
        <v>0</v>
      </c>
      <c r="AB1813" t="str">
        <f t="shared" si="28"/>
        <v>Not Defaulter</v>
      </c>
      <c r="AC1813" s="1">
        <f>Table2[[#This Row],[BILL_AMT1]]-Table2[[#This Row],[PAY_AMT1]]</f>
        <v>17593</v>
      </c>
      <c r="AD1813" s="1" t="str" cm="1">
        <f t="array" ref="AD1813">_xlfn.IFS(Table2[[#This Row],[PAYMENT GAP]]&lt;=0,"No Gap / Overpaid",Table2[[#This Row],[PAYMENT GAP]]&lt;=25000,"Low Gap",Table2[[#This Row],[PAYMENT GAP]]&lt;=100000,"Medium Gap",
TRUE,"High Gap"
)</f>
        <v>Low Gap</v>
      </c>
    </row>
    <row r="1814" spans="1:30" x14ac:dyDescent="0.3">
      <c r="A1814">
        <v>1813</v>
      </c>
      <c r="B1814" s="1">
        <v>100000</v>
      </c>
      <c r="C1814" s="1" t="str" cm="1">
        <f t="array" ref="C1814">_xlfn.IFS(Table2[[#This Row],[LIMIT_BAL]]&lt;=100000,"Low",Table2[[#This Row],[LIMIT_BAL]]&lt;=300000,"Medium",
TRUE,"High"
)</f>
        <v>Low</v>
      </c>
      <c r="D1814" t="s">
        <v>2042</v>
      </c>
      <c r="E1814" t="s">
        <v>2043</v>
      </c>
      <c r="F1814" t="s">
        <v>2029</v>
      </c>
      <c r="G1814">
        <v>39</v>
      </c>
      <c r="H1814" t="str" cm="1">
        <f t="array" ref="H1814">_xlfn.IFS(
Table2[[#This Row],[AGE]]&lt;30,"Young",
Table2[[#This Row],[AGE]]&lt;40,"Middle Age",
Table2[[#This Row],[AGE]]&lt;50,"Senior",
TRUE,"Super Senior"
)</f>
        <v>Middle Age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 s="1">
        <v>121895</v>
      </c>
      <c r="P1814" s="1">
        <v>107315</v>
      </c>
      <c r="Q1814" s="1">
        <v>115214</v>
      </c>
      <c r="R1814" s="1">
        <v>83649</v>
      </c>
      <c r="S1814" s="1">
        <v>59993</v>
      </c>
      <c r="T1814" s="1">
        <v>62813</v>
      </c>
      <c r="U1814" s="1">
        <v>4500</v>
      </c>
      <c r="V1814" s="1">
        <v>10000</v>
      </c>
      <c r="W1814" s="1">
        <v>11000</v>
      </c>
      <c r="X1814" s="1">
        <v>3000</v>
      </c>
      <c r="Y1814" s="1">
        <v>4000</v>
      </c>
      <c r="Z1814" s="1">
        <v>3000</v>
      </c>
      <c r="AA1814">
        <v>1</v>
      </c>
      <c r="AB1814" t="str">
        <f t="shared" si="28"/>
        <v>Defaulter</v>
      </c>
      <c r="AC1814" s="1">
        <f>Table2[[#This Row],[BILL_AMT1]]-Table2[[#This Row],[PAY_AMT1]]</f>
        <v>117395</v>
      </c>
      <c r="AD1814" s="1" t="str" cm="1">
        <f t="array" ref="AD1814">_xlfn.IFS(Table2[[#This Row],[PAYMENT GAP]]&lt;=0,"No Gap / Overpaid",Table2[[#This Row],[PAYMENT GAP]]&lt;=25000,"Low Gap",Table2[[#This Row],[PAYMENT GAP]]&lt;=100000,"Medium Gap",
TRUE,"High Gap"
)</f>
        <v>High Gap</v>
      </c>
    </row>
    <row r="1815" spans="1:30" x14ac:dyDescent="0.3">
      <c r="A1815">
        <v>1814</v>
      </c>
      <c r="B1815" s="1">
        <v>200000</v>
      </c>
      <c r="C1815" s="1" t="str" cm="1">
        <f t="array" ref="C1815">_xlfn.IFS(Table2[[#This Row],[LIMIT_BAL]]&lt;=100000,"Low",Table2[[#This Row],[LIMIT_BAL]]&lt;=300000,"Medium",
TRUE,"High"
)</f>
        <v>Medium</v>
      </c>
      <c r="D1815" t="s">
        <v>2041</v>
      </c>
      <c r="E1815" t="s">
        <v>2043</v>
      </c>
      <c r="F1815" t="s">
        <v>2029</v>
      </c>
      <c r="G1815">
        <v>27</v>
      </c>
      <c r="H1815" t="str" cm="1">
        <f t="array" ref="H1815">_xlfn.IFS(
Table2[[#This Row],[AGE]]&lt;30,"Young",
Table2[[#This Row],[AGE]]&lt;40,"Middle Age",
Table2[[#This Row],[AGE]]&lt;50,"Senior",
TRUE,"Super Senior"
)</f>
        <v>Young</v>
      </c>
      <c r="I1815">
        <v>2</v>
      </c>
      <c r="J1815">
        <v>2</v>
      </c>
      <c r="K1815">
        <v>0</v>
      </c>
      <c r="L1815">
        <v>0</v>
      </c>
      <c r="M1815">
        <v>0</v>
      </c>
      <c r="N1815">
        <v>0</v>
      </c>
      <c r="O1815" s="1">
        <v>186806</v>
      </c>
      <c r="P1815" s="1">
        <v>166153</v>
      </c>
      <c r="Q1815" s="1">
        <v>157633</v>
      </c>
      <c r="R1815" s="1">
        <v>145423</v>
      </c>
      <c r="S1815" s="1">
        <v>146202</v>
      </c>
      <c r="T1815" s="1">
        <v>144685</v>
      </c>
      <c r="U1815" s="1">
        <v>0</v>
      </c>
      <c r="V1815" s="1">
        <v>6908</v>
      </c>
      <c r="W1815" s="1">
        <v>5200</v>
      </c>
      <c r="X1815" s="1">
        <v>5400</v>
      </c>
      <c r="Y1815" s="1">
        <v>5700</v>
      </c>
      <c r="Z1815" s="1">
        <v>9101</v>
      </c>
      <c r="AA1815">
        <v>0</v>
      </c>
      <c r="AB1815" t="str">
        <f t="shared" si="28"/>
        <v>Not Defaulter</v>
      </c>
      <c r="AC1815" s="1">
        <f>Table2[[#This Row],[BILL_AMT1]]-Table2[[#This Row],[PAY_AMT1]]</f>
        <v>186806</v>
      </c>
      <c r="AD1815" s="1" t="str" cm="1">
        <f t="array" ref="AD1815">_xlfn.IFS(Table2[[#This Row],[PAYMENT GAP]]&lt;=0,"No Gap / Overpaid",Table2[[#This Row],[PAYMENT GAP]]&lt;=25000,"Low Gap",Table2[[#This Row],[PAYMENT GAP]]&lt;=100000,"Medium Gap",
TRUE,"High Gap"
)</f>
        <v>High Gap</v>
      </c>
    </row>
    <row r="1816" spans="1:30" x14ac:dyDescent="0.3">
      <c r="A1816">
        <v>1815</v>
      </c>
      <c r="B1816" s="1">
        <v>150000</v>
      </c>
      <c r="C1816" s="1" t="str" cm="1">
        <f t="array" ref="C1816">_xlfn.IFS(Table2[[#This Row],[LIMIT_BAL]]&lt;=100000,"Low",Table2[[#This Row],[LIMIT_BAL]]&lt;=300000,"Medium",
TRUE,"High"
)</f>
        <v>Medium</v>
      </c>
      <c r="D1816" t="s">
        <v>2041</v>
      </c>
      <c r="E1816" t="s">
        <v>2043</v>
      </c>
      <c r="F1816" t="s">
        <v>2029</v>
      </c>
      <c r="G1816">
        <v>37</v>
      </c>
      <c r="H1816" t="str" cm="1">
        <f t="array" ref="H1816">_xlfn.IFS(
Table2[[#This Row],[AGE]]&lt;30,"Young",
Table2[[#This Row],[AGE]]&lt;40,"Middle Age",
Table2[[#This Row],[AGE]]&lt;50,"Senior",
TRUE,"Super Senior"
)</f>
        <v>Middle Age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 s="1">
        <v>86037</v>
      </c>
      <c r="P1816" s="1">
        <v>84679</v>
      </c>
      <c r="Q1816" s="1">
        <v>82490</v>
      </c>
      <c r="R1816" s="1">
        <v>78890</v>
      </c>
      <c r="S1816" s="1">
        <v>75240</v>
      </c>
      <c r="T1816" s="1">
        <v>75639</v>
      </c>
      <c r="U1816" s="1">
        <v>5000</v>
      </c>
      <c r="V1816" s="1">
        <v>5000</v>
      </c>
      <c r="W1816" s="1">
        <v>4000</v>
      </c>
      <c r="X1816" s="1">
        <v>3500</v>
      </c>
      <c r="Y1816" s="1">
        <v>3000</v>
      </c>
      <c r="Z1816" s="1">
        <v>4000</v>
      </c>
      <c r="AA1816">
        <v>0</v>
      </c>
      <c r="AB1816" t="str">
        <f t="shared" si="28"/>
        <v>Not Defaulter</v>
      </c>
      <c r="AC1816" s="1">
        <f>Table2[[#This Row],[BILL_AMT1]]-Table2[[#This Row],[PAY_AMT1]]</f>
        <v>81037</v>
      </c>
      <c r="AD1816" s="1" t="str" cm="1">
        <f t="array" ref="AD1816">_xlfn.IFS(Table2[[#This Row],[PAYMENT GAP]]&lt;=0,"No Gap / Overpaid",Table2[[#This Row],[PAYMENT GAP]]&lt;=25000,"Low Gap",Table2[[#This Row],[PAYMENT GAP]]&lt;=100000,"Medium Gap",
TRUE,"High Gap"
)</f>
        <v>Medium Gap</v>
      </c>
    </row>
    <row r="1817" spans="1:30" x14ac:dyDescent="0.3">
      <c r="A1817">
        <v>1816</v>
      </c>
      <c r="B1817" s="1">
        <v>80000</v>
      </c>
      <c r="C1817" s="1" t="str" cm="1">
        <f t="array" ref="C1817">_xlfn.IFS(Table2[[#This Row],[LIMIT_BAL]]&lt;=100000,"Low",Table2[[#This Row],[LIMIT_BAL]]&lt;=300000,"Medium",
TRUE,"High"
)</f>
        <v>Low</v>
      </c>
      <c r="D1817" t="s">
        <v>2042</v>
      </c>
      <c r="E1817" t="s">
        <v>2026</v>
      </c>
      <c r="F1817" t="s">
        <v>2029</v>
      </c>
      <c r="G1817">
        <v>23</v>
      </c>
      <c r="H1817" t="str" cm="1">
        <f t="array" ref="H1817">_xlfn.IFS(
Table2[[#This Row],[AGE]]&lt;30,"Young",
Table2[[#This Row],[AGE]]&lt;40,"Middle Age",
Table2[[#This Row],[AGE]]&lt;50,"Senior",
TRUE,"Super Senior"
)</f>
        <v>Young</v>
      </c>
      <c r="I1817">
        <v>0</v>
      </c>
      <c r="J1817">
        <v>0</v>
      </c>
      <c r="K1817">
        <v>0</v>
      </c>
      <c r="L1817">
        <v>-1</v>
      </c>
      <c r="M1817">
        <v>2</v>
      </c>
      <c r="N1817">
        <v>2</v>
      </c>
      <c r="O1817" s="1">
        <v>60130</v>
      </c>
      <c r="P1817" s="1">
        <v>59744</v>
      </c>
      <c r="Q1817" s="1">
        <v>44031</v>
      </c>
      <c r="R1817" s="1">
        <v>48089</v>
      </c>
      <c r="S1817" s="1">
        <v>44789</v>
      </c>
      <c r="T1817" s="1">
        <v>30423</v>
      </c>
      <c r="U1817" s="1">
        <v>2550</v>
      </c>
      <c r="V1817" s="1">
        <v>1848</v>
      </c>
      <c r="W1817" s="1">
        <v>6084</v>
      </c>
      <c r="X1817" s="1">
        <v>38</v>
      </c>
      <c r="Y1817" s="1">
        <v>4</v>
      </c>
      <c r="Z1817" s="1">
        <v>70</v>
      </c>
      <c r="AA1817">
        <v>0</v>
      </c>
      <c r="AB1817" t="str">
        <f t="shared" si="28"/>
        <v>Not Defaulter</v>
      </c>
      <c r="AC1817" s="1">
        <f>Table2[[#This Row],[BILL_AMT1]]-Table2[[#This Row],[PAY_AMT1]]</f>
        <v>57580</v>
      </c>
      <c r="AD1817" s="1" t="str" cm="1">
        <f t="array" ref="AD1817">_xlfn.IFS(Table2[[#This Row],[PAYMENT GAP]]&lt;=0,"No Gap / Overpaid",Table2[[#This Row],[PAYMENT GAP]]&lt;=25000,"Low Gap",Table2[[#This Row],[PAYMENT GAP]]&lt;=100000,"Medium Gap",
TRUE,"High Gap"
)</f>
        <v>Medium Gap</v>
      </c>
    </row>
    <row r="1818" spans="1:30" x14ac:dyDescent="0.3">
      <c r="A1818">
        <v>1817</v>
      </c>
      <c r="B1818" s="1">
        <v>160000</v>
      </c>
      <c r="C1818" s="1" t="str" cm="1">
        <f t="array" ref="C1818">_xlfn.IFS(Table2[[#This Row],[LIMIT_BAL]]&lt;=100000,"Low",Table2[[#This Row],[LIMIT_BAL]]&lt;=300000,"Medium",
TRUE,"High"
)</f>
        <v>Medium</v>
      </c>
      <c r="D1818" t="s">
        <v>2042</v>
      </c>
      <c r="E1818" t="s">
        <v>2026</v>
      </c>
      <c r="F1818" t="s">
        <v>2028</v>
      </c>
      <c r="G1818">
        <v>40</v>
      </c>
      <c r="H1818" t="str" cm="1">
        <f t="array" ref="H1818">_xlfn.IFS(
Table2[[#This Row],[AGE]]&lt;30,"Young",
Table2[[#This Row],[AGE]]&lt;40,"Middle Age",
Table2[[#This Row],[AGE]]&lt;50,"Senior",
TRUE,"Super Senior"
)</f>
        <v>Senior</v>
      </c>
      <c r="I1818">
        <v>1</v>
      </c>
      <c r="J1818">
        <v>-1</v>
      </c>
      <c r="K1818">
        <v>-1</v>
      </c>
      <c r="L1818">
        <v>-1</v>
      </c>
      <c r="M1818">
        <v>-1</v>
      </c>
      <c r="N1818">
        <v>-1</v>
      </c>
      <c r="O1818" s="1">
        <v>0</v>
      </c>
      <c r="P1818" s="1">
        <v>567</v>
      </c>
      <c r="Q1818" s="1">
        <v>4027</v>
      </c>
      <c r="R1818" s="1">
        <v>3100</v>
      </c>
      <c r="S1818" s="1">
        <v>2123</v>
      </c>
      <c r="T1818" s="1">
        <v>4899</v>
      </c>
      <c r="U1818" s="1">
        <v>567</v>
      </c>
      <c r="V1818" s="1">
        <v>4059</v>
      </c>
      <c r="W1818" s="1">
        <v>3100</v>
      </c>
      <c r="X1818" s="1">
        <v>2123</v>
      </c>
      <c r="Y1818" s="1">
        <v>4899</v>
      </c>
      <c r="Z1818" s="1">
        <v>3165</v>
      </c>
      <c r="AA1818">
        <v>0</v>
      </c>
      <c r="AB1818" t="str">
        <f t="shared" si="28"/>
        <v>Not Defaulter</v>
      </c>
      <c r="AC1818" s="1">
        <f>Table2[[#This Row],[BILL_AMT1]]-Table2[[#This Row],[PAY_AMT1]]</f>
        <v>-567</v>
      </c>
      <c r="AD1818" s="1" t="str" cm="1">
        <f t="array" ref="AD1818">_xlfn.IFS(Table2[[#This Row],[PAYMENT GAP]]&lt;=0,"No Gap / Overpaid",Table2[[#This Row],[PAYMENT GAP]]&lt;=25000,"Low Gap",Table2[[#This Row],[PAYMENT GAP]]&lt;=100000,"Medium Gap",
TRUE,"High Gap"
)</f>
        <v>No Gap / Overpaid</v>
      </c>
    </row>
    <row r="1819" spans="1:30" x14ac:dyDescent="0.3">
      <c r="A1819">
        <v>1818</v>
      </c>
      <c r="B1819" s="1">
        <v>180000</v>
      </c>
      <c r="C1819" s="1" t="str" cm="1">
        <f t="array" ref="C1819">_xlfn.IFS(Table2[[#This Row],[LIMIT_BAL]]&lt;=100000,"Low",Table2[[#This Row],[LIMIT_BAL]]&lt;=300000,"Medium",
TRUE,"High"
)</f>
        <v>Medium</v>
      </c>
      <c r="D1819" t="s">
        <v>2041</v>
      </c>
      <c r="E1819" t="s">
        <v>2043</v>
      </c>
      <c r="F1819" t="s">
        <v>2028</v>
      </c>
      <c r="G1819">
        <v>44</v>
      </c>
      <c r="H1819" t="str" cm="1">
        <f t="array" ref="H1819">_xlfn.IFS(
Table2[[#This Row],[AGE]]&lt;30,"Young",
Table2[[#This Row],[AGE]]&lt;40,"Middle Age",
Table2[[#This Row],[AGE]]&lt;50,"Senior",
TRUE,"Super Senior"
)</f>
        <v>Senior</v>
      </c>
      <c r="I1819">
        <v>-1</v>
      </c>
      <c r="J1819">
        <v>-1</v>
      </c>
      <c r="K1819">
        <v>-1</v>
      </c>
      <c r="L1819">
        <v>-1</v>
      </c>
      <c r="M1819">
        <v>-1</v>
      </c>
      <c r="N1819">
        <v>-1</v>
      </c>
      <c r="O1819" s="1">
        <v>816</v>
      </c>
      <c r="P1819" s="1">
        <v>803</v>
      </c>
      <c r="Q1819" s="1">
        <v>2599</v>
      </c>
      <c r="R1819" s="1">
        <v>0</v>
      </c>
      <c r="S1819" s="1">
        <v>2311</v>
      </c>
      <c r="T1819" s="1">
        <v>2194</v>
      </c>
      <c r="U1819" s="1">
        <v>803</v>
      </c>
      <c r="V1819" s="1">
        <v>2800</v>
      </c>
      <c r="W1819" s="1">
        <v>0</v>
      </c>
      <c r="X1819" s="1">
        <v>2311</v>
      </c>
      <c r="Y1819" s="1">
        <v>2542</v>
      </c>
      <c r="Z1819" s="1">
        <v>236</v>
      </c>
      <c r="AA1819">
        <v>0</v>
      </c>
      <c r="AB1819" t="str">
        <f t="shared" si="28"/>
        <v>Not Defaulter</v>
      </c>
      <c r="AC1819" s="1">
        <f>Table2[[#This Row],[BILL_AMT1]]-Table2[[#This Row],[PAY_AMT1]]</f>
        <v>13</v>
      </c>
      <c r="AD1819" s="1" t="str" cm="1">
        <f t="array" ref="AD1819">_xlfn.IFS(Table2[[#This Row],[PAYMENT GAP]]&lt;=0,"No Gap / Overpaid",Table2[[#This Row],[PAYMENT GAP]]&lt;=25000,"Low Gap",Table2[[#This Row],[PAYMENT GAP]]&lt;=100000,"Medium Gap",
TRUE,"High Gap"
)</f>
        <v>Low Gap</v>
      </c>
    </row>
    <row r="1820" spans="1:30" x14ac:dyDescent="0.3">
      <c r="A1820">
        <v>1819</v>
      </c>
      <c r="B1820" s="1">
        <v>270000</v>
      </c>
      <c r="C1820" s="1" t="str" cm="1">
        <f t="array" ref="C1820">_xlfn.IFS(Table2[[#This Row],[LIMIT_BAL]]&lt;=100000,"Low",Table2[[#This Row],[LIMIT_BAL]]&lt;=300000,"Medium",
TRUE,"High"
)</f>
        <v>Medium</v>
      </c>
      <c r="D1820" t="s">
        <v>2041</v>
      </c>
      <c r="E1820" t="s">
        <v>2026</v>
      </c>
      <c r="F1820" t="s">
        <v>2028</v>
      </c>
      <c r="G1820">
        <v>32</v>
      </c>
      <c r="H1820" t="str" cm="1">
        <f t="array" ref="H1820">_xlfn.IFS(
Table2[[#This Row],[AGE]]&lt;30,"Young",
Table2[[#This Row],[AGE]]&lt;40,"Middle Age",
Table2[[#This Row],[AGE]]&lt;50,"Senior",
TRUE,"Super Senior"
)</f>
        <v>Middle Age</v>
      </c>
      <c r="I1820">
        <v>-1</v>
      </c>
      <c r="J1820">
        <v>-1</v>
      </c>
      <c r="K1820">
        <v>-1</v>
      </c>
      <c r="L1820">
        <v>0</v>
      </c>
      <c r="M1820">
        <v>0</v>
      </c>
      <c r="N1820">
        <v>-1</v>
      </c>
      <c r="O1820" s="1">
        <v>23351</v>
      </c>
      <c r="P1820" s="1">
        <v>30960</v>
      </c>
      <c r="Q1820" s="1">
        <v>180473</v>
      </c>
      <c r="R1820" s="1">
        <v>58839</v>
      </c>
      <c r="S1820" s="1">
        <v>21334</v>
      </c>
      <c r="T1820" s="1">
        <v>19080</v>
      </c>
      <c r="U1820" s="1">
        <v>30972</v>
      </c>
      <c r="V1820" s="1">
        <v>180519</v>
      </c>
      <c r="W1820" s="1">
        <v>1177</v>
      </c>
      <c r="X1820" s="1">
        <v>0</v>
      </c>
      <c r="Y1820" s="1">
        <v>19080</v>
      </c>
      <c r="Z1820" s="1">
        <v>133504</v>
      </c>
      <c r="AA1820">
        <v>0</v>
      </c>
      <c r="AB1820" t="str">
        <f t="shared" si="28"/>
        <v>Not Defaulter</v>
      </c>
      <c r="AC1820" s="1">
        <f>Table2[[#This Row],[BILL_AMT1]]-Table2[[#This Row],[PAY_AMT1]]</f>
        <v>-7621</v>
      </c>
      <c r="AD1820" s="1" t="str" cm="1">
        <f t="array" ref="AD1820">_xlfn.IFS(Table2[[#This Row],[PAYMENT GAP]]&lt;=0,"No Gap / Overpaid",Table2[[#This Row],[PAYMENT GAP]]&lt;=25000,"Low Gap",Table2[[#This Row],[PAYMENT GAP]]&lt;=100000,"Medium Gap",
TRUE,"High Gap"
)</f>
        <v>No Gap / Overpaid</v>
      </c>
    </row>
    <row r="1821" spans="1:30" x14ac:dyDescent="0.3">
      <c r="A1821">
        <v>1820</v>
      </c>
      <c r="B1821" s="1">
        <v>180000</v>
      </c>
      <c r="C1821" s="1" t="str" cm="1">
        <f t="array" ref="C1821">_xlfn.IFS(Table2[[#This Row],[LIMIT_BAL]]&lt;=100000,"Low",Table2[[#This Row],[LIMIT_BAL]]&lt;=300000,"Medium",
TRUE,"High"
)</f>
        <v>Medium</v>
      </c>
      <c r="D1821" t="s">
        <v>2041</v>
      </c>
      <c r="E1821" t="s">
        <v>2026</v>
      </c>
      <c r="F1821" t="s">
        <v>2029</v>
      </c>
      <c r="G1821">
        <v>41</v>
      </c>
      <c r="H1821" t="str" cm="1">
        <f t="array" ref="H1821">_xlfn.IFS(
Table2[[#This Row],[AGE]]&lt;30,"Young",
Table2[[#This Row],[AGE]]&lt;40,"Middle Age",
Table2[[#This Row],[AGE]]&lt;50,"Senior",
TRUE,"Super Senior"
)</f>
        <v>Senior</v>
      </c>
      <c r="I1821">
        <v>0</v>
      </c>
      <c r="J1821">
        <v>0</v>
      </c>
      <c r="K1821">
        <v>-1</v>
      </c>
      <c r="L1821">
        <v>0</v>
      </c>
      <c r="M1821">
        <v>-1</v>
      </c>
      <c r="N1821">
        <v>-1</v>
      </c>
      <c r="O1821" s="1">
        <v>37353</v>
      </c>
      <c r="P1821" s="1">
        <v>24797</v>
      </c>
      <c r="Q1821" s="1">
        <v>5549</v>
      </c>
      <c r="R1821" s="1">
        <v>22349</v>
      </c>
      <c r="S1821" s="1">
        <v>2974</v>
      </c>
      <c r="T1821" s="1">
        <v>0</v>
      </c>
      <c r="U1821" s="1">
        <v>1012</v>
      </c>
      <c r="V1821" s="1">
        <v>5549</v>
      </c>
      <c r="W1821" s="1">
        <v>17000</v>
      </c>
      <c r="X1821" s="1">
        <v>3322</v>
      </c>
      <c r="Y1821" s="1">
        <v>0</v>
      </c>
      <c r="Z1821" s="1">
        <v>2633</v>
      </c>
      <c r="AA1821">
        <v>0</v>
      </c>
      <c r="AB1821" t="str">
        <f t="shared" si="28"/>
        <v>Not Defaulter</v>
      </c>
      <c r="AC1821" s="1">
        <f>Table2[[#This Row],[BILL_AMT1]]-Table2[[#This Row],[PAY_AMT1]]</f>
        <v>36341</v>
      </c>
      <c r="AD1821" s="1" t="str" cm="1">
        <f t="array" ref="AD1821">_xlfn.IFS(Table2[[#This Row],[PAYMENT GAP]]&lt;=0,"No Gap / Overpaid",Table2[[#This Row],[PAYMENT GAP]]&lt;=25000,"Low Gap",Table2[[#This Row],[PAYMENT GAP]]&lt;=100000,"Medium Gap",
TRUE,"High Gap"
)</f>
        <v>Medium Gap</v>
      </c>
    </row>
    <row r="1822" spans="1:30" x14ac:dyDescent="0.3">
      <c r="A1822">
        <v>1821</v>
      </c>
      <c r="B1822" s="1">
        <v>120000</v>
      </c>
      <c r="C1822" s="1" t="str" cm="1">
        <f t="array" ref="C1822">_xlfn.IFS(Table2[[#This Row],[LIMIT_BAL]]&lt;=100000,"Low",Table2[[#This Row],[LIMIT_BAL]]&lt;=300000,"Medium",
TRUE,"High"
)</f>
        <v>Medium</v>
      </c>
      <c r="D1822" t="s">
        <v>2042</v>
      </c>
      <c r="E1822" t="s">
        <v>2026</v>
      </c>
      <c r="F1822" t="s">
        <v>2028</v>
      </c>
      <c r="G1822">
        <v>54</v>
      </c>
      <c r="H1822" t="str" cm="1">
        <f t="array" ref="H1822">_xlfn.IFS(
Table2[[#This Row],[AGE]]&lt;30,"Young",
Table2[[#This Row],[AGE]]&lt;40,"Middle Age",
Table2[[#This Row],[AGE]]&lt;50,"Senior",
TRUE,"Super Senior"
)</f>
        <v>Super Senior</v>
      </c>
      <c r="I1822">
        <v>-1</v>
      </c>
      <c r="J1822">
        <v>-1</v>
      </c>
      <c r="K1822">
        <v>-1</v>
      </c>
      <c r="L1822">
        <v>-1</v>
      </c>
      <c r="M1822">
        <v>0</v>
      </c>
      <c r="N1822">
        <v>-1</v>
      </c>
      <c r="O1822" s="1">
        <v>390</v>
      </c>
      <c r="P1822" s="1">
        <v>390</v>
      </c>
      <c r="Q1822" s="1">
        <v>390</v>
      </c>
      <c r="R1822" s="1">
        <v>1878</v>
      </c>
      <c r="S1822" s="1">
        <v>390</v>
      </c>
      <c r="T1822" s="1">
        <v>930</v>
      </c>
      <c r="U1822" s="1">
        <v>390</v>
      </c>
      <c r="V1822" s="1">
        <v>390</v>
      </c>
      <c r="W1822" s="1">
        <v>1878</v>
      </c>
      <c r="X1822" s="1">
        <v>0</v>
      </c>
      <c r="Y1822" s="1">
        <v>930</v>
      </c>
      <c r="Z1822" s="1">
        <v>0</v>
      </c>
      <c r="AA1822">
        <v>1</v>
      </c>
      <c r="AB1822" t="str">
        <f t="shared" si="28"/>
        <v>Defaulter</v>
      </c>
      <c r="AC1822" s="1">
        <f>Table2[[#This Row],[BILL_AMT1]]-Table2[[#This Row],[PAY_AMT1]]</f>
        <v>0</v>
      </c>
      <c r="AD1822" s="1" t="str" cm="1">
        <f t="array" ref="AD1822">_xlfn.IFS(Table2[[#This Row],[PAYMENT GAP]]&lt;=0,"No Gap / Overpaid",Table2[[#This Row],[PAYMENT GAP]]&lt;=25000,"Low Gap",Table2[[#This Row],[PAYMENT GAP]]&lt;=100000,"Medium Gap",
TRUE,"High Gap"
)</f>
        <v>No Gap / Overpaid</v>
      </c>
    </row>
    <row r="1823" spans="1:30" x14ac:dyDescent="0.3">
      <c r="A1823">
        <v>1822</v>
      </c>
      <c r="B1823" s="1">
        <v>110000</v>
      </c>
      <c r="C1823" s="1" t="str" cm="1">
        <f t="array" ref="C1823">_xlfn.IFS(Table2[[#This Row],[LIMIT_BAL]]&lt;=100000,"Low",Table2[[#This Row],[LIMIT_BAL]]&lt;=300000,"Medium",
TRUE,"High"
)</f>
        <v>Medium</v>
      </c>
      <c r="D1823" t="s">
        <v>2041</v>
      </c>
      <c r="E1823" t="s">
        <v>2026</v>
      </c>
      <c r="F1823" t="s">
        <v>2029</v>
      </c>
      <c r="G1823">
        <v>29</v>
      </c>
      <c r="H1823" t="str" cm="1">
        <f t="array" ref="H1823">_xlfn.IFS(
Table2[[#This Row],[AGE]]&lt;30,"Young",
Table2[[#This Row],[AGE]]&lt;40,"Middle Age",
Table2[[#This Row],[AGE]]&lt;50,"Senior",
TRUE,"Super Senior"
)</f>
        <v>Young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 s="1">
        <v>48088</v>
      </c>
      <c r="P1823" s="1">
        <v>45980</v>
      </c>
      <c r="Q1823" s="1">
        <v>44231</v>
      </c>
      <c r="R1823" s="1">
        <v>32489</v>
      </c>
      <c r="S1823" s="1">
        <v>26354</v>
      </c>
      <c r="T1823" s="1">
        <v>20221</v>
      </c>
      <c r="U1823" s="1">
        <v>2000</v>
      </c>
      <c r="V1823" s="1">
        <v>2010</v>
      </c>
      <c r="W1823" s="1">
        <v>3000</v>
      </c>
      <c r="X1823" s="1">
        <v>3000</v>
      </c>
      <c r="Y1823" s="1">
        <v>3000</v>
      </c>
      <c r="Z1823" s="1">
        <v>1000</v>
      </c>
      <c r="AA1823">
        <v>0</v>
      </c>
      <c r="AB1823" t="str">
        <f t="shared" si="28"/>
        <v>Not Defaulter</v>
      </c>
      <c r="AC1823" s="1">
        <f>Table2[[#This Row],[BILL_AMT1]]-Table2[[#This Row],[PAY_AMT1]]</f>
        <v>46088</v>
      </c>
      <c r="AD1823" s="1" t="str" cm="1">
        <f t="array" ref="AD1823">_xlfn.IFS(Table2[[#This Row],[PAYMENT GAP]]&lt;=0,"No Gap / Overpaid",Table2[[#This Row],[PAYMENT GAP]]&lt;=25000,"Low Gap",Table2[[#This Row],[PAYMENT GAP]]&lt;=100000,"Medium Gap",
TRUE,"High Gap"
)</f>
        <v>Medium Gap</v>
      </c>
    </row>
    <row r="1824" spans="1:30" x14ac:dyDescent="0.3">
      <c r="A1824">
        <v>1823</v>
      </c>
      <c r="B1824" s="1">
        <v>50000</v>
      </c>
      <c r="C1824" s="1" t="str" cm="1">
        <f t="array" ref="C1824">_xlfn.IFS(Table2[[#This Row],[LIMIT_BAL]]&lt;=100000,"Low",Table2[[#This Row],[LIMIT_BAL]]&lt;=300000,"Medium",
TRUE,"High"
)</f>
        <v>Low</v>
      </c>
      <c r="D1824" t="s">
        <v>2041</v>
      </c>
      <c r="E1824" t="s">
        <v>2027</v>
      </c>
      <c r="F1824" t="s">
        <v>2028</v>
      </c>
      <c r="G1824">
        <v>61</v>
      </c>
      <c r="H1824" t="str" cm="1">
        <f t="array" ref="H1824">_xlfn.IFS(
Table2[[#This Row],[AGE]]&lt;30,"Young",
Table2[[#This Row],[AGE]]&lt;40,"Middle Age",
Table2[[#This Row],[AGE]]&lt;50,"Senior",
TRUE,"Super Senior"
)</f>
        <v>Super Senior</v>
      </c>
      <c r="I1824">
        <v>0</v>
      </c>
      <c r="J1824">
        <v>0</v>
      </c>
      <c r="K1824">
        <v>-2</v>
      </c>
      <c r="L1824">
        <v>-2</v>
      </c>
      <c r="M1824">
        <v>-1</v>
      </c>
      <c r="N1824">
        <v>0</v>
      </c>
      <c r="O1824" s="1">
        <v>42200</v>
      </c>
      <c r="P1824" s="1">
        <v>0</v>
      </c>
      <c r="Q1824" s="1">
        <v>0</v>
      </c>
      <c r="R1824" s="1">
        <v>0</v>
      </c>
      <c r="S1824" s="1">
        <v>15883</v>
      </c>
      <c r="T1824" s="1">
        <v>16617</v>
      </c>
      <c r="U1824" s="1">
        <v>0</v>
      </c>
      <c r="V1824" s="1">
        <v>0</v>
      </c>
      <c r="W1824" s="1">
        <v>0</v>
      </c>
      <c r="X1824" s="1">
        <v>15883</v>
      </c>
      <c r="Y1824" s="1">
        <v>1000</v>
      </c>
      <c r="Z1824" s="1">
        <v>792</v>
      </c>
      <c r="AA1824">
        <v>0</v>
      </c>
      <c r="AB1824" t="str">
        <f t="shared" si="28"/>
        <v>Not Defaulter</v>
      </c>
      <c r="AC1824" s="1">
        <f>Table2[[#This Row],[BILL_AMT1]]-Table2[[#This Row],[PAY_AMT1]]</f>
        <v>42200</v>
      </c>
      <c r="AD1824" s="1" t="str" cm="1">
        <f t="array" ref="AD1824">_xlfn.IFS(Table2[[#This Row],[PAYMENT GAP]]&lt;=0,"No Gap / Overpaid",Table2[[#This Row],[PAYMENT GAP]]&lt;=25000,"Low Gap",Table2[[#This Row],[PAYMENT GAP]]&lt;=100000,"Medium Gap",
TRUE,"High Gap"
)</f>
        <v>Medium Gap</v>
      </c>
    </row>
    <row r="1825" spans="1:30" x14ac:dyDescent="0.3">
      <c r="A1825">
        <v>1824</v>
      </c>
      <c r="B1825" s="1">
        <v>200000</v>
      </c>
      <c r="C1825" s="1" t="str" cm="1">
        <f t="array" ref="C1825">_xlfn.IFS(Table2[[#This Row],[LIMIT_BAL]]&lt;=100000,"Low",Table2[[#This Row],[LIMIT_BAL]]&lt;=300000,"Medium",
TRUE,"High"
)</f>
        <v>Medium</v>
      </c>
      <c r="D1825" t="s">
        <v>2041</v>
      </c>
      <c r="E1825" t="s">
        <v>2027</v>
      </c>
      <c r="F1825" t="s">
        <v>2029</v>
      </c>
      <c r="G1825">
        <v>30</v>
      </c>
      <c r="H1825" t="str" cm="1">
        <f t="array" ref="H1825">_xlfn.IFS(
Table2[[#This Row],[AGE]]&lt;30,"Young",
Table2[[#This Row],[AGE]]&lt;40,"Middle Age",
Table2[[#This Row],[AGE]]&lt;50,"Senior",
TRUE,"Super Senior"
)</f>
        <v>Middle Age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 s="1">
        <v>185723</v>
      </c>
      <c r="P1825" s="1">
        <v>166726</v>
      </c>
      <c r="Q1825" s="1">
        <v>160181</v>
      </c>
      <c r="R1825" s="1">
        <v>161469</v>
      </c>
      <c r="S1825" s="1">
        <v>104232</v>
      </c>
      <c r="T1825" s="1">
        <v>151726</v>
      </c>
      <c r="U1825" s="1">
        <v>8009</v>
      </c>
      <c r="V1825" s="1">
        <v>6402</v>
      </c>
      <c r="W1825" s="1">
        <v>6715</v>
      </c>
      <c r="X1825" s="1">
        <v>4625</v>
      </c>
      <c r="Y1825" s="1">
        <v>50086</v>
      </c>
      <c r="Z1825" s="1">
        <v>5458</v>
      </c>
      <c r="AA1825">
        <v>0</v>
      </c>
      <c r="AB1825" t="str">
        <f t="shared" si="28"/>
        <v>Not Defaulter</v>
      </c>
      <c r="AC1825" s="1">
        <f>Table2[[#This Row],[BILL_AMT1]]-Table2[[#This Row],[PAY_AMT1]]</f>
        <v>177714</v>
      </c>
      <c r="AD1825" s="1" t="str" cm="1">
        <f t="array" ref="AD1825">_xlfn.IFS(Table2[[#This Row],[PAYMENT GAP]]&lt;=0,"No Gap / Overpaid",Table2[[#This Row],[PAYMENT GAP]]&lt;=25000,"Low Gap",Table2[[#This Row],[PAYMENT GAP]]&lt;=100000,"Medium Gap",
TRUE,"High Gap"
)</f>
        <v>High Gap</v>
      </c>
    </row>
    <row r="1826" spans="1:30" x14ac:dyDescent="0.3">
      <c r="A1826">
        <v>1825</v>
      </c>
      <c r="B1826" s="1">
        <v>70000</v>
      </c>
      <c r="C1826" s="1" t="str" cm="1">
        <f t="array" ref="C1826">_xlfn.IFS(Table2[[#This Row],[LIMIT_BAL]]&lt;=100000,"Low",Table2[[#This Row],[LIMIT_BAL]]&lt;=300000,"Medium",
TRUE,"High"
)</f>
        <v>Low</v>
      </c>
      <c r="D1826" t="s">
        <v>2041</v>
      </c>
      <c r="E1826" t="s">
        <v>2027</v>
      </c>
      <c r="F1826" t="s">
        <v>2028</v>
      </c>
      <c r="G1826">
        <v>23</v>
      </c>
      <c r="H1826" t="str" cm="1">
        <f t="array" ref="H1826">_xlfn.IFS(
Table2[[#This Row],[AGE]]&lt;30,"Young",
Table2[[#This Row],[AGE]]&lt;40,"Middle Age",
Table2[[#This Row],[AGE]]&lt;50,"Senior",
TRUE,"Super Senior"
)</f>
        <v>Young</v>
      </c>
      <c r="I1826">
        <v>2</v>
      </c>
      <c r="J1826">
        <v>-1</v>
      </c>
      <c r="K1826">
        <v>-1</v>
      </c>
      <c r="L1826">
        <v>-1</v>
      </c>
      <c r="M1826">
        <v>-1</v>
      </c>
      <c r="N1826">
        <v>-1</v>
      </c>
      <c r="O1826" s="1">
        <v>254</v>
      </c>
      <c r="P1826" s="1">
        <v>2746</v>
      </c>
      <c r="Q1826" s="1">
        <v>1885</v>
      </c>
      <c r="R1826" s="1">
        <v>2216</v>
      </c>
      <c r="S1826" s="1">
        <v>1348</v>
      </c>
      <c r="T1826" s="1">
        <v>29873</v>
      </c>
      <c r="U1826" s="1">
        <v>6840</v>
      </c>
      <c r="V1826" s="1">
        <v>1885</v>
      </c>
      <c r="W1826" s="1">
        <v>2216</v>
      </c>
      <c r="X1826" s="1">
        <v>1348</v>
      </c>
      <c r="Y1826" s="1">
        <v>29873</v>
      </c>
      <c r="Z1826" s="1">
        <v>1000</v>
      </c>
      <c r="AA1826">
        <v>0</v>
      </c>
      <c r="AB1826" t="str">
        <f t="shared" si="28"/>
        <v>Not Defaulter</v>
      </c>
      <c r="AC1826" s="1">
        <f>Table2[[#This Row],[BILL_AMT1]]-Table2[[#This Row],[PAY_AMT1]]</f>
        <v>-6586</v>
      </c>
      <c r="AD1826" s="1" t="str" cm="1">
        <f t="array" ref="AD1826">_xlfn.IFS(Table2[[#This Row],[PAYMENT GAP]]&lt;=0,"No Gap / Overpaid",Table2[[#This Row],[PAYMENT GAP]]&lt;=25000,"Low Gap",Table2[[#This Row],[PAYMENT GAP]]&lt;=100000,"Medium Gap",
TRUE,"High Gap"
)</f>
        <v>No Gap / Overpaid</v>
      </c>
    </row>
    <row r="1827" spans="1:30" x14ac:dyDescent="0.3">
      <c r="A1827">
        <v>1826</v>
      </c>
      <c r="B1827" s="1">
        <v>360000</v>
      </c>
      <c r="C1827" s="1" t="str" cm="1">
        <f t="array" ref="C1827">_xlfn.IFS(Table2[[#This Row],[LIMIT_BAL]]&lt;=100000,"Low",Table2[[#This Row],[LIMIT_BAL]]&lt;=300000,"Medium",
TRUE,"High"
)</f>
        <v>High</v>
      </c>
      <c r="D1827" t="s">
        <v>2041</v>
      </c>
      <c r="E1827" t="s">
        <v>2043</v>
      </c>
      <c r="F1827" t="s">
        <v>2029</v>
      </c>
      <c r="G1827">
        <v>30</v>
      </c>
      <c r="H1827" t="str" cm="1">
        <f t="array" ref="H1827">_xlfn.IFS(
Table2[[#This Row],[AGE]]&lt;30,"Young",
Table2[[#This Row],[AGE]]&lt;40,"Middle Age",
Table2[[#This Row],[AGE]]&lt;50,"Senior",
TRUE,"Super Senior"
)</f>
        <v>Middle Age</v>
      </c>
      <c r="I1827">
        <v>0</v>
      </c>
      <c r="J1827">
        <v>0</v>
      </c>
      <c r="K1827">
        <v>-2</v>
      </c>
      <c r="L1827">
        <v>-1</v>
      </c>
      <c r="M1827">
        <v>0</v>
      </c>
      <c r="N1827">
        <v>0</v>
      </c>
      <c r="O1827" s="1">
        <v>23900</v>
      </c>
      <c r="P1827" s="1">
        <v>0</v>
      </c>
      <c r="Q1827" s="1">
        <v>0</v>
      </c>
      <c r="R1827" s="1">
        <v>150</v>
      </c>
      <c r="S1827" s="1">
        <v>205150</v>
      </c>
      <c r="T1827" s="1">
        <v>0</v>
      </c>
      <c r="U1827" s="1">
        <v>0</v>
      </c>
      <c r="V1827" s="1">
        <v>0</v>
      </c>
      <c r="W1827" s="1">
        <v>150</v>
      </c>
      <c r="X1827" s="1">
        <v>205000</v>
      </c>
      <c r="Y1827" s="1">
        <v>0</v>
      </c>
      <c r="Z1827" s="1">
        <v>0</v>
      </c>
      <c r="AA1827">
        <v>0</v>
      </c>
      <c r="AB1827" t="str">
        <f t="shared" si="28"/>
        <v>Not Defaulter</v>
      </c>
      <c r="AC1827" s="1">
        <f>Table2[[#This Row],[BILL_AMT1]]-Table2[[#This Row],[PAY_AMT1]]</f>
        <v>23900</v>
      </c>
      <c r="AD1827" s="1" t="str" cm="1">
        <f t="array" ref="AD1827">_xlfn.IFS(Table2[[#This Row],[PAYMENT GAP]]&lt;=0,"No Gap / Overpaid",Table2[[#This Row],[PAYMENT GAP]]&lt;=25000,"Low Gap",Table2[[#This Row],[PAYMENT GAP]]&lt;=100000,"Medium Gap",
TRUE,"High Gap"
)</f>
        <v>Low Gap</v>
      </c>
    </row>
    <row r="1828" spans="1:30" x14ac:dyDescent="0.3">
      <c r="A1828">
        <v>1827</v>
      </c>
      <c r="B1828" s="1">
        <v>260000</v>
      </c>
      <c r="C1828" s="1" t="str" cm="1">
        <f t="array" ref="C1828">_xlfn.IFS(Table2[[#This Row],[LIMIT_BAL]]&lt;=100000,"Low",Table2[[#This Row],[LIMIT_BAL]]&lt;=300000,"Medium",
TRUE,"High"
)</f>
        <v>Medium</v>
      </c>
      <c r="D1828" t="s">
        <v>2041</v>
      </c>
      <c r="E1828" t="s">
        <v>2043</v>
      </c>
      <c r="F1828" t="s">
        <v>2028</v>
      </c>
      <c r="G1828">
        <v>35</v>
      </c>
      <c r="H1828" t="str" cm="1">
        <f t="array" ref="H1828">_xlfn.IFS(
Table2[[#This Row],[AGE]]&lt;30,"Young",
Table2[[#This Row],[AGE]]&lt;40,"Middle Age",
Table2[[#This Row],[AGE]]&lt;50,"Senior",
TRUE,"Super Senior"
)</f>
        <v>Middle Age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 s="1">
        <v>425349</v>
      </c>
      <c r="P1828" s="1">
        <v>435873</v>
      </c>
      <c r="Q1828" s="1">
        <v>445129</v>
      </c>
      <c r="R1828" s="1">
        <v>452162</v>
      </c>
      <c r="S1828" s="1">
        <v>258010</v>
      </c>
      <c r="T1828" s="1">
        <v>221780</v>
      </c>
      <c r="U1828" s="1">
        <v>14347</v>
      </c>
      <c r="V1828" s="1">
        <v>15000</v>
      </c>
      <c r="W1828" s="1">
        <v>12406</v>
      </c>
      <c r="X1828" s="1">
        <v>9279</v>
      </c>
      <c r="Y1828" s="1">
        <v>6078</v>
      </c>
      <c r="Z1828" s="1">
        <v>0</v>
      </c>
      <c r="AA1828">
        <v>1</v>
      </c>
      <c r="AB1828" t="str">
        <f t="shared" si="28"/>
        <v>Defaulter</v>
      </c>
      <c r="AC1828" s="1">
        <f>Table2[[#This Row],[BILL_AMT1]]-Table2[[#This Row],[PAY_AMT1]]</f>
        <v>411002</v>
      </c>
      <c r="AD1828" s="1" t="str" cm="1">
        <f t="array" ref="AD1828">_xlfn.IFS(Table2[[#This Row],[PAYMENT GAP]]&lt;=0,"No Gap / Overpaid",Table2[[#This Row],[PAYMENT GAP]]&lt;=25000,"Low Gap",Table2[[#This Row],[PAYMENT GAP]]&lt;=100000,"Medium Gap",
TRUE,"High Gap"
)</f>
        <v>High Gap</v>
      </c>
    </row>
    <row r="1829" spans="1:30" x14ac:dyDescent="0.3">
      <c r="A1829">
        <v>1828</v>
      </c>
      <c r="B1829" s="1">
        <v>50000</v>
      </c>
      <c r="C1829" s="1" t="str" cm="1">
        <f t="array" ref="C1829">_xlfn.IFS(Table2[[#This Row],[LIMIT_BAL]]&lt;=100000,"Low",Table2[[#This Row],[LIMIT_BAL]]&lt;=300000,"Medium",
TRUE,"High"
)</f>
        <v>Low</v>
      </c>
      <c r="D1829" t="s">
        <v>2042</v>
      </c>
      <c r="E1829" t="s">
        <v>2027</v>
      </c>
      <c r="F1829" t="s">
        <v>2028</v>
      </c>
      <c r="G1829">
        <v>32</v>
      </c>
      <c r="H1829" t="str" cm="1">
        <f t="array" ref="H1829">_xlfn.IFS(
Table2[[#This Row],[AGE]]&lt;30,"Young",
Table2[[#This Row],[AGE]]&lt;40,"Middle Age",
Table2[[#This Row],[AGE]]&lt;50,"Senior",
TRUE,"Super Senior"
)</f>
        <v>Middle Age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 s="1">
        <v>40992</v>
      </c>
      <c r="P1829" s="1">
        <v>35215</v>
      </c>
      <c r="Q1829" s="1">
        <v>29156</v>
      </c>
      <c r="R1829" s="1">
        <v>18891</v>
      </c>
      <c r="S1829" s="1">
        <v>19443</v>
      </c>
      <c r="T1829" s="1">
        <v>19478</v>
      </c>
      <c r="U1829" s="1">
        <v>2026</v>
      </c>
      <c r="V1829" s="1">
        <v>2021</v>
      </c>
      <c r="W1829" s="1">
        <v>1000</v>
      </c>
      <c r="X1829" s="1">
        <v>1001</v>
      </c>
      <c r="Y1829" s="1">
        <v>1000</v>
      </c>
      <c r="Z1829" s="1">
        <v>707</v>
      </c>
      <c r="AA1829">
        <v>0</v>
      </c>
      <c r="AB1829" t="str">
        <f t="shared" si="28"/>
        <v>Not Defaulter</v>
      </c>
      <c r="AC1829" s="1">
        <f>Table2[[#This Row],[BILL_AMT1]]-Table2[[#This Row],[PAY_AMT1]]</f>
        <v>38966</v>
      </c>
      <c r="AD1829" s="1" t="str" cm="1">
        <f t="array" ref="AD1829">_xlfn.IFS(Table2[[#This Row],[PAYMENT GAP]]&lt;=0,"No Gap / Overpaid",Table2[[#This Row],[PAYMENT GAP]]&lt;=25000,"Low Gap",Table2[[#This Row],[PAYMENT GAP]]&lt;=100000,"Medium Gap",
TRUE,"High Gap"
)</f>
        <v>Medium Gap</v>
      </c>
    </row>
    <row r="1830" spans="1:30" x14ac:dyDescent="0.3">
      <c r="A1830">
        <v>1829</v>
      </c>
      <c r="B1830" s="1">
        <v>380000</v>
      </c>
      <c r="C1830" s="1" t="str" cm="1">
        <f t="array" ref="C1830">_xlfn.IFS(Table2[[#This Row],[LIMIT_BAL]]&lt;=100000,"Low",Table2[[#This Row],[LIMIT_BAL]]&lt;=300000,"Medium",
TRUE,"High"
)</f>
        <v>High</v>
      </c>
      <c r="D1830" t="s">
        <v>2041</v>
      </c>
      <c r="E1830" t="s">
        <v>2043</v>
      </c>
      <c r="F1830" t="s">
        <v>2028</v>
      </c>
      <c r="G1830">
        <v>39</v>
      </c>
      <c r="H1830" t="str" cm="1">
        <f t="array" ref="H1830">_xlfn.IFS(
Table2[[#This Row],[AGE]]&lt;30,"Young",
Table2[[#This Row],[AGE]]&lt;40,"Middle Age",
Table2[[#This Row],[AGE]]&lt;50,"Senior",
TRUE,"Super Senior"
)</f>
        <v>Middle Age</v>
      </c>
      <c r="I1830">
        <v>-1</v>
      </c>
      <c r="J1830">
        <v>-1</v>
      </c>
      <c r="K1830">
        <v>0</v>
      </c>
      <c r="L1830">
        <v>0</v>
      </c>
      <c r="M1830">
        <v>0</v>
      </c>
      <c r="N1830">
        <v>0</v>
      </c>
      <c r="O1830" s="1">
        <v>19261</v>
      </c>
      <c r="P1830" s="1">
        <v>81961</v>
      </c>
      <c r="Q1830" s="1">
        <v>61189</v>
      </c>
      <c r="R1830" s="1">
        <v>38875</v>
      </c>
      <c r="S1830" s="1">
        <v>17876</v>
      </c>
      <c r="T1830" s="1">
        <v>13313</v>
      </c>
      <c r="U1830" s="1">
        <v>81975</v>
      </c>
      <c r="V1830" s="1">
        <v>1480</v>
      </c>
      <c r="W1830" s="1">
        <v>3000</v>
      </c>
      <c r="X1830" s="1">
        <v>1000</v>
      </c>
      <c r="Y1830" s="1">
        <v>3000</v>
      </c>
      <c r="Z1830" s="1">
        <v>10024</v>
      </c>
      <c r="AA1830">
        <v>0</v>
      </c>
      <c r="AB1830" t="str">
        <f t="shared" si="28"/>
        <v>Not Defaulter</v>
      </c>
      <c r="AC1830" s="1">
        <f>Table2[[#This Row],[BILL_AMT1]]-Table2[[#This Row],[PAY_AMT1]]</f>
        <v>-62714</v>
      </c>
      <c r="AD1830" s="1" t="str" cm="1">
        <f t="array" ref="AD1830">_xlfn.IFS(Table2[[#This Row],[PAYMENT GAP]]&lt;=0,"No Gap / Overpaid",Table2[[#This Row],[PAYMENT GAP]]&lt;=25000,"Low Gap",Table2[[#This Row],[PAYMENT GAP]]&lt;=100000,"Medium Gap",
TRUE,"High Gap"
)</f>
        <v>No Gap / Overpaid</v>
      </c>
    </row>
    <row r="1831" spans="1:30" x14ac:dyDescent="0.3">
      <c r="A1831">
        <v>1830</v>
      </c>
      <c r="B1831" s="1">
        <v>50000</v>
      </c>
      <c r="C1831" s="1" t="str" cm="1">
        <f t="array" ref="C1831">_xlfn.IFS(Table2[[#This Row],[LIMIT_BAL]]&lt;=100000,"Low",Table2[[#This Row],[LIMIT_BAL]]&lt;=300000,"Medium",
TRUE,"High"
)</f>
        <v>Low</v>
      </c>
      <c r="D1831" t="s">
        <v>2042</v>
      </c>
      <c r="E1831" t="s">
        <v>2043</v>
      </c>
      <c r="F1831" t="s">
        <v>2029</v>
      </c>
      <c r="G1831">
        <v>24</v>
      </c>
      <c r="H1831" t="str" cm="1">
        <f t="array" ref="H1831">_xlfn.IFS(
Table2[[#This Row],[AGE]]&lt;30,"Young",
Table2[[#This Row],[AGE]]&lt;40,"Middle Age",
Table2[[#This Row],[AGE]]&lt;50,"Senior",
TRUE,"Super Senior"
)</f>
        <v>Young</v>
      </c>
      <c r="I1831">
        <v>-1</v>
      </c>
      <c r="J1831">
        <v>-1</v>
      </c>
      <c r="K1831">
        <v>-2</v>
      </c>
      <c r="L1831">
        <v>-2</v>
      </c>
      <c r="M1831">
        <v>-2</v>
      </c>
      <c r="N1831">
        <v>-2</v>
      </c>
      <c r="O1831" s="1">
        <v>402</v>
      </c>
      <c r="P1831" s="1">
        <v>-2760</v>
      </c>
      <c r="Q1831" s="1">
        <v>-3650</v>
      </c>
      <c r="R1831" s="1">
        <v>-3650</v>
      </c>
      <c r="S1831" s="1">
        <v>-3650</v>
      </c>
      <c r="T1831" s="1">
        <v>-3650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>
        <v>0</v>
      </c>
      <c r="AB1831" t="str">
        <f t="shared" si="28"/>
        <v>Not Defaulter</v>
      </c>
      <c r="AC1831" s="1">
        <f>Table2[[#This Row],[BILL_AMT1]]-Table2[[#This Row],[PAY_AMT1]]</f>
        <v>402</v>
      </c>
      <c r="AD1831" s="1" t="str" cm="1">
        <f t="array" ref="AD1831">_xlfn.IFS(Table2[[#This Row],[PAYMENT GAP]]&lt;=0,"No Gap / Overpaid",Table2[[#This Row],[PAYMENT GAP]]&lt;=25000,"Low Gap",Table2[[#This Row],[PAYMENT GAP]]&lt;=100000,"Medium Gap",
TRUE,"High Gap"
)</f>
        <v>Low Gap</v>
      </c>
    </row>
    <row r="1832" spans="1:30" x14ac:dyDescent="0.3">
      <c r="A1832">
        <v>1831</v>
      </c>
      <c r="B1832" s="1">
        <v>20000</v>
      </c>
      <c r="C1832" s="1" t="str" cm="1">
        <f t="array" ref="C1832">_xlfn.IFS(Table2[[#This Row],[LIMIT_BAL]]&lt;=100000,"Low",Table2[[#This Row],[LIMIT_BAL]]&lt;=300000,"Medium",
TRUE,"High"
)</f>
        <v>Low</v>
      </c>
      <c r="D1832" t="s">
        <v>2042</v>
      </c>
      <c r="E1832" t="s">
        <v>2027</v>
      </c>
      <c r="F1832" t="s">
        <v>2028</v>
      </c>
      <c r="G1832">
        <v>38</v>
      </c>
      <c r="H1832" t="str" cm="1">
        <f t="array" ref="H1832">_xlfn.IFS(
Table2[[#This Row],[AGE]]&lt;30,"Young",
Table2[[#This Row],[AGE]]&lt;40,"Middle Age",
Table2[[#This Row],[AGE]]&lt;50,"Senior",
TRUE,"Super Senior"
)</f>
        <v>Middle Age</v>
      </c>
      <c r="I1832">
        <v>0</v>
      </c>
      <c r="J1832">
        <v>0</v>
      </c>
      <c r="K1832">
        <v>-1</v>
      </c>
      <c r="L1832">
        <v>-1</v>
      </c>
      <c r="M1832">
        <v>-1</v>
      </c>
      <c r="N1832">
        <v>-1</v>
      </c>
      <c r="O1832" s="1">
        <v>19805</v>
      </c>
      <c r="P1832" s="1">
        <v>19900</v>
      </c>
      <c r="Q1832" s="1">
        <v>390</v>
      </c>
      <c r="R1832" s="1">
        <v>390</v>
      </c>
      <c r="S1832" s="1">
        <v>0</v>
      </c>
      <c r="T1832" s="1">
        <v>780</v>
      </c>
      <c r="U1832" s="1">
        <v>1000</v>
      </c>
      <c r="V1832" s="1">
        <v>390</v>
      </c>
      <c r="W1832" s="1">
        <v>390</v>
      </c>
      <c r="X1832" s="1">
        <v>0</v>
      </c>
      <c r="Y1832" s="1">
        <v>780</v>
      </c>
      <c r="Z1832" s="1">
        <v>0</v>
      </c>
      <c r="AA1832">
        <v>1</v>
      </c>
      <c r="AB1832" t="str">
        <f t="shared" si="28"/>
        <v>Defaulter</v>
      </c>
      <c r="AC1832" s="1">
        <f>Table2[[#This Row],[BILL_AMT1]]-Table2[[#This Row],[PAY_AMT1]]</f>
        <v>18805</v>
      </c>
      <c r="AD1832" s="1" t="str" cm="1">
        <f t="array" ref="AD1832">_xlfn.IFS(Table2[[#This Row],[PAYMENT GAP]]&lt;=0,"No Gap / Overpaid",Table2[[#This Row],[PAYMENT GAP]]&lt;=25000,"Low Gap",Table2[[#This Row],[PAYMENT GAP]]&lt;=100000,"Medium Gap",
TRUE,"High Gap"
)</f>
        <v>Low Gap</v>
      </c>
    </row>
    <row r="1833" spans="1:30" x14ac:dyDescent="0.3">
      <c r="A1833">
        <v>1832</v>
      </c>
      <c r="B1833" s="1">
        <v>270000</v>
      </c>
      <c r="C1833" s="1" t="str" cm="1">
        <f t="array" ref="C1833">_xlfn.IFS(Table2[[#This Row],[LIMIT_BAL]]&lt;=100000,"Low",Table2[[#This Row],[LIMIT_BAL]]&lt;=300000,"Medium",
TRUE,"High"
)</f>
        <v>Medium</v>
      </c>
      <c r="D1833" t="s">
        <v>2042</v>
      </c>
      <c r="E1833" t="s">
        <v>2044</v>
      </c>
      <c r="F1833" t="s">
        <v>2029</v>
      </c>
      <c r="G1833">
        <v>32</v>
      </c>
      <c r="H1833" t="str" cm="1">
        <f t="array" ref="H1833">_xlfn.IFS(
Table2[[#This Row],[AGE]]&lt;30,"Young",
Table2[[#This Row],[AGE]]&lt;40,"Middle Age",
Table2[[#This Row],[AGE]]&lt;50,"Senior",
TRUE,"Super Senior"
)</f>
        <v>Middle Age</v>
      </c>
      <c r="I1833">
        <v>-2</v>
      </c>
      <c r="J1833">
        <v>-2</v>
      </c>
      <c r="K1833">
        <v>-2</v>
      </c>
      <c r="L1833">
        <v>-2</v>
      </c>
      <c r="M1833">
        <v>-2</v>
      </c>
      <c r="N1833">
        <v>-2</v>
      </c>
      <c r="O1833" s="1">
        <v>24089</v>
      </c>
      <c r="P1833" s="1">
        <v>51408</v>
      </c>
      <c r="Q1833" s="1">
        <v>27067</v>
      </c>
      <c r="R1833" s="1">
        <v>40359</v>
      </c>
      <c r="S1833" s="1">
        <v>51264</v>
      </c>
      <c r="T1833" s="1">
        <v>34874</v>
      </c>
      <c r="U1833" s="1">
        <v>52398</v>
      </c>
      <c r="V1833" s="1">
        <v>27787</v>
      </c>
      <c r="W1833" s="1">
        <v>40569</v>
      </c>
      <c r="X1833" s="1">
        <v>53500</v>
      </c>
      <c r="Y1833" s="1">
        <v>35051</v>
      </c>
      <c r="Z1833" s="1">
        <v>120391</v>
      </c>
      <c r="AA1833">
        <v>0</v>
      </c>
      <c r="AB1833" t="str">
        <f t="shared" si="28"/>
        <v>Not Defaulter</v>
      </c>
      <c r="AC1833" s="1">
        <f>Table2[[#This Row],[BILL_AMT1]]-Table2[[#This Row],[PAY_AMT1]]</f>
        <v>-28309</v>
      </c>
      <c r="AD1833" s="1" t="str" cm="1">
        <f t="array" ref="AD1833">_xlfn.IFS(Table2[[#This Row],[PAYMENT GAP]]&lt;=0,"No Gap / Overpaid",Table2[[#This Row],[PAYMENT GAP]]&lt;=25000,"Low Gap",Table2[[#This Row],[PAYMENT GAP]]&lt;=100000,"Medium Gap",
TRUE,"High Gap"
)</f>
        <v>No Gap / Overpaid</v>
      </c>
    </row>
    <row r="1834" spans="1:30" x14ac:dyDescent="0.3">
      <c r="A1834">
        <v>1833</v>
      </c>
      <c r="B1834" s="1">
        <v>460000</v>
      </c>
      <c r="C1834" s="1" t="str" cm="1">
        <f t="array" ref="C1834">_xlfn.IFS(Table2[[#This Row],[LIMIT_BAL]]&lt;=100000,"Low",Table2[[#This Row],[LIMIT_BAL]]&lt;=300000,"Medium",
TRUE,"High"
)</f>
        <v>High</v>
      </c>
      <c r="D1834" t="s">
        <v>2042</v>
      </c>
      <c r="E1834" t="s">
        <v>2026</v>
      </c>
      <c r="F1834" t="s">
        <v>2029</v>
      </c>
      <c r="G1834">
        <v>32</v>
      </c>
      <c r="H1834" t="str" cm="1">
        <f t="array" ref="H1834">_xlfn.IFS(
Table2[[#This Row],[AGE]]&lt;30,"Young",
Table2[[#This Row],[AGE]]&lt;40,"Middle Age",
Table2[[#This Row],[AGE]]&lt;50,"Senior",
TRUE,"Super Senior"
)</f>
        <v>Middle Age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 s="1">
        <v>386437</v>
      </c>
      <c r="P1834" s="1">
        <v>393742</v>
      </c>
      <c r="Q1834" s="1">
        <v>392625</v>
      </c>
      <c r="R1834" s="1">
        <v>368365</v>
      </c>
      <c r="S1834" s="1">
        <v>377858</v>
      </c>
      <c r="T1834" s="1">
        <v>362132</v>
      </c>
      <c r="U1834" s="1">
        <v>15000</v>
      </c>
      <c r="V1834" s="1">
        <v>15000</v>
      </c>
      <c r="W1834" s="1">
        <v>15000</v>
      </c>
      <c r="X1834" s="1">
        <v>15000</v>
      </c>
      <c r="Y1834" s="1">
        <v>15000</v>
      </c>
      <c r="Z1834" s="1">
        <v>20000</v>
      </c>
      <c r="AA1834">
        <v>0</v>
      </c>
      <c r="AB1834" t="str">
        <f t="shared" si="28"/>
        <v>Not Defaulter</v>
      </c>
      <c r="AC1834" s="1">
        <f>Table2[[#This Row],[BILL_AMT1]]-Table2[[#This Row],[PAY_AMT1]]</f>
        <v>371437</v>
      </c>
      <c r="AD1834" s="1" t="str" cm="1">
        <f t="array" ref="AD1834">_xlfn.IFS(Table2[[#This Row],[PAYMENT GAP]]&lt;=0,"No Gap / Overpaid",Table2[[#This Row],[PAYMENT GAP]]&lt;=25000,"Low Gap",Table2[[#This Row],[PAYMENT GAP]]&lt;=100000,"Medium Gap",
TRUE,"High Gap"
)</f>
        <v>High Gap</v>
      </c>
    </row>
    <row r="1835" spans="1:30" x14ac:dyDescent="0.3">
      <c r="A1835">
        <v>1834</v>
      </c>
      <c r="B1835" s="1">
        <v>60000</v>
      </c>
      <c r="C1835" s="1" t="str" cm="1">
        <f t="array" ref="C1835">_xlfn.IFS(Table2[[#This Row],[LIMIT_BAL]]&lt;=100000,"Low",Table2[[#This Row],[LIMIT_BAL]]&lt;=300000,"Medium",
TRUE,"High"
)</f>
        <v>Low</v>
      </c>
      <c r="D1835" t="s">
        <v>2042</v>
      </c>
      <c r="E1835" t="s">
        <v>2027</v>
      </c>
      <c r="F1835" t="s">
        <v>2029</v>
      </c>
      <c r="G1835">
        <v>24</v>
      </c>
      <c r="H1835" t="str" cm="1">
        <f t="array" ref="H1835">_xlfn.IFS(
Table2[[#This Row],[AGE]]&lt;30,"Young",
Table2[[#This Row],[AGE]]&lt;40,"Middle Age",
Table2[[#This Row],[AGE]]&lt;50,"Senior",
TRUE,"Super Senior"
)</f>
        <v>Young</v>
      </c>
      <c r="I1835">
        <v>0</v>
      </c>
      <c r="J1835">
        <v>0</v>
      </c>
      <c r="K1835">
        <v>0</v>
      </c>
      <c r="L1835">
        <v>0</v>
      </c>
      <c r="M1835">
        <v>2</v>
      </c>
      <c r="N1835">
        <v>0</v>
      </c>
      <c r="O1835" s="1">
        <v>58819</v>
      </c>
      <c r="P1835" s="1">
        <v>59810</v>
      </c>
      <c r="Q1835" s="1">
        <v>56566</v>
      </c>
      <c r="R1835" s="1">
        <v>30627</v>
      </c>
      <c r="S1835" s="1">
        <v>30203</v>
      </c>
      <c r="T1835" s="1">
        <v>28648</v>
      </c>
      <c r="U1835" s="1">
        <v>3000</v>
      </c>
      <c r="V1835" s="1">
        <v>1768</v>
      </c>
      <c r="W1835" s="1">
        <v>3954</v>
      </c>
      <c r="X1835" s="1">
        <v>1000</v>
      </c>
      <c r="Y1835" s="1">
        <v>1500</v>
      </c>
      <c r="Z1835" s="1">
        <v>1200</v>
      </c>
      <c r="AA1835">
        <v>0</v>
      </c>
      <c r="AB1835" t="str">
        <f t="shared" si="28"/>
        <v>Not Defaulter</v>
      </c>
      <c r="AC1835" s="1">
        <f>Table2[[#This Row],[BILL_AMT1]]-Table2[[#This Row],[PAY_AMT1]]</f>
        <v>55819</v>
      </c>
      <c r="AD1835" s="1" t="str" cm="1">
        <f t="array" ref="AD1835">_xlfn.IFS(Table2[[#This Row],[PAYMENT GAP]]&lt;=0,"No Gap / Overpaid",Table2[[#This Row],[PAYMENT GAP]]&lt;=25000,"Low Gap",Table2[[#This Row],[PAYMENT GAP]]&lt;=100000,"Medium Gap",
TRUE,"High Gap"
)</f>
        <v>Medium Gap</v>
      </c>
    </row>
    <row r="1836" spans="1:30" x14ac:dyDescent="0.3">
      <c r="A1836">
        <v>1835</v>
      </c>
      <c r="B1836" s="1">
        <v>200000</v>
      </c>
      <c r="C1836" s="1" t="str" cm="1">
        <f t="array" ref="C1836">_xlfn.IFS(Table2[[#This Row],[LIMIT_BAL]]&lt;=100000,"Low",Table2[[#This Row],[LIMIT_BAL]]&lt;=300000,"Medium",
TRUE,"High"
)</f>
        <v>Medium</v>
      </c>
      <c r="D1836" t="s">
        <v>2041</v>
      </c>
      <c r="E1836" t="s">
        <v>2026</v>
      </c>
      <c r="F1836" t="s">
        <v>2028</v>
      </c>
      <c r="G1836">
        <v>35</v>
      </c>
      <c r="H1836" t="str" cm="1">
        <f t="array" ref="H1836">_xlfn.IFS(
Table2[[#This Row],[AGE]]&lt;30,"Young",
Table2[[#This Row],[AGE]]&lt;40,"Middle Age",
Table2[[#This Row],[AGE]]&lt;50,"Senior",
TRUE,"Super Senior"
)</f>
        <v>Middle Age</v>
      </c>
      <c r="I1836">
        <v>-1</v>
      </c>
      <c r="J1836">
        <v>-1</v>
      </c>
      <c r="K1836">
        <v>-1</v>
      </c>
      <c r="L1836">
        <v>-1</v>
      </c>
      <c r="M1836">
        <v>-1</v>
      </c>
      <c r="N1836">
        <v>-1</v>
      </c>
      <c r="O1836" s="1">
        <v>25663</v>
      </c>
      <c r="P1836" s="1">
        <v>14224</v>
      </c>
      <c r="Q1836" s="1">
        <v>17560</v>
      </c>
      <c r="R1836" s="1">
        <v>3300</v>
      </c>
      <c r="S1836" s="1">
        <v>1920</v>
      </c>
      <c r="T1836" s="1">
        <v>2731</v>
      </c>
      <c r="U1836" s="1">
        <v>14224</v>
      </c>
      <c r="V1836" s="1">
        <v>17560</v>
      </c>
      <c r="W1836" s="1">
        <v>3300</v>
      </c>
      <c r="X1836" s="1">
        <v>1920</v>
      </c>
      <c r="Y1836" s="1">
        <v>2731</v>
      </c>
      <c r="Z1836" s="1">
        <v>0</v>
      </c>
      <c r="AA1836">
        <v>0</v>
      </c>
      <c r="AB1836" t="str">
        <f t="shared" si="28"/>
        <v>Not Defaulter</v>
      </c>
      <c r="AC1836" s="1">
        <f>Table2[[#This Row],[BILL_AMT1]]-Table2[[#This Row],[PAY_AMT1]]</f>
        <v>11439</v>
      </c>
      <c r="AD1836" s="1" t="str" cm="1">
        <f t="array" ref="AD1836">_xlfn.IFS(Table2[[#This Row],[PAYMENT GAP]]&lt;=0,"No Gap / Overpaid",Table2[[#This Row],[PAYMENT GAP]]&lt;=25000,"Low Gap",Table2[[#This Row],[PAYMENT GAP]]&lt;=100000,"Medium Gap",
TRUE,"High Gap"
)</f>
        <v>Low Gap</v>
      </c>
    </row>
    <row r="1837" spans="1:30" x14ac:dyDescent="0.3">
      <c r="A1837">
        <v>1836</v>
      </c>
      <c r="B1837" s="1">
        <v>50000</v>
      </c>
      <c r="C1837" s="1" t="str" cm="1">
        <f t="array" ref="C1837">_xlfn.IFS(Table2[[#This Row],[LIMIT_BAL]]&lt;=100000,"Low",Table2[[#This Row],[LIMIT_BAL]]&lt;=300000,"Medium",
TRUE,"High"
)</f>
        <v>Low</v>
      </c>
      <c r="D1837" t="s">
        <v>2041</v>
      </c>
      <c r="E1837" t="s">
        <v>2043</v>
      </c>
      <c r="F1837" t="s">
        <v>2029</v>
      </c>
      <c r="G1837">
        <v>37</v>
      </c>
      <c r="H1837" t="str" cm="1">
        <f t="array" ref="H1837">_xlfn.IFS(
Table2[[#This Row],[AGE]]&lt;30,"Young",
Table2[[#This Row],[AGE]]&lt;40,"Middle Age",
Table2[[#This Row],[AGE]]&lt;50,"Senior",
TRUE,"Super Senior"
)</f>
        <v>Middle Age</v>
      </c>
      <c r="I1837">
        <v>1</v>
      </c>
      <c r="J1837">
        <v>2</v>
      </c>
      <c r="K1837">
        <v>2</v>
      </c>
      <c r="L1837">
        <v>2</v>
      </c>
      <c r="M1837">
        <v>2</v>
      </c>
      <c r="N1837">
        <v>2</v>
      </c>
      <c r="O1837" s="1">
        <v>14008</v>
      </c>
      <c r="P1837" s="1">
        <v>13493</v>
      </c>
      <c r="Q1837" s="1">
        <v>17259</v>
      </c>
      <c r="R1837" s="1">
        <v>16684</v>
      </c>
      <c r="S1837" s="1">
        <v>18017</v>
      </c>
      <c r="T1837" s="1">
        <v>17581</v>
      </c>
      <c r="U1837" s="1">
        <v>0</v>
      </c>
      <c r="V1837" s="1">
        <v>4000</v>
      </c>
      <c r="W1837" s="1">
        <v>0</v>
      </c>
      <c r="X1837" s="1">
        <v>1600</v>
      </c>
      <c r="Y1837" s="1">
        <v>0</v>
      </c>
      <c r="Z1837" s="1">
        <v>3000</v>
      </c>
      <c r="AA1837">
        <v>1</v>
      </c>
      <c r="AB1837" t="str">
        <f t="shared" si="28"/>
        <v>Defaulter</v>
      </c>
      <c r="AC1837" s="1">
        <f>Table2[[#This Row],[BILL_AMT1]]-Table2[[#This Row],[PAY_AMT1]]</f>
        <v>14008</v>
      </c>
      <c r="AD1837" s="1" t="str" cm="1">
        <f t="array" ref="AD1837">_xlfn.IFS(Table2[[#This Row],[PAYMENT GAP]]&lt;=0,"No Gap / Overpaid",Table2[[#This Row],[PAYMENT GAP]]&lt;=25000,"Low Gap",Table2[[#This Row],[PAYMENT GAP]]&lt;=100000,"Medium Gap",
TRUE,"High Gap"
)</f>
        <v>Low Gap</v>
      </c>
    </row>
    <row r="1838" spans="1:30" x14ac:dyDescent="0.3">
      <c r="A1838">
        <v>1837</v>
      </c>
      <c r="B1838" s="1">
        <v>20000</v>
      </c>
      <c r="C1838" s="1" t="str" cm="1">
        <f t="array" ref="C1838">_xlfn.IFS(Table2[[#This Row],[LIMIT_BAL]]&lt;=100000,"Low",Table2[[#This Row],[LIMIT_BAL]]&lt;=300000,"Medium",
TRUE,"High"
)</f>
        <v>Low</v>
      </c>
      <c r="D1838" t="s">
        <v>2041</v>
      </c>
      <c r="E1838" t="s">
        <v>2026</v>
      </c>
      <c r="F1838" t="s">
        <v>2029</v>
      </c>
      <c r="G1838">
        <v>22</v>
      </c>
      <c r="H1838" t="str" cm="1">
        <f t="array" ref="H1838">_xlfn.IFS(
Table2[[#This Row],[AGE]]&lt;30,"Young",
Table2[[#This Row],[AGE]]&lt;40,"Middle Age",
Table2[[#This Row],[AGE]]&lt;50,"Senior",
TRUE,"Super Senior"
)</f>
        <v>Young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 s="1">
        <v>19760</v>
      </c>
      <c r="P1838" s="1">
        <v>18570</v>
      </c>
      <c r="Q1838" s="1">
        <v>17604</v>
      </c>
      <c r="R1838" s="1">
        <v>11973</v>
      </c>
      <c r="S1838" s="1">
        <v>9517</v>
      </c>
      <c r="T1838" s="1">
        <v>6799</v>
      </c>
      <c r="U1838" s="1">
        <v>1376</v>
      </c>
      <c r="V1838" s="1">
        <v>1383</v>
      </c>
      <c r="W1838" s="1">
        <v>1000</v>
      </c>
      <c r="X1838" s="1">
        <v>455</v>
      </c>
      <c r="Y1838" s="1">
        <v>1500</v>
      </c>
      <c r="Z1838" s="1">
        <v>2200</v>
      </c>
      <c r="AA1838">
        <v>0</v>
      </c>
      <c r="AB1838" t="str">
        <f t="shared" si="28"/>
        <v>Not Defaulter</v>
      </c>
      <c r="AC1838" s="1">
        <f>Table2[[#This Row],[BILL_AMT1]]-Table2[[#This Row],[PAY_AMT1]]</f>
        <v>18384</v>
      </c>
      <c r="AD1838" s="1" t="str" cm="1">
        <f t="array" ref="AD1838">_xlfn.IFS(Table2[[#This Row],[PAYMENT GAP]]&lt;=0,"No Gap / Overpaid",Table2[[#This Row],[PAYMENT GAP]]&lt;=25000,"Low Gap",Table2[[#This Row],[PAYMENT GAP]]&lt;=100000,"Medium Gap",
TRUE,"High Gap"
)</f>
        <v>Low Gap</v>
      </c>
    </row>
    <row r="1839" spans="1:30" x14ac:dyDescent="0.3">
      <c r="A1839">
        <v>1838</v>
      </c>
      <c r="B1839" s="1">
        <v>290000</v>
      </c>
      <c r="C1839" s="1" t="str" cm="1">
        <f t="array" ref="C1839">_xlfn.IFS(Table2[[#This Row],[LIMIT_BAL]]&lt;=100000,"Low",Table2[[#This Row],[LIMIT_BAL]]&lt;=300000,"Medium",
TRUE,"High"
)</f>
        <v>Medium</v>
      </c>
      <c r="D1839" t="s">
        <v>2041</v>
      </c>
      <c r="E1839" t="s">
        <v>2043</v>
      </c>
      <c r="F1839" t="s">
        <v>2028</v>
      </c>
      <c r="G1839">
        <v>40</v>
      </c>
      <c r="H1839" t="str" cm="1">
        <f t="array" ref="H1839">_xlfn.IFS(
Table2[[#This Row],[AGE]]&lt;30,"Young",
Table2[[#This Row],[AGE]]&lt;40,"Middle Age",
Table2[[#This Row],[AGE]]&lt;50,"Senior",
TRUE,"Super Senior"
)</f>
        <v>Senior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 s="1">
        <v>274558</v>
      </c>
      <c r="P1839" s="1">
        <v>256910</v>
      </c>
      <c r="Q1839" s="1">
        <v>229566</v>
      </c>
      <c r="R1839" s="1">
        <v>148812</v>
      </c>
      <c r="S1839" s="1">
        <v>53157</v>
      </c>
      <c r="T1839" s="1">
        <v>47998</v>
      </c>
      <c r="U1839" s="1">
        <v>10700</v>
      </c>
      <c r="V1839" s="1">
        <v>11014</v>
      </c>
      <c r="W1839" s="1">
        <v>5800</v>
      </c>
      <c r="X1839" s="1">
        <v>1820</v>
      </c>
      <c r="Y1839" s="1">
        <v>2000</v>
      </c>
      <c r="Z1839" s="1">
        <v>2000</v>
      </c>
      <c r="AA1839">
        <v>1</v>
      </c>
      <c r="AB1839" t="str">
        <f t="shared" si="28"/>
        <v>Defaulter</v>
      </c>
      <c r="AC1839" s="1">
        <f>Table2[[#This Row],[BILL_AMT1]]-Table2[[#This Row],[PAY_AMT1]]</f>
        <v>263858</v>
      </c>
      <c r="AD1839" s="1" t="str" cm="1">
        <f t="array" ref="AD1839">_xlfn.IFS(Table2[[#This Row],[PAYMENT GAP]]&lt;=0,"No Gap / Overpaid",Table2[[#This Row],[PAYMENT GAP]]&lt;=25000,"Low Gap",Table2[[#This Row],[PAYMENT GAP]]&lt;=100000,"Medium Gap",
TRUE,"High Gap"
)</f>
        <v>High Gap</v>
      </c>
    </row>
    <row r="1840" spans="1:30" x14ac:dyDescent="0.3">
      <c r="A1840">
        <v>1839</v>
      </c>
      <c r="B1840" s="1">
        <v>110000</v>
      </c>
      <c r="C1840" s="1" t="str" cm="1">
        <f t="array" ref="C1840">_xlfn.IFS(Table2[[#This Row],[LIMIT_BAL]]&lt;=100000,"Low",Table2[[#This Row],[LIMIT_BAL]]&lt;=300000,"Medium",
TRUE,"High"
)</f>
        <v>Medium</v>
      </c>
      <c r="D1840" t="s">
        <v>2041</v>
      </c>
      <c r="E1840" t="s">
        <v>2043</v>
      </c>
      <c r="F1840" t="s">
        <v>2029</v>
      </c>
      <c r="G1840">
        <v>36</v>
      </c>
      <c r="H1840" t="str" cm="1">
        <f t="array" ref="H1840">_xlfn.IFS(
Table2[[#This Row],[AGE]]&lt;30,"Young",
Table2[[#This Row],[AGE]]&lt;40,"Middle Age",
Table2[[#This Row],[AGE]]&lt;50,"Senior",
TRUE,"Super Senior"
)</f>
        <v>Middle Age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 s="1">
        <v>116486</v>
      </c>
      <c r="P1840" s="1">
        <v>105604</v>
      </c>
      <c r="Q1840" s="1">
        <v>96945</v>
      </c>
      <c r="R1840" s="1">
        <v>74171</v>
      </c>
      <c r="S1840" s="1">
        <v>70012</v>
      </c>
      <c r="T1840" s="1">
        <v>62256</v>
      </c>
      <c r="U1840" s="1">
        <v>4353</v>
      </c>
      <c r="V1840" s="1">
        <v>3294</v>
      </c>
      <c r="W1840" s="1">
        <v>5000</v>
      </c>
      <c r="X1840" s="1">
        <v>8300</v>
      </c>
      <c r="Y1840" s="1">
        <v>5000</v>
      </c>
      <c r="Z1840" s="1">
        <v>5000</v>
      </c>
      <c r="AA1840">
        <v>0</v>
      </c>
      <c r="AB1840" t="str">
        <f t="shared" si="28"/>
        <v>Not Defaulter</v>
      </c>
      <c r="AC1840" s="1">
        <f>Table2[[#This Row],[BILL_AMT1]]-Table2[[#This Row],[PAY_AMT1]]</f>
        <v>112133</v>
      </c>
      <c r="AD1840" s="1" t="str" cm="1">
        <f t="array" ref="AD1840">_xlfn.IFS(Table2[[#This Row],[PAYMENT GAP]]&lt;=0,"No Gap / Overpaid",Table2[[#This Row],[PAYMENT GAP]]&lt;=25000,"Low Gap",Table2[[#This Row],[PAYMENT GAP]]&lt;=100000,"Medium Gap",
TRUE,"High Gap"
)</f>
        <v>High Gap</v>
      </c>
    </row>
    <row r="1841" spans="1:30" x14ac:dyDescent="0.3">
      <c r="A1841">
        <v>1840</v>
      </c>
      <c r="B1841" s="1">
        <v>160000</v>
      </c>
      <c r="C1841" s="1" t="str" cm="1">
        <f t="array" ref="C1841">_xlfn.IFS(Table2[[#This Row],[LIMIT_BAL]]&lt;=100000,"Low",Table2[[#This Row],[LIMIT_BAL]]&lt;=300000,"Medium",
TRUE,"High"
)</f>
        <v>Medium</v>
      </c>
      <c r="D1841" t="s">
        <v>2041</v>
      </c>
      <c r="E1841" t="s">
        <v>2027</v>
      </c>
      <c r="F1841" t="s">
        <v>2028</v>
      </c>
      <c r="G1841">
        <v>51</v>
      </c>
      <c r="H1841" t="str" cm="1">
        <f t="array" ref="H1841">_xlfn.IFS(
Table2[[#This Row],[AGE]]&lt;30,"Young",
Table2[[#This Row],[AGE]]&lt;40,"Middle Age",
Table2[[#This Row],[AGE]]&lt;50,"Senior",
TRUE,"Super Senior"
)</f>
        <v>Super Senior</v>
      </c>
      <c r="I1841">
        <v>2</v>
      </c>
      <c r="J1841">
        <v>2</v>
      </c>
      <c r="K1841">
        <v>2</v>
      </c>
      <c r="L1841">
        <v>2</v>
      </c>
      <c r="M1841">
        <v>2</v>
      </c>
      <c r="N1841">
        <v>2</v>
      </c>
      <c r="O1841" s="1">
        <v>142064</v>
      </c>
      <c r="P1841" s="1">
        <v>144900</v>
      </c>
      <c r="Q1841" s="1">
        <v>146534</v>
      </c>
      <c r="R1841" s="1">
        <v>147955</v>
      </c>
      <c r="S1841" s="1">
        <v>145488</v>
      </c>
      <c r="T1841" s="1">
        <v>155041</v>
      </c>
      <c r="U1841" s="1">
        <v>6600</v>
      </c>
      <c r="V1841" s="1">
        <v>5500</v>
      </c>
      <c r="W1841" s="1">
        <v>5310</v>
      </c>
      <c r="X1841" s="1">
        <v>0</v>
      </c>
      <c r="Y1841" s="1">
        <v>12000</v>
      </c>
      <c r="Z1841" s="1">
        <v>0</v>
      </c>
      <c r="AA1841">
        <v>1</v>
      </c>
      <c r="AB1841" t="str">
        <f t="shared" si="28"/>
        <v>Defaulter</v>
      </c>
      <c r="AC1841" s="1">
        <f>Table2[[#This Row],[BILL_AMT1]]-Table2[[#This Row],[PAY_AMT1]]</f>
        <v>135464</v>
      </c>
      <c r="AD1841" s="1" t="str" cm="1">
        <f t="array" ref="AD1841">_xlfn.IFS(Table2[[#This Row],[PAYMENT GAP]]&lt;=0,"No Gap / Overpaid",Table2[[#This Row],[PAYMENT GAP]]&lt;=25000,"Low Gap",Table2[[#This Row],[PAYMENT GAP]]&lt;=100000,"Medium Gap",
TRUE,"High Gap"
)</f>
        <v>High Gap</v>
      </c>
    </row>
    <row r="1842" spans="1:30" x14ac:dyDescent="0.3">
      <c r="A1842">
        <v>1841</v>
      </c>
      <c r="B1842" s="1">
        <v>70000</v>
      </c>
      <c r="C1842" s="1" t="str" cm="1">
        <f t="array" ref="C1842">_xlfn.IFS(Table2[[#This Row],[LIMIT_BAL]]&lt;=100000,"Low",Table2[[#This Row],[LIMIT_BAL]]&lt;=300000,"Medium",
TRUE,"High"
)</f>
        <v>Low</v>
      </c>
      <c r="D1842" t="s">
        <v>2041</v>
      </c>
      <c r="E1842" t="s">
        <v>2043</v>
      </c>
      <c r="F1842" t="s">
        <v>2028</v>
      </c>
      <c r="G1842">
        <v>31</v>
      </c>
      <c r="H1842" t="str" cm="1">
        <f t="array" ref="H1842">_xlfn.IFS(
Table2[[#This Row],[AGE]]&lt;30,"Young",
Table2[[#This Row],[AGE]]&lt;40,"Middle Age",
Table2[[#This Row],[AGE]]&lt;50,"Senior",
TRUE,"Super Senior"
)</f>
        <v>Middle Age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 s="1">
        <v>60058</v>
      </c>
      <c r="P1842" s="1">
        <v>49647</v>
      </c>
      <c r="Q1842" s="1">
        <v>43968</v>
      </c>
      <c r="R1842" s="1">
        <v>41127</v>
      </c>
      <c r="S1842" s="1">
        <v>39137</v>
      </c>
      <c r="T1842" s="1">
        <v>28712</v>
      </c>
      <c r="U1842" s="1">
        <v>1834</v>
      </c>
      <c r="V1842" s="1">
        <v>1608</v>
      </c>
      <c r="W1842" s="1">
        <v>1559</v>
      </c>
      <c r="X1842" s="1">
        <v>1630</v>
      </c>
      <c r="Y1842" s="1">
        <v>1300</v>
      </c>
      <c r="Z1842" s="1">
        <v>1000</v>
      </c>
      <c r="AA1842">
        <v>0</v>
      </c>
      <c r="AB1842" t="str">
        <f t="shared" si="28"/>
        <v>Not Defaulter</v>
      </c>
      <c r="AC1842" s="1">
        <f>Table2[[#This Row],[BILL_AMT1]]-Table2[[#This Row],[PAY_AMT1]]</f>
        <v>58224</v>
      </c>
      <c r="AD1842" s="1" t="str" cm="1">
        <f t="array" ref="AD1842">_xlfn.IFS(Table2[[#This Row],[PAYMENT GAP]]&lt;=0,"No Gap / Overpaid",Table2[[#This Row],[PAYMENT GAP]]&lt;=25000,"Low Gap",Table2[[#This Row],[PAYMENT GAP]]&lt;=100000,"Medium Gap",
TRUE,"High Gap"
)</f>
        <v>Medium Gap</v>
      </c>
    </row>
    <row r="1843" spans="1:30" x14ac:dyDescent="0.3">
      <c r="A1843">
        <v>1842</v>
      </c>
      <c r="B1843" s="1">
        <v>200000</v>
      </c>
      <c r="C1843" s="1" t="str" cm="1">
        <f t="array" ref="C1843">_xlfn.IFS(Table2[[#This Row],[LIMIT_BAL]]&lt;=100000,"Low",Table2[[#This Row],[LIMIT_BAL]]&lt;=300000,"Medium",
TRUE,"High"
)</f>
        <v>Medium</v>
      </c>
      <c r="D1843" t="s">
        <v>2041</v>
      </c>
      <c r="E1843" t="s">
        <v>2026</v>
      </c>
      <c r="F1843" t="s">
        <v>2029</v>
      </c>
      <c r="G1843">
        <v>39</v>
      </c>
      <c r="H1843" t="str" cm="1">
        <f t="array" ref="H1843">_xlfn.IFS(
Table2[[#This Row],[AGE]]&lt;30,"Young",
Table2[[#This Row],[AGE]]&lt;40,"Middle Age",
Table2[[#This Row],[AGE]]&lt;50,"Senior",
TRUE,"Super Senior"
)</f>
        <v>Middle Age</v>
      </c>
      <c r="I1843">
        <v>-2</v>
      </c>
      <c r="J1843">
        <v>-2</v>
      </c>
      <c r="K1843">
        <v>-2</v>
      </c>
      <c r="L1843">
        <v>-2</v>
      </c>
      <c r="M1843">
        <v>-1</v>
      </c>
      <c r="N1843">
        <v>-1</v>
      </c>
      <c r="O1843" s="1">
        <v>0</v>
      </c>
      <c r="P1843" s="1">
        <v>0</v>
      </c>
      <c r="Q1843" s="1">
        <v>0</v>
      </c>
      <c r="R1843" s="1">
        <v>0</v>
      </c>
      <c r="S1843" s="1">
        <v>2330</v>
      </c>
      <c r="T1843" s="1">
        <v>0</v>
      </c>
      <c r="U1843" s="1">
        <v>0</v>
      </c>
      <c r="V1843" s="1">
        <v>0</v>
      </c>
      <c r="W1843" s="1">
        <v>0</v>
      </c>
      <c r="X1843" s="1">
        <v>2330</v>
      </c>
      <c r="Y1843" s="1">
        <v>0</v>
      </c>
      <c r="Z1843" s="1">
        <v>0</v>
      </c>
      <c r="AA1843">
        <v>1</v>
      </c>
      <c r="AB1843" t="str">
        <f t="shared" si="28"/>
        <v>Defaulter</v>
      </c>
      <c r="AC1843" s="1">
        <f>Table2[[#This Row],[BILL_AMT1]]-Table2[[#This Row],[PAY_AMT1]]</f>
        <v>0</v>
      </c>
      <c r="AD1843" s="1" t="str" cm="1">
        <f t="array" ref="AD1843">_xlfn.IFS(Table2[[#This Row],[PAYMENT GAP]]&lt;=0,"No Gap / Overpaid",Table2[[#This Row],[PAYMENT GAP]]&lt;=25000,"Low Gap",Table2[[#This Row],[PAYMENT GAP]]&lt;=100000,"Medium Gap",
TRUE,"High Gap"
)</f>
        <v>No Gap / Overpaid</v>
      </c>
    </row>
    <row r="1844" spans="1:30" x14ac:dyDescent="0.3">
      <c r="A1844">
        <v>1843</v>
      </c>
      <c r="B1844" s="1">
        <v>80000</v>
      </c>
      <c r="C1844" s="1" t="str" cm="1">
        <f t="array" ref="C1844">_xlfn.IFS(Table2[[#This Row],[LIMIT_BAL]]&lt;=100000,"Low",Table2[[#This Row],[LIMIT_BAL]]&lt;=300000,"Medium",
TRUE,"High"
)</f>
        <v>Low</v>
      </c>
      <c r="D1844" t="s">
        <v>2041</v>
      </c>
      <c r="E1844" t="s">
        <v>2043</v>
      </c>
      <c r="F1844" t="s">
        <v>2029</v>
      </c>
      <c r="G1844">
        <v>40</v>
      </c>
      <c r="H1844" t="str" cm="1">
        <f t="array" ref="H1844">_xlfn.IFS(
Table2[[#This Row],[AGE]]&lt;30,"Young",
Table2[[#This Row],[AGE]]&lt;40,"Middle Age",
Table2[[#This Row],[AGE]]&lt;50,"Senior",
TRUE,"Super Senior"
)</f>
        <v>Senior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s="1">
        <v>78717</v>
      </c>
      <c r="P1844" s="1">
        <v>75873</v>
      </c>
      <c r="Q1844" s="1">
        <v>68602</v>
      </c>
      <c r="R1844" s="1">
        <v>54617</v>
      </c>
      <c r="S1844" s="1">
        <v>55987</v>
      </c>
      <c r="T1844" s="1">
        <v>53895</v>
      </c>
      <c r="U1844" s="1">
        <v>3300</v>
      </c>
      <c r="V1844" s="1">
        <v>3300</v>
      </c>
      <c r="W1844" s="1">
        <v>2000</v>
      </c>
      <c r="X1844" s="1">
        <v>2200</v>
      </c>
      <c r="Y1844" s="1">
        <v>2100</v>
      </c>
      <c r="Z1844" s="1">
        <v>1900</v>
      </c>
      <c r="AA1844">
        <v>0</v>
      </c>
      <c r="AB1844" t="str">
        <f t="shared" si="28"/>
        <v>Not Defaulter</v>
      </c>
      <c r="AC1844" s="1">
        <f>Table2[[#This Row],[BILL_AMT1]]-Table2[[#This Row],[PAY_AMT1]]</f>
        <v>75417</v>
      </c>
      <c r="AD1844" s="1" t="str" cm="1">
        <f t="array" ref="AD1844">_xlfn.IFS(Table2[[#This Row],[PAYMENT GAP]]&lt;=0,"No Gap / Overpaid",Table2[[#This Row],[PAYMENT GAP]]&lt;=25000,"Low Gap",Table2[[#This Row],[PAYMENT GAP]]&lt;=100000,"Medium Gap",
TRUE,"High Gap"
)</f>
        <v>Medium Gap</v>
      </c>
    </row>
    <row r="1845" spans="1:30" x14ac:dyDescent="0.3">
      <c r="A1845">
        <v>1844</v>
      </c>
      <c r="B1845" s="1">
        <v>20000</v>
      </c>
      <c r="C1845" s="1" t="str" cm="1">
        <f t="array" ref="C1845">_xlfn.IFS(Table2[[#This Row],[LIMIT_BAL]]&lt;=100000,"Low",Table2[[#This Row],[LIMIT_BAL]]&lt;=300000,"Medium",
TRUE,"High"
)</f>
        <v>Low</v>
      </c>
      <c r="D1845" t="s">
        <v>2042</v>
      </c>
      <c r="E1845" t="s">
        <v>2026</v>
      </c>
      <c r="F1845" t="s">
        <v>2029</v>
      </c>
      <c r="G1845">
        <v>41</v>
      </c>
      <c r="H1845" t="str" cm="1">
        <f t="array" ref="H1845">_xlfn.IFS(
Table2[[#This Row],[AGE]]&lt;30,"Young",
Table2[[#This Row],[AGE]]&lt;40,"Middle Age",
Table2[[#This Row],[AGE]]&lt;50,"Senior",
TRUE,"Super Senior"
)</f>
        <v>Senior</v>
      </c>
      <c r="I1845">
        <v>-2</v>
      </c>
      <c r="J1845">
        <v>-2</v>
      </c>
      <c r="K1845">
        <v>0</v>
      </c>
      <c r="L1845">
        <v>0</v>
      </c>
      <c r="M1845">
        <v>0</v>
      </c>
      <c r="N1845">
        <v>0</v>
      </c>
      <c r="O1845" s="1">
        <v>18803</v>
      </c>
      <c r="P1845" s="1">
        <v>18376</v>
      </c>
      <c r="Q1845" s="1">
        <v>19342</v>
      </c>
      <c r="R1845" s="1">
        <v>19081</v>
      </c>
      <c r="S1845" s="1">
        <v>19799</v>
      </c>
      <c r="T1845" s="1">
        <v>18718</v>
      </c>
      <c r="U1845" s="1">
        <v>36147</v>
      </c>
      <c r="V1845" s="1">
        <v>1281</v>
      </c>
      <c r="W1845" s="1">
        <v>658</v>
      </c>
      <c r="X1845" s="1">
        <v>1000</v>
      </c>
      <c r="Y1845" s="1">
        <v>1000</v>
      </c>
      <c r="Z1845" s="1">
        <v>760</v>
      </c>
      <c r="AA1845">
        <v>1</v>
      </c>
      <c r="AB1845" t="str">
        <f t="shared" si="28"/>
        <v>Defaulter</v>
      </c>
      <c r="AC1845" s="1">
        <f>Table2[[#This Row],[BILL_AMT1]]-Table2[[#This Row],[PAY_AMT1]]</f>
        <v>-17344</v>
      </c>
      <c r="AD1845" s="1" t="str" cm="1">
        <f t="array" ref="AD1845">_xlfn.IFS(Table2[[#This Row],[PAYMENT GAP]]&lt;=0,"No Gap / Overpaid",Table2[[#This Row],[PAYMENT GAP]]&lt;=25000,"Low Gap",Table2[[#This Row],[PAYMENT GAP]]&lt;=100000,"Medium Gap",
TRUE,"High Gap"
)</f>
        <v>No Gap / Overpaid</v>
      </c>
    </row>
    <row r="1846" spans="1:30" x14ac:dyDescent="0.3">
      <c r="A1846">
        <v>1845</v>
      </c>
      <c r="B1846" s="1">
        <v>210000</v>
      </c>
      <c r="C1846" s="1" t="str" cm="1">
        <f t="array" ref="C1846">_xlfn.IFS(Table2[[#This Row],[LIMIT_BAL]]&lt;=100000,"Low",Table2[[#This Row],[LIMIT_BAL]]&lt;=300000,"Medium",
TRUE,"High"
)</f>
        <v>Medium</v>
      </c>
      <c r="D1846" t="s">
        <v>2042</v>
      </c>
      <c r="E1846" t="s">
        <v>2026</v>
      </c>
      <c r="F1846" t="s">
        <v>2029</v>
      </c>
      <c r="G1846">
        <v>48</v>
      </c>
      <c r="H1846" t="str" cm="1">
        <f t="array" ref="H1846">_xlfn.IFS(
Table2[[#This Row],[AGE]]&lt;30,"Young",
Table2[[#This Row],[AGE]]&lt;40,"Middle Age",
Table2[[#This Row],[AGE]]&lt;50,"Senior",
TRUE,"Super Senior"
)</f>
        <v>Senior</v>
      </c>
      <c r="I1846">
        <v>-2</v>
      </c>
      <c r="J1846">
        <v>-2</v>
      </c>
      <c r="K1846">
        <v>-2</v>
      </c>
      <c r="L1846">
        <v>-2</v>
      </c>
      <c r="M1846">
        <v>-2</v>
      </c>
      <c r="N1846">
        <v>-2</v>
      </c>
      <c r="O1846" s="1">
        <v>0</v>
      </c>
      <c r="P1846" s="1">
        <v>570</v>
      </c>
      <c r="Q1846" s="1">
        <v>0</v>
      </c>
      <c r="R1846" s="1">
        <v>0</v>
      </c>
      <c r="S1846" s="1">
        <v>0</v>
      </c>
      <c r="T1846" s="1">
        <v>0</v>
      </c>
      <c r="U1846" s="1">
        <v>570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>
        <v>0</v>
      </c>
      <c r="AB1846" t="str">
        <f t="shared" si="28"/>
        <v>Not Defaulter</v>
      </c>
      <c r="AC1846" s="1">
        <f>Table2[[#This Row],[BILL_AMT1]]-Table2[[#This Row],[PAY_AMT1]]</f>
        <v>-570</v>
      </c>
      <c r="AD1846" s="1" t="str" cm="1">
        <f t="array" ref="AD1846">_xlfn.IFS(Table2[[#This Row],[PAYMENT GAP]]&lt;=0,"No Gap / Overpaid",Table2[[#This Row],[PAYMENT GAP]]&lt;=25000,"Low Gap",Table2[[#This Row],[PAYMENT GAP]]&lt;=100000,"Medium Gap",
TRUE,"High Gap"
)</f>
        <v>No Gap / Overpaid</v>
      </c>
    </row>
    <row r="1847" spans="1:30" x14ac:dyDescent="0.3">
      <c r="A1847">
        <v>1846</v>
      </c>
      <c r="B1847" s="1">
        <v>180000</v>
      </c>
      <c r="C1847" s="1" t="str" cm="1">
        <f t="array" ref="C1847">_xlfn.IFS(Table2[[#This Row],[LIMIT_BAL]]&lt;=100000,"Low",Table2[[#This Row],[LIMIT_BAL]]&lt;=300000,"Medium",
TRUE,"High"
)</f>
        <v>Medium</v>
      </c>
      <c r="D1847" t="s">
        <v>2041</v>
      </c>
      <c r="E1847" t="s">
        <v>2027</v>
      </c>
      <c r="F1847" t="s">
        <v>2028</v>
      </c>
      <c r="G1847">
        <v>39</v>
      </c>
      <c r="H1847" t="str" cm="1">
        <f t="array" ref="H1847">_xlfn.IFS(
Table2[[#This Row],[AGE]]&lt;30,"Young",
Table2[[#This Row],[AGE]]&lt;40,"Middle Age",
Table2[[#This Row],[AGE]]&lt;50,"Senior",
TRUE,"Super Senior"
)</f>
        <v>Middle Age</v>
      </c>
      <c r="I1847">
        <v>2</v>
      </c>
      <c r="J1847">
        <v>0</v>
      </c>
      <c r="K1847">
        <v>0</v>
      </c>
      <c r="L1847">
        <v>-2</v>
      </c>
      <c r="M1847">
        <v>-2</v>
      </c>
      <c r="N1847">
        <v>-2</v>
      </c>
      <c r="O1847" s="1">
        <v>172488</v>
      </c>
      <c r="P1847" s="1">
        <v>72050</v>
      </c>
      <c r="Q1847" s="1">
        <v>0</v>
      </c>
      <c r="R1847" s="1">
        <v>0</v>
      </c>
      <c r="S1847" s="1">
        <v>0</v>
      </c>
      <c r="T1847" s="1">
        <v>0</v>
      </c>
      <c r="U1847" s="1">
        <v>3450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>
        <v>1</v>
      </c>
      <c r="AB1847" t="str">
        <f t="shared" si="28"/>
        <v>Defaulter</v>
      </c>
      <c r="AC1847" s="1">
        <f>Table2[[#This Row],[BILL_AMT1]]-Table2[[#This Row],[PAY_AMT1]]</f>
        <v>169038</v>
      </c>
      <c r="AD1847" s="1" t="str" cm="1">
        <f t="array" ref="AD1847">_xlfn.IFS(Table2[[#This Row],[PAYMENT GAP]]&lt;=0,"No Gap / Overpaid",Table2[[#This Row],[PAYMENT GAP]]&lt;=25000,"Low Gap",Table2[[#This Row],[PAYMENT GAP]]&lt;=100000,"Medium Gap",
TRUE,"High Gap"
)</f>
        <v>High Gap</v>
      </c>
    </row>
    <row r="1848" spans="1:30" x14ac:dyDescent="0.3">
      <c r="A1848">
        <v>1847</v>
      </c>
      <c r="B1848" s="1">
        <v>50000</v>
      </c>
      <c r="C1848" s="1" t="str" cm="1">
        <f t="array" ref="C1848">_xlfn.IFS(Table2[[#This Row],[LIMIT_BAL]]&lt;=100000,"Low",Table2[[#This Row],[LIMIT_BAL]]&lt;=300000,"Medium",
TRUE,"High"
)</f>
        <v>Low</v>
      </c>
      <c r="D1848" t="s">
        <v>2042</v>
      </c>
      <c r="E1848" t="s">
        <v>2043</v>
      </c>
      <c r="F1848" t="s">
        <v>2055</v>
      </c>
      <c r="G1848">
        <v>53</v>
      </c>
      <c r="H1848" t="str" cm="1">
        <f t="array" ref="H1848">_xlfn.IFS(
Table2[[#This Row],[AGE]]&lt;30,"Young",
Table2[[#This Row],[AGE]]&lt;40,"Middle Age",
Table2[[#This Row],[AGE]]&lt;50,"Senior",
TRUE,"Super Senior"
)</f>
        <v>Super Senior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 s="1">
        <v>34664</v>
      </c>
      <c r="P1848" s="1">
        <v>17242</v>
      </c>
      <c r="Q1848" s="1">
        <v>18417</v>
      </c>
      <c r="R1848" s="1">
        <v>18877</v>
      </c>
      <c r="S1848" s="1">
        <v>18985</v>
      </c>
      <c r="T1848" s="1">
        <v>18184</v>
      </c>
      <c r="U1848" s="1">
        <v>1500</v>
      </c>
      <c r="V1848" s="1">
        <v>1500</v>
      </c>
      <c r="W1848" s="1">
        <v>1000</v>
      </c>
      <c r="X1848" s="1">
        <v>800</v>
      </c>
      <c r="Y1848" s="1">
        <v>2000</v>
      </c>
      <c r="Z1848" s="1">
        <v>1000</v>
      </c>
      <c r="AA1848">
        <v>0</v>
      </c>
      <c r="AB1848" t="str">
        <f t="shared" si="28"/>
        <v>Not Defaulter</v>
      </c>
      <c r="AC1848" s="1">
        <f>Table2[[#This Row],[BILL_AMT1]]-Table2[[#This Row],[PAY_AMT1]]</f>
        <v>33164</v>
      </c>
      <c r="AD1848" s="1" t="str" cm="1">
        <f t="array" ref="AD1848">_xlfn.IFS(Table2[[#This Row],[PAYMENT GAP]]&lt;=0,"No Gap / Overpaid",Table2[[#This Row],[PAYMENT GAP]]&lt;=25000,"Low Gap",Table2[[#This Row],[PAYMENT GAP]]&lt;=100000,"Medium Gap",
TRUE,"High Gap"
)</f>
        <v>Medium Gap</v>
      </c>
    </row>
    <row r="1849" spans="1:30" x14ac:dyDescent="0.3">
      <c r="A1849">
        <v>1848</v>
      </c>
      <c r="B1849" s="1">
        <v>30000</v>
      </c>
      <c r="C1849" s="1" t="str" cm="1">
        <f t="array" ref="C1849">_xlfn.IFS(Table2[[#This Row],[LIMIT_BAL]]&lt;=100000,"Low",Table2[[#This Row],[LIMIT_BAL]]&lt;=300000,"Medium",
TRUE,"High"
)</f>
        <v>Low</v>
      </c>
      <c r="D1849" t="s">
        <v>2042</v>
      </c>
      <c r="E1849" t="s">
        <v>2043</v>
      </c>
      <c r="F1849" t="s">
        <v>2029</v>
      </c>
      <c r="G1849">
        <v>26</v>
      </c>
      <c r="H1849" t="str" cm="1">
        <f t="array" ref="H1849">_xlfn.IFS(
Table2[[#This Row],[AGE]]&lt;30,"Young",
Table2[[#This Row],[AGE]]&lt;40,"Middle Age",
Table2[[#This Row],[AGE]]&lt;50,"Senior",
TRUE,"Super Senior"
)</f>
        <v>Young</v>
      </c>
      <c r="I1849">
        <v>1</v>
      </c>
      <c r="J1849">
        <v>3</v>
      </c>
      <c r="K1849">
        <v>2</v>
      </c>
      <c r="L1849">
        <v>2</v>
      </c>
      <c r="M1849">
        <v>0</v>
      </c>
      <c r="N1849">
        <v>0</v>
      </c>
      <c r="O1849" s="1">
        <v>31305</v>
      </c>
      <c r="P1849" s="1">
        <v>30527</v>
      </c>
      <c r="Q1849" s="1">
        <v>30789</v>
      </c>
      <c r="R1849" s="1">
        <v>29504</v>
      </c>
      <c r="S1849" s="1">
        <v>30276</v>
      </c>
      <c r="T1849" s="1">
        <v>29695</v>
      </c>
      <c r="U1849" s="1">
        <v>0</v>
      </c>
      <c r="V1849" s="1">
        <v>1060</v>
      </c>
      <c r="W1849" s="1">
        <v>0</v>
      </c>
      <c r="X1849" s="1">
        <v>1251</v>
      </c>
      <c r="Y1849" s="1">
        <v>1078</v>
      </c>
      <c r="Z1849" s="1">
        <v>1243</v>
      </c>
      <c r="AA1849">
        <v>1</v>
      </c>
      <c r="AB1849" t="str">
        <f t="shared" si="28"/>
        <v>Defaulter</v>
      </c>
      <c r="AC1849" s="1">
        <f>Table2[[#This Row],[BILL_AMT1]]-Table2[[#This Row],[PAY_AMT1]]</f>
        <v>31305</v>
      </c>
      <c r="AD1849" s="1" t="str" cm="1">
        <f t="array" ref="AD1849">_xlfn.IFS(Table2[[#This Row],[PAYMENT GAP]]&lt;=0,"No Gap / Overpaid",Table2[[#This Row],[PAYMENT GAP]]&lt;=25000,"Low Gap",Table2[[#This Row],[PAYMENT GAP]]&lt;=100000,"Medium Gap",
TRUE,"High Gap"
)</f>
        <v>Medium Gap</v>
      </c>
    </row>
    <row r="1850" spans="1:30" x14ac:dyDescent="0.3">
      <c r="A1850">
        <v>1849</v>
      </c>
      <c r="B1850" s="1">
        <v>150000</v>
      </c>
      <c r="C1850" s="1" t="str" cm="1">
        <f t="array" ref="C1850">_xlfn.IFS(Table2[[#This Row],[LIMIT_BAL]]&lt;=100000,"Low",Table2[[#This Row],[LIMIT_BAL]]&lt;=300000,"Medium",
TRUE,"High"
)</f>
        <v>Medium</v>
      </c>
      <c r="D1850" t="s">
        <v>2042</v>
      </c>
      <c r="E1850" t="s">
        <v>2026</v>
      </c>
      <c r="F1850" t="s">
        <v>2029</v>
      </c>
      <c r="G1850">
        <v>30</v>
      </c>
      <c r="H1850" t="str" cm="1">
        <f t="array" ref="H1850">_xlfn.IFS(
Table2[[#This Row],[AGE]]&lt;30,"Young",
Table2[[#This Row],[AGE]]&lt;40,"Middle Age",
Table2[[#This Row],[AGE]]&lt;50,"Senior",
TRUE,"Super Senior"
)</f>
        <v>Middle Age</v>
      </c>
      <c r="I1850">
        <v>-1</v>
      </c>
      <c r="J1850">
        <v>-1</v>
      </c>
      <c r="K1850">
        <v>-1</v>
      </c>
      <c r="L1850">
        <v>-1</v>
      </c>
      <c r="M1850">
        <v>-1</v>
      </c>
      <c r="N1850">
        <v>-1</v>
      </c>
      <c r="O1850" s="1">
        <v>6708</v>
      </c>
      <c r="P1850" s="1">
        <v>1098</v>
      </c>
      <c r="Q1850" s="1">
        <v>1908</v>
      </c>
      <c r="R1850" s="1">
        <v>1589</v>
      </c>
      <c r="S1850" s="1">
        <v>9918</v>
      </c>
      <c r="T1850" s="1">
        <v>-16586</v>
      </c>
      <c r="U1850" s="1">
        <v>1098</v>
      </c>
      <c r="V1850" s="1">
        <v>2000</v>
      </c>
      <c r="W1850" s="1">
        <v>1589</v>
      </c>
      <c r="X1850" s="1">
        <v>9918</v>
      </c>
      <c r="Y1850" s="1">
        <v>1157</v>
      </c>
      <c r="Z1850" s="1">
        <v>0</v>
      </c>
      <c r="AA1850">
        <v>0</v>
      </c>
      <c r="AB1850" t="str">
        <f t="shared" si="28"/>
        <v>Not Defaulter</v>
      </c>
      <c r="AC1850" s="1">
        <f>Table2[[#This Row],[BILL_AMT1]]-Table2[[#This Row],[PAY_AMT1]]</f>
        <v>5610</v>
      </c>
      <c r="AD1850" s="1" t="str" cm="1">
        <f t="array" ref="AD1850">_xlfn.IFS(Table2[[#This Row],[PAYMENT GAP]]&lt;=0,"No Gap / Overpaid",Table2[[#This Row],[PAYMENT GAP]]&lt;=25000,"Low Gap",Table2[[#This Row],[PAYMENT GAP]]&lt;=100000,"Medium Gap",
TRUE,"High Gap"
)</f>
        <v>Low Gap</v>
      </c>
    </row>
    <row r="1851" spans="1:30" x14ac:dyDescent="0.3">
      <c r="A1851">
        <v>1850</v>
      </c>
      <c r="B1851" s="1">
        <v>150000</v>
      </c>
      <c r="C1851" s="1" t="str" cm="1">
        <f t="array" ref="C1851">_xlfn.IFS(Table2[[#This Row],[LIMIT_BAL]]&lt;=100000,"Low",Table2[[#This Row],[LIMIT_BAL]]&lt;=300000,"Medium",
TRUE,"High"
)</f>
        <v>Medium</v>
      </c>
      <c r="D1851" t="s">
        <v>2042</v>
      </c>
      <c r="E1851" t="s">
        <v>2026</v>
      </c>
      <c r="F1851" t="s">
        <v>2029</v>
      </c>
      <c r="G1851">
        <v>28</v>
      </c>
      <c r="H1851" t="str" cm="1">
        <f t="array" ref="H1851">_xlfn.IFS(
Table2[[#This Row],[AGE]]&lt;30,"Young",
Table2[[#This Row],[AGE]]&lt;40,"Middle Age",
Table2[[#This Row],[AGE]]&lt;50,"Senior",
TRUE,"Super Senior"
)</f>
        <v>Young</v>
      </c>
      <c r="I1851">
        <v>-1</v>
      </c>
      <c r="J1851">
        <v>2</v>
      </c>
      <c r="K1851">
        <v>2</v>
      </c>
      <c r="L1851">
        <v>-2</v>
      </c>
      <c r="M1851">
        <v>-2</v>
      </c>
      <c r="N1851">
        <v>-2</v>
      </c>
      <c r="O1851" s="1">
        <v>1111</v>
      </c>
      <c r="P1851" s="1">
        <v>820</v>
      </c>
      <c r="Q1851" s="1">
        <v>-311</v>
      </c>
      <c r="R1851" s="1">
        <v>-602</v>
      </c>
      <c r="S1851" s="1">
        <v>-893</v>
      </c>
      <c r="T1851" s="1">
        <v>-1184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>
        <v>1</v>
      </c>
      <c r="AB1851" t="str">
        <f t="shared" si="28"/>
        <v>Defaulter</v>
      </c>
      <c r="AC1851" s="1">
        <f>Table2[[#This Row],[BILL_AMT1]]-Table2[[#This Row],[PAY_AMT1]]</f>
        <v>1111</v>
      </c>
      <c r="AD1851" s="1" t="str" cm="1">
        <f t="array" ref="AD1851">_xlfn.IFS(Table2[[#This Row],[PAYMENT GAP]]&lt;=0,"No Gap / Overpaid",Table2[[#This Row],[PAYMENT GAP]]&lt;=25000,"Low Gap",Table2[[#This Row],[PAYMENT GAP]]&lt;=100000,"Medium Gap",
TRUE,"High Gap"
)</f>
        <v>Low Gap</v>
      </c>
    </row>
    <row r="1852" spans="1:30" x14ac:dyDescent="0.3">
      <c r="A1852">
        <v>1851</v>
      </c>
      <c r="B1852" s="1">
        <v>260000</v>
      </c>
      <c r="C1852" s="1" t="str" cm="1">
        <f t="array" ref="C1852">_xlfn.IFS(Table2[[#This Row],[LIMIT_BAL]]&lt;=100000,"Low",Table2[[#This Row],[LIMIT_BAL]]&lt;=300000,"Medium",
TRUE,"High"
)</f>
        <v>Medium</v>
      </c>
      <c r="D1852" t="s">
        <v>2042</v>
      </c>
      <c r="E1852" t="s">
        <v>2026</v>
      </c>
      <c r="F1852" t="s">
        <v>2028</v>
      </c>
      <c r="G1852">
        <v>43</v>
      </c>
      <c r="H1852" t="str" cm="1">
        <f t="array" ref="H1852">_xlfn.IFS(
Table2[[#This Row],[AGE]]&lt;30,"Young",
Table2[[#This Row],[AGE]]&lt;40,"Middle Age",
Table2[[#This Row],[AGE]]&lt;50,"Senior",
TRUE,"Super Senior"
)</f>
        <v>Senior</v>
      </c>
      <c r="I1852">
        <v>1</v>
      </c>
      <c r="J1852">
        <v>-1</v>
      </c>
      <c r="K1852">
        <v>-1</v>
      </c>
      <c r="L1852">
        <v>-1</v>
      </c>
      <c r="M1852">
        <v>-1</v>
      </c>
      <c r="N1852">
        <v>-2</v>
      </c>
      <c r="O1852" s="1">
        <v>0</v>
      </c>
      <c r="P1852" s="1">
        <v>2000</v>
      </c>
      <c r="Q1852" s="1">
        <v>1620</v>
      </c>
      <c r="R1852" s="1">
        <v>8010</v>
      </c>
      <c r="S1852" s="1">
        <v>0</v>
      </c>
      <c r="T1852" s="1">
        <v>0</v>
      </c>
      <c r="U1852" s="1">
        <v>2000</v>
      </c>
      <c r="V1852" s="1">
        <v>1620</v>
      </c>
      <c r="W1852" s="1">
        <v>8080</v>
      </c>
      <c r="X1852" s="1">
        <v>0</v>
      </c>
      <c r="Y1852" s="1">
        <v>0</v>
      </c>
      <c r="Z1852" s="1">
        <v>0</v>
      </c>
      <c r="AA1852">
        <v>0</v>
      </c>
      <c r="AB1852" t="str">
        <f t="shared" si="28"/>
        <v>Not Defaulter</v>
      </c>
      <c r="AC1852" s="1">
        <f>Table2[[#This Row],[BILL_AMT1]]-Table2[[#This Row],[PAY_AMT1]]</f>
        <v>-2000</v>
      </c>
      <c r="AD1852" s="1" t="str" cm="1">
        <f t="array" ref="AD1852">_xlfn.IFS(Table2[[#This Row],[PAYMENT GAP]]&lt;=0,"No Gap / Overpaid",Table2[[#This Row],[PAYMENT GAP]]&lt;=25000,"Low Gap",Table2[[#This Row],[PAYMENT GAP]]&lt;=100000,"Medium Gap",
TRUE,"High Gap"
)</f>
        <v>No Gap / Overpaid</v>
      </c>
    </row>
    <row r="1853" spans="1:30" x14ac:dyDescent="0.3">
      <c r="A1853">
        <v>1852</v>
      </c>
      <c r="B1853" s="1">
        <v>310000</v>
      </c>
      <c r="C1853" s="1" t="str" cm="1">
        <f t="array" ref="C1853">_xlfn.IFS(Table2[[#This Row],[LIMIT_BAL]]&lt;=100000,"Low",Table2[[#This Row],[LIMIT_BAL]]&lt;=300000,"Medium",
TRUE,"High"
)</f>
        <v>High</v>
      </c>
      <c r="D1853" t="s">
        <v>2041</v>
      </c>
      <c r="E1853" t="s">
        <v>2026</v>
      </c>
      <c r="F1853" t="s">
        <v>2029</v>
      </c>
      <c r="G1853">
        <v>30</v>
      </c>
      <c r="H1853" t="str" cm="1">
        <f t="array" ref="H1853">_xlfn.IFS(
Table2[[#This Row],[AGE]]&lt;30,"Young",
Table2[[#This Row],[AGE]]&lt;40,"Middle Age",
Table2[[#This Row],[AGE]]&lt;50,"Senior",
TRUE,"Super Senior"
)</f>
        <v>Middle Age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 s="1">
        <v>304329</v>
      </c>
      <c r="P1853" s="1">
        <v>292848</v>
      </c>
      <c r="Q1853" s="1">
        <v>279138</v>
      </c>
      <c r="R1853" s="1">
        <v>252703</v>
      </c>
      <c r="S1853" s="1">
        <v>248895</v>
      </c>
      <c r="T1853" s="1">
        <v>244026</v>
      </c>
      <c r="U1853" s="1">
        <v>14027</v>
      </c>
      <c r="V1853" s="1">
        <v>16800</v>
      </c>
      <c r="W1853" s="1">
        <v>11600</v>
      </c>
      <c r="X1853" s="1">
        <v>11000</v>
      </c>
      <c r="Y1853" s="1">
        <v>10000</v>
      </c>
      <c r="Z1853" s="1">
        <v>30000</v>
      </c>
      <c r="AA1853">
        <v>0</v>
      </c>
      <c r="AB1853" t="str">
        <f t="shared" si="28"/>
        <v>Not Defaulter</v>
      </c>
      <c r="AC1853" s="1">
        <f>Table2[[#This Row],[BILL_AMT1]]-Table2[[#This Row],[PAY_AMT1]]</f>
        <v>290302</v>
      </c>
      <c r="AD1853" s="1" t="str" cm="1">
        <f t="array" ref="AD1853">_xlfn.IFS(Table2[[#This Row],[PAYMENT GAP]]&lt;=0,"No Gap / Overpaid",Table2[[#This Row],[PAYMENT GAP]]&lt;=25000,"Low Gap",Table2[[#This Row],[PAYMENT GAP]]&lt;=100000,"Medium Gap",
TRUE,"High Gap"
)</f>
        <v>High Gap</v>
      </c>
    </row>
    <row r="1854" spans="1:30" x14ac:dyDescent="0.3">
      <c r="A1854">
        <v>1853</v>
      </c>
      <c r="B1854" s="1">
        <v>150000</v>
      </c>
      <c r="C1854" s="1" t="str" cm="1">
        <f t="array" ref="C1854">_xlfn.IFS(Table2[[#This Row],[LIMIT_BAL]]&lt;=100000,"Low",Table2[[#This Row],[LIMIT_BAL]]&lt;=300000,"Medium",
TRUE,"High"
)</f>
        <v>Medium</v>
      </c>
      <c r="D1854" t="s">
        <v>2041</v>
      </c>
      <c r="E1854" t="s">
        <v>2026</v>
      </c>
      <c r="F1854" t="s">
        <v>2029</v>
      </c>
      <c r="G1854">
        <v>33</v>
      </c>
      <c r="H1854" t="str" cm="1">
        <f t="array" ref="H1854">_xlfn.IFS(
Table2[[#This Row],[AGE]]&lt;30,"Young",
Table2[[#This Row],[AGE]]&lt;40,"Middle Age",
Table2[[#This Row],[AGE]]&lt;50,"Senior",
TRUE,"Super Senior"
)</f>
        <v>Middle Age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 s="1">
        <v>96066</v>
      </c>
      <c r="P1854" s="1">
        <v>98277</v>
      </c>
      <c r="Q1854" s="1">
        <v>88202</v>
      </c>
      <c r="R1854" s="1">
        <v>48179</v>
      </c>
      <c r="S1854" s="1">
        <v>49426</v>
      </c>
      <c r="T1854" s="1">
        <v>50534</v>
      </c>
      <c r="U1854" s="1">
        <v>4400</v>
      </c>
      <c r="V1854" s="1">
        <v>4000</v>
      </c>
      <c r="W1854" s="1">
        <v>2000</v>
      </c>
      <c r="X1854" s="1">
        <v>2000</v>
      </c>
      <c r="Y1854" s="1">
        <v>1900</v>
      </c>
      <c r="Z1854" s="1">
        <v>1700</v>
      </c>
      <c r="AA1854">
        <v>0</v>
      </c>
      <c r="AB1854" t="str">
        <f t="shared" si="28"/>
        <v>Not Defaulter</v>
      </c>
      <c r="AC1854" s="1">
        <f>Table2[[#This Row],[BILL_AMT1]]-Table2[[#This Row],[PAY_AMT1]]</f>
        <v>91666</v>
      </c>
      <c r="AD1854" s="1" t="str" cm="1">
        <f t="array" ref="AD1854">_xlfn.IFS(Table2[[#This Row],[PAYMENT GAP]]&lt;=0,"No Gap / Overpaid",Table2[[#This Row],[PAYMENT GAP]]&lt;=25000,"Low Gap",Table2[[#This Row],[PAYMENT GAP]]&lt;=100000,"Medium Gap",
TRUE,"High Gap"
)</f>
        <v>Medium Gap</v>
      </c>
    </row>
    <row r="1855" spans="1:30" x14ac:dyDescent="0.3">
      <c r="A1855">
        <v>1854</v>
      </c>
      <c r="B1855" s="1">
        <v>200000</v>
      </c>
      <c r="C1855" s="1" t="str" cm="1">
        <f t="array" ref="C1855">_xlfn.IFS(Table2[[#This Row],[LIMIT_BAL]]&lt;=100000,"Low",Table2[[#This Row],[LIMIT_BAL]]&lt;=300000,"Medium",
TRUE,"High"
)</f>
        <v>Medium</v>
      </c>
      <c r="D1855" t="s">
        <v>2041</v>
      </c>
      <c r="E1855" t="s">
        <v>2026</v>
      </c>
      <c r="F1855" t="s">
        <v>2029</v>
      </c>
      <c r="G1855">
        <v>27</v>
      </c>
      <c r="H1855" t="str" cm="1">
        <f t="array" ref="H1855">_xlfn.IFS(
Table2[[#This Row],[AGE]]&lt;30,"Young",
Table2[[#This Row],[AGE]]&lt;40,"Middle Age",
Table2[[#This Row],[AGE]]&lt;50,"Senior",
TRUE,"Super Senior"
)</f>
        <v>Young</v>
      </c>
      <c r="I1855">
        <v>-1</v>
      </c>
      <c r="J1855">
        <v>-1</v>
      </c>
      <c r="K1855">
        <v>-1</v>
      </c>
      <c r="L1855">
        <v>-1</v>
      </c>
      <c r="M1855">
        <v>-1</v>
      </c>
      <c r="N1855">
        <v>-1</v>
      </c>
      <c r="O1855" s="1">
        <v>16093</v>
      </c>
      <c r="P1855" s="1">
        <v>11163</v>
      </c>
      <c r="Q1855" s="1">
        <v>11657</v>
      </c>
      <c r="R1855" s="1">
        <v>9423</v>
      </c>
      <c r="S1855" s="1">
        <v>9726</v>
      </c>
      <c r="T1855" s="1">
        <v>11070</v>
      </c>
      <c r="U1855" s="1">
        <v>11197</v>
      </c>
      <c r="V1855" s="1">
        <v>11657</v>
      </c>
      <c r="W1855" s="1">
        <v>9423</v>
      </c>
      <c r="X1855" s="1">
        <v>9726</v>
      </c>
      <c r="Y1855" s="1">
        <v>11070</v>
      </c>
      <c r="Z1855" s="1">
        <v>7976</v>
      </c>
      <c r="AA1855">
        <v>0</v>
      </c>
      <c r="AB1855" t="str">
        <f t="shared" si="28"/>
        <v>Not Defaulter</v>
      </c>
      <c r="AC1855" s="1">
        <f>Table2[[#This Row],[BILL_AMT1]]-Table2[[#This Row],[PAY_AMT1]]</f>
        <v>4896</v>
      </c>
      <c r="AD1855" s="1" t="str" cm="1">
        <f t="array" ref="AD1855">_xlfn.IFS(Table2[[#This Row],[PAYMENT GAP]]&lt;=0,"No Gap / Overpaid",Table2[[#This Row],[PAYMENT GAP]]&lt;=25000,"Low Gap",Table2[[#This Row],[PAYMENT GAP]]&lt;=100000,"Medium Gap",
TRUE,"High Gap"
)</f>
        <v>Low Gap</v>
      </c>
    </row>
    <row r="1856" spans="1:30" x14ac:dyDescent="0.3">
      <c r="A1856">
        <v>1855</v>
      </c>
      <c r="B1856" s="1">
        <v>150000</v>
      </c>
      <c r="C1856" s="1" t="str" cm="1">
        <f t="array" ref="C1856">_xlfn.IFS(Table2[[#This Row],[LIMIT_BAL]]&lt;=100000,"Low",Table2[[#This Row],[LIMIT_BAL]]&lt;=300000,"Medium",
TRUE,"High"
)</f>
        <v>Medium</v>
      </c>
      <c r="D1856" t="s">
        <v>2042</v>
      </c>
      <c r="E1856" t="s">
        <v>2027</v>
      </c>
      <c r="F1856" t="s">
        <v>2029</v>
      </c>
      <c r="G1856">
        <v>45</v>
      </c>
      <c r="H1856" t="str" cm="1">
        <f t="array" ref="H1856">_xlfn.IFS(
Table2[[#This Row],[AGE]]&lt;30,"Young",
Table2[[#This Row],[AGE]]&lt;40,"Middle Age",
Table2[[#This Row],[AGE]]&lt;50,"Senior",
TRUE,"Super Senior"
)</f>
        <v>Senior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 s="1">
        <v>99247</v>
      </c>
      <c r="P1856" s="1">
        <v>101194</v>
      </c>
      <c r="Q1856" s="1">
        <v>81194</v>
      </c>
      <c r="R1856" s="1">
        <v>70590</v>
      </c>
      <c r="S1856" s="1">
        <v>72040</v>
      </c>
      <c r="T1856" s="1">
        <v>73423</v>
      </c>
      <c r="U1856" s="1">
        <v>4268</v>
      </c>
      <c r="V1856" s="1">
        <v>2725</v>
      </c>
      <c r="W1856" s="1">
        <v>2505</v>
      </c>
      <c r="X1856" s="1">
        <v>3000</v>
      </c>
      <c r="Y1856" s="1">
        <v>3000</v>
      </c>
      <c r="Z1856" s="1">
        <v>3000</v>
      </c>
      <c r="AA1856">
        <v>0</v>
      </c>
      <c r="AB1856" t="str">
        <f t="shared" si="28"/>
        <v>Not Defaulter</v>
      </c>
      <c r="AC1856" s="1">
        <f>Table2[[#This Row],[BILL_AMT1]]-Table2[[#This Row],[PAY_AMT1]]</f>
        <v>94979</v>
      </c>
      <c r="AD1856" s="1" t="str" cm="1">
        <f t="array" ref="AD1856">_xlfn.IFS(Table2[[#This Row],[PAYMENT GAP]]&lt;=0,"No Gap / Overpaid",Table2[[#This Row],[PAYMENT GAP]]&lt;=25000,"Low Gap",Table2[[#This Row],[PAYMENT GAP]]&lt;=100000,"Medium Gap",
TRUE,"High Gap"
)</f>
        <v>Medium Gap</v>
      </c>
    </row>
    <row r="1857" spans="1:30" x14ac:dyDescent="0.3">
      <c r="A1857">
        <v>1856</v>
      </c>
      <c r="B1857" s="1">
        <v>220000</v>
      </c>
      <c r="C1857" s="1" t="str" cm="1">
        <f t="array" ref="C1857">_xlfn.IFS(Table2[[#This Row],[LIMIT_BAL]]&lt;=100000,"Low",Table2[[#This Row],[LIMIT_BAL]]&lt;=300000,"Medium",
TRUE,"High"
)</f>
        <v>Medium</v>
      </c>
      <c r="D1857" t="s">
        <v>2041</v>
      </c>
      <c r="E1857" t="s">
        <v>2043</v>
      </c>
      <c r="F1857" t="s">
        <v>2028</v>
      </c>
      <c r="G1857">
        <v>54</v>
      </c>
      <c r="H1857" t="str" cm="1">
        <f t="array" ref="H1857">_xlfn.IFS(
Table2[[#This Row],[AGE]]&lt;30,"Young",
Table2[[#This Row],[AGE]]&lt;40,"Middle Age",
Table2[[#This Row],[AGE]]&lt;50,"Senior",
TRUE,"Super Senior"
)</f>
        <v>Super Senior</v>
      </c>
      <c r="I1857">
        <v>-1</v>
      </c>
      <c r="J1857">
        <v>-1</v>
      </c>
      <c r="K1857">
        <v>-1</v>
      </c>
      <c r="L1857">
        <v>-1</v>
      </c>
      <c r="M1857">
        <v>-2</v>
      </c>
      <c r="N1857">
        <v>-2</v>
      </c>
      <c r="O1857" s="1">
        <v>8727</v>
      </c>
      <c r="P1857" s="1">
        <v>2553</v>
      </c>
      <c r="Q1857" s="1">
        <v>147</v>
      </c>
      <c r="R1857" s="1">
        <v>0</v>
      </c>
      <c r="S1857" s="1">
        <v>0</v>
      </c>
      <c r="T1857" s="1">
        <v>0</v>
      </c>
      <c r="U1857" s="1">
        <v>3011</v>
      </c>
      <c r="V1857" s="1">
        <v>147</v>
      </c>
      <c r="W1857" s="1">
        <v>0</v>
      </c>
      <c r="X1857" s="1">
        <v>0</v>
      </c>
      <c r="Y1857" s="1">
        <v>0</v>
      </c>
      <c r="Z1857" s="1">
        <v>0</v>
      </c>
      <c r="AA1857">
        <v>0</v>
      </c>
      <c r="AB1857" t="str">
        <f t="shared" si="28"/>
        <v>Not Defaulter</v>
      </c>
      <c r="AC1857" s="1">
        <f>Table2[[#This Row],[BILL_AMT1]]-Table2[[#This Row],[PAY_AMT1]]</f>
        <v>5716</v>
      </c>
      <c r="AD1857" s="1" t="str" cm="1">
        <f t="array" ref="AD1857">_xlfn.IFS(Table2[[#This Row],[PAYMENT GAP]]&lt;=0,"No Gap / Overpaid",Table2[[#This Row],[PAYMENT GAP]]&lt;=25000,"Low Gap",Table2[[#This Row],[PAYMENT GAP]]&lt;=100000,"Medium Gap",
TRUE,"High Gap"
)</f>
        <v>Low Gap</v>
      </c>
    </row>
    <row r="1858" spans="1:30" x14ac:dyDescent="0.3">
      <c r="A1858">
        <v>1857</v>
      </c>
      <c r="B1858" s="1">
        <v>540000</v>
      </c>
      <c r="C1858" s="1" t="str" cm="1">
        <f t="array" ref="C1858">_xlfn.IFS(Table2[[#This Row],[LIMIT_BAL]]&lt;=100000,"Low",Table2[[#This Row],[LIMIT_BAL]]&lt;=300000,"Medium",
TRUE,"High"
)</f>
        <v>High</v>
      </c>
      <c r="D1858" t="s">
        <v>2041</v>
      </c>
      <c r="E1858" t="s">
        <v>2026</v>
      </c>
      <c r="F1858" t="s">
        <v>2029</v>
      </c>
      <c r="G1858">
        <v>34</v>
      </c>
      <c r="H1858" t="str" cm="1">
        <f t="array" ref="H1858">_xlfn.IFS(
Table2[[#This Row],[AGE]]&lt;30,"Young",
Table2[[#This Row],[AGE]]&lt;40,"Middle Age",
Table2[[#This Row],[AGE]]&lt;50,"Senior",
TRUE,"Super Senior"
)</f>
        <v>Middle Age</v>
      </c>
      <c r="I1858">
        <v>-1</v>
      </c>
      <c r="J1858">
        <v>-1</v>
      </c>
      <c r="K1858">
        <v>-1</v>
      </c>
      <c r="L1858">
        <v>-1</v>
      </c>
      <c r="M1858">
        <v>-1</v>
      </c>
      <c r="N1858">
        <v>-1</v>
      </c>
      <c r="O1858" s="1">
        <v>1784</v>
      </c>
      <c r="P1858" s="1">
        <v>892</v>
      </c>
      <c r="Q1858" s="1">
        <v>946</v>
      </c>
      <c r="R1858" s="1">
        <v>946</v>
      </c>
      <c r="S1858" s="1">
        <v>946</v>
      </c>
      <c r="T1858" s="1">
        <v>946</v>
      </c>
      <c r="U1858" s="1">
        <v>892</v>
      </c>
      <c r="V1858" s="1">
        <v>1000</v>
      </c>
      <c r="W1858" s="1">
        <v>946</v>
      </c>
      <c r="X1858" s="1">
        <v>946</v>
      </c>
      <c r="Y1858" s="1">
        <v>946</v>
      </c>
      <c r="Z1858" s="1">
        <v>946</v>
      </c>
      <c r="AA1858">
        <v>0</v>
      </c>
      <c r="AB1858" t="str">
        <f t="shared" si="28"/>
        <v>Not Defaulter</v>
      </c>
      <c r="AC1858" s="1">
        <f>Table2[[#This Row],[BILL_AMT1]]-Table2[[#This Row],[PAY_AMT1]]</f>
        <v>892</v>
      </c>
      <c r="AD1858" s="1" t="str" cm="1">
        <f t="array" ref="AD1858">_xlfn.IFS(Table2[[#This Row],[PAYMENT GAP]]&lt;=0,"No Gap / Overpaid",Table2[[#This Row],[PAYMENT GAP]]&lt;=25000,"Low Gap",Table2[[#This Row],[PAYMENT GAP]]&lt;=100000,"Medium Gap",
TRUE,"High Gap"
)</f>
        <v>Low Gap</v>
      </c>
    </row>
    <row r="1859" spans="1:30" x14ac:dyDescent="0.3">
      <c r="A1859">
        <v>1858</v>
      </c>
      <c r="B1859" s="1">
        <v>280000</v>
      </c>
      <c r="C1859" s="1" t="str" cm="1">
        <f t="array" ref="C1859">_xlfn.IFS(Table2[[#This Row],[LIMIT_BAL]]&lt;=100000,"Low",Table2[[#This Row],[LIMIT_BAL]]&lt;=300000,"Medium",
TRUE,"High"
)</f>
        <v>Medium</v>
      </c>
      <c r="D1859" t="s">
        <v>2042</v>
      </c>
      <c r="E1859" t="s">
        <v>2043</v>
      </c>
      <c r="F1859" t="s">
        <v>2029</v>
      </c>
      <c r="G1859">
        <v>30</v>
      </c>
      <c r="H1859" t="str" cm="1">
        <f t="array" ref="H1859">_xlfn.IFS(
Table2[[#This Row],[AGE]]&lt;30,"Young",
Table2[[#This Row],[AGE]]&lt;40,"Middle Age",
Table2[[#This Row],[AGE]]&lt;50,"Senior",
TRUE,"Super Senior"
)</f>
        <v>Middle Age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 s="1">
        <v>204773</v>
      </c>
      <c r="P1859" s="1">
        <v>188704</v>
      </c>
      <c r="Q1859" s="1">
        <v>185257</v>
      </c>
      <c r="R1859" s="1">
        <v>188344</v>
      </c>
      <c r="S1859" s="1">
        <v>179764</v>
      </c>
      <c r="T1859" s="1">
        <v>167051</v>
      </c>
      <c r="U1859" s="1">
        <v>8038</v>
      </c>
      <c r="V1859" s="1">
        <v>6000</v>
      </c>
      <c r="W1859" s="1">
        <v>5083</v>
      </c>
      <c r="X1859" s="1">
        <v>5000</v>
      </c>
      <c r="Y1859" s="1">
        <v>5036</v>
      </c>
      <c r="Z1859" s="1">
        <v>5000</v>
      </c>
      <c r="AA1859">
        <v>0</v>
      </c>
      <c r="AB1859" t="str">
        <f t="shared" ref="AB1859:AB1922" si="29">IF(AA1859=1,"Defaulter","Not Defaulter")</f>
        <v>Not Defaulter</v>
      </c>
      <c r="AC1859" s="1">
        <f>Table2[[#This Row],[BILL_AMT1]]-Table2[[#This Row],[PAY_AMT1]]</f>
        <v>196735</v>
      </c>
      <c r="AD1859" s="1" t="str" cm="1">
        <f t="array" ref="AD1859">_xlfn.IFS(Table2[[#This Row],[PAYMENT GAP]]&lt;=0,"No Gap / Overpaid",Table2[[#This Row],[PAYMENT GAP]]&lt;=25000,"Low Gap",Table2[[#This Row],[PAYMENT GAP]]&lt;=100000,"Medium Gap",
TRUE,"High Gap"
)</f>
        <v>High Gap</v>
      </c>
    </row>
    <row r="1860" spans="1:30" x14ac:dyDescent="0.3">
      <c r="A1860">
        <v>1859</v>
      </c>
      <c r="B1860" s="1">
        <v>230000</v>
      </c>
      <c r="C1860" s="1" t="str" cm="1">
        <f t="array" ref="C1860">_xlfn.IFS(Table2[[#This Row],[LIMIT_BAL]]&lt;=100000,"Low",Table2[[#This Row],[LIMIT_BAL]]&lt;=300000,"Medium",
TRUE,"High"
)</f>
        <v>Medium</v>
      </c>
      <c r="D1860" t="s">
        <v>2042</v>
      </c>
      <c r="E1860" t="s">
        <v>2043</v>
      </c>
      <c r="F1860" t="s">
        <v>2029</v>
      </c>
      <c r="G1860">
        <v>32</v>
      </c>
      <c r="H1860" t="str" cm="1">
        <f t="array" ref="H1860">_xlfn.IFS(
Table2[[#This Row],[AGE]]&lt;30,"Young",
Table2[[#This Row],[AGE]]&lt;40,"Middle Age",
Table2[[#This Row],[AGE]]&lt;50,"Senior",
TRUE,"Super Senior"
)</f>
        <v>Middle Age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 s="1">
        <v>49619</v>
      </c>
      <c r="P1860" s="1">
        <v>43435</v>
      </c>
      <c r="Q1860" s="1">
        <v>41719</v>
      </c>
      <c r="R1860" s="1">
        <v>38072</v>
      </c>
      <c r="S1860" s="1">
        <v>33802</v>
      </c>
      <c r="T1860" s="1">
        <v>30435</v>
      </c>
      <c r="U1860" s="1">
        <v>2072</v>
      </c>
      <c r="V1860" s="1">
        <v>1689</v>
      </c>
      <c r="W1860" s="1">
        <v>1046</v>
      </c>
      <c r="X1860" s="1">
        <v>1025</v>
      </c>
      <c r="Y1860" s="1">
        <v>928</v>
      </c>
      <c r="Z1860" s="1">
        <v>277</v>
      </c>
      <c r="AA1860">
        <v>0</v>
      </c>
      <c r="AB1860" t="str">
        <f t="shared" si="29"/>
        <v>Not Defaulter</v>
      </c>
      <c r="AC1860" s="1">
        <f>Table2[[#This Row],[BILL_AMT1]]-Table2[[#This Row],[PAY_AMT1]]</f>
        <v>47547</v>
      </c>
      <c r="AD1860" s="1" t="str" cm="1">
        <f t="array" ref="AD1860">_xlfn.IFS(Table2[[#This Row],[PAYMENT GAP]]&lt;=0,"No Gap / Overpaid",Table2[[#This Row],[PAYMENT GAP]]&lt;=25000,"Low Gap",Table2[[#This Row],[PAYMENT GAP]]&lt;=100000,"Medium Gap",
TRUE,"High Gap"
)</f>
        <v>Medium Gap</v>
      </c>
    </row>
    <row r="1861" spans="1:30" x14ac:dyDescent="0.3">
      <c r="A1861">
        <v>1860</v>
      </c>
      <c r="B1861" s="1">
        <v>50000</v>
      </c>
      <c r="C1861" s="1" t="str" cm="1">
        <f t="array" ref="C1861">_xlfn.IFS(Table2[[#This Row],[LIMIT_BAL]]&lt;=100000,"Low",Table2[[#This Row],[LIMIT_BAL]]&lt;=300000,"Medium",
TRUE,"High"
)</f>
        <v>Low</v>
      </c>
      <c r="D1861" t="s">
        <v>2042</v>
      </c>
      <c r="E1861" t="s">
        <v>2026</v>
      </c>
      <c r="F1861" t="s">
        <v>2028</v>
      </c>
      <c r="G1861">
        <v>39</v>
      </c>
      <c r="H1861" t="str" cm="1">
        <f t="array" ref="H1861">_xlfn.IFS(
Table2[[#This Row],[AGE]]&lt;30,"Young",
Table2[[#This Row],[AGE]]&lt;40,"Middle Age",
Table2[[#This Row],[AGE]]&lt;50,"Senior",
TRUE,"Super Senior"
)</f>
        <v>Middle Age</v>
      </c>
      <c r="I1861">
        <v>0</v>
      </c>
      <c r="J1861">
        <v>0</v>
      </c>
      <c r="K1861">
        <v>2</v>
      </c>
      <c r="L1861">
        <v>3</v>
      </c>
      <c r="M1861">
        <v>2</v>
      </c>
      <c r="N1861">
        <v>2</v>
      </c>
      <c r="O1861" s="1">
        <v>33849</v>
      </c>
      <c r="P1861" s="1">
        <v>36798</v>
      </c>
      <c r="Q1861" s="1">
        <v>37890</v>
      </c>
      <c r="R1861" s="1">
        <v>37131</v>
      </c>
      <c r="S1861" s="1">
        <v>38381</v>
      </c>
      <c r="T1861" s="1">
        <v>39585</v>
      </c>
      <c r="U1861" s="1">
        <v>3817</v>
      </c>
      <c r="V1861" s="1">
        <v>2000</v>
      </c>
      <c r="W1861" s="1">
        <v>150</v>
      </c>
      <c r="X1861" s="1">
        <v>2000</v>
      </c>
      <c r="Y1861" s="1">
        <v>2000</v>
      </c>
      <c r="Z1861" s="1">
        <v>1600</v>
      </c>
      <c r="AA1861">
        <v>0</v>
      </c>
      <c r="AB1861" t="str">
        <f t="shared" si="29"/>
        <v>Not Defaulter</v>
      </c>
      <c r="AC1861" s="1">
        <f>Table2[[#This Row],[BILL_AMT1]]-Table2[[#This Row],[PAY_AMT1]]</f>
        <v>30032</v>
      </c>
      <c r="AD1861" s="1" t="str" cm="1">
        <f t="array" ref="AD1861">_xlfn.IFS(Table2[[#This Row],[PAYMENT GAP]]&lt;=0,"No Gap / Overpaid",Table2[[#This Row],[PAYMENT GAP]]&lt;=25000,"Low Gap",Table2[[#This Row],[PAYMENT GAP]]&lt;=100000,"Medium Gap",
TRUE,"High Gap"
)</f>
        <v>Medium Gap</v>
      </c>
    </row>
    <row r="1862" spans="1:30" x14ac:dyDescent="0.3">
      <c r="A1862">
        <v>1861</v>
      </c>
      <c r="B1862" s="1">
        <v>20000</v>
      </c>
      <c r="C1862" s="1" t="str" cm="1">
        <f t="array" ref="C1862">_xlfn.IFS(Table2[[#This Row],[LIMIT_BAL]]&lt;=100000,"Low",Table2[[#This Row],[LIMIT_BAL]]&lt;=300000,"Medium",
TRUE,"High"
)</f>
        <v>Low</v>
      </c>
      <c r="D1862" t="s">
        <v>2041</v>
      </c>
      <c r="E1862" t="s">
        <v>2043</v>
      </c>
      <c r="F1862" t="s">
        <v>2029</v>
      </c>
      <c r="G1862">
        <v>24</v>
      </c>
      <c r="H1862" t="str" cm="1">
        <f t="array" ref="H1862">_xlfn.IFS(
Table2[[#This Row],[AGE]]&lt;30,"Young",
Table2[[#This Row],[AGE]]&lt;40,"Middle Age",
Table2[[#This Row],[AGE]]&lt;50,"Senior",
TRUE,"Super Senior"
)</f>
        <v>Young</v>
      </c>
      <c r="I1862">
        <v>1</v>
      </c>
      <c r="J1862">
        <v>-2</v>
      </c>
      <c r="K1862">
        <v>-2</v>
      </c>
      <c r="L1862">
        <v>-2</v>
      </c>
      <c r="M1862">
        <v>-1</v>
      </c>
      <c r="N1862">
        <v>-1</v>
      </c>
      <c r="O1862" s="1">
        <v>0</v>
      </c>
      <c r="P1862" s="1">
        <v>0</v>
      </c>
      <c r="Q1862" s="1">
        <v>0</v>
      </c>
      <c r="R1862" s="1">
        <v>0</v>
      </c>
      <c r="S1862" s="1">
        <v>222</v>
      </c>
      <c r="T1862" s="1">
        <v>6345</v>
      </c>
      <c r="U1862" s="1">
        <v>0</v>
      </c>
      <c r="V1862" s="1">
        <v>0</v>
      </c>
      <c r="W1862" s="1">
        <v>0</v>
      </c>
      <c r="X1862" s="1">
        <v>222</v>
      </c>
      <c r="Y1862" s="1">
        <v>6345</v>
      </c>
      <c r="Z1862" s="1">
        <v>2000</v>
      </c>
      <c r="AA1862">
        <v>0</v>
      </c>
      <c r="AB1862" t="str">
        <f t="shared" si="29"/>
        <v>Not Defaulter</v>
      </c>
      <c r="AC1862" s="1">
        <f>Table2[[#This Row],[BILL_AMT1]]-Table2[[#This Row],[PAY_AMT1]]</f>
        <v>0</v>
      </c>
      <c r="AD1862" s="1" t="str" cm="1">
        <f t="array" ref="AD1862">_xlfn.IFS(Table2[[#This Row],[PAYMENT GAP]]&lt;=0,"No Gap / Overpaid",Table2[[#This Row],[PAYMENT GAP]]&lt;=25000,"Low Gap",Table2[[#This Row],[PAYMENT GAP]]&lt;=100000,"Medium Gap",
TRUE,"High Gap"
)</f>
        <v>No Gap / Overpaid</v>
      </c>
    </row>
    <row r="1863" spans="1:30" x14ac:dyDescent="0.3">
      <c r="A1863">
        <v>1862</v>
      </c>
      <c r="B1863" s="1">
        <v>10000</v>
      </c>
      <c r="C1863" s="1" t="str" cm="1">
        <f t="array" ref="C1863">_xlfn.IFS(Table2[[#This Row],[LIMIT_BAL]]&lt;=100000,"Low",Table2[[#This Row],[LIMIT_BAL]]&lt;=300000,"Medium",
TRUE,"High"
)</f>
        <v>Low</v>
      </c>
      <c r="D1863" t="s">
        <v>2042</v>
      </c>
      <c r="E1863" t="s">
        <v>2043</v>
      </c>
      <c r="F1863" t="s">
        <v>2029</v>
      </c>
      <c r="G1863">
        <v>35</v>
      </c>
      <c r="H1863" t="str" cm="1">
        <f t="array" ref="H1863">_xlfn.IFS(
Table2[[#This Row],[AGE]]&lt;30,"Young",
Table2[[#This Row],[AGE]]&lt;40,"Middle Age",
Table2[[#This Row],[AGE]]&lt;50,"Senior",
TRUE,"Super Senior"
)</f>
        <v>Middle Age</v>
      </c>
      <c r="I1863">
        <v>1</v>
      </c>
      <c r="J1863">
        <v>6</v>
      </c>
      <c r="K1863">
        <v>5</v>
      </c>
      <c r="L1863">
        <v>4</v>
      </c>
      <c r="M1863">
        <v>3</v>
      </c>
      <c r="N1863">
        <v>2</v>
      </c>
      <c r="O1863" s="1">
        <v>8257</v>
      </c>
      <c r="P1863" s="1">
        <v>8001</v>
      </c>
      <c r="Q1863" s="1">
        <v>7741</v>
      </c>
      <c r="R1863" s="1">
        <v>7481</v>
      </c>
      <c r="S1863" s="1">
        <v>7075</v>
      </c>
      <c r="T1863" s="1">
        <v>6815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700</v>
      </c>
      <c r="AA1863">
        <v>1</v>
      </c>
      <c r="AB1863" t="str">
        <f t="shared" si="29"/>
        <v>Defaulter</v>
      </c>
      <c r="AC1863" s="1">
        <f>Table2[[#This Row],[BILL_AMT1]]-Table2[[#This Row],[PAY_AMT1]]</f>
        <v>8257</v>
      </c>
      <c r="AD1863" s="1" t="str" cm="1">
        <f t="array" ref="AD1863">_xlfn.IFS(Table2[[#This Row],[PAYMENT GAP]]&lt;=0,"No Gap / Overpaid",Table2[[#This Row],[PAYMENT GAP]]&lt;=25000,"Low Gap",Table2[[#This Row],[PAYMENT GAP]]&lt;=100000,"Medium Gap",
TRUE,"High Gap"
)</f>
        <v>Low Gap</v>
      </c>
    </row>
    <row r="1864" spans="1:30" x14ac:dyDescent="0.3">
      <c r="A1864">
        <v>1863</v>
      </c>
      <c r="B1864" s="1">
        <v>500000</v>
      </c>
      <c r="C1864" s="1" t="str" cm="1">
        <f t="array" ref="C1864">_xlfn.IFS(Table2[[#This Row],[LIMIT_BAL]]&lt;=100000,"Low",Table2[[#This Row],[LIMIT_BAL]]&lt;=300000,"Medium",
TRUE,"High"
)</f>
        <v>High</v>
      </c>
      <c r="D1864" t="s">
        <v>2042</v>
      </c>
      <c r="E1864" t="s">
        <v>2026</v>
      </c>
      <c r="F1864" t="s">
        <v>2028</v>
      </c>
      <c r="G1864">
        <v>46</v>
      </c>
      <c r="H1864" t="str" cm="1">
        <f t="array" ref="H1864">_xlfn.IFS(
Table2[[#This Row],[AGE]]&lt;30,"Young",
Table2[[#This Row],[AGE]]&lt;40,"Middle Age",
Table2[[#This Row],[AGE]]&lt;50,"Senior",
TRUE,"Super Senior"
)</f>
        <v>Senior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 s="1">
        <v>407331</v>
      </c>
      <c r="P1864" s="1">
        <v>403816</v>
      </c>
      <c r="Q1864" s="1">
        <v>386053</v>
      </c>
      <c r="R1864" s="1">
        <v>389008</v>
      </c>
      <c r="S1864" s="1">
        <v>392650</v>
      </c>
      <c r="T1864" s="1">
        <v>391336</v>
      </c>
      <c r="U1864" s="1">
        <v>15043</v>
      </c>
      <c r="V1864" s="1">
        <v>14000</v>
      </c>
      <c r="W1864" s="1">
        <v>14003</v>
      </c>
      <c r="X1864" s="1">
        <v>14011</v>
      </c>
      <c r="Y1864" s="1">
        <v>15003</v>
      </c>
      <c r="Z1864" s="1">
        <v>14009</v>
      </c>
      <c r="AA1864">
        <v>0</v>
      </c>
      <c r="AB1864" t="str">
        <f t="shared" si="29"/>
        <v>Not Defaulter</v>
      </c>
      <c r="AC1864" s="1">
        <f>Table2[[#This Row],[BILL_AMT1]]-Table2[[#This Row],[PAY_AMT1]]</f>
        <v>392288</v>
      </c>
      <c r="AD1864" s="1" t="str" cm="1">
        <f t="array" ref="AD1864">_xlfn.IFS(Table2[[#This Row],[PAYMENT GAP]]&lt;=0,"No Gap / Overpaid",Table2[[#This Row],[PAYMENT GAP]]&lt;=25000,"Low Gap",Table2[[#This Row],[PAYMENT GAP]]&lt;=100000,"Medium Gap",
TRUE,"High Gap"
)</f>
        <v>High Gap</v>
      </c>
    </row>
    <row r="1865" spans="1:30" x14ac:dyDescent="0.3">
      <c r="A1865">
        <v>1864</v>
      </c>
      <c r="B1865" s="1">
        <v>50000</v>
      </c>
      <c r="C1865" s="1" t="str" cm="1">
        <f t="array" ref="C1865">_xlfn.IFS(Table2[[#This Row],[LIMIT_BAL]]&lt;=100000,"Low",Table2[[#This Row],[LIMIT_BAL]]&lt;=300000,"Medium",
TRUE,"High"
)</f>
        <v>Low</v>
      </c>
      <c r="D1865" t="s">
        <v>2041</v>
      </c>
      <c r="E1865" t="s">
        <v>2043</v>
      </c>
      <c r="F1865" t="s">
        <v>2029</v>
      </c>
      <c r="G1865">
        <v>24</v>
      </c>
      <c r="H1865" t="str" cm="1">
        <f t="array" ref="H1865">_xlfn.IFS(
Table2[[#This Row],[AGE]]&lt;30,"Young",
Table2[[#This Row],[AGE]]&lt;40,"Middle Age",
Table2[[#This Row],[AGE]]&lt;50,"Senior",
TRUE,"Super Senior"
)</f>
        <v>Young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 s="1">
        <v>49819</v>
      </c>
      <c r="P1865" s="1">
        <v>50135</v>
      </c>
      <c r="Q1865" s="1">
        <v>32101</v>
      </c>
      <c r="R1865" s="1">
        <v>17401</v>
      </c>
      <c r="S1865" s="1">
        <v>19820</v>
      </c>
      <c r="T1865" s="1">
        <v>17399</v>
      </c>
      <c r="U1865" s="1">
        <v>1672</v>
      </c>
      <c r="V1865" s="1">
        <v>1246</v>
      </c>
      <c r="W1865" s="1">
        <v>574</v>
      </c>
      <c r="X1865" s="1">
        <v>3000</v>
      </c>
      <c r="Y1865" s="1">
        <v>649</v>
      </c>
      <c r="Z1865" s="1">
        <v>285</v>
      </c>
      <c r="AA1865">
        <v>0</v>
      </c>
      <c r="AB1865" t="str">
        <f t="shared" si="29"/>
        <v>Not Defaulter</v>
      </c>
      <c r="AC1865" s="1">
        <f>Table2[[#This Row],[BILL_AMT1]]-Table2[[#This Row],[PAY_AMT1]]</f>
        <v>48147</v>
      </c>
      <c r="AD1865" s="1" t="str" cm="1">
        <f t="array" ref="AD1865">_xlfn.IFS(Table2[[#This Row],[PAYMENT GAP]]&lt;=0,"No Gap / Overpaid",Table2[[#This Row],[PAYMENT GAP]]&lt;=25000,"Low Gap",Table2[[#This Row],[PAYMENT GAP]]&lt;=100000,"Medium Gap",
TRUE,"High Gap"
)</f>
        <v>Medium Gap</v>
      </c>
    </row>
    <row r="1866" spans="1:30" x14ac:dyDescent="0.3">
      <c r="A1866">
        <v>1865</v>
      </c>
      <c r="B1866" s="1">
        <v>420000</v>
      </c>
      <c r="C1866" s="1" t="str" cm="1">
        <f t="array" ref="C1866">_xlfn.IFS(Table2[[#This Row],[LIMIT_BAL]]&lt;=100000,"Low",Table2[[#This Row],[LIMIT_BAL]]&lt;=300000,"Medium",
TRUE,"High"
)</f>
        <v>High</v>
      </c>
      <c r="D1866" t="s">
        <v>2041</v>
      </c>
      <c r="E1866" t="s">
        <v>2043</v>
      </c>
      <c r="F1866" t="s">
        <v>2029</v>
      </c>
      <c r="G1866">
        <v>35</v>
      </c>
      <c r="H1866" t="str" cm="1">
        <f t="array" ref="H1866">_xlfn.IFS(
Table2[[#This Row],[AGE]]&lt;30,"Young",
Table2[[#This Row],[AGE]]&lt;40,"Middle Age",
Table2[[#This Row],[AGE]]&lt;50,"Senior",
TRUE,"Super Senior"
)</f>
        <v>Middle Age</v>
      </c>
      <c r="I1866">
        <v>-1</v>
      </c>
      <c r="J1866">
        <v>-1</v>
      </c>
      <c r="K1866">
        <v>-1</v>
      </c>
      <c r="L1866">
        <v>-1</v>
      </c>
      <c r="M1866">
        <v>-1</v>
      </c>
      <c r="N1866">
        <v>-1</v>
      </c>
      <c r="O1866" s="1">
        <v>7572</v>
      </c>
      <c r="P1866" s="1">
        <v>18847</v>
      </c>
      <c r="Q1866" s="1">
        <v>16615</v>
      </c>
      <c r="R1866" s="1">
        <v>14156</v>
      </c>
      <c r="S1866" s="1">
        <v>9058</v>
      </c>
      <c r="T1866" s="1">
        <v>3281</v>
      </c>
      <c r="U1866" s="1">
        <v>18920</v>
      </c>
      <c r="V1866" s="1">
        <v>16615</v>
      </c>
      <c r="W1866" s="1">
        <v>14156</v>
      </c>
      <c r="X1866" s="1">
        <v>9058</v>
      </c>
      <c r="Y1866" s="1">
        <v>3281</v>
      </c>
      <c r="Z1866" s="1">
        <v>5971</v>
      </c>
      <c r="AA1866">
        <v>0</v>
      </c>
      <c r="AB1866" t="str">
        <f t="shared" si="29"/>
        <v>Not Defaulter</v>
      </c>
      <c r="AC1866" s="1">
        <f>Table2[[#This Row],[BILL_AMT1]]-Table2[[#This Row],[PAY_AMT1]]</f>
        <v>-11348</v>
      </c>
      <c r="AD1866" s="1" t="str" cm="1">
        <f t="array" ref="AD1866">_xlfn.IFS(Table2[[#This Row],[PAYMENT GAP]]&lt;=0,"No Gap / Overpaid",Table2[[#This Row],[PAYMENT GAP]]&lt;=25000,"Low Gap",Table2[[#This Row],[PAYMENT GAP]]&lt;=100000,"Medium Gap",
TRUE,"High Gap"
)</f>
        <v>No Gap / Overpaid</v>
      </c>
    </row>
    <row r="1867" spans="1:30" x14ac:dyDescent="0.3">
      <c r="A1867">
        <v>1866</v>
      </c>
      <c r="B1867" s="1">
        <v>50000</v>
      </c>
      <c r="C1867" s="1" t="str" cm="1">
        <f t="array" ref="C1867">_xlfn.IFS(Table2[[#This Row],[LIMIT_BAL]]&lt;=100000,"Low",Table2[[#This Row],[LIMIT_BAL]]&lt;=300000,"Medium",
TRUE,"High"
)</f>
        <v>Low</v>
      </c>
      <c r="D1867" t="s">
        <v>2041</v>
      </c>
      <c r="E1867" t="s">
        <v>2043</v>
      </c>
      <c r="F1867" t="s">
        <v>2029</v>
      </c>
      <c r="G1867">
        <v>23</v>
      </c>
      <c r="H1867" t="str" cm="1">
        <f t="array" ref="H1867">_xlfn.IFS(
Table2[[#This Row],[AGE]]&lt;30,"Young",
Table2[[#This Row],[AGE]]&lt;40,"Middle Age",
Table2[[#This Row],[AGE]]&lt;50,"Senior",
TRUE,"Super Senior"
)</f>
        <v>Young</v>
      </c>
      <c r="I1867">
        <v>0</v>
      </c>
      <c r="J1867">
        <v>0</v>
      </c>
      <c r="K1867">
        <v>-1</v>
      </c>
      <c r="L1867">
        <v>2</v>
      </c>
      <c r="M1867">
        <v>0</v>
      </c>
      <c r="N1867">
        <v>0</v>
      </c>
      <c r="O1867" s="1">
        <v>21998</v>
      </c>
      <c r="P1867" s="1">
        <v>15299</v>
      </c>
      <c r="Q1867" s="1">
        <v>32514</v>
      </c>
      <c r="R1867" s="1">
        <v>26479</v>
      </c>
      <c r="S1867" s="1">
        <v>27396</v>
      </c>
      <c r="T1867" s="1">
        <v>27789</v>
      </c>
      <c r="U1867" s="1">
        <v>2063</v>
      </c>
      <c r="V1867" s="1">
        <v>33730</v>
      </c>
      <c r="W1867" s="1">
        <v>0</v>
      </c>
      <c r="X1867" s="1">
        <v>1500</v>
      </c>
      <c r="Y1867" s="1">
        <v>1000</v>
      </c>
      <c r="Z1867" s="1">
        <v>1019</v>
      </c>
      <c r="AA1867">
        <v>0</v>
      </c>
      <c r="AB1867" t="str">
        <f t="shared" si="29"/>
        <v>Not Defaulter</v>
      </c>
      <c r="AC1867" s="1">
        <f>Table2[[#This Row],[BILL_AMT1]]-Table2[[#This Row],[PAY_AMT1]]</f>
        <v>19935</v>
      </c>
      <c r="AD1867" s="1" t="str" cm="1">
        <f t="array" ref="AD1867">_xlfn.IFS(Table2[[#This Row],[PAYMENT GAP]]&lt;=0,"No Gap / Overpaid",Table2[[#This Row],[PAYMENT GAP]]&lt;=25000,"Low Gap",Table2[[#This Row],[PAYMENT GAP]]&lt;=100000,"Medium Gap",
TRUE,"High Gap"
)</f>
        <v>Low Gap</v>
      </c>
    </row>
    <row r="1868" spans="1:30" x14ac:dyDescent="0.3">
      <c r="A1868">
        <v>1867</v>
      </c>
      <c r="B1868" s="1">
        <v>280000</v>
      </c>
      <c r="C1868" s="1" t="str" cm="1">
        <f t="array" ref="C1868">_xlfn.IFS(Table2[[#This Row],[LIMIT_BAL]]&lt;=100000,"Low",Table2[[#This Row],[LIMIT_BAL]]&lt;=300000,"Medium",
TRUE,"High"
)</f>
        <v>Medium</v>
      </c>
      <c r="D1868" t="s">
        <v>2041</v>
      </c>
      <c r="E1868" t="s">
        <v>2026</v>
      </c>
      <c r="F1868" t="s">
        <v>2029</v>
      </c>
      <c r="G1868">
        <v>29</v>
      </c>
      <c r="H1868" t="str" cm="1">
        <f t="array" ref="H1868">_xlfn.IFS(
Table2[[#This Row],[AGE]]&lt;30,"Young",
Table2[[#This Row],[AGE]]&lt;40,"Middle Age",
Table2[[#This Row],[AGE]]&lt;50,"Senior",
TRUE,"Super Senior"
)</f>
        <v>Young</v>
      </c>
      <c r="I1868">
        <v>-2</v>
      </c>
      <c r="J1868">
        <v>-2</v>
      </c>
      <c r="K1868">
        <v>-2</v>
      </c>
      <c r="L1868">
        <v>-2</v>
      </c>
      <c r="M1868">
        <v>-2</v>
      </c>
      <c r="N1868">
        <v>-2</v>
      </c>
      <c r="O1868" s="1">
        <v>0</v>
      </c>
      <c r="P1868" s="1">
        <v>0</v>
      </c>
      <c r="Q1868" s="1">
        <v>320</v>
      </c>
      <c r="R1868" s="1">
        <v>2139</v>
      </c>
      <c r="S1868" s="1">
        <v>0</v>
      </c>
      <c r="T1868" s="1">
        <v>0</v>
      </c>
      <c r="U1868" s="1">
        <v>0</v>
      </c>
      <c r="V1868" s="1">
        <v>320</v>
      </c>
      <c r="W1868" s="1">
        <v>2139</v>
      </c>
      <c r="X1868" s="1">
        <v>0</v>
      </c>
      <c r="Y1868" s="1">
        <v>0</v>
      </c>
      <c r="Z1868" s="1">
        <v>0</v>
      </c>
      <c r="AA1868">
        <v>0</v>
      </c>
      <c r="AB1868" t="str">
        <f t="shared" si="29"/>
        <v>Not Defaulter</v>
      </c>
      <c r="AC1868" s="1">
        <f>Table2[[#This Row],[BILL_AMT1]]-Table2[[#This Row],[PAY_AMT1]]</f>
        <v>0</v>
      </c>
      <c r="AD1868" s="1" t="str" cm="1">
        <f t="array" ref="AD1868">_xlfn.IFS(Table2[[#This Row],[PAYMENT GAP]]&lt;=0,"No Gap / Overpaid",Table2[[#This Row],[PAYMENT GAP]]&lt;=25000,"Low Gap",Table2[[#This Row],[PAYMENT GAP]]&lt;=100000,"Medium Gap",
TRUE,"High Gap"
)</f>
        <v>No Gap / Overpaid</v>
      </c>
    </row>
    <row r="1869" spans="1:30" x14ac:dyDescent="0.3">
      <c r="A1869">
        <v>1868</v>
      </c>
      <c r="B1869" s="1">
        <v>50000</v>
      </c>
      <c r="C1869" s="1" t="str" cm="1">
        <f t="array" ref="C1869">_xlfn.IFS(Table2[[#This Row],[LIMIT_BAL]]&lt;=100000,"Low",Table2[[#This Row],[LIMIT_BAL]]&lt;=300000,"Medium",
TRUE,"High"
)</f>
        <v>Low</v>
      </c>
      <c r="D1869" t="s">
        <v>2042</v>
      </c>
      <c r="E1869" t="s">
        <v>2043</v>
      </c>
      <c r="F1869" t="s">
        <v>2028</v>
      </c>
      <c r="G1869">
        <v>46</v>
      </c>
      <c r="H1869" t="str" cm="1">
        <f t="array" ref="H1869">_xlfn.IFS(
Table2[[#This Row],[AGE]]&lt;30,"Young",
Table2[[#This Row],[AGE]]&lt;40,"Middle Age",
Table2[[#This Row],[AGE]]&lt;50,"Senior",
TRUE,"Super Senior"
)</f>
        <v>Senior</v>
      </c>
      <c r="I1869">
        <v>0</v>
      </c>
      <c r="J1869">
        <v>0</v>
      </c>
      <c r="K1869">
        <v>0</v>
      </c>
      <c r="L1869">
        <v>-1</v>
      </c>
      <c r="M1869">
        <v>0</v>
      </c>
      <c r="N1869">
        <v>0</v>
      </c>
      <c r="O1869" s="1">
        <v>3656</v>
      </c>
      <c r="P1869" s="1">
        <v>4400</v>
      </c>
      <c r="Q1869" s="1">
        <v>0</v>
      </c>
      <c r="R1869" s="1">
        <v>1704</v>
      </c>
      <c r="S1869" s="1">
        <v>3715</v>
      </c>
      <c r="T1869" s="1">
        <v>-105</v>
      </c>
      <c r="U1869" s="1">
        <v>1000</v>
      </c>
      <c r="V1869" s="1">
        <v>0</v>
      </c>
      <c r="W1869" s="1">
        <v>1704</v>
      </c>
      <c r="X1869" s="1">
        <v>2011</v>
      </c>
      <c r="Y1869" s="1">
        <v>0</v>
      </c>
      <c r="Z1869" s="1">
        <v>1649</v>
      </c>
      <c r="AA1869">
        <v>0</v>
      </c>
      <c r="AB1869" t="str">
        <f t="shared" si="29"/>
        <v>Not Defaulter</v>
      </c>
      <c r="AC1869" s="1">
        <f>Table2[[#This Row],[BILL_AMT1]]-Table2[[#This Row],[PAY_AMT1]]</f>
        <v>2656</v>
      </c>
      <c r="AD1869" s="1" t="str" cm="1">
        <f t="array" ref="AD1869">_xlfn.IFS(Table2[[#This Row],[PAYMENT GAP]]&lt;=0,"No Gap / Overpaid",Table2[[#This Row],[PAYMENT GAP]]&lt;=25000,"Low Gap",Table2[[#This Row],[PAYMENT GAP]]&lt;=100000,"Medium Gap",
TRUE,"High Gap"
)</f>
        <v>Low Gap</v>
      </c>
    </row>
    <row r="1870" spans="1:30" x14ac:dyDescent="0.3">
      <c r="A1870">
        <v>1869</v>
      </c>
      <c r="B1870" s="1">
        <v>160000</v>
      </c>
      <c r="C1870" s="1" t="str" cm="1">
        <f t="array" ref="C1870">_xlfn.IFS(Table2[[#This Row],[LIMIT_BAL]]&lt;=100000,"Low",Table2[[#This Row],[LIMIT_BAL]]&lt;=300000,"Medium",
TRUE,"High"
)</f>
        <v>Medium</v>
      </c>
      <c r="D1870" t="s">
        <v>2041</v>
      </c>
      <c r="E1870" t="s">
        <v>2027</v>
      </c>
      <c r="F1870" t="s">
        <v>2028</v>
      </c>
      <c r="G1870">
        <v>41</v>
      </c>
      <c r="H1870" t="str" cm="1">
        <f t="array" ref="H1870">_xlfn.IFS(
Table2[[#This Row],[AGE]]&lt;30,"Young",
Table2[[#This Row],[AGE]]&lt;40,"Middle Age",
Table2[[#This Row],[AGE]]&lt;50,"Senior",
TRUE,"Super Senior"
)</f>
        <v>Senior</v>
      </c>
      <c r="I1870">
        <v>2</v>
      </c>
      <c r="J1870">
        <v>2</v>
      </c>
      <c r="K1870">
        <v>2</v>
      </c>
      <c r="L1870">
        <v>0</v>
      </c>
      <c r="M1870">
        <v>0</v>
      </c>
      <c r="N1870">
        <v>2</v>
      </c>
      <c r="O1870" s="1">
        <v>46017</v>
      </c>
      <c r="P1870" s="1">
        <v>47188</v>
      </c>
      <c r="Q1870" s="1">
        <v>46134</v>
      </c>
      <c r="R1870" s="1">
        <v>47063</v>
      </c>
      <c r="S1870" s="1">
        <v>50034</v>
      </c>
      <c r="T1870" s="1">
        <v>51063</v>
      </c>
      <c r="U1870" s="1">
        <v>2200</v>
      </c>
      <c r="V1870" s="1">
        <v>0</v>
      </c>
      <c r="W1870" s="1">
        <v>2000</v>
      </c>
      <c r="X1870" s="1">
        <v>3900</v>
      </c>
      <c r="Y1870" s="1">
        <v>2000</v>
      </c>
      <c r="Z1870" s="1">
        <v>0</v>
      </c>
      <c r="AA1870">
        <v>1</v>
      </c>
      <c r="AB1870" t="str">
        <f t="shared" si="29"/>
        <v>Defaulter</v>
      </c>
      <c r="AC1870" s="1">
        <f>Table2[[#This Row],[BILL_AMT1]]-Table2[[#This Row],[PAY_AMT1]]</f>
        <v>43817</v>
      </c>
      <c r="AD1870" s="1" t="str" cm="1">
        <f t="array" ref="AD1870">_xlfn.IFS(Table2[[#This Row],[PAYMENT GAP]]&lt;=0,"No Gap / Overpaid",Table2[[#This Row],[PAYMENT GAP]]&lt;=25000,"Low Gap",Table2[[#This Row],[PAYMENT GAP]]&lt;=100000,"Medium Gap",
TRUE,"High Gap"
)</f>
        <v>Medium Gap</v>
      </c>
    </row>
    <row r="1871" spans="1:30" x14ac:dyDescent="0.3">
      <c r="A1871">
        <v>1870</v>
      </c>
      <c r="B1871" s="1">
        <v>40000</v>
      </c>
      <c r="C1871" s="1" t="str" cm="1">
        <f t="array" ref="C1871">_xlfn.IFS(Table2[[#This Row],[LIMIT_BAL]]&lt;=100000,"Low",Table2[[#This Row],[LIMIT_BAL]]&lt;=300000,"Medium",
TRUE,"High"
)</f>
        <v>Low</v>
      </c>
      <c r="D1871" t="s">
        <v>2041</v>
      </c>
      <c r="E1871" t="s">
        <v>2043</v>
      </c>
      <c r="F1871" t="s">
        <v>2028</v>
      </c>
      <c r="G1871">
        <v>23</v>
      </c>
      <c r="H1871" t="str" cm="1">
        <f t="array" ref="H1871">_xlfn.IFS(
Table2[[#This Row],[AGE]]&lt;30,"Young",
Table2[[#This Row],[AGE]]&lt;40,"Middle Age",
Table2[[#This Row],[AGE]]&lt;50,"Senior",
TRUE,"Super Senior"
)</f>
        <v>Young</v>
      </c>
      <c r="I1871">
        <v>2</v>
      </c>
      <c r="J1871">
        <v>2</v>
      </c>
      <c r="K1871">
        <v>2</v>
      </c>
      <c r="L1871">
        <v>2</v>
      </c>
      <c r="M1871">
        <v>2</v>
      </c>
      <c r="N1871">
        <v>2</v>
      </c>
      <c r="O1871" s="1">
        <v>33895</v>
      </c>
      <c r="P1871" s="1">
        <v>33068</v>
      </c>
      <c r="Q1871" s="1">
        <v>35704</v>
      </c>
      <c r="R1871" s="1">
        <v>36173</v>
      </c>
      <c r="S1871" s="1">
        <v>36796</v>
      </c>
      <c r="T1871" s="1">
        <v>37288</v>
      </c>
      <c r="U1871" s="1">
        <v>0</v>
      </c>
      <c r="V1871" s="1">
        <v>3200</v>
      </c>
      <c r="W1871" s="1">
        <v>1500</v>
      </c>
      <c r="X1871" s="1">
        <v>1500</v>
      </c>
      <c r="Y1871" s="1">
        <v>1400</v>
      </c>
      <c r="Z1871" s="1">
        <v>1500</v>
      </c>
      <c r="AA1871">
        <v>1</v>
      </c>
      <c r="AB1871" t="str">
        <f t="shared" si="29"/>
        <v>Defaulter</v>
      </c>
      <c r="AC1871" s="1">
        <f>Table2[[#This Row],[BILL_AMT1]]-Table2[[#This Row],[PAY_AMT1]]</f>
        <v>33895</v>
      </c>
      <c r="AD1871" s="1" t="str" cm="1">
        <f t="array" ref="AD1871">_xlfn.IFS(Table2[[#This Row],[PAYMENT GAP]]&lt;=0,"No Gap / Overpaid",Table2[[#This Row],[PAYMENT GAP]]&lt;=25000,"Low Gap",Table2[[#This Row],[PAYMENT GAP]]&lt;=100000,"Medium Gap",
TRUE,"High Gap"
)</f>
        <v>Medium Gap</v>
      </c>
    </row>
    <row r="1872" spans="1:30" x14ac:dyDescent="0.3">
      <c r="A1872">
        <v>1871</v>
      </c>
      <c r="B1872" s="1">
        <v>100000</v>
      </c>
      <c r="C1872" s="1" t="str" cm="1">
        <f t="array" ref="C1872">_xlfn.IFS(Table2[[#This Row],[LIMIT_BAL]]&lt;=100000,"Low",Table2[[#This Row],[LIMIT_BAL]]&lt;=300000,"Medium",
TRUE,"High"
)</f>
        <v>Low</v>
      </c>
      <c r="D1872" t="s">
        <v>2041</v>
      </c>
      <c r="E1872" t="s">
        <v>2043</v>
      </c>
      <c r="F1872" t="s">
        <v>2028</v>
      </c>
      <c r="G1872">
        <v>31</v>
      </c>
      <c r="H1872" t="str" cm="1">
        <f t="array" ref="H1872">_xlfn.IFS(
Table2[[#This Row],[AGE]]&lt;30,"Young",
Table2[[#This Row],[AGE]]&lt;40,"Middle Age",
Table2[[#This Row],[AGE]]&lt;50,"Senior",
TRUE,"Super Senior"
)</f>
        <v>Middle Age</v>
      </c>
      <c r="I1872">
        <v>0</v>
      </c>
      <c r="J1872">
        <v>0</v>
      </c>
      <c r="K1872">
        <v>-1</v>
      </c>
      <c r="L1872">
        <v>-1</v>
      </c>
      <c r="M1872">
        <v>0</v>
      </c>
      <c r="N1872">
        <v>-1</v>
      </c>
      <c r="O1872" s="1">
        <v>92265</v>
      </c>
      <c r="P1872" s="1">
        <v>93873</v>
      </c>
      <c r="Q1872" s="1">
        <v>1473</v>
      </c>
      <c r="R1872" s="1">
        <v>2946</v>
      </c>
      <c r="S1872" s="1">
        <v>1473</v>
      </c>
      <c r="T1872" s="1">
        <v>540</v>
      </c>
      <c r="U1872" s="1">
        <v>5000</v>
      </c>
      <c r="V1872" s="1">
        <v>1473</v>
      </c>
      <c r="W1872" s="1">
        <v>2946</v>
      </c>
      <c r="X1872" s="1">
        <v>0</v>
      </c>
      <c r="Y1872" s="1">
        <v>540</v>
      </c>
      <c r="Z1872" s="1">
        <v>780</v>
      </c>
      <c r="AA1872">
        <v>0</v>
      </c>
      <c r="AB1872" t="str">
        <f t="shared" si="29"/>
        <v>Not Defaulter</v>
      </c>
      <c r="AC1872" s="1">
        <f>Table2[[#This Row],[BILL_AMT1]]-Table2[[#This Row],[PAY_AMT1]]</f>
        <v>87265</v>
      </c>
      <c r="AD1872" s="1" t="str" cm="1">
        <f t="array" ref="AD1872">_xlfn.IFS(Table2[[#This Row],[PAYMENT GAP]]&lt;=0,"No Gap / Overpaid",Table2[[#This Row],[PAYMENT GAP]]&lt;=25000,"Low Gap",Table2[[#This Row],[PAYMENT GAP]]&lt;=100000,"Medium Gap",
TRUE,"High Gap"
)</f>
        <v>Medium Gap</v>
      </c>
    </row>
    <row r="1873" spans="1:30" x14ac:dyDescent="0.3">
      <c r="A1873">
        <v>1872</v>
      </c>
      <c r="B1873" s="1">
        <v>50000</v>
      </c>
      <c r="C1873" s="1" t="str" cm="1">
        <f t="array" ref="C1873">_xlfn.IFS(Table2[[#This Row],[LIMIT_BAL]]&lt;=100000,"Low",Table2[[#This Row],[LIMIT_BAL]]&lt;=300000,"Medium",
TRUE,"High"
)</f>
        <v>Low</v>
      </c>
      <c r="D1873" t="s">
        <v>2041</v>
      </c>
      <c r="E1873" t="s">
        <v>2026</v>
      </c>
      <c r="F1873" t="s">
        <v>2029</v>
      </c>
      <c r="G1873">
        <v>26</v>
      </c>
      <c r="H1873" t="str" cm="1">
        <f t="array" ref="H1873">_xlfn.IFS(
Table2[[#This Row],[AGE]]&lt;30,"Young",
Table2[[#This Row],[AGE]]&lt;40,"Middle Age",
Table2[[#This Row],[AGE]]&lt;50,"Senior",
TRUE,"Super Senior"
)</f>
        <v>Young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 s="1">
        <v>41003</v>
      </c>
      <c r="P1873" s="1">
        <v>42032</v>
      </c>
      <c r="Q1873" s="1">
        <v>42699</v>
      </c>
      <c r="R1873" s="1">
        <v>43617</v>
      </c>
      <c r="S1873" s="1">
        <v>44509</v>
      </c>
      <c r="T1873" s="1">
        <v>45420</v>
      </c>
      <c r="U1873" s="1">
        <v>1733</v>
      </c>
      <c r="V1873" s="1">
        <v>1400</v>
      </c>
      <c r="W1873" s="1">
        <v>1300</v>
      </c>
      <c r="X1873" s="1">
        <v>1271</v>
      </c>
      <c r="Y1873" s="1">
        <v>1300</v>
      </c>
      <c r="Z1873" s="1">
        <v>4500</v>
      </c>
      <c r="AA1873">
        <v>0</v>
      </c>
      <c r="AB1873" t="str">
        <f t="shared" si="29"/>
        <v>Not Defaulter</v>
      </c>
      <c r="AC1873" s="1">
        <f>Table2[[#This Row],[BILL_AMT1]]-Table2[[#This Row],[PAY_AMT1]]</f>
        <v>39270</v>
      </c>
      <c r="AD1873" s="1" t="str" cm="1">
        <f t="array" ref="AD1873">_xlfn.IFS(Table2[[#This Row],[PAYMENT GAP]]&lt;=0,"No Gap / Overpaid",Table2[[#This Row],[PAYMENT GAP]]&lt;=25000,"Low Gap",Table2[[#This Row],[PAYMENT GAP]]&lt;=100000,"Medium Gap",
TRUE,"High Gap"
)</f>
        <v>Medium Gap</v>
      </c>
    </row>
    <row r="1874" spans="1:30" x14ac:dyDescent="0.3">
      <c r="A1874">
        <v>1873</v>
      </c>
      <c r="B1874" s="1">
        <v>130000</v>
      </c>
      <c r="C1874" s="1" t="str" cm="1">
        <f t="array" ref="C1874">_xlfn.IFS(Table2[[#This Row],[LIMIT_BAL]]&lt;=100000,"Low",Table2[[#This Row],[LIMIT_BAL]]&lt;=300000,"Medium",
TRUE,"High"
)</f>
        <v>Medium</v>
      </c>
      <c r="D1874" t="s">
        <v>2041</v>
      </c>
      <c r="E1874" t="s">
        <v>2027</v>
      </c>
      <c r="F1874" t="s">
        <v>2029</v>
      </c>
      <c r="G1874">
        <v>32</v>
      </c>
      <c r="H1874" t="str" cm="1">
        <f t="array" ref="H1874">_xlfn.IFS(
Table2[[#This Row],[AGE]]&lt;30,"Young",
Table2[[#This Row],[AGE]]&lt;40,"Middle Age",
Table2[[#This Row],[AGE]]&lt;50,"Senior",
TRUE,"Super Senior"
)</f>
        <v>Middle Age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2</v>
      </c>
      <c r="O1874" s="1">
        <v>119312</v>
      </c>
      <c r="P1874" s="1">
        <v>116259</v>
      </c>
      <c r="Q1874" s="1">
        <v>103438</v>
      </c>
      <c r="R1874" s="1">
        <v>49319</v>
      </c>
      <c r="S1874" s="1">
        <v>91191</v>
      </c>
      <c r="T1874" s="1">
        <v>82168</v>
      </c>
      <c r="U1874" s="1">
        <v>20021</v>
      </c>
      <c r="V1874" s="1">
        <v>40354</v>
      </c>
      <c r="W1874" s="1">
        <v>20000</v>
      </c>
      <c r="X1874" s="1">
        <v>43608</v>
      </c>
      <c r="Y1874" s="1">
        <v>103</v>
      </c>
      <c r="Z1874" s="1">
        <v>10000</v>
      </c>
      <c r="AA1874">
        <v>0</v>
      </c>
      <c r="AB1874" t="str">
        <f t="shared" si="29"/>
        <v>Not Defaulter</v>
      </c>
      <c r="AC1874" s="1">
        <f>Table2[[#This Row],[BILL_AMT1]]-Table2[[#This Row],[PAY_AMT1]]</f>
        <v>99291</v>
      </c>
      <c r="AD1874" s="1" t="str" cm="1">
        <f t="array" ref="AD1874">_xlfn.IFS(Table2[[#This Row],[PAYMENT GAP]]&lt;=0,"No Gap / Overpaid",Table2[[#This Row],[PAYMENT GAP]]&lt;=25000,"Low Gap",Table2[[#This Row],[PAYMENT GAP]]&lt;=100000,"Medium Gap",
TRUE,"High Gap"
)</f>
        <v>Medium Gap</v>
      </c>
    </row>
    <row r="1875" spans="1:30" x14ac:dyDescent="0.3">
      <c r="A1875">
        <v>1874</v>
      </c>
      <c r="B1875" s="1">
        <v>30000</v>
      </c>
      <c r="C1875" s="1" t="str" cm="1">
        <f t="array" ref="C1875">_xlfn.IFS(Table2[[#This Row],[LIMIT_BAL]]&lt;=100000,"Low",Table2[[#This Row],[LIMIT_BAL]]&lt;=300000,"Medium",
TRUE,"High"
)</f>
        <v>Low</v>
      </c>
      <c r="D1875" t="s">
        <v>2041</v>
      </c>
      <c r="E1875" t="s">
        <v>2043</v>
      </c>
      <c r="F1875" t="s">
        <v>2029</v>
      </c>
      <c r="G1875">
        <v>22</v>
      </c>
      <c r="H1875" t="str" cm="1">
        <f t="array" ref="H1875">_xlfn.IFS(
Table2[[#This Row],[AGE]]&lt;30,"Young",
Table2[[#This Row],[AGE]]&lt;40,"Middle Age",
Table2[[#This Row],[AGE]]&lt;50,"Senior",
TRUE,"Super Senior"
)</f>
        <v>Young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 s="1">
        <v>27358</v>
      </c>
      <c r="P1875" s="1">
        <v>28612</v>
      </c>
      <c r="Q1875" s="1">
        <v>29183</v>
      </c>
      <c r="R1875" s="1">
        <v>28983</v>
      </c>
      <c r="S1875" s="1">
        <v>13100</v>
      </c>
      <c r="T1875" s="1">
        <v>0</v>
      </c>
      <c r="U1875" s="1">
        <v>2000</v>
      </c>
      <c r="V1875" s="1">
        <v>1500</v>
      </c>
      <c r="W1875" s="1">
        <v>0</v>
      </c>
      <c r="X1875" s="1">
        <v>500</v>
      </c>
      <c r="Y1875" s="1">
        <v>0</v>
      </c>
      <c r="Z1875" s="1">
        <v>0</v>
      </c>
      <c r="AA1875">
        <v>0</v>
      </c>
      <c r="AB1875" t="str">
        <f t="shared" si="29"/>
        <v>Not Defaulter</v>
      </c>
      <c r="AC1875" s="1">
        <f>Table2[[#This Row],[BILL_AMT1]]-Table2[[#This Row],[PAY_AMT1]]</f>
        <v>25358</v>
      </c>
      <c r="AD1875" s="1" t="str" cm="1">
        <f t="array" ref="AD1875">_xlfn.IFS(Table2[[#This Row],[PAYMENT GAP]]&lt;=0,"No Gap / Overpaid",Table2[[#This Row],[PAYMENT GAP]]&lt;=25000,"Low Gap",Table2[[#This Row],[PAYMENT GAP]]&lt;=100000,"Medium Gap",
TRUE,"High Gap"
)</f>
        <v>Medium Gap</v>
      </c>
    </row>
    <row r="1876" spans="1:30" x14ac:dyDescent="0.3">
      <c r="A1876">
        <v>1875</v>
      </c>
      <c r="B1876" s="1">
        <v>140000</v>
      </c>
      <c r="C1876" s="1" t="str" cm="1">
        <f t="array" ref="C1876">_xlfn.IFS(Table2[[#This Row],[LIMIT_BAL]]&lt;=100000,"Low",Table2[[#This Row],[LIMIT_BAL]]&lt;=300000,"Medium",
TRUE,"High"
)</f>
        <v>Medium</v>
      </c>
      <c r="D1876" t="s">
        <v>2042</v>
      </c>
      <c r="E1876" t="s">
        <v>2043</v>
      </c>
      <c r="F1876" t="s">
        <v>2028</v>
      </c>
      <c r="G1876">
        <v>34</v>
      </c>
      <c r="H1876" t="str" cm="1">
        <f t="array" ref="H1876">_xlfn.IFS(
Table2[[#This Row],[AGE]]&lt;30,"Young",
Table2[[#This Row],[AGE]]&lt;40,"Middle Age",
Table2[[#This Row],[AGE]]&lt;50,"Senior",
TRUE,"Super Senior"
)</f>
        <v>Middle Age</v>
      </c>
      <c r="I1876">
        <v>-1</v>
      </c>
      <c r="J1876">
        <v>-1</v>
      </c>
      <c r="K1876">
        <v>-1</v>
      </c>
      <c r="L1876">
        <v>-1</v>
      </c>
      <c r="M1876">
        <v>-1</v>
      </c>
      <c r="N1876">
        <v>-1</v>
      </c>
      <c r="O1876" s="1">
        <v>430</v>
      </c>
      <c r="P1876" s="1">
        <v>430</v>
      </c>
      <c r="Q1876" s="1">
        <v>702</v>
      </c>
      <c r="R1876" s="1">
        <v>430</v>
      </c>
      <c r="S1876" s="1">
        <v>430</v>
      </c>
      <c r="T1876" s="1">
        <v>430</v>
      </c>
      <c r="U1876" s="1">
        <v>430</v>
      </c>
      <c r="V1876" s="1">
        <v>702</v>
      </c>
      <c r="W1876" s="1">
        <v>430</v>
      </c>
      <c r="X1876" s="1">
        <v>430</v>
      </c>
      <c r="Y1876" s="1">
        <v>430</v>
      </c>
      <c r="Z1876" s="1">
        <v>860</v>
      </c>
      <c r="AA1876">
        <v>1</v>
      </c>
      <c r="AB1876" t="str">
        <f t="shared" si="29"/>
        <v>Defaulter</v>
      </c>
      <c r="AC1876" s="1">
        <f>Table2[[#This Row],[BILL_AMT1]]-Table2[[#This Row],[PAY_AMT1]]</f>
        <v>0</v>
      </c>
      <c r="AD1876" s="1" t="str" cm="1">
        <f t="array" ref="AD1876">_xlfn.IFS(Table2[[#This Row],[PAYMENT GAP]]&lt;=0,"No Gap / Overpaid",Table2[[#This Row],[PAYMENT GAP]]&lt;=25000,"Low Gap",Table2[[#This Row],[PAYMENT GAP]]&lt;=100000,"Medium Gap",
TRUE,"High Gap"
)</f>
        <v>No Gap / Overpaid</v>
      </c>
    </row>
    <row r="1877" spans="1:30" x14ac:dyDescent="0.3">
      <c r="A1877">
        <v>1876</v>
      </c>
      <c r="B1877" s="1">
        <v>210000</v>
      </c>
      <c r="C1877" s="1" t="str" cm="1">
        <f t="array" ref="C1877">_xlfn.IFS(Table2[[#This Row],[LIMIT_BAL]]&lt;=100000,"Low",Table2[[#This Row],[LIMIT_BAL]]&lt;=300000,"Medium",
TRUE,"High"
)</f>
        <v>Medium</v>
      </c>
      <c r="D1877" t="s">
        <v>2041</v>
      </c>
      <c r="E1877" t="s">
        <v>2043</v>
      </c>
      <c r="F1877" t="s">
        <v>2028</v>
      </c>
      <c r="G1877">
        <v>32</v>
      </c>
      <c r="H1877" t="str" cm="1">
        <f t="array" ref="H1877">_xlfn.IFS(
Table2[[#This Row],[AGE]]&lt;30,"Young",
Table2[[#This Row],[AGE]]&lt;40,"Middle Age",
Table2[[#This Row],[AGE]]&lt;50,"Senior",
TRUE,"Super Senior"
)</f>
        <v>Middle Age</v>
      </c>
      <c r="I1877">
        <v>-1</v>
      </c>
      <c r="J1877">
        <v>0</v>
      </c>
      <c r="K1877">
        <v>0</v>
      </c>
      <c r="L1877">
        <v>0</v>
      </c>
      <c r="M1877">
        <v>2</v>
      </c>
      <c r="N1877">
        <v>0</v>
      </c>
      <c r="O1877" s="1">
        <v>164015</v>
      </c>
      <c r="P1877" s="1">
        <v>155235</v>
      </c>
      <c r="Q1877" s="1">
        <v>151267</v>
      </c>
      <c r="R1877" s="1">
        <v>149478</v>
      </c>
      <c r="S1877" s="1">
        <v>145041</v>
      </c>
      <c r="T1877" s="1">
        <v>107495</v>
      </c>
      <c r="U1877" s="1">
        <v>9320</v>
      </c>
      <c r="V1877" s="1">
        <v>4894</v>
      </c>
      <c r="W1877" s="1">
        <v>3301</v>
      </c>
      <c r="X1877" s="1">
        <v>3</v>
      </c>
      <c r="Y1877" s="1">
        <v>4994</v>
      </c>
      <c r="Z1877" s="1">
        <v>116880</v>
      </c>
      <c r="AA1877">
        <v>0</v>
      </c>
      <c r="AB1877" t="str">
        <f t="shared" si="29"/>
        <v>Not Defaulter</v>
      </c>
      <c r="AC1877" s="1">
        <f>Table2[[#This Row],[BILL_AMT1]]-Table2[[#This Row],[PAY_AMT1]]</f>
        <v>154695</v>
      </c>
      <c r="AD1877" s="1" t="str" cm="1">
        <f t="array" ref="AD1877">_xlfn.IFS(Table2[[#This Row],[PAYMENT GAP]]&lt;=0,"No Gap / Overpaid",Table2[[#This Row],[PAYMENT GAP]]&lt;=25000,"Low Gap",Table2[[#This Row],[PAYMENT GAP]]&lt;=100000,"Medium Gap",
TRUE,"High Gap"
)</f>
        <v>High Gap</v>
      </c>
    </row>
    <row r="1878" spans="1:30" x14ac:dyDescent="0.3">
      <c r="A1878">
        <v>1877</v>
      </c>
      <c r="B1878" s="1">
        <v>50000</v>
      </c>
      <c r="C1878" s="1" t="str" cm="1">
        <f t="array" ref="C1878">_xlfn.IFS(Table2[[#This Row],[LIMIT_BAL]]&lt;=100000,"Low",Table2[[#This Row],[LIMIT_BAL]]&lt;=300000,"Medium",
TRUE,"High"
)</f>
        <v>Low</v>
      </c>
      <c r="D1878" t="s">
        <v>2042</v>
      </c>
      <c r="E1878" t="s">
        <v>2043</v>
      </c>
      <c r="F1878" t="s">
        <v>2028</v>
      </c>
      <c r="G1878">
        <v>38</v>
      </c>
      <c r="H1878" t="str" cm="1">
        <f t="array" ref="H1878">_xlfn.IFS(
Table2[[#This Row],[AGE]]&lt;30,"Young",
Table2[[#This Row],[AGE]]&lt;40,"Middle Age",
Table2[[#This Row],[AGE]]&lt;50,"Senior",
TRUE,"Super Senior"
)</f>
        <v>Middle Age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 s="1">
        <v>48797</v>
      </c>
      <c r="P1878" s="1">
        <v>47153</v>
      </c>
      <c r="Q1878" s="1">
        <v>43238</v>
      </c>
      <c r="R1878" s="1">
        <v>17253</v>
      </c>
      <c r="S1878" s="1">
        <v>16307</v>
      </c>
      <c r="T1878" s="1">
        <v>16651</v>
      </c>
      <c r="U1878" s="1">
        <v>1864</v>
      </c>
      <c r="V1878" s="1">
        <v>1811</v>
      </c>
      <c r="W1878" s="1">
        <v>594</v>
      </c>
      <c r="X1878" s="1">
        <v>587</v>
      </c>
      <c r="Y1878" s="1">
        <v>1000</v>
      </c>
      <c r="Z1878" s="1">
        <v>1000</v>
      </c>
      <c r="AA1878">
        <v>0</v>
      </c>
      <c r="AB1878" t="str">
        <f t="shared" si="29"/>
        <v>Not Defaulter</v>
      </c>
      <c r="AC1878" s="1">
        <f>Table2[[#This Row],[BILL_AMT1]]-Table2[[#This Row],[PAY_AMT1]]</f>
        <v>46933</v>
      </c>
      <c r="AD1878" s="1" t="str" cm="1">
        <f t="array" ref="AD1878">_xlfn.IFS(Table2[[#This Row],[PAYMENT GAP]]&lt;=0,"No Gap / Overpaid",Table2[[#This Row],[PAYMENT GAP]]&lt;=25000,"Low Gap",Table2[[#This Row],[PAYMENT GAP]]&lt;=100000,"Medium Gap",
TRUE,"High Gap"
)</f>
        <v>Medium Gap</v>
      </c>
    </row>
    <row r="1879" spans="1:30" x14ac:dyDescent="0.3">
      <c r="A1879">
        <v>1878</v>
      </c>
      <c r="B1879" s="1">
        <v>310000</v>
      </c>
      <c r="C1879" s="1" t="str" cm="1">
        <f t="array" ref="C1879">_xlfn.IFS(Table2[[#This Row],[LIMIT_BAL]]&lt;=100000,"Low",Table2[[#This Row],[LIMIT_BAL]]&lt;=300000,"Medium",
TRUE,"High"
)</f>
        <v>High</v>
      </c>
      <c r="D1879" t="s">
        <v>2042</v>
      </c>
      <c r="E1879" t="s">
        <v>2043</v>
      </c>
      <c r="F1879" t="s">
        <v>2028</v>
      </c>
      <c r="G1879">
        <v>29</v>
      </c>
      <c r="H1879" t="str" cm="1">
        <f t="array" ref="H1879">_xlfn.IFS(
Table2[[#This Row],[AGE]]&lt;30,"Young",
Table2[[#This Row],[AGE]]&lt;40,"Middle Age",
Table2[[#This Row],[AGE]]&lt;50,"Senior",
TRUE,"Super Senior"
)</f>
        <v>Young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 s="1">
        <v>31132</v>
      </c>
      <c r="P1879" s="1">
        <v>45718</v>
      </c>
      <c r="Q1879" s="1">
        <v>62992</v>
      </c>
      <c r="R1879" s="1">
        <v>62473</v>
      </c>
      <c r="S1879" s="1">
        <v>69837</v>
      </c>
      <c r="T1879" s="1">
        <v>69898</v>
      </c>
      <c r="U1879" s="1">
        <v>20000</v>
      </c>
      <c r="V1879" s="1">
        <v>20000</v>
      </c>
      <c r="W1879" s="1">
        <v>2500</v>
      </c>
      <c r="X1879" s="1">
        <v>11056</v>
      </c>
      <c r="Y1879" s="1">
        <v>3000</v>
      </c>
      <c r="Z1879" s="1">
        <v>4377</v>
      </c>
      <c r="AA1879">
        <v>0</v>
      </c>
      <c r="AB1879" t="str">
        <f t="shared" si="29"/>
        <v>Not Defaulter</v>
      </c>
      <c r="AC1879" s="1">
        <f>Table2[[#This Row],[BILL_AMT1]]-Table2[[#This Row],[PAY_AMT1]]</f>
        <v>11132</v>
      </c>
      <c r="AD1879" s="1" t="str" cm="1">
        <f t="array" ref="AD1879">_xlfn.IFS(Table2[[#This Row],[PAYMENT GAP]]&lt;=0,"No Gap / Overpaid",Table2[[#This Row],[PAYMENT GAP]]&lt;=25000,"Low Gap",Table2[[#This Row],[PAYMENT GAP]]&lt;=100000,"Medium Gap",
TRUE,"High Gap"
)</f>
        <v>Low Gap</v>
      </c>
    </row>
    <row r="1880" spans="1:30" x14ac:dyDescent="0.3">
      <c r="A1880">
        <v>1879</v>
      </c>
      <c r="B1880" s="1">
        <v>300000</v>
      </c>
      <c r="C1880" s="1" t="str" cm="1">
        <f t="array" ref="C1880">_xlfn.IFS(Table2[[#This Row],[LIMIT_BAL]]&lt;=100000,"Low",Table2[[#This Row],[LIMIT_BAL]]&lt;=300000,"Medium",
TRUE,"High"
)</f>
        <v>Medium</v>
      </c>
      <c r="D1880" t="s">
        <v>2041</v>
      </c>
      <c r="E1880" t="s">
        <v>2026</v>
      </c>
      <c r="F1880" t="s">
        <v>2028</v>
      </c>
      <c r="G1880">
        <v>31</v>
      </c>
      <c r="H1880" t="str" cm="1">
        <f t="array" ref="H1880">_xlfn.IFS(
Table2[[#This Row],[AGE]]&lt;30,"Young",
Table2[[#This Row],[AGE]]&lt;40,"Middle Age",
Table2[[#This Row],[AGE]]&lt;50,"Senior",
TRUE,"Super Senior"
)</f>
        <v>Middle Age</v>
      </c>
      <c r="I1880">
        <v>-2</v>
      </c>
      <c r="J1880">
        <v>-2</v>
      </c>
      <c r="K1880">
        <v>-1</v>
      </c>
      <c r="L1880">
        <v>0</v>
      </c>
      <c r="M1880">
        <v>0</v>
      </c>
      <c r="N1880">
        <v>0</v>
      </c>
      <c r="O1880" s="1">
        <v>0</v>
      </c>
      <c r="P1880" s="1">
        <v>1110</v>
      </c>
      <c r="Q1880" s="1">
        <v>12192</v>
      </c>
      <c r="R1880" s="1">
        <v>7639</v>
      </c>
      <c r="S1880" s="1">
        <v>1722</v>
      </c>
      <c r="T1880" s="1">
        <v>4064</v>
      </c>
      <c r="U1880" s="1">
        <v>1110</v>
      </c>
      <c r="V1880" s="1">
        <v>12192</v>
      </c>
      <c r="W1880" s="1">
        <v>300</v>
      </c>
      <c r="X1880" s="1">
        <v>191</v>
      </c>
      <c r="Y1880" s="1">
        <v>4064</v>
      </c>
      <c r="Z1880" s="1">
        <v>390</v>
      </c>
      <c r="AA1880">
        <v>0</v>
      </c>
      <c r="AB1880" t="str">
        <f t="shared" si="29"/>
        <v>Not Defaulter</v>
      </c>
      <c r="AC1880" s="1">
        <f>Table2[[#This Row],[BILL_AMT1]]-Table2[[#This Row],[PAY_AMT1]]</f>
        <v>-1110</v>
      </c>
      <c r="AD1880" s="1" t="str" cm="1">
        <f t="array" ref="AD1880">_xlfn.IFS(Table2[[#This Row],[PAYMENT GAP]]&lt;=0,"No Gap / Overpaid",Table2[[#This Row],[PAYMENT GAP]]&lt;=25000,"Low Gap",Table2[[#This Row],[PAYMENT GAP]]&lt;=100000,"Medium Gap",
TRUE,"High Gap"
)</f>
        <v>No Gap / Overpaid</v>
      </c>
    </row>
    <row r="1881" spans="1:30" x14ac:dyDescent="0.3">
      <c r="A1881">
        <v>1880</v>
      </c>
      <c r="B1881" s="1">
        <v>30000</v>
      </c>
      <c r="C1881" s="1" t="str" cm="1">
        <f t="array" ref="C1881">_xlfn.IFS(Table2[[#This Row],[LIMIT_BAL]]&lt;=100000,"Low",Table2[[#This Row],[LIMIT_BAL]]&lt;=300000,"Medium",
TRUE,"High"
)</f>
        <v>Low</v>
      </c>
      <c r="D1881" t="s">
        <v>2041</v>
      </c>
      <c r="E1881" t="s">
        <v>2043</v>
      </c>
      <c r="F1881" t="s">
        <v>2029</v>
      </c>
      <c r="G1881">
        <v>47</v>
      </c>
      <c r="H1881" t="str" cm="1">
        <f t="array" ref="H1881">_xlfn.IFS(
Table2[[#This Row],[AGE]]&lt;30,"Young",
Table2[[#This Row],[AGE]]&lt;40,"Middle Age",
Table2[[#This Row],[AGE]]&lt;50,"Senior",
TRUE,"Super Senior"
)</f>
        <v>Senior</v>
      </c>
      <c r="I1881">
        <v>2</v>
      </c>
      <c r="J1881">
        <v>2</v>
      </c>
      <c r="K1881">
        <v>2</v>
      </c>
      <c r="L1881">
        <v>2</v>
      </c>
      <c r="M1881">
        <v>2</v>
      </c>
      <c r="N1881">
        <v>2</v>
      </c>
      <c r="O1881" s="1">
        <v>16039</v>
      </c>
      <c r="P1881" s="1">
        <v>17080</v>
      </c>
      <c r="Q1881" s="1">
        <v>17302</v>
      </c>
      <c r="R1881" s="1">
        <v>17521</v>
      </c>
      <c r="S1881" s="1">
        <v>17893</v>
      </c>
      <c r="T1881" s="1">
        <v>18252</v>
      </c>
      <c r="U1881" s="1">
        <v>1600</v>
      </c>
      <c r="V1881" s="1">
        <v>800</v>
      </c>
      <c r="W1881" s="1">
        <v>800</v>
      </c>
      <c r="X1881" s="1">
        <v>800</v>
      </c>
      <c r="Y1881" s="1">
        <v>800</v>
      </c>
      <c r="Z1881" s="1">
        <v>0</v>
      </c>
      <c r="AA1881">
        <v>1</v>
      </c>
      <c r="AB1881" t="str">
        <f t="shared" si="29"/>
        <v>Defaulter</v>
      </c>
      <c r="AC1881" s="1">
        <f>Table2[[#This Row],[BILL_AMT1]]-Table2[[#This Row],[PAY_AMT1]]</f>
        <v>14439</v>
      </c>
      <c r="AD1881" s="1" t="str" cm="1">
        <f t="array" ref="AD1881">_xlfn.IFS(Table2[[#This Row],[PAYMENT GAP]]&lt;=0,"No Gap / Overpaid",Table2[[#This Row],[PAYMENT GAP]]&lt;=25000,"Low Gap",Table2[[#This Row],[PAYMENT GAP]]&lt;=100000,"Medium Gap",
TRUE,"High Gap"
)</f>
        <v>Low Gap</v>
      </c>
    </row>
    <row r="1882" spans="1:30" x14ac:dyDescent="0.3">
      <c r="A1882">
        <v>1881</v>
      </c>
      <c r="B1882" s="1">
        <v>90000</v>
      </c>
      <c r="C1882" s="1" t="str" cm="1">
        <f t="array" ref="C1882">_xlfn.IFS(Table2[[#This Row],[LIMIT_BAL]]&lt;=100000,"Low",Table2[[#This Row],[LIMIT_BAL]]&lt;=300000,"Medium",
TRUE,"High"
)</f>
        <v>Low</v>
      </c>
      <c r="D1882" t="s">
        <v>2041</v>
      </c>
      <c r="E1882" t="s">
        <v>2027</v>
      </c>
      <c r="F1882" t="s">
        <v>2028</v>
      </c>
      <c r="G1882">
        <v>40</v>
      </c>
      <c r="H1882" t="str" cm="1">
        <f t="array" ref="H1882">_xlfn.IFS(
Table2[[#This Row],[AGE]]&lt;30,"Young",
Table2[[#This Row],[AGE]]&lt;40,"Middle Age",
Table2[[#This Row],[AGE]]&lt;50,"Senior",
TRUE,"Super Senior"
)</f>
        <v>Senior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 s="1">
        <v>89928</v>
      </c>
      <c r="P1882" s="1">
        <v>81721</v>
      </c>
      <c r="Q1882" s="1">
        <v>76947</v>
      </c>
      <c r="R1882" s="1">
        <v>46589</v>
      </c>
      <c r="S1882" s="1">
        <v>47730</v>
      </c>
      <c r="T1882" s="1">
        <v>49488</v>
      </c>
      <c r="U1882" s="1">
        <v>3416</v>
      </c>
      <c r="V1882" s="1">
        <v>4142</v>
      </c>
      <c r="W1882" s="1">
        <v>1700</v>
      </c>
      <c r="X1882" s="1">
        <v>1888</v>
      </c>
      <c r="Y1882" s="1">
        <v>2710</v>
      </c>
      <c r="Z1882" s="1">
        <v>1500</v>
      </c>
      <c r="AA1882">
        <v>0</v>
      </c>
      <c r="AB1882" t="str">
        <f t="shared" si="29"/>
        <v>Not Defaulter</v>
      </c>
      <c r="AC1882" s="1">
        <f>Table2[[#This Row],[BILL_AMT1]]-Table2[[#This Row],[PAY_AMT1]]</f>
        <v>86512</v>
      </c>
      <c r="AD1882" s="1" t="str" cm="1">
        <f t="array" ref="AD1882">_xlfn.IFS(Table2[[#This Row],[PAYMENT GAP]]&lt;=0,"No Gap / Overpaid",Table2[[#This Row],[PAYMENT GAP]]&lt;=25000,"Low Gap",Table2[[#This Row],[PAYMENT GAP]]&lt;=100000,"Medium Gap",
TRUE,"High Gap"
)</f>
        <v>Medium Gap</v>
      </c>
    </row>
    <row r="1883" spans="1:30" x14ac:dyDescent="0.3">
      <c r="A1883">
        <v>1882</v>
      </c>
      <c r="B1883" s="1">
        <v>150000</v>
      </c>
      <c r="C1883" s="1" t="str" cm="1">
        <f t="array" ref="C1883">_xlfn.IFS(Table2[[#This Row],[LIMIT_BAL]]&lt;=100000,"Low",Table2[[#This Row],[LIMIT_BAL]]&lt;=300000,"Medium",
TRUE,"High"
)</f>
        <v>Medium</v>
      </c>
      <c r="D1883" t="s">
        <v>2041</v>
      </c>
      <c r="E1883" t="s">
        <v>2043</v>
      </c>
      <c r="F1883" t="s">
        <v>2028</v>
      </c>
      <c r="G1883">
        <v>34</v>
      </c>
      <c r="H1883" t="str" cm="1">
        <f t="array" ref="H1883">_xlfn.IFS(
Table2[[#This Row],[AGE]]&lt;30,"Young",
Table2[[#This Row],[AGE]]&lt;40,"Middle Age",
Table2[[#This Row],[AGE]]&lt;50,"Senior",
TRUE,"Super Senior"
)</f>
        <v>Middle Age</v>
      </c>
      <c r="I1883">
        <v>2</v>
      </c>
      <c r="J1883">
        <v>2</v>
      </c>
      <c r="K1883">
        <v>2</v>
      </c>
      <c r="L1883">
        <v>0</v>
      </c>
      <c r="M1883">
        <v>0</v>
      </c>
      <c r="N1883">
        <v>0</v>
      </c>
      <c r="O1883" s="1">
        <v>39465</v>
      </c>
      <c r="P1883" s="1">
        <v>42829</v>
      </c>
      <c r="Q1883" s="1">
        <v>41845</v>
      </c>
      <c r="R1883" s="1">
        <v>42844</v>
      </c>
      <c r="S1883" s="1">
        <v>43999</v>
      </c>
      <c r="T1883" s="1">
        <v>45110</v>
      </c>
      <c r="U1883" s="1">
        <v>4000</v>
      </c>
      <c r="V1883" s="1">
        <v>0</v>
      </c>
      <c r="W1883" s="1">
        <v>2000</v>
      </c>
      <c r="X1883" s="1">
        <v>2000</v>
      </c>
      <c r="Y1883" s="1">
        <v>2000</v>
      </c>
      <c r="Z1883" s="1">
        <v>2000</v>
      </c>
      <c r="AA1883">
        <v>1</v>
      </c>
      <c r="AB1883" t="str">
        <f t="shared" si="29"/>
        <v>Defaulter</v>
      </c>
      <c r="AC1883" s="1">
        <f>Table2[[#This Row],[BILL_AMT1]]-Table2[[#This Row],[PAY_AMT1]]</f>
        <v>35465</v>
      </c>
      <c r="AD1883" s="1" t="str" cm="1">
        <f t="array" ref="AD1883">_xlfn.IFS(Table2[[#This Row],[PAYMENT GAP]]&lt;=0,"No Gap / Overpaid",Table2[[#This Row],[PAYMENT GAP]]&lt;=25000,"Low Gap",Table2[[#This Row],[PAYMENT GAP]]&lt;=100000,"Medium Gap",
TRUE,"High Gap"
)</f>
        <v>Medium Gap</v>
      </c>
    </row>
    <row r="1884" spans="1:30" x14ac:dyDescent="0.3">
      <c r="A1884">
        <v>1883</v>
      </c>
      <c r="B1884" s="1">
        <v>90000</v>
      </c>
      <c r="C1884" s="1" t="str" cm="1">
        <f t="array" ref="C1884">_xlfn.IFS(Table2[[#This Row],[LIMIT_BAL]]&lt;=100000,"Low",Table2[[#This Row],[LIMIT_BAL]]&lt;=300000,"Medium",
TRUE,"High"
)</f>
        <v>Low</v>
      </c>
      <c r="D1884" t="s">
        <v>2042</v>
      </c>
      <c r="E1884" t="s">
        <v>2026</v>
      </c>
      <c r="F1884" t="s">
        <v>2029</v>
      </c>
      <c r="G1884">
        <v>25</v>
      </c>
      <c r="H1884" t="str" cm="1">
        <f t="array" ref="H1884">_xlfn.IFS(
Table2[[#This Row],[AGE]]&lt;30,"Young",
Table2[[#This Row],[AGE]]&lt;40,"Middle Age",
Table2[[#This Row],[AGE]]&lt;50,"Senior",
TRUE,"Super Senior"
)</f>
        <v>Young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 s="1">
        <v>32755</v>
      </c>
      <c r="P1884" s="1">
        <v>31325</v>
      </c>
      <c r="Q1884" s="1">
        <v>28034</v>
      </c>
      <c r="R1884" s="1">
        <v>29753</v>
      </c>
      <c r="S1884" s="1">
        <v>30601</v>
      </c>
      <c r="T1884" s="1">
        <v>33083</v>
      </c>
      <c r="U1884" s="1">
        <v>2000</v>
      </c>
      <c r="V1884" s="1">
        <v>3000</v>
      </c>
      <c r="W1884" s="1">
        <v>2000</v>
      </c>
      <c r="X1884" s="1">
        <v>3000</v>
      </c>
      <c r="Y1884" s="1">
        <v>3000</v>
      </c>
      <c r="Z1884" s="1">
        <v>1000</v>
      </c>
      <c r="AA1884">
        <v>0</v>
      </c>
      <c r="AB1884" t="str">
        <f t="shared" si="29"/>
        <v>Not Defaulter</v>
      </c>
      <c r="AC1884" s="1">
        <f>Table2[[#This Row],[BILL_AMT1]]-Table2[[#This Row],[PAY_AMT1]]</f>
        <v>30755</v>
      </c>
      <c r="AD1884" s="1" t="str" cm="1">
        <f t="array" ref="AD1884">_xlfn.IFS(Table2[[#This Row],[PAYMENT GAP]]&lt;=0,"No Gap / Overpaid",Table2[[#This Row],[PAYMENT GAP]]&lt;=25000,"Low Gap",Table2[[#This Row],[PAYMENT GAP]]&lt;=100000,"Medium Gap",
TRUE,"High Gap"
)</f>
        <v>Medium Gap</v>
      </c>
    </row>
    <row r="1885" spans="1:30" x14ac:dyDescent="0.3">
      <c r="A1885">
        <v>1884</v>
      </c>
      <c r="B1885" s="1">
        <v>80000</v>
      </c>
      <c r="C1885" s="1" t="str" cm="1">
        <f t="array" ref="C1885">_xlfn.IFS(Table2[[#This Row],[LIMIT_BAL]]&lt;=100000,"Low",Table2[[#This Row],[LIMIT_BAL]]&lt;=300000,"Medium",
TRUE,"High"
)</f>
        <v>Low</v>
      </c>
      <c r="D1885" t="s">
        <v>2041</v>
      </c>
      <c r="E1885" t="s">
        <v>2027</v>
      </c>
      <c r="F1885" t="s">
        <v>2029</v>
      </c>
      <c r="G1885">
        <v>65</v>
      </c>
      <c r="H1885" t="str" cm="1">
        <f t="array" ref="H1885">_xlfn.IFS(
Table2[[#This Row],[AGE]]&lt;30,"Young",
Table2[[#This Row],[AGE]]&lt;40,"Middle Age",
Table2[[#This Row],[AGE]]&lt;50,"Senior",
TRUE,"Super Senior"
)</f>
        <v>Super Senior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 s="1">
        <v>84985</v>
      </c>
      <c r="P1885" s="1">
        <v>84247</v>
      </c>
      <c r="Q1885" s="1">
        <v>81619</v>
      </c>
      <c r="R1885" s="1">
        <v>30095</v>
      </c>
      <c r="S1885" s="1">
        <v>20639</v>
      </c>
      <c r="T1885" s="1">
        <v>7849</v>
      </c>
      <c r="U1885" s="1">
        <v>4000</v>
      </c>
      <c r="V1885" s="1">
        <v>2048</v>
      </c>
      <c r="W1885" s="1">
        <v>1300</v>
      </c>
      <c r="X1885" s="1">
        <v>1700</v>
      </c>
      <c r="Y1885" s="1">
        <v>401</v>
      </c>
      <c r="Z1885" s="1">
        <v>180</v>
      </c>
      <c r="AA1885">
        <v>0</v>
      </c>
      <c r="AB1885" t="str">
        <f t="shared" si="29"/>
        <v>Not Defaulter</v>
      </c>
      <c r="AC1885" s="1">
        <f>Table2[[#This Row],[BILL_AMT1]]-Table2[[#This Row],[PAY_AMT1]]</f>
        <v>80985</v>
      </c>
      <c r="AD1885" s="1" t="str" cm="1">
        <f t="array" ref="AD1885">_xlfn.IFS(Table2[[#This Row],[PAYMENT GAP]]&lt;=0,"No Gap / Overpaid",Table2[[#This Row],[PAYMENT GAP]]&lt;=25000,"Low Gap",Table2[[#This Row],[PAYMENT GAP]]&lt;=100000,"Medium Gap",
TRUE,"High Gap"
)</f>
        <v>Medium Gap</v>
      </c>
    </row>
    <row r="1886" spans="1:30" x14ac:dyDescent="0.3">
      <c r="A1886">
        <v>1885</v>
      </c>
      <c r="B1886" s="1">
        <v>100000</v>
      </c>
      <c r="C1886" s="1" t="str" cm="1">
        <f t="array" ref="C1886">_xlfn.IFS(Table2[[#This Row],[LIMIT_BAL]]&lt;=100000,"Low",Table2[[#This Row],[LIMIT_BAL]]&lt;=300000,"Medium",
TRUE,"High"
)</f>
        <v>Low</v>
      </c>
      <c r="D1886" t="s">
        <v>2041</v>
      </c>
      <c r="E1886" t="s">
        <v>2026</v>
      </c>
      <c r="F1886" t="s">
        <v>2029</v>
      </c>
      <c r="G1886">
        <v>28</v>
      </c>
      <c r="H1886" t="str" cm="1">
        <f t="array" ref="H1886">_xlfn.IFS(
Table2[[#This Row],[AGE]]&lt;30,"Young",
Table2[[#This Row],[AGE]]&lt;40,"Middle Age",
Table2[[#This Row],[AGE]]&lt;50,"Senior",
TRUE,"Super Senior"
)</f>
        <v>Young</v>
      </c>
      <c r="I1886">
        <v>-1</v>
      </c>
      <c r="J1886">
        <v>-1</v>
      </c>
      <c r="K1886">
        <v>-1</v>
      </c>
      <c r="L1886">
        <v>-1</v>
      </c>
      <c r="M1886">
        <v>-1</v>
      </c>
      <c r="N1886">
        <v>-1</v>
      </c>
      <c r="O1886" s="1">
        <v>555</v>
      </c>
      <c r="P1886" s="1">
        <v>712</v>
      </c>
      <c r="Q1886" s="1">
        <v>712</v>
      </c>
      <c r="R1886" s="1">
        <v>712</v>
      </c>
      <c r="S1886" s="1">
        <v>862</v>
      </c>
      <c r="T1886" s="1">
        <v>712</v>
      </c>
      <c r="U1886" s="1">
        <v>712</v>
      </c>
      <c r="V1886" s="1">
        <v>712</v>
      </c>
      <c r="W1886" s="1">
        <v>712</v>
      </c>
      <c r="X1886" s="1">
        <v>862</v>
      </c>
      <c r="Y1886" s="1">
        <v>712</v>
      </c>
      <c r="Z1886" s="1">
        <v>1840</v>
      </c>
      <c r="AA1886">
        <v>1</v>
      </c>
      <c r="AB1886" t="str">
        <f t="shared" si="29"/>
        <v>Defaulter</v>
      </c>
      <c r="AC1886" s="1">
        <f>Table2[[#This Row],[BILL_AMT1]]-Table2[[#This Row],[PAY_AMT1]]</f>
        <v>-157</v>
      </c>
      <c r="AD1886" s="1" t="str" cm="1">
        <f t="array" ref="AD1886">_xlfn.IFS(Table2[[#This Row],[PAYMENT GAP]]&lt;=0,"No Gap / Overpaid",Table2[[#This Row],[PAYMENT GAP]]&lt;=25000,"Low Gap",Table2[[#This Row],[PAYMENT GAP]]&lt;=100000,"Medium Gap",
TRUE,"High Gap"
)</f>
        <v>No Gap / Overpaid</v>
      </c>
    </row>
    <row r="1887" spans="1:30" x14ac:dyDescent="0.3">
      <c r="A1887">
        <v>1886</v>
      </c>
      <c r="B1887" s="1">
        <v>10000</v>
      </c>
      <c r="C1887" s="1" t="str" cm="1">
        <f t="array" ref="C1887">_xlfn.IFS(Table2[[#This Row],[LIMIT_BAL]]&lt;=100000,"Low",Table2[[#This Row],[LIMIT_BAL]]&lt;=300000,"Medium",
TRUE,"High"
)</f>
        <v>Low</v>
      </c>
      <c r="D1887" t="s">
        <v>2042</v>
      </c>
      <c r="E1887" t="s">
        <v>2043</v>
      </c>
      <c r="F1887" t="s">
        <v>2029</v>
      </c>
      <c r="G1887">
        <v>33</v>
      </c>
      <c r="H1887" t="str" cm="1">
        <f t="array" ref="H1887">_xlfn.IFS(
Table2[[#This Row],[AGE]]&lt;30,"Young",
Table2[[#This Row],[AGE]]&lt;40,"Middle Age",
Table2[[#This Row],[AGE]]&lt;50,"Senior",
TRUE,"Super Senior"
)</f>
        <v>Middle Age</v>
      </c>
      <c r="I1887">
        <v>-2</v>
      </c>
      <c r="J1887">
        <v>-2</v>
      </c>
      <c r="K1887">
        <v>-2</v>
      </c>
      <c r="L1887">
        <v>-2</v>
      </c>
      <c r="M1887">
        <v>-2</v>
      </c>
      <c r="N1887">
        <v>-2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>
        <v>0</v>
      </c>
      <c r="AB1887" t="str">
        <f t="shared" si="29"/>
        <v>Not Defaulter</v>
      </c>
      <c r="AC1887" s="1">
        <f>Table2[[#This Row],[BILL_AMT1]]-Table2[[#This Row],[PAY_AMT1]]</f>
        <v>0</v>
      </c>
      <c r="AD1887" s="1" t="str" cm="1">
        <f t="array" ref="AD1887">_xlfn.IFS(Table2[[#This Row],[PAYMENT GAP]]&lt;=0,"No Gap / Overpaid",Table2[[#This Row],[PAYMENT GAP]]&lt;=25000,"Low Gap",Table2[[#This Row],[PAYMENT GAP]]&lt;=100000,"Medium Gap",
TRUE,"High Gap"
)</f>
        <v>No Gap / Overpaid</v>
      </c>
    </row>
    <row r="1888" spans="1:30" x14ac:dyDescent="0.3">
      <c r="A1888">
        <v>1887</v>
      </c>
      <c r="B1888" s="1">
        <v>210000</v>
      </c>
      <c r="C1888" s="1" t="str" cm="1">
        <f t="array" ref="C1888">_xlfn.IFS(Table2[[#This Row],[LIMIT_BAL]]&lt;=100000,"Low",Table2[[#This Row],[LIMIT_BAL]]&lt;=300000,"Medium",
TRUE,"High"
)</f>
        <v>Medium</v>
      </c>
      <c r="D1888" t="s">
        <v>2042</v>
      </c>
      <c r="E1888" t="s">
        <v>2026</v>
      </c>
      <c r="F1888" t="s">
        <v>2029</v>
      </c>
      <c r="G1888">
        <v>31</v>
      </c>
      <c r="H1888" t="str" cm="1">
        <f t="array" ref="H1888">_xlfn.IFS(
Table2[[#This Row],[AGE]]&lt;30,"Young",
Table2[[#This Row],[AGE]]&lt;40,"Middle Age",
Table2[[#This Row],[AGE]]&lt;50,"Senior",
TRUE,"Super Senior"
)</f>
        <v>Middle Age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 s="1">
        <v>161159</v>
      </c>
      <c r="P1888" s="1">
        <v>165071</v>
      </c>
      <c r="Q1888" s="1">
        <v>173443</v>
      </c>
      <c r="R1888" s="1">
        <v>179686</v>
      </c>
      <c r="S1888" s="1">
        <v>197458</v>
      </c>
      <c r="T1888" s="1">
        <v>138218</v>
      </c>
      <c r="U1888" s="1">
        <v>8000</v>
      </c>
      <c r="V1888" s="1">
        <v>13000</v>
      </c>
      <c r="W1888" s="1">
        <v>10000</v>
      </c>
      <c r="X1888" s="1">
        <v>20000</v>
      </c>
      <c r="Y1888" s="1">
        <v>7000</v>
      </c>
      <c r="Z1888" s="1">
        <v>7000</v>
      </c>
      <c r="AA1888">
        <v>0</v>
      </c>
      <c r="AB1888" t="str">
        <f t="shared" si="29"/>
        <v>Not Defaulter</v>
      </c>
      <c r="AC1888" s="1">
        <f>Table2[[#This Row],[BILL_AMT1]]-Table2[[#This Row],[PAY_AMT1]]</f>
        <v>153159</v>
      </c>
      <c r="AD1888" s="1" t="str" cm="1">
        <f t="array" ref="AD1888">_xlfn.IFS(Table2[[#This Row],[PAYMENT GAP]]&lt;=0,"No Gap / Overpaid",Table2[[#This Row],[PAYMENT GAP]]&lt;=25000,"Low Gap",Table2[[#This Row],[PAYMENT GAP]]&lt;=100000,"Medium Gap",
TRUE,"High Gap"
)</f>
        <v>High Gap</v>
      </c>
    </row>
    <row r="1889" spans="1:30" x14ac:dyDescent="0.3">
      <c r="A1889">
        <v>1888</v>
      </c>
      <c r="B1889" s="1">
        <v>170000</v>
      </c>
      <c r="C1889" s="1" t="str" cm="1">
        <f t="array" ref="C1889">_xlfn.IFS(Table2[[#This Row],[LIMIT_BAL]]&lt;=100000,"Low",Table2[[#This Row],[LIMIT_BAL]]&lt;=300000,"Medium",
TRUE,"High"
)</f>
        <v>Medium</v>
      </c>
      <c r="D1889" t="s">
        <v>2041</v>
      </c>
      <c r="E1889" t="s">
        <v>2043</v>
      </c>
      <c r="F1889" t="s">
        <v>2028</v>
      </c>
      <c r="G1889">
        <v>41</v>
      </c>
      <c r="H1889" t="str" cm="1">
        <f t="array" ref="H1889">_xlfn.IFS(
Table2[[#This Row],[AGE]]&lt;30,"Young",
Table2[[#This Row],[AGE]]&lt;40,"Middle Age",
Table2[[#This Row],[AGE]]&lt;50,"Senior",
TRUE,"Super Senior"
)</f>
        <v>Senior</v>
      </c>
      <c r="I1889">
        <v>0</v>
      </c>
      <c r="J1889">
        <v>-1</v>
      </c>
      <c r="K1889">
        <v>-1</v>
      </c>
      <c r="L1889">
        <v>-1</v>
      </c>
      <c r="M1889">
        <v>-1</v>
      </c>
      <c r="N1889">
        <v>0</v>
      </c>
      <c r="O1889" s="1">
        <v>21170</v>
      </c>
      <c r="P1889" s="1">
        <v>9698</v>
      </c>
      <c r="Q1889" s="1">
        <v>7360</v>
      </c>
      <c r="R1889" s="1">
        <v>6380</v>
      </c>
      <c r="S1889" s="1">
        <v>11937</v>
      </c>
      <c r="T1889" s="1">
        <v>6378</v>
      </c>
      <c r="U1889" s="1">
        <v>9734</v>
      </c>
      <c r="V1889" s="1">
        <v>7373</v>
      </c>
      <c r="W1889" s="1">
        <v>6380</v>
      </c>
      <c r="X1889" s="1">
        <v>11937</v>
      </c>
      <c r="Y1889" s="1">
        <v>1000</v>
      </c>
      <c r="Z1889" s="1">
        <v>6881</v>
      </c>
      <c r="AA1889">
        <v>0</v>
      </c>
      <c r="AB1889" t="str">
        <f t="shared" si="29"/>
        <v>Not Defaulter</v>
      </c>
      <c r="AC1889" s="1">
        <f>Table2[[#This Row],[BILL_AMT1]]-Table2[[#This Row],[PAY_AMT1]]</f>
        <v>11436</v>
      </c>
      <c r="AD1889" s="1" t="str" cm="1">
        <f t="array" ref="AD1889">_xlfn.IFS(Table2[[#This Row],[PAYMENT GAP]]&lt;=0,"No Gap / Overpaid",Table2[[#This Row],[PAYMENT GAP]]&lt;=25000,"Low Gap",Table2[[#This Row],[PAYMENT GAP]]&lt;=100000,"Medium Gap",
TRUE,"High Gap"
)</f>
        <v>Low Gap</v>
      </c>
    </row>
    <row r="1890" spans="1:30" x14ac:dyDescent="0.3">
      <c r="A1890">
        <v>1889</v>
      </c>
      <c r="B1890" s="1">
        <v>90000</v>
      </c>
      <c r="C1890" s="1" t="str" cm="1">
        <f t="array" ref="C1890">_xlfn.IFS(Table2[[#This Row],[LIMIT_BAL]]&lt;=100000,"Low",Table2[[#This Row],[LIMIT_BAL]]&lt;=300000,"Medium",
TRUE,"High"
)</f>
        <v>Low</v>
      </c>
      <c r="D1890" t="s">
        <v>2041</v>
      </c>
      <c r="E1890" t="s">
        <v>2043</v>
      </c>
      <c r="F1890" t="s">
        <v>2028</v>
      </c>
      <c r="G1890">
        <v>32</v>
      </c>
      <c r="H1890" t="str" cm="1">
        <f t="array" ref="H1890">_xlfn.IFS(
Table2[[#This Row],[AGE]]&lt;30,"Young",
Table2[[#This Row],[AGE]]&lt;40,"Middle Age",
Table2[[#This Row],[AGE]]&lt;50,"Senior",
TRUE,"Super Senior"
)</f>
        <v>Middle Age</v>
      </c>
      <c r="I1890">
        <v>1</v>
      </c>
      <c r="J1890">
        <v>2</v>
      </c>
      <c r="K1890">
        <v>2</v>
      </c>
      <c r="L1890">
        <v>2</v>
      </c>
      <c r="M1890">
        <v>2</v>
      </c>
      <c r="N1890">
        <v>2</v>
      </c>
      <c r="O1890" s="1">
        <v>85997</v>
      </c>
      <c r="P1890" s="1">
        <v>83779</v>
      </c>
      <c r="Q1890" s="1">
        <v>88577</v>
      </c>
      <c r="R1890" s="1">
        <v>86365</v>
      </c>
      <c r="S1890" s="1">
        <v>91105</v>
      </c>
      <c r="T1890" s="1">
        <v>89347</v>
      </c>
      <c r="U1890" s="1">
        <v>0</v>
      </c>
      <c r="V1890" s="1">
        <v>7200</v>
      </c>
      <c r="W1890" s="1">
        <v>0</v>
      </c>
      <c r="X1890" s="1">
        <v>6200</v>
      </c>
      <c r="Y1890" s="1">
        <v>24</v>
      </c>
      <c r="Z1890" s="1">
        <v>3300</v>
      </c>
      <c r="AA1890">
        <v>0</v>
      </c>
      <c r="AB1890" t="str">
        <f t="shared" si="29"/>
        <v>Not Defaulter</v>
      </c>
      <c r="AC1890" s="1">
        <f>Table2[[#This Row],[BILL_AMT1]]-Table2[[#This Row],[PAY_AMT1]]</f>
        <v>85997</v>
      </c>
      <c r="AD1890" s="1" t="str" cm="1">
        <f t="array" ref="AD1890">_xlfn.IFS(Table2[[#This Row],[PAYMENT GAP]]&lt;=0,"No Gap / Overpaid",Table2[[#This Row],[PAYMENT GAP]]&lt;=25000,"Low Gap",Table2[[#This Row],[PAYMENT GAP]]&lt;=100000,"Medium Gap",
TRUE,"High Gap"
)</f>
        <v>Medium Gap</v>
      </c>
    </row>
    <row r="1891" spans="1:30" x14ac:dyDescent="0.3">
      <c r="A1891">
        <v>1890</v>
      </c>
      <c r="B1891" s="1">
        <v>210000</v>
      </c>
      <c r="C1891" s="1" t="str" cm="1">
        <f t="array" ref="C1891">_xlfn.IFS(Table2[[#This Row],[LIMIT_BAL]]&lt;=100000,"Low",Table2[[#This Row],[LIMIT_BAL]]&lt;=300000,"Medium",
TRUE,"High"
)</f>
        <v>Medium</v>
      </c>
      <c r="D1891" t="s">
        <v>2041</v>
      </c>
      <c r="E1891" t="s">
        <v>2027</v>
      </c>
      <c r="F1891" t="s">
        <v>2029</v>
      </c>
      <c r="G1891">
        <v>36</v>
      </c>
      <c r="H1891" t="str" cm="1">
        <f t="array" ref="H1891">_xlfn.IFS(
Table2[[#This Row],[AGE]]&lt;30,"Young",
Table2[[#This Row],[AGE]]&lt;40,"Middle Age",
Table2[[#This Row],[AGE]]&lt;50,"Senior",
TRUE,"Super Senior"
)</f>
        <v>Middle Age</v>
      </c>
      <c r="I1891">
        <v>1</v>
      </c>
      <c r="J1891">
        <v>-1</v>
      </c>
      <c r="K1891">
        <v>-1</v>
      </c>
      <c r="L1891">
        <v>-2</v>
      </c>
      <c r="M1891">
        <v>-1</v>
      </c>
      <c r="N1891">
        <v>-1</v>
      </c>
      <c r="O1891" s="1">
        <v>0</v>
      </c>
      <c r="P1891" s="1">
        <v>4866</v>
      </c>
      <c r="Q1891" s="1">
        <v>0</v>
      </c>
      <c r="R1891" s="1">
        <v>0</v>
      </c>
      <c r="S1891" s="1">
        <v>5916</v>
      </c>
      <c r="T1891" s="1">
        <v>0</v>
      </c>
      <c r="U1891" s="1">
        <v>4866</v>
      </c>
      <c r="V1891" s="1">
        <v>0</v>
      </c>
      <c r="W1891" s="1">
        <v>0</v>
      </c>
      <c r="X1891" s="1">
        <v>5916</v>
      </c>
      <c r="Y1891" s="1">
        <v>0</v>
      </c>
      <c r="Z1891" s="1">
        <v>0</v>
      </c>
      <c r="AA1891">
        <v>1</v>
      </c>
      <c r="AB1891" t="str">
        <f t="shared" si="29"/>
        <v>Defaulter</v>
      </c>
      <c r="AC1891" s="1">
        <f>Table2[[#This Row],[BILL_AMT1]]-Table2[[#This Row],[PAY_AMT1]]</f>
        <v>-4866</v>
      </c>
      <c r="AD1891" s="1" t="str" cm="1">
        <f t="array" ref="AD1891">_xlfn.IFS(Table2[[#This Row],[PAYMENT GAP]]&lt;=0,"No Gap / Overpaid",Table2[[#This Row],[PAYMENT GAP]]&lt;=25000,"Low Gap",Table2[[#This Row],[PAYMENT GAP]]&lt;=100000,"Medium Gap",
TRUE,"High Gap"
)</f>
        <v>No Gap / Overpaid</v>
      </c>
    </row>
    <row r="1892" spans="1:30" x14ac:dyDescent="0.3">
      <c r="A1892">
        <v>1891</v>
      </c>
      <c r="B1892" s="1">
        <v>50000</v>
      </c>
      <c r="C1892" s="1" t="str" cm="1">
        <f t="array" ref="C1892">_xlfn.IFS(Table2[[#This Row],[LIMIT_BAL]]&lt;=100000,"Low",Table2[[#This Row],[LIMIT_BAL]]&lt;=300000,"Medium",
TRUE,"High"
)</f>
        <v>Low</v>
      </c>
      <c r="D1892" t="s">
        <v>2041</v>
      </c>
      <c r="E1892" t="s">
        <v>2026</v>
      </c>
      <c r="F1892" t="s">
        <v>2029</v>
      </c>
      <c r="G1892">
        <v>26</v>
      </c>
      <c r="H1892" t="str" cm="1">
        <f t="array" ref="H1892">_xlfn.IFS(
Table2[[#This Row],[AGE]]&lt;30,"Young",
Table2[[#This Row],[AGE]]&lt;40,"Middle Age",
Table2[[#This Row],[AGE]]&lt;50,"Senior",
TRUE,"Super Senior"
)</f>
        <v>Young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 s="1">
        <v>36806</v>
      </c>
      <c r="P1892" s="1">
        <v>38212</v>
      </c>
      <c r="Q1892" s="1">
        <v>39141</v>
      </c>
      <c r="R1892" s="1">
        <v>35524</v>
      </c>
      <c r="S1892" s="1">
        <v>30842</v>
      </c>
      <c r="T1892" s="1">
        <v>17043</v>
      </c>
      <c r="U1892" s="1">
        <v>2000</v>
      </c>
      <c r="V1892" s="1">
        <v>2000</v>
      </c>
      <c r="W1892" s="1">
        <v>8156</v>
      </c>
      <c r="X1892" s="1">
        <v>30000</v>
      </c>
      <c r="Y1892" s="1">
        <v>1644</v>
      </c>
      <c r="Z1892" s="1">
        <v>1209</v>
      </c>
      <c r="AA1892">
        <v>0</v>
      </c>
      <c r="AB1892" t="str">
        <f t="shared" si="29"/>
        <v>Not Defaulter</v>
      </c>
      <c r="AC1892" s="1">
        <f>Table2[[#This Row],[BILL_AMT1]]-Table2[[#This Row],[PAY_AMT1]]</f>
        <v>34806</v>
      </c>
      <c r="AD1892" s="1" t="str" cm="1">
        <f t="array" ref="AD1892">_xlfn.IFS(Table2[[#This Row],[PAYMENT GAP]]&lt;=0,"No Gap / Overpaid",Table2[[#This Row],[PAYMENT GAP]]&lt;=25000,"Low Gap",Table2[[#This Row],[PAYMENT GAP]]&lt;=100000,"Medium Gap",
TRUE,"High Gap"
)</f>
        <v>Medium Gap</v>
      </c>
    </row>
    <row r="1893" spans="1:30" x14ac:dyDescent="0.3">
      <c r="A1893">
        <v>1892</v>
      </c>
      <c r="B1893" s="1">
        <v>150000</v>
      </c>
      <c r="C1893" s="1" t="str" cm="1">
        <f t="array" ref="C1893">_xlfn.IFS(Table2[[#This Row],[LIMIT_BAL]]&lt;=100000,"Low",Table2[[#This Row],[LIMIT_BAL]]&lt;=300000,"Medium",
TRUE,"High"
)</f>
        <v>Medium</v>
      </c>
      <c r="D1893" t="s">
        <v>2042</v>
      </c>
      <c r="E1893" t="s">
        <v>2026</v>
      </c>
      <c r="F1893" t="s">
        <v>2028</v>
      </c>
      <c r="G1893">
        <v>30</v>
      </c>
      <c r="H1893" t="str" cm="1">
        <f t="array" ref="H1893">_xlfn.IFS(
Table2[[#This Row],[AGE]]&lt;30,"Young",
Table2[[#This Row],[AGE]]&lt;40,"Middle Age",
Table2[[#This Row],[AGE]]&lt;50,"Senior",
TRUE,"Super Senior"
)</f>
        <v>Middle Age</v>
      </c>
      <c r="I1893">
        <v>1</v>
      </c>
      <c r="J1893">
        <v>-1</v>
      </c>
      <c r="K1893">
        <v>2</v>
      </c>
      <c r="L1893">
        <v>-1</v>
      </c>
      <c r="M1893">
        <v>-1</v>
      </c>
      <c r="N1893">
        <v>-1</v>
      </c>
      <c r="O1893" s="1">
        <v>-819</v>
      </c>
      <c r="P1893" s="1">
        <v>35457</v>
      </c>
      <c r="Q1893" s="1">
        <v>819</v>
      </c>
      <c r="R1893" s="1">
        <v>2145</v>
      </c>
      <c r="S1893" s="1">
        <v>17000</v>
      </c>
      <c r="T1893" s="1">
        <v>23698</v>
      </c>
      <c r="U1893" s="1">
        <v>36276</v>
      </c>
      <c r="V1893" s="1">
        <v>0</v>
      </c>
      <c r="W1893" s="1">
        <v>2145</v>
      </c>
      <c r="X1893" s="1">
        <v>17000</v>
      </c>
      <c r="Y1893" s="1">
        <v>23698</v>
      </c>
      <c r="Z1893" s="1">
        <v>411</v>
      </c>
      <c r="AA1893">
        <v>0</v>
      </c>
      <c r="AB1893" t="str">
        <f t="shared" si="29"/>
        <v>Not Defaulter</v>
      </c>
      <c r="AC1893" s="1">
        <f>Table2[[#This Row],[BILL_AMT1]]-Table2[[#This Row],[PAY_AMT1]]</f>
        <v>-37095</v>
      </c>
      <c r="AD1893" s="1" t="str" cm="1">
        <f t="array" ref="AD1893">_xlfn.IFS(Table2[[#This Row],[PAYMENT GAP]]&lt;=0,"No Gap / Overpaid",Table2[[#This Row],[PAYMENT GAP]]&lt;=25000,"Low Gap",Table2[[#This Row],[PAYMENT GAP]]&lt;=100000,"Medium Gap",
TRUE,"High Gap"
)</f>
        <v>No Gap / Overpaid</v>
      </c>
    </row>
    <row r="1894" spans="1:30" x14ac:dyDescent="0.3">
      <c r="A1894">
        <v>1893</v>
      </c>
      <c r="B1894" s="1">
        <v>80000</v>
      </c>
      <c r="C1894" s="1" t="str" cm="1">
        <f t="array" ref="C1894">_xlfn.IFS(Table2[[#This Row],[LIMIT_BAL]]&lt;=100000,"Low",Table2[[#This Row],[LIMIT_BAL]]&lt;=300000,"Medium",
TRUE,"High"
)</f>
        <v>Low</v>
      </c>
      <c r="D1894" t="s">
        <v>2041</v>
      </c>
      <c r="E1894" t="s">
        <v>2026</v>
      </c>
      <c r="F1894" t="s">
        <v>2029</v>
      </c>
      <c r="G1894">
        <v>30</v>
      </c>
      <c r="H1894" t="str" cm="1">
        <f t="array" ref="H1894">_xlfn.IFS(
Table2[[#This Row],[AGE]]&lt;30,"Young",
Table2[[#This Row],[AGE]]&lt;40,"Middle Age",
Table2[[#This Row],[AGE]]&lt;50,"Senior",
TRUE,"Super Senior"
)</f>
        <v>Middle Age</v>
      </c>
      <c r="I1894">
        <v>1</v>
      </c>
      <c r="J1894">
        <v>-1</v>
      </c>
      <c r="K1894">
        <v>-1</v>
      </c>
      <c r="L1894">
        <v>-1</v>
      </c>
      <c r="M1894">
        <v>-2</v>
      </c>
      <c r="N1894">
        <v>-2</v>
      </c>
      <c r="O1894" s="1">
        <v>0</v>
      </c>
      <c r="P1894" s="1">
        <v>1313</v>
      </c>
      <c r="Q1894" s="1">
        <v>880</v>
      </c>
      <c r="R1894" s="1">
        <v>0</v>
      </c>
      <c r="S1894" s="1">
        <v>0</v>
      </c>
      <c r="T1894" s="1">
        <v>0</v>
      </c>
      <c r="U1894" s="1">
        <v>1313</v>
      </c>
      <c r="V1894" s="1">
        <v>883</v>
      </c>
      <c r="W1894" s="1">
        <v>0</v>
      </c>
      <c r="X1894" s="1">
        <v>0</v>
      </c>
      <c r="Y1894" s="1">
        <v>0</v>
      </c>
      <c r="Z1894" s="1">
        <v>0</v>
      </c>
      <c r="AA1894">
        <v>0</v>
      </c>
      <c r="AB1894" t="str">
        <f t="shared" si="29"/>
        <v>Not Defaulter</v>
      </c>
      <c r="AC1894" s="1">
        <f>Table2[[#This Row],[BILL_AMT1]]-Table2[[#This Row],[PAY_AMT1]]</f>
        <v>-1313</v>
      </c>
      <c r="AD1894" s="1" t="str" cm="1">
        <f t="array" ref="AD1894">_xlfn.IFS(Table2[[#This Row],[PAYMENT GAP]]&lt;=0,"No Gap / Overpaid",Table2[[#This Row],[PAYMENT GAP]]&lt;=25000,"Low Gap",Table2[[#This Row],[PAYMENT GAP]]&lt;=100000,"Medium Gap",
TRUE,"High Gap"
)</f>
        <v>No Gap / Overpaid</v>
      </c>
    </row>
    <row r="1895" spans="1:30" x14ac:dyDescent="0.3">
      <c r="A1895">
        <v>1894</v>
      </c>
      <c r="B1895" s="1">
        <v>130000</v>
      </c>
      <c r="C1895" s="1" t="str" cm="1">
        <f t="array" ref="C1895">_xlfn.IFS(Table2[[#This Row],[LIMIT_BAL]]&lt;=100000,"Low",Table2[[#This Row],[LIMIT_BAL]]&lt;=300000,"Medium",
TRUE,"High"
)</f>
        <v>Medium</v>
      </c>
      <c r="D1895" t="s">
        <v>2041</v>
      </c>
      <c r="E1895" t="s">
        <v>2026</v>
      </c>
      <c r="F1895" t="s">
        <v>2028</v>
      </c>
      <c r="G1895">
        <v>38</v>
      </c>
      <c r="H1895" t="str" cm="1">
        <f t="array" ref="H1895">_xlfn.IFS(
Table2[[#This Row],[AGE]]&lt;30,"Young",
Table2[[#This Row],[AGE]]&lt;40,"Middle Age",
Table2[[#This Row],[AGE]]&lt;50,"Senior",
TRUE,"Super Senior"
)</f>
        <v>Middle Age</v>
      </c>
      <c r="I1895">
        <v>0</v>
      </c>
      <c r="J1895">
        <v>0</v>
      </c>
      <c r="K1895">
        <v>0</v>
      </c>
      <c r="L1895">
        <v>-2</v>
      </c>
      <c r="M1895">
        <v>-2</v>
      </c>
      <c r="N1895">
        <v>-2</v>
      </c>
      <c r="O1895" s="1">
        <v>64942</v>
      </c>
      <c r="P1895" s="1">
        <v>66775</v>
      </c>
      <c r="Q1895" s="1">
        <v>0</v>
      </c>
      <c r="R1895" s="1">
        <v>0</v>
      </c>
      <c r="S1895" s="1">
        <v>0</v>
      </c>
      <c r="T1895" s="1">
        <v>0</v>
      </c>
      <c r="U1895" s="1">
        <v>4000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>
        <v>1</v>
      </c>
      <c r="AB1895" t="str">
        <f t="shared" si="29"/>
        <v>Defaulter</v>
      </c>
      <c r="AC1895" s="1">
        <f>Table2[[#This Row],[BILL_AMT1]]-Table2[[#This Row],[PAY_AMT1]]</f>
        <v>60942</v>
      </c>
      <c r="AD1895" s="1" t="str" cm="1">
        <f t="array" ref="AD1895">_xlfn.IFS(Table2[[#This Row],[PAYMENT GAP]]&lt;=0,"No Gap / Overpaid",Table2[[#This Row],[PAYMENT GAP]]&lt;=25000,"Low Gap",Table2[[#This Row],[PAYMENT GAP]]&lt;=100000,"Medium Gap",
TRUE,"High Gap"
)</f>
        <v>Medium Gap</v>
      </c>
    </row>
    <row r="1896" spans="1:30" x14ac:dyDescent="0.3">
      <c r="A1896">
        <v>1895</v>
      </c>
      <c r="B1896" s="1">
        <v>100000</v>
      </c>
      <c r="C1896" s="1" t="str" cm="1">
        <f t="array" ref="C1896">_xlfn.IFS(Table2[[#This Row],[LIMIT_BAL]]&lt;=100000,"Low",Table2[[#This Row],[LIMIT_BAL]]&lt;=300000,"Medium",
TRUE,"High"
)</f>
        <v>Low</v>
      </c>
      <c r="D1896" t="s">
        <v>2042</v>
      </c>
      <c r="E1896" t="s">
        <v>2043</v>
      </c>
      <c r="F1896" t="s">
        <v>2029</v>
      </c>
      <c r="G1896">
        <v>30</v>
      </c>
      <c r="H1896" t="str" cm="1">
        <f t="array" ref="H1896">_xlfn.IFS(
Table2[[#This Row],[AGE]]&lt;30,"Young",
Table2[[#This Row],[AGE]]&lt;40,"Middle Age",
Table2[[#This Row],[AGE]]&lt;50,"Senior",
TRUE,"Super Senior"
)</f>
        <v>Middle Age</v>
      </c>
      <c r="I1896">
        <v>1</v>
      </c>
      <c r="J1896">
        <v>3</v>
      </c>
      <c r="K1896">
        <v>7</v>
      </c>
      <c r="L1896">
        <v>6</v>
      </c>
      <c r="M1896">
        <v>7</v>
      </c>
      <c r="N1896">
        <v>8</v>
      </c>
      <c r="O1896" s="1">
        <v>72652</v>
      </c>
      <c r="P1896" s="1">
        <v>90461</v>
      </c>
      <c r="Q1896" s="1">
        <v>89011</v>
      </c>
      <c r="R1896" s="1">
        <v>96593</v>
      </c>
      <c r="S1896" s="1">
        <v>105083</v>
      </c>
      <c r="T1896" s="1">
        <v>103522</v>
      </c>
      <c r="U1896" s="1">
        <v>20000</v>
      </c>
      <c r="V1896" s="1">
        <v>0</v>
      </c>
      <c r="W1896" s="1">
        <v>10000</v>
      </c>
      <c r="X1896" s="1">
        <v>10000</v>
      </c>
      <c r="Y1896" s="1">
        <v>0</v>
      </c>
      <c r="Z1896" s="1">
        <v>0</v>
      </c>
      <c r="AA1896">
        <v>1</v>
      </c>
      <c r="AB1896" t="str">
        <f t="shared" si="29"/>
        <v>Defaulter</v>
      </c>
      <c r="AC1896" s="1">
        <f>Table2[[#This Row],[BILL_AMT1]]-Table2[[#This Row],[PAY_AMT1]]</f>
        <v>52652</v>
      </c>
      <c r="AD1896" s="1" t="str" cm="1">
        <f t="array" ref="AD1896">_xlfn.IFS(Table2[[#This Row],[PAYMENT GAP]]&lt;=0,"No Gap / Overpaid",Table2[[#This Row],[PAYMENT GAP]]&lt;=25000,"Low Gap",Table2[[#This Row],[PAYMENT GAP]]&lt;=100000,"Medium Gap",
TRUE,"High Gap"
)</f>
        <v>Medium Gap</v>
      </c>
    </row>
    <row r="1897" spans="1:30" x14ac:dyDescent="0.3">
      <c r="A1897">
        <v>1896</v>
      </c>
      <c r="B1897" s="1">
        <v>160000</v>
      </c>
      <c r="C1897" s="1" t="str" cm="1">
        <f t="array" ref="C1897">_xlfn.IFS(Table2[[#This Row],[LIMIT_BAL]]&lt;=100000,"Low",Table2[[#This Row],[LIMIT_BAL]]&lt;=300000,"Medium",
TRUE,"High"
)</f>
        <v>Medium</v>
      </c>
      <c r="D1897" t="s">
        <v>2042</v>
      </c>
      <c r="E1897" t="s">
        <v>2026</v>
      </c>
      <c r="F1897" t="s">
        <v>2028</v>
      </c>
      <c r="G1897">
        <v>41</v>
      </c>
      <c r="H1897" t="str" cm="1">
        <f t="array" ref="H1897">_xlfn.IFS(
Table2[[#This Row],[AGE]]&lt;30,"Young",
Table2[[#This Row],[AGE]]&lt;40,"Middle Age",
Table2[[#This Row],[AGE]]&lt;50,"Senior",
TRUE,"Super Senior"
)</f>
        <v>Senior</v>
      </c>
      <c r="I1897">
        <v>0</v>
      </c>
      <c r="J1897">
        <v>0</v>
      </c>
      <c r="K1897">
        <v>0</v>
      </c>
      <c r="L1897">
        <v>-2</v>
      </c>
      <c r="M1897">
        <v>-1</v>
      </c>
      <c r="N1897">
        <v>0</v>
      </c>
      <c r="O1897" s="1">
        <v>53935</v>
      </c>
      <c r="P1897" s="1">
        <v>57997</v>
      </c>
      <c r="Q1897" s="1">
        <v>-3</v>
      </c>
      <c r="R1897" s="1">
        <v>-3</v>
      </c>
      <c r="S1897" s="1">
        <v>2987</v>
      </c>
      <c r="T1897" s="1">
        <v>1993</v>
      </c>
      <c r="U1897" s="1">
        <v>5000</v>
      </c>
      <c r="V1897" s="1">
        <v>0</v>
      </c>
      <c r="W1897" s="1">
        <v>0</v>
      </c>
      <c r="X1897" s="1">
        <v>2990</v>
      </c>
      <c r="Y1897" s="1">
        <v>6</v>
      </c>
      <c r="Z1897" s="1">
        <v>2409</v>
      </c>
      <c r="AA1897">
        <v>0</v>
      </c>
      <c r="AB1897" t="str">
        <f t="shared" si="29"/>
        <v>Not Defaulter</v>
      </c>
      <c r="AC1897" s="1">
        <f>Table2[[#This Row],[BILL_AMT1]]-Table2[[#This Row],[PAY_AMT1]]</f>
        <v>48935</v>
      </c>
      <c r="AD1897" s="1" t="str" cm="1">
        <f t="array" ref="AD1897">_xlfn.IFS(Table2[[#This Row],[PAYMENT GAP]]&lt;=0,"No Gap / Overpaid",Table2[[#This Row],[PAYMENT GAP]]&lt;=25000,"Low Gap",Table2[[#This Row],[PAYMENT GAP]]&lt;=100000,"Medium Gap",
TRUE,"High Gap"
)</f>
        <v>Medium Gap</v>
      </c>
    </row>
    <row r="1898" spans="1:30" x14ac:dyDescent="0.3">
      <c r="A1898">
        <v>1897</v>
      </c>
      <c r="B1898" s="1">
        <v>250000</v>
      </c>
      <c r="C1898" s="1" t="str" cm="1">
        <f t="array" ref="C1898">_xlfn.IFS(Table2[[#This Row],[LIMIT_BAL]]&lt;=100000,"Low",Table2[[#This Row],[LIMIT_BAL]]&lt;=300000,"Medium",
TRUE,"High"
)</f>
        <v>Medium</v>
      </c>
      <c r="D1898" t="s">
        <v>2042</v>
      </c>
      <c r="E1898" t="s">
        <v>2043</v>
      </c>
      <c r="F1898" t="s">
        <v>2029</v>
      </c>
      <c r="G1898">
        <v>31</v>
      </c>
      <c r="H1898" t="str" cm="1">
        <f t="array" ref="H1898">_xlfn.IFS(
Table2[[#This Row],[AGE]]&lt;30,"Young",
Table2[[#This Row],[AGE]]&lt;40,"Middle Age",
Table2[[#This Row],[AGE]]&lt;50,"Senior",
TRUE,"Super Senior"
)</f>
        <v>Middle Age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s="1">
        <v>14451</v>
      </c>
      <c r="P1898" s="1">
        <v>15774</v>
      </c>
      <c r="Q1898" s="1">
        <v>16780</v>
      </c>
      <c r="R1898" s="1">
        <v>16807</v>
      </c>
      <c r="S1898" s="1">
        <v>17158</v>
      </c>
      <c r="T1898" s="1">
        <v>17500</v>
      </c>
      <c r="U1898" s="1">
        <v>1504</v>
      </c>
      <c r="V1898" s="1">
        <v>1510</v>
      </c>
      <c r="W1898" s="1">
        <v>537</v>
      </c>
      <c r="X1898" s="1">
        <v>556</v>
      </c>
      <c r="Y1898" s="1">
        <v>559</v>
      </c>
      <c r="Z1898" s="1">
        <v>658</v>
      </c>
      <c r="AA1898">
        <v>0</v>
      </c>
      <c r="AB1898" t="str">
        <f t="shared" si="29"/>
        <v>Not Defaulter</v>
      </c>
      <c r="AC1898" s="1">
        <f>Table2[[#This Row],[BILL_AMT1]]-Table2[[#This Row],[PAY_AMT1]]</f>
        <v>12947</v>
      </c>
      <c r="AD1898" s="1" t="str" cm="1">
        <f t="array" ref="AD1898">_xlfn.IFS(Table2[[#This Row],[PAYMENT GAP]]&lt;=0,"No Gap / Overpaid",Table2[[#This Row],[PAYMENT GAP]]&lt;=25000,"Low Gap",Table2[[#This Row],[PAYMENT GAP]]&lt;=100000,"Medium Gap",
TRUE,"High Gap"
)</f>
        <v>Low Gap</v>
      </c>
    </row>
    <row r="1899" spans="1:30" x14ac:dyDescent="0.3">
      <c r="A1899">
        <v>1898</v>
      </c>
      <c r="B1899" s="1">
        <v>500000</v>
      </c>
      <c r="C1899" s="1" t="str" cm="1">
        <f t="array" ref="C1899">_xlfn.IFS(Table2[[#This Row],[LIMIT_BAL]]&lt;=100000,"Low",Table2[[#This Row],[LIMIT_BAL]]&lt;=300000,"Medium",
TRUE,"High"
)</f>
        <v>High</v>
      </c>
      <c r="D1899" t="s">
        <v>2041</v>
      </c>
      <c r="E1899" t="s">
        <v>2043</v>
      </c>
      <c r="F1899" t="s">
        <v>2028</v>
      </c>
      <c r="G1899">
        <v>42</v>
      </c>
      <c r="H1899" t="str" cm="1">
        <f t="array" ref="H1899">_xlfn.IFS(
Table2[[#This Row],[AGE]]&lt;30,"Young",
Table2[[#This Row],[AGE]]&lt;40,"Middle Age",
Table2[[#This Row],[AGE]]&lt;50,"Senior",
TRUE,"Super Senior"
)</f>
        <v>Senior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-1</v>
      </c>
      <c r="O1899" s="1">
        <v>60246</v>
      </c>
      <c r="P1899" s="1">
        <v>74832</v>
      </c>
      <c r="Q1899" s="1">
        <v>126778</v>
      </c>
      <c r="R1899" s="1">
        <v>82611</v>
      </c>
      <c r="S1899" s="1">
        <v>71338</v>
      </c>
      <c r="T1899" s="1">
        <v>29756</v>
      </c>
      <c r="U1899" s="1">
        <v>40000</v>
      </c>
      <c r="V1899" s="1">
        <v>85000</v>
      </c>
      <c r="W1899" s="1">
        <v>139</v>
      </c>
      <c r="X1899" s="1">
        <v>20000</v>
      </c>
      <c r="Y1899" s="1">
        <v>29761</v>
      </c>
      <c r="Z1899" s="1">
        <v>70000</v>
      </c>
      <c r="AA1899">
        <v>0</v>
      </c>
      <c r="AB1899" t="str">
        <f t="shared" si="29"/>
        <v>Not Defaulter</v>
      </c>
      <c r="AC1899" s="1">
        <f>Table2[[#This Row],[BILL_AMT1]]-Table2[[#This Row],[PAY_AMT1]]</f>
        <v>20246</v>
      </c>
      <c r="AD1899" s="1" t="str" cm="1">
        <f t="array" ref="AD1899">_xlfn.IFS(Table2[[#This Row],[PAYMENT GAP]]&lt;=0,"No Gap / Overpaid",Table2[[#This Row],[PAYMENT GAP]]&lt;=25000,"Low Gap",Table2[[#This Row],[PAYMENT GAP]]&lt;=100000,"Medium Gap",
TRUE,"High Gap"
)</f>
        <v>Low Gap</v>
      </c>
    </row>
    <row r="1900" spans="1:30" x14ac:dyDescent="0.3">
      <c r="A1900">
        <v>1899</v>
      </c>
      <c r="B1900" s="1">
        <v>260000</v>
      </c>
      <c r="C1900" s="1" t="str" cm="1">
        <f t="array" ref="C1900">_xlfn.IFS(Table2[[#This Row],[LIMIT_BAL]]&lt;=100000,"Low",Table2[[#This Row],[LIMIT_BAL]]&lt;=300000,"Medium",
TRUE,"High"
)</f>
        <v>Medium</v>
      </c>
      <c r="D1900" t="s">
        <v>2042</v>
      </c>
      <c r="E1900" t="s">
        <v>2043</v>
      </c>
      <c r="F1900" t="s">
        <v>2029</v>
      </c>
      <c r="G1900">
        <v>32</v>
      </c>
      <c r="H1900" t="str" cm="1">
        <f t="array" ref="H1900">_xlfn.IFS(
Table2[[#This Row],[AGE]]&lt;30,"Young",
Table2[[#This Row],[AGE]]&lt;40,"Middle Age",
Table2[[#This Row],[AGE]]&lt;50,"Senior",
TRUE,"Super Senior"
)</f>
        <v>Middle Age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 s="1">
        <v>106093</v>
      </c>
      <c r="P1900" s="1">
        <v>95060</v>
      </c>
      <c r="Q1900" s="1">
        <v>90948</v>
      </c>
      <c r="R1900" s="1">
        <v>84986</v>
      </c>
      <c r="S1900" s="1">
        <v>84491</v>
      </c>
      <c r="T1900" s="1">
        <v>72248</v>
      </c>
      <c r="U1900" s="1">
        <v>4410</v>
      </c>
      <c r="V1900" s="1">
        <v>6500</v>
      </c>
      <c r="W1900" s="1">
        <v>9500</v>
      </c>
      <c r="X1900" s="1">
        <v>10000</v>
      </c>
      <c r="Y1900" s="1">
        <v>9000</v>
      </c>
      <c r="Z1900" s="1">
        <v>8000</v>
      </c>
      <c r="AA1900">
        <v>0</v>
      </c>
      <c r="AB1900" t="str">
        <f t="shared" si="29"/>
        <v>Not Defaulter</v>
      </c>
      <c r="AC1900" s="1">
        <f>Table2[[#This Row],[BILL_AMT1]]-Table2[[#This Row],[PAY_AMT1]]</f>
        <v>101683</v>
      </c>
      <c r="AD1900" s="1" t="str" cm="1">
        <f t="array" ref="AD1900">_xlfn.IFS(Table2[[#This Row],[PAYMENT GAP]]&lt;=0,"No Gap / Overpaid",Table2[[#This Row],[PAYMENT GAP]]&lt;=25000,"Low Gap",Table2[[#This Row],[PAYMENT GAP]]&lt;=100000,"Medium Gap",
TRUE,"High Gap"
)</f>
        <v>High Gap</v>
      </c>
    </row>
    <row r="1901" spans="1:30" x14ac:dyDescent="0.3">
      <c r="A1901">
        <v>1900</v>
      </c>
      <c r="B1901" s="1">
        <v>50000</v>
      </c>
      <c r="C1901" s="1" t="str" cm="1">
        <f t="array" ref="C1901">_xlfn.IFS(Table2[[#This Row],[LIMIT_BAL]]&lt;=100000,"Low",Table2[[#This Row],[LIMIT_BAL]]&lt;=300000,"Medium",
TRUE,"High"
)</f>
        <v>Low</v>
      </c>
      <c r="D1901" t="s">
        <v>2041</v>
      </c>
      <c r="E1901" t="s">
        <v>2043</v>
      </c>
      <c r="F1901" t="s">
        <v>2028</v>
      </c>
      <c r="G1901">
        <v>44</v>
      </c>
      <c r="H1901" t="str" cm="1">
        <f t="array" ref="H1901">_xlfn.IFS(
Table2[[#This Row],[AGE]]&lt;30,"Young",
Table2[[#This Row],[AGE]]&lt;40,"Middle Age",
Table2[[#This Row],[AGE]]&lt;50,"Senior",
TRUE,"Super Senior"
)</f>
        <v>Senior</v>
      </c>
      <c r="I1901">
        <v>-2</v>
      </c>
      <c r="J1901">
        <v>-2</v>
      </c>
      <c r="K1901">
        <v>-2</v>
      </c>
      <c r="L1901">
        <v>-2</v>
      </c>
      <c r="M1901">
        <v>-2</v>
      </c>
      <c r="N1901">
        <v>-2</v>
      </c>
      <c r="O1901" s="1">
        <v>1473</v>
      </c>
      <c r="P1901" s="1">
        <v>390</v>
      </c>
      <c r="Q1901" s="1">
        <v>390</v>
      </c>
      <c r="R1901" s="1">
        <v>390</v>
      </c>
      <c r="S1901" s="1">
        <v>390</v>
      </c>
      <c r="T1901" s="1">
        <v>0</v>
      </c>
      <c r="U1901" s="1">
        <v>390</v>
      </c>
      <c r="V1901" s="1">
        <v>390</v>
      </c>
      <c r="W1901" s="1">
        <v>390</v>
      </c>
      <c r="X1901" s="1">
        <v>390</v>
      </c>
      <c r="Y1901" s="1">
        <v>0</v>
      </c>
      <c r="Z1901" s="1">
        <v>780</v>
      </c>
      <c r="AA1901">
        <v>0</v>
      </c>
      <c r="AB1901" t="str">
        <f t="shared" si="29"/>
        <v>Not Defaulter</v>
      </c>
      <c r="AC1901" s="1">
        <f>Table2[[#This Row],[BILL_AMT1]]-Table2[[#This Row],[PAY_AMT1]]</f>
        <v>1083</v>
      </c>
      <c r="AD1901" s="1" t="str" cm="1">
        <f t="array" ref="AD1901">_xlfn.IFS(Table2[[#This Row],[PAYMENT GAP]]&lt;=0,"No Gap / Overpaid",Table2[[#This Row],[PAYMENT GAP]]&lt;=25000,"Low Gap",Table2[[#This Row],[PAYMENT GAP]]&lt;=100000,"Medium Gap",
TRUE,"High Gap"
)</f>
        <v>Low Gap</v>
      </c>
    </row>
    <row r="1902" spans="1:30" x14ac:dyDescent="0.3">
      <c r="A1902">
        <v>1901</v>
      </c>
      <c r="B1902" s="1">
        <v>30000</v>
      </c>
      <c r="C1902" s="1" t="str" cm="1">
        <f t="array" ref="C1902">_xlfn.IFS(Table2[[#This Row],[LIMIT_BAL]]&lt;=100000,"Low",Table2[[#This Row],[LIMIT_BAL]]&lt;=300000,"Medium",
TRUE,"High"
)</f>
        <v>Low</v>
      </c>
      <c r="D1902" t="s">
        <v>2041</v>
      </c>
      <c r="E1902" t="s">
        <v>2043</v>
      </c>
      <c r="F1902" t="s">
        <v>2029</v>
      </c>
      <c r="G1902">
        <v>22</v>
      </c>
      <c r="H1902" t="str" cm="1">
        <f t="array" ref="H1902">_xlfn.IFS(
Table2[[#This Row],[AGE]]&lt;30,"Young",
Table2[[#This Row],[AGE]]&lt;40,"Middle Age",
Table2[[#This Row],[AGE]]&lt;50,"Senior",
TRUE,"Super Senior"
)</f>
        <v>Young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 s="1">
        <v>27388</v>
      </c>
      <c r="P1902" s="1">
        <v>29016</v>
      </c>
      <c r="Q1902" s="1">
        <v>26941</v>
      </c>
      <c r="R1902" s="1">
        <v>27491</v>
      </c>
      <c r="S1902" s="1">
        <v>6726</v>
      </c>
      <c r="T1902" s="1">
        <v>0</v>
      </c>
      <c r="U1902" s="1">
        <v>2075</v>
      </c>
      <c r="V1902" s="1">
        <v>1000</v>
      </c>
      <c r="W1902" s="1">
        <v>550</v>
      </c>
      <c r="X1902" s="1">
        <v>135</v>
      </c>
      <c r="Y1902" s="1">
        <v>0</v>
      </c>
      <c r="Z1902" s="1">
        <v>0</v>
      </c>
      <c r="AA1902">
        <v>0</v>
      </c>
      <c r="AB1902" t="str">
        <f t="shared" si="29"/>
        <v>Not Defaulter</v>
      </c>
      <c r="AC1902" s="1">
        <f>Table2[[#This Row],[BILL_AMT1]]-Table2[[#This Row],[PAY_AMT1]]</f>
        <v>25313</v>
      </c>
      <c r="AD1902" s="1" t="str" cm="1">
        <f t="array" ref="AD1902">_xlfn.IFS(Table2[[#This Row],[PAYMENT GAP]]&lt;=0,"No Gap / Overpaid",Table2[[#This Row],[PAYMENT GAP]]&lt;=25000,"Low Gap",Table2[[#This Row],[PAYMENT GAP]]&lt;=100000,"Medium Gap",
TRUE,"High Gap"
)</f>
        <v>Medium Gap</v>
      </c>
    </row>
    <row r="1903" spans="1:30" x14ac:dyDescent="0.3">
      <c r="A1903">
        <v>1902</v>
      </c>
      <c r="B1903" s="1">
        <v>110000</v>
      </c>
      <c r="C1903" s="1" t="str" cm="1">
        <f t="array" ref="C1903">_xlfn.IFS(Table2[[#This Row],[LIMIT_BAL]]&lt;=100000,"Low",Table2[[#This Row],[LIMIT_BAL]]&lt;=300000,"Medium",
TRUE,"High"
)</f>
        <v>Medium</v>
      </c>
      <c r="D1903" t="s">
        <v>2041</v>
      </c>
      <c r="E1903" t="s">
        <v>2043</v>
      </c>
      <c r="F1903" t="s">
        <v>2029</v>
      </c>
      <c r="G1903">
        <v>42</v>
      </c>
      <c r="H1903" t="str" cm="1">
        <f t="array" ref="H1903">_xlfn.IFS(
Table2[[#This Row],[AGE]]&lt;30,"Young",
Table2[[#This Row],[AGE]]&lt;40,"Middle Age",
Table2[[#This Row],[AGE]]&lt;50,"Senior",
TRUE,"Super Senior"
)</f>
        <v>Senior</v>
      </c>
      <c r="I1903">
        <v>1</v>
      </c>
      <c r="J1903">
        <v>2</v>
      </c>
      <c r="K1903">
        <v>0</v>
      </c>
      <c r="L1903">
        <v>0</v>
      </c>
      <c r="M1903">
        <v>0</v>
      </c>
      <c r="N1903">
        <v>0</v>
      </c>
      <c r="O1903" s="1">
        <v>57046</v>
      </c>
      <c r="P1903" s="1">
        <v>51005</v>
      </c>
      <c r="Q1903" s="1">
        <v>48572</v>
      </c>
      <c r="R1903" s="1">
        <v>49299</v>
      </c>
      <c r="S1903" s="1">
        <v>47126</v>
      </c>
      <c r="T1903" s="1">
        <v>48215</v>
      </c>
      <c r="U1903" s="1">
        <v>0</v>
      </c>
      <c r="V1903" s="1">
        <v>2100</v>
      </c>
      <c r="W1903" s="1">
        <v>2500</v>
      </c>
      <c r="X1903" s="1">
        <v>2000</v>
      </c>
      <c r="Y1903" s="1">
        <v>2250</v>
      </c>
      <c r="Z1903" s="1">
        <v>1200</v>
      </c>
      <c r="AA1903">
        <v>0</v>
      </c>
      <c r="AB1903" t="str">
        <f t="shared" si="29"/>
        <v>Not Defaulter</v>
      </c>
      <c r="AC1903" s="1">
        <f>Table2[[#This Row],[BILL_AMT1]]-Table2[[#This Row],[PAY_AMT1]]</f>
        <v>57046</v>
      </c>
      <c r="AD1903" s="1" t="str" cm="1">
        <f t="array" ref="AD1903">_xlfn.IFS(Table2[[#This Row],[PAYMENT GAP]]&lt;=0,"No Gap / Overpaid",Table2[[#This Row],[PAYMENT GAP]]&lt;=25000,"Low Gap",Table2[[#This Row],[PAYMENT GAP]]&lt;=100000,"Medium Gap",
TRUE,"High Gap"
)</f>
        <v>Medium Gap</v>
      </c>
    </row>
    <row r="1904" spans="1:30" x14ac:dyDescent="0.3">
      <c r="A1904">
        <v>1903</v>
      </c>
      <c r="B1904" s="1">
        <v>500000</v>
      </c>
      <c r="C1904" s="1" t="str" cm="1">
        <f t="array" ref="C1904">_xlfn.IFS(Table2[[#This Row],[LIMIT_BAL]]&lt;=100000,"Low",Table2[[#This Row],[LIMIT_BAL]]&lt;=300000,"Medium",
TRUE,"High"
)</f>
        <v>High</v>
      </c>
      <c r="D1904" t="s">
        <v>2042</v>
      </c>
      <c r="E1904" t="s">
        <v>2026</v>
      </c>
      <c r="F1904" t="s">
        <v>2028</v>
      </c>
      <c r="G1904">
        <v>39</v>
      </c>
      <c r="H1904" t="str" cm="1">
        <f t="array" ref="H1904">_xlfn.IFS(
Table2[[#This Row],[AGE]]&lt;30,"Young",
Table2[[#This Row],[AGE]]&lt;40,"Middle Age",
Table2[[#This Row],[AGE]]&lt;50,"Senior",
TRUE,"Super Senior"
)</f>
        <v>Middle Age</v>
      </c>
      <c r="I1904">
        <v>-1</v>
      </c>
      <c r="J1904">
        <v>-1</v>
      </c>
      <c r="K1904">
        <v>-1</v>
      </c>
      <c r="L1904">
        <v>-1</v>
      </c>
      <c r="M1904">
        <v>-1</v>
      </c>
      <c r="N1904">
        <v>-1</v>
      </c>
      <c r="O1904" s="1">
        <v>6057</v>
      </c>
      <c r="P1904" s="1">
        <v>9418</v>
      </c>
      <c r="Q1904" s="1">
        <v>7667</v>
      </c>
      <c r="R1904" s="1">
        <v>6222</v>
      </c>
      <c r="S1904" s="1">
        <v>9435</v>
      </c>
      <c r="T1904" s="1">
        <v>7235</v>
      </c>
      <c r="U1904" s="1">
        <v>9418</v>
      </c>
      <c r="V1904" s="1">
        <v>7667</v>
      </c>
      <c r="W1904" s="1">
        <v>6222</v>
      </c>
      <c r="X1904" s="1">
        <v>9435</v>
      </c>
      <c r="Y1904" s="1">
        <v>7235</v>
      </c>
      <c r="Z1904" s="1">
        <v>8840</v>
      </c>
      <c r="AA1904">
        <v>0</v>
      </c>
      <c r="AB1904" t="str">
        <f t="shared" si="29"/>
        <v>Not Defaulter</v>
      </c>
      <c r="AC1904" s="1">
        <f>Table2[[#This Row],[BILL_AMT1]]-Table2[[#This Row],[PAY_AMT1]]</f>
        <v>-3361</v>
      </c>
      <c r="AD1904" s="1" t="str" cm="1">
        <f t="array" ref="AD1904">_xlfn.IFS(Table2[[#This Row],[PAYMENT GAP]]&lt;=0,"No Gap / Overpaid",Table2[[#This Row],[PAYMENT GAP]]&lt;=25000,"Low Gap",Table2[[#This Row],[PAYMENT GAP]]&lt;=100000,"Medium Gap",
TRUE,"High Gap"
)</f>
        <v>No Gap / Overpaid</v>
      </c>
    </row>
    <row r="1905" spans="1:30" x14ac:dyDescent="0.3">
      <c r="A1905">
        <v>1904</v>
      </c>
      <c r="B1905" s="1">
        <v>310000</v>
      </c>
      <c r="C1905" s="1" t="str" cm="1">
        <f t="array" ref="C1905">_xlfn.IFS(Table2[[#This Row],[LIMIT_BAL]]&lt;=100000,"Low",Table2[[#This Row],[LIMIT_BAL]]&lt;=300000,"Medium",
TRUE,"High"
)</f>
        <v>High</v>
      </c>
      <c r="D1905" t="s">
        <v>2041</v>
      </c>
      <c r="E1905" t="s">
        <v>2026</v>
      </c>
      <c r="F1905" t="s">
        <v>2029</v>
      </c>
      <c r="G1905">
        <v>32</v>
      </c>
      <c r="H1905" t="str" cm="1">
        <f t="array" ref="H1905">_xlfn.IFS(
Table2[[#This Row],[AGE]]&lt;30,"Young",
Table2[[#This Row],[AGE]]&lt;40,"Middle Age",
Table2[[#This Row],[AGE]]&lt;50,"Senior",
TRUE,"Super Senior"
)</f>
        <v>Middle Age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 s="1">
        <v>35064</v>
      </c>
      <c r="P1905" s="1">
        <v>38195</v>
      </c>
      <c r="Q1905" s="1">
        <v>39233</v>
      </c>
      <c r="R1905" s="1">
        <v>39577</v>
      </c>
      <c r="S1905" s="1">
        <v>42996</v>
      </c>
      <c r="T1905" s="1">
        <v>46319</v>
      </c>
      <c r="U1905" s="1">
        <v>4000</v>
      </c>
      <c r="V1905" s="1">
        <v>2000</v>
      </c>
      <c r="W1905" s="1">
        <v>2000</v>
      </c>
      <c r="X1905" s="1">
        <v>4000</v>
      </c>
      <c r="Y1905" s="1">
        <v>4000</v>
      </c>
      <c r="Z1905" s="1">
        <v>4000</v>
      </c>
      <c r="AA1905">
        <v>0</v>
      </c>
      <c r="AB1905" t="str">
        <f t="shared" si="29"/>
        <v>Not Defaulter</v>
      </c>
      <c r="AC1905" s="1">
        <f>Table2[[#This Row],[BILL_AMT1]]-Table2[[#This Row],[PAY_AMT1]]</f>
        <v>31064</v>
      </c>
      <c r="AD1905" s="1" t="str" cm="1">
        <f t="array" ref="AD1905">_xlfn.IFS(Table2[[#This Row],[PAYMENT GAP]]&lt;=0,"No Gap / Overpaid",Table2[[#This Row],[PAYMENT GAP]]&lt;=25000,"Low Gap",Table2[[#This Row],[PAYMENT GAP]]&lt;=100000,"Medium Gap",
TRUE,"High Gap"
)</f>
        <v>Medium Gap</v>
      </c>
    </row>
    <row r="1906" spans="1:30" x14ac:dyDescent="0.3">
      <c r="A1906">
        <v>1905</v>
      </c>
      <c r="B1906" s="1">
        <v>580000</v>
      </c>
      <c r="C1906" s="1" t="str" cm="1">
        <f t="array" ref="C1906">_xlfn.IFS(Table2[[#This Row],[LIMIT_BAL]]&lt;=100000,"Low",Table2[[#This Row],[LIMIT_BAL]]&lt;=300000,"Medium",
TRUE,"High"
)</f>
        <v>High</v>
      </c>
      <c r="D1906" t="s">
        <v>2042</v>
      </c>
      <c r="E1906" t="s">
        <v>2043</v>
      </c>
      <c r="F1906" t="s">
        <v>2028</v>
      </c>
      <c r="G1906">
        <v>37</v>
      </c>
      <c r="H1906" t="str" cm="1">
        <f t="array" ref="H1906">_xlfn.IFS(
Table2[[#This Row],[AGE]]&lt;30,"Young",
Table2[[#This Row],[AGE]]&lt;40,"Middle Age",
Table2[[#This Row],[AGE]]&lt;50,"Senior",
TRUE,"Super Senior"
)</f>
        <v>Middle Age</v>
      </c>
      <c r="I1906">
        <v>0</v>
      </c>
      <c r="J1906">
        <v>0</v>
      </c>
      <c r="K1906">
        <v>0</v>
      </c>
      <c r="L1906">
        <v>0</v>
      </c>
      <c r="M1906">
        <v>-1</v>
      </c>
      <c r="N1906">
        <v>-1</v>
      </c>
      <c r="O1906" s="1">
        <v>110417</v>
      </c>
      <c r="P1906" s="1">
        <v>89301</v>
      </c>
      <c r="Q1906" s="1">
        <v>82057</v>
      </c>
      <c r="R1906" s="1">
        <v>27666</v>
      </c>
      <c r="S1906" s="1">
        <v>20226</v>
      </c>
      <c r="T1906" s="1">
        <v>276422</v>
      </c>
      <c r="U1906" s="1">
        <v>3757</v>
      </c>
      <c r="V1906" s="1">
        <v>2299</v>
      </c>
      <c r="W1906" s="1">
        <v>618</v>
      </c>
      <c r="X1906" s="1">
        <v>2636</v>
      </c>
      <c r="Y1906" s="1">
        <v>326889</v>
      </c>
      <c r="Z1906" s="1">
        <v>8689</v>
      </c>
      <c r="AA1906">
        <v>0</v>
      </c>
      <c r="AB1906" t="str">
        <f t="shared" si="29"/>
        <v>Not Defaulter</v>
      </c>
      <c r="AC1906" s="1">
        <f>Table2[[#This Row],[BILL_AMT1]]-Table2[[#This Row],[PAY_AMT1]]</f>
        <v>106660</v>
      </c>
      <c r="AD1906" s="1" t="str" cm="1">
        <f t="array" ref="AD1906">_xlfn.IFS(Table2[[#This Row],[PAYMENT GAP]]&lt;=0,"No Gap / Overpaid",Table2[[#This Row],[PAYMENT GAP]]&lt;=25000,"Low Gap",Table2[[#This Row],[PAYMENT GAP]]&lt;=100000,"Medium Gap",
TRUE,"High Gap"
)</f>
        <v>High Gap</v>
      </c>
    </row>
    <row r="1907" spans="1:30" x14ac:dyDescent="0.3">
      <c r="A1907">
        <v>1906</v>
      </c>
      <c r="B1907" s="1">
        <v>340000</v>
      </c>
      <c r="C1907" s="1" t="str" cm="1">
        <f t="array" ref="C1907">_xlfn.IFS(Table2[[#This Row],[LIMIT_BAL]]&lt;=100000,"Low",Table2[[#This Row],[LIMIT_BAL]]&lt;=300000,"Medium",
TRUE,"High"
)</f>
        <v>High</v>
      </c>
      <c r="D1907" t="s">
        <v>2041</v>
      </c>
      <c r="E1907" t="s">
        <v>2026</v>
      </c>
      <c r="F1907" t="s">
        <v>2028</v>
      </c>
      <c r="G1907">
        <v>36</v>
      </c>
      <c r="H1907" t="str" cm="1">
        <f t="array" ref="H1907">_xlfn.IFS(
Table2[[#This Row],[AGE]]&lt;30,"Young",
Table2[[#This Row],[AGE]]&lt;40,"Middle Age",
Table2[[#This Row],[AGE]]&lt;50,"Senior",
TRUE,"Super Senior"
)</f>
        <v>Middle Age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 s="1">
        <v>185268</v>
      </c>
      <c r="P1907" s="1">
        <v>326074</v>
      </c>
      <c r="Q1907" s="1">
        <v>276519</v>
      </c>
      <c r="R1907" s="1">
        <v>251815</v>
      </c>
      <c r="S1907" s="1">
        <v>218706</v>
      </c>
      <c r="T1907" s="1">
        <v>165666</v>
      </c>
      <c r="U1907" s="1">
        <v>160444</v>
      </c>
      <c r="V1907" s="1">
        <v>10143</v>
      </c>
      <c r="W1907" s="1">
        <v>7190</v>
      </c>
      <c r="X1907" s="1">
        <v>6283</v>
      </c>
      <c r="Y1907" s="1">
        <v>5208</v>
      </c>
      <c r="Z1907" s="1">
        <v>4177</v>
      </c>
      <c r="AA1907">
        <v>0</v>
      </c>
      <c r="AB1907" t="str">
        <f t="shared" si="29"/>
        <v>Not Defaulter</v>
      </c>
      <c r="AC1907" s="1">
        <f>Table2[[#This Row],[BILL_AMT1]]-Table2[[#This Row],[PAY_AMT1]]</f>
        <v>24824</v>
      </c>
      <c r="AD1907" s="1" t="str" cm="1">
        <f t="array" ref="AD1907">_xlfn.IFS(Table2[[#This Row],[PAYMENT GAP]]&lt;=0,"No Gap / Overpaid",Table2[[#This Row],[PAYMENT GAP]]&lt;=25000,"Low Gap",Table2[[#This Row],[PAYMENT GAP]]&lt;=100000,"Medium Gap",
TRUE,"High Gap"
)</f>
        <v>Low Gap</v>
      </c>
    </row>
    <row r="1908" spans="1:30" x14ac:dyDescent="0.3">
      <c r="A1908">
        <v>1907</v>
      </c>
      <c r="B1908" s="1">
        <v>360000</v>
      </c>
      <c r="C1908" s="1" t="str" cm="1">
        <f t="array" ref="C1908">_xlfn.IFS(Table2[[#This Row],[LIMIT_BAL]]&lt;=100000,"Low",Table2[[#This Row],[LIMIT_BAL]]&lt;=300000,"Medium",
TRUE,"High"
)</f>
        <v>High</v>
      </c>
      <c r="D1908" t="s">
        <v>2041</v>
      </c>
      <c r="E1908" t="s">
        <v>2043</v>
      </c>
      <c r="F1908" t="s">
        <v>2028</v>
      </c>
      <c r="G1908">
        <v>42</v>
      </c>
      <c r="H1908" t="str" cm="1">
        <f t="array" ref="H1908">_xlfn.IFS(
Table2[[#This Row],[AGE]]&lt;30,"Young",
Table2[[#This Row],[AGE]]&lt;40,"Middle Age",
Table2[[#This Row],[AGE]]&lt;50,"Senior",
TRUE,"Super Senior"
)</f>
        <v>Senior</v>
      </c>
      <c r="I1908">
        <v>-1</v>
      </c>
      <c r="J1908">
        <v>-1</v>
      </c>
      <c r="K1908">
        <v>-1</v>
      </c>
      <c r="L1908">
        <v>-1</v>
      </c>
      <c r="M1908">
        <v>-1</v>
      </c>
      <c r="N1908">
        <v>-1</v>
      </c>
      <c r="O1908" s="1">
        <v>22237</v>
      </c>
      <c r="P1908" s="1">
        <v>5683</v>
      </c>
      <c r="Q1908" s="1">
        <v>1632</v>
      </c>
      <c r="R1908" s="1">
        <v>1632</v>
      </c>
      <c r="S1908" s="1">
        <v>22379</v>
      </c>
      <c r="T1908" s="1">
        <v>8901</v>
      </c>
      <c r="U1908" s="1">
        <v>6695</v>
      </c>
      <c r="V1908" s="1">
        <v>1632</v>
      </c>
      <c r="W1908" s="1">
        <v>1632</v>
      </c>
      <c r="X1908" s="1">
        <v>22379</v>
      </c>
      <c r="Y1908" s="1">
        <v>8901</v>
      </c>
      <c r="Z1908" s="1">
        <v>4852</v>
      </c>
      <c r="AA1908">
        <v>0</v>
      </c>
      <c r="AB1908" t="str">
        <f t="shared" si="29"/>
        <v>Not Defaulter</v>
      </c>
      <c r="AC1908" s="1">
        <f>Table2[[#This Row],[BILL_AMT1]]-Table2[[#This Row],[PAY_AMT1]]</f>
        <v>15542</v>
      </c>
      <c r="AD1908" s="1" t="str" cm="1">
        <f t="array" ref="AD1908">_xlfn.IFS(Table2[[#This Row],[PAYMENT GAP]]&lt;=0,"No Gap / Overpaid",Table2[[#This Row],[PAYMENT GAP]]&lt;=25000,"Low Gap",Table2[[#This Row],[PAYMENT GAP]]&lt;=100000,"Medium Gap",
TRUE,"High Gap"
)</f>
        <v>Low Gap</v>
      </c>
    </row>
    <row r="1909" spans="1:30" x14ac:dyDescent="0.3">
      <c r="A1909">
        <v>1908</v>
      </c>
      <c r="B1909" s="1">
        <v>290000</v>
      </c>
      <c r="C1909" s="1" t="str" cm="1">
        <f t="array" ref="C1909">_xlfn.IFS(Table2[[#This Row],[LIMIT_BAL]]&lt;=100000,"Low",Table2[[#This Row],[LIMIT_BAL]]&lt;=300000,"Medium",
TRUE,"High"
)</f>
        <v>Medium</v>
      </c>
      <c r="D1909" t="s">
        <v>2041</v>
      </c>
      <c r="E1909" t="s">
        <v>2026</v>
      </c>
      <c r="F1909" t="s">
        <v>2029</v>
      </c>
      <c r="G1909">
        <v>29</v>
      </c>
      <c r="H1909" t="str" cm="1">
        <f t="array" ref="H1909">_xlfn.IFS(
Table2[[#This Row],[AGE]]&lt;30,"Young",
Table2[[#This Row],[AGE]]&lt;40,"Middle Age",
Table2[[#This Row],[AGE]]&lt;50,"Senior",
TRUE,"Super Senior"
)</f>
        <v>Young</v>
      </c>
      <c r="I1909">
        <v>-1</v>
      </c>
      <c r="J1909">
        <v>-1</v>
      </c>
      <c r="K1909">
        <v>-1</v>
      </c>
      <c r="L1909">
        <v>-1</v>
      </c>
      <c r="M1909">
        <v>-1</v>
      </c>
      <c r="N1909">
        <v>-1</v>
      </c>
      <c r="O1909" s="1">
        <v>578</v>
      </c>
      <c r="P1909" s="1">
        <v>7124</v>
      </c>
      <c r="Q1909" s="1">
        <v>7620</v>
      </c>
      <c r="R1909" s="1">
        <v>0</v>
      </c>
      <c r="S1909" s="1">
        <v>4788</v>
      </c>
      <c r="T1909" s="1">
        <v>0</v>
      </c>
      <c r="U1909" s="1">
        <v>7129</v>
      </c>
      <c r="V1909" s="1">
        <v>7620</v>
      </c>
      <c r="W1909" s="1">
        <v>0</v>
      </c>
      <c r="X1909" s="1">
        <v>4788</v>
      </c>
      <c r="Y1909" s="1">
        <v>0</v>
      </c>
      <c r="Z1909" s="1">
        <v>7026</v>
      </c>
      <c r="AA1909">
        <v>0</v>
      </c>
      <c r="AB1909" t="str">
        <f t="shared" si="29"/>
        <v>Not Defaulter</v>
      </c>
      <c r="AC1909" s="1">
        <f>Table2[[#This Row],[BILL_AMT1]]-Table2[[#This Row],[PAY_AMT1]]</f>
        <v>-6551</v>
      </c>
      <c r="AD1909" s="1" t="str" cm="1">
        <f t="array" ref="AD1909">_xlfn.IFS(Table2[[#This Row],[PAYMENT GAP]]&lt;=0,"No Gap / Overpaid",Table2[[#This Row],[PAYMENT GAP]]&lt;=25000,"Low Gap",Table2[[#This Row],[PAYMENT GAP]]&lt;=100000,"Medium Gap",
TRUE,"High Gap"
)</f>
        <v>No Gap / Overpaid</v>
      </c>
    </row>
    <row r="1910" spans="1:30" x14ac:dyDescent="0.3">
      <c r="A1910">
        <v>1909</v>
      </c>
      <c r="B1910" s="1">
        <v>30000</v>
      </c>
      <c r="C1910" s="1" t="str" cm="1">
        <f t="array" ref="C1910">_xlfn.IFS(Table2[[#This Row],[LIMIT_BAL]]&lt;=100000,"Low",Table2[[#This Row],[LIMIT_BAL]]&lt;=300000,"Medium",
TRUE,"High"
)</f>
        <v>Low</v>
      </c>
      <c r="D1910" t="s">
        <v>2042</v>
      </c>
      <c r="E1910" t="s">
        <v>2043</v>
      </c>
      <c r="F1910" t="s">
        <v>2029</v>
      </c>
      <c r="G1910">
        <v>36</v>
      </c>
      <c r="H1910" t="str" cm="1">
        <f t="array" ref="H1910">_xlfn.IFS(
Table2[[#This Row],[AGE]]&lt;30,"Young",
Table2[[#This Row],[AGE]]&lt;40,"Middle Age",
Table2[[#This Row],[AGE]]&lt;50,"Senior",
TRUE,"Super Senior"
)</f>
        <v>Middle Age</v>
      </c>
      <c r="I1910">
        <v>3</v>
      </c>
      <c r="J1910">
        <v>2</v>
      </c>
      <c r="K1910">
        <v>2</v>
      </c>
      <c r="L1910">
        <v>2</v>
      </c>
      <c r="M1910">
        <v>3</v>
      </c>
      <c r="N1910">
        <v>2</v>
      </c>
      <c r="O1910" s="1">
        <v>20424</v>
      </c>
      <c r="P1910" s="1">
        <v>19809</v>
      </c>
      <c r="Q1910" s="1">
        <v>22478</v>
      </c>
      <c r="R1910" s="1">
        <v>24111</v>
      </c>
      <c r="S1910" s="1">
        <v>23447</v>
      </c>
      <c r="T1910" s="1">
        <v>24951</v>
      </c>
      <c r="U1910" s="1">
        <v>0</v>
      </c>
      <c r="V1910" s="1">
        <v>3000</v>
      </c>
      <c r="W1910" s="1">
        <v>2300</v>
      </c>
      <c r="X1910" s="1">
        <v>0</v>
      </c>
      <c r="Y1910" s="1">
        <v>2500</v>
      </c>
      <c r="Z1910" s="1">
        <v>0</v>
      </c>
      <c r="AA1910">
        <v>0</v>
      </c>
      <c r="AB1910" t="str">
        <f t="shared" si="29"/>
        <v>Not Defaulter</v>
      </c>
      <c r="AC1910" s="1">
        <f>Table2[[#This Row],[BILL_AMT1]]-Table2[[#This Row],[PAY_AMT1]]</f>
        <v>20424</v>
      </c>
      <c r="AD1910" s="1" t="str" cm="1">
        <f t="array" ref="AD1910">_xlfn.IFS(Table2[[#This Row],[PAYMENT GAP]]&lt;=0,"No Gap / Overpaid",Table2[[#This Row],[PAYMENT GAP]]&lt;=25000,"Low Gap",Table2[[#This Row],[PAYMENT GAP]]&lt;=100000,"Medium Gap",
TRUE,"High Gap"
)</f>
        <v>Low Gap</v>
      </c>
    </row>
    <row r="1911" spans="1:30" x14ac:dyDescent="0.3">
      <c r="A1911">
        <v>1910</v>
      </c>
      <c r="B1911" s="1">
        <v>80000</v>
      </c>
      <c r="C1911" s="1" t="str" cm="1">
        <f t="array" ref="C1911">_xlfn.IFS(Table2[[#This Row],[LIMIT_BAL]]&lt;=100000,"Low",Table2[[#This Row],[LIMIT_BAL]]&lt;=300000,"Medium",
TRUE,"High"
)</f>
        <v>Low</v>
      </c>
      <c r="D1911" t="s">
        <v>2041</v>
      </c>
      <c r="E1911" t="s">
        <v>2026</v>
      </c>
      <c r="F1911" t="s">
        <v>2029</v>
      </c>
      <c r="G1911">
        <v>29</v>
      </c>
      <c r="H1911" t="str" cm="1">
        <f t="array" ref="H1911">_xlfn.IFS(
Table2[[#This Row],[AGE]]&lt;30,"Young",
Table2[[#This Row],[AGE]]&lt;40,"Middle Age",
Table2[[#This Row],[AGE]]&lt;50,"Senior",
TRUE,"Super Senior"
)</f>
        <v>Young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 s="1">
        <v>26524</v>
      </c>
      <c r="P1911" s="1">
        <v>23224</v>
      </c>
      <c r="Q1911" s="1">
        <v>23141</v>
      </c>
      <c r="R1911" s="1">
        <v>22160</v>
      </c>
      <c r="S1911" s="1">
        <v>21478</v>
      </c>
      <c r="T1911" s="1">
        <v>20441</v>
      </c>
      <c r="U1911" s="1">
        <v>1500</v>
      </c>
      <c r="V1911" s="1">
        <v>1700</v>
      </c>
      <c r="W1911" s="1">
        <v>1000</v>
      </c>
      <c r="X1911" s="1">
        <v>1000</v>
      </c>
      <c r="Y1911" s="1">
        <v>1000</v>
      </c>
      <c r="Z1911" s="1">
        <v>1500</v>
      </c>
      <c r="AA1911">
        <v>0</v>
      </c>
      <c r="AB1911" t="str">
        <f t="shared" si="29"/>
        <v>Not Defaulter</v>
      </c>
      <c r="AC1911" s="1">
        <f>Table2[[#This Row],[BILL_AMT1]]-Table2[[#This Row],[PAY_AMT1]]</f>
        <v>25024</v>
      </c>
      <c r="AD1911" s="1" t="str" cm="1">
        <f t="array" ref="AD1911">_xlfn.IFS(Table2[[#This Row],[PAYMENT GAP]]&lt;=0,"No Gap / Overpaid",Table2[[#This Row],[PAYMENT GAP]]&lt;=25000,"Low Gap",Table2[[#This Row],[PAYMENT GAP]]&lt;=100000,"Medium Gap",
TRUE,"High Gap"
)</f>
        <v>Medium Gap</v>
      </c>
    </row>
    <row r="1912" spans="1:30" x14ac:dyDescent="0.3">
      <c r="A1912">
        <v>1911</v>
      </c>
      <c r="B1912" s="1">
        <v>360000</v>
      </c>
      <c r="C1912" s="1" t="str" cm="1">
        <f t="array" ref="C1912">_xlfn.IFS(Table2[[#This Row],[LIMIT_BAL]]&lt;=100000,"Low",Table2[[#This Row],[LIMIT_BAL]]&lt;=300000,"Medium",
TRUE,"High"
)</f>
        <v>High</v>
      </c>
      <c r="D1912" t="s">
        <v>2042</v>
      </c>
      <c r="E1912" t="s">
        <v>2026</v>
      </c>
      <c r="F1912" t="s">
        <v>2028</v>
      </c>
      <c r="G1912">
        <v>38</v>
      </c>
      <c r="H1912" t="str" cm="1">
        <f t="array" ref="H1912">_xlfn.IFS(
Table2[[#This Row],[AGE]]&lt;30,"Young",
Table2[[#This Row],[AGE]]&lt;40,"Middle Age",
Table2[[#This Row],[AGE]]&lt;50,"Senior",
TRUE,"Super Senior"
)</f>
        <v>Middle Age</v>
      </c>
      <c r="I1912">
        <v>-1</v>
      </c>
      <c r="J1912">
        <v>-1</v>
      </c>
      <c r="K1912">
        <v>-1</v>
      </c>
      <c r="L1912">
        <v>-1</v>
      </c>
      <c r="M1912">
        <v>-1</v>
      </c>
      <c r="N1912">
        <v>-1</v>
      </c>
      <c r="O1912" s="1">
        <v>780</v>
      </c>
      <c r="P1912" s="1">
        <v>0</v>
      </c>
      <c r="Q1912" s="1">
        <v>390</v>
      </c>
      <c r="R1912" s="1">
        <v>390</v>
      </c>
      <c r="S1912" s="1">
        <v>390</v>
      </c>
      <c r="T1912" s="1">
        <v>390</v>
      </c>
      <c r="U1912" s="1">
        <v>0</v>
      </c>
      <c r="V1912" s="1">
        <v>390</v>
      </c>
      <c r="W1912" s="1">
        <v>390</v>
      </c>
      <c r="X1912" s="1">
        <v>390</v>
      </c>
      <c r="Y1912" s="1">
        <v>390</v>
      </c>
      <c r="Z1912" s="1">
        <v>390</v>
      </c>
      <c r="AA1912">
        <v>1</v>
      </c>
      <c r="AB1912" t="str">
        <f t="shared" si="29"/>
        <v>Defaulter</v>
      </c>
      <c r="AC1912" s="1">
        <f>Table2[[#This Row],[BILL_AMT1]]-Table2[[#This Row],[PAY_AMT1]]</f>
        <v>780</v>
      </c>
      <c r="AD1912" s="1" t="str" cm="1">
        <f t="array" ref="AD1912">_xlfn.IFS(Table2[[#This Row],[PAYMENT GAP]]&lt;=0,"No Gap / Overpaid",Table2[[#This Row],[PAYMENT GAP]]&lt;=25000,"Low Gap",Table2[[#This Row],[PAYMENT GAP]]&lt;=100000,"Medium Gap",
TRUE,"High Gap"
)</f>
        <v>Low Gap</v>
      </c>
    </row>
    <row r="1913" spans="1:30" x14ac:dyDescent="0.3">
      <c r="A1913">
        <v>1912</v>
      </c>
      <c r="B1913" s="1">
        <v>170000</v>
      </c>
      <c r="C1913" s="1" t="str" cm="1">
        <f t="array" ref="C1913">_xlfn.IFS(Table2[[#This Row],[LIMIT_BAL]]&lt;=100000,"Low",Table2[[#This Row],[LIMIT_BAL]]&lt;=300000,"Medium",
TRUE,"High"
)</f>
        <v>Medium</v>
      </c>
      <c r="D1913" t="s">
        <v>2041</v>
      </c>
      <c r="E1913" t="s">
        <v>2026</v>
      </c>
      <c r="F1913" t="s">
        <v>2029</v>
      </c>
      <c r="G1913">
        <v>31</v>
      </c>
      <c r="H1913" t="str" cm="1">
        <f t="array" ref="H1913">_xlfn.IFS(
Table2[[#This Row],[AGE]]&lt;30,"Young",
Table2[[#This Row],[AGE]]&lt;40,"Middle Age",
Table2[[#This Row],[AGE]]&lt;50,"Senior",
TRUE,"Super Senior"
)</f>
        <v>Middle Age</v>
      </c>
      <c r="I1913">
        <v>-1</v>
      </c>
      <c r="J1913">
        <v>-1</v>
      </c>
      <c r="K1913">
        <v>-1</v>
      </c>
      <c r="L1913">
        <v>-1</v>
      </c>
      <c r="M1913">
        <v>-1</v>
      </c>
      <c r="N1913">
        <v>-1</v>
      </c>
      <c r="O1913" s="1">
        <v>1561</v>
      </c>
      <c r="P1913" s="1">
        <v>1239</v>
      </c>
      <c r="Q1913" s="1">
        <v>7315</v>
      </c>
      <c r="R1913" s="1">
        <v>10730</v>
      </c>
      <c r="S1913" s="1">
        <v>1686</v>
      </c>
      <c r="T1913" s="1">
        <v>9445</v>
      </c>
      <c r="U1913" s="1">
        <v>1239</v>
      </c>
      <c r="V1913" s="1">
        <v>7352</v>
      </c>
      <c r="W1913" s="1">
        <v>10730</v>
      </c>
      <c r="X1913" s="1">
        <v>1686</v>
      </c>
      <c r="Y1913" s="1">
        <v>9445</v>
      </c>
      <c r="Z1913" s="1">
        <v>3444</v>
      </c>
      <c r="AA1913">
        <v>0</v>
      </c>
      <c r="AB1913" t="str">
        <f t="shared" si="29"/>
        <v>Not Defaulter</v>
      </c>
      <c r="AC1913" s="1">
        <f>Table2[[#This Row],[BILL_AMT1]]-Table2[[#This Row],[PAY_AMT1]]</f>
        <v>322</v>
      </c>
      <c r="AD1913" s="1" t="str" cm="1">
        <f t="array" ref="AD1913">_xlfn.IFS(Table2[[#This Row],[PAYMENT GAP]]&lt;=0,"No Gap / Overpaid",Table2[[#This Row],[PAYMENT GAP]]&lt;=25000,"Low Gap",Table2[[#This Row],[PAYMENT GAP]]&lt;=100000,"Medium Gap",
TRUE,"High Gap"
)</f>
        <v>Low Gap</v>
      </c>
    </row>
    <row r="1914" spans="1:30" x14ac:dyDescent="0.3">
      <c r="A1914">
        <v>1913</v>
      </c>
      <c r="B1914" s="1">
        <v>100000</v>
      </c>
      <c r="C1914" s="1" t="str" cm="1">
        <f t="array" ref="C1914">_xlfn.IFS(Table2[[#This Row],[LIMIT_BAL]]&lt;=100000,"Low",Table2[[#This Row],[LIMIT_BAL]]&lt;=300000,"Medium",
TRUE,"High"
)</f>
        <v>Low</v>
      </c>
      <c r="D1914" t="s">
        <v>2042</v>
      </c>
      <c r="E1914" t="s">
        <v>2043</v>
      </c>
      <c r="F1914" t="s">
        <v>2028</v>
      </c>
      <c r="G1914">
        <v>42</v>
      </c>
      <c r="H1914" t="str" cm="1">
        <f t="array" ref="H1914">_xlfn.IFS(
Table2[[#This Row],[AGE]]&lt;30,"Young",
Table2[[#This Row],[AGE]]&lt;40,"Middle Age",
Table2[[#This Row],[AGE]]&lt;50,"Senior",
TRUE,"Super Senior"
)</f>
        <v>Senior</v>
      </c>
      <c r="I1914">
        <v>0</v>
      </c>
      <c r="J1914">
        <v>0</v>
      </c>
      <c r="K1914">
        <v>0</v>
      </c>
      <c r="L1914">
        <v>0</v>
      </c>
      <c r="M1914">
        <v>2</v>
      </c>
      <c r="N1914">
        <v>0</v>
      </c>
      <c r="O1914" s="1">
        <v>56256</v>
      </c>
      <c r="P1914" s="1">
        <v>57685</v>
      </c>
      <c r="Q1914" s="1">
        <v>58156</v>
      </c>
      <c r="R1914" s="1">
        <v>61103</v>
      </c>
      <c r="S1914" s="1">
        <v>59358</v>
      </c>
      <c r="T1914" s="1">
        <v>60060</v>
      </c>
      <c r="U1914" s="1">
        <v>3000</v>
      </c>
      <c r="V1914" s="1">
        <v>2688</v>
      </c>
      <c r="W1914" s="1">
        <v>5163</v>
      </c>
      <c r="X1914" s="1">
        <v>0</v>
      </c>
      <c r="Y1914" s="1">
        <v>2358</v>
      </c>
      <c r="Z1914" s="1">
        <v>2472</v>
      </c>
      <c r="AA1914">
        <v>0</v>
      </c>
      <c r="AB1914" t="str">
        <f t="shared" si="29"/>
        <v>Not Defaulter</v>
      </c>
      <c r="AC1914" s="1">
        <f>Table2[[#This Row],[BILL_AMT1]]-Table2[[#This Row],[PAY_AMT1]]</f>
        <v>53256</v>
      </c>
      <c r="AD1914" s="1" t="str" cm="1">
        <f t="array" ref="AD1914">_xlfn.IFS(Table2[[#This Row],[PAYMENT GAP]]&lt;=0,"No Gap / Overpaid",Table2[[#This Row],[PAYMENT GAP]]&lt;=25000,"Low Gap",Table2[[#This Row],[PAYMENT GAP]]&lt;=100000,"Medium Gap",
TRUE,"High Gap"
)</f>
        <v>Medium Gap</v>
      </c>
    </row>
    <row r="1915" spans="1:30" x14ac:dyDescent="0.3">
      <c r="A1915">
        <v>1914</v>
      </c>
      <c r="B1915" s="1">
        <v>450000</v>
      </c>
      <c r="C1915" s="1" t="str" cm="1">
        <f t="array" ref="C1915">_xlfn.IFS(Table2[[#This Row],[LIMIT_BAL]]&lt;=100000,"Low",Table2[[#This Row],[LIMIT_BAL]]&lt;=300000,"Medium",
TRUE,"High"
)</f>
        <v>High</v>
      </c>
      <c r="D1915" t="s">
        <v>2042</v>
      </c>
      <c r="E1915" t="s">
        <v>2043</v>
      </c>
      <c r="F1915" t="s">
        <v>2029</v>
      </c>
      <c r="G1915">
        <v>37</v>
      </c>
      <c r="H1915" t="str" cm="1">
        <f t="array" ref="H1915">_xlfn.IFS(
Table2[[#This Row],[AGE]]&lt;30,"Young",
Table2[[#This Row],[AGE]]&lt;40,"Middle Age",
Table2[[#This Row],[AGE]]&lt;50,"Senior",
TRUE,"Super Senior"
)</f>
        <v>Middle Age</v>
      </c>
      <c r="I1915">
        <v>0</v>
      </c>
      <c r="J1915">
        <v>0</v>
      </c>
      <c r="K1915">
        <v>-1</v>
      </c>
      <c r="L1915">
        <v>-1</v>
      </c>
      <c r="M1915">
        <v>0</v>
      </c>
      <c r="N1915">
        <v>0</v>
      </c>
      <c r="O1915" s="1">
        <v>457627</v>
      </c>
      <c r="P1915" s="1">
        <v>38692</v>
      </c>
      <c r="Q1915" s="1">
        <v>4549</v>
      </c>
      <c r="R1915" s="1">
        <v>16885</v>
      </c>
      <c r="S1915" s="1">
        <v>6440</v>
      </c>
      <c r="T1915" s="1">
        <v>7440</v>
      </c>
      <c r="U1915" s="1">
        <v>1000</v>
      </c>
      <c r="V1915" s="1">
        <v>4549</v>
      </c>
      <c r="W1915" s="1">
        <v>16885</v>
      </c>
      <c r="X1915" s="1">
        <v>129</v>
      </c>
      <c r="Y1915" s="1">
        <v>1000</v>
      </c>
      <c r="Z1915" s="1">
        <v>0</v>
      </c>
      <c r="AA1915">
        <v>0</v>
      </c>
      <c r="AB1915" t="str">
        <f t="shared" si="29"/>
        <v>Not Defaulter</v>
      </c>
      <c r="AC1915" s="1">
        <f>Table2[[#This Row],[BILL_AMT1]]-Table2[[#This Row],[PAY_AMT1]]</f>
        <v>456627</v>
      </c>
      <c r="AD1915" s="1" t="str" cm="1">
        <f t="array" ref="AD1915">_xlfn.IFS(Table2[[#This Row],[PAYMENT GAP]]&lt;=0,"No Gap / Overpaid",Table2[[#This Row],[PAYMENT GAP]]&lt;=25000,"Low Gap",Table2[[#This Row],[PAYMENT GAP]]&lt;=100000,"Medium Gap",
TRUE,"High Gap"
)</f>
        <v>High Gap</v>
      </c>
    </row>
    <row r="1916" spans="1:30" x14ac:dyDescent="0.3">
      <c r="A1916">
        <v>1915</v>
      </c>
      <c r="B1916" s="1">
        <v>260000</v>
      </c>
      <c r="C1916" s="1" t="str" cm="1">
        <f t="array" ref="C1916">_xlfn.IFS(Table2[[#This Row],[LIMIT_BAL]]&lt;=100000,"Low",Table2[[#This Row],[LIMIT_BAL]]&lt;=300000,"Medium",
TRUE,"High"
)</f>
        <v>Medium</v>
      </c>
      <c r="D1916" t="s">
        <v>2041</v>
      </c>
      <c r="E1916" t="s">
        <v>2026</v>
      </c>
      <c r="F1916" t="s">
        <v>2029</v>
      </c>
      <c r="G1916">
        <v>33</v>
      </c>
      <c r="H1916" t="str" cm="1">
        <f t="array" ref="H1916">_xlfn.IFS(
Table2[[#This Row],[AGE]]&lt;30,"Young",
Table2[[#This Row],[AGE]]&lt;40,"Middle Age",
Table2[[#This Row],[AGE]]&lt;50,"Senior",
TRUE,"Super Senior"
)</f>
        <v>Middle Age</v>
      </c>
      <c r="I1916">
        <v>-2</v>
      </c>
      <c r="J1916">
        <v>-1</v>
      </c>
      <c r="K1916">
        <v>-1</v>
      </c>
      <c r="L1916">
        <v>-1</v>
      </c>
      <c r="M1916">
        <v>0</v>
      </c>
      <c r="N1916">
        <v>0</v>
      </c>
      <c r="O1916" s="1">
        <v>0</v>
      </c>
      <c r="P1916" s="1">
        <v>204</v>
      </c>
      <c r="Q1916" s="1">
        <v>-810</v>
      </c>
      <c r="R1916" s="1">
        <v>2190</v>
      </c>
      <c r="S1916" s="1">
        <v>810</v>
      </c>
      <c r="T1916" s="1">
        <v>0</v>
      </c>
      <c r="U1916" s="1">
        <v>204</v>
      </c>
      <c r="V1916" s="1">
        <v>0</v>
      </c>
      <c r="W1916" s="1">
        <v>3000</v>
      </c>
      <c r="X1916" s="1">
        <v>0</v>
      </c>
      <c r="Y1916" s="1">
        <v>0</v>
      </c>
      <c r="Z1916" s="1">
        <v>0</v>
      </c>
      <c r="AA1916">
        <v>0</v>
      </c>
      <c r="AB1916" t="str">
        <f t="shared" si="29"/>
        <v>Not Defaulter</v>
      </c>
      <c r="AC1916" s="1">
        <f>Table2[[#This Row],[BILL_AMT1]]-Table2[[#This Row],[PAY_AMT1]]</f>
        <v>-204</v>
      </c>
      <c r="AD1916" s="1" t="str" cm="1">
        <f t="array" ref="AD1916">_xlfn.IFS(Table2[[#This Row],[PAYMENT GAP]]&lt;=0,"No Gap / Overpaid",Table2[[#This Row],[PAYMENT GAP]]&lt;=25000,"Low Gap",Table2[[#This Row],[PAYMENT GAP]]&lt;=100000,"Medium Gap",
TRUE,"High Gap"
)</f>
        <v>No Gap / Overpaid</v>
      </c>
    </row>
    <row r="1917" spans="1:30" x14ac:dyDescent="0.3">
      <c r="A1917">
        <v>1916</v>
      </c>
      <c r="B1917" s="1">
        <v>240000</v>
      </c>
      <c r="C1917" s="1" t="str" cm="1">
        <f t="array" ref="C1917">_xlfn.IFS(Table2[[#This Row],[LIMIT_BAL]]&lt;=100000,"Low",Table2[[#This Row],[LIMIT_BAL]]&lt;=300000,"Medium",
TRUE,"High"
)</f>
        <v>Medium</v>
      </c>
      <c r="D1917" t="s">
        <v>2041</v>
      </c>
      <c r="E1917" t="s">
        <v>2026</v>
      </c>
      <c r="F1917" t="s">
        <v>2029</v>
      </c>
      <c r="G1917">
        <v>29</v>
      </c>
      <c r="H1917" t="str" cm="1">
        <f t="array" ref="H1917">_xlfn.IFS(
Table2[[#This Row],[AGE]]&lt;30,"Young",
Table2[[#This Row],[AGE]]&lt;40,"Middle Age",
Table2[[#This Row],[AGE]]&lt;50,"Senior",
TRUE,"Super Senior"
)</f>
        <v>Young</v>
      </c>
      <c r="I1917">
        <v>0</v>
      </c>
      <c r="J1917">
        <v>0</v>
      </c>
      <c r="K1917">
        <v>0</v>
      </c>
      <c r="L1917">
        <v>-1</v>
      </c>
      <c r="M1917">
        <v>-1</v>
      </c>
      <c r="N1917">
        <v>-1</v>
      </c>
      <c r="O1917" s="1">
        <v>25700</v>
      </c>
      <c r="P1917" s="1">
        <v>28677</v>
      </c>
      <c r="Q1917" s="1">
        <v>22081</v>
      </c>
      <c r="R1917" s="1">
        <v>3428</v>
      </c>
      <c r="S1917" s="1">
        <v>67</v>
      </c>
      <c r="T1917" s="1">
        <v>1832</v>
      </c>
      <c r="U1917" s="1">
        <v>5009</v>
      </c>
      <c r="V1917" s="1">
        <v>2000</v>
      </c>
      <c r="W1917" s="1">
        <v>5000</v>
      </c>
      <c r="X1917" s="1">
        <v>0</v>
      </c>
      <c r="Y1917" s="1">
        <v>3332</v>
      </c>
      <c r="Z1917" s="1">
        <v>0</v>
      </c>
      <c r="AA1917">
        <v>0</v>
      </c>
      <c r="AB1917" t="str">
        <f t="shared" si="29"/>
        <v>Not Defaulter</v>
      </c>
      <c r="AC1917" s="1">
        <f>Table2[[#This Row],[BILL_AMT1]]-Table2[[#This Row],[PAY_AMT1]]</f>
        <v>20691</v>
      </c>
      <c r="AD1917" s="1" t="str" cm="1">
        <f t="array" ref="AD1917">_xlfn.IFS(Table2[[#This Row],[PAYMENT GAP]]&lt;=0,"No Gap / Overpaid",Table2[[#This Row],[PAYMENT GAP]]&lt;=25000,"Low Gap",Table2[[#This Row],[PAYMENT GAP]]&lt;=100000,"Medium Gap",
TRUE,"High Gap"
)</f>
        <v>Low Gap</v>
      </c>
    </row>
    <row r="1918" spans="1:30" x14ac:dyDescent="0.3">
      <c r="A1918">
        <v>1917</v>
      </c>
      <c r="B1918" s="1">
        <v>110000</v>
      </c>
      <c r="C1918" s="1" t="str" cm="1">
        <f t="array" ref="C1918">_xlfn.IFS(Table2[[#This Row],[LIMIT_BAL]]&lt;=100000,"Low",Table2[[#This Row],[LIMIT_BAL]]&lt;=300000,"Medium",
TRUE,"High"
)</f>
        <v>Medium</v>
      </c>
      <c r="D1918" t="s">
        <v>2041</v>
      </c>
      <c r="E1918" t="s">
        <v>2043</v>
      </c>
      <c r="F1918" t="s">
        <v>2029</v>
      </c>
      <c r="G1918">
        <v>28</v>
      </c>
      <c r="H1918" t="str" cm="1">
        <f t="array" ref="H1918">_xlfn.IFS(
Table2[[#This Row],[AGE]]&lt;30,"Young",
Table2[[#This Row],[AGE]]&lt;40,"Middle Age",
Table2[[#This Row],[AGE]]&lt;50,"Senior",
TRUE,"Super Senior"
)</f>
        <v>Young</v>
      </c>
      <c r="I1918">
        <v>0</v>
      </c>
      <c r="J1918">
        <v>0</v>
      </c>
      <c r="K1918">
        <v>0</v>
      </c>
      <c r="L1918">
        <v>-2</v>
      </c>
      <c r="M1918">
        <v>-2</v>
      </c>
      <c r="N1918">
        <v>-2</v>
      </c>
      <c r="O1918" s="1">
        <v>5660</v>
      </c>
      <c r="P1918" s="1">
        <v>1150</v>
      </c>
      <c r="Q1918" s="1">
        <v>0</v>
      </c>
      <c r="R1918" s="1">
        <v>0</v>
      </c>
      <c r="S1918" s="1">
        <v>0</v>
      </c>
      <c r="T1918" s="1">
        <v>0</v>
      </c>
      <c r="U1918" s="1">
        <v>2000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>
        <v>0</v>
      </c>
      <c r="AB1918" t="str">
        <f t="shared" si="29"/>
        <v>Not Defaulter</v>
      </c>
      <c r="AC1918" s="1">
        <f>Table2[[#This Row],[BILL_AMT1]]-Table2[[#This Row],[PAY_AMT1]]</f>
        <v>3660</v>
      </c>
      <c r="AD1918" s="1" t="str" cm="1">
        <f t="array" ref="AD1918">_xlfn.IFS(Table2[[#This Row],[PAYMENT GAP]]&lt;=0,"No Gap / Overpaid",Table2[[#This Row],[PAYMENT GAP]]&lt;=25000,"Low Gap",Table2[[#This Row],[PAYMENT GAP]]&lt;=100000,"Medium Gap",
TRUE,"High Gap"
)</f>
        <v>Low Gap</v>
      </c>
    </row>
    <row r="1919" spans="1:30" x14ac:dyDescent="0.3">
      <c r="A1919">
        <v>1918</v>
      </c>
      <c r="B1919" s="1">
        <v>240000</v>
      </c>
      <c r="C1919" s="1" t="str" cm="1">
        <f t="array" ref="C1919">_xlfn.IFS(Table2[[#This Row],[LIMIT_BAL]]&lt;=100000,"Low",Table2[[#This Row],[LIMIT_BAL]]&lt;=300000,"Medium",
TRUE,"High"
)</f>
        <v>Medium</v>
      </c>
      <c r="D1919" t="s">
        <v>2041</v>
      </c>
      <c r="E1919" t="s">
        <v>2043</v>
      </c>
      <c r="F1919" t="s">
        <v>2029</v>
      </c>
      <c r="G1919">
        <v>26</v>
      </c>
      <c r="H1919" t="str" cm="1">
        <f t="array" ref="H1919">_xlfn.IFS(
Table2[[#This Row],[AGE]]&lt;30,"Young",
Table2[[#This Row],[AGE]]&lt;40,"Middle Age",
Table2[[#This Row],[AGE]]&lt;50,"Senior",
TRUE,"Super Senior"
)</f>
        <v>Young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 s="1">
        <v>184501</v>
      </c>
      <c r="P1919" s="1">
        <v>177846</v>
      </c>
      <c r="Q1919" s="1">
        <v>167934</v>
      </c>
      <c r="R1919" s="1">
        <v>169133</v>
      </c>
      <c r="S1919" s="1">
        <v>175175</v>
      </c>
      <c r="T1919" s="1">
        <v>146093</v>
      </c>
      <c r="U1919" s="1">
        <v>7627</v>
      </c>
      <c r="V1919" s="1">
        <v>6003</v>
      </c>
      <c r="W1919" s="1">
        <v>5504</v>
      </c>
      <c r="X1919" s="1">
        <v>10158</v>
      </c>
      <c r="Y1919" s="1">
        <v>6000</v>
      </c>
      <c r="Z1919" s="1">
        <v>6012</v>
      </c>
      <c r="AA1919">
        <v>0</v>
      </c>
      <c r="AB1919" t="str">
        <f t="shared" si="29"/>
        <v>Not Defaulter</v>
      </c>
      <c r="AC1919" s="1">
        <f>Table2[[#This Row],[BILL_AMT1]]-Table2[[#This Row],[PAY_AMT1]]</f>
        <v>176874</v>
      </c>
      <c r="AD1919" s="1" t="str" cm="1">
        <f t="array" ref="AD1919">_xlfn.IFS(Table2[[#This Row],[PAYMENT GAP]]&lt;=0,"No Gap / Overpaid",Table2[[#This Row],[PAYMENT GAP]]&lt;=25000,"Low Gap",Table2[[#This Row],[PAYMENT GAP]]&lt;=100000,"Medium Gap",
TRUE,"High Gap"
)</f>
        <v>High Gap</v>
      </c>
    </row>
    <row r="1920" spans="1:30" x14ac:dyDescent="0.3">
      <c r="A1920">
        <v>1919</v>
      </c>
      <c r="B1920" s="1">
        <v>220000</v>
      </c>
      <c r="C1920" s="1" t="str" cm="1">
        <f t="array" ref="C1920">_xlfn.IFS(Table2[[#This Row],[LIMIT_BAL]]&lt;=100000,"Low",Table2[[#This Row],[LIMIT_BAL]]&lt;=300000,"Medium",
TRUE,"High"
)</f>
        <v>Medium</v>
      </c>
      <c r="D1920" t="s">
        <v>2041</v>
      </c>
      <c r="E1920" t="s">
        <v>2043</v>
      </c>
      <c r="F1920" t="s">
        <v>2029</v>
      </c>
      <c r="G1920">
        <v>35</v>
      </c>
      <c r="H1920" t="str" cm="1">
        <f t="array" ref="H1920">_xlfn.IFS(
Table2[[#This Row],[AGE]]&lt;30,"Young",
Table2[[#This Row],[AGE]]&lt;40,"Middle Age",
Table2[[#This Row],[AGE]]&lt;50,"Senior",
TRUE,"Super Senior"
)</f>
        <v>Middle Age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 s="1">
        <v>34819</v>
      </c>
      <c r="P1920" s="1">
        <v>30937</v>
      </c>
      <c r="Q1920" s="1">
        <v>30348</v>
      </c>
      <c r="R1920" s="1">
        <v>23459</v>
      </c>
      <c r="S1920" s="1">
        <v>23200</v>
      </c>
      <c r="T1920" s="1">
        <v>21281</v>
      </c>
      <c r="U1920" s="1">
        <v>2006</v>
      </c>
      <c r="V1920" s="1">
        <v>2022</v>
      </c>
      <c r="W1920" s="1">
        <v>1002</v>
      </c>
      <c r="X1920" s="1">
        <v>1007</v>
      </c>
      <c r="Y1920" s="1">
        <v>1000</v>
      </c>
      <c r="Z1920" s="1">
        <v>1008</v>
      </c>
      <c r="AA1920">
        <v>0</v>
      </c>
      <c r="AB1920" t="str">
        <f t="shared" si="29"/>
        <v>Not Defaulter</v>
      </c>
      <c r="AC1920" s="1">
        <f>Table2[[#This Row],[BILL_AMT1]]-Table2[[#This Row],[PAY_AMT1]]</f>
        <v>32813</v>
      </c>
      <c r="AD1920" s="1" t="str" cm="1">
        <f t="array" ref="AD1920">_xlfn.IFS(Table2[[#This Row],[PAYMENT GAP]]&lt;=0,"No Gap / Overpaid",Table2[[#This Row],[PAYMENT GAP]]&lt;=25000,"Low Gap",Table2[[#This Row],[PAYMENT GAP]]&lt;=100000,"Medium Gap",
TRUE,"High Gap"
)</f>
        <v>Medium Gap</v>
      </c>
    </row>
    <row r="1921" spans="1:30" x14ac:dyDescent="0.3">
      <c r="A1921">
        <v>1920</v>
      </c>
      <c r="B1921" s="1">
        <v>20000</v>
      </c>
      <c r="C1921" s="1" t="str" cm="1">
        <f t="array" ref="C1921">_xlfn.IFS(Table2[[#This Row],[LIMIT_BAL]]&lt;=100000,"Low",Table2[[#This Row],[LIMIT_BAL]]&lt;=300000,"Medium",
TRUE,"High"
)</f>
        <v>Low</v>
      </c>
      <c r="D1921" t="s">
        <v>2042</v>
      </c>
      <c r="E1921" t="s">
        <v>2043</v>
      </c>
      <c r="F1921" t="s">
        <v>2028</v>
      </c>
      <c r="G1921">
        <v>33</v>
      </c>
      <c r="H1921" t="str" cm="1">
        <f t="array" ref="H1921">_xlfn.IFS(
Table2[[#This Row],[AGE]]&lt;30,"Young",
Table2[[#This Row],[AGE]]&lt;40,"Middle Age",
Table2[[#This Row],[AGE]]&lt;50,"Senior",
TRUE,"Super Senior"
)</f>
        <v>Middle Age</v>
      </c>
      <c r="I1921">
        <v>0</v>
      </c>
      <c r="J1921">
        <v>0</v>
      </c>
      <c r="K1921">
        <v>0</v>
      </c>
      <c r="L1921">
        <v>-2</v>
      </c>
      <c r="M1921">
        <v>-2</v>
      </c>
      <c r="N1921">
        <v>-2</v>
      </c>
      <c r="O1921" s="1">
        <v>2508</v>
      </c>
      <c r="P1921" s="1">
        <v>3448</v>
      </c>
      <c r="Q1921" s="1">
        <v>-202</v>
      </c>
      <c r="R1921" s="1">
        <v>-202</v>
      </c>
      <c r="S1921" s="1">
        <v>950</v>
      </c>
      <c r="T1921" s="1">
        <v>0</v>
      </c>
      <c r="U1921" s="1">
        <v>1000</v>
      </c>
      <c r="V1921" s="1">
        <v>202</v>
      </c>
      <c r="W1921" s="1">
        <v>0</v>
      </c>
      <c r="X1921" s="1">
        <v>1152</v>
      </c>
      <c r="Y1921" s="1">
        <v>0</v>
      </c>
      <c r="Z1921" s="1">
        <v>1000</v>
      </c>
      <c r="AA1921">
        <v>0</v>
      </c>
      <c r="AB1921" t="str">
        <f t="shared" si="29"/>
        <v>Not Defaulter</v>
      </c>
      <c r="AC1921" s="1">
        <f>Table2[[#This Row],[BILL_AMT1]]-Table2[[#This Row],[PAY_AMT1]]</f>
        <v>1508</v>
      </c>
      <c r="AD1921" s="1" t="str" cm="1">
        <f t="array" ref="AD1921">_xlfn.IFS(Table2[[#This Row],[PAYMENT GAP]]&lt;=0,"No Gap / Overpaid",Table2[[#This Row],[PAYMENT GAP]]&lt;=25000,"Low Gap",Table2[[#This Row],[PAYMENT GAP]]&lt;=100000,"Medium Gap",
TRUE,"High Gap"
)</f>
        <v>Low Gap</v>
      </c>
    </row>
    <row r="1922" spans="1:30" x14ac:dyDescent="0.3">
      <c r="A1922">
        <v>1921</v>
      </c>
      <c r="B1922" s="1">
        <v>100000</v>
      </c>
      <c r="C1922" s="1" t="str" cm="1">
        <f t="array" ref="C1922">_xlfn.IFS(Table2[[#This Row],[LIMIT_BAL]]&lt;=100000,"Low",Table2[[#This Row],[LIMIT_BAL]]&lt;=300000,"Medium",
TRUE,"High"
)</f>
        <v>Low</v>
      </c>
      <c r="D1922" t="s">
        <v>2041</v>
      </c>
      <c r="E1922" t="s">
        <v>2026</v>
      </c>
      <c r="F1922" t="s">
        <v>2028</v>
      </c>
      <c r="G1922">
        <v>51</v>
      </c>
      <c r="H1922" t="str" cm="1">
        <f t="array" ref="H1922">_xlfn.IFS(
Table2[[#This Row],[AGE]]&lt;30,"Young",
Table2[[#This Row],[AGE]]&lt;40,"Middle Age",
Table2[[#This Row],[AGE]]&lt;50,"Senior",
TRUE,"Super Senior"
)</f>
        <v>Super Senior</v>
      </c>
      <c r="I1922">
        <v>1</v>
      </c>
      <c r="J1922">
        <v>-2</v>
      </c>
      <c r="K1922">
        <v>-2</v>
      </c>
      <c r="L1922">
        <v>-1</v>
      </c>
      <c r="M1922">
        <v>2</v>
      </c>
      <c r="N1922">
        <v>2</v>
      </c>
      <c r="O1922" s="1">
        <v>0</v>
      </c>
      <c r="P1922" s="1">
        <v>0</v>
      </c>
      <c r="Q1922" s="1">
        <v>0</v>
      </c>
      <c r="R1922" s="1">
        <v>300</v>
      </c>
      <c r="S1922" s="1">
        <v>150</v>
      </c>
      <c r="T1922" s="1">
        <v>780</v>
      </c>
      <c r="U1922" s="1">
        <v>0</v>
      </c>
      <c r="V1922" s="1">
        <v>0</v>
      </c>
      <c r="W1922" s="1">
        <v>300</v>
      </c>
      <c r="X1922" s="1">
        <v>0</v>
      </c>
      <c r="Y1922" s="1">
        <v>630</v>
      </c>
      <c r="Z1922" s="1">
        <v>0</v>
      </c>
      <c r="AA1922">
        <v>1</v>
      </c>
      <c r="AB1922" t="str">
        <f t="shared" si="29"/>
        <v>Defaulter</v>
      </c>
      <c r="AC1922" s="1">
        <f>Table2[[#This Row],[BILL_AMT1]]-Table2[[#This Row],[PAY_AMT1]]</f>
        <v>0</v>
      </c>
      <c r="AD1922" s="1" t="str" cm="1">
        <f t="array" ref="AD1922">_xlfn.IFS(Table2[[#This Row],[PAYMENT GAP]]&lt;=0,"No Gap / Overpaid",Table2[[#This Row],[PAYMENT GAP]]&lt;=25000,"Low Gap",Table2[[#This Row],[PAYMENT GAP]]&lt;=100000,"Medium Gap",
TRUE,"High Gap"
)</f>
        <v>No Gap / Overpaid</v>
      </c>
    </row>
    <row r="1923" spans="1:30" x14ac:dyDescent="0.3">
      <c r="A1923">
        <v>1922</v>
      </c>
      <c r="B1923" s="1">
        <v>300000</v>
      </c>
      <c r="C1923" s="1" t="str" cm="1">
        <f t="array" ref="C1923">_xlfn.IFS(Table2[[#This Row],[LIMIT_BAL]]&lt;=100000,"Low",Table2[[#This Row],[LIMIT_BAL]]&lt;=300000,"Medium",
TRUE,"High"
)</f>
        <v>Medium</v>
      </c>
      <c r="D1923" t="s">
        <v>2042</v>
      </c>
      <c r="E1923" t="s">
        <v>2026</v>
      </c>
      <c r="F1923" t="s">
        <v>2029</v>
      </c>
      <c r="G1923">
        <v>32</v>
      </c>
      <c r="H1923" t="str" cm="1">
        <f t="array" ref="H1923">_xlfn.IFS(
Table2[[#This Row],[AGE]]&lt;30,"Young",
Table2[[#This Row],[AGE]]&lt;40,"Middle Age",
Table2[[#This Row],[AGE]]&lt;50,"Senior",
TRUE,"Super Senior"
)</f>
        <v>Middle Age</v>
      </c>
      <c r="I1923">
        <v>-2</v>
      </c>
      <c r="J1923">
        <v>-2</v>
      </c>
      <c r="K1923">
        <v>-2</v>
      </c>
      <c r="L1923">
        <v>-2</v>
      </c>
      <c r="M1923">
        <v>-2</v>
      </c>
      <c r="N1923">
        <v>-2</v>
      </c>
      <c r="O1923" s="1">
        <v>264</v>
      </c>
      <c r="P1923" s="1">
        <v>264</v>
      </c>
      <c r="Q1923" s="1">
        <v>264</v>
      </c>
      <c r="R1923" s="1">
        <v>264</v>
      </c>
      <c r="S1923" s="1">
        <v>414</v>
      </c>
      <c r="T1923" s="1">
        <v>264</v>
      </c>
      <c r="U1923" s="1">
        <v>264</v>
      </c>
      <c r="V1923" s="1">
        <v>264</v>
      </c>
      <c r="W1923" s="1">
        <v>264</v>
      </c>
      <c r="X1923" s="1">
        <v>414</v>
      </c>
      <c r="Y1923" s="1">
        <v>264</v>
      </c>
      <c r="Z1923" s="1">
        <v>264</v>
      </c>
      <c r="AA1923">
        <v>0</v>
      </c>
      <c r="AB1923" t="str">
        <f t="shared" ref="AB1923:AB1986" si="30">IF(AA1923=1,"Defaulter","Not Defaulter")</f>
        <v>Not Defaulter</v>
      </c>
      <c r="AC1923" s="1">
        <f>Table2[[#This Row],[BILL_AMT1]]-Table2[[#This Row],[PAY_AMT1]]</f>
        <v>0</v>
      </c>
      <c r="AD1923" s="1" t="str" cm="1">
        <f t="array" ref="AD1923">_xlfn.IFS(Table2[[#This Row],[PAYMENT GAP]]&lt;=0,"No Gap / Overpaid",Table2[[#This Row],[PAYMENT GAP]]&lt;=25000,"Low Gap",Table2[[#This Row],[PAYMENT GAP]]&lt;=100000,"Medium Gap",
TRUE,"High Gap"
)</f>
        <v>No Gap / Overpaid</v>
      </c>
    </row>
    <row r="1924" spans="1:30" x14ac:dyDescent="0.3">
      <c r="A1924">
        <v>1923</v>
      </c>
      <c r="B1924" s="1">
        <v>20000</v>
      </c>
      <c r="C1924" s="1" t="str" cm="1">
        <f t="array" ref="C1924">_xlfn.IFS(Table2[[#This Row],[LIMIT_BAL]]&lt;=100000,"Low",Table2[[#This Row],[LIMIT_BAL]]&lt;=300000,"Medium",
TRUE,"High"
)</f>
        <v>Low</v>
      </c>
      <c r="D1924" t="s">
        <v>2042</v>
      </c>
      <c r="E1924" t="s">
        <v>2043</v>
      </c>
      <c r="F1924" t="s">
        <v>2029</v>
      </c>
      <c r="G1924">
        <v>33</v>
      </c>
      <c r="H1924" t="str" cm="1">
        <f t="array" ref="H1924">_xlfn.IFS(
Table2[[#This Row],[AGE]]&lt;30,"Young",
Table2[[#This Row],[AGE]]&lt;40,"Middle Age",
Table2[[#This Row],[AGE]]&lt;50,"Senior",
TRUE,"Super Senior"
)</f>
        <v>Middle Age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-1</v>
      </c>
      <c r="O1924" s="1">
        <v>8488</v>
      </c>
      <c r="P1924" s="1">
        <v>10179</v>
      </c>
      <c r="Q1924" s="1">
        <v>11901</v>
      </c>
      <c r="R1924" s="1">
        <v>11901</v>
      </c>
      <c r="S1924" s="1">
        <v>9336</v>
      </c>
      <c r="T1924" s="1">
        <v>9054</v>
      </c>
      <c r="U1924" s="1">
        <v>2000</v>
      </c>
      <c r="V1924" s="1">
        <v>2000</v>
      </c>
      <c r="W1924" s="1">
        <v>0</v>
      </c>
      <c r="X1924" s="1">
        <v>0</v>
      </c>
      <c r="Y1924" s="1">
        <v>9054</v>
      </c>
      <c r="Z1924" s="1">
        <v>2000</v>
      </c>
      <c r="AA1924">
        <v>1</v>
      </c>
      <c r="AB1924" t="str">
        <f t="shared" si="30"/>
        <v>Defaulter</v>
      </c>
      <c r="AC1924" s="1">
        <f>Table2[[#This Row],[BILL_AMT1]]-Table2[[#This Row],[PAY_AMT1]]</f>
        <v>6488</v>
      </c>
      <c r="AD1924" s="1" t="str" cm="1">
        <f t="array" ref="AD1924">_xlfn.IFS(Table2[[#This Row],[PAYMENT GAP]]&lt;=0,"No Gap / Overpaid",Table2[[#This Row],[PAYMENT GAP]]&lt;=25000,"Low Gap",Table2[[#This Row],[PAYMENT GAP]]&lt;=100000,"Medium Gap",
TRUE,"High Gap"
)</f>
        <v>Low Gap</v>
      </c>
    </row>
    <row r="1925" spans="1:30" x14ac:dyDescent="0.3">
      <c r="A1925">
        <v>1924</v>
      </c>
      <c r="B1925" s="1">
        <v>360000</v>
      </c>
      <c r="C1925" s="1" t="str" cm="1">
        <f t="array" ref="C1925">_xlfn.IFS(Table2[[#This Row],[LIMIT_BAL]]&lt;=100000,"Low",Table2[[#This Row],[LIMIT_BAL]]&lt;=300000,"Medium",
TRUE,"High"
)</f>
        <v>High</v>
      </c>
      <c r="D1925" t="s">
        <v>2041</v>
      </c>
      <c r="E1925" t="s">
        <v>2026</v>
      </c>
      <c r="F1925" t="s">
        <v>2029</v>
      </c>
      <c r="G1925">
        <v>30</v>
      </c>
      <c r="H1925" t="str" cm="1">
        <f t="array" ref="H1925">_xlfn.IFS(
Table2[[#This Row],[AGE]]&lt;30,"Young",
Table2[[#This Row],[AGE]]&lt;40,"Middle Age",
Table2[[#This Row],[AGE]]&lt;50,"Senior",
TRUE,"Super Senior"
)</f>
        <v>Middle Age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 s="1">
        <v>139762</v>
      </c>
      <c r="P1925" s="1">
        <v>143515</v>
      </c>
      <c r="Q1925" s="1">
        <v>147037</v>
      </c>
      <c r="R1925" s="1">
        <v>146117</v>
      </c>
      <c r="S1925" s="1">
        <v>145884</v>
      </c>
      <c r="T1925" s="1">
        <v>147645</v>
      </c>
      <c r="U1925" s="1">
        <v>6000</v>
      </c>
      <c r="V1925" s="1">
        <v>6000</v>
      </c>
      <c r="W1925" s="1">
        <v>4818</v>
      </c>
      <c r="X1925" s="1">
        <v>5000</v>
      </c>
      <c r="Y1925" s="1">
        <v>5000</v>
      </c>
      <c r="Z1925" s="1">
        <v>4500</v>
      </c>
      <c r="AA1925">
        <v>0</v>
      </c>
      <c r="AB1925" t="str">
        <f t="shared" si="30"/>
        <v>Not Defaulter</v>
      </c>
      <c r="AC1925" s="1">
        <f>Table2[[#This Row],[BILL_AMT1]]-Table2[[#This Row],[PAY_AMT1]]</f>
        <v>133762</v>
      </c>
      <c r="AD1925" s="1" t="str" cm="1">
        <f t="array" ref="AD1925">_xlfn.IFS(Table2[[#This Row],[PAYMENT GAP]]&lt;=0,"No Gap / Overpaid",Table2[[#This Row],[PAYMENT GAP]]&lt;=25000,"Low Gap",Table2[[#This Row],[PAYMENT GAP]]&lt;=100000,"Medium Gap",
TRUE,"High Gap"
)</f>
        <v>High Gap</v>
      </c>
    </row>
    <row r="1926" spans="1:30" x14ac:dyDescent="0.3">
      <c r="A1926">
        <v>1925</v>
      </c>
      <c r="B1926" s="1">
        <v>220000</v>
      </c>
      <c r="C1926" s="1" t="str" cm="1">
        <f t="array" ref="C1926">_xlfn.IFS(Table2[[#This Row],[LIMIT_BAL]]&lt;=100000,"Low",Table2[[#This Row],[LIMIT_BAL]]&lt;=300000,"Medium",
TRUE,"High"
)</f>
        <v>Medium</v>
      </c>
      <c r="D1926" t="s">
        <v>2042</v>
      </c>
      <c r="E1926" t="s">
        <v>2026</v>
      </c>
      <c r="F1926" t="s">
        <v>2029</v>
      </c>
      <c r="G1926">
        <v>28</v>
      </c>
      <c r="H1926" t="str" cm="1">
        <f t="array" ref="H1926">_xlfn.IFS(
Table2[[#This Row],[AGE]]&lt;30,"Young",
Table2[[#This Row],[AGE]]&lt;40,"Middle Age",
Table2[[#This Row],[AGE]]&lt;50,"Senior",
TRUE,"Super Senior"
)</f>
        <v>Young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 s="1">
        <v>221268</v>
      </c>
      <c r="P1926" s="1">
        <v>219545</v>
      </c>
      <c r="Q1926" s="1">
        <v>216317</v>
      </c>
      <c r="R1926" s="1">
        <v>181012</v>
      </c>
      <c r="S1926" s="1">
        <v>181435</v>
      </c>
      <c r="T1926" s="1">
        <v>183283</v>
      </c>
      <c r="U1926" s="1">
        <v>8700</v>
      </c>
      <c r="V1926" s="1">
        <v>8500</v>
      </c>
      <c r="W1926" s="1">
        <v>6300</v>
      </c>
      <c r="X1926" s="1">
        <v>6700</v>
      </c>
      <c r="Y1926" s="1">
        <v>7200</v>
      </c>
      <c r="Z1926" s="1">
        <v>5300</v>
      </c>
      <c r="AA1926">
        <v>1</v>
      </c>
      <c r="AB1926" t="str">
        <f t="shared" si="30"/>
        <v>Defaulter</v>
      </c>
      <c r="AC1926" s="1">
        <f>Table2[[#This Row],[BILL_AMT1]]-Table2[[#This Row],[PAY_AMT1]]</f>
        <v>212568</v>
      </c>
      <c r="AD1926" s="1" t="str" cm="1">
        <f t="array" ref="AD1926">_xlfn.IFS(Table2[[#This Row],[PAYMENT GAP]]&lt;=0,"No Gap / Overpaid",Table2[[#This Row],[PAYMENT GAP]]&lt;=25000,"Low Gap",Table2[[#This Row],[PAYMENT GAP]]&lt;=100000,"Medium Gap",
TRUE,"High Gap"
)</f>
        <v>High Gap</v>
      </c>
    </row>
    <row r="1927" spans="1:30" x14ac:dyDescent="0.3">
      <c r="A1927">
        <v>1926</v>
      </c>
      <c r="B1927" s="1">
        <v>470000</v>
      </c>
      <c r="C1927" s="1" t="str" cm="1">
        <f t="array" ref="C1927">_xlfn.IFS(Table2[[#This Row],[LIMIT_BAL]]&lt;=100000,"Low",Table2[[#This Row],[LIMIT_BAL]]&lt;=300000,"Medium",
TRUE,"High"
)</f>
        <v>High</v>
      </c>
      <c r="D1927" t="s">
        <v>2041</v>
      </c>
      <c r="E1927" t="s">
        <v>2043</v>
      </c>
      <c r="F1927" t="s">
        <v>2029</v>
      </c>
      <c r="G1927">
        <v>26</v>
      </c>
      <c r="H1927" t="str" cm="1">
        <f t="array" ref="H1927">_xlfn.IFS(
Table2[[#This Row],[AGE]]&lt;30,"Young",
Table2[[#This Row],[AGE]]&lt;40,"Middle Age",
Table2[[#This Row],[AGE]]&lt;50,"Senior",
TRUE,"Super Senior"
)</f>
        <v>Young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 s="1">
        <v>169699</v>
      </c>
      <c r="P1927" s="1">
        <v>170309</v>
      </c>
      <c r="Q1927" s="1">
        <v>167876</v>
      </c>
      <c r="R1927" s="1">
        <v>170610</v>
      </c>
      <c r="S1927" s="1">
        <v>173643</v>
      </c>
      <c r="T1927" s="1">
        <v>178083</v>
      </c>
      <c r="U1927" s="1">
        <v>6200</v>
      </c>
      <c r="V1927" s="1">
        <v>7000</v>
      </c>
      <c r="W1927" s="1">
        <v>5716</v>
      </c>
      <c r="X1927" s="1">
        <v>5982</v>
      </c>
      <c r="Y1927" s="1">
        <v>7000</v>
      </c>
      <c r="Z1927" s="1">
        <v>5500</v>
      </c>
      <c r="AA1927">
        <v>0</v>
      </c>
      <c r="AB1927" t="str">
        <f t="shared" si="30"/>
        <v>Not Defaulter</v>
      </c>
      <c r="AC1927" s="1">
        <f>Table2[[#This Row],[BILL_AMT1]]-Table2[[#This Row],[PAY_AMT1]]</f>
        <v>163499</v>
      </c>
      <c r="AD1927" s="1" t="str" cm="1">
        <f t="array" ref="AD1927">_xlfn.IFS(Table2[[#This Row],[PAYMENT GAP]]&lt;=0,"No Gap / Overpaid",Table2[[#This Row],[PAYMENT GAP]]&lt;=25000,"Low Gap",Table2[[#This Row],[PAYMENT GAP]]&lt;=100000,"Medium Gap",
TRUE,"High Gap"
)</f>
        <v>High Gap</v>
      </c>
    </row>
    <row r="1928" spans="1:30" x14ac:dyDescent="0.3">
      <c r="A1928">
        <v>1927</v>
      </c>
      <c r="B1928" s="1">
        <v>70000</v>
      </c>
      <c r="C1928" s="1" t="str" cm="1">
        <f t="array" ref="C1928">_xlfn.IFS(Table2[[#This Row],[LIMIT_BAL]]&lt;=100000,"Low",Table2[[#This Row],[LIMIT_BAL]]&lt;=300000,"Medium",
TRUE,"High"
)</f>
        <v>Low</v>
      </c>
      <c r="D1928" t="s">
        <v>2041</v>
      </c>
      <c r="E1928" t="s">
        <v>2043</v>
      </c>
      <c r="F1928" t="s">
        <v>2029</v>
      </c>
      <c r="G1928">
        <v>22</v>
      </c>
      <c r="H1928" t="str" cm="1">
        <f t="array" ref="H1928">_xlfn.IFS(
Table2[[#This Row],[AGE]]&lt;30,"Young",
Table2[[#This Row],[AGE]]&lt;40,"Middle Age",
Table2[[#This Row],[AGE]]&lt;50,"Senior",
TRUE,"Super Senior"
)</f>
        <v>Young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 s="1">
        <v>65793</v>
      </c>
      <c r="P1928" s="1">
        <v>26665</v>
      </c>
      <c r="Q1928" s="1">
        <v>22630</v>
      </c>
      <c r="R1928" s="1">
        <v>14573</v>
      </c>
      <c r="S1928" s="1">
        <v>15127</v>
      </c>
      <c r="T1928" s="1">
        <v>12596</v>
      </c>
      <c r="U1928" s="1">
        <v>2000</v>
      </c>
      <c r="V1928" s="1">
        <v>1400</v>
      </c>
      <c r="W1928" s="1">
        <v>291</v>
      </c>
      <c r="X1928" s="1">
        <v>1500</v>
      </c>
      <c r="Y1928" s="1">
        <v>5000</v>
      </c>
      <c r="Z1928" s="1">
        <v>2000</v>
      </c>
      <c r="AA1928">
        <v>0</v>
      </c>
      <c r="AB1928" t="str">
        <f t="shared" si="30"/>
        <v>Not Defaulter</v>
      </c>
      <c r="AC1928" s="1">
        <f>Table2[[#This Row],[BILL_AMT1]]-Table2[[#This Row],[PAY_AMT1]]</f>
        <v>63793</v>
      </c>
      <c r="AD1928" s="1" t="str" cm="1">
        <f t="array" ref="AD1928">_xlfn.IFS(Table2[[#This Row],[PAYMENT GAP]]&lt;=0,"No Gap / Overpaid",Table2[[#This Row],[PAYMENT GAP]]&lt;=25000,"Low Gap",Table2[[#This Row],[PAYMENT GAP]]&lt;=100000,"Medium Gap",
TRUE,"High Gap"
)</f>
        <v>Medium Gap</v>
      </c>
    </row>
    <row r="1929" spans="1:30" x14ac:dyDescent="0.3">
      <c r="A1929">
        <v>1928</v>
      </c>
      <c r="B1929" s="1">
        <v>120000</v>
      </c>
      <c r="C1929" s="1" t="str" cm="1">
        <f t="array" ref="C1929">_xlfn.IFS(Table2[[#This Row],[LIMIT_BAL]]&lt;=100000,"Low",Table2[[#This Row],[LIMIT_BAL]]&lt;=300000,"Medium",
TRUE,"High"
)</f>
        <v>Medium</v>
      </c>
      <c r="D1929" t="s">
        <v>2041</v>
      </c>
      <c r="E1929" t="s">
        <v>2026</v>
      </c>
      <c r="F1929" t="s">
        <v>2029</v>
      </c>
      <c r="G1929">
        <v>26</v>
      </c>
      <c r="H1929" t="str" cm="1">
        <f t="array" ref="H1929">_xlfn.IFS(
Table2[[#This Row],[AGE]]&lt;30,"Young",
Table2[[#This Row],[AGE]]&lt;40,"Middle Age",
Table2[[#This Row],[AGE]]&lt;50,"Senior",
TRUE,"Super Senior"
)</f>
        <v>Young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 s="1">
        <v>10172</v>
      </c>
      <c r="P1929" s="1">
        <v>12400</v>
      </c>
      <c r="Q1929" s="1">
        <v>14256</v>
      </c>
      <c r="R1929" s="1">
        <v>16859</v>
      </c>
      <c r="S1929" s="1">
        <v>17477</v>
      </c>
      <c r="T1929" s="1">
        <v>21588</v>
      </c>
      <c r="U1929" s="1">
        <v>3000</v>
      </c>
      <c r="V1929" s="1">
        <v>3000</v>
      </c>
      <c r="W1929" s="1">
        <v>4000</v>
      </c>
      <c r="X1929" s="1">
        <v>4000</v>
      </c>
      <c r="Y1929" s="1">
        <v>5000</v>
      </c>
      <c r="Z1929" s="1">
        <v>5000</v>
      </c>
      <c r="AA1929">
        <v>0</v>
      </c>
      <c r="AB1929" t="str">
        <f t="shared" si="30"/>
        <v>Not Defaulter</v>
      </c>
      <c r="AC1929" s="1">
        <f>Table2[[#This Row],[BILL_AMT1]]-Table2[[#This Row],[PAY_AMT1]]</f>
        <v>7172</v>
      </c>
      <c r="AD1929" s="1" t="str" cm="1">
        <f t="array" ref="AD1929">_xlfn.IFS(Table2[[#This Row],[PAYMENT GAP]]&lt;=0,"No Gap / Overpaid",Table2[[#This Row],[PAYMENT GAP]]&lt;=25000,"Low Gap",Table2[[#This Row],[PAYMENT GAP]]&lt;=100000,"Medium Gap",
TRUE,"High Gap"
)</f>
        <v>Low Gap</v>
      </c>
    </row>
    <row r="1930" spans="1:30" x14ac:dyDescent="0.3">
      <c r="A1930">
        <v>1929</v>
      </c>
      <c r="B1930" s="1">
        <v>50000</v>
      </c>
      <c r="C1930" s="1" t="str" cm="1">
        <f t="array" ref="C1930">_xlfn.IFS(Table2[[#This Row],[LIMIT_BAL]]&lt;=100000,"Low",Table2[[#This Row],[LIMIT_BAL]]&lt;=300000,"Medium",
TRUE,"High"
)</f>
        <v>Low</v>
      </c>
      <c r="D1930" t="s">
        <v>2042</v>
      </c>
      <c r="E1930" t="s">
        <v>2043</v>
      </c>
      <c r="F1930" t="s">
        <v>2029</v>
      </c>
      <c r="G1930">
        <v>35</v>
      </c>
      <c r="H1930" t="str" cm="1">
        <f t="array" ref="H1930">_xlfn.IFS(
Table2[[#This Row],[AGE]]&lt;30,"Young",
Table2[[#This Row],[AGE]]&lt;40,"Middle Age",
Table2[[#This Row],[AGE]]&lt;50,"Senior",
TRUE,"Super Senior"
)</f>
        <v>Middle Age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 s="1">
        <v>18510</v>
      </c>
      <c r="P1930" s="1">
        <v>19418</v>
      </c>
      <c r="Q1930" s="1">
        <v>21097</v>
      </c>
      <c r="R1930" s="1">
        <v>21759</v>
      </c>
      <c r="S1930" s="1">
        <v>22421</v>
      </c>
      <c r="T1930" s="1">
        <v>23061</v>
      </c>
      <c r="U1930" s="1">
        <v>1500</v>
      </c>
      <c r="V1930" s="1">
        <v>2000</v>
      </c>
      <c r="W1930" s="1">
        <v>1000</v>
      </c>
      <c r="X1930" s="1">
        <v>1000</v>
      </c>
      <c r="Y1930" s="1">
        <v>1000</v>
      </c>
      <c r="Z1930" s="1">
        <v>1203</v>
      </c>
      <c r="AA1930">
        <v>0</v>
      </c>
      <c r="AB1930" t="str">
        <f t="shared" si="30"/>
        <v>Not Defaulter</v>
      </c>
      <c r="AC1930" s="1">
        <f>Table2[[#This Row],[BILL_AMT1]]-Table2[[#This Row],[PAY_AMT1]]</f>
        <v>17010</v>
      </c>
      <c r="AD1930" s="1" t="str" cm="1">
        <f t="array" ref="AD1930">_xlfn.IFS(Table2[[#This Row],[PAYMENT GAP]]&lt;=0,"No Gap / Overpaid",Table2[[#This Row],[PAYMENT GAP]]&lt;=25000,"Low Gap",Table2[[#This Row],[PAYMENT GAP]]&lt;=100000,"Medium Gap",
TRUE,"High Gap"
)</f>
        <v>Low Gap</v>
      </c>
    </row>
    <row r="1931" spans="1:30" x14ac:dyDescent="0.3">
      <c r="A1931">
        <v>1930</v>
      </c>
      <c r="B1931" s="1">
        <v>470000</v>
      </c>
      <c r="C1931" s="1" t="str" cm="1">
        <f t="array" ref="C1931">_xlfn.IFS(Table2[[#This Row],[LIMIT_BAL]]&lt;=100000,"Low",Table2[[#This Row],[LIMIT_BAL]]&lt;=300000,"Medium",
TRUE,"High"
)</f>
        <v>High</v>
      </c>
      <c r="D1931" t="s">
        <v>2042</v>
      </c>
      <c r="E1931" t="s">
        <v>2043</v>
      </c>
      <c r="F1931" t="s">
        <v>2028</v>
      </c>
      <c r="G1931">
        <v>49</v>
      </c>
      <c r="H1931" t="str" cm="1">
        <f t="array" ref="H1931">_xlfn.IFS(
Table2[[#This Row],[AGE]]&lt;30,"Young",
Table2[[#This Row],[AGE]]&lt;40,"Middle Age",
Table2[[#This Row],[AGE]]&lt;50,"Senior",
TRUE,"Super Senior"
)</f>
        <v>Senior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 s="1">
        <v>169260</v>
      </c>
      <c r="P1931" s="1">
        <v>161760</v>
      </c>
      <c r="Q1931" s="1">
        <v>154424</v>
      </c>
      <c r="R1931" s="1">
        <v>147137</v>
      </c>
      <c r="S1931" s="1">
        <v>138240</v>
      </c>
      <c r="T1931" s="1">
        <v>125866</v>
      </c>
      <c r="U1931" s="1">
        <v>6600</v>
      </c>
      <c r="V1931" s="1">
        <v>6170</v>
      </c>
      <c r="W1931" s="1">
        <v>5100</v>
      </c>
      <c r="X1931" s="1">
        <v>4726</v>
      </c>
      <c r="Y1931" s="1">
        <v>4555</v>
      </c>
      <c r="Z1931" s="1">
        <v>4375</v>
      </c>
      <c r="AA1931">
        <v>0</v>
      </c>
      <c r="AB1931" t="str">
        <f t="shared" si="30"/>
        <v>Not Defaulter</v>
      </c>
      <c r="AC1931" s="1">
        <f>Table2[[#This Row],[BILL_AMT1]]-Table2[[#This Row],[PAY_AMT1]]</f>
        <v>162660</v>
      </c>
      <c r="AD1931" s="1" t="str" cm="1">
        <f t="array" ref="AD1931">_xlfn.IFS(Table2[[#This Row],[PAYMENT GAP]]&lt;=0,"No Gap / Overpaid",Table2[[#This Row],[PAYMENT GAP]]&lt;=25000,"Low Gap",Table2[[#This Row],[PAYMENT GAP]]&lt;=100000,"Medium Gap",
TRUE,"High Gap"
)</f>
        <v>High Gap</v>
      </c>
    </row>
    <row r="1932" spans="1:30" x14ac:dyDescent="0.3">
      <c r="A1932">
        <v>1931</v>
      </c>
      <c r="B1932" s="1">
        <v>130000</v>
      </c>
      <c r="C1932" s="1" t="str" cm="1">
        <f t="array" ref="C1932">_xlfn.IFS(Table2[[#This Row],[LIMIT_BAL]]&lt;=100000,"Low",Table2[[#This Row],[LIMIT_BAL]]&lt;=300000,"Medium",
TRUE,"High"
)</f>
        <v>Medium</v>
      </c>
      <c r="D1932" t="s">
        <v>2042</v>
      </c>
      <c r="E1932" t="s">
        <v>2043</v>
      </c>
      <c r="F1932" t="s">
        <v>2028</v>
      </c>
      <c r="G1932">
        <v>49</v>
      </c>
      <c r="H1932" t="str" cm="1">
        <f t="array" ref="H1932">_xlfn.IFS(
Table2[[#This Row],[AGE]]&lt;30,"Young",
Table2[[#This Row],[AGE]]&lt;40,"Middle Age",
Table2[[#This Row],[AGE]]&lt;50,"Senior",
TRUE,"Super Senior"
)</f>
        <v>Senior</v>
      </c>
      <c r="I1932">
        <v>0</v>
      </c>
      <c r="J1932">
        <v>0</v>
      </c>
      <c r="K1932">
        <v>0</v>
      </c>
      <c r="L1932">
        <v>0</v>
      </c>
      <c r="M1932">
        <v>-1</v>
      </c>
      <c r="N1932">
        <v>-1</v>
      </c>
      <c r="O1932" s="1">
        <v>24008</v>
      </c>
      <c r="P1932" s="1">
        <v>21231</v>
      </c>
      <c r="Q1932" s="1">
        <v>14323</v>
      </c>
      <c r="R1932" s="1">
        <v>7722</v>
      </c>
      <c r="S1932" s="1">
        <v>4689</v>
      </c>
      <c r="T1932" s="1">
        <v>-3614</v>
      </c>
      <c r="U1932" s="1">
        <v>3000</v>
      </c>
      <c r="V1932" s="1">
        <v>5000</v>
      </c>
      <c r="W1932" s="1">
        <v>2822</v>
      </c>
      <c r="X1932" s="1">
        <v>5000</v>
      </c>
      <c r="Y1932" s="1">
        <v>0</v>
      </c>
      <c r="Z1932" s="1">
        <v>6500</v>
      </c>
      <c r="AA1932">
        <v>0</v>
      </c>
      <c r="AB1932" t="str">
        <f t="shared" si="30"/>
        <v>Not Defaulter</v>
      </c>
      <c r="AC1932" s="1">
        <f>Table2[[#This Row],[BILL_AMT1]]-Table2[[#This Row],[PAY_AMT1]]</f>
        <v>21008</v>
      </c>
      <c r="AD1932" s="1" t="str" cm="1">
        <f t="array" ref="AD1932">_xlfn.IFS(Table2[[#This Row],[PAYMENT GAP]]&lt;=0,"No Gap / Overpaid",Table2[[#This Row],[PAYMENT GAP]]&lt;=25000,"Low Gap",Table2[[#This Row],[PAYMENT GAP]]&lt;=100000,"Medium Gap",
TRUE,"High Gap"
)</f>
        <v>Low Gap</v>
      </c>
    </row>
    <row r="1933" spans="1:30" x14ac:dyDescent="0.3">
      <c r="A1933">
        <v>1932</v>
      </c>
      <c r="B1933" s="1">
        <v>20000</v>
      </c>
      <c r="C1933" s="1" t="str" cm="1">
        <f t="array" ref="C1933">_xlfn.IFS(Table2[[#This Row],[LIMIT_BAL]]&lt;=100000,"Low",Table2[[#This Row],[LIMIT_BAL]]&lt;=300000,"Medium",
TRUE,"High"
)</f>
        <v>Low</v>
      </c>
      <c r="D1933" t="s">
        <v>2041</v>
      </c>
      <c r="E1933" t="s">
        <v>2026</v>
      </c>
      <c r="F1933" t="s">
        <v>2029</v>
      </c>
      <c r="G1933">
        <v>24</v>
      </c>
      <c r="H1933" t="str" cm="1">
        <f t="array" ref="H1933">_xlfn.IFS(
Table2[[#This Row],[AGE]]&lt;30,"Young",
Table2[[#This Row],[AGE]]&lt;40,"Middle Age",
Table2[[#This Row],[AGE]]&lt;50,"Senior",
TRUE,"Super Senior"
)</f>
        <v>Young</v>
      </c>
      <c r="I1933">
        <v>-1</v>
      </c>
      <c r="J1933">
        <v>-1</v>
      </c>
      <c r="K1933">
        <v>-1</v>
      </c>
      <c r="L1933">
        <v>2</v>
      </c>
      <c r="M1933">
        <v>2</v>
      </c>
      <c r="N1933">
        <v>2</v>
      </c>
      <c r="O1933" s="1">
        <v>390</v>
      </c>
      <c r="P1933" s="1">
        <v>707</v>
      </c>
      <c r="Q1933" s="1">
        <v>1320</v>
      </c>
      <c r="R1933" s="1">
        <v>930</v>
      </c>
      <c r="S1933" s="1">
        <v>780</v>
      </c>
      <c r="T1933" s="1">
        <v>240</v>
      </c>
      <c r="U1933" s="1">
        <v>1097</v>
      </c>
      <c r="V1933" s="1">
        <v>1003</v>
      </c>
      <c r="W1933" s="1">
        <v>0</v>
      </c>
      <c r="X1933" s="1">
        <v>240</v>
      </c>
      <c r="Y1933" s="1">
        <v>0</v>
      </c>
      <c r="Z1933" s="1">
        <v>780</v>
      </c>
      <c r="AA1933">
        <v>1</v>
      </c>
      <c r="AB1933" t="str">
        <f t="shared" si="30"/>
        <v>Defaulter</v>
      </c>
      <c r="AC1933" s="1">
        <f>Table2[[#This Row],[BILL_AMT1]]-Table2[[#This Row],[PAY_AMT1]]</f>
        <v>-707</v>
      </c>
      <c r="AD1933" s="1" t="str" cm="1">
        <f t="array" ref="AD1933">_xlfn.IFS(Table2[[#This Row],[PAYMENT GAP]]&lt;=0,"No Gap / Overpaid",Table2[[#This Row],[PAYMENT GAP]]&lt;=25000,"Low Gap",Table2[[#This Row],[PAYMENT GAP]]&lt;=100000,"Medium Gap",
TRUE,"High Gap"
)</f>
        <v>No Gap / Overpaid</v>
      </c>
    </row>
    <row r="1934" spans="1:30" x14ac:dyDescent="0.3">
      <c r="A1934">
        <v>1933</v>
      </c>
      <c r="B1934" s="1">
        <v>260000</v>
      </c>
      <c r="C1934" s="1" t="str" cm="1">
        <f t="array" ref="C1934">_xlfn.IFS(Table2[[#This Row],[LIMIT_BAL]]&lt;=100000,"Low",Table2[[#This Row],[LIMIT_BAL]]&lt;=300000,"Medium",
TRUE,"High"
)</f>
        <v>Medium</v>
      </c>
      <c r="D1934" t="s">
        <v>2041</v>
      </c>
      <c r="E1934" t="s">
        <v>2026</v>
      </c>
      <c r="F1934" t="s">
        <v>2029</v>
      </c>
      <c r="G1934">
        <v>36</v>
      </c>
      <c r="H1934" t="str" cm="1">
        <f t="array" ref="H1934">_xlfn.IFS(
Table2[[#This Row],[AGE]]&lt;30,"Young",
Table2[[#This Row],[AGE]]&lt;40,"Middle Age",
Table2[[#This Row],[AGE]]&lt;50,"Senior",
TRUE,"Super Senior"
)</f>
        <v>Middle Age</v>
      </c>
      <c r="I1934">
        <v>-2</v>
      </c>
      <c r="J1934">
        <v>-2</v>
      </c>
      <c r="K1934">
        <v>-2</v>
      </c>
      <c r="L1934">
        <v>-2</v>
      </c>
      <c r="M1934">
        <v>-1</v>
      </c>
      <c r="N1934">
        <v>-1</v>
      </c>
      <c r="O1934" s="1">
        <v>1891</v>
      </c>
      <c r="P1934" s="1">
        <v>2438</v>
      </c>
      <c r="Q1934" s="1">
        <v>2280</v>
      </c>
      <c r="R1934" s="1">
        <v>746</v>
      </c>
      <c r="S1934" s="1">
        <v>1989</v>
      </c>
      <c r="T1934" s="1">
        <v>1668</v>
      </c>
      <c r="U1934" s="1">
        <v>2637</v>
      </c>
      <c r="V1934" s="1">
        <v>2280</v>
      </c>
      <c r="W1934" s="1">
        <v>746</v>
      </c>
      <c r="X1934" s="1">
        <v>1989</v>
      </c>
      <c r="Y1934" s="1">
        <v>1668</v>
      </c>
      <c r="Z1934" s="1">
        <v>2605</v>
      </c>
      <c r="AA1934">
        <v>0</v>
      </c>
      <c r="AB1934" t="str">
        <f t="shared" si="30"/>
        <v>Not Defaulter</v>
      </c>
      <c r="AC1934" s="1">
        <f>Table2[[#This Row],[BILL_AMT1]]-Table2[[#This Row],[PAY_AMT1]]</f>
        <v>-746</v>
      </c>
      <c r="AD1934" s="1" t="str" cm="1">
        <f t="array" ref="AD1934">_xlfn.IFS(Table2[[#This Row],[PAYMENT GAP]]&lt;=0,"No Gap / Overpaid",Table2[[#This Row],[PAYMENT GAP]]&lt;=25000,"Low Gap",Table2[[#This Row],[PAYMENT GAP]]&lt;=100000,"Medium Gap",
TRUE,"High Gap"
)</f>
        <v>No Gap / Overpaid</v>
      </c>
    </row>
    <row r="1935" spans="1:30" x14ac:dyDescent="0.3">
      <c r="A1935">
        <v>1934</v>
      </c>
      <c r="B1935" s="1">
        <v>20000</v>
      </c>
      <c r="C1935" s="1" t="str" cm="1">
        <f t="array" ref="C1935">_xlfn.IFS(Table2[[#This Row],[LIMIT_BAL]]&lt;=100000,"Low",Table2[[#This Row],[LIMIT_BAL]]&lt;=300000,"Medium",
TRUE,"High"
)</f>
        <v>Low</v>
      </c>
      <c r="D1935" t="s">
        <v>2042</v>
      </c>
      <c r="E1935" t="s">
        <v>2026</v>
      </c>
      <c r="F1935" t="s">
        <v>2028</v>
      </c>
      <c r="G1935">
        <v>39</v>
      </c>
      <c r="H1935" t="str" cm="1">
        <f t="array" ref="H1935">_xlfn.IFS(
Table2[[#This Row],[AGE]]&lt;30,"Young",
Table2[[#This Row],[AGE]]&lt;40,"Middle Age",
Table2[[#This Row],[AGE]]&lt;50,"Senior",
TRUE,"Super Senior"
)</f>
        <v>Middle Age</v>
      </c>
      <c r="I1935">
        <v>-1</v>
      </c>
      <c r="J1935">
        <v>-1</v>
      </c>
      <c r="K1935">
        <v>-1</v>
      </c>
      <c r="L1935">
        <v>-1</v>
      </c>
      <c r="M1935">
        <v>-1</v>
      </c>
      <c r="N1935">
        <v>-1</v>
      </c>
      <c r="O1935" s="1">
        <v>628</v>
      </c>
      <c r="P1935" s="1">
        <v>662</v>
      </c>
      <c r="Q1935" s="1">
        <v>596</v>
      </c>
      <c r="R1935" s="1">
        <v>630</v>
      </c>
      <c r="S1935" s="1">
        <v>664</v>
      </c>
      <c r="T1935" s="1">
        <v>598</v>
      </c>
      <c r="U1935" s="1">
        <v>700</v>
      </c>
      <c r="V1935" s="1">
        <v>600</v>
      </c>
      <c r="W1935" s="1">
        <v>700</v>
      </c>
      <c r="X1935" s="1">
        <v>700</v>
      </c>
      <c r="Y1935" s="1">
        <v>600</v>
      </c>
      <c r="Z1935" s="1">
        <v>1400</v>
      </c>
      <c r="AA1935">
        <v>0</v>
      </c>
      <c r="AB1935" t="str">
        <f t="shared" si="30"/>
        <v>Not Defaulter</v>
      </c>
      <c r="AC1935" s="1">
        <f>Table2[[#This Row],[BILL_AMT1]]-Table2[[#This Row],[PAY_AMT1]]</f>
        <v>-72</v>
      </c>
      <c r="AD1935" s="1" t="str" cm="1">
        <f t="array" ref="AD1935">_xlfn.IFS(Table2[[#This Row],[PAYMENT GAP]]&lt;=0,"No Gap / Overpaid",Table2[[#This Row],[PAYMENT GAP]]&lt;=25000,"Low Gap",Table2[[#This Row],[PAYMENT GAP]]&lt;=100000,"Medium Gap",
TRUE,"High Gap"
)</f>
        <v>No Gap / Overpaid</v>
      </c>
    </row>
    <row r="1936" spans="1:30" x14ac:dyDescent="0.3">
      <c r="A1936">
        <v>1935</v>
      </c>
      <c r="B1936" s="1">
        <v>300000</v>
      </c>
      <c r="C1936" s="1" t="str" cm="1">
        <f t="array" ref="C1936">_xlfn.IFS(Table2[[#This Row],[LIMIT_BAL]]&lt;=100000,"Low",Table2[[#This Row],[LIMIT_BAL]]&lt;=300000,"Medium",
TRUE,"High"
)</f>
        <v>Medium</v>
      </c>
      <c r="D1936" t="s">
        <v>2041</v>
      </c>
      <c r="E1936" t="s">
        <v>2026</v>
      </c>
      <c r="F1936" t="s">
        <v>2029</v>
      </c>
      <c r="G1936">
        <v>28</v>
      </c>
      <c r="H1936" t="str" cm="1">
        <f t="array" ref="H1936">_xlfn.IFS(
Table2[[#This Row],[AGE]]&lt;30,"Young",
Table2[[#This Row],[AGE]]&lt;40,"Middle Age",
Table2[[#This Row],[AGE]]&lt;50,"Senior",
TRUE,"Super Senior"
)</f>
        <v>Young</v>
      </c>
      <c r="I1936">
        <v>2</v>
      </c>
      <c r="J1936">
        <v>-1</v>
      </c>
      <c r="K1936">
        <v>-1</v>
      </c>
      <c r="L1936">
        <v>0</v>
      </c>
      <c r="M1936">
        <v>0</v>
      </c>
      <c r="N1936">
        <v>-2</v>
      </c>
      <c r="O1936" s="1">
        <v>1314</v>
      </c>
      <c r="P1936" s="1">
        <v>168</v>
      </c>
      <c r="Q1936" s="1">
        <v>1080</v>
      </c>
      <c r="R1936" s="1">
        <v>1080</v>
      </c>
      <c r="S1936" s="1">
        <v>0</v>
      </c>
      <c r="T1936" s="1">
        <v>0</v>
      </c>
      <c r="U1936" s="1">
        <v>170</v>
      </c>
      <c r="V1936" s="1">
        <v>1080</v>
      </c>
      <c r="W1936" s="1">
        <v>0</v>
      </c>
      <c r="X1936" s="1">
        <v>0</v>
      </c>
      <c r="Y1936" s="1">
        <v>0</v>
      </c>
      <c r="Z1936" s="1">
        <v>2500</v>
      </c>
      <c r="AA1936">
        <v>1</v>
      </c>
      <c r="AB1936" t="str">
        <f t="shared" si="30"/>
        <v>Defaulter</v>
      </c>
      <c r="AC1936" s="1">
        <f>Table2[[#This Row],[BILL_AMT1]]-Table2[[#This Row],[PAY_AMT1]]</f>
        <v>1144</v>
      </c>
      <c r="AD1936" s="1" t="str" cm="1">
        <f t="array" ref="AD1936">_xlfn.IFS(Table2[[#This Row],[PAYMENT GAP]]&lt;=0,"No Gap / Overpaid",Table2[[#This Row],[PAYMENT GAP]]&lt;=25000,"Low Gap",Table2[[#This Row],[PAYMENT GAP]]&lt;=100000,"Medium Gap",
TRUE,"High Gap"
)</f>
        <v>Low Gap</v>
      </c>
    </row>
    <row r="1937" spans="1:30" x14ac:dyDescent="0.3">
      <c r="A1937">
        <v>1936</v>
      </c>
      <c r="B1937" s="1">
        <v>460000</v>
      </c>
      <c r="C1937" s="1" t="str" cm="1">
        <f t="array" ref="C1937">_xlfn.IFS(Table2[[#This Row],[LIMIT_BAL]]&lt;=100000,"Low",Table2[[#This Row],[LIMIT_BAL]]&lt;=300000,"Medium",
TRUE,"High"
)</f>
        <v>High</v>
      </c>
      <c r="D1937" t="s">
        <v>2041</v>
      </c>
      <c r="E1937" t="s">
        <v>2043</v>
      </c>
      <c r="F1937" t="s">
        <v>2029</v>
      </c>
      <c r="G1937">
        <v>35</v>
      </c>
      <c r="H1937" t="str" cm="1">
        <f t="array" ref="H1937">_xlfn.IFS(
Table2[[#This Row],[AGE]]&lt;30,"Young",
Table2[[#This Row],[AGE]]&lt;40,"Middle Age",
Table2[[#This Row],[AGE]]&lt;50,"Senior",
TRUE,"Super Senior"
)</f>
        <v>Middle Age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 s="1">
        <v>449790</v>
      </c>
      <c r="P1937" s="1">
        <v>450047</v>
      </c>
      <c r="Q1937" s="1">
        <v>453770</v>
      </c>
      <c r="R1937" s="1">
        <v>396600</v>
      </c>
      <c r="S1937" s="1">
        <v>392879</v>
      </c>
      <c r="T1937" s="1">
        <v>398478</v>
      </c>
      <c r="U1937" s="1">
        <v>17610</v>
      </c>
      <c r="V1937" s="1">
        <v>17500</v>
      </c>
      <c r="W1937" s="1">
        <v>13810</v>
      </c>
      <c r="X1937" s="1">
        <v>14100</v>
      </c>
      <c r="Y1937" s="1">
        <v>14520</v>
      </c>
      <c r="Z1937" s="1">
        <v>15000</v>
      </c>
      <c r="AA1937">
        <v>0</v>
      </c>
      <c r="AB1937" t="str">
        <f t="shared" si="30"/>
        <v>Not Defaulter</v>
      </c>
      <c r="AC1937" s="1">
        <f>Table2[[#This Row],[BILL_AMT1]]-Table2[[#This Row],[PAY_AMT1]]</f>
        <v>432180</v>
      </c>
      <c r="AD1937" s="1" t="str" cm="1">
        <f t="array" ref="AD1937">_xlfn.IFS(Table2[[#This Row],[PAYMENT GAP]]&lt;=0,"No Gap / Overpaid",Table2[[#This Row],[PAYMENT GAP]]&lt;=25000,"Low Gap",Table2[[#This Row],[PAYMENT GAP]]&lt;=100000,"Medium Gap",
TRUE,"High Gap"
)</f>
        <v>High Gap</v>
      </c>
    </row>
    <row r="1938" spans="1:30" x14ac:dyDescent="0.3">
      <c r="A1938">
        <v>1937</v>
      </c>
      <c r="B1938" s="1">
        <v>20000</v>
      </c>
      <c r="C1938" s="1" t="str" cm="1">
        <f t="array" ref="C1938">_xlfn.IFS(Table2[[#This Row],[LIMIT_BAL]]&lt;=100000,"Low",Table2[[#This Row],[LIMIT_BAL]]&lt;=300000,"Medium",
TRUE,"High"
)</f>
        <v>Low</v>
      </c>
      <c r="D1938" t="s">
        <v>2041</v>
      </c>
      <c r="E1938" t="s">
        <v>2026</v>
      </c>
      <c r="F1938" t="s">
        <v>2029</v>
      </c>
      <c r="G1938">
        <v>24</v>
      </c>
      <c r="H1938" t="str" cm="1">
        <f t="array" ref="H1938">_xlfn.IFS(
Table2[[#This Row],[AGE]]&lt;30,"Young",
Table2[[#This Row],[AGE]]&lt;40,"Middle Age",
Table2[[#This Row],[AGE]]&lt;50,"Senior",
TRUE,"Super Senior"
)</f>
        <v>Young</v>
      </c>
      <c r="I1938">
        <v>1</v>
      </c>
      <c r="J1938">
        <v>-1</v>
      </c>
      <c r="K1938">
        <v>-1</v>
      </c>
      <c r="L1938">
        <v>-1</v>
      </c>
      <c r="M1938">
        <v>2</v>
      </c>
      <c r="N1938">
        <v>2</v>
      </c>
      <c r="O1938" s="1">
        <v>0</v>
      </c>
      <c r="P1938" s="1">
        <v>20087</v>
      </c>
      <c r="Q1938" s="1">
        <v>2110</v>
      </c>
      <c r="R1938" s="1">
        <v>300</v>
      </c>
      <c r="S1938" s="1">
        <v>150</v>
      </c>
      <c r="T1938" s="1">
        <v>650</v>
      </c>
      <c r="U1938" s="1">
        <v>20087</v>
      </c>
      <c r="V1938" s="1">
        <v>2200</v>
      </c>
      <c r="W1938" s="1">
        <v>600</v>
      </c>
      <c r="X1938" s="1">
        <v>0</v>
      </c>
      <c r="Y1938" s="1">
        <v>500</v>
      </c>
      <c r="Z1938" s="1">
        <v>0</v>
      </c>
      <c r="AA1938">
        <v>1</v>
      </c>
      <c r="AB1938" t="str">
        <f t="shared" si="30"/>
        <v>Defaulter</v>
      </c>
      <c r="AC1938" s="1">
        <f>Table2[[#This Row],[BILL_AMT1]]-Table2[[#This Row],[PAY_AMT1]]</f>
        <v>-20087</v>
      </c>
      <c r="AD1938" s="1" t="str" cm="1">
        <f t="array" ref="AD1938">_xlfn.IFS(Table2[[#This Row],[PAYMENT GAP]]&lt;=0,"No Gap / Overpaid",Table2[[#This Row],[PAYMENT GAP]]&lt;=25000,"Low Gap",Table2[[#This Row],[PAYMENT GAP]]&lt;=100000,"Medium Gap",
TRUE,"High Gap"
)</f>
        <v>No Gap / Overpaid</v>
      </c>
    </row>
    <row r="1939" spans="1:30" x14ac:dyDescent="0.3">
      <c r="A1939">
        <v>1938</v>
      </c>
      <c r="B1939" s="1">
        <v>360000</v>
      </c>
      <c r="C1939" s="1" t="str" cm="1">
        <f t="array" ref="C1939">_xlfn.IFS(Table2[[#This Row],[LIMIT_BAL]]&lt;=100000,"Low",Table2[[#This Row],[LIMIT_BAL]]&lt;=300000,"Medium",
TRUE,"High"
)</f>
        <v>High</v>
      </c>
      <c r="D1939" t="s">
        <v>2041</v>
      </c>
      <c r="E1939" t="s">
        <v>2043</v>
      </c>
      <c r="F1939" t="s">
        <v>2029</v>
      </c>
      <c r="G1939">
        <v>27</v>
      </c>
      <c r="H1939" t="str" cm="1">
        <f t="array" ref="H1939">_xlfn.IFS(
Table2[[#This Row],[AGE]]&lt;30,"Young",
Table2[[#This Row],[AGE]]&lt;40,"Middle Age",
Table2[[#This Row],[AGE]]&lt;50,"Senior",
TRUE,"Super Senior"
)</f>
        <v>Young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 s="1">
        <v>238971</v>
      </c>
      <c r="P1939" s="1">
        <v>245515</v>
      </c>
      <c r="Q1939" s="1">
        <v>248969</v>
      </c>
      <c r="R1939" s="1">
        <v>253896</v>
      </c>
      <c r="S1939" s="1">
        <v>259403</v>
      </c>
      <c r="T1939" s="1">
        <v>264352</v>
      </c>
      <c r="U1939" s="1">
        <v>10381</v>
      </c>
      <c r="V1939" s="1">
        <v>9036</v>
      </c>
      <c r="W1939" s="1">
        <v>9066</v>
      </c>
      <c r="X1939" s="1">
        <v>9576</v>
      </c>
      <c r="Y1939" s="1">
        <v>9426</v>
      </c>
      <c r="Z1939" s="1">
        <v>9435</v>
      </c>
      <c r="AA1939">
        <v>1</v>
      </c>
      <c r="AB1939" t="str">
        <f t="shared" si="30"/>
        <v>Defaulter</v>
      </c>
      <c r="AC1939" s="1">
        <f>Table2[[#This Row],[BILL_AMT1]]-Table2[[#This Row],[PAY_AMT1]]</f>
        <v>228590</v>
      </c>
      <c r="AD1939" s="1" t="str" cm="1">
        <f t="array" ref="AD1939">_xlfn.IFS(Table2[[#This Row],[PAYMENT GAP]]&lt;=0,"No Gap / Overpaid",Table2[[#This Row],[PAYMENT GAP]]&lt;=25000,"Low Gap",Table2[[#This Row],[PAYMENT GAP]]&lt;=100000,"Medium Gap",
TRUE,"High Gap"
)</f>
        <v>High Gap</v>
      </c>
    </row>
    <row r="1940" spans="1:30" x14ac:dyDescent="0.3">
      <c r="A1940">
        <v>1939</v>
      </c>
      <c r="B1940" s="1">
        <v>290000</v>
      </c>
      <c r="C1940" s="1" t="str" cm="1">
        <f t="array" ref="C1940">_xlfn.IFS(Table2[[#This Row],[LIMIT_BAL]]&lt;=100000,"Low",Table2[[#This Row],[LIMIT_BAL]]&lt;=300000,"Medium",
TRUE,"High"
)</f>
        <v>Medium</v>
      </c>
      <c r="D1940" t="s">
        <v>2042</v>
      </c>
      <c r="E1940" t="s">
        <v>2026</v>
      </c>
      <c r="F1940" t="s">
        <v>2028</v>
      </c>
      <c r="G1940">
        <v>40</v>
      </c>
      <c r="H1940" t="str" cm="1">
        <f t="array" ref="H1940">_xlfn.IFS(
Table2[[#This Row],[AGE]]&lt;30,"Young",
Table2[[#This Row],[AGE]]&lt;40,"Middle Age",
Table2[[#This Row],[AGE]]&lt;50,"Senior",
TRUE,"Super Senior"
)</f>
        <v>Senior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 s="1">
        <v>98441</v>
      </c>
      <c r="P1940" s="1">
        <v>95169</v>
      </c>
      <c r="Q1940" s="1">
        <v>93718</v>
      </c>
      <c r="R1940" s="1">
        <v>89712</v>
      </c>
      <c r="S1940" s="1">
        <v>82809</v>
      </c>
      <c r="T1940" s="1">
        <v>76334</v>
      </c>
      <c r="U1940" s="1">
        <v>4000</v>
      </c>
      <c r="V1940" s="1">
        <v>4250</v>
      </c>
      <c r="W1940" s="1">
        <v>5000</v>
      </c>
      <c r="X1940" s="1">
        <v>3241</v>
      </c>
      <c r="Y1940" s="1">
        <v>3500</v>
      </c>
      <c r="Z1940" s="1">
        <v>7000</v>
      </c>
      <c r="AA1940">
        <v>0</v>
      </c>
      <c r="AB1940" t="str">
        <f t="shared" si="30"/>
        <v>Not Defaulter</v>
      </c>
      <c r="AC1940" s="1">
        <f>Table2[[#This Row],[BILL_AMT1]]-Table2[[#This Row],[PAY_AMT1]]</f>
        <v>94441</v>
      </c>
      <c r="AD1940" s="1" t="str" cm="1">
        <f t="array" ref="AD1940">_xlfn.IFS(Table2[[#This Row],[PAYMENT GAP]]&lt;=0,"No Gap / Overpaid",Table2[[#This Row],[PAYMENT GAP]]&lt;=25000,"Low Gap",Table2[[#This Row],[PAYMENT GAP]]&lt;=100000,"Medium Gap",
TRUE,"High Gap"
)</f>
        <v>Medium Gap</v>
      </c>
    </row>
    <row r="1941" spans="1:30" x14ac:dyDescent="0.3">
      <c r="A1941">
        <v>1940</v>
      </c>
      <c r="B1941" s="1">
        <v>90000</v>
      </c>
      <c r="C1941" s="1" t="str" cm="1">
        <f t="array" ref="C1941">_xlfn.IFS(Table2[[#This Row],[LIMIT_BAL]]&lt;=100000,"Low",Table2[[#This Row],[LIMIT_BAL]]&lt;=300000,"Medium",
TRUE,"High"
)</f>
        <v>Low</v>
      </c>
      <c r="D1941" t="s">
        <v>2042</v>
      </c>
      <c r="E1941" t="s">
        <v>2026</v>
      </c>
      <c r="F1941" t="s">
        <v>2028</v>
      </c>
      <c r="G1941">
        <v>30</v>
      </c>
      <c r="H1941" t="str" cm="1">
        <f t="array" ref="H1941">_xlfn.IFS(
Table2[[#This Row],[AGE]]&lt;30,"Young",
Table2[[#This Row],[AGE]]&lt;40,"Middle Age",
Table2[[#This Row],[AGE]]&lt;50,"Senior",
TRUE,"Super Senior"
)</f>
        <v>Middle Age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 s="1">
        <v>38921</v>
      </c>
      <c r="P1941" s="1">
        <v>45577</v>
      </c>
      <c r="Q1941" s="1">
        <v>46496</v>
      </c>
      <c r="R1941" s="1">
        <v>40244</v>
      </c>
      <c r="S1941" s="1">
        <v>39903</v>
      </c>
      <c r="T1941" s="1">
        <v>8629</v>
      </c>
      <c r="U1941" s="1">
        <v>12000</v>
      </c>
      <c r="V1941" s="1">
        <v>5000</v>
      </c>
      <c r="W1941" s="1">
        <v>3000</v>
      </c>
      <c r="X1941" s="1">
        <v>10000</v>
      </c>
      <c r="Y1941" s="1">
        <v>1000</v>
      </c>
      <c r="Z1941" s="1">
        <v>1838</v>
      </c>
      <c r="AA1941">
        <v>0</v>
      </c>
      <c r="AB1941" t="str">
        <f t="shared" si="30"/>
        <v>Not Defaulter</v>
      </c>
      <c r="AC1941" s="1">
        <f>Table2[[#This Row],[BILL_AMT1]]-Table2[[#This Row],[PAY_AMT1]]</f>
        <v>26921</v>
      </c>
      <c r="AD1941" s="1" t="str" cm="1">
        <f t="array" ref="AD1941">_xlfn.IFS(Table2[[#This Row],[PAYMENT GAP]]&lt;=0,"No Gap / Overpaid",Table2[[#This Row],[PAYMENT GAP]]&lt;=25000,"Low Gap",Table2[[#This Row],[PAYMENT GAP]]&lt;=100000,"Medium Gap",
TRUE,"High Gap"
)</f>
        <v>Medium Gap</v>
      </c>
    </row>
    <row r="1942" spans="1:30" x14ac:dyDescent="0.3">
      <c r="A1942">
        <v>1941</v>
      </c>
      <c r="B1942" s="1">
        <v>180000</v>
      </c>
      <c r="C1942" s="1" t="str" cm="1">
        <f t="array" ref="C1942">_xlfn.IFS(Table2[[#This Row],[LIMIT_BAL]]&lt;=100000,"Low",Table2[[#This Row],[LIMIT_BAL]]&lt;=300000,"Medium",
TRUE,"High"
)</f>
        <v>Medium</v>
      </c>
      <c r="D1942" t="s">
        <v>2041</v>
      </c>
      <c r="E1942" t="s">
        <v>2026</v>
      </c>
      <c r="F1942" t="s">
        <v>2029</v>
      </c>
      <c r="G1942">
        <v>26</v>
      </c>
      <c r="H1942" t="str" cm="1">
        <f t="array" ref="H1942">_xlfn.IFS(
Table2[[#This Row],[AGE]]&lt;30,"Young",
Table2[[#This Row],[AGE]]&lt;40,"Middle Age",
Table2[[#This Row],[AGE]]&lt;50,"Senior",
TRUE,"Super Senior"
)</f>
        <v>Young</v>
      </c>
      <c r="I1942">
        <v>-1</v>
      </c>
      <c r="J1942">
        <v>-1</v>
      </c>
      <c r="K1942">
        <v>-1</v>
      </c>
      <c r="L1942">
        <v>-1</v>
      </c>
      <c r="M1942">
        <v>-1</v>
      </c>
      <c r="N1942">
        <v>-1</v>
      </c>
      <c r="O1942" s="1">
        <v>2049</v>
      </c>
      <c r="P1942" s="1">
        <v>0</v>
      </c>
      <c r="Q1942" s="1">
        <v>351</v>
      </c>
      <c r="R1942" s="1">
        <v>631</v>
      </c>
      <c r="S1942" s="1">
        <v>13359</v>
      </c>
      <c r="T1942" s="1">
        <v>384</v>
      </c>
      <c r="U1942" s="1">
        <v>0</v>
      </c>
      <c r="V1942" s="1">
        <v>351</v>
      </c>
      <c r="W1942" s="1">
        <v>631</v>
      </c>
      <c r="X1942" s="1">
        <v>13359</v>
      </c>
      <c r="Y1942" s="1">
        <v>384</v>
      </c>
      <c r="Z1942" s="1">
        <v>487</v>
      </c>
      <c r="AA1942">
        <v>0</v>
      </c>
      <c r="AB1942" t="str">
        <f t="shared" si="30"/>
        <v>Not Defaulter</v>
      </c>
      <c r="AC1942" s="1">
        <f>Table2[[#This Row],[BILL_AMT1]]-Table2[[#This Row],[PAY_AMT1]]</f>
        <v>2049</v>
      </c>
      <c r="AD1942" s="1" t="str" cm="1">
        <f t="array" ref="AD1942">_xlfn.IFS(Table2[[#This Row],[PAYMENT GAP]]&lt;=0,"No Gap / Overpaid",Table2[[#This Row],[PAYMENT GAP]]&lt;=25000,"Low Gap",Table2[[#This Row],[PAYMENT GAP]]&lt;=100000,"Medium Gap",
TRUE,"High Gap"
)</f>
        <v>Low Gap</v>
      </c>
    </row>
    <row r="1943" spans="1:30" x14ac:dyDescent="0.3">
      <c r="A1943">
        <v>1942</v>
      </c>
      <c r="B1943" s="1">
        <v>360000</v>
      </c>
      <c r="C1943" s="1" t="str" cm="1">
        <f t="array" ref="C1943">_xlfn.IFS(Table2[[#This Row],[LIMIT_BAL]]&lt;=100000,"Low",Table2[[#This Row],[LIMIT_BAL]]&lt;=300000,"Medium",
TRUE,"High"
)</f>
        <v>High</v>
      </c>
      <c r="D1943" t="s">
        <v>2042</v>
      </c>
      <c r="E1943" t="s">
        <v>2027</v>
      </c>
      <c r="F1943" t="s">
        <v>2028</v>
      </c>
      <c r="G1943">
        <v>53</v>
      </c>
      <c r="H1943" t="str" cm="1">
        <f t="array" ref="H1943">_xlfn.IFS(
Table2[[#This Row],[AGE]]&lt;30,"Young",
Table2[[#This Row],[AGE]]&lt;40,"Middle Age",
Table2[[#This Row],[AGE]]&lt;50,"Senior",
TRUE,"Super Senior"
)</f>
        <v>Super Senior</v>
      </c>
      <c r="I1943">
        <v>-2</v>
      </c>
      <c r="J1943">
        <v>-2</v>
      </c>
      <c r="K1943">
        <v>-2</v>
      </c>
      <c r="L1943">
        <v>-2</v>
      </c>
      <c r="M1943">
        <v>-2</v>
      </c>
      <c r="N1943">
        <v>-2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>
        <v>0</v>
      </c>
      <c r="AB1943" t="str">
        <f t="shared" si="30"/>
        <v>Not Defaulter</v>
      </c>
      <c r="AC1943" s="1">
        <f>Table2[[#This Row],[BILL_AMT1]]-Table2[[#This Row],[PAY_AMT1]]</f>
        <v>0</v>
      </c>
      <c r="AD1943" s="1" t="str" cm="1">
        <f t="array" ref="AD1943">_xlfn.IFS(Table2[[#This Row],[PAYMENT GAP]]&lt;=0,"No Gap / Overpaid",Table2[[#This Row],[PAYMENT GAP]]&lt;=25000,"Low Gap",Table2[[#This Row],[PAYMENT GAP]]&lt;=100000,"Medium Gap",
TRUE,"High Gap"
)</f>
        <v>No Gap / Overpaid</v>
      </c>
    </row>
    <row r="1944" spans="1:30" x14ac:dyDescent="0.3">
      <c r="A1944">
        <v>1943</v>
      </c>
      <c r="B1944" s="1">
        <v>120000</v>
      </c>
      <c r="C1944" s="1" t="str" cm="1">
        <f t="array" ref="C1944">_xlfn.IFS(Table2[[#This Row],[LIMIT_BAL]]&lt;=100000,"Low",Table2[[#This Row],[LIMIT_BAL]]&lt;=300000,"Medium",
TRUE,"High"
)</f>
        <v>Medium</v>
      </c>
      <c r="D1944" t="s">
        <v>2042</v>
      </c>
      <c r="E1944" t="s">
        <v>2026</v>
      </c>
      <c r="F1944" t="s">
        <v>2028</v>
      </c>
      <c r="G1944">
        <v>45</v>
      </c>
      <c r="H1944" t="str" cm="1">
        <f t="array" ref="H1944">_xlfn.IFS(
Table2[[#This Row],[AGE]]&lt;30,"Young",
Table2[[#This Row],[AGE]]&lt;40,"Middle Age",
Table2[[#This Row],[AGE]]&lt;50,"Senior",
TRUE,"Super Senior"
)</f>
        <v>Senior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s="1">
        <v>20877</v>
      </c>
      <c r="P1944" s="1">
        <v>21909</v>
      </c>
      <c r="Q1944" s="1">
        <v>22922</v>
      </c>
      <c r="R1944" s="1">
        <v>23376</v>
      </c>
      <c r="S1944" s="1">
        <v>23866</v>
      </c>
      <c r="T1944" s="1">
        <v>24339</v>
      </c>
      <c r="U1944" s="1">
        <v>1369</v>
      </c>
      <c r="V1944" s="1">
        <v>1382</v>
      </c>
      <c r="W1944" s="1">
        <v>836</v>
      </c>
      <c r="X1944" s="1">
        <v>866</v>
      </c>
      <c r="Y1944" s="1">
        <v>870</v>
      </c>
      <c r="Z1944" s="1">
        <v>902</v>
      </c>
      <c r="AA1944">
        <v>0</v>
      </c>
      <c r="AB1944" t="str">
        <f t="shared" si="30"/>
        <v>Not Defaulter</v>
      </c>
      <c r="AC1944" s="1">
        <f>Table2[[#This Row],[BILL_AMT1]]-Table2[[#This Row],[PAY_AMT1]]</f>
        <v>19508</v>
      </c>
      <c r="AD1944" s="1" t="str" cm="1">
        <f t="array" ref="AD1944">_xlfn.IFS(Table2[[#This Row],[PAYMENT GAP]]&lt;=0,"No Gap / Overpaid",Table2[[#This Row],[PAYMENT GAP]]&lt;=25000,"Low Gap",Table2[[#This Row],[PAYMENT GAP]]&lt;=100000,"Medium Gap",
TRUE,"High Gap"
)</f>
        <v>Low Gap</v>
      </c>
    </row>
    <row r="1945" spans="1:30" x14ac:dyDescent="0.3">
      <c r="A1945">
        <v>1944</v>
      </c>
      <c r="B1945" s="1">
        <v>220000</v>
      </c>
      <c r="C1945" s="1" t="str" cm="1">
        <f t="array" ref="C1945">_xlfn.IFS(Table2[[#This Row],[LIMIT_BAL]]&lt;=100000,"Low",Table2[[#This Row],[LIMIT_BAL]]&lt;=300000,"Medium",
TRUE,"High"
)</f>
        <v>Medium</v>
      </c>
      <c r="D1945" t="s">
        <v>2042</v>
      </c>
      <c r="E1945" t="s">
        <v>2043</v>
      </c>
      <c r="F1945" t="s">
        <v>2029</v>
      </c>
      <c r="G1945">
        <v>30</v>
      </c>
      <c r="H1945" t="str" cm="1">
        <f t="array" ref="H1945">_xlfn.IFS(
Table2[[#This Row],[AGE]]&lt;30,"Young",
Table2[[#This Row],[AGE]]&lt;40,"Middle Age",
Table2[[#This Row],[AGE]]&lt;50,"Senior",
TRUE,"Super Senior"
)</f>
        <v>Middle Age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 s="1">
        <v>217800</v>
      </c>
      <c r="P1945" s="1">
        <v>189016</v>
      </c>
      <c r="Q1945" s="1">
        <v>137788</v>
      </c>
      <c r="R1945" s="1">
        <v>106713</v>
      </c>
      <c r="S1945" s="1">
        <v>96588</v>
      </c>
      <c r="T1945" s="1">
        <v>22743</v>
      </c>
      <c r="U1945" s="1">
        <v>7261</v>
      </c>
      <c r="V1945" s="1">
        <v>5170</v>
      </c>
      <c r="W1945" s="1">
        <v>4054</v>
      </c>
      <c r="X1945" s="1">
        <v>4500</v>
      </c>
      <c r="Y1945" s="1">
        <v>1225</v>
      </c>
      <c r="Z1945" s="1">
        <v>110000</v>
      </c>
      <c r="AA1945">
        <v>0</v>
      </c>
      <c r="AB1945" t="str">
        <f t="shared" si="30"/>
        <v>Not Defaulter</v>
      </c>
      <c r="AC1945" s="1">
        <f>Table2[[#This Row],[BILL_AMT1]]-Table2[[#This Row],[PAY_AMT1]]</f>
        <v>210539</v>
      </c>
      <c r="AD1945" s="1" t="str" cm="1">
        <f t="array" ref="AD1945">_xlfn.IFS(Table2[[#This Row],[PAYMENT GAP]]&lt;=0,"No Gap / Overpaid",Table2[[#This Row],[PAYMENT GAP]]&lt;=25000,"Low Gap",Table2[[#This Row],[PAYMENT GAP]]&lt;=100000,"Medium Gap",
TRUE,"High Gap"
)</f>
        <v>High Gap</v>
      </c>
    </row>
    <row r="1946" spans="1:30" x14ac:dyDescent="0.3">
      <c r="A1946">
        <v>1945</v>
      </c>
      <c r="B1946" s="1">
        <v>220000</v>
      </c>
      <c r="C1946" s="1" t="str" cm="1">
        <f t="array" ref="C1946">_xlfn.IFS(Table2[[#This Row],[LIMIT_BAL]]&lt;=100000,"Low",Table2[[#This Row],[LIMIT_BAL]]&lt;=300000,"Medium",
TRUE,"High"
)</f>
        <v>Medium</v>
      </c>
      <c r="D1946" t="s">
        <v>2042</v>
      </c>
      <c r="E1946" t="s">
        <v>2026</v>
      </c>
      <c r="F1946" t="s">
        <v>2029</v>
      </c>
      <c r="G1946">
        <v>34</v>
      </c>
      <c r="H1946" t="str" cm="1">
        <f t="array" ref="H1946">_xlfn.IFS(
Table2[[#This Row],[AGE]]&lt;30,"Young",
Table2[[#This Row],[AGE]]&lt;40,"Middle Age",
Table2[[#This Row],[AGE]]&lt;50,"Senior",
TRUE,"Super Senior"
)</f>
        <v>Middle Age</v>
      </c>
      <c r="I1946">
        <v>2</v>
      </c>
      <c r="J1946">
        <v>2</v>
      </c>
      <c r="K1946">
        <v>0</v>
      </c>
      <c r="L1946">
        <v>0</v>
      </c>
      <c r="M1946">
        <v>0</v>
      </c>
      <c r="N1946">
        <v>2</v>
      </c>
      <c r="O1946" s="1">
        <v>203101</v>
      </c>
      <c r="P1946" s="1">
        <v>185384</v>
      </c>
      <c r="Q1946" s="1">
        <v>149839</v>
      </c>
      <c r="R1946" s="1">
        <v>142404</v>
      </c>
      <c r="S1946" s="1">
        <v>120918</v>
      </c>
      <c r="T1946" s="1">
        <v>87005</v>
      </c>
      <c r="U1946" s="1">
        <v>311</v>
      </c>
      <c r="V1946" s="1">
        <v>38024</v>
      </c>
      <c r="W1946" s="1">
        <v>8105</v>
      </c>
      <c r="X1946" s="1">
        <v>10117</v>
      </c>
      <c r="Y1946" s="1">
        <v>37</v>
      </c>
      <c r="Z1946" s="1">
        <v>5264</v>
      </c>
      <c r="AA1946">
        <v>1</v>
      </c>
      <c r="AB1946" t="str">
        <f t="shared" si="30"/>
        <v>Defaulter</v>
      </c>
      <c r="AC1946" s="1">
        <f>Table2[[#This Row],[BILL_AMT1]]-Table2[[#This Row],[PAY_AMT1]]</f>
        <v>202790</v>
      </c>
      <c r="AD1946" s="1" t="str" cm="1">
        <f t="array" ref="AD1946">_xlfn.IFS(Table2[[#This Row],[PAYMENT GAP]]&lt;=0,"No Gap / Overpaid",Table2[[#This Row],[PAYMENT GAP]]&lt;=25000,"Low Gap",Table2[[#This Row],[PAYMENT GAP]]&lt;=100000,"Medium Gap",
TRUE,"High Gap"
)</f>
        <v>High Gap</v>
      </c>
    </row>
    <row r="1947" spans="1:30" x14ac:dyDescent="0.3">
      <c r="A1947">
        <v>1946</v>
      </c>
      <c r="B1947" s="1">
        <v>10000</v>
      </c>
      <c r="C1947" s="1" t="str" cm="1">
        <f t="array" ref="C1947">_xlfn.IFS(Table2[[#This Row],[LIMIT_BAL]]&lt;=100000,"Low",Table2[[#This Row],[LIMIT_BAL]]&lt;=300000,"Medium",
TRUE,"High"
)</f>
        <v>Low</v>
      </c>
      <c r="D1947" t="s">
        <v>2041</v>
      </c>
      <c r="E1947" t="s">
        <v>2026</v>
      </c>
      <c r="F1947" t="s">
        <v>2029</v>
      </c>
      <c r="G1947">
        <v>27</v>
      </c>
      <c r="H1947" t="str" cm="1">
        <f t="array" ref="H1947">_xlfn.IFS(
Table2[[#This Row],[AGE]]&lt;30,"Young",
Table2[[#This Row],[AGE]]&lt;40,"Middle Age",
Table2[[#This Row],[AGE]]&lt;50,"Senior",
TRUE,"Super Senior"
)</f>
        <v>Young</v>
      </c>
      <c r="I1947">
        <v>-1</v>
      </c>
      <c r="J1947">
        <v>-1</v>
      </c>
      <c r="K1947">
        <v>-2</v>
      </c>
      <c r="L1947">
        <v>-2</v>
      </c>
      <c r="M1947">
        <v>-2</v>
      </c>
      <c r="N1947">
        <v>-2</v>
      </c>
      <c r="O1947" s="1">
        <v>499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1">
        <v>0</v>
      </c>
      <c r="Y1947" s="1">
        <v>0</v>
      </c>
      <c r="Z1947" s="1">
        <v>0</v>
      </c>
      <c r="AA1947">
        <v>1</v>
      </c>
      <c r="AB1947" t="str">
        <f t="shared" si="30"/>
        <v>Defaulter</v>
      </c>
      <c r="AC1947" s="1">
        <f>Table2[[#This Row],[BILL_AMT1]]-Table2[[#This Row],[PAY_AMT1]]</f>
        <v>499</v>
      </c>
      <c r="AD1947" s="1" t="str" cm="1">
        <f t="array" ref="AD1947">_xlfn.IFS(Table2[[#This Row],[PAYMENT GAP]]&lt;=0,"No Gap / Overpaid",Table2[[#This Row],[PAYMENT GAP]]&lt;=25000,"Low Gap",Table2[[#This Row],[PAYMENT GAP]]&lt;=100000,"Medium Gap",
TRUE,"High Gap"
)</f>
        <v>Low Gap</v>
      </c>
    </row>
    <row r="1948" spans="1:30" x14ac:dyDescent="0.3">
      <c r="A1948">
        <v>1947</v>
      </c>
      <c r="B1948" s="1">
        <v>320000</v>
      </c>
      <c r="C1948" s="1" t="str" cm="1">
        <f t="array" ref="C1948">_xlfn.IFS(Table2[[#This Row],[LIMIT_BAL]]&lt;=100000,"Low",Table2[[#This Row],[LIMIT_BAL]]&lt;=300000,"Medium",
TRUE,"High"
)</f>
        <v>High</v>
      </c>
      <c r="D1948" t="s">
        <v>2041</v>
      </c>
      <c r="E1948" t="s">
        <v>2043</v>
      </c>
      <c r="F1948" t="s">
        <v>2029</v>
      </c>
      <c r="G1948">
        <v>31</v>
      </c>
      <c r="H1948" t="str" cm="1">
        <f t="array" ref="H1948">_xlfn.IFS(
Table2[[#This Row],[AGE]]&lt;30,"Young",
Table2[[#This Row],[AGE]]&lt;40,"Middle Age",
Table2[[#This Row],[AGE]]&lt;50,"Senior",
TRUE,"Super Senior"
)</f>
        <v>Middle Age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 s="1">
        <v>104850</v>
      </c>
      <c r="P1948" s="1">
        <v>101705</v>
      </c>
      <c r="Q1948" s="1">
        <v>93489</v>
      </c>
      <c r="R1948" s="1">
        <v>95033</v>
      </c>
      <c r="S1948" s="1">
        <v>96941</v>
      </c>
      <c r="T1948" s="1">
        <v>108463</v>
      </c>
      <c r="U1948" s="1">
        <v>3600</v>
      </c>
      <c r="V1948" s="1">
        <v>4277</v>
      </c>
      <c r="W1948" s="1">
        <v>4000</v>
      </c>
      <c r="X1948" s="1">
        <v>3600</v>
      </c>
      <c r="Y1948" s="1">
        <v>13203</v>
      </c>
      <c r="Z1948" s="1">
        <v>4500</v>
      </c>
      <c r="AA1948">
        <v>0</v>
      </c>
      <c r="AB1948" t="str">
        <f t="shared" si="30"/>
        <v>Not Defaulter</v>
      </c>
      <c r="AC1948" s="1">
        <f>Table2[[#This Row],[BILL_AMT1]]-Table2[[#This Row],[PAY_AMT1]]</f>
        <v>101250</v>
      </c>
      <c r="AD1948" s="1" t="str" cm="1">
        <f t="array" ref="AD1948">_xlfn.IFS(Table2[[#This Row],[PAYMENT GAP]]&lt;=0,"No Gap / Overpaid",Table2[[#This Row],[PAYMENT GAP]]&lt;=25000,"Low Gap",Table2[[#This Row],[PAYMENT GAP]]&lt;=100000,"Medium Gap",
TRUE,"High Gap"
)</f>
        <v>High Gap</v>
      </c>
    </row>
    <row r="1949" spans="1:30" x14ac:dyDescent="0.3">
      <c r="A1949">
        <v>1948</v>
      </c>
      <c r="B1949" s="1">
        <v>320000</v>
      </c>
      <c r="C1949" s="1" t="str" cm="1">
        <f t="array" ref="C1949">_xlfn.IFS(Table2[[#This Row],[LIMIT_BAL]]&lt;=100000,"Low",Table2[[#This Row],[LIMIT_BAL]]&lt;=300000,"Medium",
TRUE,"High"
)</f>
        <v>High</v>
      </c>
      <c r="D1949" t="s">
        <v>2042</v>
      </c>
      <c r="E1949" t="s">
        <v>2026</v>
      </c>
      <c r="F1949" t="s">
        <v>2028</v>
      </c>
      <c r="G1949">
        <v>33</v>
      </c>
      <c r="H1949" t="str" cm="1">
        <f t="array" ref="H1949">_xlfn.IFS(
Table2[[#This Row],[AGE]]&lt;30,"Young",
Table2[[#This Row],[AGE]]&lt;40,"Middle Age",
Table2[[#This Row],[AGE]]&lt;50,"Senior",
TRUE,"Super Senior"
)</f>
        <v>Middle Age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 s="1">
        <v>325445</v>
      </c>
      <c r="P1949" s="1">
        <v>202853</v>
      </c>
      <c r="Q1949" s="1">
        <v>57051</v>
      </c>
      <c r="R1949" s="1">
        <v>161651</v>
      </c>
      <c r="S1949" s="1">
        <v>182265</v>
      </c>
      <c r="T1949" s="1">
        <v>0</v>
      </c>
      <c r="U1949" s="1">
        <v>10000</v>
      </c>
      <c r="V1949" s="1">
        <v>15000</v>
      </c>
      <c r="W1949" s="1">
        <v>105000</v>
      </c>
      <c r="X1949" s="1">
        <v>55000</v>
      </c>
      <c r="Y1949" s="1">
        <v>0</v>
      </c>
      <c r="Z1949" s="1">
        <v>0</v>
      </c>
      <c r="AA1949">
        <v>0</v>
      </c>
      <c r="AB1949" t="str">
        <f t="shared" si="30"/>
        <v>Not Defaulter</v>
      </c>
      <c r="AC1949" s="1">
        <f>Table2[[#This Row],[BILL_AMT1]]-Table2[[#This Row],[PAY_AMT1]]</f>
        <v>315445</v>
      </c>
      <c r="AD1949" s="1" t="str" cm="1">
        <f t="array" ref="AD1949">_xlfn.IFS(Table2[[#This Row],[PAYMENT GAP]]&lt;=0,"No Gap / Overpaid",Table2[[#This Row],[PAYMENT GAP]]&lt;=25000,"Low Gap",Table2[[#This Row],[PAYMENT GAP]]&lt;=100000,"Medium Gap",
TRUE,"High Gap"
)</f>
        <v>High Gap</v>
      </c>
    </row>
    <row r="1950" spans="1:30" x14ac:dyDescent="0.3">
      <c r="A1950">
        <v>1949</v>
      </c>
      <c r="B1950" s="1">
        <v>90000</v>
      </c>
      <c r="C1950" s="1" t="str" cm="1">
        <f t="array" ref="C1950">_xlfn.IFS(Table2[[#This Row],[LIMIT_BAL]]&lt;=100000,"Low",Table2[[#This Row],[LIMIT_BAL]]&lt;=300000,"Medium",
TRUE,"High"
)</f>
        <v>Low</v>
      </c>
      <c r="D1950" t="s">
        <v>2042</v>
      </c>
      <c r="E1950" t="s">
        <v>2043</v>
      </c>
      <c r="F1950" t="s">
        <v>2029</v>
      </c>
      <c r="G1950">
        <v>39</v>
      </c>
      <c r="H1950" t="str" cm="1">
        <f t="array" ref="H1950">_xlfn.IFS(
Table2[[#This Row],[AGE]]&lt;30,"Young",
Table2[[#This Row],[AGE]]&lt;40,"Middle Age",
Table2[[#This Row],[AGE]]&lt;50,"Senior",
TRUE,"Super Senior"
)</f>
        <v>Middle Age</v>
      </c>
      <c r="I1950">
        <v>0</v>
      </c>
      <c r="J1950">
        <v>0</v>
      </c>
      <c r="K1950">
        <v>0</v>
      </c>
      <c r="L1950">
        <v>0</v>
      </c>
      <c r="M1950">
        <v>-1</v>
      </c>
      <c r="N1950">
        <v>0</v>
      </c>
      <c r="O1950" s="1">
        <v>50477</v>
      </c>
      <c r="P1950" s="1">
        <v>22472</v>
      </c>
      <c r="Q1950" s="1">
        <v>20148</v>
      </c>
      <c r="R1950" s="1">
        <v>4708</v>
      </c>
      <c r="S1950" s="1">
        <v>5000</v>
      </c>
      <c r="T1950" s="1">
        <v>5028</v>
      </c>
      <c r="U1950" s="1">
        <v>3000</v>
      </c>
      <c r="V1950" s="1">
        <v>5000</v>
      </c>
      <c r="W1950" s="1">
        <v>500</v>
      </c>
      <c r="X1950" s="1">
        <v>5000</v>
      </c>
      <c r="Y1950" s="1">
        <v>500</v>
      </c>
      <c r="Z1950" s="1">
        <v>500</v>
      </c>
      <c r="AA1950">
        <v>0</v>
      </c>
      <c r="AB1950" t="str">
        <f t="shared" si="30"/>
        <v>Not Defaulter</v>
      </c>
      <c r="AC1950" s="1">
        <f>Table2[[#This Row],[BILL_AMT1]]-Table2[[#This Row],[PAY_AMT1]]</f>
        <v>47477</v>
      </c>
      <c r="AD1950" s="1" t="str" cm="1">
        <f t="array" ref="AD1950">_xlfn.IFS(Table2[[#This Row],[PAYMENT GAP]]&lt;=0,"No Gap / Overpaid",Table2[[#This Row],[PAYMENT GAP]]&lt;=25000,"Low Gap",Table2[[#This Row],[PAYMENT GAP]]&lt;=100000,"Medium Gap",
TRUE,"High Gap"
)</f>
        <v>Medium Gap</v>
      </c>
    </row>
    <row r="1951" spans="1:30" x14ac:dyDescent="0.3">
      <c r="A1951">
        <v>1950</v>
      </c>
      <c r="B1951" s="1">
        <v>180000</v>
      </c>
      <c r="C1951" s="1" t="str" cm="1">
        <f t="array" ref="C1951">_xlfn.IFS(Table2[[#This Row],[LIMIT_BAL]]&lt;=100000,"Low",Table2[[#This Row],[LIMIT_BAL]]&lt;=300000,"Medium",
TRUE,"High"
)</f>
        <v>Medium</v>
      </c>
      <c r="D1951" t="s">
        <v>2042</v>
      </c>
      <c r="E1951" t="s">
        <v>2026</v>
      </c>
      <c r="F1951" t="s">
        <v>2028</v>
      </c>
      <c r="G1951">
        <v>50</v>
      </c>
      <c r="H1951" t="str" cm="1">
        <f t="array" ref="H1951">_xlfn.IFS(
Table2[[#This Row],[AGE]]&lt;30,"Young",
Table2[[#This Row],[AGE]]&lt;40,"Middle Age",
Table2[[#This Row],[AGE]]&lt;50,"Senior",
TRUE,"Super Senior"
)</f>
        <v>Super Senior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 s="1">
        <v>66114</v>
      </c>
      <c r="P1951" s="1">
        <v>69436</v>
      </c>
      <c r="Q1951" s="1">
        <v>72560</v>
      </c>
      <c r="R1951" s="1">
        <v>76169</v>
      </c>
      <c r="S1951" s="1">
        <v>77988</v>
      </c>
      <c r="T1951" s="1">
        <v>69293</v>
      </c>
      <c r="U1951" s="1">
        <v>5000</v>
      </c>
      <c r="V1951" s="1">
        <v>5000</v>
      </c>
      <c r="W1951" s="1">
        <v>5000</v>
      </c>
      <c r="X1951" s="1">
        <v>3000</v>
      </c>
      <c r="Y1951" s="1">
        <v>5000</v>
      </c>
      <c r="Z1951" s="1">
        <v>5000</v>
      </c>
      <c r="AA1951">
        <v>0</v>
      </c>
      <c r="AB1951" t="str">
        <f t="shared" si="30"/>
        <v>Not Defaulter</v>
      </c>
      <c r="AC1951" s="1">
        <f>Table2[[#This Row],[BILL_AMT1]]-Table2[[#This Row],[PAY_AMT1]]</f>
        <v>61114</v>
      </c>
      <c r="AD1951" s="1" t="str" cm="1">
        <f t="array" ref="AD1951">_xlfn.IFS(Table2[[#This Row],[PAYMENT GAP]]&lt;=0,"No Gap / Overpaid",Table2[[#This Row],[PAYMENT GAP]]&lt;=25000,"Low Gap",Table2[[#This Row],[PAYMENT GAP]]&lt;=100000,"Medium Gap",
TRUE,"High Gap"
)</f>
        <v>Medium Gap</v>
      </c>
    </row>
    <row r="1952" spans="1:30" x14ac:dyDescent="0.3">
      <c r="A1952">
        <v>1951</v>
      </c>
      <c r="B1952" s="1">
        <v>90000</v>
      </c>
      <c r="C1952" s="1" t="str" cm="1">
        <f t="array" ref="C1952">_xlfn.IFS(Table2[[#This Row],[LIMIT_BAL]]&lt;=100000,"Low",Table2[[#This Row],[LIMIT_BAL]]&lt;=300000,"Medium",
TRUE,"High"
)</f>
        <v>Low</v>
      </c>
      <c r="D1952" t="s">
        <v>2041</v>
      </c>
      <c r="E1952" t="s">
        <v>2026</v>
      </c>
      <c r="F1952" t="s">
        <v>2029</v>
      </c>
      <c r="G1952">
        <v>28</v>
      </c>
      <c r="H1952" t="str" cm="1">
        <f t="array" ref="H1952">_xlfn.IFS(
Table2[[#This Row],[AGE]]&lt;30,"Young",
Table2[[#This Row],[AGE]]&lt;40,"Middle Age",
Table2[[#This Row],[AGE]]&lt;50,"Senior",
TRUE,"Super Senior"
)</f>
        <v>Young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-1</v>
      </c>
      <c r="O1952" s="1">
        <v>88345</v>
      </c>
      <c r="P1952" s="1">
        <v>90260</v>
      </c>
      <c r="Q1952" s="1">
        <v>87535</v>
      </c>
      <c r="R1952" s="1">
        <v>89335</v>
      </c>
      <c r="S1952" s="1">
        <v>19715</v>
      </c>
      <c r="T1952" s="1">
        <v>4709</v>
      </c>
      <c r="U1952" s="1">
        <v>3360</v>
      </c>
      <c r="V1952" s="1">
        <v>1947</v>
      </c>
      <c r="W1952" s="1">
        <v>2000</v>
      </c>
      <c r="X1952" s="1">
        <v>10000</v>
      </c>
      <c r="Y1952" s="1">
        <v>4709</v>
      </c>
      <c r="Z1952" s="1">
        <v>82400</v>
      </c>
      <c r="AA1952">
        <v>0</v>
      </c>
      <c r="AB1952" t="str">
        <f t="shared" si="30"/>
        <v>Not Defaulter</v>
      </c>
      <c r="AC1952" s="1">
        <f>Table2[[#This Row],[BILL_AMT1]]-Table2[[#This Row],[PAY_AMT1]]</f>
        <v>84985</v>
      </c>
      <c r="AD1952" s="1" t="str" cm="1">
        <f t="array" ref="AD1952">_xlfn.IFS(Table2[[#This Row],[PAYMENT GAP]]&lt;=0,"No Gap / Overpaid",Table2[[#This Row],[PAYMENT GAP]]&lt;=25000,"Low Gap",Table2[[#This Row],[PAYMENT GAP]]&lt;=100000,"Medium Gap",
TRUE,"High Gap"
)</f>
        <v>Medium Gap</v>
      </c>
    </row>
    <row r="1953" spans="1:30" x14ac:dyDescent="0.3">
      <c r="A1953">
        <v>1952</v>
      </c>
      <c r="B1953" s="1">
        <v>100000</v>
      </c>
      <c r="C1953" s="1" t="str" cm="1">
        <f t="array" ref="C1953">_xlfn.IFS(Table2[[#This Row],[LIMIT_BAL]]&lt;=100000,"Low",Table2[[#This Row],[LIMIT_BAL]]&lt;=300000,"Medium",
TRUE,"High"
)</f>
        <v>Low</v>
      </c>
      <c r="D1953" t="s">
        <v>2042</v>
      </c>
      <c r="E1953" t="s">
        <v>2026</v>
      </c>
      <c r="F1953" t="s">
        <v>2028</v>
      </c>
      <c r="G1953">
        <v>36</v>
      </c>
      <c r="H1953" t="str" cm="1">
        <f t="array" ref="H1953">_xlfn.IFS(
Table2[[#This Row],[AGE]]&lt;30,"Young",
Table2[[#This Row],[AGE]]&lt;40,"Middle Age",
Table2[[#This Row],[AGE]]&lt;50,"Senior",
TRUE,"Super Senior"
)</f>
        <v>Middle Age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 s="1">
        <v>23070</v>
      </c>
      <c r="P1953" s="1">
        <v>18806</v>
      </c>
      <c r="Q1953" s="1">
        <v>20183</v>
      </c>
      <c r="R1953" s="1">
        <v>21540</v>
      </c>
      <c r="S1953" s="1">
        <v>25775</v>
      </c>
      <c r="T1953" s="1">
        <v>0</v>
      </c>
      <c r="U1953" s="1">
        <v>1700</v>
      </c>
      <c r="V1953" s="1">
        <v>2000</v>
      </c>
      <c r="W1953" s="1">
        <v>2000</v>
      </c>
      <c r="X1953" s="1">
        <v>5000</v>
      </c>
      <c r="Y1953" s="1">
        <v>0</v>
      </c>
      <c r="Z1953" s="1">
        <v>0</v>
      </c>
      <c r="AA1953">
        <v>0</v>
      </c>
      <c r="AB1953" t="str">
        <f t="shared" si="30"/>
        <v>Not Defaulter</v>
      </c>
      <c r="AC1953" s="1">
        <f>Table2[[#This Row],[BILL_AMT1]]-Table2[[#This Row],[PAY_AMT1]]</f>
        <v>21370</v>
      </c>
      <c r="AD1953" s="1" t="str" cm="1">
        <f t="array" ref="AD1953">_xlfn.IFS(Table2[[#This Row],[PAYMENT GAP]]&lt;=0,"No Gap / Overpaid",Table2[[#This Row],[PAYMENT GAP]]&lt;=25000,"Low Gap",Table2[[#This Row],[PAYMENT GAP]]&lt;=100000,"Medium Gap",
TRUE,"High Gap"
)</f>
        <v>Low Gap</v>
      </c>
    </row>
    <row r="1954" spans="1:30" x14ac:dyDescent="0.3">
      <c r="A1954">
        <v>1953</v>
      </c>
      <c r="B1954" s="1">
        <v>340000</v>
      </c>
      <c r="C1954" s="1" t="str" cm="1">
        <f t="array" ref="C1954">_xlfn.IFS(Table2[[#This Row],[LIMIT_BAL]]&lt;=100000,"Low",Table2[[#This Row],[LIMIT_BAL]]&lt;=300000,"Medium",
TRUE,"High"
)</f>
        <v>High</v>
      </c>
      <c r="D1954" t="s">
        <v>2042</v>
      </c>
      <c r="E1954" t="s">
        <v>2043</v>
      </c>
      <c r="F1954" t="s">
        <v>2028</v>
      </c>
      <c r="G1954">
        <v>41</v>
      </c>
      <c r="H1954" t="str" cm="1">
        <f t="array" ref="H1954">_xlfn.IFS(
Table2[[#This Row],[AGE]]&lt;30,"Young",
Table2[[#This Row],[AGE]]&lt;40,"Middle Age",
Table2[[#This Row],[AGE]]&lt;50,"Senior",
TRUE,"Super Senior"
)</f>
        <v>Senior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 s="1">
        <v>331003</v>
      </c>
      <c r="P1954" s="1">
        <v>332829</v>
      </c>
      <c r="Q1954" s="1">
        <v>274467</v>
      </c>
      <c r="R1954" s="1">
        <v>275341</v>
      </c>
      <c r="S1954" s="1">
        <v>280913</v>
      </c>
      <c r="T1954" s="1">
        <v>270448</v>
      </c>
      <c r="U1954" s="1">
        <v>15110</v>
      </c>
      <c r="V1954" s="1">
        <v>11019</v>
      </c>
      <c r="W1954" s="1">
        <v>9502</v>
      </c>
      <c r="X1954" s="1">
        <v>9579</v>
      </c>
      <c r="Y1954" s="1">
        <v>9026</v>
      </c>
      <c r="Z1954" s="1">
        <v>8719</v>
      </c>
      <c r="AA1954">
        <v>0</v>
      </c>
      <c r="AB1954" t="str">
        <f t="shared" si="30"/>
        <v>Not Defaulter</v>
      </c>
      <c r="AC1954" s="1">
        <f>Table2[[#This Row],[BILL_AMT1]]-Table2[[#This Row],[PAY_AMT1]]</f>
        <v>315893</v>
      </c>
      <c r="AD1954" s="1" t="str" cm="1">
        <f t="array" ref="AD1954">_xlfn.IFS(Table2[[#This Row],[PAYMENT GAP]]&lt;=0,"No Gap / Overpaid",Table2[[#This Row],[PAYMENT GAP]]&lt;=25000,"Low Gap",Table2[[#This Row],[PAYMENT GAP]]&lt;=100000,"Medium Gap",
TRUE,"High Gap"
)</f>
        <v>High Gap</v>
      </c>
    </row>
    <row r="1955" spans="1:30" x14ac:dyDescent="0.3">
      <c r="A1955">
        <v>1954</v>
      </c>
      <c r="B1955" s="1">
        <v>50000</v>
      </c>
      <c r="C1955" s="1" t="str" cm="1">
        <f t="array" ref="C1955">_xlfn.IFS(Table2[[#This Row],[LIMIT_BAL]]&lt;=100000,"Low",Table2[[#This Row],[LIMIT_BAL]]&lt;=300000,"Medium",
TRUE,"High"
)</f>
        <v>Low</v>
      </c>
      <c r="D1955" t="s">
        <v>2042</v>
      </c>
      <c r="E1955" t="s">
        <v>2026</v>
      </c>
      <c r="F1955" t="s">
        <v>2029</v>
      </c>
      <c r="G1955">
        <v>22</v>
      </c>
      <c r="H1955" t="str" cm="1">
        <f t="array" ref="H1955">_xlfn.IFS(
Table2[[#This Row],[AGE]]&lt;30,"Young",
Table2[[#This Row],[AGE]]&lt;40,"Middle Age",
Table2[[#This Row],[AGE]]&lt;50,"Senior",
TRUE,"Super Senior"
)</f>
        <v>Young</v>
      </c>
      <c r="I1955">
        <v>0</v>
      </c>
      <c r="J1955">
        <v>0</v>
      </c>
      <c r="K1955">
        <v>2</v>
      </c>
      <c r="L1955">
        <v>0</v>
      </c>
      <c r="M1955">
        <v>0</v>
      </c>
      <c r="N1955">
        <v>0</v>
      </c>
      <c r="O1955" s="1">
        <v>47726</v>
      </c>
      <c r="P1955" s="1">
        <v>51161</v>
      </c>
      <c r="Q1955" s="1">
        <v>48310</v>
      </c>
      <c r="R1955" s="1">
        <v>50332</v>
      </c>
      <c r="S1955" s="1">
        <v>47492</v>
      </c>
      <c r="T1955" s="1">
        <v>50782</v>
      </c>
      <c r="U1955" s="1">
        <v>5500</v>
      </c>
      <c r="V1955" s="1">
        <v>0</v>
      </c>
      <c r="W1955" s="1">
        <v>3000</v>
      </c>
      <c r="X1955" s="1">
        <v>3000</v>
      </c>
      <c r="Y1955" s="1">
        <v>5000</v>
      </c>
      <c r="Z1955" s="1">
        <v>0</v>
      </c>
      <c r="AA1955">
        <v>1</v>
      </c>
      <c r="AB1955" t="str">
        <f t="shared" si="30"/>
        <v>Defaulter</v>
      </c>
      <c r="AC1955" s="1">
        <f>Table2[[#This Row],[BILL_AMT1]]-Table2[[#This Row],[PAY_AMT1]]</f>
        <v>42226</v>
      </c>
      <c r="AD1955" s="1" t="str" cm="1">
        <f t="array" ref="AD1955">_xlfn.IFS(Table2[[#This Row],[PAYMENT GAP]]&lt;=0,"No Gap / Overpaid",Table2[[#This Row],[PAYMENT GAP]]&lt;=25000,"Low Gap",Table2[[#This Row],[PAYMENT GAP]]&lt;=100000,"Medium Gap",
TRUE,"High Gap"
)</f>
        <v>Medium Gap</v>
      </c>
    </row>
    <row r="1956" spans="1:30" x14ac:dyDescent="0.3">
      <c r="A1956">
        <v>1955</v>
      </c>
      <c r="B1956" s="1">
        <v>240000</v>
      </c>
      <c r="C1956" s="1" t="str" cm="1">
        <f t="array" ref="C1956">_xlfn.IFS(Table2[[#This Row],[LIMIT_BAL]]&lt;=100000,"Low",Table2[[#This Row],[LIMIT_BAL]]&lt;=300000,"Medium",
TRUE,"High"
)</f>
        <v>Medium</v>
      </c>
      <c r="D1956" t="s">
        <v>2041</v>
      </c>
      <c r="E1956" t="s">
        <v>2043</v>
      </c>
      <c r="F1956" t="s">
        <v>2028</v>
      </c>
      <c r="G1956">
        <v>41</v>
      </c>
      <c r="H1956" t="str" cm="1">
        <f t="array" ref="H1956">_xlfn.IFS(
Table2[[#This Row],[AGE]]&lt;30,"Young",
Table2[[#This Row],[AGE]]&lt;40,"Middle Age",
Table2[[#This Row],[AGE]]&lt;50,"Senior",
TRUE,"Super Senior"
)</f>
        <v>Senior</v>
      </c>
      <c r="I1956">
        <v>-1</v>
      </c>
      <c r="J1956">
        <v>0</v>
      </c>
      <c r="K1956">
        <v>-1</v>
      </c>
      <c r="L1956">
        <v>-1</v>
      </c>
      <c r="M1956">
        <v>-1</v>
      </c>
      <c r="N1956">
        <v>-1</v>
      </c>
      <c r="O1956" s="1">
        <v>20272</v>
      </c>
      <c r="P1956" s="1">
        <v>11294</v>
      </c>
      <c r="Q1956" s="1">
        <v>16873</v>
      </c>
      <c r="R1956" s="1">
        <v>1143</v>
      </c>
      <c r="S1956" s="1">
        <v>4317</v>
      </c>
      <c r="T1956" s="1">
        <v>14940</v>
      </c>
      <c r="U1956" s="1">
        <v>1000</v>
      </c>
      <c r="V1956" s="1">
        <v>16906</v>
      </c>
      <c r="W1956" s="1">
        <v>1143</v>
      </c>
      <c r="X1956" s="1">
        <v>4317</v>
      </c>
      <c r="Y1956" s="1">
        <v>14940</v>
      </c>
      <c r="Z1956" s="1">
        <v>0</v>
      </c>
      <c r="AA1956">
        <v>0</v>
      </c>
      <c r="AB1956" t="str">
        <f t="shared" si="30"/>
        <v>Not Defaulter</v>
      </c>
      <c r="AC1956" s="1">
        <f>Table2[[#This Row],[BILL_AMT1]]-Table2[[#This Row],[PAY_AMT1]]</f>
        <v>19272</v>
      </c>
      <c r="AD1956" s="1" t="str" cm="1">
        <f t="array" ref="AD1956">_xlfn.IFS(Table2[[#This Row],[PAYMENT GAP]]&lt;=0,"No Gap / Overpaid",Table2[[#This Row],[PAYMENT GAP]]&lt;=25000,"Low Gap",Table2[[#This Row],[PAYMENT GAP]]&lt;=100000,"Medium Gap",
TRUE,"High Gap"
)</f>
        <v>Low Gap</v>
      </c>
    </row>
    <row r="1957" spans="1:30" x14ac:dyDescent="0.3">
      <c r="A1957">
        <v>1956</v>
      </c>
      <c r="B1957" s="1">
        <v>10000</v>
      </c>
      <c r="C1957" s="1" t="str" cm="1">
        <f t="array" ref="C1957">_xlfn.IFS(Table2[[#This Row],[LIMIT_BAL]]&lt;=100000,"Low",Table2[[#This Row],[LIMIT_BAL]]&lt;=300000,"Medium",
TRUE,"High"
)</f>
        <v>Low</v>
      </c>
      <c r="D1957" t="s">
        <v>2042</v>
      </c>
      <c r="E1957" t="s">
        <v>2043</v>
      </c>
      <c r="F1957" t="s">
        <v>2029</v>
      </c>
      <c r="G1957">
        <v>41</v>
      </c>
      <c r="H1957" t="str" cm="1">
        <f t="array" ref="H1957">_xlfn.IFS(
Table2[[#This Row],[AGE]]&lt;30,"Young",
Table2[[#This Row],[AGE]]&lt;40,"Middle Age",
Table2[[#This Row],[AGE]]&lt;50,"Senior",
TRUE,"Super Senior"
)</f>
        <v>Senior</v>
      </c>
      <c r="I1957">
        <v>1</v>
      </c>
      <c r="J1957">
        <v>2</v>
      </c>
      <c r="K1957">
        <v>2</v>
      </c>
      <c r="L1957">
        <v>2</v>
      </c>
      <c r="M1957">
        <v>2</v>
      </c>
      <c r="N1957">
        <v>2</v>
      </c>
      <c r="O1957" s="1">
        <v>8722</v>
      </c>
      <c r="P1957" s="1">
        <v>9592</v>
      </c>
      <c r="Q1957" s="1">
        <v>9289</v>
      </c>
      <c r="R1957" s="1">
        <v>10140</v>
      </c>
      <c r="S1957" s="1">
        <v>10417</v>
      </c>
      <c r="T1957" s="1">
        <v>10104</v>
      </c>
      <c r="U1957" s="1">
        <v>1157</v>
      </c>
      <c r="V1957" s="1">
        <v>0</v>
      </c>
      <c r="W1957" s="1">
        <v>1008</v>
      </c>
      <c r="X1957" s="1">
        <v>584</v>
      </c>
      <c r="Y1957" s="1">
        <v>0</v>
      </c>
      <c r="Z1957" s="1">
        <v>198</v>
      </c>
      <c r="AA1957">
        <v>0</v>
      </c>
      <c r="AB1957" t="str">
        <f t="shared" si="30"/>
        <v>Not Defaulter</v>
      </c>
      <c r="AC1957" s="1">
        <f>Table2[[#This Row],[BILL_AMT1]]-Table2[[#This Row],[PAY_AMT1]]</f>
        <v>7565</v>
      </c>
      <c r="AD1957" s="1" t="str" cm="1">
        <f t="array" ref="AD1957">_xlfn.IFS(Table2[[#This Row],[PAYMENT GAP]]&lt;=0,"No Gap / Overpaid",Table2[[#This Row],[PAYMENT GAP]]&lt;=25000,"Low Gap",Table2[[#This Row],[PAYMENT GAP]]&lt;=100000,"Medium Gap",
TRUE,"High Gap"
)</f>
        <v>Low Gap</v>
      </c>
    </row>
    <row r="1958" spans="1:30" x14ac:dyDescent="0.3">
      <c r="A1958">
        <v>1957</v>
      </c>
      <c r="B1958" s="1">
        <v>220000</v>
      </c>
      <c r="C1958" s="1" t="str" cm="1">
        <f t="array" ref="C1958">_xlfn.IFS(Table2[[#This Row],[LIMIT_BAL]]&lt;=100000,"Low",Table2[[#This Row],[LIMIT_BAL]]&lt;=300000,"Medium",
TRUE,"High"
)</f>
        <v>Medium</v>
      </c>
      <c r="D1958" t="s">
        <v>2041</v>
      </c>
      <c r="E1958" t="s">
        <v>2026</v>
      </c>
      <c r="F1958" t="s">
        <v>2028</v>
      </c>
      <c r="G1958">
        <v>42</v>
      </c>
      <c r="H1958" t="str" cm="1">
        <f t="array" ref="H1958">_xlfn.IFS(
Table2[[#This Row],[AGE]]&lt;30,"Young",
Table2[[#This Row],[AGE]]&lt;40,"Middle Age",
Table2[[#This Row],[AGE]]&lt;50,"Senior",
TRUE,"Super Senior"
)</f>
        <v>Senior</v>
      </c>
      <c r="I1958">
        <v>2</v>
      </c>
      <c r="J1958">
        <v>2</v>
      </c>
      <c r="K1958">
        <v>2</v>
      </c>
      <c r="L1958">
        <v>2</v>
      </c>
      <c r="M1958">
        <v>2</v>
      </c>
      <c r="N1958">
        <v>2</v>
      </c>
      <c r="O1958" s="1">
        <v>2500</v>
      </c>
      <c r="P1958" s="1">
        <v>2500</v>
      </c>
      <c r="Q1958" s="1">
        <v>2500</v>
      </c>
      <c r="R1958" s="1">
        <v>2500</v>
      </c>
      <c r="S1958" s="1">
        <v>2500</v>
      </c>
      <c r="T1958" s="1">
        <v>2500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>
        <v>1</v>
      </c>
      <c r="AB1958" t="str">
        <f t="shared" si="30"/>
        <v>Defaulter</v>
      </c>
      <c r="AC1958" s="1">
        <f>Table2[[#This Row],[BILL_AMT1]]-Table2[[#This Row],[PAY_AMT1]]</f>
        <v>2500</v>
      </c>
      <c r="AD1958" s="1" t="str" cm="1">
        <f t="array" ref="AD1958">_xlfn.IFS(Table2[[#This Row],[PAYMENT GAP]]&lt;=0,"No Gap / Overpaid",Table2[[#This Row],[PAYMENT GAP]]&lt;=25000,"Low Gap",Table2[[#This Row],[PAYMENT GAP]]&lt;=100000,"Medium Gap",
TRUE,"High Gap"
)</f>
        <v>Low Gap</v>
      </c>
    </row>
    <row r="1959" spans="1:30" x14ac:dyDescent="0.3">
      <c r="A1959">
        <v>1958</v>
      </c>
      <c r="B1959" s="1">
        <v>100000</v>
      </c>
      <c r="C1959" s="1" t="str" cm="1">
        <f t="array" ref="C1959">_xlfn.IFS(Table2[[#This Row],[LIMIT_BAL]]&lt;=100000,"Low",Table2[[#This Row],[LIMIT_BAL]]&lt;=300000,"Medium",
TRUE,"High"
)</f>
        <v>Low</v>
      </c>
      <c r="D1959" t="s">
        <v>2041</v>
      </c>
      <c r="E1959" t="s">
        <v>2043</v>
      </c>
      <c r="F1959" t="s">
        <v>2029</v>
      </c>
      <c r="G1959">
        <v>37</v>
      </c>
      <c r="H1959" t="str" cm="1">
        <f t="array" ref="H1959">_xlfn.IFS(
Table2[[#This Row],[AGE]]&lt;30,"Young",
Table2[[#This Row],[AGE]]&lt;40,"Middle Age",
Table2[[#This Row],[AGE]]&lt;50,"Senior",
TRUE,"Super Senior"
)</f>
        <v>Middle Age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 s="1">
        <v>107669</v>
      </c>
      <c r="P1959" s="1">
        <v>107529</v>
      </c>
      <c r="Q1959" s="1">
        <v>73323</v>
      </c>
      <c r="R1959" s="1">
        <v>51125</v>
      </c>
      <c r="S1959" s="1">
        <v>46879</v>
      </c>
      <c r="T1959" s="1">
        <v>45538</v>
      </c>
      <c r="U1959" s="1">
        <v>3536</v>
      </c>
      <c r="V1959" s="1">
        <v>2821</v>
      </c>
      <c r="W1959" s="1">
        <v>3963</v>
      </c>
      <c r="X1959" s="1">
        <v>3147</v>
      </c>
      <c r="Y1959" s="1">
        <v>2670</v>
      </c>
      <c r="Z1959" s="1">
        <v>725</v>
      </c>
      <c r="AA1959">
        <v>0</v>
      </c>
      <c r="AB1959" t="str">
        <f t="shared" si="30"/>
        <v>Not Defaulter</v>
      </c>
      <c r="AC1959" s="1">
        <f>Table2[[#This Row],[BILL_AMT1]]-Table2[[#This Row],[PAY_AMT1]]</f>
        <v>104133</v>
      </c>
      <c r="AD1959" s="1" t="str" cm="1">
        <f t="array" ref="AD1959">_xlfn.IFS(Table2[[#This Row],[PAYMENT GAP]]&lt;=0,"No Gap / Overpaid",Table2[[#This Row],[PAYMENT GAP]]&lt;=25000,"Low Gap",Table2[[#This Row],[PAYMENT GAP]]&lt;=100000,"Medium Gap",
TRUE,"High Gap"
)</f>
        <v>High Gap</v>
      </c>
    </row>
    <row r="1960" spans="1:30" x14ac:dyDescent="0.3">
      <c r="A1960">
        <v>1959</v>
      </c>
      <c r="B1960" s="1">
        <v>220000</v>
      </c>
      <c r="C1960" s="1" t="str" cm="1">
        <f t="array" ref="C1960">_xlfn.IFS(Table2[[#This Row],[LIMIT_BAL]]&lt;=100000,"Low",Table2[[#This Row],[LIMIT_BAL]]&lt;=300000,"Medium",
TRUE,"High"
)</f>
        <v>Medium</v>
      </c>
      <c r="D1960" t="s">
        <v>2041</v>
      </c>
      <c r="E1960" t="s">
        <v>2026</v>
      </c>
      <c r="F1960" t="s">
        <v>2028</v>
      </c>
      <c r="G1960">
        <v>31</v>
      </c>
      <c r="H1960" t="str" cm="1">
        <f t="array" ref="H1960">_xlfn.IFS(
Table2[[#This Row],[AGE]]&lt;30,"Young",
Table2[[#This Row],[AGE]]&lt;40,"Middle Age",
Table2[[#This Row],[AGE]]&lt;50,"Senior",
TRUE,"Super Senior"
)</f>
        <v>Middle Age</v>
      </c>
      <c r="I1960">
        <v>-2</v>
      </c>
      <c r="J1960">
        <v>-2</v>
      </c>
      <c r="K1960">
        <v>-2</v>
      </c>
      <c r="L1960">
        <v>-2</v>
      </c>
      <c r="M1960">
        <v>-2</v>
      </c>
      <c r="N1960">
        <v>-2</v>
      </c>
      <c r="O1960" s="1">
        <v>3785</v>
      </c>
      <c r="P1960" s="1">
        <v>1137</v>
      </c>
      <c r="Q1960" s="1">
        <v>377</v>
      </c>
      <c r="R1960" s="1">
        <v>5763</v>
      </c>
      <c r="S1960" s="1">
        <v>3952</v>
      </c>
      <c r="T1960" s="1">
        <v>412</v>
      </c>
      <c r="U1960" s="1">
        <v>1142</v>
      </c>
      <c r="V1960" s="1">
        <v>377</v>
      </c>
      <c r="W1960" s="1">
        <v>5763</v>
      </c>
      <c r="X1960" s="1">
        <v>3952</v>
      </c>
      <c r="Y1960" s="1">
        <v>412</v>
      </c>
      <c r="Z1960" s="1">
        <v>1294</v>
      </c>
      <c r="AA1960">
        <v>0</v>
      </c>
      <c r="AB1960" t="str">
        <f t="shared" si="30"/>
        <v>Not Defaulter</v>
      </c>
      <c r="AC1960" s="1">
        <f>Table2[[#This Row],[BILL_AMT1]]-Table2[[#This Row],[PAY_AMT1]]</f>
        <v>2643</v>
      </c>
      <c r="AD1960" s="1" t="str" cm="1">
        <f t="array" ref="AD1960">_xlfn.IFS(Table2[[#This Row],[PAYMENT GAP]]&lt;=0,"No Gap / Overpaid",Table2[[#This Row],[PAYMENT GAP]]&lt;=25000,"Low Gap",Table2[[#This Row],[PAYMENT GAP]]&lt;=100000,"Medium Gap",
TRUE,"High Gap"
)</f>
        <v>Low Gap</v>
      </c>
    </row>
    <row r="1961" spans="1:30" x14ac:dyDescent="0.3">
      <c r="A1961">
        <v>1960</v>
      </c>
      <c r="B1961" s="1">
        <v>70000</v>
      </c>
      <c r="C1961" s="1" t="str" cm="1">
        <f t="array" ref="C1961">_xlfn.IFS(Table2[[#This Row],[LIMIT_BAL]]&lt;=100000,"Low",Table2[[#This Row],[LIMIT_BAL]]&lt;=300000,"Medium",
TRUE,"High"
)</f>
        <v>Low</v>
      </c>
      <c r="D1961" t="s">
        <v>2041</v>
      </c>
      <c r="E1961" t="s">
        <v>2027</v>
      </c>
      <c r="F1961" t="s">
        <v>2028</v>
      </c>
      <c r="G1961">
        <v>57</v>
      </c>
      <c r="H1961" t="str" cm="1">
        <f t="array" ref="H1961">_xlfn.IFS(
Table2[[#This Row],[AGE]]&lt;30,"Young",
Table2[[#This Row],[AGE]]&lt;40,"Middle Age",
Table2[[#This Row],[AGE]]&lt;50,"Senior",
TRUE,"Super Senior"
)</f>
        <v>Super Senior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 s="1">
        <v>67864</v>
      </c>
      <c r="P1961" s="1">
        <v>65062</v>
      </c>
      <c r="Q1961" s="1">
        <v>66447</v>
      </c>
      <c r="R1961" s="1">
        <v>49103</v>
      </c>
      <c r="S1961" s="1">
        <v>45830</v>
      </c>
      <c r="T1961" s="1">
        <v>46769</v>
      </c>
      <c r="U1961" s="1">
        <v>2620</v>
      </c>
      <c r="V1961" s="1">
        <v>2730</v>
      </c>
      <c r="W1961" s="1">
        <v>1936</v>
      </c>
      <c r="X1961" s="1">
        <v>1700</v>
      </c>
      <c r="Y1961" s="1">
        <v>1700</v>
      </c>
      <c r="Z1961" s="1">
        <v>2000</v>
      </c>
      <c r="AA1961">
        <v>0</v>
      </c>
      <c r="AB1961" t="str">
        <f t="shared" si="30"/>
        <v>Not Defaulter</v>
      </c>
      <c r="AC1961" s="1">
        <f>Table2[[#This Row],[BILL_AMT1]]-Table2[[#This Row],[PAY_AMT1]]</f>
        <v>65244</v>
      </c>
      <c r="AD1961" s="1" t="str" cm="1">
        <f t="array" ref="AD1961">_xlfn.IFS(Table2[[#This Row],[PAYMENT GAP]]&lt;=0,"No Gap / Overpaid",Table2[[#This Row],[PAYMENT GAP]]&lt;=25000,"Low Gap",Table2[[#This Row],[PAYMENT GAP]]&lt;=100000,"Medium Gap",
TRUE,"High Gap"
)</f>
        <v>Medium Gap</v>
      </c>
    </row>
    <row r="1962" spans="1:30" x14ac:dyDescent="0.3">
      <c r="A1962">
        <v>1961</v>
      </c>
      <c r="B1962" s="1">
        <v>30000</v>
      </c>
      <c r="C1962" s="1" t="str" cm="1">
        <f t="array" ref="C1962">_xlfn.IFS(Table2[[#This Row],[LIMIT_BAL]]&lt;=100000,"Low",Table2[[#This Row],[LIMIT_BAL]]&lt;=300000,"Medium",
TRUE,"High"
)</f>
        <v>Low</v>
      </c>
      <c r="D1962" t="s">
        <v>2041</v>
      </c>
      <c r="E1962" t="s">
        <v>2043</v>
      </c>
      <c r="F1962" t="s">
        <v>2029</v>
      </c>
      <c r="G1962">
        <v>37</v>
      </c>
      <c r="H1962" t="str" cm="1">
        <f t="array" ref="H1962">_xlfn.IFS(
Table2[[#This Row],[AGE]]&lt;30,"Young",
Table2[[#This Row],[AGE]]&lt;40,"Middle Age",
Table2[[#This Row],[AGE]]&lt;50,"Senior",
TRUE,"Super Senior"
)</f>
        <v>Middle Age</v>
      </c>
      <c r="I1962">
        <v>3</v>
      </c>
      <c r="J1962">
        <v>2</v>
      </c>
      <c r="K1962">
        <v>2</v>
      </c>
      <c r="L1962">
        <v>0</v>
      </c>
      <c r="M1962">
        <v>0</v>
      </c>
      <c r="N1962">
        <v>0</v>
      </c>
      <c r="O1962" s="1">
        <v>29657</v>
      </c>
      <c r="P1962" s="1">
        <v>30320</v>
      </c>
      <c r="Q1962" s="1">
        <v>28991</v>
      </c>
      <c r="R1962" s="1">
        <v>29066</v>
      </c>
      <c r="S1962" s="1">
        <v>29340</v>
      </c>
      <c r="T1962" s="1">
        <v>30786</v>
      </c>
      <c r="U1962" s="1">
        <v>1763</v>
      </c>
      <c r="V1962" s="1">
        <v>0</v>
      </c>
      <c r="W1962" s="1">
        <v>1178</v>
      </c>
      <c r="X1962" s="1">
        <v>1223</v>
      </c>
      <c r="Y1962" s="1">
        <v>2435</v>
      </c>
      <c r="Z1962" s="1">
        <v>1200</v>
      </c>
      <c r="AA1962">
        <v>1</v>
      </c>
      <c r="AB1962" t="str">
        <f t="shared" si="30"/>
        <v>Defaulter</v>
      </c>
      <c r="AC1962" s="1">
        <f>Table2[[#This Row],[BILL_AMT1]]-Table2[[#This Row],[PAY_AMT1]]</f>
        <v>27894</v>
      </c>
      <c r="AD1962" s="1" t="str" cm="1">
        <f t="array" ref="AD1962">_xlfn.IFS(Table2[[#This Row],[PAYMENT GAP]]&lt;=0,"No Gap / Overpaid",Table2[[#This Row],[PAYMENT GAP]]&lt;=25000,"Low Gap",Table2[[#This Row],[PAYMENT GAP]]&lt;=100000,"Medium Gap",
TRUE,"High Gap"
)</f>
        <v>Medium Gap</v>
      </c>
    </row>
    <row r="1963" spans="1:30" x14ac:dyDescent="0.3">
      <c r="A1963">
        <v>1962</v>
      </c>
      <c r="B1963" s="1">
        <v>130000</v>
      </c>
      <c r="C1963" s="1" t="str" cm="1">
        <f t="array" ref="C1963">_xlfn.IFS(Table2[[#This Row],[LIMIT_BAL]]&lt;=100000,"Low",Table2[[#This Row],[LIMIT_BAL]]&lt;=300000,"Medium",
TRUE,"High"
)</f>
        <v>Medium</v>
      </c>
      <c r="D1963" t="s">
        <v>2041</v>
      </c>
      <c r="E1963" t="s">
        <v>2027</v>
      </c>
      <c r="F1963" t="s">
        <v>2029</v>
      </c>
      <c r="G1963">
        <v>53</v>
      </c>
      <c r="H1963" t="str" cm="1">
        <f t="array" ref="H1963">_xlfn.IFS(
Table2[[#This Row],[AGE]]&lt;30,"Young",
Table2[[#This Row],[AGE]]&lt;40,"Middle Age",
Table2[[#This Row],[AGE]]&lt;50,"Senior",
TRUE,"Super Senior"
)</f>
        <v>Super Senior</v>
      </c>
      <c r="I1963">
        <v>-1</v>
      </c>
      <c r="J1963">
        <v>-1</v>
      </c>
      <c r="K1963">
        <v>-1</v>
      </c>
      <c r="L1963">
        <v>-1</v>
      </c>
      <c r="M1963">
        <v>-1</v>
      </c>
      <c r="N1963">
        <v>-1</v>
      </c>
      <c r="O1963" s="1">
        <v>11085</v>
      </c>
      <c r="P1963" s="1">
        <v>45677</v>
      </c>
      <c r="Q1963" s="1">
        <v>27951</v>
      </c>
      <c r="R1963" s="1">
        <v>17255</v>
      </c>
      <c r="S1963" s="1">
        <v>10400</v>
      </c>
      <c r="T1963" s="1">
        <v>18776</v>
      </c>
      <c r="U1963" s="1">
        <v>45697</v>
      </c>
      <c r="V1963" s="1">
        <v>27951</v>
      </c>
      <c r="W1963" s="1">
        <v>17307</v>
      </c>
      <c r="X1963" s="1">
        <v>10400</v>
      </c>
      <c r="Y1963" s="1">
        <v>18776</v>
      </c>
      <c r="Z1963" s="1">
        <v>2944</v>
      </c>
      <c r="AA1963">
        <v>0</v>
      </c>
      <c r="AB1963" t="str">
        <f t="shared" si="30"/>
        <v>Not Defaulter</v>
      </c>
      <c r="AC1963" s="1">
        <f>Table2[[#This Row],[BILL_AMT1]]-Table2[[#This Row],[PAY_AMT1]]</f>
        <v>-34612</v>
      </c>
      <c r="AD1963" s="1" t="str" cm="1">
        <f t="array" ref="AD1963">_xlfn.IFS(Table2[[#This Row],[PAYMENT GAP]]&lt;=0,"No Gap / Overpaid",Table2[[#This Row],[PAYMENT GAP]]&lt;=25000,"Low Gap",Table2[[#This Row],[PAYMENT GAP]]&lt;=100000,"Medium Gap",
TRUE,"High Gap"
)</f>
        <v>No Gap / Overpaid</v>
      </c>
    </row>
    <row r="1964" spans="1:30" x14ac:dyDescent="0.3">
      <c r="A1964">
        <v>1963</v>
      </c>
      <c r="B1964" s="1">
        <v>140000</v>
      </c>
      <c r="C1964" s="1" t="str" cm="1">
        <f t="array" ref="C1964">_xlfn.IFS(Table2[[#This Row],[LIMIT_BAL]]&lt;=100000,"Low",Table2[[#This Row],[LIMIT_BAL]]&lt;=300000,"Medium",
TRUE,"High"
)</f>
        <v>Medium</v>
      </c>
      <c r="D1964" t="s">
        <v>2041</v>
      </c>
      <c r="E1964" t="s">
        <v>2043</v>
      </c>
      <c r="F1964" t="s">
        <v>2028</v>
      </c>
      <c r="G1964">
        <v>25</v>
      </c>
      <c r="H1964" t="str" cm="1">
        <f t="array" ref="H1964">_xlfn.IFS(
Table2[[#This Row],[AGE]]&lt;30,"Young",
Table2[[#This Row],[AGE]]&lt;40,"Middle Age",
Table2[[#This Row],[AGE]]&lt;50,"Senior",
TRUE,"Super Senior"
)</f>
        <v>Young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 s="1">
        <v>81960</v>
      </c>
      <c r="P1964" s="1">
        <v>81757</v>
      </c>
      <c r="Q1964" s="1">
        <v>83046</v>
      </c>
      <c r="R1964" s="1">
        <v>84034</v>
      </c>
      <c r="S1964" s="1">
        <v>77659</v>
      </c>
      <c r="T1964" s="1">
        <v>77180</v>
      </c>
      <c r="U1964" s="1">
        <v>3005</v>
      </c>
      <c r="V1964" s="1">
        <v>3000</v>
      </c>
      <c r="W1964" s="1">
        <v>3000</v>
      </c>
      <c r="X1964" s="1">
        <v>3000</v>
      </c>
      <c r="Y1964" s="1">
        <v>3000</v>
      </c>
      <c r="Z1964" s="1">
        <v>5000</v>
      </c>
      <c r="AA1964">
        <v>0</v>
      </c>
      <c r="AB1964" t="str">
        <f t="shared" si="30"/>
        <v>Not Defaulter</v>
      </c>
      <c r="AC1964" s="1">
        <f>Table2[[#This Row],[BILL_AMT1]]-Table2[[#This Row],[PAY_AMT1]]</f>
        <v>78955</v>
      </c>
      <c r="AD1964" s="1" t="str" cm="1">
        <f t="array" ref="AD1964">_xlfn.IFS(Table2[[#This Row],[PAYMENT GAP]]&lt;=0,"No Gap / Overpaid",Table2[[#This Row],[PAYMENT GAP]]&lt;=25000,"Low Gap",Table2[[#This Row],[PAYMENT GAP]]&lt;=100000,"Medium Gap",
TRUE,"High Gap"
)</f>
        <v>Medium Gap</v>
      </c>
    </row>
    <row r="1965" spans="1:30" x14ac:dyDescent="0.3">
      <c r="A1965">
        <v>1964</v>
      </c>
      <c r="B1965" s="1">
        <v>20000</v>
      </c>
      <c r="C1965" s="1" t="str" cm="1">
        <f t="array" ref="C1965">_xlfn.IFS(Table2[[#This Row],[LIMIT_BAL]]&lt;=100000,"Low",Table2[[#This Row],[LIMIT_BAL]]&lt;=300000,"Medium",
TRUE,"High"
)</f>
        <v>Low</v>
      </c>
      <c r="D1965" t="s">
        <v>2042</v>
      </c>
      <c r="E1965" t="s">
        <v>2043</v>
      </c>
      <c r="F1965" t="s">
        <v>2029</v>
      </c>
      <c r="G1965">
        <v>32</v>
      </c>
      <c r="H1965" t="str" cm="1">
        <f t="array" ref="H1965">_xlfn.IFS(
Table2[[#This Row],[AGE]]&lt;30,"Young",
Table2[[#This Row],[AGE]]&lt;40,"Middle Age",
Table2[[#This Row],[AGE]]&lt;50,"Senior",
TRUE,"Super Senior"
)</f>
        <v>Middle Age</v>
      </c>
      <c r="I1965">
        <v>0</v>
      </c>
      <c r="J1965">
        <v>0</v>
      </c>
      <c r="K1965">
        <v>-1</v>
      </c>
      <c r="L1965">
        <v>0</v>
      </c>
      <c r="M1965">
        <v>0</v>
      </c>
      <c r="N1965">
        <v>0</v>
      </c>
      <c r="O1965" s="1">
        <v>4485</v>
      </c>
      <c r="P1965" s="1">
        <v>4843</v>
      </c>
      <c r="Q1965" s="1">
        <v>15992</v>
      </c>
      <c r="R1965" s="1">
        <v>14897</v>
      </c>
      <c r="S1965" s="1">
        <v>12792</v>
      </c>
      <c r="T1965" s="1">
        <v>10042</v>
      </c>
      <c r="U1965" s="1">
        <v>1000</v>
      </c>
      <c r="V1965" s="1">
        <v>16000</v>
      </c>
      <c r="W1965" s="1">
        <v>600</v>
      </c>
      <c r="X1965" s="1">
        <v>1000</v>
      </c>
      <c r="Y1965" s="1">
        <v>500</v>
      </c>
      <c r="Z1965" s="1">
        <v>0</v>
      </c>
      <c r="AA1965">
        <v>0</v>
      </c>
      <c r="AB1965" t="str">
        <f t="shared" si="30"/>
        <v>Not Defaulter</v>
      </c>
      <c r="AC1965" s="1">
        <f>Table2[[#This Row],[BILL_AMT1]]-Table2[[#This Row],[PAY_AMT1]]</f>
        <v>3485</v>
      </c>
      <c r="AD1965" s="1" t="str" cm="1">
        <f t="array" ref="AD1965">_xlfn.IFS(Table2[[#This Row],[PAYMENT GAP]]&lt;=0,"No Gap / Overpaid",Table2[[#This Row],[PAYMENT GAP]]&lt;=25000,"Low Gap",Table2[[#This Row],[PAYMENT GAP]]&lt;=100000,"Medium Gap",
TRUE,"High Gap"
)</f>
        <v>Low Gap</v>
      </c>
    </row>
    <row r="1966" spans="1:30" x14ac:dyDescent="0.3">
      <c r="A1966">
        <v>1965</v>
      </c>
      <c r="B1966" s="1">
        <v>150000</v>
      </c>
      <c r="C1966" s="1" t="str" cm="1">
        <f t="array" ref="C1966">_xlfn.IFS(Table2[[#This Row],[LIMIT_BAL]]&lt;=100000,"Low",Table2[[#This Row],[LIMIT_BAL]]&lt;=300000,"Medium",
TRUE,"High"
)</f>
        <v>Medium</v>
      </c>
      <c r="D1966" t="s">
        <v>2041</v>
      </c>
      <c r="E1966" t="s">
        <v>2026</v>
      </c>
      <c r="F1966" t="s">
        <v>2028</v>
      </c>
      <c r="G1966">
        <v>38</v>
      </c>
      <c r="H1966" t="str" cm="1">
        <f t="array" ref="H1966">_xlfn.IFS(
Table2[[#This Row],[AGE]]&lt;30,"Young",
Table2[[#This Row],[AGE]]&lt;40,"Middle Age",
Table2[[#This Row],[AGE]]&lt;50,"Senior",
TRUE,"Super Senior"
)</f>
        <v>Middle Age</v>
      </c>
      <c r="I1966">
        <v>1</v>
      </c>
      <c r="J1966">
        <v>-2</v>
      </c>
      <c r="K1966">
        <v>-2</v>
      </c>
      <c r="L1966">
        <v>-2</v>
      </c>
      <c r="M1966">
        <v>-2</v>
      </c>
      <c r="N1966">
        <v>-2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>
        <v>1</v>
      </c>
      <c r="AB1966" t="str">
        <f t="shared" si="30"/>
        <v>Defaulter</v>
      </c>
      <c r="AC1966" s="1">
        <f>Table2[[#This Row],[BILL_AMT1]]-Table2[[#This Row],[PAY_AMT1]]</f>
        <v>0</v>
      </c>
      <c r="AD1966" s="1" t="str" cm="1">
        <f t="array" ref="AD1966">_xlfn.IFS(Table2[[#This Row],[PAYMENT GAP]]&lt;=0,"No Gap / Overpaid",Table2[[#This Row],[PAYMENT GAP]]&lt;=25000,"Low Gap",Table2[[#This Row],[PAYMENT GAP]]&lt;=100000,"Medium Gap",
TRUE,"High Gap"
)</f>
        <v>No Gap / Overpaid</v>
      </c>
    </row>
    <row r="1967" spans="1:30" x14ac:dyDescent="0.3">
      <c r="A1967">
        <v>1966</v>
      </c>
      <c r="B1967" s="1">
        <v>50000</v>
      </c>
      <c r="C1967" s="1" t="str" cm="1">
        <f t="array" ref="C1967">_xlfn.IFS(Table2[[#This Row],[LIMIT_BAL]]&lt;=100000,"Low",Table2[[#This Row],[LIMIT_BAL]]&lt;=300000,"Medium",
TRUE,"High"
)</f>
        <v>Low</v>
      </c>
      <c r="D1967" t="s">
        <v>2041</v>
      </c>
      <c r="E1967" t="s">
        <v>2043</v>
      </c>
      <c r="F1967" t="s">
        <v>2029</v>
      </c>
      <c r="G1967">
        <v>26</v>
      </c>
      <c r="H1967" t="str" cm="1">
        <f t="array" ref="H1967">_xlfn.IFS(
Table2[[#This Row],[AGE]]&lt;30,"Young",
Table2[[#This Row],[AGE]]&lt;40,"Middle Age",
Table2[[#This Row],[AGE]]&lt;50,"Senior",
TRUE,"Super Senior"
)</f>
        <v>Young</v>
      </c>
      <c r="I1967">
        <v>0</v>
      </c>
      <c r="J1967">
        <v>0</v>
      </c>
      <c r="K1967">
        <v>-2</v>
      </c>
      <c r="L1967">
        <v>-2</v>
      </c>
      <c r="M1967">
        <v>-2</v>
      </c>
      <c r="N1967">
        <v>-2</v>
      </c>
      <c r="O1967" s="1">
        <v>4136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>
        <v>0</v>
      </c>
      <c r="AB1967" t="str">
        <f t="shared" si="30"/>
        <v>Not Defaulter</v>
      </c>
      <c r="AC1967" s="1">
        <f>Table2[[#This Row],[BILL_AMT1]]-Table2[[#This Row],[PAY_AMT1]]</f>
        <v>4136</v>
      </c>
      <c r="AD1967" s="1" t="str" cm="1">
        <f t="array" ref="AD1967">_xlfn.IFS(Table2[[#This Row],[PAYMENT GAP]]&lt;=0,"No Gap / Overpaid",Table2[[#This Row],[PAYMENT GAP]]&lt;=25000,"Low Gap",Table2[[#This Row],[PAYMENT GAP]]&lt;=100000,"Medium Gap",
TRUE,"High Gap"
)</f>
        <v>Low Gap</v>
      </c>
    </row>
    <row r="1968" spans="1:30" x14ac:dyDescent="0.3">
      <c r="A1968">
        <v>1967</v>
      </c>
      <c r="B1968" s="1">
        <v>90000</v>
      </c>
      <c r="C1968" s="1" t="str" cm="1">
        <f t="array" ref="C1968">_xlfn.IFS(Table2[[#This Row],[LIMIT_BAL]]&lt;=100000,"Low",Table2[[#This Row],[LIMIT_BAL]]&lt;=300000,"Medium",
TRUE,"High"
)</f>
        <v>Low</v>
      </c>
      <c r="D1968" t="s">
        <v>2042</v>
      </c>
      <c r="E1968" t="s">
        <v>2043</v>
      </c>
      <c r="F1968" t="s">
        <v>2028</v>
      </c>
      <c r="G1968">
        <v>29</v>
      </c>
      <c r="H1968" t="str" cm="1">
        <f t="array" ref="H1968">_xlfn.IFS(
Table2[[#This Row],[AGE]]&lt;30,"Young",
Table2[[#This Row],[AGE]]&lt;40,"Middle Age",
Table2[[#This Row],[AGE]]&lt;50,"Senior",
TRUE,"Super Senior"
)</f>
        <v>Young</v>
      </c>
      <c r="I1968">
        <v>1</v>
      </c>
      <c r="J1968">
        <v>1</v>
      </c>
      <c r="K1968">
        <v>1</v>
      </c>
      <c r="L1968">
        <v>0</v>
      </c>
      <c r="M1968">
        <v>0</v>
      </c>
      <c r="N1968">
        <v>0</v>
      </c>
      <c r="O1968" s="1">
        <v>41073</v>
      </c>
      <c r="P1968" s="1">
        <v>43480</v>
      </c>
      <c r="Q1968" s="1">
        <v>73960</v>
      </c>
      <c r="R1968" s="1">
        <v>2442</v>
      </c>
      <c r="S1968" s="1">
        <v>48063</v>
      </c>
      <c r="T1968" s="1">
        <v>48186</v>
      </c>
      <c r="U1968" s="1">
        <v>3100</v>
      </c>
      <c r="V1968" s="1">
        <v>1000</v>
      </c>
      <c r="W1968" s="1">
        <v>770</v>
      </c>
      <c r="X1968" s="1">
        <v>48012</v>
      </c>
      <c r="Y1968" s="1">
        <v>1756</v>
      </c>
      <c r="Z1968" s="1">
        <v>1894</v>
      </c>
      <c r="AA1968">
        <v>0</v>
      </c>
      <c r="AB1968" t="str">
        <f t="shared" si="30"/>
        <v>Not Defaulter</v>
      </c>
      <c r="AC1968" s="1">
        <f>Table2[[#This Row],[BILL_AMT1]]-Table2[[#This Row],[PAY_AMT1]]</f>
        <v>37973</v>
      </c>
      <c r="AD1968" s="1" t="str" cm="1">
        <f t="array" ref="AD1968">_xlfn.IFS(Table2[[#This Row],[PAYMENT GAP]]&lt;=0,"No Gap / Overpaid",Table2[[#This Row],[PAYMENT GAP]]&lt;=25000,"Low Gap",Table2[[#This Row],[PAYMENT GAP]]&lt;=100000,"Medium Gap",
TRUE,"High Gap"
)</f>
        <v>Medium Gap</v>
      </c>
    </row>
    <row r="1969" spans="1:30" x14ac:dyDescent="0.3">
      <c r="A1969">
        <v>1968</v>
      </c>
      <c r="B1969" s="1">
        <v>170000</v>
      </c>
      <c r="C1969" s="1" t="str" cm="1">
        <f t="array" ref="C1969">_xlfn.IFS(Table2[[#This Row],[LIMIT_BAL]]&lt;=100000,"Low",Table2[[#This Row],[LIMIT_BAL]]&lt;=300000,"Medium",
TRUE,"High"
)</f>
        <v>Medium</v>
      </c>
      <c r="D1969" t="s">
        <v>2041</v>
      </c>
      <c r="E1969" t="s">
        <v>2027</v>
      </c>
      <c r="F1969" t="s">
        <v>2028</v>
      </c>
      <c r="G1969">
        <v>37</v>
      </c>
      <c r="H1969" t="str" cm="1">
        <f t="array" ref="H1969">_xlfn.IFS(
Table2[[#This Row],[AGE]]&lt;30,"Young",
Table2[[#This Row],[AGE]]&lt;40,"Middle Age",
Table2[[#This Row],[AGE]]&lt;50,"Senior",
TRUE,"Super Senior"
)</f>
        <v>Middle Age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 s="1">
        <v>158920</v>
      </c>
      <c r="P1969" s="1">
        <v>164353</v>
      </c>
      <c r="Q1969" s="1">
        <v>167455</v>
      </c>
      <c r="R1969" s="1">
        <v>99297</v>
      </c>
      <c r="S1969" s="1">
        <v>59888</v>
      </c>
      <c r="T1969" s="1">
        <v>44262</v>
      </c>
      <c r="U1969" s="1">
        <v>8000</v>
      </c>
      <c r="V1969" s="1">
        <v>7000</v>
      </c>
      <c r="W1969" s="1">
        <v>5000</v>
      </c>
      <c r="X1969" s="1">
        <v>5000</v>
      </c>
      <c r="Y1969" s="1">
        <v>5000</v>
      </c>
      <c r="Z1969" s="1">
        <v>20000</v>
      </c>
      <c r="AA1969">
        <v>0</v>
      </c>
      <c r="AB1969" t="str">
        <f t="shared" si="30"/>
        <v>Not Defaulter</v>
      </c>
      <c r="AC1969" s="1">
        <f>Table2[[#This Row],[BILL_AMT1]]-Table2[[#This Row],[PAY_AMT1]]</f>
        <v>150920</v>
      </c>
      <c r="AD1969" s="1" t="str" cm="1">
        <f t="array" ref="AD1969">_xlfn.IFS(Table2[[#This Row],[PAYMENT GAP]]&lt;=0,"No Gap / Overpaid",Table2[[#This Row],[PAYMENT GAP]]&lt;=25000,"Low Gap",Table2[[#This Row],[PAYMENT GAP]]&lt;=100000,"Medium Gap",
TRUE,"High Gap"
)</f>
        <v>High Gap</v>
      </c>
    </row>
    <row r="1970" spans="1:30" x14ac:dyDescent="0.3">
      <c r="A1970">
        <v>1969</v>
      </c>
      <c r="B1970" s="1">
        <v>70000</v>
      </c>
      <c r="C1970" s="1" t="str" cm="1">
        <f t="array" ref="C1970">_xlfn.IFS(Table2[[#This Row],[LIMIT_BAL]]&lt;=100000,"Low",Table2[[#This Row],[LIMIT_BAL]]&lt;=300000,"Medium",
TRUE,"High"
)</f>
        <v>Low</v>
      </c>
      <c r="D1970" t="s">
        <v>2042</v>
      </c>
      <c r="E1970" t="s">
        <v>2026</v>
      </c>
      <c r="F1970" t="s">
        <v>2029</v>
      </c>
      <c r="G1970">
        <v>30</v>
      </c>
      <c r="H1970" t="str" cm="1">
        <f t="array" ref="H1970">_xlfn.IFS(
Table2[[#This Row],[AGE]]&lt;30,"Young",
Table2[[#This Row],[AGE]]&lt;40,"Middle Age",
Table2[[#This Row],[AGE]]&lt;50,"Senior",
TRUE,"Super Senior"
)</f>
        <v>Middle Age</v>
      </c>
      <c r="I1970">
        <v>2</v>
      </c>
      <c r="J1970">
        <v>2</v>
      </c>
      <c r="K1970">
        <v>0</v>
      </c>
      <c r="L1970">
        <v>0</v>
      </c>
      <c r="M1970">
        <v>0</v>
      </c>
      <c r="N1970">
        <v>0</v>
      </c>
      <c r="O1970" s="1">
        <v>34985</v>
      </c>
      <c r="P1970" s="1">
        <v>34146</v>
      </c>
      <c r="Q1970" s="1">
        <v>35271</v>
      </c>
      <c r="R1970" s="1">
        <v>35986</v>
      </c>
      <c r="S1970" s="1">
        <v>36905</v>
      </c>
      <c r="T1970" s="1">
        <v>37641</v>
      </c>
      <c r="U1970" s="1">
        <v>0</v>
      </c>
      <c r="V1970" s="1">
        <v>2000</v>
      </c>
      <c r="W1970" s="1">
        <v>1300</v>
      </c>
      <c r="X1970" s="1">
        <v>1500</v>
      </c>
      <c r="Y1970" s="1">
        <v>1500</v>
      </c>
      <c r="Z1970" s="1">
        <v>1576</v>
      </c>
      <c r="AA1970">
        <v>1</v>
      </c>
      <c r="AB1970" t="str">
        <f t="shared" si="30"/>
        <v>Defaulter</v>
      </c>
      <c r="AC1970" s="1">
        <f>Table2[[#This Row],[BILL_AMT1]]-Table2[[#This Row],[PAY_AMT1]]</f>
        <v>34985</v>
      </c>
      <c r="AD1970" s="1" t="str" cm="1">
        <f t="array" ref="AD1970">_xlfn.IFS(Table2[[#This Row],[PAYMENT GAP]]&lt;=0,"No Gap / Overpaid",Table2[[#This Row],[PAYMENT GAP]]&lt;=25000,"Low Gap",Table2[[#This Row],[PAYMENT GAP]]&lt;=100000,"Medium Gap",
TRUE,"High Gap"
)</f>
        <v>Medium Gap</v>
      </c>
    </row>
    <row r="1971" spans="1:30" x14ac:dyDescent="0.3">
      <c r="A1971">
        <v>1970</v>
      </c>
      <c r="B1971" s="1">
        <v>200000</v>
      </c>
      <c r="C1971" s="1" t="str" cm="1">
        <f t="array" ref="C1971">_xlfn.IFS(Table2[[#This Row],[LIMIT_BAL]]&lt;=100000,"Low",Table2[[#This Row],[LIMIT_BAL]]&lt;=300000,"Medium",
TRUE,"High"
)</f>
        <v>Medium</v>
      </c>
      <c r="D1971" t="s">
        <v>2041</v>
      </c>
      <c r="E1971" t="s">
        <v>2026</v>
      </c>
      <c r="F1971" t="s">
        <v>2029</v>
      </c>
      <c r="G1971">
        <v>43</v>
      </c>
      <c r="H1971" t="str" cm="1">
        <f t="array" ref="H1971">_xlfn.IFS(
Table2[[#This Row],[AGE]]&lt;30,"Young",
Table2[[#This Row],[AGE]]&lt;40,"Middle Age",
Table2[[#This Row],[AGE]]&lt;50,"Senior",
TRUE,"Super Senior"
)</f>
        <v>Senior</v>
      </c>
      <c r="I1971">
        <v>-2</v>
      </c>
      <c r="J1971">
        <v>-2</v>
      </c>
      <c r="K1971">
        <v>-2</v>
      </c>
      <c r="L1971">
        <v>-2</v>
      </c>
      <c r="M1971">
        <v>-2</v>
      </c>
      <c r="N1971">
        <v>-2</v>
      </c>
      <c r="O1971" s="1">
        <v>830</v>
      </c>
      <c r="P1971" s="1">
        <v>-6</v>
      </c>
      <c r="Q1971" s="1">
        <v>-6</v>
      </c>
      <c r="R1971" s="1">
        <v>657</v>
      </c>
      <c r="S1971" s="1">
        <v>2088</v>
      </c>
      <c r="T1971" s="1">
        <v>150</v>
      </c>
      <c r="U1971" s="1">
        <v>0</v>
      </c>
      <c r="V1971" s="1">
        <v>0</v>
      </c>
      <c r="W1971" s="1">
        <v>663</v>
      </c>
      <c r="X1971" s="1">
        <v>2088</v>
      </c>
      <c r="Y1971" s="1">
        <v>150</v>
      </c>
      <c r="Z1971" s="1">
        <v>594</v>
      </c>
      <c r="AA1971">
        <v>0</v>
      </c>
      <c r="AB1971" t="str">
        <f t="shared" si="30"/>
        <v>Not Defaulter</v>
      </c>
      <c r="AC1971" s="1">
        <f>Table2[[#This Row],[BILL_AMT1]]-Table2[[#This Row],[PAY_AMT1]]</f>
        <v>830</v>
      </c>
      <c r="AD1971" s="1" t="str" cm="1">
        <f t="array" ref="AD1971">_xlfn.IFS(Table2[[#This Row],[PAYMENT GAP]]&lt;=0,"No Gap / Overpaid",Table2[[#This Row],[PAYMENT GAP]]&lt;=25000,"Low Gap",Table2[[#This Row],[PAYMENT GAP]]&lt;=100000,"Medium Gap",
TRUE,"High Gap"
)</f>
        <v>Low Gap</v>
      </c>
    </row>
    <row r="1972" spans="1:30" x14ac:dyDescent="0.3">
      <c r="A1972">
        <v>1971</v>
      </c>
      <c r="B1972" s="1">
        <v>200000</v>
      </c>
      <c r="C1972" s="1" t="str" cm="1">
        <f t="array" ref="C1972">_xlfn.IFS(Table2[[#This Row],[LIMIT_BAL]]&lt;=100000,"Low",Table2[[#This Row],[LIMIT_BAL]]&lt;=300000,"Medium",
TRUE,"High"
)</f>
        <v>Medium</v>
      </c>
      <c r="D1972" t="s">
        <v>2042</v>
      </c>
      <c r="E1972" t="s">
        <v>2026</v>
      </c>
      <c r="F1972" t="s">
        <v>2028</v>
      </c>
      <c r="G1972">
        <v>42</v>
      </c>
      <c r="H1972" t="str" cm="1">
        <f t="array" ref="H1972">_xlfn.IFS(
Table2[[#This Row],[AGE]]&lt;30,"Young",
Table2[[#This Row],[AGE]]&lt;40,"Middle Age",
Table2[[#This Row],[AGE]]&lt;50,"Senior",
TRUE,"Super Senior"
)</f>
        <v>Senior</v>
      </c>
      <c r="I1972">
        <v>0</v>
      </c>
      <c r="J1972">
        <v>-1</v>
      </c>
      <c r="K1972">
        <v>0</v>
      </c>
      <c r="L1972">
        <v>0</v>
      </c>
      <c r="M1972">
        <v>-1</v>
      </c>
      <c r="N1972">
        <v>-1</v>
      </c>
      <c r="O1972" s="1">
        <v>19318</v>
      </c>
      <c r="P1972" s="1">
        <v>19067</v>
      </c>
      <c r="Q1972" s="1">
        <v>17858</v>
      </c>
      <c r="R1972" s="1">
        <v>326</v>
      </c>
      <c r="S1972" s="1">
        <v>326</v>
      </c>
      <c r="T1972" s="1">
        <v>326</v>
      </c>
      <c r="U1972" s="1">
        <v>19067</v>
      </c>
      <c r="V1972" s="1">
        <v>5000</v>
      </c>
      <c r="W1972" s="1">
        <v>0</v>
      </c>
      <c r="X1972" s="1">
        <v>326</v>
      </c>
      <c r="Y1972" s="1">
        <v>326</v>
      </c>
      <c r="Z1972" s="1">
        <v>326</v>
      </c>
      <c r="AA1972">
        <v>0</v>
      </c>
      <c r="AB1972" t="str">
        <f t="shared" si="30"/>
        <v>Not Defaulter</v>
      </c>
      <c r="AC1972" s="1">
        <f>Table2[[#This Row],[BILL_AMT1]]-Table2[[#This Row],[PAY_AMT1]]</f>
        <v>251</v>
      </c>
      <c r="AD1972" s="1" t="str" cm="1">
        <f t="array" ref="AD1972">_xlfn.IFS(Table2[[#This Row],[PAYMENT GAP]]&lt;=0,"No Gap / Overpaid",Table2[[#This Row],[PAYMENT GAP]]&lt;=25000,"Low Gap",Table2[[#This Row],[PAYMENT GAP]]&lt;=100000,"Medium Gap",
TRUE,"High Gap"
)</f>
        <v>Low Gap</v>
      </c>
    </row>
    <row r="1973" spans="1:30" x14ac:dyDescent="0.3">
      <c r="A1973">
        <v>1972</v>
      </c>
      <c r="B1973" s="1">
        <v>20000</v>
      </c>
      <c r="C1973" s="1" t="str" cm="1">
        <f t="array" ref="C1973">_xlfn.IFS(Table2[[#This Row],[LIMIT_BAL]]&lt;=100000,"Low",Table2[[#This Row],[LIMIT_BAL]]&lt;=300000,"Medium",
TRUE,"High"
)</f>
        <v>Low</v>
      </c>
      <c r="D1973" t="s">
        <v>2042</v>
      </c>
      <c r="E1973" t="s">
        <v>2043</v>
      </c>
      <c r="F1973" t="s">
        <v>2028</v>
      </c>
      <c r="G1973">
        <v>40</v>
      </c>
      <c r="H1973" t="str" cm="1">
        <f t="array" ref="H1973">_xlfn.IFS(
Table2[[#This Row],[AGE]]&lt;30,"Young",
Table2[[#This Row],[AGE]]&lt;40,"Middle Age",
Table2[[#This Row],[AGE]]&lt;50,"Senior",
TRUE,"Super Senior"
)</f>
        <v>Senior</v>
      </c>
      <c r="I1973">
        <v>1</v>
      </c>
      <c r="J1973">
        <v>2</v>
      </c>
      <c r="K1973">
        <v>0</v>
      </c>
      <c r="L1973">
        <v>0</v>
      </c>
      <c r="M1973">
        <v>0</v>
      </c>
      <c r="N1973">
        <v>0</v>
      </c>
      <c r="O1973" s="1">
        <v>20498</v>
      </c>
      <c r="P1973" s="1">
        <v>19692</v>
      </c>
      <c r="Q1973" s="1">
        <v>20498</v>
      </c>
      <c r="R1973" s="1">
        <v>19898</v>
      </c>
      <c r="S1973" s="1">
        <v>19906</v>
      </c>
      <c r="T1973" s="1">
        <v>18586</v>
      </c>
      <c r="U1973" s="1">
        <v>0</v>
      </c>
      <c r="V1973" s="1">
        <v>1600</v>
      </c>
      <c r="W1973" s="1">
        <v>0</v>
      </c>
      <c r="X1973" s="1">
        <v>398</v>
      </c>
      <c r="Y1973" s="1">
        <v>0</v>
      </c>
      <c r="Z1973" s="1">
        <v>0</v>
      </c>
      <c r="AA1973">
        <v>1</v>
      </c>
      <c r="AB1973" t="str">
        <f t="shared" si="30"/>
        <v>Defaulter</v>
      </c>
      <c r="AC1973" s="1">
        <f>Table2[[#This Row],[BILL_AMT1]]-Table2[[#This Row],[PAY_AMT1]]</f>
        <v>20498</v>
      </c>
      <c r="AD1973" s="1" t="str" cm="1">
        <f t="array" ref="AD1973">_xlfn.IFS(Table2[[#This Row],[PAYMENT GAP]]&lt;=0,"No Gap / Overpaid",Table2[[#This Row],[PAYMENT GAP]]&lt;=25000,"Low Gap",Table2[[#This Row],[PAYMENT GAP]]&lt;=100000,"Medium Gap",
TRUE,"High Gap"
)</f>
        <v>Low Gap</v>
      </c>
    </row>
    <row r="1974" spans="1:30" x14ac:dyDescent="0.3">
      <c r="A1974">
        <v>1973</v>
      </c>
      <c r="B1974" s="1">
        <v>200000</v>
      </c>
      <c r="C1974" s="1" t="str" cm="1">
        <f t="array" ref="C1974">_xlfn.IFS(Table2[[#This Row],[LIMIT_BAL]]&lt;=100000,"Low",Table2[[#This Row],[LIMIT_BAL]]&lt;=300000,"Medium",
TRUE,"High"
)</f>
        <v>Medium</v>
      </c>
      <c r="D1974" t="s">
        <v>2042</v>
      </c>
      <c r="E1974" t="s">
        <v>2043</v>
      </c>
      <c r="F1974" t="s">
        <v>2028</v>
      </c>
      <c r="G1974">
        <v>41</v>
      </c>
      <c r="H1974" t="str" cm="1">
        <f t="array" ref="H1974">_xlfn.IFS(
Table2[[#This Row],[AGE]]&lt;30,"Young",
Table2[[#This Row],[AGE]]&lt;40,"Middle Age",
Table2[[#This Row],[AGE]]&lt;50,"Senior",
TRUE,"Super Senior"
)</f>
        <v>Senior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 s="1">
        <v>96910</v>
      </c>
      <c r="P1974" s="1">
        <v>92934</v>
      </c>
      <c r="Q1974" s="1">
        <v>99528</v>
      </c>
      <c r="R1974" s="1">
        <v>100341</v>
      </c>
      <c r="S1974" s="1">
        <v>102585</v>
      </c>
      <c r="T1974" s="1">
        <v>108567</v>
      </c>
      <c r="U1974" s="1">
        <v>10000</v>
      </c>
      <c r="V1974" s="1">
        <v>7004</v>
      </c>
      <c r="W1974" s="1">
        <v>5000</v>
      </c>
      <c r="X1974" s="1">
        <v>5003</v>
      </c>
      <c r="Y1974" s="1">
        <v>7345</v>
      </c>
      <c r="Z1974" s="1">
        <v>7000</v>
      </c>
      <c r="AA1974">
        <v>0</v>
      </c>
      <c r="AB1974" t="str">
        <f t="shared" si="30"/>
        <v>Not Defaulter</v>
      </c>
      <c r="AC1974" s="1">
        <f>Table2[[#This Row],[BILL_AMT1]]-Table2[[#This Row],[PAY_AMT1]]</f>
        <v>86910</v>
      </c>
      <c r="AD1974" s="1" t="str" cm="1">
        <f t="array" ref="AD1974">_xlfn.IFS(Table2[[#This Row],[PAYMENT GAP]]&lt;=0,"No Gap / Overpaid",Table2[[#This Row],[PAYMENT GAP]]&lt;=25000,"Low Gap",Table2[[#This Row],[PAYMENT GAP]]&lt;=100000,"Medium Gap",
TRUE,"High Gap"
)</f>
        <v>Medium Gap</v>
      </c>
    </row>
    <row r="1975" spans="1:30" x14ac:dyDescent="0.3">
      <c r="A1975">
        <v>1974</v>
      </c>
      <c r="B1975" s="1">
        <v>170000</v>
      </c>
      <c r="C1975" s="1" t="str" cm="1">
        <f t="array" ref="C1975">_xlfn.IFS(Table2[[#This Row],[LIMIT_BAL]]&lt;=100000,"Low",Table2[[#This Row],[LIMIT_BAL]]&lt;=300000,"Medium",
TRUE,"High"
)</f>
        <v>Medium</v>
      </c>
      <c r="D1975" t="s">
        <v>2042</v>
      </c>
      <c r="E1975" t="s">
        <v>2043</v>
      </c>
      <c r="F1975" t="s">
        <v>2029</v>
      </c>
      <c r="G1975">
        <v>26</v>
      </c>
      <c r="H1975" t="str" cm="1">
        <f t="array" ref="H1975">_xlfn.IFS(
Table2[[#This Row],[AGE]]&lt;30,"Young",
Table2[[#This Row],[AGE]]&lt;40,"Middle Age",
Table2[[#This Row],[AGE]]&lt;50,"Senior",
TRUE,"Super Senior"
)</f>
        <v>Young</v>
      </c>
      <c r="I1975">
        <v>-2</v>
      </c>
      <c r="J1975">
        <v>-2</v>
      </c>
      <c r="K1975">
        <v>-2</v>
      </c>
      <c r="L1975">
        <v>-2</v>
      </c>
      <c r="M1975">
        <v>-2</v>
      </c>
      <c r="N1975">
        <v>-2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>
        <v>0</v>
      </c>
      <c r="AB1975" t="str">
        <f t="shared" si="30"/>
        <v>Not Defaulter</v>
      </c>
      <c r="AC1975" s="1">
        <f>Table2[[#This Row],[BILL_AMT1]]-Table2[[#This Row],[PAY_AMT1]]</f>
        <v>0</v>
      </c>
      <c r="AD1975" s="1" t="str" cm="1">
        <f t="array" ref="AD1975">_xlfn.IFS(Table2[[#This Row],[PAYMENT GAP]]&lt;=0,"No Gap / Overpaid",Table2[[#This Row],[PAYMENT GAP]]&lt;=25000,"Low Gap",Table2[[#This Row],[PAYMENT GAP]]&lt;=100000,"Medium Gap",
TRUE,"High Gap"
)</f>
        <v>No Gap / Overpaid</v>
      </c>
    </row>
    <row r="1976" spans="1:30" x14ac:dyDescent="0.3">
      <c r="A1976">
        <v>1975</v>
      </c>
      <c r="B1976" s="1">
        <v>130000</v>
      </c>
      <c r="C1976" s="1" t="str" cm="1">
        <f t="array" ref="C1976">_xlfn.IFS(Table2[[#This Row],[LIMIT_BAL]]&lt;=100000,"Low",Table2[[#This Row],[LIMIT_BAL]]&lt;=300000,"Medium",
TRUE,"High"
)</f>
        <v>Medium</v>
      </c>
      <c r="D1976" t="s">
        <v>2042</v>
      </c>
      <c r="E1976" t="s">
        <v>2026</v>
      </c>
      <c r="F1976" t="s">
        <v>2029</v>
      </c>
      <c r="G1976">
        <v>25</v>
      </c>
      <c r="H1976" t="str" cm="1">
        <f t="array" ref="H1976">_xlfn.IFS(
Table2[[#This Row],[AGE]]&lt;30,"Young",
Table2[[#This Row],[AGE]]&lt;40,"Middle Age",
Table2[[#This Row],[AGE]]&lt;50,"Senior",
TRUE,"Super Senior"
)</f>
        <v>Young</v>
      </c>
      <c r="I1976">
        <v>1</v>
      </c>
      <c r="J1976">
        <v>-2</v>
      </c>
      <c r="K1976">
        <v>-2</v>
      </c>
      <c r="L1976">
        <v>-2</v>
      </c>
      <c r="M1976">
        <v>-2</v>
      </c>
      <c r="N1976">
        <v>-2</v>
      </c>
      <c r="O1976" s="1">
        <v>-2000</v>
      </c>
      <c r="P1976" s="1">
        <v>-2000</v>
      </c>
      <c r="Q1976" s="1">
        <v>-2000</v>
      </c>
      <c r="R1976" s="1">
        <v>-2000</v>
      </c>
      <c r="S1976" s="1">
        <v>-2000</v>
      </c>
      <c r="T1976" s="1">
        <v>-2000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>
        <v>1</v>
      </c>
      <c r="AB1976" t="str">
        <f t="shared" si="30"/>
        <v>Defaulter</v>
      </c>
      <c r="AC1976" s="1">
        <f>Table2[[#This Row],[BILL_AMT1]]-Table2[[#This Row],[PAY_AMT1]]</f>
        <v>-2000</v>
      </c>
      <c r="AD1976" s="1" t="str" cm="1">
        <f t="array" ref="AD1976">_xlfn.IFS(Table2[[#This Row],[PAYMENT GAP]]&lt;=0,"No Gap / Overpaid",Table2[[#This Row],[PAYMENT GAP]]&lt;=25000,"Low Gap",Table2[[#This Row],[PAYMENT GAP]]&lt;=100000,"Medium Gap",
TRUE,"High Gap"
)</f>
        <v>No Gap / Overpaid</v>
      </c>
    </row>
    <row r="1977" spans="1:30" x14ac:dyDescent="0.3">
      <c r="A1977">
        <v>1976</v>
      </c>
      <c r="B1977" s="1">
        <v>100000</v>
      </c>
      <c r="C1977" s="1" t="str" cm="1">
        <f t="array" ref="C1977">_xlfn.IFS(Table2[[#This Row],[LIMIT_BAL]]&lt;=100000,"Low",Table2[[#This Row],[LIMIT_BAL]]&lt;=300000,"Medium",
TRUE,"High"
)</f>
        <v>Low</v>
      </c>
      <c r="D1977" t="s">
        <v>2041</v>
      </c>
      <c r="E1977" t="s">
        <v>2026</v>
      </c>
      <c r="F1977" t="s">
        <v>2029</v>
      </c>
      <c r="G1977">
        <v>27</v>
      </c>
      <c r="H1977" t="str" cm="1">
        <f t="array" ref="H1977">_xlfn.IFS(
Table2[[#This Row],[AGE]]&lt;30,"Young",
Table2[[#This Row],[AGE]]&lt;40,"Middle Age",
Table2[[#This Row],[AGE]]&lt;50,"Senior",
TRUE,"Super Senior"
)</f>
        <v>Young</v>
      </c>
      <c r="I1977">
        <v>0</v>
      </c>
      <c r="J1977">
        <v>0</v>
      </c>
      <c r="K1977">
        <v>0</v>
      </c>
      <c r="L1977">
        <v>0</v>
      </c>
      <c r="M1977">
        <v>2</v>
      </c>
      <c r="N1977">
        <v>0</v>
      </c>
      <c r="O1977" s="1">
        <v>90118</v>
      </c>
      <c r="P1977" s="1">
        <v>88435</v>
      </c>
      <c r="Q1977" s="1">
        <v>90147</v>
      </c>
      <c r="R1977" s="1">
        <v>94425</v>
      </c>
      <c r="S1977" s="1">
        <v>92853</v>
      </c>
      <c r="T1977" s="1">
        <v>93816</v>
      </c>
      <c r="U1977" s="1">
        <v>4110</v>
      </c>
      <c r="V1977" s="1">
        <v>4101</v>
      </c>
      <c r="W1977" s="1">
        <v>6623</v>
      </c>
      <c r="X1977" s="1">
        <v>0</v>
      </c>
      <c r="Y1977" s="1">
        <v>3503</v>
      </c>
      <c r="Z1977" s="1">
        <v>3360</v>
      </c>
      <c r="AA1977">
        <v>0</v>
      </c>
      <c r="AB1977" t="str">
        <f t="shared" si="30"/>
        <v>Not Defaulter</v>
      </c>
      <c r="AC1977" s="1">
        <f>Table2[[#This Row],[BILL_AMT1]]-Table2[[#This Row],[PAY_AMT1]]</f>
        <v>86008</v>
      </c>
      <c r="AD1977" s="1" t="str" cm="1">
        <f t="array" ref="AD1977">_xlfn.IFS(Table2[[#This Row],[PAYMENT GAP]]&lt;=0,"No Gap / Overpaid",Table2[[#This Row],[PAYMENT GAP]]&lt;=25000,"Low Gap",Table2[[#This Row],[PAYMENT GAP]]&lt;=100000,"Medium Gap",
TRUE,"High Gap"
)</f>
        <v>Medium Gap</v>
      </c>
    </row>
    <row r="1978" spans="1:30" x14ac:dyDescent="0.3">
      <c r="A1978">
        <v>1977</v>
      </c>
      <c r="B1978" s="1">
        <v>180000</v>
      </c>
      <c r="C1978" s="1" t="str" cm="1">
        <f t="array" ref="C1978">_xlfn.IFS(Table2[[#This Row],[LIMIT_BAL]]&lt;=100000,"Low",Table2[[#This Row],[LIMIT_BAL]]&lt;=300000,"Medium",
TRUE,"High"
)</f>
        <v>Medium</v>
      </c>
      <c r="D1978" t="s">
        <v>2042</v>
      </c>
      <c r="E1978" t="s">
        <v>2043</v>
      </c>
      <c r="F1978" t="s">
        <v>2029</v>
      </c>
      <c r="G1978">
        <v>31</v>
      </c>
      <c r="H1978" t="str" cm="1">
        <f t="array" ref="H1978">_xlfn.IFS(
Table2[[#This Row],[AGE]]&lt;30,"Young",
Table2[[#This Row],[AGE]]&lt;40,"Middle Age",
Table2[[#This Row],[AGE]]&lt;50,"Senior",
TRUE,"Super Senior"
)</f>
        <v>Middle Age</v>
      </c>
      <c r="I1978">
        <v>0</v>
      </c>
      <c r="J1978">
        <v>0</v>
      </c>
      <c r="K1978">
        <v>0</v>
      </c>
      <c r="L1978">
        <v>2</v>
      </c>
      <c r="M1978">
        <v>0</v>
      </c>
      <c r="N1978">
        <v>0</v>
      </c>
      <c r="O1978" s="1">
        <v>28566</v>
      </c>
      <c r="P1978" s="1">
        <v>32876</v>
      </c>
      <c r="Q1978" s="1">
        <v>39120</v>
      </c>
      <c r="R1978" s="1">
        <v>38339</v>
      </c>
      <c r="S1978" s="1">
        <v>42679</v>
      </c>
      <c r="T1978" s="1">
        <v>46953</v>
      </c>
      <c r="U1978" s="1">
        <v>5000</v>
      </c>
      <c r="V1978" s="1">
        <v>7000</v>
      </c>
      <c r="W1978" s="1">
        <v>0</v>
      </c>
      <c r="X1978" s="1">
        <v>5000</v>
      </c>
      <c r="Y1978" s="1">
        <v>5000</v>
      </c>
      <c r="Z1978" s="1">
        <v>5000</v>
      </c>
      <c r="AA1978">
        <v>0</v>
      </c>
      <c r="AB1978" t="str">
        <f t="shared" si="30"/>
        <v>Not Defaulter</v>
      </c>
      <c r="AC1978" s="1">
        <f>Table2[[#This Row],[BILL_AMT1]]-Table2[[#This Row],[PAY_AMT1]]</f>
        <v>23566</v>
      </c>
      <c r="AD1978" s="1" t="str" cm="1">
        <f t="array" ref="AD1978">_xlfn.IFS(Table2[[#This Row],[PAYMENT GAP]]&lt;=0,"No Gap / Overpaid",Table2[[#This Row],[PAYMENT GAP]]&lt;=25000,"Low Gap",Table2[[#This Row],[PAYMENT GAP]]&lt;=100000,"Medium Gap",
TRUE,"High Gap"
)</f>
        <v>Low Gap</v>
      </c>
    </row>
    <row r="1979" spans="1:30" x14ac:dyDescent="0.3">
      <c r="A1979">
        <v>1978</v>
      </c>
      <c r="B1979" s="1">
        <v>230000</v>
      </c>
      <c r="C1979" s="1" t="str" cm="1">
        <f t="array" ref="C1979">_xlfn.IFS(Table2[[#This Row],[LIMIT_BAL]]&lt;=100000,"Low",Table2[[#This Row],[LIMIT_BAL]]&lt;=300000,"Medium",
TRUE,"High"
)</f>
        <v>Medium</v>
      </c>
      <c r="D1979" t="s">
        <v>2041</v>
      </c>
      <c r="E1979" t="s">
        <v>2027</v>
      </c>
      <c r="F1979" t="s">
        <v>2029</v>
      </c>
      <c r="G1979">
        <v>26</v>
      </c>
      <c r="H1979" t="str" cm="1">
        <f t="array" ref="H1979">_xlfn.IFS(
Table2[[#This Row],[AGE]]&lt;30,"Young",
Table2[[#This Row],[AGE]]&lt;40,"Middle Age",
Table2[[#This Row],[AGE]]&lt;50,"Senior",
TRUE,"Super Senior"
)</f>
        <v>Young</v>
      </c>
      <c r="I1979">
        <v>-2</v>
      </c>
      <c r="J1979">
        <v>-1</v>
      </c>
      <c r="K1979">
        <v>0</v>
      </c>
      <c r="L1979">
        <v>0</v>
      </c>
      <c r="M1979">
        <v>0</v>
      </c>
      <c r="N1979">
        <v>0</v>
      </c>
      <c r="O1979" s="1">
        <v>1200</v>
      </c>
      <c r="P1979" s="1">
        <v>990</v>
      </c>
      <c r="Q1979" s="1">
        <v>9079</v>
      </c>
      <c r="R1979" s="1">
        <v>11186</v>
      </c>
      <c r="S1979" s="1">
        <v>10159</v>
      </c>
      <c r="T1979" s="1">
        <v>11734</v>
      </c>
      <c r="U1979" s="1">
        <v>990</v>
      </c>
      <c r="V1979" s="1">
        <v>8089</v>
      </c>
      <c r="W1979" s="1">
        <v>2186</v>
      </c>
      <c r="X1979" s="1">
        <v>1159</v>
      </c>
      <c r="Y1979" s="1">
        <v>1734</v>
      </c>
      <c r="Z1979" s="1">
        <v>1200</v>
      </c>
      <c r="AA1979">
        <v>0</v>
      </c>
      <c r="AB1979" t="str">
        <f t="shared" si="30"/>
        <v>Not Defaulter</v>
      </c>
      <c r="AC1979" s="1">
        <f>Table2[[#This Row],[BILL_AMT1]]-Table2[[#This Row],[PAY_AMT1]]</f>
        <v>210</v>
      </c>
      <c r="AD1979" s="1" t="str" cm="1">
        <f t="array" ref="AD1979">_xlfn.IFS(Table2[[#This Row],[PAYMENT GAP]]&lt;=0,"No Gap / Overpaid",Table2[[#This Row],[PAYMENT GAP]]&lt;=25000,"Low Gap",Table2[[#This Row],[PAYMENT GAP]]&lt;=100000,"Medium Gap",
TRUE,"High Gap"
)</f>
        <v>Low Gap</v>
      </c>
    </row>
    <row r="1980" spans="1:30" x14ac:dyDescent="0.3">
      <c r="A1980">
        <v>1979</v>
      </c>
      <c r="B1980" s="1">
        <v>20000</v>
      </c>
      <c r="C1980" s="1" t="str" cm="1">
        <f t="array" ref="C1980">_xlfn.IFS(Table2[[#This Row],[LIMIT_BAL]]&lt;=100000,"Low",Table2[[#This Row],[LIMIT_BAL]]&lt;=300000,"Medium",
TRUE,"High"
)</f>
        <v>Low</v>
      </c>
      <c r="D1980" t="s">
        <v>2042</v>
      </c>
      <c r="E1980" t="s">
        <v>2027</v>
      </c>
      <c r="F1980" t="s">
        <v>2029</v>
      </c>
      <c r="G1980">
        <v>50</v>
      </c>
      <c r="H1980" t="str" cm="1">
        <f t="array" ref="H1980">_xlfn.IFS(
Table2[[#This Row],[AGE]]&lt;30,"Young",
Table2[[#This Row],[AGE]]&lt;40,"Middle Age",
Table2[[#This Row],[AGE]]&lt;50,"Senior",
TRUE,"Super Senior"
)</f>
        <v>Super Senior</v>
      </c>
      <c r="I1980">
        <v>-1</v>
      </c>
      <c r="J1980">
        <v>-1</v>
      </c>
      <c r="K1980">
        <v>-1</v>
      </c>
      <c r="L1980">
        <v>-1</v>
      </c>
      <c r="M1980">
        <v>-1</v>
      </c>
      <c r="N1980">
        <v>0</v>
      </c>
      <c r="O1980" s="1">
        <v>2191</v>
      </c>
      <c r="P1980" s="1">
        <v>1140</v>
      </c>
      <c r="Q1980" s="1">
        <v>12656</v>
      </c>
      <c r="R1980" s="1">
        <v>1693</v>
      </c>
      <c r="S1980" s="1">
        <v>303</v>
      </c>
      <c r="T1980" s="1">
        <v>12303</v>
      </c>
      <c r="U1980" s="1">
        <v>1140</v>
      </c>
      <c r="V1980" s="1">
        <v>12656</v>
      </c>
      <c r="W1980" s="1">
        <v>1700</v>
      </c>
      <c r="X1980" s="1">
        <v>500</v>
      </c>
      <c r="Y1980" s="1">
        <v>12000</v>
      </c>
      <c r="Z1980" s="1">
        <v>0</v>
      </c>
      <c r="AA1980">
        <v>0</v>
      </c>
      <c r="AB1980" t="str">
        <f t="shared" si="30"/>
        <v>Not Defaulter</v>
      </c>
      <c r="AC1980" s="1">
        <f>Table2[[#This Row],[BILL_AMT1]]-Table2[[#This Row],[PAY_AMT1]]</f>
        <v>1051</v>
      </c>
      <c r="AD1980" s="1" t="str" cm="1">
        <f t="array" ref="AD1980">_xlfn.IFS(Table2[[#This Row],[PAYMENT GAP]]&lt;=0,"No Gap / Overpaid",Table2[[#This Row],[PAYMENT GAP]]&lt;=25000,"Low Gap",Table2[[#This Row],[PAYMENT GAP]]&lt;=100000,"Medium Gap",
TRUE,"High Gap"
)</f>
        <v>Low Gap</v>
      </c>
    </row>
    <row r="1981" spans="1:30" x14ac:dyDescent="0.3">
      <c r="A1981">
        <v>1980</v>
      </c>
      <c r="B1981" s="1">
        <v>500000</v>
      </c>
      <c r="C1981" s="1" t="str" cm="1">
        <f t="array" ref="C1981">_xlfn.IFS(Table2[[#This Row],[LIMIT_BAL]]&lt;=100000,"Low",Table2[[#This Row],[LIMIT_BAL]]&lt;=300000,"Medium",
TRUE,"High"
)</f>
        <v>High</v>
      </c>
      <c r="D1981" t="s">
        <v>2041</v>
      </c>
      <c r="E1981" t="s">
        <v>2026</v>
      </c>
      <c r="F1981" t="s">
        <v>2028</v>
      </c>
      <c r="G1981">
        <v>35</v>
      </c>
      <c r="H1981" t="str" cm="1">
        <f t="array" ref="H1981">_xlfn.IFS(
Table2[[#This Row],[AGE]]&lt;30,"Young",
Table2[[#This Row],[AGE]]&lt;40,"Middle Age",
Table2[[#This Row],[AGE]]&lt;50,"Senior",
TRUE,"Super Senior"
)</f>
        <v>Middle Age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 s="1">
        <v>35176</v>
      </c>
      <c r="P1981" s="1">
        <v>36193</v>
      </c>
      <c r="Q1981" s="1">
        <v>44157</v>
      </c>
      <c r="R1981" s="1">
        <v>48322</v>
      </c>
      <c r="S1981" s="1">
        <v>21593</v>
      </c>
      <c r="T1981" s="1">
        <v>13866</v>
      </c>
      <c r="U1981" s="1">
        <v>2504</v>
      </c>
      <c r="V1981" s="1">
        <v>10004</v>
      </c>
      <c r="W1981" s="1">
        <v>5178</v>
      </c>
      <c r="X1981" s="1">
        <v>1047</v>
      </c>
      <c r="Y1981" s="1">
        <v>2019</v>
      </c>
      <c r="Z1981" s="1">
        <v>1004</v>
      </c>
      <c r="AA1981">
        <v>1</v>
      </c>
      <c r="AB1981" t="str">
        <f t="shared" si="30"/>
        <v>Defaulter</v>
      </c>
      <c r="AC1981" s="1">
        <f>Table2[[#This Row],[BILL_AMT1]]-Table2[[#This Row],[PAY_AMT1]]</f>
        <v>32672</v>
      </c>
      <c r="AD1981" s="1" t="str" cm="1">
        <f t="array" ref="AD1981">_xlfn.IFS(Table2[[#This Row],[PAYMENT GAP]]&lt;=0,"No Gap / Overpaid",Table2[[#This Row],[PAYMENT GAP]]&lt;=25000,"Low Gap",Table2[[#This Row],[PAYMENT GAP]]&lt;=100000,"Medium Gap",
TRUE,"High Gap"
)</f>
        <v>Medium Gap</v>
      </c>
    </row>
    <row r="1982" spans="1:30" x14ac:dyDescent="0.3">
      <c r="A1982">
        <v>1981</v>
      </c>
      <c r="B1982" s="1">
        <v>150000</v>
      </c>
      <c r="C1982" s="1" t="str" cm="1">
        <f t="array" ref="C1982">_xlfn.IFS(Table2[[#This Row],[LIMIT_BAL]]&lt;=100000,"Low",Table2[[#This Row],[LIMIT_BAL]]&lt;=300000,"Medium",
TRUE,"High"
)</f>
        <v>Medium</v>
      </c>
      <c r="D1982" t="s">
        <v>2041</v>
      </c>
      <c r="E1982" t="s">
        <v>2026</v>
      </c>
      <c r="F1982" t="s">
        <v>2028</v>
      </c>
      <c r="G1982">
        <v>38</v>
      </c>
      <c r="H1982" t="str" cm="1">
        <f t="array" ref="H1982">_xlfn.IFS(
Table2[[#This Row],[AGE]]&lt;30,"Young",
Table2[[#This Row],[AGE]]&lt;40,"Middle Age",
Table2[[#This Row],[AGE]]&lt;50,"Senior",
TRUE,"Super Senior"
)</f>
        <v>Middle Age</v>
      </c>
      <c r="I1982">
        <v>1</v>
      </c>
      <c r="J1982">
        <v>-2</v>
      </c>
      <c r="K1982">
        <v>-2</v>
      </c>
      <c r="L1982">
        <v>-2</v>
      </c>
      <c r="M1982">
        <v>-2</v>
      </c>
      <c r="N1982">
        <v>-2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1">
        <v>0</v>
      </c>
      <c r="Y1982" s="1">
        <v>0</v>
      </c>
      <c r="Z1982" s="1">
        <v>0</v>
      </c>
      <c r="AA1982">
        <v>1</v>
      </c>
      <c r="AB1982" t="str">
        <f t="shared" si="30"/>
        <v>Defaulter</v>
      </c>
      <c r="AC1982" s="1">
        <f>Table2[[#This Row],[BILL_AMT1]]-Table2[[#This Row],[PAY_AMT1]]</f>
        <v>0</v>
      </c>
      <c r="AD1982" s="1" t="str" cm="1">
        <f t="array" ref="AD1982">_xlfn.IFS(Table2[[#This Row],[PAYMENT GAP]]&lt;=0,"No Gap / Overpaid",Table2[[#This Row],[PAYMENT GAP]]&lt;=25000,"Low Gap",Table2[[#This Row],[PAYMENT GAP]]&lt;=100000,"Medium Gap",
TRUE,"High Gap"
)</f>
        <v>No Gap / Overpaid</v>
      </c>
    </row>
    <row r="1983" spans="1:30" x14ac:dyDescent="0.3">
      <c r="A1983">
        <v>1982</v>
      </c>
      <c r="B1983" s="1">
        <v>80000</v>
      </c>
      <c r="C1983" s="1" t="str" cm="1">
        <f t="array" ref="C1983">_xlfn.IFS(Table2[[#This Row],[LIMIT_BAL]]&lt;=100000,"Low",Table2[[#This Row],[LIMIT_BAL]]&lt;=300000,"Medium",
TRUE,"High"
)</f>
        <v>Low</v>
      </c>
      <c r="D1983" t="s">
        <v>2041</v>
      </c>
      <c r="E1983" t="s">
        <v>2027</v>
      </c>
      <c r="F1983" t="s">
        <v>2029</v>
      </c>
      <c r="G1983">
        <v>40</v>
      </c>
      <c r="H1983" t="str" cm="1">
        <f t="array" ref="H1983">_xlfn.IFS(
Table2[[#This Row],[AGE]]&lt;30,"Young",
Table2[[#This Row],[AGE]]&lt;40,"Middle Age",
Table2[[#This Row],[AGE]]&lt;50,"Senior",
TRUE,"Super Senior"
)</f>
        <v>Senior</v>
      </c>
      <c r="I1983">
        <v>3</v>
      </c>
      <c r="J1983">
        <v>2</v>
      </c>
      <c r="K1983">
        <v>2</v>
      </c>
      <c r="L1983">
        <v>2</v>
      </c>
      <c r="M1983">
        <v>2</v>
      </c>
      <c r="N1983">
        <v>2</v>
      </c>
      <c r="O1983" s="1">
        <v>38503</v>
      </c>
      <c r="P1983" s="1">
        <v>40118</v>
      </c>
      <c r="Q1983" s="1">
        <v>41199</v>
      </c>
      <c r="R1983" s="1">
        <v>42264</v>
      </c>
      <c r="S1983" s="1">
        <v>43083</v>
      </c>
      <c r="T1983" s="1">
        <v>43471</v>
      </c>
      <c r="U1983" s="1">
        <v>2500</v>
      </c>
      <c r="V1983" s="1">
        <v>2000</v>
      </c>
      <c r="W1983" s="1">
        <v>2000</v>
      </c>
      <c r="X1983" s="1">
        <v>1600</v>
      </c>
      <c r="Y1983" s="1">
        <v>1200</v>
      </c>
      <c r="Z1983" s="1">
        <v>2000</v>
      </c>
      <c r="AA1983">
        <v>1</v>
      </c>
      <c r="AB1983" t="str">
        <f t="shared" si="30"/>
        <v>Defaulter</v>
      </c>
      <c r="AC1983" s="1">
        <f>Table2[[#This Row],[BILL_AMT1]]-Table2[[#This Row],[PAY_AMT1]]</f>
        <v>36003</v>
      </c>
      <c r="AD1983" s="1" t="str" cm="1">
        <f t="array" ref="AD1983">_xlfn.IFS(Table2[[#This Row],[PAYMENT GAP]]&lt;=0,"No Gap / Overpaid",Table2[[#This Row],[PAYMENT GAP]]&lt;=25000,"Low Gap",Table2[[#This Row],[PAYMENT GAP]]&lt;=100000,"Medium Gap",
TRUE,"High Gap"
)</f>
        <v>Medium Gap</v>
      </c>
    </row>
    <row r="1984" spans="1:30" x14ac:dyDescent="0.3">
      <c r="A1984">
        <v>1983</v>
      </c>
      <c r="B1984" s="1">
        <v>230000</v>
      </c>
      <c r="C1984" s="1" t="str" cm="1">
        <f t="array" ref="C1984">_xlfn.IFS(Table2[[#This Row],[LIMIT_BAL]]&lt;=100000,"Low",Table2[[#This Row],[LIMIT_BAL]]&lt;=300000,"Medium",
TRUE,"High"
)</f>
        <v>Medium</v>
      </c>
      <c r="D1984" t="s">
        <v>2042</v>
      </c>
      <c r="E1984" t="s">
        <v>2043</v>
      </c>
      <c r="F1984" t="s">
        <v>2028</v>
      </c>
      <c r="G1984">
        <v>29</v>
      </c>
      <c r="H1984" t="str" cm="1">
        <f t="array" ref="H1984">_xlfn.IFS(
Table2[[#This Row],[AGE]]&lt;30,"Young",
Table2[[#This Row],[AGE]]&lt;40,"Middle Age",
Table2[[#This Row],[AGE]]&lt;50,"Senior",
TRUE,"Super Senior"
)</f>
        <v>Young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 s="1">
        <v>56171</v>
      </c>
      <c r="P1984" s="1">
        <v>60250</v>
      </c>
      <c r="Q1984" s="1">
        <v>63574</v>
      </c>
      <c r="R1984" s="1">
        <v>71941</v>
      </c>
      <c r="S1984" s="1">
        <v>75882</v>
      </c>
      <c r="T1984" s="1">
        <v>75619</v>
      </c>
      <c r="U1984" s="1">
        <v>5000</v>
      </c>
      <c r="V1984" s="1">
        <v>5000</v>
      </c>
      <c r="W1984" s="1">
        <v>10000</v>
      </c>
      <c r="X1984" s="1">
        <v>5000</v>
      </c>
      <c r="Y1984" s="1">
        <v>5000</v>
      </c>
      <c r="Z1984" s="1">
        <v>5000</v>
      </c>
      <c r="AA1984">
        <v>0</v>
      </c>
      <c r="AB1984" t="str">
        <f t="shared" si="30"/>
        <v>Not Defaulter</v>
      </c>
      <c r="AC1984" s="1">
        <f>Table2[[#This Row],[BILL_AMT1]]-Table2[[#This Row],[PAY_AMT1]]</f>
        <v>51171</v>
      </c>
      <c r="AD1984" s="1" t="str" cm="1">
        <f t="array" ref="AD1984">_xlfn.IFS(Table2[[#This Row],[PAYMENT GAP]]&lt;=0,"No Gap / Overpaid",Table2[[#This Row],[PAYMENT GAP]]&lt;=25000,"Low Gap",Table2[[#This Row],[PAYMENT GAP]]&lt;=100000,"Medium Gap",
TRUE,"High Gap"
)</f>
        <v>Medium Gap</v>
      </c>
    </row>
    <row r="1985" spans="1:30" x14ac:dyDescent="0.3">
      <c r="A1985">
        <v>1984</v>
      </c>
      <c r="B1985" s="1">
        <v>80000</v>
      </c>
      <c r="C1985" s="1" t="str" cm="1">
        <f t="array" ref="C1985">_xlfn.IFS(Table2[[#This Row],[LIMIT_BAL]]&lt;=100000,"Low",Table2[[#This Row],[LIMIT_BAL]]&lt;=300000,"Medium",
TRUE,"High"
)</f>
        <v>Low</v>
      </c>
      <c r="D1985" t="s">
        <v>2042</v>
      </c>
      <c r="E1985" t="s">
        <v>2026</v>
      </c>
      <c r="F1985" t="s">
        <v>2029</v>
      </c>
      <c r="G1985">
        <v>37</v>
      </c>
      <c r="H1985" t="str" cm="1">
        <f t="array" ref="H1985">_xlfn.IFS(
Table2[[#This Row],[AGE]]&lt;30,"Young",
Table2[[#This Row],[AGE]]&lt;40,"Middle Age",
Table2[[#This Row],[AGE]]&lt;50,"Senior",
TRUE,"Super Senior"
)</f>
        <v>Middle Age</v>
      </c>
      <c r="I1985">
        <v>1</v>
      </c>
      <c r="J1985">
        <v>-2</v>
      </c>
      <c r="K1985">
        <v>-2</v>
      </c>
      <c r="L1985">
        <v>-2</v>
      </c>
      <c r="M1985">
        <v>-2</v>
      </c>
      <c r="N1985">
        <v>-2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>
        <v>1</v>
      </c>
      <c r="AB1985" t="str">
        <f t="shared" si="30"/>
        <v>Defaulter</v>
      </c>
      <c r="AC1985" s="1">
        <f>Table2[[#This Row],[BILL_AMT1]]-Table2[[#This Row],[PAY_AMT1]]</f>
        <v>0</v>
      </c>
      <c r="AD1985" s="1" t="str" cm="1">
        <f t="array" ref="AD1985">_xlfn.IFS(Table2[[#This Row],[PAYMENT GAP]]&lt;=0,"No Gap / Overpaid",Table2[[#This Row],[PAYMENT GAP]]&lt;=25000,"Low Gap",Table2[[#This Row],[PAYMENT GAP]]&lt;=100000,"Medium Gap",
TRUE,"High Gap"
)</f>
        <v>No Gap / Overpaid</v>
      </c>
    </row>
    <row r="1986" spans="1:30" x14ac:dyDescent="0.3">
      <c r="A1986">
        <v>1985</v>
      </c>
      <c r="B1986" s="1">
        <v>230000</v>
      </c>
      <c r="C1986" s="1" t="str" cm="1">
        <f t="array" ref="C1986">_xlfn.IFS(Table2[[#This Row],[LIMIT_BAL]]&lt;=100000,"Low",Table2[[#This Row],[LIMIT_BAL]]&lt;=300000,"Medium",
TRUE,"High"
)</f>
        <v>Medium</v>
      </c>
      <c r="D1986" t="s">
        <v>2041</v>
      </c>
      <c r="E1986" t="s">
        <v>2043</v>
      </c>
      <c r="F1986" t="s">
        <v>2029</v>
      </c>
      <c r="G1986">
        <v>24</v>
      </c>
      <c r="H1986" t="str" cm="1">
        <f t="array" ref="H1986">_xlfn.IFS(
Table2[[#This Row],[AGE]]&lt;30,"Young",
Table2[[#This Row],[AGE]]&lt;40,"Middle Age",
Table2[[#This Row],[AGE]]&lt;50,"Senior",
TRUE,"Super Senior"
)</f>
        <v>Young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 s="1">
        <v>24973</v>
      </c>
      <c r="P1986" s="1">
        <v>24974</v>
      </c>
      <c r="Q1986" s="1">
        <v>25566</v>
      </c>
      <c r="R1986" s="1">
        <v>23427</v>
      </c>
      <c r="S1986" s="1">
        <v>28229</v>
      </c>
      <c r="T1986" s="1">
        <v>31355</v>
      </c>
      <c r="U1986" s="1">
        <v>5000</v>
      </c>
      <c r="V1986" s="1">
        <v>5000</v>
      </c>
      <c r="W1986" s="1">
        <v>2100</v>
      </c>
      <c r="X1986" s="1">
        <v>5229</v>
      </c>
      <c r="Y1986" s="1">
        <v>3355</v>
      </c>
      <c r="Z1986" s="1">
        <v>4598</v>
      </c>
      <c r="AA1986">
        <v>0</v>
      </c>
      <c r="AB1986" t="str">
        <f t="shared" si="30"/>
        <v>Not Defaulter</v>
      </c>
      <c r="AC1986" s="1">
        <f>Table2[[#This Row],[BILL_AMT1]]-Table2[[#This Row],[PAY_AMT1]]</f>
        <v>19973</v>
      </c>
      <c r="AD1986" s="1" t="str" cm="1">
        <f t="array" ref="AD1986">_xlfn.IFS(Table2[[#This Row],[PAYMENT GAP]]&lt;=0,"No Gap / Overpaid",Table2[[#This Row],[PAYMENT GAP]]&lt;=25000,"Low Gap",Table2[[#This Row],[PAYMENT GAP]]&lt;=100000,"Medium Gap",
TRUE,"High Gap"
)</f>
        <v>Low Gap</v>
      </c>
    </row>
    <row r="1987" spans="1:30" x14ac:dyDescent="0.3">
      <c r="A1987">
        <v>1986</v>
      </c>
      <c r="B1987" s="1">
        <v>50000</v>
      </c>
      <c r="C1987" s="1" t="str" cm="1">
        <f t="array" ref="C1987">_xlfn.IFS(Table2[[#This Row],[LIMIT_BAL]]&lt;=100000,"Low",Table2[[#This Row],[LIMIT_BAL]]&lt;=300000,"Medium",
TRUE,"High"
)</f>
        <v>Low</v>
      </c>
      <c r="D1987" t="s">
        <v>2041</v>
      </c>
      <c r="E1987" t="s">
        <v>2043</v>
      </c>
      <c r="F1987" t="s">
        <v>2029</v>
      </c>
      <c r="G1987">
        <v>49</v>
      </c>
      <c r="H1987" t="str" cm="1">
        <f t="array" ref="H1987">_xlfn.IFS(
Table2[[#This Row],[AGE]]&lt;30,"Young",
Table2[[#This Row],[AGE]]&lt;40,"Middle Age",
Table2[[#This Row],[AGE]]&lt;50,"Senior",
TRUE,"Super Senior"
)</f>
        <v>Senior</v>
      </c>
      <c r="I1987">
        <v>2</v>
      </c>
      <c r="J1987">
        <v>0</v>
      </c>
      <c r="K1987">
        <v>-1</v>
      </c>
      <c r="L1987">
        <v>-1</v>
      </c>
      <c r="M1987">
        <v>-1</v>
      </c>
      <c r="N1987">
        <v>0</v>
      </c>
      <c r="O1987" s="1">
        <v>38947</v>
      </c>
      <c r="P1987" s="1">
        <v>37799</v>
      </c>
      <c r="Q1987" s="1">
        <v>3</v>
      </c>
      <c r="R1987" s="1">
        <v>18080</v>
      </c>
      <c r="S1987" s="1">
        <v>12227</v>
      </c>
      <c r="T1987" s="1">
        <v>13296</v>
      </c>
      <c r="U1987" s="1">
        <v>2000</v>
      </c>
      <c r="V1987" s="1">
        <v>1000</v>
      </c>
      <c r="W1987" s="1">
        <v>19000</v>
      </c>
      <c r="X1987" s="1">
        <v>12500</v>
      </c>
      <c r="Y1987" s="1">
        <v>2000</v>
      </c>
      <c r="Z1987" s="1">
        <v>2000</v>
      </c>
      <c r="AA1987">
        <v>1</v>
      </c>
      <c r="AB1987" t="str">
        <f t="shared" ref="AB1987:AB2001" si="31">IF(AA1987=1,"Defaulter","Not Defaulter")</f>
        <v>Defaulter</v>
      </c>
      <c r="AC1987" s="1">
        <f>Table2[[#This Row],[BILL_AMT1]]-Table2[[#This Row],[PAY_AMT1]]</f>
        <v>36947</v>
      </c>
      <c r="AD1987" s="1" t="str" cm="1">
        <f t="array" ref="AD1987">_xlfn.IFS(Table2[[#This Row],[PAYMENT GAP]]&lt;=0,"No Gap / Overpaid",Table2[[#This Row],[PAYMENT GAP]]&lt;=25000,"Low Gap",Table2[[#This Row],[PAYMENT GAP]]&lt;=100000,"Medium Gap",
TRUE,"High Gap"
)</f>
        <v>Medium Gap</v>
      </c>
    </row>
    <row r="1988" spans="1:30" x14ac:dyDescent="0.3">
      <c r="A1988">
        <v>1987</v>
      </c>
      <c r="B1988" s="1">
        <v>50000</v>
      </c>
      <c r="C1988" s="1" t="str" cm="1">
        <f t="array" ref="C1988">_xlfn.IFS(Table2[[#This Row],[LIMIT_BAL]]&lt;=100000,"Low",Table2[[#This Row],[LIMIT_BAL]]&lt;=300000,"Medium",
TRUE,"High"
)</f>
        <v>Low</v>
      </c>
      <c r="D1988" t="s">
        <v>2042</v>
      </c>
      <c r="E1988" t="s">
        <v>2043</v>
      </c>
      <c r="F1988" t="s">
        <v>2029</v>
      </c>
      <c r="G1988">
        <v>35</v>
      </c>
      <c r="H1988" t="str" cm="1">
        <f t="array" ref="H1988">_xlfn.IFS(
Table2[[#This Row],[AGE]]&lt;30,"Young",
Table2[[#This Row],[AGE]]&lt;40,"Middle Age",
Table2[[#This Row],[AGE]]&lt;50,"Senior",
TRUE,"Super Senior"
)</f>
        <v>Middle Age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 s="1">
        <v>48813</v>
      </c>
      <c r="P1988" s="1">
        <v>50789</v>
      </c>
      <c r="Q1988" s="1">
        <v>49624</v>
      </c>
      <c r="R1988" s="1">
        <v>19880</v>
      </c>
      <c r="S1988" s="1">
        <v>20431</v>
      </c>
      <c r="T1988" s="1">
        <v>19559</v>
      </c>
      <c r="U1988" s="1">
        <v>5000</v>
      </c>
      <c r="V1988" s="1">
        <v>23000</v>
      </c>
      <c r="W1988" s="1">
        <v>838</v>
      </c>
      <c r="X1988" s="1">
        <v>1000</v>
      </c>
      <c r="Y1988" s="1">
        <v>1000</v>
      </c>
      <c r="Z1988" s="1">
        <v>1000</v>
      </c>
      <c r="AA1988">
        <v>0</v>
      </c>
      <c r="AB1988" t="str">
        <f t="shared" si="31"/>
        <v>Not Defaulter</v>
      </c>
      <c r="AC1988" s="1">
        <f>Table2[[#This Row],[BILL_AMT1]]-Table2[[#This Row],[PAY_AMT1]]</f>
        <v>43813</v>
      </c>
      <c r="AD1988" s="1" t="str" cm="1">
        <f t="array" ref="AD1988">_xlfn.IFS(Table2[[#This Row],[PAYMENT GAP]]&lt;=0,"No Gap / Overpaid",Table2[[#This Row],[PAYMENT GAP]]&lt;=25000,"Low Gap",Table2[[#This Row],[PAYMENT GAP]]&lt;=100000,"Medium Gap",
TRUE,"High Gap"
)</f>
        <v>Medium Gap</v>
      </c>
    </row>
    <row r="1989" spans="1:30" x14ac:dyDescent="0.3">
      <c r="A1989">
        <v>1988</v>
      </c>
      <c r="B1989" s="1">
        <v>10000</v>
      </c>
      <c r="C1989" s="1" t="str" cm="1">
        <f t="array" ref="C1989">_xlfn.IFS(Table2[[#This Row],[LIMIT_BAL]]&lt;=100000,"Low",Table2[[#This Row],[LIMIT_BAL]]&lt;=300000,"Medium",
TRUE,"High"
)</f>
        <v>Low</v>
      </c>
      <c r="D1989" t="s">
        <v>2041</v>
      </c>
      <c r="E1989" t="s">
        <v>2026</v>
      </c>
      <c r="F1989" t="s">
        <v>2029</v>
      </c>
      <c r="G1989">
        <v>25</v>
      </c>
      <c r="H1989" t="str" cm="1">
        <f t="array" ref="H1989">_xlfn.IFS(
Table2[[#This Row],[AGE]]&lt;30,"Young",
Table2[[#This Row],[AGE]]&lt;40,"Middle Age",
Table2[[#This Row],[AGE]]&lt;50,"Senior",
TRUE,"Super Senior"
)</f>
        <v>Young</v>
      </c>
      <c r="I1989">
        <v>1</v>
      </c>
      <c r="J1989">
        <v>3</v>
      </c>
      <c r="K1989">
        <v>2</v>
      </c>
      <c r="L1989">
        <v>0</v>
      </c>
      <c r="M1989">
        <v>0</v>
      </c>
      <c r="N1989">
        <v>0</v>
      </c>
      <c r="O1989" s="1">
        <v>10438</v>
      </c>
      <c r="P1989" s="1">
        <v>10130</v>
      </c>
      <c r="Q1989" s="1">
        <v>9738</v>
      </c>
      <c r="R1989" s="1">
        <v>9178</v>
      </c>
      <c r="S1989" s="1">
        <v>8398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>
        <v>0</v>
      </c>
      <c r="AB1989" t="str">
        <f t="shared" si="31"/>
        <v>Not Defaulter</v>
      </c>
      <c r="AC1989" s="1">
        <f>Table2[[#This Row],[BILL_AMT1]]-Table2[[#This Row],[PAY_AMT1]]</f>
        <v>10438</v>
      </c>
      <c r="AD1989" s="1" t="str" cm="1">
        <f t="array" ref="AD1989">_xlfn.IFS(Table2[[#This Row],[PAYMENT GAP]]&lt;=0,"No Gap / Overpaid",Table2[[#This Row],[PAYMENT GAP]]&lt;=25000,"Low Gap",Table2[[#This Row],[PAYMENT GAP]]&lt;=100000,"Medium Gap",
TRUE,"High Gap"
)</f>
        <v>Low Gap</v>
      </c>
    </row>
    <row r="1990" spans="1:30" x14ac:dyDescent="0.3">
      <c r="A1990">
        <v>1989</v>
      </c>
      <c r="B1990" s="1">
        <v>140000</v>
      </c>
      <c r="C1990" s="1" t="str" cm="1">
        <f t="array" ref="C1990">_xlfn.IFS(Table2[[#This Row],[LIMIT_BAL]]&lt;=100000,"Low",Table2[[#This Row],[LIMIT_BAL]]&lt;=300000,"Medium",
TRUE,"High"
)</f>
        <v>Medium</v>
      </c>
      <c r="D1990" t="s">
        <v>2042</v>
      </c>
      <c r="E1990" t="s">
        <v>2043</v>
      </c>
      <c r="F1990" t="s">
        <v>2029</v>
      </c>
      <c r="G1990">
        <v>34</v>
      </c>
      <c r="H1990" t="str" cm="1">
        <f t="array" ref="H1990">_xlfn.IFS(
Table2[[#This Row],[AGE]]&lt;30,"Young",
Table2[[#This Row],[AGE]]&lt;40,"Middle Age",
Table2[[#This Row],[AGE]]&lt;50,"Senior",
TRUE,"Super Senior"
)</f>
        <v>Middle Age</v>
      </c>
      <c r="I1990">
        <v>2</v>
      </c>
      <c r="J1990">
        <v>2</v>
      </c>
      <c r="K1990">
        <v>2</v>
      </c>
      <c r="L1990">
        <v>2</v>
      </c>
      <c r="M1990">
        <v>2</v>
      </c>
      <c r="N1990">
        <v>2</v>
      </c>
      <c r="O1990" s="1">
        <v>135949</v>
      </c>
      <c r="P1990" s="1">
        <v>130625</v>
      </c>
      <c r="Q1990" s="1">
        <v>117392</v>
      </c>
      <c r="R1990" s="1">
        <v>111478</v>
      </c>
      <c r="S1990" s="1">
        <v>109353</v>
      </c>
      <c r="T1990" s="1">
        <v>97612</v>
      </c>
      <c r="U1990" s="1">
        <v>8408</v>
      </c>
      <c r="V1990" s="1">
        <v>3500</v>
      </c>
      <c r="W1990" s="1">
        <v>3500</v>
      </c>
      <c r="X1990" s="1">
        <v>3600</v>
      </c>
      <c r="Y1990" s="1">
        <v>0</v>
      </c>
      <c r="Z1990" s="1">
        <v>3600</v>
      </c>
      <c r="AA1990">
        <v>0</v>
      </c>
      <c r="AB1990" t="str">
        <f t="shared" si="31"/>
        <v>Not Defaulter</v>
      </c>
      <c r="AC1990" s="1">
        <f>Table2[[#This Row],[BILL_AMT1]]-Table2[[#This Row],[PAY_AMT1]]</f>
        <v>127541</v>
      </c>
      <c r="AD1990" s="1" t="str" cm="1">
        <f t="array" ref="AD1990">_xlfn.IFS(Table2[[#This Row],[PAYMENT GAP]]&lt;=0,"No Gap / Overpaid",Table2[[#This Row],[PAYMENT GAP]]&lt;=25000,"Low Gap",Table2[[#This Row],[PAYMENT GAP]]&lt;=100000,"Medium Gap",
TRUE,"High Gap"
)</f>
        <v>High Gap</v>
      </c>
    </row>
    <row r="1991" spans="1:30" x14ac:dyDescent="0.3">
      <c r="A1991">
        <v>1990</v>
      </c>
      <c r="B1991" s="1">
        <v>50000</v>
      </c>
      <c r="C1991" s="1" t="str" cm="1">
        <f t="array" ref="C1991">_xlfn.IFS(Table2[[#This Row],[LIMIT_BAL]]&lt;=100000,"Low",Table2[[#This Row],[LIMIT_BAL]]&lt;=300000,"Medium",
TRUE,"High"
)</f>
        <v>Low</v>
      </c>
      <c r="D1991" t="s">
        <v>2042</v>
      </c>
      <c r="E1991" t="s">
        <v>2043</v>
      </c>
      <c r="F1991" t="s">
        <v>2029</v>
      </c>
      <c r="G1991">
        <v>42</v>
      </c>
      <c r="H1991" t="str" cm="1">
        <f t="array" ref="H1991">_xlfn.IFS(
Table2[[#This Row],[AGE]]&lt;30,"Young",
Table2[[#This Row],[AGE]]&lt;40,"Middle Age",
Table2[[#This Row],[AGE]]&lt;50,"Senior",
TRUE,"Super Senior"
)</f>
        <v>Senior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 s="1">
        <v>39236</v>
      </c>
      <c r="P1991" s="1">
        <v>39729</v>
      </c>
      <c r="Q1991" s="1">
        <v>27068</v>
      </c>
      <c r="R1991" s="1">
        <v>28604</v>
      </c>
      <c r="S1991" s="1">
        <v>28199</v>
      </c>
      <c r="T1991" s="1">
        <v>58428</v>
      </c>
      <c r="U1991" s="1">
        <v>2094</v>
      </c>
      <c r="V1991" s="1">
        <v>1451</v>
      </c>
      <c r="W1991" s="1">
        <v>1987</v>
      </c>
      <c r="X1991" s="1">
        <v>1039</v>
      </c>
      <c r="Y1991" s="1">
        <v>1500</v>
      </c>
      <c r="Z1991" s="1">
        <v>1200</v>
      </c>
      <c r="AA1991">
        <v>1</v>
      </c>
      <c r="AB1991" t="str">
        <f t="shared" si="31"/>
        <v>Defaulter</v>
      </c>
      <c r="AC1991" s="1">
        <f>Table2[[#This Row],[BILL_AMT1]]-Table2[[#This Row],[PAY_AMT1]]</f>
        <v>37142</v>
      </c>
      <c r="AD1991" s="1" t="str" cm="1">
        <f t="array" ref="AD1991">_xlfn.IFS(Table2[[#This Row],[PAYMENT GAP]]&lt;=0,"No Gap / Overpaid",Table2[[#This Row],[PAYMENT GAP]]&lt;=25000,"Low Gap",Table2[[#This Row],[PAYMENT GAP]]&lt;=100000,"Medium Gap",
TRUE,"High Gap"
)</f>
        <v>Medium Gap</v>
      </c>
    </row>
    <row r="1992" spans="1:30" x14ac:dyDescent="0.3">
      <c r="A1992">
        <v>1991</v>
      </c>
      <c r="B1992" s="1">
        <v>180000</v>
      </c>
      <c r="C1992" s="1" t="str" cm="1">
        <f t="array" ref="C1992">_xlfn.IFS(Table2[[#This Row],[LIMIT_BAL]]&lt;=100000,"Low",Table2[[#This Row],[LIMIT_BAL]]&lt;=300000,"Medium",
TRUE,"High"
)</f>
        <v>Medium</v>
      </c>
      <c r="D1992" t="s">
        <v>2042</v>
      </c>
      <c r="E1992" t="s">
        <v>2027</v>
      </c>
      <c r="F1992" t="s">
        <v>2029</v>
      </c>
      <c r="G1992">
        <v>28</v>
      </c>
      <c r="H1992" t="str" cm="1">
        <f t="array" ref="H1992">_xlfn.IFS(
Table2[[#This Row],[AGE]]&lt;30,"Young",
Table2[[#This Row],[AGE]]&lt;40,"Middle Age",
Table2[[#This Row],[AGE]]&lt;50,"Senior",
TRUE,"Super Senior"
)</f>
        <v>Young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 s="1">
        <v>129719</v>
      </c>
      <c r="P1992" s="1">
        <v>133702</v>
      </c>
      <c r="Q1992" s="1">
        <v>133758</v>
      </c>
      <c r="R1992" s="1">
        <v>80055</v>
      </c>
      <c r="S1992" s="1">
        <v>69672</v>
      </c>
      <c r="T1992" s="1">
        <v>33194</v>
      </c>
      <c r="U1992" s="1">
        <v>6070</v>
      </c>
      <c r="V1992" s="1">
        <v>3521</v>
      </c>
      <c r="W1992" s="1">
        <v>5000</v>
      </c>
      <c r="X1992" s="1">
        <v>5000</v>
      </c>
      <c r="Y1992" s="1">
        <v>5004</v>
      </c>
      <c r="Z1992" s="1">
        <v>5029</v>
      </c>
      <c r="AA1992">
        <v>0</v>
      </c>
      <c r="AB1992" t="str">
        <f t="shared" si="31"/>
        <v>Not Defaulter</v>
      </c>
      <c r="AC1992" s="1">
        <f>Table2[[#This Row],[BILL_AMT1]]-Table2[[#This Row],[PAY_AMT1]]</f>
        <v>123649</v>
      </c>
      <c r="AD1992" s="1" t="str" cm="1">
        <f t="array" ref="AD1992">_xlfn.IFS(Table2[[#This Row],[PAYMENT GAP]]&lt;=0,"No Gap / Overpaid",Table2[[#This Row],[PAYMENT GAP]]&lt;=25000,"Low Gap",Table2[[#This Row],[PAYMENT GAP]]&lt;=100000,"Medium Gap",
TRUE,"High Gap"
)</f>
        <v>High Gap</v>
      </c>
    </row>
    <row r="1993" spans="1:30" x14ac:dyDescent="0.3">
      <c r="A1993">
        <v>1992</v>
      </c>
      <c r="B1993" s="1">
        <v>360000</v>
      </c>
      <c r="C1993" s="1" t="str" cm="1">
        <f t="array" ref="C1993">_xlfn.IFS(Table2[[#This Row],[LIMIT_BAL]]&lt;=100000,"Low",Table2[[#This Row],[LIMIT_BAL]]&lt;=300000,"Medium",
TRUE,"High"
)</f>
        <v>High</v>
      </c>
      <c r="D1993" t="s">
        <v>2042</v>
      </c>
      <c r="E1993" t="s">
        <v>2026</v>
      </c>
      <c r="F1993" t="s">
        <v>2029</v>
      </c>
      <c r="G1993">
        <v>65</v>
      </c>
      <c r="H1993" t="str" cm="1">
        <f t="array" ref="H1993">_xlfn.IFS(
Table2[[#This Row],[AGE]]&lt;30,"Young",
Table2[[#This Row],[AGE]]&lt;40,"Middle Age",
Table2[[#This Row],[AGE]]&lt;50,"Senior",
TRUE,"Super Senior"
)</f>
        <v>Super Senior</v>
      </c>
      <c r="I1993">
        <v>1</v>
      </c>
      <c r="J1993">
        <v>-2</v>
      </c>
      <c r="K1993">
        <v>-2</v>
      </c>
      <c r="L1993">
        <v>-2</v>
      </c>
      <c r="M1993">
        <v>-2</v>
      </c>
      <c r="N1993">
        <v>-2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>
        <v>1</v>
      </c>
      <c r="AB1993" t="str">
        <f t="shared" si="31"/>
        <v>Defaulter</v>
      </c>
      <c r="AC1993" s="1">
        <f>Table2[[#This Row],[BILL_AMT1]]-Table2[[#This Row],[PAY_AMT1]]</f>
        <v>0</v>
      </c>
      <c r="AD1993" s="1" t="str" cm="1">
        <f t="array" ref="AD1993">_xlfn.IFS(Table2[[#This Row],[PAYMENT GAP]]&lt;=0,"No Gap / Overpaid",Table2[[#This Row],[PAYMENT GAP]]&lt;=25000,"Low Gap",Table2[[#This Row],[PAYMENT GAP]]&lt;=100000,"Medium Gap",
TRUE,"High Gap"
)</f>
        <v>No Gap / Overpaid</v>
      </c>
    </row>
    <row r="1994" spans="1:30" x14ac:dyDescent="0.3">
      <c r="A1994">
        <v>1993</v>
      </c>
      <c r="B1994" s="1">
        <v>580000</v>
      </c>
      <c r="C1994" s="1" t="str" cm="1">
        <f t="array" ref="C1994">_xlfn.IFS(Table2[[#This Row],[LIMIT_BAL]]&lt;=100000,"Low",Table2[[#This Row],[LIMIT_BAL]]&lt;=300000,"Medium",
TRUE,"High"
)</f>
        <v>High</v>
      </c>
      <c r="D1994" t="s">
        <v>2042</v>
      </c>
      <c r="E1994" t="s">
        <v>2027</v>
      </c>
      <c r="F1994" t="s">
        <v>2028</v>
      </c>
      <c r="G1994">
        <v>67</v>
      </c>
      <c r="H1994" t="str" cm="1">
        <f t="array" ref="H1994">_xlfn.IFS(
Table2[[#This Row],[AGE]]&lt;30,"Young",
Table2[[#This Row],[AGE]]&lt;40,"Middle Age",
Table2[[#This Row],[AGE]]&lt;50,"Senior",
TRUE,"Super Senior"
)</f>
        <v>Super Senior</v>
      </c>
      <c r="I1994">
        <v>2</v>
      </c>
      <c r="J1994">
        <v>2</v>
      </c>
      <c r="K1994">
        <v>3</v>
      </c>
      <c r="L1994">
        <v>3</v>
      </c>
      <c r="M1994">
        <v>4</v>
      </c>
      <c r="N1994">
        <v>6</v>
      </c>
      <c r="O1994" s="1">
        <v>453985</v>
      </c>
      <c r="P1994" s="1">
        <v>470915</v>
      </c>
      <c r="Q1994" s="1">
        <v>471175</v>
      </c>
      <c r="R1994" s="1">
        <v>486776</v>
      </c>
      <c r="S1994" s="1">
        <v>503914</v>
      </c>
      <c r="T1994" s="1">
        <v>527711</v>
      </c>
      <c r="U1994" s="1">
        <v>25704</v>
      </c>
      <c r="V1994" s="1">
        <v>9464</v>
      </c>
      <c r="W1994" s="1">
        <v>25065</v>
      </c>
      <c r="X1994" s="1">
        <v>25703</v>
      </c>
      <c r="Y1994" s="1">
        <v>33000</v>
      </c>
      <c r="Z1994" s="1">
        <v>215</v>
      </c>
      <c r="AA1994">
        <v>0</v>
      </c>
      <c r="AB1994" t="str">
        <f t="shared" si="31"/>
        <v>Not Defaulter</v>
      </c>
      <c r="AC1994" s="1">
        <f>Table2[[#This Row],[BILL_AMT1]]-Table2[[#This Row],[PAY_AMT1]]</f>
        <v>428281</v>
      </c>
      <c r="AD1994" s="1" t="str" cm="1">
        <f t="array" ref="AD1994">_xlfn.IFS(Table2[[#This Row],[PAYMENT GAP]]&lt;=0,"No Gap / Overpaid",Table2[[#This Row],[PAYMENT GAP]]&lt;=25000,"Low Gap",Table2[[#This Row],[PAYMENT GAP]]&lt;=100000,"Medium Gap",
TRUE,"High Gap"
)</f>
        <v>High Gap</v>
      </c>
    </row>
    <row r="1995" spans="1:30" x14ac:dyDescent="0.3">
      <c r="A1995">
        <v>1994</v>
      </c>
      <c r="B1995" s="1">
        <v>310000</v>
      </c>
      <c r="C1995" s="1" t="str" cm="1">
        <f t="array" ref="C1995">_xlfn.IFS(Table2[[#This Row],[LIMIT_BAL]]&lt;=100000,"Low",Table2[[#This Row],[LIMIT_BAL]]&lt;=300000,"Medium",
TRUE,"High"
)</f>
        <v>High</v>
      </c>
      <c r="D1995" t="s">
        <v>2041</v>
      </c>
      <c r="E1995" t="s">
        <v>2026</v>
      </c>
      <c r="F1995" t="s">
        <v>2028</v>
      </c>
      <c r="G1995">
        <v>43</v>
      </c>
      <c r="H1995" t="str" cm="1">
        <f t="array" ref="H1995">_xlfn.IFS(
Table2[[#This Row],[AGE]]&lt;30,"Young",
Table2[[#This Row],[AGE]]&lt;40,"Middle Age",
Table2[[#This Row],[AGE]]&lt;50,"Senior",
TRUE,"Super Senior"
)</f>
        <v>Senior</v>
      </c>
      <c r="I1995">
        <v>-2</v>
      </c>
      <c r="J1995">
        <v>-2</v>
      </c>
      <c r="K1995">
        <v>-2</v>
      </c>
      <c r="L1995">
        <v>-2</v>
      </c>
      <c r="M1995">
        <v>-2</v>
      </c>
      <c r="N1995">
        <v>-2</v>
      </c>
      <c r="O1995" s="1">
        <v>14619</v>
      </c>
      <c r="P1995" s="1">
        <v>1881</v>
      </c>
      <c r="Q1995" s="1">
        <v>13750</v>
      </c>
      <c r="R1995" s="1">
        <v>9837</v>
      </c>
      <c r="S1995" s="1">
        <v>7785</v>
      </c>
      <c r="T1995" s="1">
        <v>14460</v>
      </c>
      <c r="U1995" s="1">
        <v>12484</v>
      </c>
      <c r="V1995" s="1">
        <v>13961</v>
      </c>
      <c r="W1995" s="1">
        <v>9838</v>
      </c>
      <c r="X1995" s="1">
        <v>7785</v>
      </c>
      <c r="Y1995" s="1">
        <v>14460</v>
      </c>
      <c r="Z1995" s="1">
        <v>14195</v>
      </c>
      <c r="AA1995">
        <v>0</v>
      </c>
      <c r="AB1995" t="str">
        <f t="shared" si="31"/>
        <v>Not Defaulter</v>
      </c>
      <c r="AC1995" s="1">
        <f>Table2[[#This Row],[BILL_AMT1]]-Table2[[#This Row],[PAY_AMT1]]</f>
        <v>2135</v>
      </c>
      <c r="AD1995" s="1" t="str" cm="1">
        <f t="array" ref="AD1995">_xlfn.IFS(Table2[[#This Row],[PAYMENT GAP]]&lt;=0,"No Gap / Overpaid",Table2[[#This Row],[PAYMENT GAP]]&lt;=25000,"Low Gap",Table2[[#This Row],[PAYMENT GAP]]&lt;=100000,"Medium Gap",
TRUE,"High Gap"
)</f>
        <v>Low Gap</v>
      </c>
    </row>
    <row r="1996" spans="1:30" x14ac:dyDescent="0.3">
      <c r="A1996">
        <v>1995</v>
      </c>
      <c r="B1996" s="1">
        <v>20000</v>
      </c>
      <c r="C1996" s="1" t="str" cm="1">
        <f t="array" ref="C1996">_xlfn.IFS(Table2[[#This Row],[LIMIT_BAL]]&lt;=100000,"Low",Table2[[#This Row],[LIMIT_BAL]]&lt;=300000,"Medium",
TRUE,"High"
)</f>
        <v>Low</v>
      </c>
      <c r="D1996" t="s">
        <v>2042</v>
      </c>
      <c r="E1996" t="s">
        <v>2027</v>
      </c>
      <c r="F1996" t="s">
        <v>2029</v>
      </c>
      <c r="G1996">
        <v>52</v>
      </c>
      <c r="H1996" t="str" cm="1">
        <f t="array" ref="H1996">_xlfn.IFS(
Table2[[#This Row],[AGE]]&lt;30,"Young",
Table2[[#This Row],[AGE]]&lt;40,"Middle Age",
Table2[[#This Row],[AGE]]&lt;50,"Senior",
TRUE,"Super Senior"
)</f>
        <v>Super Senior</v>
      </c>
      <c r="I1996">
        <v>0</v>
      </c>
      <c r="J1996">
        <v>0</v>
      </c>
      <c r="K1996">
        <v>2</v>
      </c>
      <c r="L1996">
        <v>0</v>
      </c>
      <c r="M1996">
        <v>0</v>
      </c>
      <c r="N1996">
        <v>0</v>
      </c>
      <c r="O1996" s="1">
        <v>16735</v>
      </c>
      <c r="P1996" s="1">
        <v>20373</v>
      </c>
      <c r="Q1996" s="1">
        <v>12071</v>
      </c>
      <c r="R1996" s="1">
        <v>12567</v>
      </c>
      <c r="S1996" s="1">
        <v>13949</v>
      </c>
      <c r="T1996" s="1">
        <v>14318</v>
      </c>
      <c r="U1996" s="1">
        <v>4008</v>
      </c>
      <c r="V1996" s="1">
        <v>0</v>
      </c>
      <c r="W1996" s="1">
        <v>1000</v>
      </c>
      <c r="X1996" s="1">
        <v>1600</v>
      </c>
      <c r="Y1996" s="1">
        <v>600</v>
      </c>
      <c r="Z1996" s="1">
        <v>532</v>
      </c>
      <c r="AA1996">
        <v>0</v>
      </c>
      <c r="AB1996" t="str">
        <f t="shared" si="31"/>
        <v>Not Defaulter</v>
      </c>
      <c r="AC1996" s="1">
        <f>Table2[[#This Row],[BILL_AMT1]]-Table2[[#This Row],[PAY_AMT1]]</f>
        <v>12727</v>
      </c>
      <c r="AD1996" s="1" t="str" cm="1">
        <f t="array" ref="AD1996">_xlfn.IFS(Table2[[#This Row],[PAYMENT GAP]]&lt;=0,"No Gap / Overpaid",Table2[[#This Row],[PAYMENT GAP]]&lt;=25000,"Low Gap",Table2[[#This Row],[PAYMENT GAP]]&lt;=100000,"Medium Gap",
TRUE,"High Gap"
)</f>
        <v>Low Gap</v>
      </c>
    </row>
    <row r="1997" spans="1:30" x14ac:dyDescent="0.3">
      <c r="A1997">
        <v>1996</v>
      </c>
      <c r="B1997" s="1">
        <v>180000</v>
      </c>
      <c r="C1997" s="1" t="str" cm="1">
        <f t="array" ref="C1997">_xlfn.IFS(Table2[[#This Row],[LIMIT_BAL]]&lt;=100000,"Low",Table2[[#This Row],[LIMIT_BAL]]&lt;=300000,"Medium",
TRUE,"High"
)</f>
        <v>Medium</v>
      </c>
      <c r="D1997" t="s">
        <v>2041</v>
      </c>
      <c r="E1997" t="s">
        <v>2026</v>
      </c>
      <c r="F1997" t="s">
        <v>2029</v>
      </c>
      <c r="G1997">
        <v>43</v>
      </c>
      <c r="H1997" t="str" cm="1">
        <f t="array" ref="H1997">_xlfn.IFS(
Table2[[#This Row],[AGE]]&lt;30,"Young",
Table2[[#This Row],[AGE]]&lt;40,"Middle Age",
Table2[[#This Row],[AGE]]&lt;50,"Senior",
TRUE,"Super Senior"
)</f>
        <v>Senior</v>
      </c>
      <c r="I1997">
        <v>-2</v>
      </c>
      <c r="J1997">
        <v>-1</v>
      </c>
      <c r="K1997">
        <v>-1</v>
      </c>
      <c r="L1997">
        <v>-1</v>
      </c>
      <c r="M1997">
        <v>0</v>
      </c>
      <c r="N1997">
        <v>-1</v>
      </c>
      <c r="O1997" s="1">
        <v>8657</v>
      </c>
      <c r="P1997" s="1">
        <v>6847</v>
      </c>
      <c r="Q1997" s="1">
        <v>18762</v>
      </c>
      <c r="R1997" s="1">
        <v>22928</v>
      </c>
      <c r="S1997" s="1">
        <v>3129</v>
      </c>
      <c r="T1997" s="1">
        <v>2398</v>
      </c>
      <c r="U1997" s="1">
        <v>6847</v>
      </c>
      <c r="V1997" s="1">
        <v>18762</v>
      </c>
      <c r="W1997" s="1">
        <v>22928</v>
      </c>
      <c r="X1997" s="1">
        <v>0</v>
      </c>
      <c r="Y1997" s="1">
        <v>2398</v>
      </c>
      <c r="Z1997" s="1">
        <v>23149</v>
      </c>
      <c r="AA1997">
        <v>0</v>
      </c>
      <c r="AB1997" t="str">
        <f t="shared" si="31"/>
        <v>Not Defaulter</v>
      </c>
      <c r="AC1997" s="1">
        <f>Table2[[#This Row],[BILL_AMT1]]-Table2[[#This Row],[PAY_AMT1]]</f>
        <v>1810</v>
      </c>
      <c r="AD1997" s="1" t="str" cm="1">
        <f t="array" ref="AD1997">_xlfn.IFS(Table2[[#This Row],[PAYMENT GAP]]&lt;=0,"No Gap / Overpaid",Table2[[#This Row],[PAYMENT GAP]]&lt;=25000,"Low Gap",Table2[[#This Row],[PAYMENT GAP]]&lt;=100000,"Medium Gap",
TRUE,"High Gap"
)</f>
        <v>Low Gap</v>
      </c>
    </row>
    <row r="1998" spans="1:30" x14ac:dyDescent="0.3">
      <c r="A1998">
        <v>1997</v>
      </c>
      <c r="B1998" s="1">
        <v>60000</v>
      </c>
      <c r="C1998" s="1" t="str" cm="1">
        <f t="array" ref="C1998">_xlfn.IFS(Table2[[#This Row],[LIMIT_BAL]]&lt;=100000,"Low",Table2[[#This Row],[LIMIT_BAL]]&lt;=300000,"Medium",
TRUE,"High"
)</f>
        <v>Low</v>
      </c>
      <c r="D1998" t="s">
        <v>2041</v>
      </c>
      <c r="E1998" t="s">
        <v>2026</v>
      </c>
      <c r="F1998" t="s">
        <v>2029</v>
      </c>
      <c r="G1998">
        <v>24</v>
      </c>
      <c r="H1998" t="str" cm="1">
        <f t="array" ref="H1998">_xlfn.IFS(
Table2[[#This Row],[AGE]]&lt;30,"Young",
Table2[[#This Row],[AGE]]&lt;40,"Middle Age",
Table2[[#This Row],[AGE]]&lt;50,"Senior",
TRUE,"Super Senior"
)</f>
        <v>Young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 s="1">
        <v>15050</v>
      </c>
      <c r="P1998" s="1">
        <v>16203</v>
      </c>
      <c r="Q1998" s="1">
        <v>16891</v>
      </c>
      <c r="R1998" s="1">
        <v>15474</v>
      </c>
      <c r="S1998" s="1">
        <v>14612</v>
      </c>
      <c r="T1998" s="1">
        <v>16354</v>
      </c>
      <c r="U1998" s="1">
        <v>2000</v>
      </c>
      <c r="V1998" s="1">
        <v>1300</v>
      </c>
      <c r="W1998" s="1">
        <v>2000</v>
      </c>
      <c r="X1998" s="1">
        <v>1000</v>
      </c>
      <c r="Y1998" s="1">
        <v>2000</v>
      </c>
      <c r="Z1998" s="1">
        <v>1000</v>
      </c>
      <c r="AA1998">
        <v>0</v>
      </c>
      <c r="AB1998" t="str">
        <f t="shared" si="31"/>
        <v>Not Defaulter</v>
      </c>
      <c r="AC1998" s="1">
        <f>Table2[[#This Row],[BILL_AMT1]]-Table2[[#This Row],[PAY_AMT1]]</f>
        <v>13050</v>
      </c>
      <c r="AD1998" s="1" t="str" cm="1">
        <f t="array" ref="AD1998">_xlfn.IFS(Table2[[#This Row],[PAYMENT GAP]]&lt;=0,"No Gap / Overpaid",Table2[[#This Row],[PAYMENT GAP]]&lt;=25000,"Low Gap",Table2[[#This Row],[PAYMENT GAP]]&lt;=100000,"Medium Gap",
TRUE,"High Gap"
)</f>
        <v>Low Gap</v>
      </c>
    </row>
    <row r="1999" spans="1:30" x14ac:dyDescent="0.3">
      <c r="A1999">
        <v>1998</v>
      </c>
      <c r="B1999" s="1">
        <v>40000</v>
      </c>
      <c r="C1999" s="1" t="str" cm="1">
        <f t="array" ref="C1999">_xlfn.IFS(Table2[[#This Row],[LIMIT_BAL]]&lt;=100000,"Low",Table2[[#This Row],[LIMIT_BAL]]&lt;=300000,"Medium",
TRUE,"High"
)</f>
        <v>Low</v>
      </c>
      <c r="D1999" t="s">
        <v>2041</v>
      </c>
      <c r="E1999" t="s">
        <v>2027</v>
      </c>
      <c r="F1999" t="s">
        <v>2028</v>
      </c>
      <c r="G1999">
        <v>59</v>
      </c>
      <c r="H1999" t="str" cm="1">
        <f t="array" ref="H1999">_xlfn.IFS(
Table2[[#This Row],[AGE]]&lt;30,"Young",
Table2[[#This Row],[AGE]]&lt;40,"Middle Age",
Table2[[#This Row],[AGE]]&lt;50,"Senior",
TRUE,"Super Senior"
)</f>
        <v>Super Senior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2</v>
      </c>
      <c r="O1999" s="1">
        <v>14769</v>
      </c>
      <c r="P1999" s="1">
        <v>15271</v>
      </c>
      <c r="Q1999" s="1">
        <v>15383</v>
      </c>
      <c r="R1999" s="1">
        <v>14548</v>
      </c>
      <c r="S1999" s="1">
        <v>16274</v>
      </c>
      <c r="T1999" s="1">
        <v>15650</v>
      </c>
      <c r="U1999" s="1">
        <v>1573</v>
      </c>
      <c r="V1999" s="1">
        <v>1512</v>
      </c>
      <c r="W1999" s="1">
        <v>504</v>
      </c>
      <c r="X1999" s="1">
        <v>2770</v>
      </c>
      <c r="Y1999" s="1">
        <v>613</v>
      </c>
      <c r="Z1999" s="1">
        <v>14</v>
      </c>
      <c r="AA1999">
        <v>0</v>
      </c>
      <c r="AB1999" t="str">
        <f t="shared" si="31"/>
        <v>Not Defaulter</v>
      </c>
      <c r="AC1999" s="1">
        <f>Table2[[#This Row],[BILL_AMT1]]-Table2[[#This Row],[PAY_AMT1]]</f>
        <v>13196</v>
      </c>
      <c r="AD1999" s="1" t="str" cm="1">
        <f t="array" ref="AD1999">_xlfn.IFS(Table2[[#This Row],[PAYMENT GAP]]&lt;=0,"No Gap / Overpaid",Table2[[#This Row],[PAYMENT GAP]]&lt;=25000,"Low Gap",Table2[[#This Row],[PAYMENT GAP]]&lt;=100000,"Medium Gap",
TRUE,"High Gap"
)</f>
        <v>Low Gap</v>
      </c>
    </row>
    <row r="2000" spans="1:30" x14ac:dyDescent="0.3">
      <c r="A2000">
        <v>1999</v>
      </c>
      <c r="B2000" s="1">
        <v>140000</v>
      </c>
      <c r="C2000" s="1" t="str" cm="1">
        <f t="array" ref="C2000">_xlfn.IFS(Table2[[#This Row],[LIMIT_BAL]]&lt;=100000,"Low",Table2[[#This Row],[LIMIT_BAL]]&lt;=300000,"Medium",
TRUE,"High"
)</f>
        <v>Medium</v>
      </c>
      <c r="D2000" t="s">
        <v>2041</v>
      </c>
      <c r="E2000" t="s">
        <v>2043</v>
      </c>
      <c r="F2000" t="s">
        <v>2028</v>
      </c>
      <c r="G2000">
        <v>34</v>
      </c>
      <c r="H2000" t="str" cm="1">
        <f t="array" ref="H2000">_xlfn.IFS(
Table2[[#This Row],[AGE]]&lt;30,"Young",
Table2[[#This Row],[AGE]]&lt;40,"Middle Age",
Table2[[#This Row],[AGE]]&lt;50,"Senior",
TRUE,"Super Senior"
)</f>
        <v>Middle Age</v>
      </c>
      <c r="I2000">
        <v>0</v>
      </c>
      <c r="J2000">
        <v>0</v>
      </c>
      <c r="K2000">
        <v>2</v>
      </c>
      <c r="L2000">
        <v>0</v>
      </c>
      <c r="M2000">
        <v>0</v>
      </c>
      <c r="N2000">
        <v>0</v>
      </c>
      <c r="O2000" s="1">
        <v>121374</v>
      </c>
      <c r="P2000" s="1">
        <v>125965</v>
      </c>
      <c r="Q2000" s="1">
        <v>102527</v>
      </c>
      <c r="R2000" s="1">
        <v>103337</v>
      </c>
      <c r="S2000" s="1">
        <v>105942</v>
      </c>
      <c r="T2000" s="1">
        <v>101830</v>
      </c>
      <c r="U2000" s="1">
        <v>8200</v>
      </c>
      <c r="V2000" s="1">
        <v>3000</v>
      </c>
      <c r="W2000" s="1">
        <v>4000</v>
      </c>
      <c r="X2000" s="1">
        <v>4500</v>
      </c>
      <c r="Y2000" s="1">
        <v>4000</v>
      </c>
      <c r="Z2000" s="1">
        <v>4200</v>
      </c>
      <c r="AA2000">
        <v>0</v>
      </c>
      <c r="AB2000" t="str">
        <f t="shared" si="31"/>
        <v>Not Defaulter</v>
      </c>
      <c r="AC2000" s="1">
        <f>Table2[[#This Row],[BILL_AMT1]]-Table2[[#This Row],[PAY_AMT1]]</f>
        <v>113174</v>
      </c>
      <c r="AD2000" s="1" t="str" cm="1">
        <f t="array" ref="AD2000">_xlfn.IFS(Table2[[#This Row],[PAYMENT GAP]]&lt;=0,"No Gap / Overpaid",Table2[[#This Row],[PAYMENT GAP]]&lt;=25000,"Low Gap",Table2[[#This Row],[PAYMENT GAP]]&lt;=100000,"Medium Gap",
TRUE,"High Gap"
)</f>
        <v>High Gap</v>
      </c>
    </row>
    <row r="2001" spans="1:30" x14ac:dyDescent="0.3">
      <c r="A2001">
        <v>2000</v>
      </c>
      <c r="B2001" s="1">
        <v>220000</v>
      </c>
      <c r="C2001" s="1" t="str" cm="1">
        <f t="array" ref="C2001">_xlfn.IFS(Table2[[#This Row],[LIMIT_BAL]]&lt;=100000,"Low",Table2[[#This Row],[LIMIT_BAL]]&lt;=300000,"Medium",
TRUE,"High"
)</f>
        <v>Medium</v>
      </c>
      <c r="D2001" t="s">
        <v>2042</v>
      </c>
      <c r="E2001" t="s">
        <v>2043</v>
      </c>
      <c r="F2001" t="s">
        <v>2028</v>
      </c>
      <c r="G2001">
        <v>32</v>
      </c>
      <c r="H2001" t="str" cm="1">
        <f t="array" ref="H2001">_xlfn.IFS(
Table2[[#This Row],[AGE]]&lt;30,"Young",
Table2[[#This Row],[AGE]]&lt;40,"Middle Age",
Table2[[#This Row],[AGE]]&lt;50,"Senior",
TRUE,"Super Senior"
)</f>
        <v>Middle Age</v>
      </c>
      <c r="I2001">
        <v>0</v>
      </c>
      <c r="J2001">
        <v>-1</v>
      </c>
      <c r="K2001">
        <v>-1</v>
      </c>
      <c r="L2001">
        <v>-1</v>
      </c>
      <c r="M2001">
        <v>-1</v>
      </c>
      <c r="N2001">
        <v>-1</v>
      </c>
      <c r="O2001" s="1">
        <v>8000</v>
      </c>
      <c r="P2001" s="1">
        <v>8288</v>
      </c>
      <c r="Q2001" s="1">
        <v>8000</v>
      </c>
      <c r="R2001" s="1">
        <v>0</v>
      </c>
      <c r="S2001" s="1">
        <v>8000</v>
      </c>
      <c r="T2001" s="1">
        <v>0</v>
      </c>
      <c r="U2001" s="1">
        <v>8288</v>
      </c>
      <c r="V2001" s="1">
        <v>8000</v>
      </c>
      <c r="W2001" s="1">
        <v>0</v>
      </c>
      <c r="X2001" s="1">
        <v>8000</v>
      </c>
      <c r="Y2001" s="1">
        <v>0</v>
      </c>
      <c r="Z2001" s="1">
        <v>0</v>
      </c>
      <c r="AA2001">
        <v>0</v>
      </c>
      <c r="AB2001" t="str">
        <f t="shared" si="31"/>
        <v>Not Defaulter</v>
      </c>
      <c r="AC2001" s="1">
        <f>Table2[[#This Row],[BILL_AMT1]]-Table2[[#This Row],[PAY_AMT1]]</f>
        <v>-288</v>
      </c>
      <c r="AD2001" s="1" t="str" cm="1">
        <f t="array" ref="AD2001">_xlfn.IFS(Table2[[#This Row],[PAYMENT GAP]]&lt;=0,"No Gap / Overpaid",Table2[[#This Row],[PAYMENT GAP]]&lt;=25000,"Low Gap",Table2[[#This Row],[PAYMENT GAP]]&lt;=100000,"Medium Gap",
TRUE,"High Gap"
)</f>
        <v>No Gap / Overpaid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4F31C-AA21-4435-98DA-D12D202F6241}">
  <dimension ref="A1:I1941"/>
  <sheetViews>
    <sheetView tabSelected="1" zoomScaleNormal="120" workbookViewId="0">
      <selection activeCell="L17" sqref="L17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12.109375" bestFit="1" customWidth="1"/>
    <col min="4" max="4" width="12.77734375" customWidth="1"/>
    <col min="5" max="5" width="6.88671875" bestFit="1" customWidth="1"/>
    <col min="6" max="6" width="17.21875" customWidth="1"/>
    <col min="7" max="7" width="11.77734375" customWidth="1"/>
    <col min="8" max="11" width="6.88671875" bestFit="1" customWidth="1"/>
    <col min="12" max="97" width="7.88671875" bestFit="1" customWidth="1"/>
    <col min="98" max="798" width="9.44140625" bestFit="1" customWidth="1"/>
    <col min="799" max="979" width="10.44140625" bestFit="1" customWidth="1"/>
    <col min="980" max="987" width="12" bestFit="1" customWidth="1"/>
    <col min="988" max="988" width="10.5546875" bestFit="1" customWidth="1"/>
  </cols>
  <sheetData>
    <row r="1" spans="1:9" ht="15" thickBot="1" x14ac:dyDescent="0.35"/>
    <row r="2" spans="1:9" ht="15" thickBot="1" x14ac:dyDescent="0.35">
      <c r="A2" s="38" t="s">
        <v>2063</v>
      </c>
      <c r="B2" s="46"/>
      <c r="C2" s="2"/>
      <c r="D2" s="2"/>
      <c r="E2" s="3"/>
    </row>
    <row r="3" spans="1:9" ht="15" thickBot="1" x14ac:dyDescent="0.35">
      <c r="A3" s="11" t="s">
        <v>2030</v>
      </c>
      <c r="B3" s="14" t="s">
        <v>2032</v>
      </c>
      <c r="D3" s="28" t="s">
        <v>2047</v>
      </c>
      <c r="E3" s="6"/>
    </row>
    <row r="4" spans="1:9" ht="15" thickBot="1" x14ac:dyDescent="0.35">
      <c r="A4" s="18" t="s">
        <v>2038</v>
      </c>
      <c r="B4" s="35">
        <v>434</v>
      </c>
      <c r="D4" s="29">
        <v>0.217</v>
      </c>
      <c r="E4" s="17"/>
    </row>
    <row r="5" spans="1:9" ht="15" thickBot="1" x14ac:dyDescent="0.35">
      <c r="A5" s="19" t="s">
        <v>2039</v>
      </c>
      <c r="B5" s="36">
        <v>1566</v>
      </c>
      <c r="E5" s="6"/>
    </row>
    <row r="6" spans="1:9" ht="15" thickBot="1" x14ac:dyDescent="0.35">
      <c r="A6" s="15" t="s">
        <v>2031</v>
      </c>
      <c r="B6" s="37">
        <v>2000</v>
      </c>
      <c r="C6" s="7"/>
      <c r="D6" s="7"/>
      <c r="E6" s="8"/>
    </row>
    <row r="8" spans="1:9" ht="15" thickBot="1" x14ac:dyDescent="0.35"/>
    <row r="9" spans="1:9" ht="15" thickBot="1" x14ac:dyDescent="0.35">
      <c r="A9" s="38" t="s">
        <v>2048</v>
      </c>
      <c r="B9" s="46"/>
      <c r="C9" s="46"/>
      <c r="D9" s="46"/>
      <c r="E9" s="2"/>
      <c r="F9" s="2"/>
      <c r="G9" s="2"/>
      <c r="H9" s="2"/>
      <c r="I9" s="3"/>
    </row>
    <row r="10" spans="1:9" ht="15" thickBot="1" x14ac:dyDescent="0.35">
      <c r="A10" s="11" t="s">
        <v>2032</v>
      </c>
      <c r="B10" s="11" t="s">
        <v>2033</v>
      </c>
      <c r="C10" s="12"/>
      <c r="D10" s="13"/>
      <c r="I10" s="6"/>
    </row>
    <row r="11" spans="1:9" ht="15" thickBot="1" x14ac:dyDescent="0.35">
      <c r="A11" s="11" t="s">
        <v>2030</v>
      </c>
      <c r="B11" s="12" t="s">
        <v>2038</v>
      </c>
      <c r="C11" s="13" t="s">
        <v>2039</v>
      </c>
      <c r="D11" s="14" t="s">
        <v>2031</v>
      </c>
      <c r="F11" s="38" t="s">
        <v>2049</v>
      </c>
      <c r="G11" s="46"/>
      <c r="H11" s="39"/>
      <c r="I11" s="6"/>
    </row>
    <row r="12" spans="1:9" x14ac:dyDescent="0.3">
      <c r="A12" s="18" t="s">
        <v>2041</v>
      </c>
      <c r="B12" s="9">
        <v>254</v>
      </c>
      <c r="C12" s="2">
        <v>912</v>
      </c>
      <c r="D12" s="3">
        <v>1166</v>
      </c>
      <c r="F12" s="26" t="s">
        <v>2041</v>
      </c>
      <c r="G12" s="16">
        <f>GETPIVOTDATA("ID",$A$10,"SEX","Female","Defaulter/ Not Defaluter","Defaulter")/GETPIVOTDATA("ID",$A$10,"SEX","Female")</f>
        <v>0.21783876500857632</v>
      </c>
      <c r="H12" s="22"/>
      <c r="I12" s="6"/>
    </row>
    <row r="13" spans="1:9" ht="15" thickBot="1" x14ac:dyDescent="0.35">
      <c r="A13" s="19" t="s">
        <v>2042</v>
      </c>
      <c r="B13" s="31">
        <v>180</v>
      </c>
      <c r="C13">
        <v>654</v>
      </c>
      <c r="D13" s="6">
        <v>834</v>
      </c>
      <c r="F13" s="27" t="s">
        <v>2042</v>
      </c>
      <c r="G13" s="25">
        <f>GETPIVOTDATA("ID",$A$10,"SEX","Male","Defaulter/ Not Defaluter","Defaulter")/GETPIVOTDATA("ID",$A$10,"SEX","Male")</f>
        <v>0.21582733812949639</v>
      </c>
      <c r="H13" s="24"/>
      <c r="I13" s="6"/>
    </row>
    <row r="14" spans="1:9" ht="15" thickBot="1" x14ac:dyDescent="0.35">
      <c r="A14" s="15" t="s">
        <v>2031</v>
      </c>
      <c r="B14" s="10">
        <v>434</v>
      </c>
      <c r="C14" s="7">
        <v>1566</v>
      </c>
      <c r="D14" s="8">
        <v>2000</v>
      </c>
      <c r="E14" s="7"/>
      <c r="F14" s="7"/>
      <c r="G14" s="7"/>
      <c r="H14" s="7"/>
      <c r="I14" s="8"/>
    </row>
    <row r="16" spans="1:9" ht="15" thickBot="1" x14ac:dyDescent="0.35"/>
    <row r="17" spans="1:9" ht="15" thickBot="1" x14ac:dyDescent="0.35">
      <c r="A17" s="40" t="s">
        <v>2051</v>
      </c>
      <c r="B17" s="41"/>
      <c r="C17" s="41"/>
      <c r="D17" s="41"/>
      <c r="E17" s="2"/>
      <c r="F17" s="2"/>
      <c r="G17" s="2"/>
      <c r="H17" s="2"/>
      <c r="I17" s="3"/>
    </row>
    <row r="18" spans="1:9" ht="15" thickBot="1" x14ac:dyDescent="0.35">
      <c r="A18" s="11" t="s">
        <v>2032</v>
      </c>
      <c r="B18" s="11" t="s">
        <v>2033</v>
      </c>
      <c r="C18" s="12"/>
      <c r="D18" s="13"/>
      <c r="I18" s="6"/>
    </row>
    <row r="19" spans="1:9" ht="15" thickBot="1" x14ac:dyDescent="0.35">
      <c r="A19" s="11" t="s">
        <v>2030</v>
      </c>
      <c r="B19" s="12" t="s">
        <v>2038</v>
      </c>
      <c r="C19" s="13" t="s">
        <v>2039</v>
      </c>
      <c r="D19" s="14" t="s">
        <v>2031</v>
      </c>
      <c r="F19" s="38" t="s">
        <v>2052</v>
      </c>
      <c r="G19" s="46"/>
      <c r="H19" s="39"/>
      <c r="I19" s="6"/>
    </row>
    <row r="20" spans="1:9" x14ac:dyDescent="0.3">
      <c r="A20" s="18" t="s">
        <v>2034</v>
      </c>
      <c r="B20" s="9">
        <v>144</v>
      </c>
      <c r="C20" s="2">
        <v>606</v>
      </c>
      <c r="D20" s="3">
        <v>750</v>
      </c>
      <c r="F20" s="21" t="s">
        <v>2050</v>
      </c>
      <c r="G20" s="16">
        <f>GETPIVOTDATA("ID",$A$18,"AGE GROUP","Middle Age","Defaulter/ Not Defaluter","Defaulter")/GETPIVOTDATA("ID",$A$18,"AGE GROUP","Middle Age")</f>
        <v>0.192</v>
      </c>
      <c r="H20" s="22"/>
      <c r="I20" s="6"/>
    </row>
    <row r="21" spans="1:9" x14ac:dyDescent="0.3">
      <c r="A21" s="20" t="s">
        <v>2035</v>
      </c>
      <c r="B21" s="31">
        <v>93</v>
      </c>
      <c r="C21">
        <v>313</v>
      </c>
      <c r="D21" s="6">
        <v>406</v>
      </c>
      <c r="F21" s="21" t="s">
        <v>2035</v>
      </c>
      <c r="G21" s="16">
        <f>GETPIVOTDATA("ID",$A$18,"AGE GROUP","Senior","Defaulter/ Not Defaluter","Defaulter")/GETPIVOTDATA("ID",$A$18,"AGE GROUP","Senior")</f>
        <v>0.22906403940886699</v>
      </c>
      <c r="H21" s="22"/>
      <c r="I21" s="6"/>
    </row>
    <row r="22" spans="1:9" x14ac:dyDescent="0.3">
      <c r="A22" s="20" t="s">
        <v>2036</v>
      </c>
      <c r="B22" s="31">
        <v>54</v>
      </c>
      <c r="C22">
        <v>129</v>
      </c>
      <c r="D22" s="6">
        <v>183</v>
      </c>
      <c r="F22" s="21" t="s">
        <v>2036</v>
      </c>
      <c r="G22" s="16">
        <f>GETPIVOTDATA("ID",$A$18,"AGE GROUP","Super Senior","Defaulter/ Not Defaluter","Defaulter")/GETPIVOTDATA("ID",$A$18,"AGE GROUP","Super Senior")</f>
        <v>0.29508196721311475</v>
      </c>
      <c r="H22" s="22"/>
      <c r="I22" s="6"/>
    </row>
    <row r="23" spans="1:9" ht="15" thickBot="1" x14ac:dyDescent="0.35">
      <c r="A23" s="19" t="s">
        <v>2037</v>
      </c>
      <c r="B23" s="31">
        <v>143</v>
      </c>
      <c r="C23">
        <v>518</v>
      </c>
      <c r="D23" s="6">
        <v>661</v>
      </c>
      <c r="F23" s="23" t="s">
        <v>2037</v>
      </c>
      <c r="G23" s="25">
        <f>GETPIVOTDATA("ID",$A$18,"AGE GROUP","Young","Defaulter/ Not Defaluter","Defaulter")/GETPIVOTDATA("ID",$A$18,"AGE GROUP","Young")</f>
        <v>0.21633888048411498</v>
      </c>
      <c r="H23" s="24"/>
      <c r="I23" s="6"/>
    </row>
    <row r="24" spans="1:9" ht="15" thickBot="1" x14ac:dyDescent="0.35">
      <c r="A24" s="15" t="s">
        <v>2031</v>
      </c>
      <c r="B24" s="10">
        <v>434</v>
      </c>
      <c r="C24" s="7">
        <v>1566</v>
      </c>
      <c r="D24" s="8">
        <v>2000</v>
      </c>
      <c r="E24" s="7"/>
      <c r="F24" s="7"/>
      <c r="G24" s="7"/>
      <c r="H24" s="7"/>
      <c r="I24" s="8"/>
    </row>
    <row r="27" spans="1:9" ht="15" thickBot="1" x14ac:dyDescent="0.35"/>
    <row r="28" spans="1:9" ht="15" thickBot="1" x14ac:dyDescent="0.35">
      <c r="A28" s="40" t="s">
        <v>2053</v>
      </c>
      <c r="B28" s="41"/>
      <c r="C28" s="41"/>
      <c r="D28" s="41"/>
      <c r="E28" s="2"/>
      <c r="F28" s="2"/>
      <c r="G28" s="2"/>
      <c r="H28" s="2"/>
      <c r="I28" s="3"/>
    </row>
    <row r="29" spans="1:9" ht="15" thickBot="1" x14ac:dyDescent="0.35">
      <c r="A29" s="11" t="s">
        <v>2032</v>
      </c>
      <c r="B29" s="11" t="s">
        <v>2033</v>
      </c>
      <c r="C29" s="12"/>
      <c r="D29" s="13"/>
      <c r="I29" s="6"/>
    </row>
    <row r="30" spans="1:9" ht="15" thickBot="1" x14ac:dyDescent="0.35">
      <c r="A30" s="11" t="s">
        <v>2030</v>
      </c>
      <c r="B30" s="12" t="s">
        <v>2038</v>
      </c>
      <c r="C30" s="13" t="s">
        <v>2039</v>
      </c>
      <c r="D30" s="14" t="s">
        <v>2031</v>
      </c>
      <c r="F30" s="38" t="s">
        <v>2054</v>
      </c>
      <c r="G30" s="46"/>
      <c r="H30" s="39"/>
      <c r="I30" s="6"/>
    </row>
    <row r="31" spans="1:9" x14ac:dyDescent="0.3">
      <c r="A31" s="18" t="s">
        <v>2026</v>
      </c>
      <c r="B31" s="9">
        <v>153</v>
      </c>
      <c r="C31" s="2">
        <v>618</v>
      </c>
      <c r="D31" s="3">
        <v>771</v>
      </c>
      <c r="F31" s="21" t="s">
        <v>2026</v>
      </c>
      <c r="G31" s="16">
        <f>GETPIVOTDATA("ID",$A$29,"EDUCATION","Graduate School","Defaulter/ Not Defaluter","Defaulter")/GETPIVOTDATA("ID",$A$29,"EDUCATION","Graduate School")</f>
        <v>0.19844357976653695</v>
      </c>
      <c r="H31" s="22"/>
      <c r="I31" s="6"/>
    </row>
    <row r="32" spans="1:9" x14ac:dyDescent="0.3">
      <c r="A32" s="20" t="s">
        <v>2027</v>
      </c>
      <c r="B32" s="31">
        <v>82</v>
      </c>
      <c r="C32">
        <v>245</v>
      </c>
      <c r="D32" s="6">
        <v>327</v>
      </c>
      <c r="F32" s="21" t="s">
        <v>2027</v>
      </c>
      <c r="G32" s="16">
        <f>GETPIVOTDATA("ID",$A$29,"EDUCATION","High School","Defaulter/ Not Defaluter","Defaulter")/GETPIVOTDATA("ID",$A$29,"EDUCATION","High School")</f>
        <v>0.25076452599388377</v>
      </c>
      <c r="H32" s="22"/>
      <c r="I32" s="6"/>
    </row>
    <row r="33" spans="1:9" x14ac:dyDescent="0.3">
      <c r="A33" s="20" t="s">
        <v>2044</v>
      </c>
      <c r="B33" s="31">
        <v>1</v>
      </c>
      <c r="C33">
        <v>13</v>
      </c>
      <c r="D33" s="6">
        <v>14</v>
      </c>
      <c r="F33" s="21" t="s">
        <v>2044</v>
      </c>
      <c r="G33" s="16">
        <f>GETPIVOTDATA("ID",$A$29,"EDUCATION","Others","Defaulter/ Not Defaluter","Defaulter")/GETPIVOTDATA("ID",$A$29,"EDUCATION","Others")</f>
        <v>7.1428571428571425E-2</v>
      </c>
      <c r="H33" s="22"/>
      <c r="I33" s="6"/>
    </row>
    <row r="34" spans="1:9" ht="15" thickBot="1" x14ac:dyDescent="0.35">
      <c r="A34" s="19" t="s">
        <v>2043</v>
      </c>
      <c r="B34" s="31">
        <v>198</v>
      </c>
      <c r="C34">
        <v>690</v>
      </c>
      <c r="D34" s="6">
        <v>888</v>
      </c>
      <c r="F34" s="23" t="s">
        <v>2043</v>
      </c>
      <c r="G34" s="25">
        <f>GETPIVOTDATA("ID",$A$29,"EDUCATION","University / Collage","Defaulter/ Not Defaluter","Defaulter")/GETPIVOTDATA("ID",$A$29,"EDUCATION","University / Collage")</f>
        <v>0.22297297297297297</v>
      </c>
      <c r="H34" s="24"/>
      <c r="I34" s="6"/>
    </row>
    <row r="35" spans="1:9" ht="15" thickBot="1" x14ac:dyDescent="0.35">
      <c r="A35" s="15" t="s">
        <v>2031</v>
      </c>
      <c r="B35" s="10">
        <v>434</v>
      </c>
      <c r="C35" s="7">
        <v>1566</v>
      </c>
      <c r="D35" s="8">
        <v>2000</v>
      </c>
      <c r="E35" s="7"/>
      <c r="F35" s="7"/>
      <c r="G35" s="7"/>
      <c r="H35" s="7"/>
      <c r="I35" s="8"/>
    </row>
    <row r="37" spans="1:9" ht="15" thickBot="1" x14ac:dyDescent="0.35"/>
    <row r="38" spans="1:9" x14ac:dyDescent="0.3">
      <c r="A38" s="9"/>
      <c r="B38" s="2"/>
      <c r="C38" s="2"/>
      <c r="D38" s="2"/>
      <c r="E38" s="2"/>
      <c r="F38" s="2"/>
      <c r="G38" s="2"/>
      <c r="H38" s="2"/>
      <c r="I38" s="3"/>
    </row>
    <row r="39" spans="1:9" ht="15" thickBot="1" x14ac:dyDescent="0.35">
      <c r="A39" s="47" t="s">
        <v>2056</v>
      </c>
      <c r="B39" s="48"/>
      <c r="C39" s="48"/>
      <c r="D39" s="48"/>
      <c r="I39" s="6"/>
    </row>
    <row r="40" spans="1:9" ht="15" thickBot="1" x14ac:dyDescent="0.35">
      <c r="A40" s="11" t="s">
        <v>2032</v>
      </c>
      <c r="B40" s="11" t="s">
        <v>2033</v>
      </c>
      <c r="C40" s="12"/>
      <c r="D40" s="13"/>
      <c r="I40" s="6"/>
    </row>
    <row r="41" spans="1:9" ht="15" thickBot="1" x14ac:dyDescent="0.35">
      <c r="A41" s="11" t="s">
        <v>2030</v>
      </c>
      <c r="B41" s="12" t="s">
        <v>2038</v>
      </c>
      <c r="C41" s="13" t="s">
        <v>2039</v>
      </c>
      <c r="D41" s="14" t="s">
        <v>2031</v>
      </c>
      <c r="F41" s="38" t="s">
        <v>2057</v>
      </c>
      <c r="G41" s="39"/>
      <c r="I41" s="6"/>
    </row>
    <row r="42" spans="1:9" x14ac:dyDescent="0.3">
      <c r="A42" s="18" t="s">
        <v>2028</v>
      </c>
      <c r="B42" s="9">
        <v>198</v>
      </c>
      <c r="C42" s="2">
        <v>640</v>
      </c>
      <c r="D42" s="3">
        <v>838</v>
      </c>
      <c r="F42" s="21" t="s">
        <v>2028</v>
      </c>
      <c r="G42" s="22">
        <f>GETPIVOTDATA("ID",$A$40,"MARRIAGE","Married","Defaulter/ Not Defaluter","Defaulter")/GETPIVOTDATA("ID",$A$40,"MARRIAGE","Married")</f>
        <v>0.23627684964200477</v>
      </c>
      <c r="I42" s="6"/>
    </row>
    <row r="43" spans="1:9" x14ac:dyDescent="0.3">
      <c r="A43" s="20" t="s">
        <v>2044</v>
      </c>
      <c r="B43" s="31"/>
      <c r="C43">
        <v>5</v>
      </c>
      <c r="D43" s="6">
        <v>5</v>
      </c>
      <c r="F43" s="21" t="s">
        <v>2044</v>
      </c>
      <c r="G43" s="22">
        <f>GETPIVOTDATA("ID",$A$40,"MARRIAGE","Others","Defaulter/ Not Defaluter","Defaulter")/GETPIVOTDATA("ID",$A$40,"MARRIAGE","Others")</f>
        <v>0</v>
      </c>
      <c r="I43" s="6"/>
    </row>
    <row r="44" spans="1:9" x14ac:dyDescent="0.3">
      <c r="A44" s="20" t="s">
        <v>2029</v>
      </c>
      <c r="B44" s="31">
        <v>229</v>
      </c>
      <c r="C44">
        <v>899</v>
      </c>
      <c r="D44" s="6">
        <v>1128</v>
      </c>
      <c r="F44" s="21" t="s">
        <v>2029</v>
      </c>
      <c r="G44" s="22">
        <f>GETPIVOTDATA("ID",$A$40,"MARRIAGE","Single","Defaulter/ Not Defaluter","Defaulter")/GETPIVOTDATA("ID",$A$40,"MARRIAGE","Single")</f>
        <v>0.20301418439716312</v>
      </c>
      <c r="I44" s="6"/>
    </row>
    <row r="45" spans="1:9" ht="15" thickBot="1" x14ac:dyDescent="0.35">
      <c r="A45" s="19" t="s">
        <v>2055</v>
      </c>
      <c r="B45" s="31">
        <v>7</v>
      </c>
      <c r="C45">
        <v>22</v>
      </c>
      <c r="D45" s="6">
        <v>29</v>
      </c>
      <c r="F45" s="23" t="s">
        <v>2055</v>
      </c>
      <c r="G45" s="24">
        <f>GETPIVOTDATA("ID",$A$40,"MARRIAGE","Divorced/ Seperated","Defaulter/ Not Defaluter","Defaulter")/GETPIVOTDATA("ID",$A$40,"MARRIAGE","Divorced/ Seperated")</f>
        <v>0.2413793103448276</v>
      </c>
      <c r="I45" s="6"/>
    </row>
    <row r="46" spans="1:9" ht="15" thickBot="1" x14ac:dyDescent="0.35">
      <c r="A46" s="15" t="s">
        <v>2031</v>
      </c>
      <c r="B46" s="10">
        <v>434</v>
      </c>
      <c r="C46" s="7">
        <v>1566</v>
      </c>
      <c r="D46" s="8">
        <v>2000</v>
      </c>
      <c r="E46" s="7"/>
      <c r="F46" s="7"/>
      <c r="G46" s="7"/>
      <c r="H46" s="7"/>
      <c r="I46" s="8"/>
    </row>
    <row r="49" spans="1:9" ht="15" thickBot="1" x14ac:dyDescent="0.35"/>
    <row r="50" spans="1:9" ht="15" thickBot="1" x14ac:dyDescent="0.35">
      <c r="A50" s="40" t="s">
        <v>2064</v>
      </c>
      <c r="B50" s="41"/>
      <c r="C50" s="41"/>
      <c r="D50" s="41"/>
      <c r="E50" s="2"/>
      <c r="F50" s="2"/>
      <c r="G50" s="2"/>
      <c r="H50" s="2"/>
      <c r="I50" s="3"/>
    </row>
    <row r="51" spans="1:9" ht="15" thickBot="1" x14ac:dyDescent="0.35">
      <c r="A51" s="11" t="s">
        <v>2032</v>
      </c>
      <c r="B51" s="11" t="s">
        <v>2033</v>
      </c>
      <c r="C51" s="12"/>
      <c r="D51" s="13"/>
      <c r="I51" s="6"/>
    </row>
    <row r="52" spans="1:9" ht="15" thickBot="1" x14ac:dyDescent="0.35">
      <c r="A52" s="11" t="s">
        <v>2030</v>
      </c>
      <c r="B52" s="12" t="s">
        <v>2038</v>
      </c>
      <c r="C52" s="13" t="s">
        <v>2039</v>
      </c>
      <c r="D52" s="14" t="s">
        <v>2031</v>
      </c>
      <c r="F52" s="38" t="s">
        <v>2062</v>
      </c>
      <c r="G52" s="39"/>
      <c r="I52" s="6"/>
    </row>
    <row r="53" spans="1:9" x14ac:dyDescent="0.3">
      <c r="A53" s="18" t="s">
        <v>2059</v>
      </c>
      <c r="B53" s="9">
        <v>44</v>
      </c>
      <c r="C53" s="2">
        <v>255</v>
      </c>
      <c r="D53" s="3">
        <v>299</v>
      </c>
      <c r="F53" s="21" t="s">
        <v>2059</v>
      </c>
      <c r="G53" s="22">
        <f>GETPIVOTDATA("ID",$A$51,"LIMIT_BAL_GROUP","High","Defaulter/ Not Defaluter","Defaulter")/GETPIVOTDATA("ID",$A$51,"LIMIT_BAL_GROUP","High")</f>
        <v>0.14715719063545152</v>
      </c>
      <c r="I53" s="6"/>
    </row>
    <row r="54" spans="1:9" x14ac:dyDescent="0.3">
      <c r="A54" s="20" t="s">
        <v>2060</v>
      </c>
      <c r="B54" s="31">
        <v>207</v>
      </c>
      <c r="C54">
        <v>626</v>
      </c>
      <c r="D54" s="6">
        <v>833</v>
      </c>
      <c r="F54" s="21" t="s">
        <v>2060</v>
      </c>
      <c r="G54" s="22">
        <f>GETPIVOTDATA("ID",$A$51,"LIMIT_BAL_GROUP","Low","Defaulter/ Not Defaluter","Defaulter")/GETPIVOTDATA("ID",$A$51,"LIMIT_BAL_GROUP","Low")</f>
        <v>0.24849939975990396</v>
      </c>
      <c r="I54" s="6"/>
    </row>
    <row r="55" spans="1:9" ht="15" thickBot="1" x14ac:dyDescent="0.35">
      <c r="A55" s="19" t="s">
        <v>2061</v>
      </c>
      <c r="B55" s="31">
        <v>183</v>
      </c>
      <c r="C55">
        <v>685</v>
      </c>
      <c r="D55" s="6">
        <v>868</v>
      </c>
      <c r="F55" s="23" t="s">
        <v>2061</v>
      </c>
      <c r="G55" s="24">
        <f>GETPIVOTDATA("ID",$A$51,"LIMIT_BAL_GROUP","Medium","Defaulter/ Not Defaluter","Defaulter")/GETPIVOTDATA("ID",$A$51,"LIMIT_BAL_GROUP","Medium")</f>
        <v>0.21082949308755761</v>
      </c>
      <c r="I55" s="6"/>
    </row>
    <row r="56" spans="1:9" ht="15" thickBot="1" x14ac:dyDescent="0.35">
      <c r="A56" s="15" t="s">
        <v>2031</v>
      </c>
      <c r="B56" s="10">
        <v>434</v>
      </c>
      <c r="C56" s="7">
        <v>1566</v>
      </c>
      <c r="D56" s="8">
        <v>2000</v>
      </c>
      <c r="F56" s="32"/>
      <c r="G56" s="16"/>
      <c r="I56" s="6"/>
    </row>
    <row r="57" spans="1:9" ht="15" thickBot="1" x14ac:dyDescent="0.35">
      <c r="A57" s="10"/>
      <c r="B57" s="7"/>
      <c r="C57" s="7"/>
      <c r="D57" s="7"/>
      <c r="E57" s="7"/>
      <c r="F57" s="7"/>
      <c r="G57" s="7"/>
      <c r="H57" s="7"/>
      <c r="I57" s="8"/>
    </row>
    <row r="61" spans="1:9" ht="15" thickBot="1" x14ac:dyDescent="0.35"/>
    <row r="62" spans="1:9" ht="15" thickBot="1" x14ac:dyDescent="0.35">
      <c r="A62" s="40" t="s">
        <v>2064</v>
      </c>
      <c r="B62" s="45"/>
      <c r="C62" s="45"/>
      <c r="D62" s="45"/>
      <c r="E62" s="2"/>
      <c r="F62" s="2"/>
      <c r="G62" s="2"/>
      <c r="H62" s="3"/>
    </row>
    <row r="63" spans="1:9" ht="15" thickBot="1" x14ac:dyDescent="0.35">
      <c r="A63" s="11" t="s">
        <v>2032</v>
      </c>
      <c r="B63" s="11" t="s">
        <v>2033</v>
      </c>
      <c r="C63" s="12"/>
      <c r="D63" s="13"/>
      <c r="H63" s="6"/>
    </row>
    <row r="64" spans="1:9" ht="15" thickBot="1" x14ac:dyDescent="0.35">
      <c r="A64" s="11" t="s">
        <v>2030</v>
      </c>
      <c r="B64" s="12" t="s">
        <v>2038</v>
      </c>
      <c r="C64" s="13" t="s">
        <v>2039</v>
      </c>
      <c r="D64" s="14" t="s">
        <v>2031</v>
      </c>
      <c r="F64" s="38" t="s">
        <v>2046</v>
      </c>
      <c r="G64" s="44"/>
      <c r="H64" s="6"/>
    </row>
    <row r="65" spans="1:8" x14ac:dyDescent="0.3">
      <c r="A65" s="18">
        <v>-2</v>
      </c>
      <c r="B65" s="9">
        <v>15</v>
      </c>
      <c r="C65" s="2">
        <v>151</v>
      </c>
      <c r="D65" s="3">
        <v>166</v>
      </c>
      <c r="F65" s="21">
        <v>-2</v>
      </c>
      <c r="G65" s="22">
        <f>GETPIVOTDATA("ID",$A$63,"PAY_1",-2,"Defaulter/ Not Defaluter","Defaulter")/GETPIVOTDATA("ID",$A$63,"PAY_1",-2)</f>
        <v>9.036144578313253E-2</v>
      </c>
      <c r="H65" s="6"/>
    </row>
    <row r="66" spans="1:8" x14ac:dyDescent="0.3">
      <c r="A66" s="20">
        <v>-1</v>
      </c>
      <c r="B66" s="31">
        <v>77</v>
      </c>
      <c r="C66">
        <v>350</v>
      </c>
      <c r="D66" s="6">
        <v>427</v>
      </c>
      <c r="F66" s="21">
        <v>-1</v>
      </c>
      <c r="G66" s="22">
        <f>GETPIVOTDATA("ID",$A$63,"PAY_1",-1,"Defaulter/ Not Defaluter","Defaulter")/GETPIVOTDATA("ID",$A$63,"PAY_1",-1)</f>
        <v>0.18032786885245902</v>
      </c>
      <c r="H66" s="6"/>
    </row>
    <row r="67" spans="1:8" x14ac:dyDescent="0.3">
      <c r="A67" s="20">
        <v>0</v>
      </c>
      <c r="B67" s="31">
        <v>128</v>
      </c>
      <c r="C67">
        <v>825</v>
      </c>
      <c r="D67" s="6">
        <v>953</v>
      </c>
      <c r="F67" s="21">
        <v>0</v>
      </c>
      <c r="G67" s="22">
        <f>GETPIVOTDATA("ID",$A$63,"PAY_1",0,"Defaulter/ Not Defaluter","Defaulter")/GETPIVOTDATA("ID",$A$63,"PAY_1",0)</f>
        <v>0.13431269674711438</v>
      </c>
      <c r="H67" s="6"/>
    </row>
    <row r="68" spans="1:8" x14ac:dyDescent="0.3">
      <c r="A68" s="20">
        <v>1</v>
      </c>
      <c r="B68" s="31">
        <v>93</v>
      </c>
      <c r="C68">
        <v>165</v>
      </c>
      <c r="D68" s="6">
        <v>258</v>
      </c>
      <c r="F68" s="21">
        <v>1</v>
      </c>
      <c r="G68" s="22">
        <f>GETPIVOTDATA("ID",$A$63,"PAY_1",1,"Defaulter/ Not Defaluter","Defaulter")/GETPIVOTDATA("ID",$A$63,"PAY_1",1)</f>
        <v>0.36046511627906974</v>
      </c>
      <c r="H68" s="6"/>
    </row>
    <row r="69" spans="1:8" x14ac:dyDescent="0.3">
      <c r="A69" s="20">
        <v>2</v>
      </c>
      <c r="B69" s="31">
        <v>110</v>
      </c>
      <c r="C69">
        <v>62</v>
      </c>
      <c r="D69" s="6">
        <v>172</v>
      </c>
      <c r="F69" s="21">
        <v>2</v>
      </c>
      <c r="G69" s="22">
        <f>GETPIVOTDATA("ID",$A$63,"PAY_1",2,"Defaulter/ Not Defaluter","Defaulter")/GETPIVOTDATA("ID",$A$63,"PAY_1",2)</f>
        <v>0.63953488372093026</v>
      </c>
      <c r="H69" s="6"/>
    </row>
    <row r="70" spans="1:8" x14ac:dyDescent="0.3">
      <c r="A70" s="20">
        <v>3</v>
      </c>
      <c r="B70" s="31">
        <v>7</v>
      </c>
      <c r="C70">
        <v>9</v>
      </c>
      <c r="D70" s="6">
        <v>16</v>
      </c>
      <c r="F70" s="21">
        <v>3</v>
      </c>
      <c r="G70" s="22">
        <f>GETPIVOTDATA("ID",$A$63,"PAY_1",3,"Defaulter/ Not Defaluter","Defaulter")/GETPIVOTDATA("ID",$A$63,"PAY_1",3)</f>
        <v>0.4375</v>
      </c>
      <c r="H70" s="6"/>
    </row>
    <row r="71" spans="1:8" x14ac:dyDescent="0.3">
      <c r="A71" s="20">
        <v>4</v>
      </c>
      <c r="B71" s="31">
        <v>3</v>
      </c>
      <c r="C71">
        <v>1</v>
      </c>
      <c r="D71" s="6">
        <v>4</v>
      </c>
      <c r="F71" s="21">
        <v>4</v>
      </c>
      <c r="G71" s="22">
        <f>GETPIVOTDATA("ID",$A$63,"PAY_1",4,"Defaulter/ Not Defaluter","Defaulter")/GETPIVOTDATA("ID",$A$63,"PAY_1",4)</f>
        <v>0.75</v>
      </c>
      <c r="H71" s="6"/>
    </row>
    <row r="72" spans="1:8" ht="15" thickBot="1" x14ac:dyDescent="0.35">
      <c r="A72" s="19">
        <v>8</v>
      </c>
      <c r="B72" s="31">
        <v>1</v>
      </c>
      <c r="C72">
        <v>3</v>
      </c>
      <c r="D72" s="6">
        <v>4</v>
      </c>
      <c r="F72" s="23">
        <v>8</v>
      </c>
      <c r="G72" s="24">
        <f>GETPIVOTDATA("ID",$A$63,"PAY_1",8,"Defaulter/ Not Defaluter","Defaulter")/GETPIVOTDATA("ID",$A$63,"PAY_1",8)</f>
        <v>0.25</v>
      </c>
      <c r="H72" s="6"/>
    </row>
    <row r="73" spans="1:8" ht="15" thickBot="1" x14ac:dyDescent="0.35">
      <c r="A73" s="15" t="s">
        <v>2031</v>
      </c>
      <c r="B73" s="10">
        <v>434</v>
      </c>
      <c r="C73" s="7">
        <v>1566</v>
      </c>
      <c r="D73" s="8">
        <v>2000</v>
      </c>
      <c r="E73" s="7"/>
      <c r="F73" s="7"/>
      <c r="G73" s="7"/>
      <c r="H73" s="8"/>
    </row>
    <row r="74" spans="1:8" ht="15" thickBot="1" x14ac:dyDescent="0.35"/>
    <row r="75" spans="1:8" ht="15" thickBot="1" x14ac:dyDescent="0.35">
      <c r="A75" s="40" t="s">
        <v>2066</v>
      </c>
      <c r="B75" s="41"/>
      <c r="C75" s="41"/>
      <c r="D75" s="41"/>
      <c r="E75" s="2"/>
      <c r="F75" s="2"/>
      <c r="G75" s="2"/>
      <c r="H75" s="3"/>
    </row>
    <row r="76" spans="1:8" ht="15" thickBot="1" x14ac:dyDescent="0.35">
      <c r="A76" s="11" t="s">
        <v>2032</v>
      </c>
      <c r="B76" s="11" t="s">
        <v>2033</v>
      </c>
      <c r="C76" s="12"/>
      <c r="D76" s="13"/>
      <c r="H76" s="6"/>
    </row>
    <row r="77" spans="1:8" ht="15" thickBot="1" x14ac:dyDescent="0.35">
      <c r="A77" s="11" t="s">
        <v>2030</v>
      </c>
      <c r="B77" s="12" t="s">
        <v>2038</v>
      </c>
      <c r="C77" s="13" t="s">
        <v>2039</v>
      </c>
      <c r="D77" s="14" t="s">
        <v>2031</v>
      </c>
      <c r="F77" s="38" t="s">
        <v>2065</v>
      </c>
      <c r="G77" s="39"/>
      <c r="H77" s="6"/>
    </row>
    <row r="78" spans="1:8" x14ac:dyDescent="0.3">
      <c r="A78" s="18">
        <v>-2</v>
      </c>
      <c r="B78" s="9">
        <v>56</v>
      </c>
      <c r="C78" s="2">
        <v>194</v>
      </c>
      <c r="D78" s="3">
        <v>250</v>
      </c>
      <c r="F78" s="21">
        <v>-2</v>
      </c>
      <c r="G78" s="22">
        <f>GETPIVOTDATA("ID",$A$76,"PAY_2",-2,"Defaulter/ Not Defaluter","Defaulter")/GETPIVOTDATA("ID",$A$76,"PAY_2",-2)</f>
        <v>0.224</v>
      </c>
      <c r="H78" s="6"/>
    </row>
    <row r="79" spans="1:8" x14ac:dyDescent="0.3">
      <c r="A79" s="20">
        <v>-1</v>
      </c>
      <c r="B79" s="31">
        <v>72</v>
      </c>
      <c r="C79">
        <v>364</v>
      </c>
      <c r="D79" s="6">
        <v>436</v>
      </c>
      <c r="F79" s="21">
        <v>-1</v>
      </c>
      <c r="G79" s="22">
        <f>GETPIVOTDATA("ID",$A$76,"PAY_2",-1,"Defaulter/ Not Defaluter","Defaulter")/GETPIVOTDATA("ID",$A$76,"PAY_2",-1)</f>
        <v>0.16513761467889909</v>
      </c>
      <c r="H79" s="6"/>
    </row>
    <row r="80" spans="1:8" x14ac:dyDescent="0.3">
      <c r="A80" s="20">
        <v>0</v>
      </c>
      <c r="B80" s="31">
        <v>167</v>
      </c>
      <c r="C80">
        <v>865</v>
      </c>
      <c r="D80" s="6">
        <v>1032</v>
      </c>
      <c r="F80" s="21">
        <v>0</v>
      </c>
      <c r="G80" s="22">
        <f>GETPIVOTDATA("ID",$A$76,"PAY_2",0,"Defaulter/ Not Defaluter","Defaulter")/GETPIVOTDATA("ID",$A$76,"PAY_2",0)</f>
        <v>0.1618217054263566</v>
      </c>
      <c r="H80" s="6"/>
    </row>
    <row r="81" spans="1:8" x14ac:dyDescent="0.3">
      <c r="A81" s="20">
        <v>1</v>
      </c>
      <c r="B81" s="31"/>
      <c r="C81">
        <v>2</v>
      </c>
      <c r="D81" s="6">
        <v>2</v>
      </c>
      <c r="F81" s="21">
        <v>1</v>
      </c>
      <c r="G81" s="22">
        <f>GETPIVOTDATA("ID",$A$76,"PAY_2",1,"Defaulter/ Not Defaluter","Defaulter")/GETPIVOTDATA("ID",$A$76,"PAY_2",1)</f>
        <v>0</v>
      </c>
      <c r="H81" s="6"/>
    </row>
    <row r="82" spans="1:8" x14ac:dyDescent="0.3">
      <c r="A82" s="20">
        <v>2</v>
      </c>
      <c r="B82" s="31">
        <v>125</v>
      </c>
      <c r="C82">
        <v>130</v>
      </c>
      <c r="D82" s="6">
        <v>255</v>
      </c>
      <c r="F82" s="21">
        <v>2</v>
      </c>
      <c r="G82" s="22">
        <f>GETPIVOTDATA("ID",$A$76,"PAY_2",2,"Defaulter/ Not Defaluter","Defaulter")/GETPIVOTDATA("ID",$A$76,"PAY_2",2)</f>
        <v>0.49019607843137253</v>
      </c>
      <c r="H82" s="6"/>
    </row>
    <row r="83" spans="1:8" x14ac:dyDescent="0.3">
      <c r="A83" s="20">
        <v>3</v>
      </c>
      <c r="B83" s="31">
        <v>10</v>
      </c>
      <c r="C83">
        <v>7</v>
      </c>
      <c r="D83" s="6">
        <v>17</v>
      </c>
      <c r="F83" s="21">
        <v>3</v>
      </c>
      <c r="G83" s="22">
        <f>GETPIVOTDATA("ID",$A$76,"PAY_2",3,"Defaulter/ Not Defaluter","Defaulter")/GETPIVOTDATA("ID",$A$76,"PAY_2",3)</f>
        <v>0.58823529411764708</v>
      </c>
      <c r="H83" s="6"/>
    </row>
    <row r="84" spans="1:8" x14ac:dyDescent="0.3">
      <c r="A84" s="20">
        <v>4</v>
      </c>
      <c r="B84" s="31">
        <v>2</v>
      </c>
      <c r="D84" s="6">
        <v>2</v>
      </c>
      <c r="F84" s="21">
        <v>4</v>
      </c>
      <c r="G84" s="22">
        <f>GETPIVOTDATA("ID",$A$76,"PAY_2",4,"Defaulter/ Not Defaluter","Defaulter")/GETPIVOTDATA("ID",$A$76,"PAY_2",4)</f>
        <v>1</v>
      </c>
      <c r="H84" s="6"/>
    </row>
    <row r="85" spans="1:8" x14ac:dyDescent="0.3">
      <c r="A85" s="20">
        <v>5</v>
      </c>
      <c r="B85" s="31"/>
      <c r="C85">
        <v>1</v>
      </c>
      <c r="D85" s="6">
        <v>1</v>
      </c>
      <c r="F85" s="21">
        <v>5</v>
      </c>
      <c r="G85" s="22">
        <f>GETPIVOTDATA("ID",$A$76,"PAY_2",5,"Defaulter/ Not Defaluter","Defaulter")/GETPIVOTDATA("ID",$A$76,"PAY_2",5)</f>
        <v>0</v>
      </c>
      <c r="H85" s="6"/>
    </row>
    <row r="86" spans="1:8" x14ac:dyDescent="0.3">
      <c r="A86" s="20">
        <v>6</v>
      </c>
      <c r="B86" s="31">
        <v>1</v>
      </c>
      <c r="D86" s="6">
        <v>1</v>
      </c>
      <c r="F86" s="21">
        <v>6</v>
      </c>
      <c r="G86" s="22">
        <f>GETPIVOTDATA("ID",$A$76,"PAY_2",6,"Defaulter/ Not Defaluter","Defaulter")/GETPIVOTDATA("ID",$A$76,"PAY_2",6)</f>
        <v>1</v>
      </c>
      <c r="H86" s="6"/>
    </row>
    <row r="87" spans="1:8" ht="15" thickBot="1" x14ac:dyDescent="0.35">
      <c r="A87" s="19">
        <v>7</v>
      </c>
      <c r="B87" s="31">
        <v>1</v>
      </c>
      <c r="C87">
        <v>3</v>
      </c>
      <c r="D87" s="6">
        <v>4</v>
      </c>
      <c r="F87" s="23">
        <v>7</v>
      </c>
      <c r="G87" s="24">
        <f>GETPIVOTDATA("ID",$A$76,"PAY_2",7,"Defaulter/ Not Defaluter","Defaulter")/GETPIVOTDATA("ID",$A$76,"PAY_2",7)</f>
        <v>0.25</v>
      </c>
      <c r="H87" s="6"/>
    </row>
    <row r="88" spans="1:8" ht="15" thickBot="1" x14ac:dyDescent="0.35">
      <c r="A88" s="15" t="s">
        <v>2031</v>
      </c>
      <c r="B88" s="10">
        <v>434</v>
      </c>
      <c r="C88" s="7">
        <v>1566</v>
      </c>
      <c r="D88" s="8">
        <v>2000</v>
      </c>
      <c r="E88" s="7"/>
      <c r="F88" s="7"/>
      <c r="G88" s="7"/>
      <c r="H88" s="8"/>
    </row>
    <row r="89" spans="1:8" ht="15" thickBot="1" x14ac:dyDescent="0.35"/>
    <row r="90" spans="1:8" ht="15" thickBot="1" x14ac:dyDescent="0.35">
      <c r="A90" s="42" t="s">
        <v>2068</v>
      </c>
      <c r="B90" s="43"/>
      <c r="C90" s="43"/>
      <c r="D90" s="43"/>
      <c r="E90" s="2"/>
      <c r="F90" s="2"/>
      <c r="G90" s="2"/>
      <c r="H90" s="3"/>
    </row>
    <row r="91" spans="1:8" ht="15" thickBot="1" x14ac:dyDescent="0.35">
      <c r="A91" s="11" t="s">
        <v>2032</v>
      </c>
      <c r="B91" s="11" t="s">
        <v>2033</v>
      </c>
      <c r="C91" s="12"/>
      <c r="D91" s="13"/>
      <c r="H91" s="6"/>
    </row>
    <row r="92" spans="1:8" ht="15" thickBot="1" x14ac:dyDescent="0.35">
      <c r="A92" s="11" t="s">
        <v>2030</v>
      </c>
      <c r="B92" s="12" t="s">
        <v>2038</v>
      </c>
      <c r="C92" s="13" t="s">
        <v>2039</v>
      </c>
      <c r="D92" s="14" t="s">
        <v>2031</v>
      </c>
      <c r="F92" s="38" t="s">
        <v>2067</v>
      </c>
      <c r="G92" s="39"/>
      <c r="H92" s="6"/>
    </row>
    <row r="93" spans="1:8" x14ac:dyDescent="0.3">
      <c r="A93" s="18">
        <v>-2</v>
      </c>
      <c r="B93" s="9">
        <v>54</v>
      </c>
      <c r="C93" s="2">
        <v>218</v>
      </c>
      <c r="D93" s="3">
        <v>272</v>
      </c>
      <c r="F93" s="21">
        <v>-2</v>
      </c>
      <c r="G93" s="22">
        <f>GETPIVOTDATA("ID",$A$91,"PAY_3",-2,"Defaulter/ Not Defaluter","Defaulter")/GETPIVOTDATA("ID",$A$91,"PAY_3",-2)</f>
        <v>0.19852941176470587</v>
      </c>
      <c r="H93" s="6"/>
    </row>
    <row r="94" spans="1:8" x14ac:dyDescent="0.3">
      <c r="A94" s="20">
        <v>-1</v>
      </c>
      <c r="B94" s="31">
        <v>74</v>
      </c>
      <c r="C94">
        <v>362</v>
      </c>
      <c r="D94" s="6">
        <v>436</v>
      </c>
      <c r="F94" s="21">
        <v>-1</v>
      </c>
      <c r="G94" s="22">
        <f>GETPIVOTDATA("ID",$A$91,"PAY_3",-1,"Defaulter/ Not Defaluter","Defaulter")/GETPIVOTDATA("ID",$A$91,"PAY_3",-1)</f>
        <v>0.16972477064220184</v>
      </c>
      <c r="H94" s="6"/>
    </row>
    <row r="95" spans="1:8" x14ac:dyDescent="0.3">
      <c r="A95" s="20">
        <v>0</v>
      </c>
      <c r="B95" s="31">
        <v>172</v>
      </c>
      <c r="C95">
        <v>843</v>
      </c>
      <c r="D95" s="6">
        <v>1015</v>
      </c>
      <c r="F95" s="21">
        <v>0</v>
      </c>
      <c r="G95" s="22">
        <f>GETPIVOTDATA("ID",$A$91,"PAY_3",0,"Defaulter/ Not Defaluter","Defaulter")/GETPIVOTDATA("ID",$A$91,"PAY_3",0)</f>
        <v>0.16945812807881774</v>
      </c>
      <c r="H95" s="6"/>
    </row>
    <row r="96" spans="1:8" x14ac:dyDescent="0.3">
      <c r="A96" s="20">
        <v>1</v>
      </c>
      <c r="B96" s="31"/>
      <c r="C96">
        <v>2</v>
      </c>
      <c r="D96" s="6">
        <v>2</v>
      </c>
      <c r="F96" s="21">
        <v>1</v>
      </c>
      <c r="G96" s="22">
        <f>GETPIVOTDATA("ID",$A$91,"PAY_3",1,"Defaulter/ Not Defaluter","Defaulter")/GETPIVOTDATA("ID",$A$91,"PAY_3",1)</f>
        <v>0</v>
      </c>
      <c r="H96" s="6"/>
    </row>
    <row r="97" spans="1:8" x14ac:dyDescent="0.3">
      <c r="A97" s="20">
        <v>2</v>
      </c>
      <c r="B97" s="31">
        <v>119</v>
      </c>
      <c r="C97">
        <v>128</v>
      </c>
      <c r="D97" s="6">
        <v>247</v>
      </c>
      <c r="F97" s="21">
        <v>2</v>
      </c>
      <c r="G97" s="22">
        <f>GETPIVOTDATA("ID",$A$91,"PAY_3",2,"Defaulter/ Not Defaluter","Defaulter")/GETPIVOTDATA("ID",$A$91,"PAY_3",2)</f>
        <v>0.48178137651821862</v>
      </c>
      <c r="H97" s="6"/>
    </row>
    <row r="98" spans="1:8" x14ac:dyDescent="0.3">
      <c r="A98" s="20">
        <v>3</v>
      </c>
      <c r="B98" s="31">
        <v>3</v>
      </c>
      <c r="C98">
        <v>4</v>
      </c>
      <c r="D98" s="6">
        <v>7</v>
      </c>
      <c r="F98" s="21">
        <v>3</v>
      </c>
      <c r="G98" s="22">
        <f>GETPIVOTDATA("ID",$A$91,"PAY_3",3,"Defaulter/ Not Defaluter","Defaulter")/GETPIVOTDATA("ID",$A$91,"PAY_3",3)</f>
        <v>0.42857142857142855</v>
      </c>
      <c r="H98" s="6"/>
    </row>
    <row r="99" spans="1:8" x14ac:dyDescent="0.3">
      <c r="A99" s="20">
        <v>4</v>
      </c>
      <c r="B99" s="31">
        <v>3</v>
      </c>
      <c r="C99">
        <v>4</v>
      </c>
      <c r="D99" s="6">
        <v>7</v>
      </c>
      <c r="F99" s="21">
        <v>4</v>
      </c>
      <c r="G99" s="22">
        <f>GETPIVOTDATA("ID",$A$91,"PAY_3",4,"Defaulter/ Not Defaluter","Defaulter")/GETPIVOTDATA("ID",$A$91,"PAY_3",4)</f>
        <v>0.42857142857142855</v>
      </c>
      <c r="H99" s="6"/>
    </row>
    <row r="100" spans="1:8" x14ac:dyDescent="0.3">
      <c r="A100" s="20">
        <v>5</v>
      </c>
      <c r="B100" s="31">
        <v>2</v>
      </c>
      <c r="C100">
        <v>2</v>
      </c>
      <c r="D100" s="6">
        <v>4</v>
      </c>
      <c r="F100" s="21">
        <v>5</v>
      </c>
      <c r="G100" s="22">
        <f>GETPIVOTDATA("ID",$A$91,"PAY_3",5,"Defaulter/ Not Defaluter","Defaulter")/GETPIVOTDATA("ID",$A$91,"PAY_3",5)</f>
        <v>0.5</v>
      </c>
      <c r="H100" s="6"/>
    </row>
    <row r="101" spans="1:8" x14ac:dyDescent="0.3">
      <c r="A101" s="20">
        <v>6</v>
      </c>
      <c r="B101" s="31">
        <v>1</v>
      </c>
      <c r="C101">
        <v>3</v>
      </c>
      <c r="D101" s="6">
        <v>4</v>
      </c>
      <c r="F101" s="21">
        <v>6</v>
      </c>
      <c r="G101" s="22">
        <f>GETPIVOTDATA("ID",$A$91,"PAY_3",6,"Defaulter/ Not Defaluter","Defaulter")/GETPIVOTDATA("ID",$A$91,"PAY_3",6)</f>
        <v>0.25</v>
      </c>
      <c r="H101" s="6"/>
    </row>
    <row r="102" spans="1:8" ht="15" thickBot="1" x14ac:dyDescent="0.35">
      <c r="A102" s="19">
        <v>7</v>
      </c>
      <c r="B102" s="31">
        <v>6</v>
      </c>
      <c r="D102" s="6">
        <v>6</v>
      </c>
      <c r="F102" s="23">
        <v>7</v>
      </c>
      <c r="G102" s="24">
        <f>GETPIVOTDATA("ID",$A$91,"PAY_3",7,"Defaulter/ Not Defaluter","Defaulter")/GETPIVOTDATA("ID",$A$91,"PAY_3",7)</f>
        <v>1</v>
      </c>
      <c r="H102" s="6"/>
    </row>
    <row r="103" spans="1:8" ht="15" thickBot="1" x14ac:dyDescent="0.35">
      <c r="A103" s="15" t="s">
        <v>2031</v>
      </c>
      <c r="B103" s="10">
        <v>434</v>
      </c>
      <c r="C103" s="7">
        <v>1566</v>
      </c>
      <c r="D103" s="8">
        <v>2000</v>
      </c>
      <c r="E103" s="7"/>
      <c r="F103" s="7"/>
      <c r="G103" s="7"/>
      <c r="H103" s="8"/>
    </row>
    <row r="104" spans="1:8" ht="15" thickBot="1" x14ac:dyDescent="0.35"/>
    <row r="105" spans="1:8" ht="15" thickBot="1" x14ac:dyDescent="0.35">
      <c r="A105" s="40" t="s">
        <v>2069</v>
      </c>
      <c r="B105" s="41"/>
      <c r="C105" s="41"/>
      <c r="D105" s="41"/>
      <c r="E105" s="2"/>
      <c r="F105" s="2"/>
      <c r="G105" s="2"/>
      <c r="H105" s="3"/>
    </row>
    <row r="106" spans="1:8" ht="15" thickBot="1" x14ac:dyDescent="0.35">
      <c r="A106" s="11" t="s">
        <v>2032</v>
      </c>
      <c r="B106" s="11" t="s">
        <v>2033</v>
      </c>
      <c r="C106" s="12"/>
      <c r="D106" s="13"/>
      <c r="H106" s="6"/>
    </row>
    <row r="107" spans="1:8" ht="15" thickBot="1" x14ac:dyDescent="0.35">
      <c r="A107" s="11" t="s">
        <v>2030</v>
      </c>
      <c r="B107" s="12" t="s">
        <v>2038</v>
      </c>
      <c r="C107" s="13" t="s">
        <v>2039</v>
      </c>
      <c r="D107" s="14" t="s">
        <v>2031</v>
      </c>
      <c r="F107" s="38" t="s">
        <v>2067</v>
      </c>
      <c r="G107" s="39"/>
      <c r="H107" s="6"/>
    </row>
    <row r="108" spans="1:8" x14ac:dyDescent="0.3">
      <c r="A108" s="18">
        <v>-2</v>
      </c>
      <c r="B108" s="9">
        <v>62</v>
      </c>
      <c r="C108" s="2">
        <v>248</v>
      </c>
      <c r="D108" s="3">
        <v>310</v>
      </c>
      <c r="F108" s="21">
        <v>-2</v>
      </c>
      <c r="G108" s="22">
        <f xml:space="preserve"> GETPIVOTDATA("ID",$A$106,"PAY_4",-2,"Defaulter/ Not Defaluter","Defaulter")/GETPIVOTDATA("ID",$A$106,"PAY_4",-2)</f>
        <v>0.2</v>
      </c>
      <c r="H108" s="6"/>
    </row>
    <row r="109" spans="1:8" x14ac:dyDescent="0.3">
      <c r="A109" s="20">
        <v>-1</v>
      </c>
      <c r="B109" s="31">
        <v>70</v>
      </c>
      <c r="C109">
        <v>337</v>
      </c>
      <c r="D109" s="6">
        <v>407</v>
      </c>
      <c r="F109" s="21">
        <v>-1</v>
      </c>
      <c r="G109" s="22">
        <f>GETPIVOTDATA("ID",$A$106,"PAY_4",-1,"Defaulter/ Not Defaluter","Defaulter")/GETPIVOTDATA("ID",$A$106,"PAY_4",-1)</f>
        <v>0.171990171990172</v>
      </c>
      <c r="H109" s="6"/>
    </row>
    <row r="110" spans="1:8" x14ac:dyDescent="0.3">
      <c r="A110" s="20">
        <v>0</v>
      </c>
      <c r="B110" s="31">
        <v>206</v>
      </c>
      <c r="C110">
        <v>871</v>
      </c>
      <c r="D110" s="6">
        <v>1077</v>
      </c>
      <c r="F110" s="21">
        <v>0</v>
      </c>
      <c r="G110" s="22">
        <f>GETPIVOTDATA("ID",$A$106,"PAY_4",0,"Defaulter/ Not Defaluter","Defaulter")/GETPIVOTDATA("ID",$A$106,"PAY_4",0)</f>
        <v>0.19127205199628597</v>
      </c>
      <c r="H110" s="6"/>
    </row>
    <row r="111" spans="1:8" x14ac:dyDescent="0.3">
      <c r="A111" s="20">
        <v>2</v>
      </c>
      <c r="B111" s="31">
        <v>76</v>
      </c>
      <c r="C111">
        <v>96</v>
      </c>
      <c r="D111" s="6">
        <v>172</v>
      </c>
      <c r="F111" s="21">
        <v>2</v>
      </c>
      <c r="G111" s="22">
        <f>GETPIVOTDATA("ID",$A$106,"PAY_4",2,"Defaulter/ Not Defaluter","Defaulter")/GETPIVOTDATA("ID",$A$106,"PAY_4",2)</f>
        <v>0.44186046511627908</v>
      </c>
      <c r="H111" s="6"/>
    </row>
    <row r="112" spans="1:8" x14ac:dyDescent="0.3">
      <c r="A112" s="20">
        <v>3</v>
      </c>
      <c r="B112" s="31">
        <v>10</v>
      </c>
      <c r="C112">
        <v>7</v>
      </c>
      <c r="D112" s="6">
        <v>17</v>
      </c>
      <c r="F112" s="21">
        <v>3</v>
      </c>
      <c r="G112" s="22">
        <f>GETPIVOTDATA("ID",$A$106,"PAY_4",3,"Defaulter/ Not Defaluter","Defaulter")/GETPIVOTDATA("ID",$A$106,"PAY_4",3)</f>
        <v>0.58823529411764708</v>
      </c>
      <c r="H112" s="6"/>
    </row>
    <row r="113" spans="1:8" x14ac:dyDescent="0.3">
      <c r="A113" s="20">
        <v>4</v>
      </c>
      <c r="B113" s="31">
        <v>2</v>
      </c>
      <c r="C113">
        <v>3</v>
      </c>
      <c r="D113" s="6">
        <v>5</v>
      </c>
      <c r="F113" s="21">
        <v>4</v>
      </c>
      <c r="G113" s="22">
        <f>GETPIVOTDATA("ID",$A$106,"PAY_4",4,"Defaulter/ Not Defaluter","Defaulter")/GETPIVOTDATA("ID",$A$106,"PAY_4",4)</f>
        <v>0.4</v>
      </c>
      <c r="H113" s="6"/>
    </row>
    <row r="114" spans="1:8" x14ac:dyDescent="0.3">
      <c r="A114" s="20">
        <v>5</v>
      </c>
      <c r="B114" s="31">
        <v>2</v>
      </c>
      <c r="C114">
        <v>4</v>
      </c>
      <c r="D114" s="6">
        <v>6</v>
      </c>
      <c r="F114" s="21">
        <v>5</v>
      </c>
      <c r="G114" s="22">
        <f>GETPIVOTDATA("ID",$A$106,"PAY_4",5,"Defaulter/ Not Defaluter","Defaulter")/GETPIVOTDATA("ID",$A$106,"PAY_4",5)</f>
        <v>0.33333333333333331</v>
      </c>
      <c r="H114" s="6"/>
    </row>
    <row r="115" spans="1:8" x14ac:dyDescent="0.3">
      <c r="A115" s="20">
        <v>6</v>
      </c>
      <c r="B115" s="31">
        <v>1</v>
      </c>
      <c r="D115" s="6">
        <v>1</v>
      </c>
      <c r="F115" s="21">
        <v>6</v>
      </c>
      <c r="G115" s="22">
        <f>GETPIVOTDATA("ID",$A$106,"PAY_4",6,"Defaulter/ Not Defaluter","Defaulter")/GETPIVOTDATA("ID",$A$106,"PAY_4",6)</f>
        <v>1</v>
      </c>
      <c r="H115" s="6"/>
    </row>
    <row r="116" spans="1:8" ht="15" thickBot="1" x14ac:dyDescent="0.35">
      <c r="A116" s="19">
        <v>7</v>
      </c>
      <c r="B116" s="31">
        <v>5</v>
      </c>
      <c r="D116" s="6">
        <v>5</v>
      </c>
      <c r="F116" s="23">
        <v>7</v>
      </c>
      <c r="G116" s="24">
        <f>GETPIVOTDATA("ID",$A$106,"PAY_4",7,"Defaulter/ Not Defaluter","Defaulter")/GETPIVOTDATA("ID",$A$106,"PAY_4",7)</f>
        <v>1</v>
      </c>
      <c r="H116" s="6"/>
    </row>
    <row r="117" spans="1:8" ht="15" thickBot="1" x14ac:dyDescent="0.35">
      <c r="A117" s="15" t="s">
        <v>2031</v>
      </c>
      <c r="B117" s="10">
        <v>434</v>
      </c>
      <c r="C117" s="7">
        <v>1566</v>
      </c>
      <c r="D117" s="8">
        <v>2000</v>
      </c>
      <c r="E117" s="7"/>
      <c r="F117" s="7"/>
      <c r="G117" s="7"/>
      <c r="H117" s="8"/>
    </row>
    <row r="118" spans="1:8" ht="15" thickBot="1" x14ac:dyDescent="0.35"/>
    <row r="119" spans="1:8" ht="15" thickBot="1" x14ac:dyDescent="0.35">
      <c r="A119" s="40" t="s">
        <v>2070</v>
      </c>
      <c r="B119" s="41"/>
      <c r="C119" s="41"/>
      <c r="D119" s="41"/>
      <c r="E119" s="2"/>
      <c r="F119" s="2"/>
      <c r="G119" s="2"/>
      <c r="H119" s="3"/>
    </row>
    <row r="120" spans="1:8" ht="15" thickBot="1" x14ac:dyDescent="0.35">
      <c r="A120" s="11" t="s">
        <v>2032</v>
      </c>
      <c r="B120" s="11" t="s">
        <v>2033</v>
      </c>
      <c r="C120" s="12"/>
      <c r="D120" s="13"/>
      <c r="H120" s="6"/>
    </row>
    <row r="121" spans="1:8" ht="15" thickBot="1" x14ac:dyDescent="0.35">
      <c r="A121" s="34" t="s">
        <v>2030</v>
      </c>
      <c r="B121" s="12" t="s">
        <v>2038</v>
      </c>
      <c r="C121" s="13" t="s">
        <v>2039</v>
      </c>
      <c r="D121" s="14" t="s">
        <v>2031</v>
      </c>
      <c r="F121" s="38" t="s">
        <v>2067</v>
      </c>
      <c r="G121" s="39"/>
      <c r="H121" s="6"/>
    </row>
    <row r="122" spans="1:8" x14ac:dyDescent="0.3">
      <c r="A122" s="5">
        <v>-2</v>
      </c>
      <c r="B122" s="9">
        <v>62</v>
      </c>
      <c r="C122" s="2">
        <v>248</v>
      </c>
      <c r="D122" s="3">
        <v>310</v>
      </c>
      <c r="F122" s="5">
        <v>-2</v>
      </c>
      <c r="G122" s="22">
        <f>GETPIVOTDATA("ID",$A$120,"PAY_5",-2,"Defaulter/ Not Defaluter","Defaulter")/GETPIVOTDATA("ID",$A$120,"PAY_5",-2)</f>
        <v>0.2</v>
      </c>
      <c r="H122" s="6"/>
    </row>
    <row r="123" spans="1:8" x14ac:dyDescent="0.3">
      <c r="A123" s="5">
        <v>-1</v>
      </c>
      <c r="B123" s="31">
        <v>73</v>
      </c>
      <c r="C123">
        <v>333</v>
      </c>
      <c r="D123" s="6">
        <v>406</v>
      </c>
      <c r="F123" s="5">
        <v>-1</v>
      </c>
      <c r="G123" s="22">
        <f>GETPIVOTDATA("ID",$A$120,"PAY_5",-1,"Defaulter/ Not Defaluter","Defaulter")/GETPIVOTDATA("ID",$A$120,"PAY_5",-1)</f>
        <v>0.17980295566502463</v>
      </c>
      <c r="H123" s="6"/>
    </row>
    <row r="124" spans="1:8" x14ac:dyDescent="0.3">
      <c r="A124" s="5">
        <v>0</v>
      </c>
      <c r="B124" s="31">
        <v>199</v>
      </c>
      <c r="C124">
        <v>883</v>
      </c>
      <c r="D124" s="6">
        <v>1082</v>
      </c>
      <c r="F124" s="5">
        <v>0</v>
      </c>
      <c r="G124" s="22">
        <f>GETPIVOTDATA("ID",$A$120,"PAY_5",0,"Defaulter/ Not Defaluter","Defaulter")/GETPIVOTDATA("ID",$A$120,"PAY_5",0)</f>
        <v>0.18391866913123844</v>
      </c>
      <c r="H124" s="6"/>
    </row>
    <row r="125" spans="1:8" x14ac:dyDescent="0.3">
      <c r="A125" s="5">
        <v>2</v>
      </c>
      <c r="B125" s="31">
        <v>83</v>
      </c>
      <c r="C125">
        <v>92</v>
      </c>
      <c r="D125" s="6">
        <v>175</v>
      </c>
      <c r="F125" s="5">
        <v>2</v>
      </c>
      <c r="G125" s="22">
        <f>GETPIVOTDATA("ID",$A$120,"PAY_5",2,"Defaulter/ Not Defaluter","Defaulter")/GETPIVOTDATA("ID",$A$120,"PAY_5",2)</f>
        <v>0.47428571428571431</v>
      </c>
      <c r="H125" s="6"/>
    </row>
    <row r="126" spans="1:8" x14ac:dyDescent="0.3">
      <c r="A126" s="5">
        <v>3</v>
      </c>
      <c r="B126" s="31">
        <v>7</v>
      </c>
      <c r="C126">
        <v>3</v>
      </c>
      <c r="D126" s="6">
        <v>10</v>
      </c>
      <c r="F126" s="5">
        <v>3</v>
      </c>
      <c r="G126" s="22">
        <f>GETPIVOTDATA("ID",$A$120,"PAY_5",3,"Defaulter/ Not Defaluter","Defaulter")/GETPIVOTDATA("ID",$A$120,"PAY_5",3)</f>
        <v>0.7</v>
      </c>
      <c r="H126" s="6"/>
    </row>
    <row r="127" spans="1:8" x14ac:dyDescent="0.3">
      <c r="A127" s="5">
        <v>4</v>
      </c>
      <c r="B127" s="31">
        <v>3</v>
      </c>
      <c r="C127">
        <v>7</v>
      </c>
      <c r="D127" s="6">
        <v>10</v>
      </c>
      <c r="F127" s="5">
        <v>4</v>
      </c>
      <c r="G127" s="22">
        <f>GETPIVOTDATA("ID",$A$120,"PAY_5",4,"Defaulter/ Not Defaluter","Defaulter")/GETPIVOTDATA("ID",$A$120,"PAY_5",4)</f>
        <v>0.3</v>
      </c>
      <c r="H127" s="6"/>
    </row>
    <row r="128" spans="1:8" x14ac:dyDescent="0.3">
      <c r="A128" s="5">
        <v>5</v>
      </c>
      <c r="B128" s="31">
        <v>1</v>
      </c>
      <c r="D128" s="6">
        <v>1</v>
      </c>
      <c r="F128" s="5">
        <v>5</v>
      </c>
      <c r="G128" s="22">
        <f>GETPIVOTDATA("ID",$A$120,"PAY_5",5,"Defaulter/ Not Defaluter","Defaulter")/GETPIVOTDATA("ID",$A$120,"PAY_5",5)</f>
        <v>1</v>
      </c>
      <c r="H128" s="6"/>
    </row>
    <row r="129" spans="1:8" ht="15" thickBot="1" x14ac:dyDescent="0.35">
      <c r="A129" s="30">
        <v>7</v>
      </c>
      <c r="B129" s="31">
        <v>6</v>
      </c>
      <c r="D129" s="6">
        <v>6</v>
      </c>
      <c r="F129" s="30">
        <v>7</v>
      </c>
      <c r="G129" s="24">
        <f>GETPIVOTDATA("ID",$A$120,"PAY_5",7,"Defaulter/ Not Defaluter","Defaulter")/GETPIVOTDATA("ID",$A$120,"PAY_5",7)</f>
        <v>1</v>
      </c>
      <c r="H129" s="6"/>
    </row>
    <row r="130" spans="1:8" ht="15" thickBot="1" x14ac:dyDescent="0.35">
      <c r="A130" s="15" t="s">
        <v>2031</v>
      </c>
      <c r="B130" s="10">
        <v>434</v>
      </c>
      <c r="C130" s="7">
        <v>1566</v>
      </c>
      <c r="D130" s="8">
        <v>2000</v>
      </c>
      <c r="E130" s="7"/>
      <c r="F130" s="33"/>
      <c r="G130" s="25"/>
      <c r="H130" s="8"/>
    </row>
    <row r="131" spans="1:8" ht="15" thickBot="1" x14ac:dyDescent="0.35"/>
    <row r="132" spans="1:8" ht="15" thickBot="1" x14ac:dyDescent="0.35">
      <c r="A132" s="40" t="s">
        <v>2071</v>
      </c>
      <c r="B132" s="41"/>
      <c r="C132" s="41"/>
      <c r="D132" s="41"/>
      <c r="E132" s="2"/>
      <c r="F132" s="2"/>
      <c r="G132" s="2"/>
      <c r="H132" s="3"/>
    </row>
    <row r="133" spans="1:8" ht="15" thickBot="1" x14ac:dyDescent="0.35">
      <c r="A133" s="11" t="s">
        <v>2032</v>
      </c>
      <c r="B133" s="11" t="s">
        <v>2033</v>
      </c>
      <c r="C133" s="12"/>
      <c r="D133" s="13"/>
      <c r="H133" s="6"/>
    </row>
    <row r="134" spans="1:8" ht="15" thickBot="1" x14ac:dyDescent="0.35">
      <c r="A134" s="11" t="s">
        <v>2030</v>
      </c>
      <c r="B134" s="12" t="s">
        <v>2038</v>
      </c>
      <c r="C134" s="13" t="s">
        <v>2039</v>
      </c>
      <c r="D134" s="14" t="s">
        <v>2031</v>
      </c>
      <c r="F134" s="38" t="s">
        <v>2067</v>
      </c>
      <c r="G134" s="39"/>
      <c r="H134" s="6"/>
    </row>
    <row r="135" spans="1:8" x14ac:dyDescent="0.3">
      <c r="A135" s="18">
        <v>-2</v>
      </c>
      <c r="B135" s="9">
        <v>73</v>
      </c>
      <c r="C135" s="2">
        <v>257</v>
      </c>
      <c r="D135" s="3">
        <v>330</v>
      </c>
      <c r="F135" s="21">
        <v>-2</v>
      </c>
      <c r="G135" s="22">
        <f>GETPIVOTDATA("ID",$A$133,"PAY_6",-2,"Defaulter/ Not Defaluter","Defaulter")/GETPIVOTDATA("ID",$A$133,"PAY_6",-2)</f>
        <v>0.22121212121212122</v>
      </c>
      <c r="H135" s="6"/>
    </row>
    <row r="136" spans="1:8" x14ac:dyDescent="0.3">
      <c r="A136" s="20">
        <v>-1</v>
      </c>
      <c r="B136" s="31">
        <v>81</v>
      </c>
      <c r="C136">
        <v>355</v>
      </c>
      <c r="D136" s="6">
        <v>436</v>
      </c>
      <c r="F136" s="21">
        <v>-1</v>
      </c>
      <c r="G136" s="22">
        <f>GETPIVOTDATA("ID",$A$133,"PAY_6",-1,"Defaulter/ Not Defaluter","Defaulter")/GETPIVOTDATA("ID",$A$133,"PAY_6",-1)</f>
        <v>0.18577981651376146</v>
      </c>
      <c r="H136" s="6"/>
    </row>
    <row r="137" spans="1:8" x14ac:dyDescent="0.3">
      <c r="A137" s="20">
        <v>0</v>
      </c>
      <c r="B137" s="31">
        <v>189</v>
      </c>
      <c r="C137">
        <v>831</v>
      </c>
      <c r="D137" s="6">
        <v>1020</v>
      </c>
      <c r="F137" s="21">
        <v>0</v>
      </c>
      <c r="G137" s="22">
        <f>GETPIVOTDATA("ID",$A$133,"PAY_6",0,"Defaulter/ Not Defaluter","Defaulter")/GETPIVOTDATA("ID",$A$133,"PAY_6",0)</f>
        <v>0.18529411764705883</v>
      </c>
      <c r="H137" s="6"/>
    </row>
    <row r="138" spans="1:8" x14ac:dyDescent="0.3">
      <c r="A138" s="20">
        <v>2</v>
      </c>
      <c r="B138" s="31">
        <v>76</v>
      </c>
      <c r="C138">
        <v>112</v>
      </c>
      <c r="D138" s="6">
        <v>188</v>
      </c>
      <c r="F138" s="21">
        <v>2</v>
      </c>
      <c r="G138" s="22">
        <f>GETPIVOTDATA("ID",$A$133,"PAY_6",2,"Defaulter/ Not Defaluter","Defaulter")/GETPIVOTDATA("ID",$A$133,"PAY_6",2)</f>
        <v>0.40425531914893614</v>
      </c>
      <c r="H138" s="6"/>
    </row>
    <row r="139" spans="1:8" x14ac:dyDescent="0.3">
      <c r="A139" s="20">
        <v>3</v>
      </c>
      <c r="B139" s="31">
        <v>7</v>
      </c>
      <c r="C139">
        <v>8</v>
      </c>
      <c r="D139" s="6">
        <v>15</v>
      </c>
      <c r="F139" s="21">
        <v>3</v>
      </c>
      <c r="G139" s="22">
        <f>GETPIVOTDATA("ID",$A$133,"PAY_6",3,"Defaulter/ Not Defaluter","Defaulter")/GETPIVOTDATA("ID",$A$133,"PAY_6",3)</f>
        <v>0.46666666666666667</v>
      </c>
      <c r="H139" s="6"/>
    </row>
    <row r="140" spans="1:8" x14ac:dyDescent="0.3">
      <c r="A140" s="20">
        <v>4</v>
      </c>
      <c r="B140" s="31">
        <v>1</v>
      </c>
      <c r="C140">
        <v>1</v>
      </c>
      <c r="D140" s="6">
        <v>2</v>
      </c>
      <c r="F140" s="21">
        <v>4</v>
      </c>
      <c r="G140" s="22">
        <f>GETPIVOTDATA("ID",$A$133,"PAY_6",4,"Defaulter/ Not Defaluter","Defaulter")/GETPIVOTDATA("ID",$A$133,"PAY_6",4)</f>
        <v>0.5</v>
      </c>
      <c r="H140" s="6"/>
    </row>
    <row r="141" spans="1:8" x14ac:dyDescent="0.3">
      <c r="A141" s="20">
        <v>6</v>
      </c>
      <c r="B141" s="31">
        <v>3</v>
      </c>
      <c r="C141">
        <v>2</v>
      </c>
      <c r="D141" s="6">
        <v>5</v>
      </c>
      <c r="F141" s="21">
        <v>6</v>
      </c>
      <c r="G141" s="22">
        <f>GETPIVOTDATA("ID",$A$133,"PAY_6",6,"Defaulter/ Not Defaluter","Defaulter")/GETPIVOTDATA("ID",$A$133,"PAY_6",6)</f>
        <v>0.6</v>
      </c>
      <c r="H141" s="6"/>
    </row>
    <row r="142" spans="1:8" x14ac:dyDescent="0.3">
      <c r="A142" s="20">
        <v>7</v>
      </c>
      <c r="B142" s="31">
        <v>3</v>
      </c>
      <c r="D142" s="6">
        <v>3</v>
      </c>
      <c r="F142" s="21">
        <v>7</v>
      </c>
      <c r="G142" s="22">
        <f>GETPIVOTDATA("ID",$A$133,"PAY_6",7,"Defaulter/ Not Defaluter","Defaulter")/GETPIVOTDATA("ID",$A$133,"PAY_6",7)</f>
        <v>1</v>
      </c>
      <c r="H142" s="6"/>
    </row>
    <row r="143" spans="1:8" ht="15" thickBot="1" x14ac:dyDescent="0.35">
      <c r="A143" s="19">
        <v>8</v>
      </c>
      <c r="B143" s="31">
        <v>1</v>
      </c>
      <c r="D143" s="6">
        <v>1</v>
      </c>
      <c r="F143" s="23">
        <v>8</v>
      </c>
      <c r="G143" s="24">
        <f>GETPIVOTDATA("ID",$A$133,"PAY_6",8,"Defaulter/ Not Defaluter","Defaulter")/GETPIVOTDATA("ID",$A$133,"PAY_6",8)</f>
        <v>1</v>
      </c>
      <c r="H143" s="6"/>
    </row>
    <row r="144" spans="1:8" ht="15" thickBot="1" x14ac:dyDescent="0.35">
      <c r="A144" s="15" t="s">
        <v>2031</v>
      </c>
      <c r="B144" s="10">
        <v>434</v>
      </c>
      <c r="C144" s="7">
        <v>1566</v>
      </c>
      <c r="D144" s="8">
        <v>2000</v>
      </c>
      <c r="E144" s="7"/>
      <c r="F144" s="7"/>
      <c r="G144" s="7"/>
      <c r="H144" s="8"/>
    </row>
    <row r="145" spans="1:8" ht="15" thickBot="1" x14ac:dyDescent="0.35"/>
    <row r="146" spans="1:8" ht="15" thickBot="1" x14ac:dyDescent="0.35">
      <c r="A146" s="40" t="s">
        <v>2078</v>
      </c>
      <c r="B146" s="41"/>
      <c r="C146" s="41"/>
      <c r="D146" s="41"/>
      <c r="E146" s="2"/>
      <c r="F146" s="2"/>
      <c r="G146" s="2"/>
      <c r="H146" s="3"/>
    </row>
    <row r="147" spans="1:8" ht="15" thickBot="1" x14ac:dyDescent="0.35">
      <c r="A147" s="11" t="s">
        <v>2032</v>
      </c>
      <c r="B147" s="11" t="s">
        <v>2033</v>
      </c>
      <c r="C147" s="12"/>
      <c r="D147" s="13"/>
      <c r="H147" s="6"/>
    </row>
    <row r="148" spans="1:8" ht="15" thickBot="1" x14ac:dyDescent="0.35">
      <c r="A148" s="4" t="s">
        <v>2030</v>
      </c>
      <c r="B148" t="s">
        <v>2038</v>
      </c>
      <c r="C148" t="s">
        <v>2039</v>
      </c>
      <c r="D148" s="14" t="s">
        <v>2031</v>
      </c>
      <c r="F148" s="38" t="s">
        <v>2067</v>
      </c>
      <c r="G148" s="39"/>
      <c r="H148" s="6"/>
    </row>
    <row r="149" spans="1:8" x14ac:dyDescent="0.3">
      <c r="A149" s="5" t="s">
        <v>2074</v>
      </c>
      <c r="B149" s="9">
        <v>64</v>
      </c>
      <c r="C149" s="2">
        <v>226</v>
      </c>
      <c r="D149" s="3">
        <v>290</v>
      </c>
      <c r="F149" s="21" t="s">
        <v>2074</v>
      </c>
      <c r="G149" s="22">
        <f>GETPIVOTDATA("ID",$A$147,"Defaulter/ Not Defaluter","Defaulter","PAYMENT GAP GROUP","High Gap")/GETPIVOTDATA("ID",$A$147,"PAYMENT GAP GROUP","High Gap")</f>
        <v>0.22068965517241379</v>
      </c>
      <c r="H149" s="6"/>
    </row>
    <row r="150" spans="1:8" x14ac:dyDescent="0.3">
      <c r="A150" s="5" t="s">
        <v>2075</v>
      </c>
      <c r="B150" s="31">
        <v>142</v>
      </c>
      <c r="C150">
        <v>539</v>
      </c>
      <c r="D150" s="6">
        <v>681</v>
      </c>
      <c r="F150" s="21" t="s">
        <v>2075</v>
      </c>
      <c r="G150" s="22">
        <f>GETPIVOTDATA("ID",$A$147,"Defaulter/ Not Defaluter","Defaulter","PAYMENT GAP GROUP","Low Gap")/GETPIVOTDATA("ID",$A$147,"PAYMENT GAP GROUP","Low Gap")</f>
        <v>0.20851688693098386</v>
      </c>
      <c r="H150" s="6"/>
    </row>
    <row r="151" spans="1:8" x14ac:dyDescent="0.3">
      <c r="A151" s="5" t="s">
        <v>2076</v>
      </c>
      <c r="B151" s="31">
        <v>123</v>
      </c>
      <c r="C151">
        <v>460</v>
      </c>
      <c r="D151" s="6">
        <v>583</v>
      </c>
      <c r="F151" s="21" t="s">
        <v>2076</v>
      </c>
      <c r="G151" s="22">
        <f>GETPIVOTDATA("ID",$A$147,"Defaulter/ Not Defaluter","Defaulter","PAYMENT GAP GROUP","Medium Gap")/GETPIVOTDATA("ID",$A$147,"PAYMENT GAP GROUP","Medium Gap")</f>
        <v>0.21097770154373929</v>
      </c>
      <c r="H151" s="6"/>
    </row>
    <row r="152" spans="1:8" ht="15" thickBot="1" x14ac:dyDescent="0.35">
      <c r="A152" s="5" t="s">
        <v>2077</v>
      </c>
      <c r="B152" s="31">
        <v>105</v>
      </c>
      <c r="C152">
        <v>341</v>
      </c>
      <c r="D152" s="6">
        <v>446</v>
      </c>
      <c r="F152" s="23" t="s">
        <v>2077</v>
      </c>
      <c r="G152" s="24">
        <f>GETPIVOTDATA("ID",$A$147,"Defaulter/ Not Defaluter","Defaulter","PAYMENT GAP GROUP","No Gap / Overpaid")/GETPIVOTDATA("ID",$A$147,"PAYMENT GAP GROUP","No Gap / Overpaid")</f>
        <v>0.23542600896860988</v>
      </c>
      <c r="H152" s="6"/>
    </row>
    <row r="153" spans="1:8" ht="15" thickBot="1" x14ac:dyDescent="0.35">
      <c r="A153" s="15" t="s">
        <v>2031</v>
      </c>
      <c r="B153" s="10">
        <v>434</v>
      </c>
      <c r="C153" s="7">
        <v>1566</v>
      </c>
      <c r="D153" s="8">
        <v>2000</v>
      </c>
      <c r="E153" s="7"/>
      <c r="F153" s="7"/>
      <c r="G153" s="7"/>
      <c r="H153" s="8"/>
    </row>
    <row r="1940" ht="15" thickBot="1" x14ac:dyDescent="0.35"/>
    <row r="1941" ht="15" thickBot="1" x14ac:dyDescent="0.35"/>
  </sheetData>
  <mergeCells count="25">
    <mergeCell ref="A62:D62"/>
    <mergeCell ref="A2:B2"/>
    <mergeCell ref="F11:H11"/>
    <mergeCell ref="A9:D9"/>
    <mergeCell ref="A17:D17"/>
    <mergeCell ref="F19:H19"/>
    <mergeCell ref="A28:D28"/>
    <mergeCell ref="F30:H30"/>
    <mergeCell ref="A39:D39"/>
    <mergeCell ref="F41:G41"/>
    <mergeCell ref="A50:D50"/>
    <mergeCell ref="F52:G52"/>
    <mergeCell ref="F77:G77"/>
    <mergeCell ref="A75:D75"/>
    <mergeCell ref="F92:G92"/>
    <mergeCell ref="A90:D90"/>
    <mergeCell ref="F64:G64"/>
    <mergeCell ref="F134:G134"/>
    <mergeCell ref="A146:D146"/>
    <mergeCell ref="F148:G148"/>
    <mergeCell ref="F107:G107"/>
    <mergeCell ref="A105:D105"/>
    <mergeCell ref="A119:D119"/>
    <mergeCell ref="F121:G121"/>
    <mergeCell ref="A132:D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 </vt:lpstr>
      <vt:lpstr>Raw_data_seperated</vt:lpstr>
      <vt:lpstr>Cleaned_Data</vt:lpstr>
      <vt:lpstr>Analysics &amp; KPI's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Raj</dc:creator>
  <cp:lastModifiedBy>Ayush Raj</cp:lastModifiedBy>
  <dcterms:created xsi:type="dcterms:W3CDTF">2026-08-27T04:50:51Z</dcterms:created>
  <dcterms:modified xsi:type="dcterms:W3CDTF">2026-09-03T14:41:59Z</dcterms:modified>
</cp:coreProperties>
</file>